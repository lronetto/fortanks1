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teseng.sharepoint.com/sites/FortanksSite/Documentos Compartilhados/00-FORTANKS/00-OBRAS/01-EM ANDAM/0015-00-TQS NEREDA (12X)/04-FABRICACAO/CONTROLE DE FABRICAÇÃO/"/>
    </mc:Choice>
  </mc:AlternateContent>
  <xr:revisionPtr revIDLastSave="14850" documentId="13_ncr:1_{2D749C9D-D0BD-4C95-A09A-F325F826ADD1}" xr6:coauthVersionLast="47" xr6:coauthVersionMax="47" xr10:uidLastSave="{966A2309-3448-453B-B517-7EBE96885F39}"/>
  <bookViews>
    <workbookView xWindow="-120" yWindow="-120" windowWidth="29040" windowHeight="15840" tabRatio="893" activeTab="11" xr2:uid="{014749BB-A4E5-436E-9807-6DADA62660A5}"/>
  </bookViews>
  <sheets>
    <sheet name="CAPA DAS OBRAS" sheetId="22" r:id="rId1"/>
    <sheet name=" CADASTRO" sheetId="8" r:id="rId2"/>
    <sheet name="CALCULOS " sheetId="23" state="hidden" r:id="rId3"/>
    <sheet name="SC-10 PN1 AERADOR" sheetId="32" r:id="rId4"/>
    <sheet name="SC-10 PN1" sheetId="27" r:id="rId5"/>
    <sheet name="SC-10 PN2" sheetId="28" r:id="rId6"/>
    <sheet name="SC-10 PN2 PRIMARIO" sheetId="26" r:id="rId7"/>
    <sheet name="SC10(pf)" sheetId="21" r:id="rId8"/>
    <sheet name="equipe" sheetId="31" r:id="rId9"/>
    <sheet name="ACABAMENTO" sheetId="17" r:id="rId10"/>
    <sheet name="PRODUÇÃO SEMANA" sheetId="16" r:id="rId11"/>
    <sheet name="acab equip" sheetId="30" r:id="rId12"/>
    <sheet name="p1" sheetId="24" state="hidden" r:id="rId13"/>
    <sheet name="Vale - muro" sheetId="2" state="hidden" r:id="rId14"/>
  </sheets>
  <definedNames>
    <definedName name="_xlnm._FilterDatabase" localSheetId="1" hidden="1">' CADASTRO'!$A$1:$Y$1180</definedName>
    <definedName name="_xlnm.Print_Area" localSheetId="1">' CADASTRO'!$A$1:$Y$893</definedName>
    <definedName name="_xlnm.Print_Area" localSheetId="8">equipe!$A$2:$K$20</definedName>
    <definedName name="_xlnm.Print_Area" localSheetId="4">'SC-10 PN1'!$A$1:$AD$78</definedName>
    <definedName name="_xlnm.Print_Area" localSheetId="3">'SC-10 PN1 AERADOR'!$A$1:$X$78</definedName>
    <definedName name="_xlnm.Print_Area" localSheetId="5">'SC-10 PN2'!$A$1:$AD$79</definedName>
    <definedName name="_xlnm.Print_Area" localSheetId="6">'SC-10 PN2 PRIMARIO'!$A$1:$AL$79</definedName>
    <definedName name="_xlnm.Print_Area" localSheetId="7">'SC10(pf)'!$A$1:$Z$80</definedName>
    <definedName name="_xlnm.Print_Area" localSheetId="13">'Vale - muro'!$A$1:$AN$40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6" l="1"/>
  <c r="M21" i="16"/>
  <c r="N21" i="16"/>
  <c r="O21" i="16"/>
  <c r="P21" i="16"/>
  <c r="Q21" i="16"/>
  <c r="R21" i="16"/>
  <c r="L22" i="16"/>
  <c r="M22" i="16"/>
  <c r="N22" i="16"/>
  <c r="O22" i="16"/>
  <c r="P22" i="16"/>
  <c r="Q22" i="16"/>
  <c r="R22" i="16"/>
  <c r="L23" i="16"/>
  <c r="M23" i="16"/>
  <c r="N23" i="16"/>
  <c r="O23" i="16"/>
  <c r="P23" i="16"/>
  <c r="Q23" i="16"/>
  <c r="R23" i="16"/>
  <c r="L24" i="16"/>
  <c r="M24" i="16"/>
  <c r="N24" i="16"/>
  <c r="O24" i="16"/>
  <c r="P24" i="16"/>
  <c r="Q24" i="16"/>
  <c r="R24" i="16"/>
  <c r="L25" i="16"/>
  <c r="M25" i="16"/>
  <c r="N25" i="16"/>
  <c r="O25" i="16"/>
  <c r="P25" i="16"/>
  <c r="Q25" i="16"/>
  <c r="R25" i="16"/>
  <c r="L26" i="16"/>
  <c r="M26" i="16"/>
  <c r="N26" i="16"/>
  <c r="O26" i="16"/>
  <c r="P26" i="16"/>
  <c r="Q26" i="16"/>
  <c r="R26" i="16"/>
  <c r="L27" i="16"/>
  <c r="M27" i="16"/>
  <c r="N27" i="16"/>
  <c r="O27" i="16"/>
  <c r="P27" i="16"/>
  <c r="Q27" i="16"/>
  <c r="R27" i="16"/>
  <c r="L28" i="16"/>
  <c r="M28" i="16"/>
  <c r="N28" i="16"/>
  <c r="O28" i="16"/>
  <c r="P28" i="16"/>
  <c r="Q28" i="16"/>
  <c r="R28" i="16"/>
  <c r="L29" i="16"/>
  <c r="M29" i="16"/>
  <c r="N29" i="16"/>
  <c r="O29" i="16"/>
  <c r="P29" i="16"/>
  <c r="Q29" i="16"/>
  <c r="R29" i="16"/>
  <c r="L30" i="16"/>
  <c r="M30" i="16"/>
  <c r="N30" i="16"/>
  <c r="O30" i="16"/>
  <c r="P30" i="16"/>
  <c r="Q30" i="16"/>
  <c r="R30" i="16"/>
  <c r="L31" i="16"/>
  <c r="M31" i="16"/>
  <c r="N31" i="16"/>
  <c r="O31" i="16"/>
  <c r="P31" i="16"/>
  <c r="Q31" i="16"/>
  <c r="R31" i="16"/>
  <c r="L32" i="16"/>
  <c r="M32" i="16"/>
  <c r="N32" i="16"/>
  <c r="O32" i="16"/>
  <c r="P32" i="16"/>
  <c r="Q32" i="16"/>
  <c r="R32" i="16"/>
  <c r="L33" i="16"/>
  <c r="M33" i="16"/>
  <c r="N33" i="16"/>
  <c r="O33" i="16"/>
  <c r="P33" i="16"/>
  <c r="Q33" i="16"/>
  <c r="R33" i="16"/>
  <c r="L34" i="16"/>
  <c r="M34" i="16"/>
  <c r="N34" i="16"/>
  <c r="O34" i="16"/>
  <c r="P34" i="16"/>
  <c r="Q34" i="16"/>
  <c r="R34" i="16"/>
  <c r="L35" i="16"/>
  <c r="M35" i="16"/>
  <c r="N35" i="16"/>
  <c r="O35" i="16"/>
  <c r="P35" i="16"/>
  <c r="Q35" i="16"/>
  <c r="R35" i="16"/>
  <c r="L36" i="16"/>
  <c r="M36" i="16"/>
  <c r="N36" i="16"/>
  <c r="O36" i="16"/>
  <c r="P36" i="16"/>
  <c r="Q36" i="16"/>
  <c r="R36" i="16"/>
  <c r="L37" i="16"/>
  <c r="M37" i="16"/>
  <c r="N37" i="16"/>
  <c r="O37" i="16"/>
  <c r="P37" i="16"/>
  <c r="Q37" i="16"/>
  <c r="R37" i="16"/>
  <c r="L38" i="16"/>
  <c r="M38" i="16"/>
  <c r="N38" i="16"/>
  <c r="O38" i="16"/>
  <c r="P38" i="16"/>
  <c r="Q38" i="16"/>
  <c r="R38" i="16"/>
  <c r="L39" i="16"/>
  <c r="M39" i="16"/>
  <c r="N39" i="16"/>
  <c r="O39" i="16"/>
  <c r="P39" i="16"/>
  <c r="Q39" i="16"/>
  <c r="R39" i="16"/>
  <c r="L40" i="16"/>
  <c r="M40" i="16"/>
  <c r="N40" i="16"/>
  <c r="O40" i="16"/>
  <c r="P40" i="16"/>
  <c r="Q40" i="16"/>
  <c r="R40" i="16"/>
  <c r="L41" i="16"/>
  <c r="M41" i="16"/>
  <c r="N41" i="16"/>
  <c r="O41" i="16"/>
  <c r="P41" i="16"/>
  <c r="Q41" i="16"/>
  <c r="R41" i="16"/>
  <c r="L42" i="16"/>
  <c r="M42" i="16"/>
  <c r="N42" i="16"/>
  <c r="O42" i="16"/>
  <c r="P42" i="16"/>
  <c r="Q42" i="16"/>
  <c r="R42" i="16"/>
  <c r="L43" i="16"/>
  <c r="M43" i="16"/>
  <c r="N43" i="16"/>
  <c r="O43" i="16"/>
  <c r="P43" i="16"/>
  <c r="Q43" i="16"/>
  <c r="R43" i="16"/>
  <c r="L44" i="16"/>
  <c r="M44" i="16"/>
  <c r="N44" i="16"/>
  <c r="O44" i="16"/>
  <c r="P44" i="16"/>
  <c r="Q44" i="16"/>
  <c r="R44" i="16"/>
  <c r="L45" i="16"/>
  <c r="M45" i="16"/>
  <c r="N45" i="16"/>
  <c r="O45" i="16"/>
  <c r="P45" i="16"/>
  <c r="Q45" i="16"/>
  <c r="R45" i="16"/>
  <c r="L46" i="16"/>
  <c r="M46" i="16"/>
  <c r="N46" i="16"/>
  <c r="O46" i="16"/>
  <c r="P46" i="16"/>
  <c r="Q46" i="16"/>
  <c r="R46" i="16"/>
  <c r="L47" i="16"/>
  <c r="M47" i="16"/>
  <c r="N47" i="16"/>
  <c r="O47" i="16"/>
  <c r="P47" i="16"/>
  <c r="Q47" i="16"/>
  <c r="R47" i="16"/>
  <c r="L48" i="16"/>
  <c r="M48" i="16"/>
  <c r="N48" i="16"/>
  <c r="O48" i="16"/>
  <c r="P48" i="16"/>
  <c r="Q48" i="16"/>
  <c r="R48" i="16"/>
  <c r="L49" i="16"/>
  <c r="M49" i="16"/>
  <c r="N49" i="16"/>
  <c r="O49" i="16"/>
  <c r="P49" i="16"/>
  <c r="Q49" i="16"/>
  <c r="R49" i="16"/>
  <c r="L50" i="16"/>
  <c r="M50" i="16"/>
  <c r="N50" i="16"/>
  <c r="O50" i="16"/>
  <c r="P50" i="16"/>
  <c r="Q50" i="16"/>
  <c r="R50" i="16"/>
  <c r="L51" i="16"/>
  <c r="M51" i="16"/>
  <c r="N51" i="16"/>
  <c r="O51" i="16"/>
  <c r="P51" i="16"/>
  <c r="Q51" i="16"/>
  <c r="R51" i="16"/>
  <c r="L52" i="16"/>
  <c r="M52" i="16"/>
  <c r="N52" i="16"/>
  <c r="O52" i="16"/>
  <c r="P52" i="16"/>
  <c r="Q52" i="16"/>
  <c r="R52" i="16"/>
  <c r="L53" i="16"/>
  <c r="M53" i="16"/>
  <c r="N53" i="16"/>
  <c r="O53" i="16"/>
  <c r="P53" i="16"/>
  <c r="Q53" i="16"/>
  <c r="R53" i="16"/>
  <c r="L54" i="16"/>
  <c r="M54" i="16"/>
  <c r="N54" i="16"/>
  <c r="O54" i="16"/>
  <c r="P54" i="16"/>
  <c r="Q54" i="16"/>
  <c r="R54" i="16"/>
  <c r="L55" i="16"/>
  <c r="M55" i="16"/>
  <c r="N55" i="16"/>
  <c r="O55" i="16"/>
  <c r="P55" i="16"/>
  <c r="Q55" i="16"/>
  <c r="R55" i="16"/>
  <c r="L56" i="16"/>
  <c r="M56" i="16"/>
  <c r="N56" i="16"/>
  <c r="O56" i="16"/>
  <c r="P56" i="16"/>
  <c r="Q56" i="16"/>
  <c r="R56" i="16"/>
  <c r="L57" i="16"/>
  <c r="M57" i="16"/>
  <c r="N57" i="16"/>
  <c r="O57" i="16"/>
  <c r="P57" i="16"/>
  <c r="Q57" i="16"/>
  <c r="R57" i="16"/>
  <c r="L7" i="16"/>
  <c r="M7" i="16"/>
  <c r="N7" i="16"/>
  <c r="O7" i="16"/>
  <c r="P7" i="16"/>
  <c r="Q7" i="16"/>
  <c r="R7" i="16"/>
  <c r="L8" i="16"/>
  <c r="M8" i="16"/>
  <c r="N8" i="16"/>
  <c r="O8" i="16"/>
  <c r="P8" i="16"/>
  <c r="Q8" i="16"/>
  <c r="R8" i="16"/>
  <c r="L9" i="16"/>
  <c r="M9" i="16"/>
  <c r="N9" i="16"/>
  <c r="O9" i="16"/>
  <c r="P9" i="16"/>
  <c r="Q9" i="16"/>
  <c r="R9" i="16"/>
  <c r="L10" i="16"/>
  <c r="M10" i="16"/>
  <c r="N10" i="16"/>
  <c r="O10" i="16"/>
  <c r="P10" i="16"/>
  <c r="Q10" i="16"/>
  <c r="R10" i="16"/>
  <c r="L11" i="16"/>
  <c r="M11" i="16"/>
  <c r="N11" i="16"/>
  <c r="O11" i="16"/>
  <c r="P11" i="16"/>
  <c r="Q11" i="16"/>
  <c r="R11" i="16"/>
  <c r="L12" i="16"/>
  <c r="M12" i="16"/>
  <c r="N12" i="16"/>
  <c r="O12" i="16"/>
  <c r="P12" i="16"/>
  <c r="Q12" i="16"/>
  <c r="R12" i="16"/>
  <c r="L13" i="16"/>
  <c r="M13" i="16"/>
  <c r="N13" i="16"/>
  <c r="O13" i="16"/>
  <c r="P13" i="16"/>
  <c r="Q13" i="16"/>
  <c r="R13" i="16"/>
  <c r="L14" i="16"/>
  <c r="M14" i="16"/>
  <c r="N14" i="16"/>
  <c r="O14" i="16"/>
  <c r="P14" i="16"/>
  <c r="Q14" i="16"/>
  <c r="R14" i="16"/>
  <c r="L15" i="16"/>
  <c r="M15" i="16"/>
  <c r="N15" i="16"/>
  <c r="O15" i="16"/>
  <c r="P15" i="16"/>
  <c r="Q15" i="16"/>
  <c r="R15" i="16"/>
  <c r="L16" i="16"/>
  <c r="M16" i="16"/>
  <c r="N16" i="16"/>
  <c r="O16" i="16"/>
  <c r="P16" i="16"/>
  <c r="Q16" i="16"/>
  <c r="R16" i="16"/>
  <c r="L17" i="16"/>
  <c r="M17" i="16"/>
  <c r="N17" i="16"/>
  <c r="O17" i="16"/>
  <c r="P17" i="16"/>
  <c r="Q17" i="16"/>
  <c r="R17" i="16"/>
  <c r="L18" i="16"/>
  <c r="M18" i="16"/>
  <c r="N18" i="16"/>
  <c r="O18" i="16"/>
  <c r="P18" i="16"/>
  <c r="Q18" i="16"/>
  <c r="R18" i="16"/>
  <c r="L19" i="16"/>
  <c r="M19" i="16"/>
  <c r="N19" i="16"/>
  <c r="O19" i="16"/>
  <c r="P19" i="16"/>
  <c r="Q19" i="16"/>
  <c r="R19" i="16"/>
  <c r="L20" i="16"/>
  <c r="M20" i="16"/>
  <c r="N20" i="16"/>
  <c r="O20" i="16"/>
  <c r="P20" i="16"/>
  <c r="Q20" i="16"/>
  <c r="R20" i="16"/>
  <c r="L6" i="16"/>
  <c r="M6" i="16"/>
  <c r="N6" i="16"/>
  <c r="O6" i="16"/>
  <c r="P6" i="16"/>
  <c r="Q6" i="16"/>
  <c r="R6" i="16"/>
  <c r="R5" i="16"/>
  <c r="Q5" i="16"/>
  <c r="P5" i="16"/>
  <c r="O5" i="16"/>
  <c r="N5" i="16"/>
  <c r="M5" i="16"/>
  <c r="L5" i="16"/>
  <c r="AQ4" i="30"/>
  <c r="AR4" i="30"/>
  <c r="AS4" i="30"/>
  <c r="AT4" i="30"/>
  <c r="AF6" i="30"/>
  <c r="AF7" i="30"/>
  <c r="AF8" i="30"/>
  <c r="AF9" i="30"/>
  <c r="AF10" i="30"/>
  <c r="AF11" i="30"/>
  <c r="AF12" i="30"/>
  <c r="AF13" i="30"/>
  <c r="AF14" i="30"/>
  <c r="AF15" i="30"/>
  <c r="AF16" i="30"/>
  <c r="AF17" i="30"/>
  <c r="AF18" i="30"/>
  <c r="AF19" i="30"/>
  <c r="AF20" i="30"/>
  <c r="AF21" i="30"/>
  <c r="AF22" i="30"/>
  <c r="AF23" i="30"/>
  <c r="AF24" i="30"/>
  <c r="AF25" i="30"/>
  <c r="AF26" i="30"/>
  <c r="AF27" i="30"/>
  <c r="AF28" i="30"/>
  <c r="AF29" i="30"/>
  <c r="AF30" i="30"/>
  <c r="AF31" i="30"/>
  <c r="AF32" i="30"/>
  <c r="AF33" i="30"/>
  <c r="AF34" i="30"/>
  <c r="AF35" i="30"/>
  <c r="AF36" i="30"/>
  <c r="AF37" i="30"/>
  <c r="AF38" i="30"/>
  <c r="AF39" i="30"/>
  <c r="AF40" i="30"/>
  <c r="AF41" i="30"/>
  <c r="AF42" i="30"/>
  <c r="AF43" i="30"/>
  <c r="AF44" i="30"/>
  <c r="AF45" i="30"/>
  <c r="AF46" i="30"/>
  <c r="AF47" i="30"/>
  <c r="AG4" i="30"/>
  <c r="AA3" i="8"/>
  <c r="AA4" i="8"/>
  <c r="AA5" i="8"/>
  <c r="AA6" i="8"/>
  <c r="AM7" i="30" s="1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301" i="8"/>
  <c r="AA302" i="8"/>
  <c r="AA303" i="8"/>
  <c r="AA304" i="8"/>
  <c r="AA305" i="8"/>
  <c r="AA306" i="8"/>
  <c r="AA307" i="8"/>
  <c r="AA308" i="8"/>
  <c r="AA309" i="8"/>
  <c r="AA310" i="8"/>
  <c r="AA311" i="8"/>
  <c r="AA312" i="8"/>
  <c r="AA313" i="8"/>
  <c r="AA314" i="8"/>
  <c r="AA315" i="8"/>
  <c r="AA316" i="8"/>
  <c r="AA317" i="8"/>
  <c r="AA318" i="8"/>
  <c r="AA319" i="8"/>
  <c r="AA320" i="8"/>
  <c r="AA321" i="8"/>
  <c r="AA322" i="8"/>
  <c r="AA323" i="8"/>
  <c r="AA324" i="8"/>
  <c r="AA325" i="8"/>
  <c r="AA326" i="8"/>
  <c r="AA327" i="8"/>
  <c r="AA328" i="8"/>
  <c r="AA329" i="8"/>
  <c r="AA330" i="8"/>
  <c r="AA331" i="8"/>
  <c r="AA332" i="8"/>
  <c r="AA333" i="8"/>
  <c r="AA334" i="8"/>
  <c r="AA335" i="8"/>
  <c r="AA336" i="8"/>
  <c r="AA337" i="8"/>
  <c r="AA338" i="8"/>
  <c r="AA339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2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466" i="8"/>
  <c r="AA467" i="8"/>
  <c r="AA468" i="8"/>
  <c r="AA469" i="8"/>
  <c r="AA470" i="8"/>
  <c r="AA471" i="8"/>
  <c r="AA472" i="8"/>
  <c r="AA473" i="8"/>
  <c r="AA474" i="8"/>
  <c r="AA475" i="8"/>
  <c r="AA476" i="8"/>
  <c r="AA477" i="8"/>
  <c r="AA478" i="8"/>
  <c r="AA479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493" i="8"/>
  <c r="AA494" i="8"/>
  <c r="AA495" i="8"/>
  <c r="AA496" i="8"/>
  <c r="AA497" i="8"/>
  <c r="AA498" i="8"/>
  <c r="AA499" i="8"/>
  <c r="AA500" i="8"/>
  <c r="AA501" i="8"/>
  <c r="AA502" i="8"/>
  <c r="AA503" i="8"/>
  <c r="AA504" i="8"/>
  <c r="AA505" i="8"/>
  <c r="AA506" i="8"/>
  <c r="AA507" i="8"/>
  <c r="AA508" i="8"/>
  <c r="AA509" i="8"/>
  <c r="AA510" i="8"/>
  <c r="AA511" i="8"/>
  <c r="AA512" i="8"/>
  <c r="AA513" i="8"/>
  <c r="AA514" i="8"/>
  <c r="AA515" i="8"/>
  <c r="AA516" i="8"/>
  <c r="AA517" i="8"/>
  <c r="AA518" i="8"/>
  <c r="AA519" i="8"/>
  <c r="AA520" i="8"/>
  <c r="AA521" i="8"/>
  <c r="AA522" i="8"/>
  <c r="AA523" i="8"/>
  <c r="AA524" i="8"/>
  <c r="AA525" i="8"/>
  <c r="AA526" i="8"/>
  <c r="AA527" i="8"/>
  <c r="AA528" i="8"/>
  <c r="AA529" i="8"/>
  <c r="AA530" i="8"/>
  <c r="AA531" i="8"/>
  <c r="AA532" i="8"/>
  <c r="AA533" i="8"/>
  <c r="AA534" i="8"/>
  <c r="AA535" i="8"/>
  <c r="AA536" i="8"/>
  <c r="AA537" i="8"/>
  <c r="AA538" i="8"/>
  <c r="AA539" i="8"/>
  <c r="AA540" i="8"/>
  <c r="AA541" i="8"/>
  <c r="AA542" i="8"/>
  <c r="AA543" i="8"/>
  <c r="AA544" i="8"/>
  <c r="AA545" i="8"/>
  <c r="AA546" i="8"/>
  <c r="AA547" i="8"/>
  <c r="AA548" i="8"/>
  <c r="AA549" i="8"/>
  <c r="AA550" i="8"/>
  <c r="AA551" i="8"/>
  <c r="AA552" i="8"/>
  <c r="AA553" i="8"/>
  <c r="AA554" i="8"/>
  <c r="AA555" i="8"/>
  <c r="AA556" i="8"/>
  <c r="AA557" i="8"/>
  <c r="AA558" i="8"/>
  <c r="AA559" i="8"/>
  <c r="AA560" i="8"/>
  <c r="AA561" i="8"/>
  <c r="AA562" i="8"/>
  <c r="AA563" i="8"/>
  <c r="AA564" i="8"/>
  <c r="AA565" i="8"/>
  <c r="AA566" i="8"/>
  <c r="AA567" i="8"/>
  <c r="AA568" i="8"/>
  <c r="AA569" i="8"/>
  <c r="AA570" i="8"/>
  <c r="AA571" i="8"/>
  <c r="AA572" i="8"/>
  <c r="AA573" i="8"/>
  <c r="AA574" i="8"/>
  <c r="AA575" i="8"/>
  <c r="AA576" i="8"/>
  <c r="AA577" i="8"/>
  <c r="AA578" i="8"/>
  <c r="AA579" i="8"/>
  <c r="AA580" i="8"/>
  <c r="AA581" i="8"/>
  <c r="AA582" i="8"/>
  <c r="AA583" i="8"/>
  <c r="AA584" i="8"/>
  <c r="AA585" i="8"/>
  <c r="AA586" i="8"/>
  <c r="AA587" i="8"/>
  <c r="AA588" i="8"/>
  <c r="AA589" i="8"/>
  <c r="AA590" i="8"/>
  <c r="AA591" i="8"/>
  <c r="AA592" i="8"/>
  <c r="AA593" i="8"/>
  <c r="AA594" i="8"/>
  <c r="AA595" i="8"/>
  <c r="AA596" i="8"/>
  <c r="AA597" i="8"/>
  <c r="AA598" i="8"/>
  <c r="AA599" i="8"/>
  <c r="AA600" i="8"/>
  <c r="AA601" i="8"/>
  <c r="AA602" i="8"/>
  <c r="AA603" i="8"/>
  <c r="AA604" i="8"/>
  <c r="AA605" i="8"/>
  <c r="AA606" i="8"/>
  <c r="AA607" i="8"/>
  <c r="AA608" i="8"/>
  <c r="AA609" i="8"/>
  <c r="AA610" i="8"/>
  <c r="AA611" i="8"/>
  <c r="AA612" i="8"/>
  <c r="AA613" i="8"/>
  <c r="AA614" i="8"/>
  <c r="AA615" i="8"/>
  <c r="AA616" i="8"/>
  <c r="AA617" i="8"/>
  <c r="AA618" i="8"/>
  <c r="AA619" i="8"/>
  <c r="AA620" i="8"/>
  <c r="AA621" i="8"/>
  <c r="AA622" i="8"/>
  <c r="AA623" i="8"/>
  <c r="AA624" i="8"/>
  <c r="AA625" i="8"/>
  <c r="AA626" i="8"/>
  <c r="AA627" i="8"/>
  <c r="AA628" i="8"/>
  <c r="AA629" i="8"/>
  <c r="AA630" i="8"/>
  <c r="AA631" i="8"/>
  <c r="AJ7" i="30" s="1"/>
  <c r="AA632" i="8"/>
  <c r="AA633" i="8"/>
  <c r="AA634" i="8"/>
  <c r="AA635" i="8"/>
  <c r="AA636" i="8"/>
  <c r="AA637" i="8"/>
  <c r="AA638" i="8"/>
  <c r="AA639" i="8"/>
  <c r="AA640" i="8"/>
  <c r="AA641" i="8"/>
  <c r="AA642" i="8"/>
  <c r="AA643" i="8"/>
  <c r="AA644" i="8"/>
  <c r="AA645" i="8"/>
  <c r="AA646" i="8"/>
  <c r="AA647" i="8"/>
  <c r="AA648" i="8"/>
  <c r="AA649" i="8"/>
  <c r="AA650" i="8"/>
  <c r="AA651" i="8"/>
  <c r="AA652" i="8"/>
  <c r="AA653" i="8"/>
  <c r="AA654" i="8"/>
  <c r="AA655" i="8"/>
  <c r="AA656" i="8"/>
  <c r="AA657" i="8"/>
  <c r="AA658" i="8"/>
  <c r="AA659" i="8"/>
  <c r="AA660" i="8"/>
  <c r="AA661" i="8"/>
  <c r="AA662" i="8"/>
  <c r="AA663" i="8"/>
  <c r="AA664" i="8"/>
  <c r="AA665" i="8"/>
  <c r="AA666" i="8"/>
  <c r="AA667" i="8"/>
  <c r="AA668" i="8"/>
  <c r="AA669" i="8"/>
  <c r="AA670" i="8"/>
  <c r="AA671" i="8"/>
  <c r="AA672" i="8"/>
  <c r="AA673" i="8"/>
  <c r="AA674" i="8"/>
  <c r="AA675" i="8"/>
  <c r="AA676" i="8"/>
  <c r="AA677" i="8"/>
  <c r="AA678" i="8"/>
  <c r="AA679" i="8"/>
  <c r="AA680" i="8"/>
  <c r="AA681" i="8"/>
  <c r="AA682" i="8"/>
  <c r="AA683" i="8"/>
  <c r="AA684" i="8"/>
  <c r="AA685" i="8"/>
  <c r="AA686" i="8"/>
  <c r="AA687" i="8"/>
  <c r="AA688" i="8"/>
  <c r="AA689" i="8"/>
  <c r="AA690" i="8"/>
  <c r="AA691" i="8"/>
  <c r="AA692" i="8"/>
  <c r="AA693" i="8"/>
  <c r="AA694" i="8"/>
  <c r="AA695" i="8"/>
  <c r="AA696" i="8"/>
  <c r="AA697" i="8"/>
  <c r="AA698" i="8"/>
  <c r="AA699" i="8"/>
  <c r="AA700" i="8"/>
  <c r="AA701" i="8"/>
  <c r="AA702" i="8"/>
  <c r="AA703" i="8"/>
  <c r="AA704" i="8"/>
  <c r="AA705" i="8"/>
  <c r="AA706" i="8"/>
  <c r="AA707" i="8"/>
  <c r="AA708" i="8"/>
  <c r="AA709" i="8"/>
  <c r="AA710" i="8"/>
  <c r="AA711" i="8"/>
  <c r="AA712" i="8"/>
  <c r="AA713" i="8"/>
  <c r="AA714" i="8"/>
  <c r="AA715" i="8"/>
  <c r="AA716" i="8"/>
  <c r="AA717" i="8"/>
  <c r="AA718" i="8"/>
  <c r="AA719" i="8"/>
  <c r="AA720" i="8"/>
  <c r="AA721" i="8"/>
  <c r="AA722" i="8"/>
  <c r="AA723" i="8"/>
  <c r="AA724" i="8"/>
  <c r="AA725" i="8"/>
  <c r="AA726" i="8"/>
  <c r="AA727" i="8"/>
  <c r="AA728" i="8"/>
  <c r="AA729" i="8"/>
  <c r="AA730" i="8"/>
  <c r="AA731" i="8"/>
  <c r="AA732" i="8"/>
  <c r="AA733" i="8"/>
  <c r="AA734" i="8"/>
  <c r="AA735" i="8"/>
  <c r="AA736" i="8"/>
  <c r="AA737" i="8"/>
  <c r="AA738" i="8"/>
  <c r="AA739" i="8"/>
  <c r="AA740" i="8"/>
  <c r="AA741" i="8"/>
  <c r="AA742" i="8"/>
  <c r="AA743" i="8"/>
  <c r="AA744" i="8"/>
  <c r="AA745" i="8"/>
  <c r="AA746" i="8"/>
  <c r="AA747" i="8"/>
  <c r="AA748" i="8"/>
  <c r="AA749" i="8"/>
  <c r="AA750" i="8"/>
  <c r="AA751" i="8"/>
  <c r="AA752" i="8"/>
  <c r="AA753" i="8"/>
  <c r="AA754" i="8"/>
  <c r="AA755" i="8"/>
  <c r="AA756" i="8"/>
  <c r="AA757" i="8"/>
  <c r="AA758" i="8"/>
  <c r="AA759" i="8"/>
  <c r="AA760" i="8"/>
  <c r="AA761" i="8"/>
  <c r="AA762" i="8"/>
  <c r="AA763" i="8"/>
  <c r="AA764" i="8"/>
  <c r="AA765" i="8"/>
  <c r="AA766" i="8"/>
  <c r="AA767" i="8"/>
  <c r="AA768" i="8"/>
  <c r="AA769" i="8"/>
  <c r="AA770" i="8"/>
  <c r="AA771" i="8"/>
  <c r="AA772" i="8"/>
  <c r="AA773" i="8"/>
  <c r="AA774" i="8"/>
  <c r="AA775" i="8"/>
  <c r="AA776" i="8"/>
  <c r="AA777" i="8"/>
  <c r="AA778" i="8"/>
  <c r="AA779" i="8"/>
  <c r="AA780" i="8"/>
  <c r="AA781" i="8"/>
  <c r="AA782" i="8"/>
  <c r="AA783" i="8"/>
  <c r="AA784" i="8"/>
  <c r="AA785" i="8"/>
  <c r="AA786" i="8"/>
  <c r="AA787" i="8"/>
  <c r="AA788" i="8"/>
  <c r="AA789" i="8"/>
  <c r="AA790" i="8"/>
  <c r="AA791" i="8"/>
  <c r="AA792" i="8"/>
  <c r="AA793" i="8"/>
  <c r="AA794" i="8"/>
  <c r="AA795" i="8"/>
  <c r="AA796" i="8"/>
  <c r="AA797" i="8"/>
  <c r="AA798" i="8"/>
  <c r="AN7" i="30" s="1"/>
  <c r="AA799" i="8"/>
  <c r="AA800" i="8"/>
  <c r="AA801" i="8"/>
  <c r="AA802" i="8"/>
  <c r="AA803" i="8"/>
  <c r="AA804" i="8"/>
  <c r="AA805" i="8"/>
  <c r="AA806" i="8"/>
  <c r="AA807" i="8"/>
  <c r="AA808" i="8"/>
  <c r="AA809" i="8"/>
  <c r="AA810" i="8"/>
  <c r="AA811" i="8"/>
  <c r="AA812" i="8"/>
  <c r="AA813" i="8"/>
  <c r="AA814" i="8"/>
  <c r="AA815" i="8"/>
  <c r="AA816" i="8"/>
  <c r="AA817" i="8"/>
  <c r="AA818" i="8"/>
  <c r="AA819" i="8"/>
  <c r="AA820" i="8"/>
  <c r="AA821" i="8"/>
  <c r="AA822" i="8"/>
  <c r="AA823" i="8"/>
  <c r="AA824" i="8"/>
  <c r="AA825" i="8"/>
  <c r="AA826" i="8"/>
  <c r="AA827" i="8"/>
  <c r="AA828" i="8"/>
  <c r="AA829" i="8"/>
  <c r="AA830" i="8"/>
  <c r="AA831" i="8"/>
  <c r="AA832" i="8"/>
  <c r="AA833" i="8"/>
  <c r="AA834" i="8"/>
  <c r="AA835" i="8"/>
  <c r="AA836" i="8"/>
  <c r="AA837" i="8"/>
  <c r="AA838" i="8"/>
  <c r="AA839" i="8"/>
  <c r="AA840" i="8"/>
  <c r="AA841" i="8"/>
  <c r="AA842" i="8"/>
  <c r="AA843" i="8"/>
  <c r="AA844" i="8"/>
  <c r="AA845" i="8"/>
  <c r="AA846" i="8"/>
  <c r="AA847" i="8"/>
  <c r="AA848" i="8"/>
  <c r="AA849" i="8"/>
  <c r="AA850" i="8"/>
  <c r="AA851" i="8"/>
  <c r="AA852" i="8"/>
  <c r="AA853" i="8"/>
  <c r="AA854" i="8"/>
  <c r="AA855" i="8"/>
  <c r="AA856" i="8"/>
  <c r="AA857" i="8"/>
  <c r="AA858" i="8"/>
  <c r="AA859" i="8"/>
  <c r="AA860" i="8"/>
  <c r="AA861" i="8"/>
  <c r="AA862" i="8"/>
  <c r="AA863" i="8"/>
  <c r="AA864" i="8"/>
  <c r="AA865" i="8"/>
  <c r="AA866" i="8"/>
  <c r="AA867" i="8"/>
  <c r="AA868" i="8"/>
  <c r="AA869" i="8"/>
  <c r="AA870" i="8"/>
  <c r="AA871" i="8"/>
  <c r="AA872" i="8"/>
  <c r="AA873" i="8"/>
  <c r="AA874" i="8"/>
  <c r="AA875" i="8"/>
  <c r="AA876" i="8"/>
  <c r="AA877" i="8"/>
  <c r="AA878" i="8"/>
  <c r="AA879" i="8"/>
  <c r="AA880" i="8"/>
  <c r="AA881" i="8"/>
  <c r="AA882" i="8"/>
  <c r="AA883" i="8"/>
  <c r="AA884" i="8"/>
  <c r="AA885" i="8"/>
  <c r="AA886" i="8"/>
  <c r="AA887" i="8"/>
  <c r="AA888" i="8"/>
  <c r="AA889" i="8"/>
  <c r="AA890" i="8"/>
  <c r="AA891" i="8"/>
  <c r="AA892" i="8"/>
  <c r="AA893" i="8"/>
  <c r="AA894" i="8"/>
  <c r="AA895" i="8"/>
  <c r="AA896" i="8"/>
  <c r="AA897" i="8"/>
  <c r="AA898" i="8"/>
  <c r="AA899" i="8"/>
  <c r="AA900" i="8"/>
  <c r="AA901" i="8"/>
  <c r="AA902" i="8"/>
  <c r="AA903" i="8"/>
  <c r="AA904" i="8"/>
  <c r="AA905" i="8"/>
  <c r="AA906" i="8"/>
  <c r="AA907" i="8"/>
  <c r="AA908" i="8"/>
  <c r="AA909" i="8"/>
  <c r="AA910" i="8"/>
  <c r="AA911" i="8"/>
  <c r="AA912" i="8"/>
  <c r="AA913" i="8"/>
  <c r="AA914" i="8"/>
  <c r="AA915" i="8"/>
  <c r="AA916" i="8"/>
  <c r="AA917" i="8"/>
  <c r="AA918" i="8"/>
  <c r="AA919" i="8"/>
  <c r="AA920" i="8"/>
  <c r="AA921" i="8"/>
  <c r="AA922" i="8"/>
  <c r="AA923" i="8"/>
  <c r="AA924" i="8"/>
  <c r="AA925" i="8"/>
  <c r="AA926" i="8"/>
  <c r="AA927" i="8"/>
  <c r="AA928" i="8"/>
  <c r="AA929" i="8"/>
  <c r="AA930" i="8"/>
  <c r="AA931" i="8"/>
  <c r="AA932" i="8"/>
  <c r="AA933" i="8"/>
  <c r="AA934" i="8"/>
  <c r="AA935" i="8"/>
  <c r="AA936" i="8"/>
  <c r="AA937" i="8"/>
  <c r="AA938" i="8"/>
  <c r="AA939" i="8"/>
  <c r="AA940" i="8"/>
  <c r="AA941" i="8"/>
  <c r="AA942" i="8"/>
  <c r="AA943" i="8"/>
  <c r="AA944" i="8"/>
  <c r="AA945" i="8"/>
  <c r="AA946" i="8"/>
  <c r="AA947" i="8"/>
  <c r="AA948" i="8"/>
  <c r="AA949" i="8"/>
  <c r="AA950" i="8"/>
  <c r="AA951" i="8"/>
  <c r="AA952" i="8"/>
  <c r="AA953" i="8"/>
  <c r="AA954" i="8"/>
  <c r="AA955" i="8"/>
  <c r="AA956" i="8"/>
  <c r="AA957" i="8"/>
  <c r="AA958" i="8"/>
  <c r="AA959" i="8"/>
  <c r="AA960" i="8"/>
  <c r="AA961" i="8"/>
  <c r="AA962" i="8"/>
  <c r="AA963" i="8"/>
  <c r="AA964" i="8"/>
  <c r="AA965" i="8"/>
  <c r="AA966" i="8"/>
  <c r="AA967" i="8"/>
  <c r="AA968" i="8"/>
  <c r="AA969" i="8"/>
  <c r="AA970" i="8"/>
  <c r="AA971" i="8"/>
  <c r="AA972" i="8"/>
  <c r="AA973" i="8"/>
  <c r="AA974" i="8"/>
  <c r="AA975" i="8"/>
  <c r="AA976" i="8"/>
  <c r="AA977" i="8"/>
  <c r="AA978" i="8"/>
  <c r="AA979" i="8"/>
  <c r="AA980" i="8"/>
  <c r="AA981" i="8"/>
  <c r="AA982" i="8"/>
  <c r="AA983" i="8"/>
  <c r="AA984" i="8"/>
  <c r="AA985" i="8"/>
  <c r="AA986" i="8"/>
  <c r="AA987" i="8"/>
  <c r="AA988" i="8"/>
  <c r="AA989" i="8"/>
  <c r="AA990" i="8"/>
  <c r="AA991" i="8"/>
  <c r="AA992" i="8"/>
  <c r="AA993" i="8"/>
  <c r="AA994" i="8"/>
  <c r="AA995" i="8"/>
  <c r="AA996" i="8"/>
  <c r="AA997" i="8"/>
  <c r="AA998" i="8"/>
  <c r="AA999" i="8"/>
  <c r="AA1000" i="8"/>
  <c r="AA1001" i="8"/>
  <c r="AA1002" i="8"/>
  <c r="AA1003" i="8"/>
  <c r="AA1004" i="8"/>
  <c r="AA1005" i="8"/>
  <c r="AA1006" i="8"/>
  <c r="AA1007" i="8"/>
  <c r="AA1008" i="8"/>
  <c r="AA1009" i="8"/>
  <c r="AA1010" i="8"/>
  <c r="AA1011" i="8"/>
  <c r="AA1012" i="8"/>
  <c r="AA1013" i="8"/>
  <c r="AA1014" i="8"/>
  <c r="AA1015" i="8"/>
  <c r="AA1016" i="8"/>
  <c r="AA1017" i="8"/>
  <c r="AA1018" i="8"/>
  <c r="AA1019" i="8"/>
  <c r="AA1020" i="8"/>
  <c r="AA1021" i="8"/>
  <c r="AA1022" i="8"/>
  <c r="AA1023" i="8"/>
  <c r="AA1024" i="8"/>
  <c r="AA1025" i="8"/>
  <c r="AA1026" i="8"/>
  <c r="AA1027" i="8"/>
  <c r="AA1028" i="8"/>
  <c r="AA1029" i="8"/>
  <c r="AA1030" i="8"/>
  <c r="AA1031" i="8"/>
  <c r="AA1032" i="8"/>
  <c r="AA1033" i="8"/>
  <c r="AA1034" i="8"/>
  <c r="AA1035" i="8"/>
  <c r="AA1036" i="8"/>
  <c r="AA1037" i="8"/>
  <c r="AA1038" i="8"/>
  <c r="AA1039" i="8"/>
  <c r="AA1040" i="8"/>
  <c r="AA1041" i="8"/>
  <c r="AA1042" i="8"/>
  <c r="AA1043" i="8"/>
  <c r="AA1044" i="8"/>
  <c r="AA1045" i="8"/>
  <c r="AA1046" i="8"/>
  <c r="AA1047" i="8"/>
  <c r="AA1048" i="8"/>
  <c r="AA1049" i="8"/>
  <c r="AA1050" i="8"/>
  <c r="AA1051" i="8"/>
  <c r="AA1052" i="8"/>
  <c r="AA1053" i="8"/>
  <c r="AA1054" i="8"/>
  <c r="AA1055" i="8"/>
  <c r="AA1056" i="8"/>
  <c r="AA1057" i="8"/>
  <c r="AA1058" i="8"/>
  <c r="AA1059" i="8"/>
  <c r="AA1060" i="8"/>
  <c r="AA1061" i="8"/>
  <c r="AA1062" i="8"/>
  <c r="AA1063" i="8"/>
  <c r="AA1064" i="8"/>
  <c r="AA1065" i="8"/>
  <c r="AA1066" i="8"/>
  <c r="AA1067" i="8"/>
  <c r="AA1068" i="8"/>
  <c r="AA1069" i="8"/>
  <c r="AA1070" i="8"/>
  <c r="AA1071" i="8"/>
  <c r="AA1072" i="8"/>
  <c r="AA1073" i="8"/>
  <c r="AA1074" i="8"/>
  <c r="AA1075" i="8"/>
  <c r="AA1076" i="8"/>
  <c r="AA1077" i="8"/>
  <c r="AA1078" i="8"/>
  <c r="AA1079" i="8"/>
  <c r="AA1080" i="8"/>
  <c r="AA1081" i="8"/>
  <c r="AA1082" i="8"/>
  <c r="AA1083" i="8"/>
  <c r="AA1084" i="8"/>
  <c r="AA1085" i="8"/>
  <c r="AA1086" i="8"/>
  <c r="AA1087" i="8"/>
  <c r="AA1088" i="8"/>
  <c r="AA1089" i="8"/>
  <c r="AA1090" i="8"/>
  <c r="AA1091" i="8"/>
  <c r="AA1092" i="8"/>
  <c r="AA1093" i="8"/>
  <c r="AA1094" i="8"/>
  <c r="AA1095" i="8"/>
  <c r="AA1096" i="8"/>
  <c r="AA1097" i="8"/>
  <c r="AA1098" i="8"/>
  <c r="AA1099" i="8"/>
  <c r="AA1100" i="8"/>
  <c r="AA1101" i="8"/>
  <c r="AA1102" i="8"/>
  <c r="AA1103" i="8"/>
  <c r="AA1104" i="8"/>
  <c r="AA1105" i="8"/>
  <c r="AA1106" i="8"/>
  <c r="AA1107" i="8"/>
  <c r="AA1108" i="8"/>
  <c r="AA1109" i="8"/>
  <c r="AA1110" i="8"/>
  <c r="AA1111" i="8"/>
  <c r="AA1112" i="8"/>
  <c r="AA1113" i="8"/>
  <c r="AA1114" i="8"/>
  <c r="AA1115" i="8"/>
  <c r="AA1116" i="8"/>
  <c r="AA1117" i="8"/>
  <c r="AA1118" i="8"/>
  <c r="AA1119" i="8"/>
  <c r="AA1120" i="8"/>
  <c r="AA1121" i="8"/>
  <c r="AA1122" i="8"/>
  <c r="AA1123" i="8"/>
  <c r="AA1124" i="8"/>
  <c r="AA1125" i="8"/>
  <c r="AA1126" i="8"/>
  <c r="AA1127" i="8"/>
  <c r="AA1128" i="8"/>
  <c r="AA1129" i="8"/>
  <c r="AA1130" i="8"/>
  <c r="AA1131" i="8"/>
  <c r="AA1132" i="8"/>
  <c r="AA1133" i="8"/>
  <c r="AA1134" i="8"/>
  <c r="AA1135" i="8"/>
  <c r="AA1136" i="8"/>
  <c r="AA1137" i="8"/>
  <c r="AA1138" i="8"/>
  <c r="AA1139" i="8"/>
  <c r="AA1140" i="8"/>
  <c r="AA1141" i="8"/>
  <c r="AA1142" i="8"/>
  <c r="AA1143" i="8"/>
  <c r="AA1144" i="8"/>
  <c r="AA1145" i="8"/>
  <c r="AA1146" i="8"/>
  <c r="AA1147" i="8"/>
  <c r="AA1148" i="8"/>
  <c r="AA1149" i="8"/>
  <c r="AA1150" i="8"/>
  <c r="AA1151" i="8"/>
  <c r="AA1152" i="8"/>
  <c r="AA1153" i="8"/>
  <c r="AA1154" i="8"/>
  <c r="AA1155" i="8"/>
  <c r="AA1156" i="8"/>
  <c r="AA1157" i="8"/>
  <c r="AA1158" i="8"/>
  <c r="AA1159" i="8"/>
  <c r="AA1160" i="8"/>
  <c r="AA1161" i="8"/>
  <c r="AA1162" i="8"/>
  <c r="AA1163" i="8"/>
  <c r="AA1164" i="8"/>
  <c r="AA1165" i="8"/>
  <c r="AA1166" i="8"/>
  <c r="AA1167" i="8"/>
  <c r="AA1168" i="8"/>
  <c r="AA1169" i="8"/>
  <c r="AA1170" i="8"/>
  <c r="AA1171" i="8"/>
  <c r="AA1172" i="8"/>
  <c r="AA1173" i="8"/>
  <c r="AA1174" i="8"/>
  <c r="AA1175" i="8"/>
  <c r="AA1176" i="8"/>
  <c r="AA1177" i="8"/>
  <c r="AA2" i="8"/>
  <c r="AF5" i="30"/>
  <c r="AF4" i="30"/>
  <c r="AI7" i="30"/>
  <c r="Q1177" i="8"/>
  <c r="Q1176" i="8"/>
  <c r="Q989" i="8"/>
  <c r="AQ7" i="30" l="1"/>
  <c r="AG7" i="30"/>
  <c r="AR7" i="30"/>
  <c r="AK7" i="30"/>
  <c r="AO7" i="30"/>
  <c r="AT7" i="30"/>
  <c r="AH7" i="30"/>
  <c r="AL7" i="30"/>
  <c r="AP7" i="30"/>
  <c r="AS7" i="30"/>
  <c r="I676" i="8"/>
  <c r="B39" i="16" l="1"/>
  <c r="D39" i="16" s="1"/>
  <c r="I39" i="16"/>
  <c r="B40" i="16"/>
  <c r="D40" i="16"/>
  <c r="E40" i="16"/>
  <c r="F40" i="16" s="1"/>
  <c r="I40" i="16"/>
  <c r="B41" i="16" s="1"/>
  <c r="I41" i="16" s="1"/>
  <c r="B42" i="16" l="1"/>
  <c r="G40" i="16"/>
  <c r="D41" i="16"/>
  <c r="E39" i="16"/>
  <c r="F39" i="16" l="1"/>
  <c r="E41" i="16"/>
  <c r="H40" i="16"/>
  <c r="D42" i="16"/>
  <c r="I42" i="16"/>
  <c r="S40" i="16" l="1"/>
  <c r="E42" i="16"/>
  <c r="G39" i="16"/>
  <c r="B43" i="16"/>
  <c r="J40" i="16"/>
  <c r="F41" i="16"/>
  <c r="H39" i="16" l="1"/>
  <c r="D43" i="16"/>
  <c r="I43" i="16"/>
  <c r="G41" i="16"/>
  <c r="J39" i="16"/>
  <c r="F42" i="16"/>
  <c r="S39" i="16" l="1"/>
  <c r="E43" i="16"/>
  <c r="H41" i="16"/>
  <c r="J41" i="16"/>
  <c r="G42" i="16"/>
  <c r="B44" i="16"/>
  <c r="S41" i="16" l="1"/>
  <c r="D44" i="16"/>
  <c r="I44" i="16"/>
  <c r="F43" i="16"/>
  <c r="H42" i="16"/>
  <c r="E44" i="16" l="1"/>
  <c r="G43" i="16"/>
  <c r="S42" i="16"/>
  <c r="J42" i="16"/>
  <c r="B45" i="16"/>
  <c r="H43" i="16" l="1"/>
  <c r="F44" i="16"/>
  <c r="D45" i="16"/>
  <c r="I45" i="16"/>
  <c r="G44" i="16" l="1"/>
  <c r="E45" i="16"/>
  <c r="S43" i="16"/>
  <c r="J43" i="16"/>
  <c r="B46" i="16"/>
  <c r="H44" i="16" l="1"/>
  <c r="D46" i="16"/>
  <c r="I46" i="16"/>
  <c r="F45" i="16"/>
  <c r="G45" i="16" l="1"/>
  <c r="B47" i="16"/>
  <c r="S44" i="16"/>
  <c r="J44" i="16"/>
  <c r="E46" i="16"/>
  <c r="F46" i="16" l="1"/>
  <c r="H45" i="16"/>
  <c r="D47" i="16"/>
  <c r="I47" i="16"/>
  <c r="B48" i="16" l="1"/>
  <c r="S45" i="16"/>
  <c r="J45" i="16"/>
  <c r="G46" i="16"/>
  <c r="E47" i="16"/>
  <c r="F47" i="16" l="1"/>
  <c r="H46" i="16"/>
  <c r="J46" i="16"/>
  <c r="D48" i="16"/>
  <c r="I48" i="16"/>
  <c r="B49" i="16" l="1"/>
  <c r="E48" i="16"/>
  <c r="S46" i="16"/>
  <c r="G47" i="16"/>
  <c r="D49" i="16" l="1"/>
  <c r="I49" i="16"/>
  <c r="H47" i="16"/>
  <c r="J47" i="16"/>
  <c r="F48" i="16"/>
  <c r="E49" i="16" l="1"/>
  <c r="S47" i="16"/>
  <c r="G48" i="16"/>
  <c r="B50" i="16"/>
  <c r="F49" i="16" l="1"/>
  <c r="H48" i="16"/>
  <c r="J48" i="16"/>
  <c r="D50" i="16"/>
  <c r="I50" i="16"/>
  <c r="G49" i="16" l="1"/>
  <c r="B51" i="16"/>
  <c r="E50" i="16"/>
  <c r="S48" i="16"/>
  <c r="H49" i="16" l="1"/>
  <c r="D51" i="16"/>
  <c r="I51" i="16"/>
  <c r="F50" i="16"/>
  <c r="J49" i="16"/>
  <c r="S49" i="16" l="1"/>
  <c r="G50" i="16"/>
  <c r="B52" i="16"/>
  <c r="E51" i="16"/>
  <c r="H50" i="16" l="1"/>
  <c r="F51" i="16"/>
  <c r="D52" i="16"/>
  <c r="I52" i="16"/>
  <c r="B53" i="16" l="1"/>
  <c r="E52" i="16"/>
  <c r="G51" i="16"/>
  <c r="S50" i="16"/>
  <c r="J50" i="16"/>
  <c r="F52" i="16" l="1"/>
  <c r="H51" i="16"/>
  <c r="D53" i="16"/>
  <c r="I53" i="16"/>
  <c r="G52" i="16" l="1"/>
  <c r="E53" i="16"/>
  <c r="B54" i="16"/>
  <c r="S51" i="16"/>
  <c r="J51" i="16"/>
  <c r="H52" i="16" l="1"/>
  <c r="J52" i="16"/>
  <c r="D54" i="16"/>
  <c r="I54" i="16"/>
  <c r="F53" i="16"/>
  <c r="S52" i="16" l="1"/>
  <c r="B55" i="16"/>
  <c r="E54" i="16"/>
  <c r="G53" i="16"/>
  <c r="F54" i="16" l="1"/>
  <c r="H53" i="16"/>
  <c r="D55" i="16"/>
  <c r="I55" i="16"/>
  <c r="B56" i="16" l="1"/>
  <c r="S53" i="16"/>
  <c r="J53" i="16"/>
  <c r="G54" i="16"/>
  <c r="E55" i="16"/>
  <c r="H54" i="16" l="1"/>
  <c r="J54" i="16"/>
  <c r="D56" i="16"/>
  <c r="I56" i="16"/>
  <c r="F55" i="16"/>
  <c r="S54" i="16" l="1"/>
  <c r="B57" i="16"/>
  <c r="E56" i="16"/>
  <c r="G55" i="16"/>
  <c r="H55" i="16" l="1"/>
  <c r="D57" i="16"/>
  <c r="I57" i="16"/>
  <c r="F56" i="16"/>
  <c r="S55" i="16" l="1"/>
  <c r="E57" i="16"/>
  <c r="G56" i="16"/>
  <c r="J55" i="16"/>
  <c r="F57" i="16" l="1"/>
  <c r="H56" i="16"/>
  <c r="J56" i="16"/>
  <c r="G57" i="16" l="1"/>
  <c r="S56" i="16"/>
  <c r="H57" i="16" l="1"/>
  <c r="J57" i="16"/>
  <c r="S57" i="16" l="1"/>
  <c r="C9" i="31"/>
  <c r="C10" i="31"/>
  <c r="C11" i="31"/>
  <c r="C12" i="31"/>
  <c r="C13" i="31"/>
  <c r="C14" i="31"/>
  <c r="C15" i="31"/>
  <c r="C16" i="31"/>
  <c r="C17" i="31"/>
  <c r="C18" i="31"/>
  <c r="C19" i="31"/>
  <c r="C20" i="31"/>
  <c r="I9" i="31"/>
  <c r="F9" i="31"/>
  <c r="F10" i="31"/>
  <c r="F11" i="31"/>
  <c r="F14" i="31"/>
  <c r="D12" i="31" s="1"/>
  <c r="F15" i="31"/>
  <c r="F16" i="31"/>
  <c r="F17" i="31"/>
  <c r="F18" i="31"/>
  <c r="F19" i="31"/>
  <c r="F20" i="31"/>
  <c r="D3" i="32" l="1"/>
  <c r="B21" i="23" l="1"/>
  <c r="C18" i="22" s="1"/>
  <c r="B22" i="23"/>
  <c r="B23" i="23"/>
  <c r="B24" i="23"/>
  <c r="B25" i="23"/>
  <c r="B26" i="23"/>
  <c r="B27" i="23"/>
  <c r="D23" i="23"/>
  <c r="D24" i="23"/>
  <c r="D25" i="23"/>
  <c r="D26" i="23"/>
  <c r="E23" i="23"/>
  <c r="E24" i="23"/>
  <c r="E25" i="23"/>
  <c r="E26" i="23"/>
  <c r="F23" i="23"/>
  <c r="F24" i="23"/>
  <c r="F25" i="23"/>
  <c r="F26" i="23"/>
  <c r="B20" i="23"/>
  <c r="C20" i="22" s="1"/>
  <c r="B3" i="23"/>
  <c r="B4" i="23"/>
  <c r="B5" i="23"/>
  <c r="B6" i="23"/>
  <c r="B7" i="23"/>
  <c r="B8" i="23"/>
  <c r="B9" i="23"/>
  <c r="B10" i="23"/>
  <c r="C11" i="22"/>
  <c r="F8" i="23"/>
  <c r="F9" i="23"/>
  <c r="E8" i="23"/>
  <c r="E9" i="23"/>
  <c r="D8" i="23"/>
  <c r="D9" i="23"/>
  <c r="C19" i="22" l="1"/>
  <c r="C12" i="22"/>
  <c r="B28" i="23"/>
  <c r="B11" i="23"/>
  <c r="X893" i="8" l="1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X1119" i="8"/>
  <c r="X1120" i="8"/>
  <c r="X1121" i="8"/>
  <c r="X1122" i="8"/>
  <c r="X1123" i="8"/>
  <c r="X1124" i="8"/>
  <c r="X1125" i="8"/>
  <c r="X1126" i="8"/>
  <c r="X1127" i="8"/>
  <c r="X1128" i="8"/>
  <c r="X1129" i="8"/>
  <c r="X1130" i="8"/>
  <c r="X1131" i="8"/>
  <c r="X1132" i="8"/>
  <c r="X1133" i="8"/>
  <c r="X1134" i="8"/>
  <c r="X1135" i="8"/>
  <c r="X1136" i="8"/>
  <c r="X1137" i="8"/>
  <c r="X1138" i="8"/>
  <c r="X1139" i="8"/>
  <c r="X1140" i="8"/>
  <c r="X1141" i="8"/>
  <c r="X1142" i="8"/>
  <c r="X1143" i="8"/>
  <c r="X1144" i="8"/>
  <c r="X1145" i="8"/>
  <c r="X1146" i="8"/>
  <c r="X1147" i="8"/>
  <c r="X1148" i="8"/>
  <c r="X1149" i="8"/>
  <c r="X1150" i="8"/>
  <c r="X1151" i="8"/>
  <c r="X1152" i="8"/>
  <c r="X1153" i="8"/>
  <c r="X1154" i="8"/>
  <c r="X1155" i="8"/>
  <c r="X1156" i="8"/>
  <c r="X1157" i="8"/>
  <c r="X1158" i="8"/>
  <c r="X1159" i="8"/>
  <c r="X1160" i="8"/>
  <c r="X1161" i="8"/>
  <c r="X1162" i="8"/>
  <c r="X1163" i="8"/>
  <c r="X1164" i="8"/>
  <c r="X1165" i="8"/>
  <c r="X1166" i="8"/>
  <c r="X1167" i="8"/>
  <c r="X1168" i="8"/>
  <c r="X1169" i="8"/>
  <c r="X1170" i="8"/>
  <c r="X1171" i="8"/>
  <c r="X1172" i="8"/>
  <c r="X1173" i="8"/>
  <c r="X1174" i="8"/>
  <c r="X1175" i="8"/>
  <c r="X883" i="8"/>
  <c r="X884" i="8"/>
  <c r="X885" i="8"/>
  <c r="X886" i="8"/>
  <c r="X887" i="8"/>
  <c r="X888" i="8"/>
  <c r="X889" i="8"/>
  <c r="X890" i="8"/>
  <c r="X891" i="8"/>
  <c r="X892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893" i="8"/>
  <c r="D894" i="8"/>
  <c r="D895" i="8"/>
  <c r="D896" i="8"/>
  <c r="D897" i="8"/>
  <c r="D898" i="8"/>
  <c r="I1131" i="8"/>
  <c r="Q1131" i="8"/>
  <c r="T1131" i="8"/>
  <c r="I1132" i="8"/>
  <c r="Q1132" i="8"/>
  <c r="T1132" i="8"/>
  <c r="I1133" i="8"/>
  <c r="Q1133" i="8"/>
  <c r="T1133" i="8"/>
  <c r="I1134" i="8"/>
  <c r="Q1134" i="8"/>
  <c r="T1134" i="8"/>
  <c r="I1135" i="8"/>
  <c r="Q1135" i="8"/>
  <c r="T1135" i="8"/>
  <c r="I1136" i="8"/>
  <c r="Q1136" i="8"/>
  <c r="T1136" i="8"/>
  <c r="I1137" i="8"/>
  <c r="Q1137" i="8"/>
  <c r="T1137" i="8"/>
  <c r="I1138" i="8"/>
  <c r="Q1138" i="8"/>
  <c r="T1138" i="8"/>
  <c r="I1139" i="8"/>
  <c r="Q1139" i="8"/>
  <c r="T1139" i="8"/>
  <c r="I1140" i="8"/>
  <c r="Q1140" i="8"/>
  <c r="T1140" i="8"/>
  <c r="I1141" i="8"/>
  <c r="Q1141" i="8"/>
  <c r="T1141" i="8"/>
  <c r="I1142" i="8"/>
  <c r="Q1142" i="8"/>
  <c r="T1142" i="8"/>
  <c r="I1143" i="8"/>
  <c r="Q1143" i="8"/>
  <c r="T1143" i="8"/>
  <c r="I1144" i="8"/>
  <c r="Q1144" i="8"/>
  <c r="T1144" i="8"/>
  <c r="I1145" i="8"/>
  <c r="Q1145" i="8"/>
  <c r="T1145" i="8"/>
  <c r="I1146" i="8"/>
  <c r="Q1146" i="8"/>
  <c r="T1146" i="8"/>
  <c r="I1147" i="8"/>
  <c r="Q1147" i="8"/>
  <c r="T1147" i="8"/>
  <c r="I1148" i="8"/>
  <c r="Q1148" i="8"/>
  <c r="T1148" i="8"/>
  <c r="I1149" i="8"/>
  <c r="Q1149" i="8"/>
  <c r="T1149" i="8"/>
  <c r="I1150" i="8"/>
  <c r="Q1150" i="8"/>
  <c r="T1150" i="8"/>
  <c r="I1151" i="8"/>
  <c r="Q1151" i="8"/>
  <c r="T1151" i="8"/>
  <c r="I1152" i="8"/>
  <c r="Q1152" i="8"/>
  <c r="T1152" i="8"/>
  <c r="I1153" i="8"/>
  <c r="Q1153" i="8"/>
  <c r="T1153" i="8"/>
  <c r="I1154" i="8"/>
  <c r="Q1154" i="8"/>
  <c r="T1154" i="8"/>
  <c r="I1155" i="8"/>
  <c r="Q1155" i="8"/>
  <c r="T1155" i="8"/>
  <c r="I1156" i="8"/>
  <c r="Q1156" i="8"/>
  <c r="T1156" i="8"/>
  <c r="I1157" i="8"/>
  <c r="Q1157" i="8"/>
  <c r="T1157" i="8"/>
  <c r="I1158" i="8"/>
  <c r="Q1158" i="8"/>
  <c r="T1158" i="8"/>
  <c r="I1159" i="8"/>
  <c r="Q1159" i="8"/>
  <c r="T1159" i="8"/>
  <c r="I1160" i="8"/>
  <c r="Q1160" i="8"/>
  <c r="T1160" i="8"/>
  <c r="I1161" i="8"/>
  <c r="Q1161" i="8"/>
  <c r="T1161" i="8"/>
  <c r="I1162" i="8"/>
  <c r="Q1162" i="8"/>
  <c r="T1162" i="8"/>
  <c r="I1163" i="8"/>
  <c r="Q1163" i="8"/>
  <c r="T1163" i="8"/>
  <c r="I1164" i="8"/>
  <c r="Q1164" i="8"/>
  <c r="T1164" i="8"/>
  <c r="I1165" i="8"/>
  <c r="Q1165" i="8"/>
  <c r="T1165" i="8"/>
  <c r="I1166" i="8"/>
  <c r="Q1166" i="8"/>
  <c r="T1166" i="8"/>
  <c r="I1167" i="8"/>
  <c r="Q1167" i="8"/>
  <c r="T1167" i="8"/>
  <c r="I1168" i="8"/>
  <c r="Q1168" i="8"/>
  <c r="T1168" i="8"/>
  <c r="I1169" i="8"/>
  <c r="Q1169" i="8"/>
  <c r="T1169" i="8"/>
  <c r="I1170" i="8"/>
  <c r="Q1170" i="8"/>
  <c r="T1170" i="8"/>
  <c r="I1171" i="8"/>
  <c r="Q1171" i="8"/>
  <c r="T1171" i="8"/>
  <c r="I1172" i="8"/>
  <c r="Q1172" i="8"/>
  <c r="T1172" i="8"/>
  <c r="I1173" i="8"/>
  <c r="Q1173" i="8"/>
  <c r="T1173" i="8"/>
  <c r="I1174" i="8"/>
  <c r="Q1174" i="8"/>
  <c r="T1174" i="8"/>
  <c r="I1175" i="8"/>
  <c r="Q1175" i="8"/>
  <c r="T1175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082" i="8"/>
  <c r="I1028" i="8"/>
  <c r="Q1028" i="8"/>
  <c r="T1028" i="8"/>
  <c r="I1029" i="8"/>
  <c r="Q1029" i="8"/>
  <c r="T1029" i="8"/>
  <c r="I1030" i="8"/>
  <c r="Q1030" i="8"/>
  <c r="T1030" i="8"/>
  <c r="I1031" i="8"/>
  <c r="Q1031" i="8"/>
  <c r="T1031" i="8"/>
  <c r="I1032" i="8"/>
  <c r="Q1032" i="8"/>
  <c r="T1032" i="8"/>
  <c r="I1033" i="8"/>
  <c r="Q1033" i="8"/>
  <c r="T1033" i="8"/>
  <c r="I1034" i="8"/>
  <c r="T1034" i="8"/>
  <c r="I1035" i="8"/>
  <c r="T1035" i="8"/>
  <c r="I1036" i="8"/>
  <c r="Q1036" i="8"/>
  <c r="T1036" i="8"/>
  <c r="I1037" i="8"/>
  <c r="Q1037" i="8"/>
  <c r="T1037" i="8"/>
  <c r="I1038" i="8"/>
  <c r="Q1038" i="8"/>
  <c r="T1038" i="8"/>
  <c r="I1039" i="8"/>
  <c r="Q1039" i="8"/>
  <c r="T1039" i="8"/>
  <c r="I1040" i="8"/>
  <c r="Q1040" i="8"/>
  <c r="T1040" i="8"/>
  <c r="I1041" i="8"/>
  <c r="Q1041" i="8"/>
  <c r="T1041" i="8"/>
  <c r="I1042" i="8"/>
  <c r="Q1042" i="8"/>
  <c r="T1042" i="8"/>
  <c r="I1043" i="8"/>
  <c r="Q1043" i="8"/>
  <c r="T1043" i="8"/>
  <c r="I1044" i="8"/>
  <c r="Q1044" i="8"/>
  <c r="T1044" i="8"/>
  <c r="I1045" i="8"/>
  <c r="Q1045" i="8"/>
  <c r="T1045" i="8"/>
  <c r="I1046" i="8"/>
  <c r="Q1046" i="8"/>
  <c r="T1046" i="8"/>
  <c r="I1047" i="8"/>
  <c r="Q1047" i="8"/>
  <c r="T1047" i="8"/>
  <c r="I1048" i="8"/>
  <c r="Q1048" i="8"/>
  <c r="T1048" i="8"/>
  <c r="I1049" i="8"/>
  <c r="Q1049" i="8"/>
  <c r="T1049" i="8"/>
  <c r="I1050" i="8"/>
  <c r="Q1050" i="8"/>
  <c r="T1050" i="8"/>
  <c r="I1051" i="8"/>
  <c r="Q1051" i="8"/>
  <c r="T1051" i="8"/>
  <c r="I1052" i="8"/>
  <c r="Q1052" i="8"/>
  <c r="T1052" i="8"/>
  <c r="I1053" i="8"/>
  <c r="Q1053" i="8"/>
  <c r="T1053" i="8"/>
  <c r="I1054" i="8"/>
  <c r="Q1054" i="8"/>
  <c r="T1054" i="8"/>
  <c r="I1055" i="8"/>
  <c r="Q1055" i="8"/>
  <c r="T1055" i="8"/>
  <c r="I1056" i="8"/>
  <c r="Q1056" i="8"/>
  <c r="T1056" i="8"/>
  <c r="I1057" i="8"/>
  <c r="Q1057" i="8"/>
  <c r="T1057" i="8"/>
  <c r="I1058" i="8"/>
  <c r="Q1058" i="8"/>
  <c r="T1058" i="8"/>
  <c r="I1059" i="8"/>
  <c r="Q1059" i="8"/>
  <c r="T1059" i="8"/>
  <c r="I1060" i="8"/>
  <c r="Q1060" i="8"/>
  <c r="T1060" i="8"/>
  <c r="I1061" i="8"/>
  <c r="Q1061" i="8"/>
  <c r="T1061" i="8"/>
  <c r="I1062" i="8"/>
  <c r="Q1062" i="8"/>
  <c r="T1062" i="8"/>
  <c r="I1063" i="8"/>
  <c r="Q1063" i="8"/>
  <c r="T1063" i="8"/>
  <c r="I1064" i="8"/>
  <c r="Q1064" i="8"/>
  <c r="T1064" i="8"/>
  <c r="I1065" i="8"/>
  <c r="Q1065" i="8"/>
  <c r="T1065" i="8"/>
  <c r="I1066" i="8"/>
  <c r="Q1066" i="8"/>
  <c r="T1066" i="8"/>
  <c r="I1067" i="8"/>
  <c r="Q1067" i="8"/>
  <c r="T1067" i="8"/>
  <c r="I1068" i="8"/>
  <c r="Q1068" i="8"/>
  <c r="T1068" i="8"/>
  <c r="I1069" i="8"/>
  <c r="Q1069" i="8"/>
  <c r="T1069" i="8"/>
  <c r="I1070" i="8"/>
  <c r="Q1070" i="8"/>
  <c r="T1070" i="8"/>
  <c r="I1071" i="8"/>
  <c r="Q1071" i="8"/>
  <c r="T1071" i="8"/>
  <c r="I1072" i="8"/>
  <c r="Q1072" i="8"/>
  <c r="T1072" i="8"/>
  <c r="I1073" i="8"/>
  <c r="Q1073" i="8"/>
  <c r="T1073" i="8"/>
  <c r="I1074" i="8"/>
  <c r="Q1074" i="8"/>
  <c r="T1074" i="8"/>
  <c r="I1075" i="8"/>
  <c r="Q1075" i="8"/>
  <c r="T1075" i="8"/>
  <c r="I1076" i="8"/>
  <c r="Q1076" i="8"/>
  <c r="T1076" i="8"/>
  <c r="I1077" i="8"/>
  <c r="Q1077" i="8"/>
  <c r="T1077" i="8"/>
  <c r="I1078" i="8"/>
  <c r="Q1078" i="8"/>
  <c r="T1078" i="8"/>
  <c r="I1079" i="8"/>
  <c r="Q1079" i="8"/>
  <c r="T1079" i="8"/>
  <c r="I1080" i="8"/>
  <c r="Q1080" i="8"/>
  <c r="T1080" i="8"/>
  <c r="I1081" i="8"/>
  <c r="T1081" i="8"/>
  <c r="Q1082" i="8"/>
  <c r="T1082" i="8"/>
  <c r="Q1083" i="8"/>
  <c r="T1083" i="8"/>
  <c r="Q1084" i="8"/>
  <c r="T1084" i="8"/>
  <c r="Q1085" i="8"/>
  <c r="T1085" i="8"/>
  <c r="Q1086" i="8"/>
  <c r="T1086" i="8"/>
  <c r="Q1087" i="8"/>
  <c r="T1087" i="8"/>
  <c r="Q1088" i="8"/>
  <c r="T1088" i="8"/>
  <c r="Q1089" i="8"/>
  <c r="T1089" i="8"/>
  <c r="Q1090" i="8"/>
  <c r="T1090" i="8"/>
  <c r="Q1091" i="8"/>
  <c r="T1091" i="8"/>
  <c r="Q1092" i="8"/>
  <c r="T1092" i="8"/>
  <c r="Q1093" i="8"/>
  <c r="T1093" i="8"/>
  <c r="Q1094" i="8"/>
  <c r="T1094" i="8"/>
  <c r="Q1095" i="8"/>
  <c r="T1095" i="8"/>
  <c r="Q1096" i="8"/>
  <c r="T1096" i="8"/>
  <c r="Q1097" i="8"/>
  <c r="T1097" i="8"/>
  <c r="Q1098" i="8"/>
  <c r="T1098" i="8"/>
  <c r="Q1099" i="8"/>
  <c r="T1099" i="8"/>
  <c r="Q1100" i="8"/>
  <c r="T1100" i="8"/>
  <c r="Q1101" i="8"/>
  <c r="T1101" i="8"/>
  <c r="Q1102" i="8"/>
  <c r="T1102" i="8"/>
  <c r="Q1103" i="8"/>
  <c r="T1103" i="8"/>
  <c r="Q1104" i="8"/>
  <c r="T1104" i="8"/>
  <c r="Q1105" i="8"/>
  <c r="T1105" i="8"/>
  <c r="Q1106" i="8"/>
  <c r="T1106" i="8"/>
  <c r="Q1107" i="8"/>
  <c r="T1107" i="8"/>
  <c r="Q1108" i="8"/>
  <c r="T1108" i="8"/>
  <c r="Q1109" i="8"/>
  <c r="T1109" i="8"/>
  <c r="Q1110" i="8"/>
  <c r="T1110" i="8"/>
  <c r="Q1111" i="8"/>
  <c r="T1111" i="8"/>
  <c r="Q1112" i="8"/>
  <c r="T1112" i="8"/>
  <c r="Q1113" i="8"/>
  <c r="T1113" i="8"/>
  <c r="Q1114" i="8"/>
  <c r="T1114" i="8"/>
  <c r="Q1115" i="8"/>
  <c r="T1115" i="8"/>
  <c r="Q1116" i="8"/>
  <c r="T1116" i="8"/>
  <c r="Q1117" i="8"/>
  <c r="T1117" i="8"/>
  <c r="Q1118" i="8"/>
  <c r="T1118" i="8"/>
  <c r="Q1119" i="8"/>
  <c r="T1119" i="8"/>
  <c r="Q1120" i="8"/>
  <c r="T1120" i="8"/>
  <c r="Q1121" i="8"/>
  <c r="T1121" i="8"/>
  <c r="Q1122" i="8"/>
  <c r="T1122" i="8"/>
  <c r="Q1123" i="8"/>
  <c r="T1123" i="8"/>
  <c r="Q1124" i="8"/>
  <c r="T1124" i="8"/>
  <c r="Q1125" i="8"/>
  <c r="T1125" i="8"/>
  <c r="Q1126" i="8"/>
  <c r="T1126" i="8"/>
  <c r="Q1127" i="8"/>
  <c r="T1127" i="8"/>
  <c r="Q1128" i="8"/>
  <c r="T1128" i="8"/>
  <c r="Q1129" i="8"/>
  <c r="T1129" i="8"/>
  <c r="Q1130" i="8"/>
  <c r="T1130" i="8"/>
  <c r="I992" i="8"/>
  <c r="Q992" i="8"/>
  <c r="T992" i="8"/>
  <c r="I993" i="8"/>
  <c r="Q993" i="8"/>
  <c r="T993" i="8"/>
  <c r="I994" i="8"/>
  <c r="Q994" i="8"/>
  <c r="T994" i="8"/>
  <c r="I995" i="8"/>
  <c r="Q995" i="8"/>
  <c r="T995" i="8"/>
  <c r="I996" i="8"/>
  <c r="Q996" i="8"/>
  <c r="T996" i="8"/>
  <c r="I997" i="8"/>
  <c r="Q997" i="8"/>
  <c r="T997" i="8"/>
  <c r="I998" i="8"/>
  <c r="Q998" i="8"/>
  <c r="T998" i="8"/>
  <c r="I999" i="8"/>
  <c r="Q999" i="8"/>
  <c r="T999" i="8"/>
  <c r="I1000" i="8"/>
  <c r="Q1000" i="8"/>
  <c r="T1000" i="8"/>
  <c r="I1001" i="8"/>
  <c r="Q1001" i="8"/>
  <c r="T1001" i="8"/>
  <c r="I1002" i="8"/>
  <c r="Q1002" i="8"/>
  <c r="T1002" i="8"/>
  <c r="I1003" i="8"/>
  <c r="Q1003" i="8"/>
  <c r="T1003" i="8"/>
  <c r="I1004" i="8"/>
  <c r="Q1004" i="8"/>
  <c r="T1004" i="8"/>
  <c r="I1005" i="8"/>
  <c r="Q1005" i="8"/>
  <c r="T1005" i="8"/>
  <c r="I1006" i="8"/>
  <c r="Q1006" i="8"/>
  <c r="T1006" i="8"/>
  <c r="I1007" i="8"/>
  <c r="Q1007" i="8"/>
  <c r="T1007" i="8"/>
  <c r="I1008" i="8"/>
  <c r="Q1008" i="8"/>
  <c r="T1008" i="8"/>
  <c r="I1009" i="8"/>
  <c r="Q1009" i="8"/>
  <c r="T1009" i="8"/>
  <c r="I1010" i="8"/>
  <c r="Q1010" i="8"/>
  <c r="T1010" i="8"/>
  <c r="I1011" i="8"/>
  <c r="Q1011" i="8"/>
  <c r="T1011" i="8"/>
  <c r="I1012" i="8"/>
  <c r="Q1012" i="8"/>
  <c r="T1012" i="8"/>
  <c r="I1013" i="8"/>
  <c r="Q1013" i="8"/>
  <c r="T1013" i="8"/>
  <c r="I1014" i="8"/>
  <c r="Q1014" i="8"/>
  <c r="T1014" i="8"/>
  <c r="I1015" i="8"/>
  <c r="Q1015" i="8"/>
  <c r="T1015" i="8"/>
  <c r="I1016" i="8"/>
  <c r="Q1016" i="8"/>
  <c r="T1016" i="8"/>
  <c r="I1017" i="8"/>
  <c r="Q1017" i="8"/>
  <c r="T1017" i="8"/>
  <c r="I1018" i="8"/>
  <c r="Q1018" i="8"/>
  <c r="T1018" i="8"/>
  <c r="I1019" i="8"/>
  <c r="Q1019" i="8"/>
  <c r="T1019" i="8"/>
  <c r="I1020" i="8"/>
  <c r="Q1020" i="8"/>
  <c r="T1020" i="8"/>
  <c r="I1021" i="8"/>
  <c r="Q1021" i="8"/>
  <c r="T1021" i="8"/>
  <c r="I1022" i="8"/>
  <c r="Q1022" i="8"/>
  <c r="T1022" i="8"/>
  <c r="I1023" i="8"/>
  <c r="Q1023" i="8"/>
  <c r="T1023" i="8"/>
  <c r="I1024" i="8"/>
  <c r="Q1024" i="8"/>
  <c r="T1024" i="8"/>
  <c r="I1025" i="8"/>
  <c r="Q1025" i="8"/>
  <c r="T1025" i="8"/>
  <c r="I1026" i="8"/>
  <c r="Q1026" i="8"/>
  <c r="T1026" i="8"/>
  <c r="I1027" i="8"/>
  <c r="Q1027" i="8"/>
  <c r="T1027" i="8"/>
  <c r="T988" i="8"/>
  <c r="T989" i="8"/>
  <c r="T990" i="8"/>
  <c r="T991" i="8"/>
  <c r="I989" i="8"/>
  <c r="I990" i="8"/>
  <c r="I991" i="8"/>
  <c r="I988" i="8"/>
  <c r="Q990" i="8"/>
  <c r="Q991" i="8"/>
  <c r="F22" i="23" l="1"/>
  <c r="D27" i="23"/>
  <c r="D21" i="23"/>
  <c r="D18" i="22" s="1"/>
  <c r="F27" i="23"/>
  <c r="F20" i="23"/>
  <c r="H20" i="22" s="1"/>
  <c r="D22" i="23"/>
  <c r="D20" i="23"/>
  <c r="D20" i="22" s="1"/>
  <c r="F21" i="23"/>
  <c r="H18" i="22" s="1"/>
  <c r="C21" i="22"/>
  <c r="T312" i="8"/>
  <c r="I20" i="22" l="1"/>
  <c r="D19" i="22"/>
  <c r="I18" i="22"/>
  <c r="E20" i="22"/>
  <c r="H19" i="22"/>
  <c r="E18" i="22"/>
  <c r="X7" i="21"/>
  <c r="X14" i="21" s="1"/>
  <c r="D21" i="22" l="1"/>
  <c r="E21" i="22" s="1"/>
  <c r="E19" i="22"/>
  <c r="I19" i="22"/>
  <c r="H21" i="22"/>
  <c r="Q885" i="8"/>
  <c r="Q886" i="8"/>
  <c r="C4" i="28"/>
  <c r="H41" i="32" l="1"/>
  <c r="J41" i="32"/>
  <c r="L41" i="32"/>
  <c r="N41" i="32"/>
  <c r="F41" i="32"/>
  <c r="C2" i="21"/>
  <c r="Q900" i="8" l="1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Q895" i="8"/>
  <c r="Q896" i="8"/>
  <c r="Q897" i="8"/>
  <c r="Q898" i="8"/>
  <c r="Q899" i="8"/>
  <c r="T979" i="8"/>
  <c r="T980" i="8"/>
  <c r="T981" i="8"/>
  <c r="T982" i="8"/>
  <c r="T983" i="8"/>
  <c r="T984" i="8"/>
  <c r="T985" i="8"/>
  <c r="T986" i="8"/>
  <c r="T987" i="8"/>
  <c r="I895" i="8"/>
  <c r="I896" i="8"/>
  <c r="I897" i="8"/>
  <c r="I898" i="8"/>
  <c r="Q894" i="8"/>
  <c r="Q882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I894" i="8"/>
  <c r="E20" i="23" l="1"/>
  <c r="F20" i="22" s="1"/>
  <c r="E22" i="23"/>
  <c r="N68" i="21"/>
  <c r="N74" i="21" s="1"/>
  <c r="N73" i="21" s="1"/>
  <c r="G20" i="22" l="1"/>
  <c r="T894" i="8"/>
  <c r="T895" i="8"/>
  <c r="T896" i="8"/>
  <c r="E27" i="23" l="1"/>
  <c r="F19" i="22" s="1"/>
  <c r="E21" i="23"/>
  <c r="F18" i="22" s="1"/>
  <c r="S32" i="32"/>
  <c r="S31" i="32" s="1"/>
  <c r="S26" i="32"/>
  <c r="S25" i="32" s="1"/>
  <c r="S20" i="32"/>
  <c r="S19" i="32" s="1"/>
  <c r="S14" i="32"/>
  <c r="S13" i="32" s="1"/>
  <c r="S9" i="32"/>
  <c r="S8" i="32" s="1"/>
  <c r="C4" i="32"/>
  <c r="D41" i="32"/>
  <c r="S2" i="32"/>
  <c r="G19" i="22" l="1"/>
  <c r="G18" i="22"/>
  <c r="F21" i="22"/>
  <c r="F23" i="22" s="1"/>
  <c r="J2" i="16"/>
  <c r="L19" i="31"/>
  <c r="L18" i="31"/>
  <c r="L17" i="31"/>
  <c r="L16" i="31"/>
  <c r="L15" i="31"/>
  <c r="L14" i="31"/>
  <c r="L12" i="31"/>
  <c r="L11" i="31"/>
  <c r="L8" i="31"/>
  <c r="L7" i="31"/>
  <c r="L6" i="31"/>
  <c r="L5" i="31"/>
  <c r="L4" i="31"/>
  <c r="I19" i="31"/>
  <c r="I18" i="31"/>
  <c r="I17" i="31"/>
  <c r="I16" i="31"/>
  <c r="I15" i="31"/>
  <c r="I14" i="31"/>
  <c r="I11" i="31"/>
  <c r="I8" i="31"/>
  <c r="I7" i="31"/>
  <c r="I6" i="31"/>
  <c r="I5" i="31"/>
  <c r="I4" i="31"/>
  <c r="F8" i="31"/>
  <c r="F7" i="31"/>
  <c r="F6" i="31"/>
  <c r="F5" i="31"/>
  <c r="F4" i="31"/>
  <c r="C5" i="31"/>
  <c r="C6" i="31"/>
  <c r="C7" i="31"/>
  <c r="C8" i="31"/>
  <c r="C4" i="31"/>
  <c r="K12" i="31" l="1"/>
  <c r="E2" i="31"/>
  <c r="K2" i="31"/>
  <c r="H2" i="31"/>
  <c r="G12" i="31"/>
  <c r="B2" i="31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6" i="17"/>
  <c r="J7" i="17"/>
  <c r="J8" i="17"/>
  <c r="J9" i="17"/>
  <c r="J10" i="17"/>
  <c r="J11" i="17"/>
  <c r="J12" i="17"/>
  <c r="J13" i="17"/>
  <c r="J14" i="17"/>
  <c r="J15" i="17"/>
  <c r="J16" i="17"/>
  <c r="J5" i="17"/>
  <c r="L14" i="17"/>
  <c r="T775" i="8"/>
  <c r="T2" i="8"/>
  <c r="F4" i="30"/>
  <c r="E4" i="30"/>
  <c r="D4" i="30"/>
  <c r="Q5" i="17"/>
  <c r="C4" i="30"/>
  <c r="B29" i="16"/>
  <c r="D29" i="16" s="1"/>
  <c r="I29" i="16"/>
  <c r="B30" i="16" s="1"/>
  <c r="B29" i="17"/>
  <c r="D29" i="17" s="1"/>
  <c r="L29" i="17"/>
  <c r="Q12" i="31" l="1"/>
  <c r="Q3" i="31" s="1"/>
  <c r="H4" i="30"/>
  <c r="D30" i="16"/>
  <c r="J4" i="30"/>
  <c r="K4" i="30" s="1"/>
  <c r="I4" i="30"/>
  <c r="G4" i="30"/>
  <c r="E29" i="16"/>
  <c r="I30" i="16"/>
  <c r="M29" i="17"/>
  <c r="E29" i="17"/>
  <c r="I29" i="17"/>
  <c r="E30" i="16" l="1"/>
  <c r="M4" i="30"/>
  <c r="N4" i="30"/>
  <c r="L4" i="30"/>
  <c r="B31" i="16"/>
  <c r="F30" i="16"/>
  <c r="F29" i="16"/>
  <c r="N29" i="17"/>
  <c r="F29" i="17"/>
  <c r="B30" i="17"/>
  <c r="R29" i="17"/>
  <c r="R4" i="30" l="1"/>
  <c r="O4" i="30"/>
  <c r="Q4" i="30"/>
  <c r="P4" i="30"/>
  <c r="D31" i="16"/>
  <c r="I31" i="16"/>
  <c r="G30" i="16"/>
  <c r="G29" i="16"/>
  <c r="G29" i="17"/>
  <c r="O29" i="17"/>
  <c r="D30" i="17"/>
  <c r="I30" i="17"/>
  <c r="L30" i="17"/>
  <c r="T4" i="30" l="1"/>
  <c r="U4" i="30"/>
  <c r="V4" i="30"/>
  <c r="S4" i="30"/>
  <c r="H29" i="16"/>
  <c r="B32" i="16"/>
  <c r="J29" i="16"/>
  <c r="H30" i="16"/>
  <c r="J30" i="16"/>
  <c r="E31" i="16"/>
  <c r="M30" i="17"/>
  <c r="E30" i="17"/>
  <c r="B31" i="17"/>
  <c r="R30" i="17"/>
  <c r="H29" i="17"/>
  <c r="Q29" i="17" s="1"/>
  <c r="P29" i="17"/>
  <c r="P4" i="22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8" i="8"/>
  <c r="I19" i="8"/>
  <c r="I20" i="8"/>
  <c r="I21" i="8"/>
  <c r="I22" i="8"/>
  <c r="I23" i="8"/>
  <c r="I24" i="8"/>
  <c r="I25" i="8"/>
  <c r="I26" i="8"/>
  <c r="I27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1" i="8"/>
  <c r="I102" i="8"/>
  <c r="I103" i="8"/>
  <c r="I104" i="8"/>
  <c r="I105" i="8"/>
  <c r="I106" i="8"/>
  <c r="I107" i="8"/>
  <c r="I108" i="8"/>
  <c r="I109" i="8"/>
  <c r="I113" i="8"/>
  <c r="I115" i="8"/>
  <c r="I116" i="8"/>
  <c r="I117" i="8"/>
  <c r="I118" i="8"/>
  <c r="I119" i="8"/>
  <c r="I120" i="8"/>
  <c r="I121" i="8"/>
  <c r="I123" i="8"/>
  <c r="I125" i="8"/>
  <c r="I126" i="8"/>
  <c r="I130" i="8"/>
  <c r="I131" i="8"/>
  <c r="I133" i="8"/>
  <c r="I135" i="8"/>
  <c r="I136" i="8"/>
  <c r="I137" i="8"/>
  <c r="I143" i="8"/>
  <c r="I144" i="8"/>
  <c r="I155" i="8"/>
  <c r="I156" i="8"/>
  <c r="I157" i="8"/>
  <c r="I158" i="8"/>
  <c r="I159" i="8"/>
  <c r="I160" i="8"/>
  <c r="I161" i="8"/>
  <c r="I162" i="8"/>
  <c r="I163" i="8"/>
  <c r="I164" i="8"/>
  <c r="I166" i="8"/>
  <c r="I167" i="8"/>
  <c r="I168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9" i="8"/>
  <c r="I190" i="8"/>
  <c r="I191" i="8"/>
  <c r="I192" i="8"/>
  <c r="I193" i="8"/>
  <c r="I196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7" i="8"/>
  <c r="I218" i="8"/>
  <c r="I220" i="8"/>
  <c r="I221" i="8"/>
  <c r="I222" i="8"/>
  <c r="I223" i="8"/>
  <c r="I224" i="8"/>
  <c r="I227" i="8"/>
  <c r="I228" i="8"/>
  <c r="I230" i="8"/>
  <c r="I232" i="8"/>
  <c r="I233" i="8"/>
  <c r="I234" i="8"/>
  <c r="I235" i="8"/>
  <c r="I242" i="8"/>
  <c r="I243" i="8"/>
  <c r="I245" i="8"/>
  <c r="I246" i="8"/>
  <c r="I248" i="8"/>
  <c r="I251" i="8"/>
  <c r="I258" i="8"/>
  <c r="I315" i="8"/>
  <c r="I316" i="8"/>
  <c r="I328" i="8"/>
  <c r="I35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Q3" i="22" l="1"/>
  <c r="E10" i="23"/>
  <c r="E3" i="23"/>
  <c r="E6" i="23"/>
  <c r="E4" i="23"/>
  <c r="F11" i="22" s="1"/>
  <c r="E7" i="23"/>
  <c r="E5" i="23"/>
  <c r="F5" i="22"/>
  <c r="Z4" i="30"/>
  <c r="Y4" i="30"/>
  <c r="AD4" i="30" s="1"/>
  <c r="W4" i="30"/>
  <c r="AB4" i="30" s="1"/>
  <c r="X4" i="30"/>
  <c r="J2" i="17"/>
  <c r="J1" i="17"/>
  <c r="S29" i="17"/>
  <c r="S30" i="16"/>
  <c r="T29" i="17"/>
  <c r="D32" i="16"/>
  <c r="I32" i="16"/>
  <c r="F31" i="16"/>
  <c r="S29" i="16"/>
  <c r="N30" i="17"/>
  <c r="F30" i="17"/>
  <c r="D31" i="17"/>
  <c r="I31" i="17"/>
  <c r="L31" i="17"/>
  <c r="F12" i="22" l="1"/>
  <c r="E28" i="23"/>
  <c r="F13" i="22"/>
  <c r="E11" i="23"/>
  <c r="AC4" i="30"/>
  <c r="AE4" i="30" s="1"/>
  <c r="B5" i="30"/>
  <c r="E5" i="30" s="1"/>
  <c r="F5" i="30"/>
  <c r="D5" i="30"/>
  <c r="C5" i="30"/>
  <c r="G31" i="16"/>
  <c r="B33" i="16"/>
  <c r="E32" i="16"/>
  <c r="E31" i="17"/>
  <c r="M31" i="17"/>
  <c r="G30" i="17"/>
  <c r="O30" i="17"/>
  <c r="B32" i="17"/>
  <c r="R31" i="17"/>
  <c r="J5" i="30" l="1"/>
  <c r="I5" i="30"/>
  <c r="H5" i="30"/>
  <c r="G5" i="30"/>
  <c r="F32" i="16"/>
  <c r="H31" i="16"/>
  <c r="J31" i="16"/>
  <c r="D33" i="16"/>
  <c r="I33" i="16"/>
  <c r="N31" i="17"/>
  <c r="F31" i="17"/>
  <c r="D32" i="17"/>
  <c r="I32" i="17"/>
  <c r="L32" i="17"/>
  <c r="H30" i="17"/>
  <c r="P30" i="17"/>
  <c r="F41" i="21"/>
  <c r="X746" i="8"/>
  <c r="X747" i="8"/>
  <c r="Q149" i="8"/>
  <c r="K149" i="8"/>
  <c r="D3" i="27"/>
  <c r="N5" i="30" l="1"/>
  <c r="M5" i="30"/>
  <c r="K5" i="30"/>
  <c r="L5" i="30"/>
  <c r="G32" i="16"/>
  <c r="E33" i="16"/>
  <c r="B34" i="16"/>
  <c r="S31" i="16"/>
  <c r="B33" i="17"/>
  <c r="R32" i="17"/>
  <c r="Q30" i="17"/>
  <c r="T30" i="17" s="1"/>
  <c r="E32" i="17"/>
  <c r="M32" i="17"/>
  <c r="G31" i="17"/>
  <c r="O31" i="17"/>
  <c r="Q13" i="8"/>
  <c r="Q14" i="8"/>
  <c r="N67" i="21"/>
  <c r="D1" i="21"/>
  <c r="R5" i="30" l="1"/>
  <c r="Q5" i="30"/>
  <c r="P5" i="30"/>
  <c r="O5" i="30"/>
  <c r="F33" i="16"/>
  <c r="H32" i="16"/>
  <c r="J32" i="16"/>
  <c r="D34" i="16"/>
  <c r="I34" i="16"/>
  <c r="H31" i="17"/>
  <c r="Q31" i="17" s="1"/>
  <c r="P31" i="17"/>
  <c r="F32" i="17"/>
  <c r="N32" i="17"/>
  <c r="D33" i="17"/>
  <c r="L33" i="17"/>
  <c r="I33" i="17"/>
  <c r="S30" i="17"/>
  <c r="C4" i="26"/>
  <c r="D41" i="27"/>
  <c r="T43" i="28"/>
  <c r="R43" i="28"/>
  <c r="P43" i="28"/>
  <c r="N43" i="28"/>
  <c r="L43" i="28"/>
  <c r="J43" i="28"/>
  <c r="H43" i="28"/>
  <c r="F43" i="28"/>
  <c r="Y32" i="28"/>
  <c r="Y31" i="28" s="1"/>
  <c r="Y26" i="28"/>
  <c r="Y25" i="28" s="1"/>
  <c r="Y20" i="28"/>
  <c r="Y19" i="28" s="1"/>
  <c r="Y14" i="28"/>
  <c r="Y13" i="28" s="1"/>
  <c r="Y9" i="28"/>
  <c r="Y8" i="28" s="1"/>
  <c r="D3" i="28"/>
  <c r="D42" i="28" s="1"/>
  <c r="Y2" i="28"/>
  <c r="AG20" i="26"/>
  <c r="AG19" i="26" s="1"/>
  <c r="AG14" i="26"/>
  <c r="AG13" i="26" s="1"/>
  <c r="AG2" i="26"/>
  <c r="AG9" i="26"/>
  <c r="AG8" i="26" s="1"/>
  <c r="Y32" i="27"/>
  <c r="Y31" i="27" s="1"/>
  <c r="Y26" i="27"/>
  <c r="Y25" i="27" s="1"/>
  <c r="Y20" i="27"/>
  <c r="Y19" i="27" s="1"/>
  <c r="Y14" i="27"/>
  <c r="Y13" i="27" s="1"/>
  <c r="Y9" i="27"/>
  <c r="Y8" i="27" s="1"/>
  <c r="Y2" i="27"/>
  <c r="T42" i="27"/>
  <c r="R42" i="27"/>
  <c r="P42" i="27"/>
  <c r="N42" i="27"/>
  <c r="L42" i="27"/>
  <c r="J42" i="27"/>
  <c r="H42" i="27"/>
  <c r="F42" i="27"/>
  <c r="C4" i="27"/>
  <c r="R43" i="26"/>
  <c r="T43" i="26"/>
  <c r="V43" i="26"/>
  <c r="Z43" i="26"/>
  <c r="AB43" i="26"/>
  <c r="X43" i="26"/>
  <c r="P43" i="26"/>
  <c r="N43" i="26"/>
  <c r="L43" i="26"/>
  <c r="J43" i="26"/>
  <c r="H43" i="26"/>
  <c r="F43" i="26"/>
  <c r="D3" i="26"/>
  <c r="D42" i="26" s="1"/>
  <c r="V5" i="30" l="1"/>
  <c r="U5" i="30"/>
  <c r="T5" i="30"/>
  <c r="S5" i="30"/>
  <c r="T31" i="17"/>
  <c r="S31" i="17"/>
  <c r="S32" i="16"/>
  <c r="B35" i="16"/>
  <c r="E34" i="16"/>
  <c r="G33" i="16"/>
  <c r="E33" i="17"/>
  <c r="M33" i="17"/>
  <c r="B34" i="17"/>
  <c r="R33" i="17"/>
  <c r="G32" i="17"/>
  <c r="O32" i="17"/>
  <c r="T42" i="21"/>
  <c r="R42" i="21"/>
  <c r="P42" i="21"/>
  <c r="N42" i="21"/>
  <c r="L42" i="21"/>
  <c r="J42" i="21"/>
  <c r="H42" i="21"/>
  <c r="F42" i="21"/>
  <c r="T41" i="21"/>
  <c r="R41" i="21"/>
  <c r="P41" i="21"/>
  <c r="N41" i="21"/>
  <c r="L41" i="21"/>
  <c r="J41" i="21"/>
  <c r="H41" i="21"/>
  <c r="D40" i="21"/>
  <c r="L5" i="17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7" i="16"/>
  <c r="J8" i="16"/>
  <c r="J9" i="16"/>
  <c r="J10" i="16"/>
  <c r="J11" i="16"/>
  <c r="J12" i="16"/>
  <c r="J13" i="16"/>
  <c r="J14" i="16"/>
  <c r="J15" i="16"/>
  <c r="J6" i="16"/>
  <c r="J5" i="16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" i="8"/>
  <c r="D9" i="8"/>
  <c r="D10" i="8"/>
  <c r="D3" i="8"/>
  <c r="D4" i="8"/>
  <c r="D5" i="8"/>
  <c r="D6" i="8"/>
  <c r="D7" i="8"/>
  <c r="D2" i="8"/>
  <c r="Q6" i="8"/>
  <c r="C13" i="22"/>
  <c r="C5" i="22"/>
  <c r="C4" i="22"/>
  <c r="C3" i="22"/>
  <c r="Q7" i="8"/>
  <c r="Q4" i="8"/>
  <c r="Q5" i="8"/>
  <c r="Q8" i="8"/>
  <c r="Q9" i="8"/>
  <c r="Q10" i="8"/>
  <c r="Q11" i="8"/>
  <c r="Q12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3" i="8"/>
  <c r="Q884" i="8"/>
  <c r="Q887" i="8"/>
  <c r="Q888" i="8"/>
  <c r="Q889" i="8"/>
  <c r="Q890" i="8"/>
  <c r="Q891" i="8"/>
  <c r="Q892" i="8"/>
  <c r="Q893" i="8"/>
  <c r="Q3" i="8"/>
  <c r="Q2" i="8"/>
  <c r="F4" i="23" l="1"/>
  <c r="H11" i="22" s="1"/>
  <c r="D4" i="23"/>
  <c r="D11" i="22" s="1"/>
  <c r="D6" i="23"/>
  <c r="D3" i="23"/>
  <c r="F6" i="23"/>
  <c r="F3" i="23"/>
  <c r="D7" i="23"/>
  <c r="D5" i="23"/>
  <c r="F7" i="23"/>
  <c r="F5" i="23"/>
  <c r="F10" i="23"/>
  <c r="D10" i="23"/>
  <c r="D5" i="22"/>
  <c r="D4" i="22"/>
  <c r="D3" i="22"/>
  <c r="Z5" i="30"/>
  <c r="Y5" i="30"/>
  <c r="AD5" i="30" s="1"/>
  <c r="X5" i="30"/>
  <c r="W5" i="30"/>
  <c r="AB5" i="30" s="1"/>
  <c r="D35" i="16"/>
  <c r="I35" i="16"/>
  <c r="H33" i="16"/>
  <c r="J33" i="16"/>
  <c r="F34" i="16"/>
  <c r="H32" i="17"/>
  <c r="Q32" i="17" s="1"/>
  <c r="P32" i="17"/>
  <c r="F33" i="17"/>
  <c r="N33" i="17"/>
  <c r="D34" i="17"/>
  <c r="L34" i="17"/>
  <c r="I34" i="17"/>
  <c r="R34" i="17" s="1"/>
  <c r="C6" i="22"/>
  <c r="H3" i="22"/>
  <c r="H4" i="22"/>
  <c r="H5" i="22"/>
  <c r="I5" i="17"/>
  <c r="D5" i="17"/>
  <c r="L4" i="17"/>
  <c r="H12" i="22" l="1"/>
  <c r="H13" i="22"/>
  <c r="F11" i="23"/>
  <c r="F28" i="23"/>
  <c r="D12" i="22"/>
  <c r="D28" i="23"/>
  <c r="D11" i="23"/>
  <c r="D13" i="22"/>
  <c r="D6" i="22"/>
  <c r="B6" i="30"/>
  <c r="F6" i="30" s="1"/>
  <c r="AC5" i="30"/>
  <c r="AE5" i="30" s="1"/>
  <c r="D6" i="30"/>
  <c r="S32" i="17"/>
  <c r="B36" i="16"/>
  <c r="G34" i="16"/>
  <c r="S33" i="16"/>
  <c r="E35" i="16"/>
  <c r="G33" i="17"/>
  <c r="O33" i="17"/>
  <c r="E34" i="17"/>
  <c r="M34" i="17"/>
  <c r="T32" i="17"/>
  <c r="E5" i="17"/>
  <c r="N5" i="17" s="1"/>
  <c r="M5" i="17"/>
  <c r="B6" i="17"/>
  <c r="L6" i="17" s="1"/>
  <c r="R5" i="17"/>
  <c r="I11" i="22"/>
  <c r="O2" i="17"/>
  <c r="O1" i="17"/>
  <c r="H6" i="22"/>
  <c r="I5" i="22"/>
  <c r="I4" i="22"/>
  <c r="E4" i="22"/>
  <c r="E5" i="22"/>
  <c r="C14" i="22"/>
  <c r="I3" i="22"/>
  <c r="E3" i="22"/>
  <c r="E11" i="22"/>
  <c r="G13" i="22"/>
  <c r="F4" i="22"/>
  <c r="F3" i="22"/>
  <c r="F5" i="17"/>
  <c r="O5" i="17" s="1"/>
  <c r="R4" i="17"/>
  <c r="G5" i="17"/>
  <c r="P5" i="17" s="1"/>
  <c r="N4" i="17"/>
  <c r="M4" i="17"/>
  <c r="I6" i="17"/>
  <c r="R6" i="17" s="1"/>
  <c r="D6" i="17"/>
  <c r="M6" i="17" s="1"/>
  <c r="L4" i="16"/>
  <c r="C6" i="30" l="1"/>
  <c r="E6" i="30"/>
  <c r="I13" i="22"/>
  <c r="H14" i="22"/>
  <c r="M4" i="22" s="1"/>
  <c r="D14" i="22"/>
  <c r="E14" i="22" s="1"/>
  <c r="E13" i="22"/>
  <c r="F6" i="22"/>
  <c r="J6" i="30"/>
  <c r="G6" i="30"/>
  <c r="I6" i="30"/>
  <c r="H6" i="30"/>
  <c r="D36" i="16"/>
  <c r="I36" i="16"/>
  <c r="F35" i="16"/>
  <c r="H34" i="16"/>
  <c r="F34" i="17"/>
  <c r="N34" i="17"/>
  <c r="H33" i="17"/>
  <c r="Q33" i="17" s="1"/>
  <c r="P33" i="17"/>
  <c r="E6" i="22"/>
  <c r="G11" i="22"/>
  <c r="I12" i="22"/>
  <c r="G3" i="22"/>
  <c r="G5" i="22"/>
  <c r="G4" i="22"/>
  <c r="E12" i="22"/>
  <c r="O4" i="17"/>
  <c r="P4" i="17"/>
  <c r="H5" i="17"/>
  <c r="B7" i="17"/>
  <c r="E6" i="17"/>
  <c r="N6" i="17" s="1"/>
  <c r="D5" i="16"/>
  <c r="I5" i="16"/>
  <c r="K9" i="8"/>
  <c r="O746" i="8"/>
  <c r="O747" i="8"/>
  <c r="O748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746" i="8"/>
  <c r="O3" i="8"/>
  <c r="P3" i="8"/>
  <c r="O4" i="8"/>
  <c r="P4" i="8"/>
  <c r="O5" i="8"/>
  <c r="P5" i="8"/>
  <c r="O6" i="8"/>
  <c r="P6" i="8"/>
  <c r="O7" i="8"/>
  <c r="P7" i="8"/>
  <c r="O8" i="8"/>
  <c r="P8" i="8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O34" i="8"/>
  <c r="P34" i="8"/>
  <c r="O35" i="8"/>
  <c r="P35" i="8"/>
  <c r="O36" i="8"/>
  <c r="P36" i="8"/>
  <c r="O37" i="8"/>
  <c r="P37" i="8"/>
  <c r="O38" i="8"/>
  <c r="P38" i="8"/>
  <c r="O39" i="8"/>
  <c r="P39" i="8"/>
  <c r="O40" i="8"/>
  <c r="P40" i="8"/>
  <c r="O41" i="8"/>
  <c r="P41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49" i="8"/>
  <c r="P49" i="8"/>
  <c r="O50" i="8"/>
  <c r="P50" i="8"/>
  <c r="O51" i="8"/>
  <c r="P51" i="8"/>
  <c r="O52" i="8"/>
  <c r="P52" i="8"/>
  <c r="O53" i="8"/>
  <c r="P53" i="8"/>
  <c r="O54" i="8"/>
  <c r="P54" i="8"/>
  <c r="O55" i="8"/>
  <c r="P55" i="8"/>
  <c r="O56" i="8"/>
  <c r="P56" i="8"/>
  <c r="O57" i="8"/>
  <c r="P57" i="8"/>
  <c r="O58" i="8"/>
  <c r="P58" i="8"/>
  <c r="O59" i="8"/>
  <c r="P59" i="8"/>
  <c r="O60" i="8"/>
  <c r="P60" i="8"/>
  <c r="O61" i="8"/>
  <c r="P61" i="8"/>
  <c r="O62" i="8"/>
  <c r="P62" i="8"/>
  <c r="O63" i="8"/>
  <c r="P63" i="8"/>
  <c r="O64" i="8"/>
  <c r="P64" i="8"/>
  <c r="O65" i="8"/>
  <c r="P65" i="8"/>
  <c r="O66" i="8"/>
  <c r="P66" i="8"/>
  <c r="O67" i="8"/>
  <c r="P67" i="8"/>
  <c r="O68" i="8"/>
  <c r="P68" i="8"/>
  <c r="O69" i="8"/>
  <c r="P69" i="8"/>
  <c r="O70" i="8"/>
  <c r="P70" i="8"/>
  <c r="O71" i="8"/>
  <c r="P71" i="8"/>
  <c r="O72" i="8"/>
  <c r="P72" i="8"/>
  <c r="O73" i="8"/>
  <c r="P73" i="8"/>
  <c r="O74" i="8"/>
  <c r="P74" i="8"/>
  <c r="O75" i="8"/>
  <c r="P75" i="8"/>
  <c r="O76" i="8"/>
  <c r="P76" i="8"/>
  <c r="O77" i="8"/>
  <c r="P77" i="8"/>
  <c r="O78" i="8"/>
  <c r="P78" i="8"/>
  <c r="O79" i="8"/>
  <c r="P79" i="8"/>
  <c r="O80" i="8"/>
  <c r="P80" i="8"/>
  <c r="O81" i="8"/>
  <c r="P81" i="8"/>
  <c r="O82" i="8"/>
  <c r="P82" i="8"/>
  <c r="O83" i="8"/>
  <c r="P83" i="8"/>
  <c r="O84" i="8"/>
  <c r="P84" i="8"/>
  <c r="O85" i="8"/>
  <c r="P85" i="8"/>
  <c r="O86" i="8"/>
  <c r="P86" i="8"/>
  <c r="O87" i="8"/>
  <c r="P87" i="8"/>
  <c r="O88" i="8"/>
  <c r="P88" i="8"/>
  <c r="O89" i="8"/>
  <c r="P89" i="8"/>
  <c r="O90" i="8"/>
  <c r="P90" i="8"/>
  <c r="O91" i="8"/>
  <c r="P91" i="8"/>
  <c r="O92" i="8"/>
  <c r="P92" i="8"/>
  <c r="O93" i="8"/>
  <c r="P93" i="8"/>
  <c r="O94" i="8"/>
  <c r="P94" i="8"/>
  <c r="O95" i="8"/>
  <c r="P95" i="8"/>
  <c r="O96" i="8"/>
  <c r="P96" i="8"/>
  <c r="O97" i="8"/>
  <c r="P97" i="8"/>
  <c r="O98" i="8"/>
  <c r="P98" i="8"/>
  <c r="O99" i="8"/>
  <c r="P99" i="8"/>
  <c r="O100" i="8"/>
  <c r="P100" i="8"/>
  <c r="O101" i="8"/>
  <c r="P101" i="8"/>
  <c r="O102" i="8"/>
  <c r="P102" i="8"/>
  <c r="O103" i="8"/>
  <c r="P103" i="8"/>
  <c r="O104" i="8"/>
  <c r="P104" i="8"/>
  <c r="O105" i="8"/>
  <c r="P105" i="8"/>
  <c r="O106" i="8"/>
  <c r="P106" i="8"/>
  <c r="O107" i="8"/>
  <c r="P107" i="8"/>
  <c r="O108" i="8"/>
  <c r="P108" i="8"/>
  <c r="O109" i="8"/>
  <c r="P109" i="8"/>
  <c r="O110" i="8"/>
  <c r="P110" i="8"/>
  <c r="O111" i="8"/>
  <c r="P111" i="8"/>
  <c r="O112" i="8"/>
  <c r="P112" i="8"/>
  <c r="O113" i="8"/>
  <c r="P113" i="8"/>
  <c r="O114" i="8"/>
  <c r="P114" i="8"/>
  <c r="O115" i="8"/>
  <c r="P115" i="8"/>
  <c r="O116" i="8"/>
  <c r="P116" i="8"/>
  <c r="O117" i="8"/>
  <c r="P117" i="8"/>
  <c r="O118" i="8"/>
  <c r="P118" i="8"/>
  <c r="O119" i="8"/>
  <c r="P119" i="8"/>
  <c r="O120" i="8"/>
  <c r="P120" i="8"/>
  <c r="O121" i="8"/>
  <c r="P121" i="8"/>
  <c r="O122" i="8"/>
  <c r="P122" i="8"/>
  <c r="O123" i="8"/>
  <c r="P123" i="8"/>
  <c r="O124" i="8"/>
  <c r="P124" i="8"/>
  <c r="O125" i="8"/>
  <c r="P125" i="8"/>
  <c r="O126" i="8"/>
  <c r="P126" i="8"/>
  <c r="O127" i="8"/>
  <c r="P127" i="8"/>
  <c r="O128" i="8"/>
  <c r="P128" i="8"/>
  <c r="O129" i="8"/>
  <c r="P129" i="8"/>
  <c r="O130" i="8"/>
  <c r="P130" i="8"/>
  <c r="O131" i="8"/>
  <c r="P131" i="8"/>
  <c r="O132" i="8"/>
  <c r="P132" i="8"/>
  <c r="O133" i="8"/>
  <c r="P133" i="8"/>
  <c r="O134" i="8"/>
  <c r="P134" i="8"/>
  <c r="O135" i="8"/>
  <c r="P135" i="8"/>
  <c r="O136" i="8"/>
  <c r="P136" i="8"/>
  <c r="O137" i="8"/>
  <c r="P137" i="8"/>
  <c r="O138" i="8"/>
  <c r="P138" i="8"/>
  <c r="O139" i="8"/>
  <c r="P139" i="8"/>
  <c r="O140" i="8"/>
  <c r="P140" i="8"/>
  <c r="O141" i="8"/>
  <c r="P141" i="8"/>
  <c r="O142" i="8"/>
  <c r="P142" i="8"/>
  <c r="O143" i="8"/>
  <c r="P143" i="8"/>
  <c r="O144" i="8"/>
  <c r="P144" i="8"/>
  <c r="O145" i="8"/>
  <c r="P145" i="8"/>
  <c r="O146" i="8"/>
  <c r="P146" i="8"/>
  <c r="O147" i="8"/>
  <c r="P147" i="8"/>
  <c r="O148" i="8"/>
  <c r="P148" i="8"/>
  <c r="O149" i="8"/>
  <c r="P149" i="8"/>
  <c r="O150" i="8"/>
  <c r="P150" i="8"/>
  <c r="O151" i="8"/>
  <c r="P151" i="8"/>
  <c r="O152" i="8"/>
  <c r="P152" i="8"/>
  <c r="O153" i="8"/>
  <c r="P153" i="8"/>
  <c r="O154" i="8"/>
  <c r="P154" i="8"/>
  <c r="O155" i="8"/>
  <c r="P155" i="8"/>
  <c r="O156" i="8"/>
  <c r="P156" i="8"/>
  <c r="O157" i="8"/>
  <c r="P157" i="8"/>
  <c r="O158" i="8"/>
  <c r="P158" i="8"/>
  <c r="O159" i="8"/>
  <c r="P159" i="8"/>
  <c r="O160" i="8"/>
  <c r="P160" i="8"/>
  <c r="O161" i="8"/>
  <c r="P161" i="8"/>
  <c r="O162" i="8"/>
  <c r="P162" i="8"/>
  <c r="O163" i="8"/>
  <c r="P163" i="8"/>
  <c r="O164" i="8"/>
  <c r="P164" i="8"/>
  <c r="O165" i="8"/>
  <c r="P165" i="8"/>
  <c r="O166" i="8"/>
  <c r="P166" i="8"/>
  <c r="O167" i="8"/>
  <c r="P167" i="8"/>
  <c r="O168" i="8"/>
  <c r="P168" i="8"/>
  <c r="O169" i="8"/>
  <c r="P169" i="8"/>
  <c r="O170" i="8"/>
  <c r="P170" i="8"/>
  <c r="O171" i="8"/>
  <c r="P171" i="8"/>
  <c r="O172" i="8"/>
  <c r="P172" i="8"/>
  <c r="O173" i="8"/>
  <c r="P173" i="8"/>
  <c r="O174" i="8"/>
  <c r="P174" i="8"/>
  <c r="O175" i="8"/>
  <c r="P175" i="8"/>
  <c r="O176" i="8"/>
  <c r="P176" i="8"/>
  <c r="O177" i="8"/>
  <c r="P177" i="8"/>
  <c r="O178" i="8"/>
  <c r="P178" i="8"/>
  <c r="O179" i="8"/>
  <c r="P179" i="8"/>
  <c r="O180" i="8"/>
  <c r="P180" i="8"/>
  <c r="O181" i="8"/>
  <c r="P181" i="8"/>
  <c r="O182" i="8"/>
  <c r="P182" i="8"/>
  <c r="O183" i="8"/>
  <c r="P183" i="8"/>
  <c r="O184" i="8"/>
  <c r="P184" i="8"/>
  <c r="O185" i="8"/>
  <c r="P185" i="8"/>
  <c r="O186" i="8"/>
  <c r="P186" i="8"/>
  <c r="O187" i="8"/>
  <c r="P187" i="8"/>
  <c r="O188" i="8"/>
  <c r="P188" i="8"/>
  <c r="O189" i="8"/>
  <c r="P189" i="8"/>
  <c r="O190" i="8"/>
  <c r="P190" i="8"/>
  <c r="O191" i="8"/>
  <c r="P191" i="8"/>
  <c r="O192" i="8"/>
  <c r="P192" i="8"/>
  <c r="O193" i="8"/>
  <c r="P193" i="8"/>
  <c r="O194" i="8"/>
  <c r="P194" i="8"/>
  <c r="O195" i="8"/>
  <c r="P195" i="8"/>
  <c r="O196" i="8"/>
  <c r="P196" i="8"/>
  <c r="O197" i="8"/>
  <c r="P197" i="8"/>
  <c r="O198" i="8"/>
  <c r="P198" i="8"/>
  <c r="O199" i="8"/>
  <c r="P199" i="8"/>
  <c r="O200" i="8"/>
  <c r="P200" i="8"/>
  <c r="O201" i="8"/>
  <c r="P201" i="8"/>
  <c r="O202" i="8"/>
  <c r="P202" i="8"/>
  <c r="O203" i="8"/>
  <c r="P203" i="8"/>
  <c r="O204" i="8"/>
  <c r="P204" i="8"/>
  <c r="O205" i="8"/>
  <c r="P205" i="8"/>
  <c r="O206" i="8"/>
  <c r="P206" i="8"/>
  <c r="O207" i="8"/>
  <c r="P207" i="8"/>
  <c r="O208" i="8"/>
  <c r="P208" i="8"/>
  <c r="O209" i="8"/>
  <c r="P209" i="8"/>
  <c r="O210" i="8"/>
  <c r="P210" i="8"/>
  <c r="O211" i="8"/>
  <c r="P211" i="8"/>
  <c r="O212" i="8"/>
  <c r="P212" i="8"/>
  <c r="O213" i="8"/>
  <c r="P213" i="8"/>
  <c r="O214" i="8"/>
  <c r="P214" i="8"/>
  <c r="O215" i="8"/>
  <c r="P215" i="8"/>
  <c r="O216" i="8"/>
  <c r="P216" i="8"/>
  <c r="O217" i="8"/>
  <c r="P217" i="8"/>
  <c r="O218" i="8"/>
  <c r="P218" i="8"/>
  <c r="O219" i="8"/>
  <c r="P219" i="8"/>
  <c r="O220" i="8"/>
  <c r="P220" i="8"/>
  <c r="O221" i="8"/>
  <c r="P221" i="8"/>
  <c r="O222" i="8"/>
  <c r="P222" i="8"/>
  <c r="O223" i="8"/>
  <c r="P223" i="8"/>
  <c r="O224" i="8"/>
  <c r="P224" i="8"/>
  <c r="O225" i="8"/>
  <c r="P225" i="8"/>
  <c r="O226" i="8"/>
  <c r="P226" i="8"/>
  <c r="O227" i="8"/>
  <c r="P227" i="8"/>
  <c r="O228" i="8"/>
  <c r="P228" i="8"/>
  <c r="O229" i="8"/>
  <c r="P229" i="8"/>
  <c r="O230" i="8"/>
  <c r="P230" i="8"/>
  <c r="O231" i="8"/>
  <c r="P231" i="8"/>
  <c r="O232" i="8"/>
  <c r="P232" i="8"/>
  <c r="O233" i="8"/>
  <c r="P233" i="8"/>
  <c r="O234" i="8"/>
  <c r="P234" i="8"/>
  <c r="O235" i="8"/>
  <c r="P235" i="8"/>
  <c r="O236" i="8"/>
  <c r="P236" i="8"/>
  <c r="O237" i="8"/>
  <c r="P237" i="8"/>
  <c r="O238" i="8"/>
  <c r="P238" i="8"/>
  <c r="O239" i="8"/>
  <c r="P239" i="8"/>
  <c r="O240" i="8"/>
  <c r="P240" i="8"/>
  <c r="O241" i="8"/>
  <c r="P241" i="8"/>
  <c r="O242" i="8"/>
  <c r="P242" i="8"/>
  <c r="O243" i="8"/>
  <c r="P243" i="8"/>
  <c r="O244" i="8"/>
  <c r="P244" i="8"/>
  <c r="O245" i="8"/>
  <c r="P245" i="8"/>
  <c r="O246" i="8"/>
  <c r="P246" i="8"/>
  <c r="O247" i="8"/>
  <c r="P247" i="8"/>
  <c r="O248" i="8"/>
  <c r="P248" i="8"/>
  <c r="O249" i="8"/>
  <c r="P249" i="8"/>
  <c r="O250" i="8"/>
  <c r="P250" i="8"/>
  <c r="O251" i="8"/>
  <c r="P251" i="8"/>
  <c r="O252" i="8"/>
  <c r="P252" i="8"/>
  <c r="O253" i="8"/>
  <c r="P253" i="8"/>
  <c r="O254" i="8"/>
  <c r="P254" i="8"/>
  <c r="O255" i="8"/>
  <c r="P255" i="8"/>
  <c r="O256" i="8"/>
  <c r="P256" i="8"/>
  <c r="O257" i="8"/>
  <c r="P257" i="8"/>
  <c r="O258" i="8"/>
  <c r="P258" i="8"/>
  <c r="O259" i="8"/>
  <c r="P259" i="8"/>
  <c r="O260" i="8"/>
  <c r="P260" i="8"/>
  <c r="O261" i="8"/>
  <c r="P261" i="8"/>
  <c r="O262" i="8"/>
  <c r="P262" i="8"/>
  <c r="O263" i="8"/>
  <c r="P263" i="8"/>
  <c r="O264" i="8"/>
  <c r="P264" i="8"/>
  <c r="O265" i="8"/>
  <c r="P265" i="8"/>
  <c r="O266" i="8"/>
  <c r="P266" i="8"/>
  <c r="O267" i="8"/>
  <c r="P267" i="8"/>
  <c r="O268" i="8"/>
  <c r="P268" i="8"/>
  <c r="O269" i="8"/>
  <c r="P269" i="8"/>
  <c r="O270" i="8"/>
  <c r="P270" i="8"/>
  <c r="O271" i="8"/>
  <c r="P271" i="8"/>
  <c r="O272" i="8"/>
  <c r="P272" i="8"/>
  <c r="O273" i="8"/>
  <c r="P273" i="8"/>
  <c r="O274" i="8"/>
  <c r="P274" i="8"/>
  <c r="O275" i="8"/>
  <c r="P275" i="8"/>
  <c r="O276" i="8"/>
  <c r="P276" i="8"/>
  <c r="O277" i="8"/>
  <c r="P277" i="8"/>
  <c r="O278" i="8"/>
  <c r="P278" i="8"/>
  <c r="O279" i="8"/>
  <c r="P279" i="8"/>
  <c r="O280" i="8"/>
  <c r="P280" i="8"/>
  <c r="O281" i="8"/>
  <c r="P281" i="8"/>
  <c r="O282" i="8"/>
  <c r="P282" i="8"/>
  <c r="O283" i="8"/>
  <c r="P283" i="8"/>
  <c r="O284" i="8"/>
  <c r="P284" i="8"/>
  <c r="O285" i="8"/>
  <c r="P285" i="8"/>
  <c r="O286" i="8"/>
  <c r="P286" i="8"/>
  <c r="O287" i="8"/>
  <c r="P287" i="8"/>
  <c r="O288" i="8"/>
  <c r="P288" i="8"/>
  <c r="O289" i="8"/>
  <c r="P289" i="8"/>
  <c r="O290" i="8"/>
  <c r="P290" i="8"/>
  <c r="O291" i="8"/>
  <c r="P291" i="8"/>
  <c r="O292" i="8"/>
  <c r="P292" i="8"/>
  <c r="O293" i="8"/>
  <c r="P293" i="8"/>
  <c r="O294" i="8"/>
  <c r="P294" i="8"/>
  <c r="O295" i="8"/>
  <c r="P295" i="8"/>
  <c r="O296" i="8"/>
  <c r="P296" i="8"/>
  <c r="O297" i="8"/>
  <c r="P297" i="8"/>
  <c r="O298" i="8"/>
  <c r="P298" i="8"/>
  <c r="O299" i="8"/>
  <c r="P299" i="8"/>
  <c r="O300" i="8"/>
  <c r="P300" i="8"/>
  <c r="O301" i="8"/>
  <c r="P301" i="8"/>
  <c r="O302" i="8"/>
  <c r="P302" i="8"/>
  <c r="O303" i="8"/>
  <c r="P303" i="8"/>
  <c r="O304" i="8"/>
  <c r="P304" i="8"/>
  <c r="O305" i="8"/>
  <c r="P305" i="8"/>
  <c r="O306" i="8"/>
  <c r="P306" i="8"/>
  <c r="O307" i="8"/>
  <c r="P307" i="8"/>
  <c r="O308" i="8"/>
  <c r="P308" i="8"/>
  <c r="O309" i="8"/>
  <c r="P309" i="8"/>
  <c r="O310" i="8"/>
  <c r="P310" i="8"/>
  <c r="O311" i="8"/>
  <c r="P311" i="8"/>
  <c r="O312" i="8"/>
  <c r="P312" i="8"/>
  <c r="O313" i="8"/>
  <c r="P313" i="8"/>
  <c r="O314" i="8"/>
  <c r="P314" i="8"/>
  <c r="O315" i="8"/>
  <c r="P315" i="8"/>
  <c r="O316" i="8"/>
  <c r="P316" i="8"/>
  <c r="O317" i="8"/>
  <c r="P317" i="8"/>
  <c r="O318" i="8"/>
  <c r="P318" i="8"/>
  <c r="O319" i="8"/>
  <c r="P319" i="8"/>
  <c r="O320" i="8"/>
  <c r="P320" i="8"/>
  <c r="O321" i="8"/>
  <c r="P321" i="8"/>
  <c r="O322" i="8"/>
  <c r="P322" i="8"/>
  <c r="O323" i="8"/>
  <c r="P323" i="8"/>
  <c r="O324" i="8"/>
  <c r="P324" i="8"/>
  <c r="O325" i="8"/>
  <c r="P325" i="8"/>
  <c r="O326" i="8"/>
  <c r="P326" i="8"/>
  <c r="O327" i="8"/>
  <c r="P327" i="8"/>
  <c r="O328" i="8"/>
  <c r="P328" i="8"/>
  <c r="O329" i="8"/>
  <c r="P329" i="8"/>
  <c r="O330" i="8"/>
  <c r="P330" i="8"/>
  <c r="O331" i="8"/>
  <c r="P331" i="8"/>
  <c r="O332" i="8"/>
  <c r="P332" i="8"/>
  <c r="O333" i="8"/>
  <c r="P333" i="8"/>
  <c r="O334" i="8"/>
  <c r="P334" i="8"/>
  <c r="O335" i="8"/>
  <c r="P335" i="8"/>
  <c r="O336" i="8"/>
  <c r="P336" i="8"/>
  <c r="O337" i="8"/>
  <c r="P337" i="8"/>
  <c r="O338" i="8"/>
  <c r="P338" i="8"/>
  <c r="O339" i="8"/>
  <c r="P339" i="8"/>
  <c r="O340" i="8"/>
  <c r="P340" i="8"/>
  <c r="O341" i="8"/>
  <c r="P341" i="8"/>
  <c r="O342" i="8"/>
  <c r="P342" i="8"/>
  <c r="O343" i="8"/>
  <c r="P343" i="8"/>
  <c r="O344" i="8"/>
  <c r="P344" i="8"/>
  <c r="O345" i="8"/>
  <c r="P345" i="8"/>
  <c r="O346" i="8"/>
  <c r="P346" i="8"/>
  <c r="O347" i="8"/>
  <c r="P347" i="8"/>
  <c r="O348" i="8"/>
  <c r="P348" i="8"/>
  <c r="O349" i="8"/>
  <c r="P349" i="8"/>
  <c r="O350" i="8"/>
  <c r="P350" i="8"/>
  <c r="O351" i="8"/>
  <c r="P351" i="8"/>
  <c r="O352" i="8"/>
  <c r="P352" i="8"/>
  <c r="O353" i="8"/>
  <c r="P353" i="8"/>
  <c r="O354" i="8"/>
  <c r="P354" i="8"/>
  <c r="O355" i="8"/>
  <c r="P355" i="8"/>
  <c r="O356" i="8"/>
  <c r="P356" i="8"/>
  <c r="O357" i="8"/>
  <c r="P357" i="8"/>
  <c r="O358" i="8"/>
  <c r="P358" i="8"/>
  <c r="O359" i="8"/>
  <c r="P359" i="8"/>
  <c r="O360" i="8"/>
  <c r="P360" i="8"/>
  <c r="O361" i="8"/>
  <c r="P361" i="8"/>
  <c r="O362" i="8"/>
  <c r="P362" i="8"/>
  <c r="O363" i="8"/>
  <c r="P363" i="8"/>
  <c r="O364" i="8"/>
  <c r="P364" i="8"/>
  <c r="O365" i="8"/>
  <c r="P365" i="8"/>
  <c r="O366" i="8"/>
  <c r="P366" i="8"/>
  <c r="O367" i="8"/>
  <c r="P367" i="8"/>
  <c r="O368" i="8"/>
  <c r="P368" i="8"/>
  <c r="O369" i="8"/>
  <c r="P369" i="8"/>
  <c r="O370" i="8"/>
  <c r="P370" i="8"/>
  <c r="O371" i="8"/>
  <c r="P371" i="8"/>
  <c r="O372" i="8"/>
  <c r="P372" i="8"/>
  <c r="O373" i="8"/>
  <c r="P373" i="8"/>
  <c r="O374" i="8"/>
  <c r="P374" i="8"/>
  <c r="O375" i="8"/>
  <c r="P375" i="8"/>
  <c r="O376" i="8"/>
  <c r="P376" i="8"/>
  <c r="O377" i="8"/>
  <c r="P377" i="8"/>
  <c r="O378" i="8"/>
  <c r="P378" i="8"/>
  <c r="O379" i="8"/>
  <c r="P379" i="8"/>
  <c r="O380" i="8"/>
  <c r="P380" i="8"/>
  <c r="O381" i="8"/>
  <c r="P381" i="8"/>
  <c r="O382" i="8"/>
  <c r="P382" i="8"/>
  <c r="O383" i="8"/>
  <c r="P383" i="8"/>
  <c r="O384" i="8"/>
  <c r="P384" i="8"/>
  <c r="O385" i="8"/>
  <c r="P385" i="8"/>
  <c r="O386" i="8"/>
  <c r="P386" i="8"/>
  <c r="O387" i="8"/>
  <c r="P387" i="8"/>
  <c r="O388" i="8"/>
  <c r="P388" i="8"/>
  <c r="O389" i="8"/>
  <c r="P389" i="8"/>
  <c r="O390" i="8"/>
  <c r="P390" i="8"/>
  <c r="O391" i="8"/>
  <c r="P391" i="8"/>
  <c r="O392" i="8"/>
  <c r="P392" i="8"/>
  <c r="O393" i="8"/>
  <c r="P393" i="8"/>
  <c r="O394" i="8"/>
  <c r="P394" i="8"/>
  <c r="O395" i="8"/>
  <c r="P395" i="8"/>
  <c r="O396" i="8"/>
  <c r="P396" i="8"/>
  <c r="O397" i="8"/>
  <c r="P397" i="8"/>
  <c r="O398" i="8"/>
  <c r="P398" i="8"/>
  <c r="O399" i="8"/>
  <c r="P399" i="8"/>
  <c r="O400" i="8"/>
  <c r="P400" i="8"/>
  <c r="O401" i="8"/>
  <c r="P401" i="8"/>
  <c r="O402" i="8"/>
  <c r="P402" i="8"/>
  <c r="O403" i="8"/>
  <c r="P403" i="8"/>
  <c r="O404" i="8"/>
  <c r="P404" i="8"/>
  <c r="O405" i="8"/>
  <c r="P405" i="8"/>
  <c r="O406" i="8"/>
  <c r="P406" i="8"/>
  <c r="O407" i="8"/>
  <c r="P407" i="8"/>
  <c r="O408" i="8"/>
  <c r="P408" i="8"/>
  <c r="O409" i="8"/>
  <c r="P409" i="8"/>
  <c r="O410" i="8"/>
  <c r="P410" i="8"/>
  <c r="O411" i="8"/>
  <c r="P411" i="8"/>
  <c r="O412" i="8"/>
  <c r="P412" i="8"/>
  <c r="O413" i="8"/>
  <c r="P413" i="8"/>
  <c r="O414" i="8"/>
  <c r="P414" i="8"/>
  <c r="O415" i="8"/>
  <c r="P415" i="8"/>
  <c r="O416" i="8"/>
  <c r="P416" i="8"/>
  <c r="O417" i="8"/>
  <c r="P417" i="8"/>
  <c r="O418" i="8"/>
  <c r="P418" i="8"/>
  <c r="O419" i="8"/>
  <c r="P419" i="8"/>
  <c r="O420" i="8"/>
  <c r="P420" i="8"/>
  <c r="O421" i="8"/>
  <c r="P421" i="8"/>
  <c r="O422" i="8"/>
  <c r="P422" i="8"/>
  <c r="O423" i="8"/>
  <c r="P423" i="8"/>
  <c r="O424" i="8"/>
  <c r="P424" i="8"/>
  <c r="O425" i="8"/>
  <c r="P425" i="8"/>
  <c r="O426" i="8"/>
  <c r="P426" i="8"/>
  <c r="O427" i="8"/>
  <c r="P427" i="8"/>
  <c r="O428" i="8"/>
  <c r="P428" i="8"/>
  <c r="O429" i="8"/>
  <c r="P429" i="8"/>
  <c r="O430" i="8"/>
  <c r="P430" i="8"/>
  <c r="O431" i="8"/>
  <c r="P431" i="8"/>
  <c r="O432" i="8"/>
  <c r="P432" i="8"/>
  <c r="O433" i="8"/>
  <c r="P433" i="8"/>
  <c r="O434" i="8"/>
  <c r="P434" i="8"/>
  <c r="O435" i="8"/>
  <c r="P435" i="8"/>
  <c r="O436" i="8"/>
  <c r="P436" i="8"/>
  <c r="O437" i="8"/>
  <c r="P437" i="8"/>
  <c r="O438" i="8"/>
  <c r="P438" i="8"/>
  <c r="O439" i="8"/>
  <c r="P439" i="8"/>
  <c r="O440" i="8"/>
  <c r="P440" i="8"/>
  <c r="O441" i="8"/>
  <c r="P441" i="8"/>
  <c r="O442" i="8"/>
  <c r="P442" i="8"/>
  <c r="O443" i="8"/>
  <c r="P443" i="8"/>
  <c r="O444" i="8"/>
  <c r="P444" i="8"/>
  <c r="O445" i="8"/>
  <c r="P445" i="8"/>
  <c r="O446" i="8"/>
  <c r="P446" i="8"/>
  <c r="O447" i="8"/>
  <c r="P447" i="8"/>
  <c r="O448" i="8"/>
  <c r="P448" i="8"/>
  <c r="O449" i="8"/>
  <c r="P449" i="8"/>
  <c r="O450" i="8"/>
  <c r="P450" i="8"/>
  <c r="O451" i="8"/>
  <c r="P451" i="8"/>
  <c r="O452" i="8"/>
  <c r="P452" i="8"/>
  <c r="O453" i="8"/>
  <c r="P453" i="8"/>
  <c r="O454" i="8"/>
  <c r="P454" i="8"/>
  <c r="O455" i="8"/>
  <c r="P455" i="8"/>
  <c r="O456" i="8"/>
  <c r="P456" i="8"/>
  <c r="O457" i="8"/>
  <c r="P457" i="8"/>
  <c r="O458" i="8"/>
  <c r="P458" i="8"/>
  <c r="O459" i="8"/>
  <c r="P459" i="8"/>
  <c r="O460" i="8"/>
  <c r="P460" i="8"/>
  <c r="O461" i="8"/>
  <c r="P461" i="8"/>
  <c r="O462" i="8"/>
  <c r="P462" i="8"/>
  <c r="O463" i="8"/>
  <c r="P463" i="8"/>
  <c r="O464" i="8"/>
  <c r="P464" i="8"/>
  <c r="O465" i="8"/>
  <c r="P465" i="8"/>
  <c r="O466" i="8"/>
  <c r="P466" i="8"/>
  <c r="O467" i="8"/>
  <c r="P467" i="8"/>
  <c r="O468" i="8"/>
  <c r="P468" i="8"/>
  <c r="O469" i="8"/>
  <c r="P469" i="8"/>
  <c r="O470" i="8"/>
  <c r="P470" i="8"/>
  <c r="O471" i="8"/>
  <c r="P471" i="8"/>
  <c r="O472" i="8"/>
  <c r="P472" i="8"/>
  <c r="O473" i="8"/>
  <c r="P473" i="8"/>
  <c r="O474" i="8"/>
  <c r="P474" i="8"/>
  <c r="O475" i="8"/>
  <c r="P475" i="8"/>
  <c r="O476" i="8"/>
  <c r="P476" i="8"/>
  <c r="O477" i="8"/>
  <c r="P477" i="8"/>
  <c r="O478" i="8"/>
  <c r="P478" i="8"/>
  <c r="O479" i="8"/>
  <c r="P479" i="8"/>
  <c r="O480" i="8"/>
  <c r="P480" i="8"/>
  <c r="O481" i="8"/>
  <c r="P481" i="8"/>
  <c r="O482" i="8"/>
  <c r="P482" i="8"/>
  <c r="O483" i="8"/>
  <c r="P483" i="8"/>
  <c r="O484" i="8"/>
  <c r="P484" i="8"/>
  <c r="O485" i="8"/>
  <c r="P485" i="8"/>
  <c r="O486" i="8"/>
  <c r="P486" i="8"/>
  <c r="O487" i="8"/>
  <c r="P487" i="8"/>
  <c r="O488" i="8"/>
  <c r="P488" i="8"/>
  <c r="O489" i="8"/>
  <c r="P489" i="8"/>
  <c r="O490" i="8"/>
  <c r="P490" i="8"/>
  <c r="O491" i="8"/>
  <c r="P491" i="8"/>
  <c r="O492" i="8"/>
  <c r="P492" i="8"/>
  <c r="O493" i="8"/>
  <c r="P493" i="8"/>
  <c r="O494" i="8"/>
  <c r="P494" i="8"/>
  <c r="O495" i="8"/>
  <c r="P495" i="8"/>
  <c r="O496" i="8"/>
  <c r="P496" i="8"/>
  <c r="O497" i="8"/>
  <c r="P497" i="8"/>
  <c r="O498" i="8"/>
  <c r="P498" i="8"/>
  <c r="O499" i="8"/>
  <c r="P499" i="8"/>
  <c r="O500" i="8"/>
  <c r="P500" i="8"/>
  <c r="O501" i="8"/>
  <c r="P501" i="8"/>
  <c r="O502" i="8"/>
  <c r="P502" i="8"/>
  <c r="O503" i="8"/>
  <c r="P503" i="8"/>
  <c r="O504" i="8"/>
  <c r="P504" i="8"/>
  <c r="O505" i="8"/>
  <c r="P505" i="8"/>
  <c r="O506" i="8"/>
  <c r="P506" i="8"/>
  <c r="O507" i="8"/>
  <c r="P507" i="8"/>
  <c r="O508" i="8"/>
  <c r="P508" i="8"/>
  <c r="O509" i="8"/>
  <c r="P509" i="8"/>
  <c r="O510" i="8"/>
  <c r="P510" i="8"/>
  <c r="O511" i="8"/>
  <c r="P511" i="8"/>
  <c r="O512" i="8"/>
  <c r="P512" i="8"/>
  <c r="O513" i="8"/>
  <c r="P513" i="8"/>
  <c r="O514" i="8"/>
  <c r="P514" i="8"/>
  <c r="O515" i="8"/>
  <c r="P515" i="8"/>
  <c r="O516" i="8"/>
  <c r="P516" i="8"/>
  <c r="O517" i="8"/>
  <c r="P517" i="8"/>
  <c r="O518" i="8"/>
  <c r="P518" i="8"/>
  <c r="O519" i="8"/>
  <c r="P519" i="8"/>
  <c r="O520" i="8"/>
  <c r="P520" i="8"/>
  <c r="O521" i="8"/>
  <c r="P521" i="8"/>
  <c r="O522" i="8"/>
  <c r="P522" i="8"/>
  <c r="O523" i="8"/>
  <c r="P523" i="8"/>
  <c r="O524" i="8"/>
  <c r="P524" i="8"/>
  <c r="O525" i="8"/>
  <c r="P525" i="8"/>
  <c r="O526" i="8"/>
  <c r="P526" i="8"/>
  <c r="O527" i="8"/>
  <c r="P527" i="8"/>
  <c r="O528" i="8"/>
  <c r="P528" i="8"/>
  <c r="O529" i="8"/>
  <c r="P529" i="8"/>
  <c r="O530" i="8"/>
  <c r="P530" i="8"/>
  <c r="O531" i="8"/>
  <c r="P531" i="8"/>
  <c r="O532" i="8"/>
  <c r="P532" i="8"/>
  <c r="O533" i="8"/>
  <c r="P533" i="8"/>
  <c r="O534" i="8"/>
  <c r="P534" i="8"/>
  <c r="O535" i="8"/>
  <c r="P535" i="8"/>
  <c r="O536" i="8"/>
  <c r="P536" i="8"/>
  <c r="O537" i="8"/>
  <c r="P537" i="8"/>
  <c r="O538" i="8"/>
  <c r="P538" i="8"/>
  <c r="O539" i="8"/>
  <c r="P539" i="8"/>
  <c r="O540" i="8"/>
  <c r="P540" i="8"/>
  <c r="O541" i="8"/>
  <c r="P541" i="8"/>
  <c r="O542" i="8"/>
  <c r="P542" i="8"/>
  <c r="O543" i="8"/>
  <c r="P543" i="8"/>
  <c r="O544" i="8"/>
  <c r="P544" i="8"/>
  <c r="O545" i="8"/>
  <c r="P545" i="8"/>
  <c r="O546" i="8"/>
  <c r="P546" i="8"/>
  <c r="O547" i="8"/>
  <c r="P547" i="8"/>
  <c r="O548" i="8"/>
  <c r="P548" i="8"/>
  <c r="O549" i="8"/>
  <c r="P549" i="8"/>
  <c r="O550" i="8"/>
  <c r="P550" i="8"/>
  <c r="O551" i="8"/>
  <c r="P551" i="8"/>
  <c r="O552" i="8"/>
  <c r="P552" i="8"/>
  <c r="O553" i="8"/>
  <c r="P553" i="8"/>
  <c r="O554" i="8"/>
  <c r="P554" i="8"/>
  <c r="O555" i="8"/>
  <c r="P555" i="8"/>
  <c r="O556" i="8"/>
  <c r="P556" i="8"/>
  <c r="O557" i="8"/>
  <c r="P557" i="8"/>
  <c r="O558" i="8"/>
  <c r="P558" i="8"/>
  <c r="O559" i="8"/>
  <c r="P559" i="8"/>
  <c r="O560" i="8"/>
  <c r="P560" i="8"/>
  <c r="O561" i="8"/>
  <c r="P561" i="8"/>
  <c r="O562" i="8"/>
  <c r="P562" i="8"/>
  <c r="O563" i="8"/>
  <c r="P563" i="8"/>
  <c r="O564" i="8"/>
  <c r="P564" i="8"/>
  <c r="O565" i="8"/>
  <c r="P565" i="8"/>
  <c r="O566" i="8"/>
  <c r="P566" i="8"/>
  <c r="O567" i="8"/>
  <c r="P567" i="8"/>
  <c r="O568" i="8"/>
  <c r="P568" i="8"/>
  <c r="O569" i="8"/>
  <c r="P569" i="8"/>
  <c r="O570" i="8"/>
  <c r="P570" i="8"/>
  <c r="O571" i="8"/>
  <c r="P571" i="8"/>
  <c r="O572" i="8"/>
  <c r="P572" i="8"/>
  <c r="O573" i="8"/>
  <c r="P573" i="8"/>
  <c r="O574" i="8"/>
  <c r="P574" i="8"/>
  <c r="O575" i="8"/>
  <c r="P575" i="8"/>
  <c r="O576" i="8"/>
  <c r="P576" i="8"/>
  <c r="O577" i="8"/>
  <c r="P577" i="8"/>
  <c r="O578" i="8"/>
  <c r="P578" i="8"/>
  <c r="O579" i="8"/>
  <c r="P579" i="8"/>
  <c r="O580" i="8"/>
  <c r="P580" i="8"/>
  <c r="O581" i="8"/>
  <c r="P581" i="8"/>
  <c r="O582" i="8"/>
  <c r="P582" i="8"/>
  <c r="O583" i="8"/>
  <c r="P583" i="8"/>
  <c r="O584" i="8"/>
  <c r="P584" i="8"/>
  <c r="O585" i="8"/>
  <c r="P585" i="8"/>
  <c r="O586" i="8"/>
  <c r="P586" i="8"/>
  <c r="O587" i="8"/>
  <c r="P587" i="8"/>
  <c r="O588" i="8"/>
  <c r="P588" i="8"/>
  <c r="O589" i="8"/>
  <c r="P589" i="8"/>
  <c r="O590" i="8"/>
  <c r="P590" i="8"/>
  <c r="O591" i="8"/>
  <c r="P591" i="8"/>
  <c r="O592" i="8"/>
  <c r="P592" i="8"/>
  <c r="O593" i="8"/>
  <c r="P593" i="8"/>
  <c r="O594" i="8"/>
  <c r="P594" i="8"/>
  <c r="O595" i="8"/>
  <c r="P595" i="8"/>
  <c r="O596" i="8"/>
  <c r="P596" i="8"/>
  <c r="O597" i="8"/>
  <c r="P597" i="8"/>
  <c r="O598" i="8"/>
  <c r="P598" i="8"/>
  <c r="O599" i="8"/>
  <c r="P599" i="8"/>
  <c r="O600" i="8"/>
  <c r="P600" i="8"/>
  <c r="O601" i="8"/>
  <c r="P601" i="8"/>
  <c r="O602" i="8"/>
  <c r="P602" i="8"/>
  <c r="O603" i="8"/>
  <c r="P603" i="8"/>
  <c r="O604" i="8"/>
  <c r="P604" i="8"/>
  <c r="O605" i="8"/>
  <c r="P605" i="8"/>
  <c r="O606" i="8"/>
  <c r="P606" i="8"/>
  <c r="O607" i="8"/>
  <c r="P607" i="8"/>
  <c r="O608" i="8"/>
  <c r="P608" i="8"/>
  <c r="O609" i="8"/>
  <c r="P609" i="8"/>
  <c r="O610" i="8"/>
  <c r="P610" i="8"/>
  <c r="O611" i="8"/>
  <c r="P611" i="8"/>
  <c r="O612" i="8"/>
  <c r="P612" i="8"/>
  <c r="O613" i="8"/>
  <c r="P613" i="8"/>
  <c r="O614" i="8"/>
  <c r="P614" i="8"/>
  <c r="O615" i="8"/>
  <c r="P615" i="8"/>
  <c r="O616" i="8"/>
  <c r="P616" i="8"/>
  <c r="O617" i="8"/>
  <c r="P617" i="8"/>
  <c r="O618" i="8"/>
  <c r="P618" i="8"/>
  <c r="O619" i="8"/>
  <c r="P619" i="8"/>
  <c r="O620" i="8"/>
  <c r="P620" i="8"/>
  <c r="O621" i="8"/>
  <c r="P621" i="8"/>
  <c r="O622" i="8"/>
  <c r="P622" i="8"/>
  <c r="O623" i="8"/>
  <c r="P623" i="8"/>
  <c r="O624" i="8"/>
  <c r="P624" i="8"/>
  <c r="O625" i="8"/>
  <c r="P625" i="8"/>
  <c r="O626" i="8"/>
  <c r="P626" i="8"/>
  <c r="O627" i="8"/>
  <c r="P627" i="8"/>
  <c r="O628" i="8"/>
  <c r="P628" i="8"/>
  <c r="O629" i="8"/>
  <c r="P629" i="8"/>
  <c r="O630" i="8"/>
  <c r="P630" i="8"/>
  <c r="O631" i="8"/>
  <c r="P631" i="8"/>
  <c r="O632" i="8"/>
  <c r="P632" i="8"/>
  <c r="O633" i="8"/>
  <c r="P633" i="8"/>
  <c r="O634" i="8"/>
  <c r="P634" i="8"/>
  <c r="O635" i="8"/>
  <c r="P635" i="8"/>
  <c r="O636" i="8"/>
  <c r="P636" i="8"/>
  <c r="O637" i="8"/>
  <c r="P637" i="8"/>
  <c r="O638" i="8"/>
  <c r="P638" i="8"/>
  <c r="O639" i="8"/>
  <c r="P639" i="8"/>
  <c r="O640" i="8"/>
  <c r="P640" i="8"/>
  <c r="O641" i="8"/>
  <c r="P641" i="8"/>
  <c r="O642" i="8"/>
  <c r="P642" i="8"/>
  <c r="O643" i="8"/>
  <c r="P643" i="8"/>
  <c r="O644" i="8"/>
  <c r="P644" i="8"/>
  <c r="O645" i="8"/>
  <c r="P645" i="8"/>
  <c r="O646" i="8"/>
  <c r="P646" i="8"/>
  <c r="O647" i="8"/>
  <c r="P647" i="8"/>
  <c r="O648" i="8"/>
  <c r="P648" i="8"/>
  <c r="O649" i="8"/>
  <c r="P649" i="8"/>
  <c r="O650" i="8"/>
  <c r="P650" i="8"/>
  <c r="O651" i="8"/>
  <c r="P651" i="8"/>
  <c r="O652" i="8"/>
  <c r="P652" i="8"/>
  <c r="O653" i="8"/>
  <c r="P653" i="8"/>
  <c r="O654" i="8"/>
  <c r="P654" i="8"/>
  <c r="O655" i="8"/>
  <c r="P655" i="8"/>
  <c r="O656" i="8"/>
  <c r="P656" i="8"/>
  <c r="O657" i="8"/>
  <c r="P657" i="8"/>
  <c r="O658" i="8"/>
  <c r="P658" i="8"/>
  <c r="O659" i="8"/>
  <c r="P659" i="8"/>
  <c r="O660" i="8"/>
  <c r="P660" i="8"/>
  <c r="O661" i="8"/>
  <c r="P661" i="8"/>
  <c r="O662" i="8"/>
  <c r="P662" i="8"/>
  <c r="O663" i="8"/>
  <c r="P663" i="8"/>
  <c r="O664" i="8"/>
  <c r="P664" i="8"/>
  <c r="O665" i="8"/>
  <c r="P665" i="8"/>
  <c r="O666" i="8"/>
  <c r="P666" i="8"/>
  <c r="O667" i="8"/>
  <c r="P667" i="8"/>
  <c r="O668" i="8"/>
  <c r="P668" i="8"/>
  <c r="O669" i="8"/>
  <c r="P669" i="8"/>
  <c r="O670" i="8"/>
  <c r="P670" i="8"/>
  <c r="O671" i="8"/>
  <c r="P671" i="8"/>
  <c r="O672" i="8"/>
  <c r="P672" i="8"/>
  <c r="O673" i="8"/>
  <c r="P673" i="8"/>
  <c r="O674" i="8"/>
  <c r="P674" i="8"/>
  <c r="O675" i="8"/>
  <c r="P675" i="8"/>
  <c r="O676" i="8"/>
  <c r="P676" i="8"/>
  <c r="O677" i="8"/>
  <c r="P677" i="8"/>
  <c r="O678" i="8"/>
  <c r="P678" i="8"/>
  <c r="O679" i="8"/>
  <c r="P679" i="8"/>
  <c r="O680" i="8"/>
  <c r="P680" i="8"/>
  <c r="O681" i="8"/>
  <c r="P681" i="8"/>
  <c r="O682" i="8"/>
  <c r="P682" i="8"/>
  <c r="O683" i="8"/>
  <c r="P683" i="8"/>
  <c r="O684" i="8"/>
  <c r="P684" i="8"/>
  <c r="O685" i="8"/>
  <c r="P685" i="8"/>
  <c r="O686" i="8"/>
  <c r="P686" i="8"/>
  <c r="O687" i="8"/>
  <c r="P687" i="8"/>
  <c r="O688" i="8"/>
  <c r="P688" i="8"/>
  <c r="O689" i="8"/>
  <c r="P689" i="8"/>
  <c r="O690" i="8"/>
  <c r="P690" i="8"/>
  <c r="O691" i="8"/>
  <c r="P691" i="8"/>
  <c r="O692" i="8"/>
  <c r="P692" i="8"/>
  <c r="O693" i="8"/>
  <c r="P693" i="8"/>
  <c r="O694" i="8"/>
  <c r="P694" i="8"/>
  <c r="O695" i="8"/>
  <c r="P695" i="8"/>
  <c r="O696" i="8"/>
  <c r="P696" i="8"/>
  <c r="O697" i="8"/>
  <c r="P697" i="8"/>
  <c r="O698" i="8"/>
  <c r="P698" i="8"/>
  <c r="O699" i="8"/>
  <c r="P699" i="8"/>
  <c r="O700" i="8"/>
  <c r="P700" i="8"/>
  <c r="O701" i="8"/>
  <c r="P701" i="8"/>
  <c r="O702" i="8"/>
  <c r="P702" i="8"/>
  <c r="O703" i="8"/>
  <c r="P703" i="8"/>
  <c r="O704" i="8"/>
  <c r="P704" i="8"/>
  <c r="O705" i="8"/>
  <c r="P705" i="8"/>
  <c r="O706" i="8"/>
  <c r="P706" i="8"/>
  <c r="O707" i="8"/>
  <c r="P707" i="8"/>
  <c r="O708" i="8"/>
  <c r="P708" i="8"/>
  <c r="O709" i="8"/>
  <c r="P709" i="8"/>
  <c r="O710" i="8"/>
  <c r="P710" i="8"/>
  <c r="O711" i="8"/>
  <c r="P711" i="8"/>
  <c r="O712" i="8"/>
  <c r="P712" i="8"/>
  <c r="O713" i="8"/>
  <c r="P713" i="8"/>
  <c r="O714" i="8"/>
  <c r="P714" i="8"/>
  <c r="O715" i="8"/>
  <c r="P715" i="8"/>
  <c r="O716" i="8"/>
  <c r="P716" i="8"/>
  <c r="O717" i="8"/>
  <c r="P717" i="8"/>
  <c r="O718" i="8"/>
  <c r="P718" i="8"/>
  <c r="O719" i="8"/>
  <c r="P719" i="8"/>
  <c r="O720" i="8"/>
  <c r="P720" i="8"/>
  <c r="O721" i="8"/>
  <c r="P721" i="8"/>
  <c r="O722" i="8"/>
  <c r="P722" i="8"/>
  <c r="O723" i="8"/>
  <c r="P723" i="8"/>
  <c r="O724" i="8"/>
  <c r="P724" i="8"/>
  <c r="O725" i="8"/>
  <c r="P725" i="8"/>
  <c r="O726" i="8"/>
  <c r="P726" i="8"/>
  <c r="O727" i="8"/>
  <c r="P727" i="8"/>
  <c r="O728" i="8"/>
  <c r="P728" i="8"/>
  <c r="O729" i="8"/>
  <c r="P729" i="8"/>
  <c r="O730" i="8"/>
  <c r="P730" i="8"/>
  <c r="O731" i="8"/>
  <c r="P731" i="8"/>
  <c r="O732" i="8"/>
  <c r="P732" i="8"/>
  <c r="O733" i="8"/>
  <c r="P733" i="8"/>
  <c r="O734" i="8"/>
  <c r="P734" i="8"/>
  <c r="O735" i="8"/>
  <c r="P735" i="8"/>
  <c r="O736" i="8"/>
  <c r="P736" i="8"/>
  <c r="O737" i="8"/>
  <c r="P737" i="8"/>
  <c r="O738" i="8"/>
  <c r="P738" i="8"/>
  <c r="O739" i="8"/>
  <c r="P739" i="8"/>
  <c r="O740" i="8"/>
  <c r="P740" i="8"/>
  <c r="O741" i="8"/>
  <c r="P741" i="8"/>
  <c r="O742" i="8"/>
  <c r="P742" i="8"/>
  <c r="O743" i="8"/>
  <c r="P743" i="8"/>
  <c r="O744" i="8"/>
  <c r="P744" i="8"/>
  <c r="O745" i="8"/>
  <c r="P745" i="8"/>
  <c r="P746" i="8"/>
  <c r="P747" i="8"/>
  <c r="P748" i="8"/>
  <c r="O749" i="8"/>
  <c r="P749" i="8"/>
  <c r="O750" i="8"/>
  <c r="P750" i="8"/>
  <c r="O751" i="8"/>
  <c r="P751" i="8"/>
  <c r="O752" i="8"/>
  <c r="P752" i="8"/>
  <c r="O753" i="8"/>
  <c r="P753" i="8"/>
  <c r="O754" i="8"/>
  <c r="P754" i="8"/>
  <c r="O755" i="8"/>
  <c r="P755" i="8"/>
  <c r="O756" i="8"/>
  <c r="P756" i="8"/>
  <c r="O757" i="8"/>
  <c r="P757" i="8"/>
  <c r="O758" i="8"/>
  <c r="P758" i="8"/>
  <c r="O759" i="8"/>
  <c r="P759" i="8"/>
  <c r="O760" i="8"/>
  <c r="P760" i="8"/>
  <c r="O761" i="8"/>
  <c r="P761" i="8"/>
  <c r="O762" i="8"/>
  <c r="P762" i="8"/>
  <c r="O763" i="8"/>
  <c r="P763" i="8"/>
  <c r="O764" i="8"/>
  <c r="P764" i="8"/>
  <c r="O765" i="8"/>
  <c r="P765" i="8"/>
  <c r="O766" i="8"/>
  <c r="P766" i="8"/>
  <c r="O767" i="8"/>
  <c r="P767" i="8"/>
  <c r="O768" i="8"/>
  <c r="P768" i="8"/>
  <c r="O769" i="8"/>
  <c r="P769" i="8"/>
  <c r="O770" i="8"/>
  <c r="P770" i="8"/>
  <c r="O771" i="8"/>
  <c r="P771" i="8"/>
  <c r="O772" i="8"/>
  <c r="P772" i="8"/>
  <c r="O773" i="8"/>
  <c r="P773" i="8"/>
  <c r="O774" i="8"/>
  <c r="P774" i="8"/>
  <c r="O775" i="8"/>
  <c r="P775" i="8"/>
  <c r="O776" i="8"/>
  <c r="P776" i="8"/>
  <c r="O777" i="8"/>
  <c r="P777" i="8"/>
  <c r="O778" i="8"/>
  <c r="P778" i="8"/>
  <c r="O779" i="8"/>
  <c r="P779" i="8"/>
  <c r="O780" i="8"/>
  <c r="P780" i="8"/>
  <c r="O781" i="8"/>
  <c r="P781" i="8"/>
  <c r="O782" i="8"/>
  <c r="P782" i="8"/>
  <c r="O783" i="8"/>
  <c r="P783" i="8"/>
  <c r="O784" i="8"/>
  <c r="P784" i="8"/>
  <c r="O785" i="8"/>
  <c r="P785" i="8"/>
  <c r="O786" i="8"/>
  <c r="P786" i="8"/>
  <c r="O787" i="8"/>
  <c r="P787" i="8"/>
  <c r="O788" i="8"/>
  <c r="P788" i="8"/>
  <c r="O789" i="8"/>
  <c r="P789" i="8"/>
  <c r="O790" i="8"/>
  <c r="P790" i="8"/>
  <c r="O791" i="8"/>
  <c r="P791" i="8"/>
  <c r="O792" i="8"/>
  <c r="P792" i="8"/>
  <c r="O793" i="8"/>
  <c r="P793" i="8"/>
  <c r="O794" i="8"/>
  <c r="P794" i="8"/>
  <c r="O795" i="8"/>
  <c r="P795" i="8"/>
  <c r="O796" i="8"/>
  <c r="P796" i="8"/>
  <c r="O797" i="8"/>
  <c r="P797" i="8"/>
  <c r="O798" i="8"/>
  <c r="P798" i="8"/>
  <c r="O799" i="8"/>
  <c r="P799" i="8"/>
  <c r="O800" i="8"/>
  <c r="P800" i="8"/>
  <c r="O801" i="8"/>
  <c r="P801" i="8"/>
  <c r="O802" i="8"/>
  <c r="P802" i="8"/>
  <c r="O803" i="8"/>
  <c r="P803" i="8"/>
  <c r="O804" i="8"/>
  <c r="P804" i="8"/>
  <c r="O805" i="8"/>
  <c r="P805" i="8"/>
  <c r="O806" i="8"/>
  <c r="P806" i="8"/>
  <c r="O807" i="8"/>
  <c r="P807" i="8"/>
  <c r="P808" i="8"/>
  <c r="O809" i="8"/>
  <c r="P809" i="8"/>
  <c r="O810" i="8"/>
  <c r="P810" i="8"/>
  <c r="O811" i="8"/>
  <c r="P811" i="8"/>
  <c r="O812" i="8"/>
  <c r="P812" i="8"/>
  <c r="O813" i="8"/>
  <c r="P813" i="8"/>
  <c r="O814" i="8"/>
  <c r="P814" i="8"/>
  <c r="O815" i="8"/>
  <c r="P815" i="8"/>
  <c r="O816" i="8"/>
  <c r="P816" i="8"/>
  <c r="O817" i="8"/>
  <c r="P817" i="8"/>
  <c r="O818" i="8"/>
  <c r="P818" i="8"/>
  <c r="O819" i="8"/>
  <c r="P819" i="8"/>
  <c r="O820" i="8"/>
  <c r="P820" i="8"/>
  <c r="O821" i="8"/>
  <c r="P821" i="8"/>
  <c r="O822" i="8"/>
  <c r="P822" i="8"/>
  <c r="O823" i="8"/>
  <c r="P823" i="8"/>
  <c r="O824" i="8"/>
  <c r="P824" i="8"/>
  <c r="O825" i="8"/>
  <c r="P825" i="8"/>
  <c r="O826" i="8"/>
  <c r="P826" i="8"/>
  <c r="O827" i="8"/>
  <c r="P827" i="8"/>
  <c r="O828" i="8"/>
  <c r="P828" i="8"/>
  <c r="O829" i="8"/>
  <c r="P829" i="8"/>
  <c r="O830" i="8"/>
  <c r="P830" i="8"/>
  <c r="O831" i="8"/>
  <c r="P831" i="8"/>
  <c r="O832" i="8"/>
  <c r="P832" i="8"/>
  <c r="O833" i="8"/>
  <c r="P833" i="8"/>
  <c r="O834" i="8"/>
  <c r="P834" i="8"/>
  <c r="O835" i="8"/>
  <c r="P835" i="8"/>
  <c r="O836" i="8"/>
  <c r="P836" i="8"/>
  <c r="O837" i="8"/>
  <c r="P837" i="8"/>
  <c r="O838" i="8"/>
  <c r="P838" i="8"/>
  <c r="O839" i="8"/>
  <c r="P839" i="8"/>
  <c r="O840" i="8"/>
  <c r="P840" i="8"/>
  <c r="O841" i="8"/>
  <c r="P841" i="8"/>
  <c r="O842" i="8"/>
  <c r="P842" i="8"/>
  <c r="O843" i="8"/>
  <c r="P843" i="8"/>
  <c r="O844" i="8"/>
  <c r="P844" i="8"/>
  <c r="O845" i="8"/>
  <c r="P845" i="8"/>
  <c r="O846" i="8"/>
  <c r="P846" i="8"/>
  <c r="O847" i="8"/>
  <c r="P847" i="8"/>
  <c r="O848" i="8"/>
  <c r="P848" i="8"/>
  <c r="O849" i="8"/>
  <c r="P849" i="8"/>
  <c r="O850" i="8"/>
  <c r="P850" i="8"/>
  <c r="O851" i="8"/>
  <c r="P851" i="8"/>
  <c r="O852" i="8"/>
  <c r="P852" i="8"/>
  <c r="O853" i="8"/>
  <c r="P853" i="8"/>
  <c r="O854" i="8"/>
  <c r="P854" i="8"/>
  <c r="O855" i="8"/>
  <c r="P855" i="8"/>
  <c r="O856" i="8"/>
  <c r="P856" i="8"/>
  <c r="O857" i="8"/>
  <c r="P857" i="8"/>
  <c r="O858" i="8"/>
  <c r="P858" i="8"/>
  <c r="O859" i="8"/>
  <c r="P859" i="8"/>
  <c r="O860" i="8"/>
  <c r="P860" i="8"/>
  <c r="O861" i="8"/>
  <c r="P861" i="8"/>
  <c r="O862" i="8"/>
  <c r="P862" i="8"/>
  <c r="O863" i="8"/>
  <c r="P863" i="8"/>
  <c r="O864" i="8"/>
  <c r="P864" i="8"/>
  <c r="O865" i="8"/>
  <c r="P865" i="8"/>
  <c r="O866" i="8"/>
  <c r="P866" i="8"/>
  <c r="O867" i="8"/>
  <c r="P867" i="8"/>
  <c r="O868" i="8"/>
  <c r="P868" i="8"/>
  <c r="O869" i="8"/>
  <c r="P869" i="8"/>
  <c r="O870" i="8"/>
  <c r="P870" i="8"/>
  <c r="O871" i="8"/>
  <c r="P871" i="8"/>
  <c r="O872" i="8"/>
  <c r="P872" i="8"/>
  <c r="O873" i="8"/>
  <c r="P873" i="8"/>
  <c r="O874" i="8"/>
  <c r="P874" i="8"/>
  <c r="O875" i="8"/>
  <c r="P875" i="8"/>
  <c r="O876" i="8"/>
  <c r="P876" i="8"/>
  <c r="O877" i="8"/>
  <c r="P877" i="8"/>
  <c r="O878" i="8"/>
  <c r="P878" i="8"/>
  <c r="O879" i="8"/>
  <c r="P879" i="8"/>
  <c r="O880" i="8"/>
  <c r="P880" i="8"/>
  <c r="O881" i="8"/>
  <c r="P881" i="8"/>
  <c r="O882" i="8"/>
  <c r="P882" i="8"/>
  <c r="O883" i="8"/>
  <c r="P883" i="8"/>
  <c r="O884" i="8"/>
  <c r="P884" i="8"/>
  <c r="O885" i="8"/>
  <c r="P885" i="8"/>
  <c r="O886" i="8"/>
  <c r="P886" i="8"/>
  <c r="O887" i="8"/>
  <c r="P887" i="8"/>
  <c r="O888" i="8"/>
  <c r="P888" i="8"/>
  <c r="O889" i="8"/>
  <c r="P889" i="8"/>
  <c r="O890" i="8"/>
  <c r="P890" i="8"/>
  <c r="O891" i="8"/>
  <c r="P891" i="8"/>
  <c r="O892" i="8"/>
  <c r="P892" i="8"/>
  <c r="O893" i="8"/>
  <c r="P893" i="8"/>
  <c r="P2" i="8"/>
  <c r="O2" i="8"/>
  <c r="N2" i="8"/>
  <c r="M2" i="8"/>
  <c r="K748" i="8"/>
  <c r="L748" i="8"/>
  <c r="M748" i="8"/>
  <c r="N748" i="8"/>
  <c r="K749" i="8"/>
  <c r="L749" i="8"/>
  <c r="M749" i="8"/>
  <c r="N749" i="8"/>
  <c r="K750" i="8"/>
  <c r="L750" i="8"/>
  <c r="M750" i="8"/>
  <c r="N750" i="8"/>
  <c r="K751" i="8"/>
  <c r="L751" i="8"/>
  <c r="M751" i="8"/>
  <c r="N751" i="8"/>
  <c r="K752" i="8"/>
  <c r="L752" i="8"/>
  <c r="M752" i="8"/>
  <c r="N752" i="8"/>
  <c r="K753" i="8"/>
  <c r="L753" i="8"/>
  <c r="M753" i="8"/>
  <c r="N753" i="8"/>
  <c r="K754" i="8"/>
  <c r="L754" i="8"/>
  <c r="M754" i="8"/>
  <c r="N754" i="8"/>
  <c r="K755" i="8"/>
  <c r="L755" i="8"/>
  <c r="M755" i="8"/>
  <c r="N755" i="8"/>
  <c r="K756" i="8"/>
  <c r="L756" i="8"/>
  <c r="M756" i="8"/>
  <c r="N756" i="8"/>
  <c r="K757" i="8"/>
  <c r="L757" i="8"/>
  <c r="M757" i="8"/>
  <c r="N757" i="8"/>
  <c r="K758" i="8"/>
  <c r="L758" i="8"/>
  <c r="M758" i="8"/>
  <c r="N758" i="8"/>
  <c r="K759" i="8"/>
  <c r="L759" i="8"/>
  <c r="M759" i="8"/>
  <c r="N759" i="8"/>
  <c r="K760" i="8"/>
  <c r="L760" i="8"/>
  <c r="M760" i="8"/>
  <c r="N760" i="8"/>
  <c r="K761" i="8"/>
  <c r="L761" i="8"/>
  <c r="M761" i="8"/>
  <c r="N761" i="8"/>
  <c r="K762" i="8"/>
  <c r="L762" i="8"/>
  <c r="M762" i="8"/>
  <c r="N762" i="8"/>
  <c r="K763" i="8"/>
  <c r="L763" i="8"/>
  <c r="M763" i="8"/>
  <c r="N763" i="8"/>
  <c r="K764" i="8"/>
  <c r="L764" i="8"/>
  <c r="M764" i="8"/>
  <c r="N764" i="8"/>
  <c r="K765" i="8"/>
  <c r="L765" i="8"/>
  <c r="M765" i="8"/>
  <c r="N765" i="8"/>
  <c r="K766" i="8"/>
  <c r="L766" i="8"/>
  <c r="M766" i="8"/>
  <c r="N766" i="8"/>
  <c r="K767" i="8"/>
  <c r="L767" i="8"/>
  <c r="M767" i="8"/>
  <c r="N767" i="8"/>
  <c r="K768" i="8"/>
  <c r="L768" i="8"/>
  <c r="M768" i="8"/>
  <c r="N768" i="8"/>
  <c r="K769" i="8"/>
  <c r="L769" i="8"/>
  <c r="M769" i="8"/>
  <c r="N769" i="8"/>
  <c r="K770" i="8"/>
  <c r="L770" i="8"/>
  <c r="M770" i="8"/>
  <c r="N770" i="8"/>
  <c r="K771" i="8"/>
  <c r="L771" i="8"/>
  <c r="M771" i="8"/>
  <c r="N771" i="8"/>
  <c r="K772" i="8"/>
  <c r="L772" i="8"/>
  <c r="M772" i="8"/>
  <c r="N772" i="8"/>
  <c r="K773" i="8"/>
  <c r="L773" i="8"/>
  <c r="M773" i="8"/>
  <c r="N773" i="8"/>
  <c r="K774" i="8"/>
  <c r="L774" i="8"/>
  <c r="M774" i="8"/>
  <c r="N774" i="8"/>
  <c r="K775" i="8"/>
  <c r="L775" i="8"/>
  <c r="M775" i="8"/>
  <c r="N775" i="8"/>
  <c r="K776" i="8"/>
  <c r="L776" i="8"/>
  <c r="M776" i="8"/>
  <c r="N776" i="8"/>
  <c r="K777" i="8"/>
  <c r="L777" i="8"/>
  <c r="M777" i="8"/>
  <c r="N777" i="8"/>
  <c r="K778" i="8"/>
  <c r="L778" i="8"/>
  <c r="M778" i="8"/>
  <c r="N778" i="8"/>
  <c r="K779" i="8"/>
  <c r="L779" i="8"/>
  <c r="M779" i="8"/>
  <c r="N779" i="8"/>
  <c r="K780" i="8"/>
  <c r="L780" i="8"/>
  <c r="M780" i="8"/>
  <c r="N780" i="8"/>
  <c r="K781" i="8"/>
  <c r="L781" i="8"/>
  <c r="M781" i="8"/>
  <c r="N781" i="8"/>
  <c r="K782" i="8"/>
  <c r="L782" i="8"/>
  <c r="M782" i="8"/>
  <c r="N782" i="8"/>
  <c r="K783" i="8"/>
  <c r="L783" i="8"/>
  <c r="M783" i="8"/>
  <c r="N783" i="8"/>
  <c r="K784" i="8"/>
  <c r="L784" i="8"/>
  <c r="M784" i="8"/>
  <c r="N784" i="8"/>
  <c r="K785" i="8"/>
  <c r="L785" i="8"/>
  <c r="M785" i="8"/>
  <c r="N785" i="8"/>
  <c r="K786" i="8"/>
  <c r="L786" i="8"/>
  <c r="M786" i="8"/>
  <c r="N786" i="8"/>
  <c r="K787" i="8"/>
  <c r="L787" i="8"/>
  <c r="M787" i="8"/>
  <c r="N787" i="8"/>
  <c r="K788" i="8"/>
  <c r="L788" i="8"/>
  <c r="M788" i="8"/>
  <c r="N788" i="8"/>
  <c r="K789" i="8"/>
  <c r="L789" i="8"/>
  <c r="M789" i="8"/>
  <c r="N789" i="8"/>
  <c r="K790" i="8"/>
  <c r="L790" i="8"/>
  <c r="M790" i="8"/>
  <c r="N790" i="8"/>
  <c r="K791" i="8"/>
  <c r="L791" i="8"/>
  <c r="M791" i="8"/>
  <c r="N791" i="8"/>
  <c r="K792" i="8"/>
  <c r="L792" i="8"/>
  <c r="M792" i="8"/>
  <c r="N792" i="8"/>
  <c r="K793" i="8"/>
  <c r="L793" i="8"/>
  <c r="M793" i="8"/>
  <c r="N793" i="8"/>
  <c r="K794" i="8"/>
  <c r="L794" i="8"/>
  <c r="M794" i="8"/>
  <c r="N794" i="8"/>
  <c r="K795" i="8"/>
  <c r="L795" i="8"/>
  <c r="M795" i="8"/>
  <c r="N795" i="8"/>
  <c r="K796" i="8"/>
  <c r="L796" i="8"/>
  <c r="M796" i="8"/>
  <c r="N796" i="8"/>
  <c r="K797" i="8"/>
  <c r="L797" i="8"/>
  <c r="M797" i="8"/>
  <c r="N797" i="8"/>
  <c r="K798" i="8"/>
  <c r="L798" i="8"/>
  <c r="M798" i="8"/>
  <c r="N798" i="8"/>
  <c r="K799" i="8"/>
  <c r="L799" i="8"/>
  <c r="M799" i="8"/>
  <c r="N799" i="8"/>
  <c r="K800" i="8"/>
  <c r="L800" i="8"/>
  <c r="M800" i="8"/>
  <c r="N800" i="8"/>
  <c r="K801" i="8"/>
  <c r="L801" i="8"/>
  <c r="M801" i="8"/>
  <c r="N801" i="8"/>
  <c r="K802" i="8"/>
  <c r="L802" i="8"/>
  <c r="M802" i="8"/>
  <c r="N802" i="8"/>
  <c r="K803" i="8"/>
  <c r="L803" i="8"/>
  <c r="M803" i="8"/>
  <c r="N803" i="8"/>
  <c r="K804" i="8"/>
  <c r="L804" i="8"/>
  <c r="M804" i="8"/>
  <c r="N804" i="8"/>
  <c r="K805" i="8"/>
  <c r="L805" i="8"/>
  <c r="M805" i="8"/>
  <c r="N805" i="8"/>
  <c r="K806" i="8"/>
  <c r="L806" i="8"/>
  <c r="M806" i="8"/>
  <c r="N806" i="8"/>
  <c r="K807" i="8"/>
  <c r="L807" i="8"/>
  <c r="M807" i="8"/>
  <c r="N807" i="8"/>
  <c r="K808" i="8"/>
  <c r="L808" i="8"/>
  <c r="M808" i="8"/>
  <c r="N808" i="8"/>
  <c r="K809" i="8"/>
  <c r="L809" i="8"/>
  <c r="M809" i="8"/>
  <c r="N809" i="8"/>
  <c r="K810" i="8"/>
  <c r="L810" i="8"/>
  <c r="M810" i="8"/>
  <c r="N810" i="8"/>
  <c r="K811" i="8"/>
  <c r="L811" i="8"/>
  <c r="M811" i="8"/>
  <c r="N811" i="8"/>
  <c r="K812" i="8"/>
  <c r="L812" i="8"/>
  <c r="M812" i="8"/>
  <c r="N812" i="8"/>
  <c r="K813" i="8"/>
  <c r="L813" i="8"/>
  <c r="M813" i="8"/>
  <c r="N813" i="8"/>
  <c r="K814" i="8"/>
  <c r="L814" i="8"/>
  <c r="M814" i="8"/>
  <c r="N814" i="8"/>
  <c r="K815" i="8"/>
  <c r="L815" i="8"/>
  <c r="M815" i="8"/>
  <c r="N815" i="8"/>
  <c r="K816" i="8"/>
  <c r="L816" i="8"/>
  <c r="M816" i="8"/>
  <c r="N816" i="8"/>
  <c r="K817" i="8"/>
  <c r="L817" i="8"/>
  <c r="M817" i="8"/>
  <c r="N817" i="8"/>
  <c r="K818" i="8"/>
  <c r="L818" i="8"/>
  <c r="M818" i="8"/>
  <c r="N818" i="8"/>
  <c r="K819" i="8"/>
  <c r="L819" i="8"/>
  <c r="M819" i="8"/>
  <c r="N819" i="8"/>
  <c r="K820" i="8"/>
  <c r="L820" i="8"/>
  <c r="M820" i="8"/>
  <c r="N820" i="8"/>
  <c r="K821" i="8"/>
  <c r="L821" i="8"/>
  <c r="M821" i="8"/>
  <c r="N821" i="8"/>
  <c r="K822" i="8"/>
  <c r="L822" i="8"/>
  <c r="M822" i="8"/>
  <c r="N822" i="8"/>
  <c r="K823" i="8"/>
  <c r="L823" i="8"/>
  <c r="M823" i="8"/>
  <c r="N823" i="8"/>
  <c r="K824" i="8"/>
  <c r="L824" i="8"/>
  <c r="M824" i="8"/>
  <c r="N824" i="8"/>
  <c r="K825" i="8"/>
  <c r="L825" i="8"/>
  <c r="M825" i="8"/>
  <c r="N825" i="8"/>
  <c r="K826" i="8"/>
  <c r="L826" i="8"/>
  <c r="M826" i="8"/>
  <c r="N826" i="8"/>
  <c r="K827" i="8"/>
  <c r="L827" i="8"/>
  <c r="M827" i="8"/>
  <c r="N827" i="8"/>
  <c r="K828" i="8"/>
  <c r="L828" i="8"/>
  <c r="M828" i="8"/>
  <c r="N828" i="8"/>
  <c r="K829" i="8"/>
  <c r="L829" i="8"/>
  <c r="M829" i="8"/>
  <c r="N829" i="8"/>
  <c r="K830" i="8"/>
  <c r="L830" i="8"/>
  <c r="M830" i="8"/>
  <c r="N830" i="8"/>
  <c r="K831" i="8"/>
  <c r="L831" i="8"/>
  <c r="M831" i="8"/>
  <c r="N831" i="8"/>
  <c r="K832" i="8"/>
  <c r="L832" i="8"/>
  <c r="M832" i="8"/>
  <c r="N832" i="8"/>
  <c r="K833" i="8"/>
  <c r="L833" i="8"/>
  <c r="M833" i="8"/>
  <c r="N833" i="8"/>
  <c r="K834" i="8"/>
  <c r="L834" i="8"/>
  <c r="M834" i="8"/>
  <c r="N834" i="8"/>
  <c r="K835" i="8"/>
  <c r="L835" i="8"/>
  <c r="M835" i="8"/>
  <c r="N835" i="8"/>
  <c r="K836" i="8"/>
  <c r="L836" i="8"/>
  <c r="M836" i="8"/>
  <c r="N836" i="8"/>
  <c r="K837" i="8"/>
  <c r="L837" i="8"/>
  <c r="M837" i="8"/>
  <c r="N837" i="8"/>
  <c r="K838" i="8"/>
  <c r="L838" i="8"/>
  <c r="M838" i="8"/>
  <c r="N838" i="8"/>
  <c r="K839" i="8"/>
  <c r="L839" i="8"/>
  <c r="M839" i="8"/>
  <c r="N839" i="8"/>
  <c r="K840" i="8"/>
  <c r="L840" i="8"/>
  <c r="M840" i="8"/>
  <c r="N840" i="8"/>
  <c r="K841" i="8"/>
  <c r="L841" i="8"/>
  <c r="M841" i="8"/>
  <c r="N841" i="8"/>
  <c r="K842" i="8"/>
  <c r="L842" i="8"/>
  <c r="M842" i="8"/>
  <c r="N842" i="8"/>
  <c r="K843" i="8"/>
  <c r="L843" i="8"/>
  <c r="M843" i="8"/>
  <c r="N843" i="8"/>
  <c r="K844" i="8"/>
  <c r="L844" i="8"/>
  <c r="M844" i="8"/>
  <c r="N844" i="8"/>
  <c r="K845" i="8"/>
  <c r="L845" i="8"/>
  <c r="M845" i="8"/>
  <c r="N845" i="8"/>
  <c r="K846" i="8"/>
  <c r="L846" i="8"/>
  <c r="M846" i="8"/>
  <c r="N846" i="8"/>
  <c r="K847" i="8"/>
  <c r="L847" i="8"/>
  <c r="M847" i="8"/>
  <c r="N847" i="8"/>
  <c r="K848" i="8"/>
  <c r="L848" i="8"/>
  <c r="M848" i="8"/>
  <c r="N848" i="8"/>
  <c r="K849" i="8"/>
  <c r="L849" i="8"/>
  <c r="M849" i="8"/>
  <c r="N849" i="8"/>
  <c r="K850" i="8"/>
  <c r="L850" i="8"/>
  <c r="M850" i="8"/>
  <c r="N850" i="8"/>
  <c r="K851" i="8"/>
  <c r="L851" i="8"/>
  <c r="M851" i="8"/>
  <c r="N851" i="8"/>
  <c r="K852" i="8"/>
  <c r="L852" i="8"/>
  <c r="M852" i="8"/>
  <c r="N852" i="8"/>
  <c r="K853" i="8"/>
  <c r="L853" i="8"/>
  <c r="M853" i="8"/>
  <c r="N853" i="8"/>
  <c r="K854" i="8"/>
  <c r="L854" i="8"/>
  <c r="M854" i="8"/>
  <c r="N854" i="8"/>
  <c r="K855" i="8"/>
  <c r="L855" i="8"/>
  <c r="M855" i="8"/>
  <c r="N855" i="8"/>
  <c r="K856" i="8"/>
  <c r="L856" i="8"/>
  <c r="M856" i="8"/>
  <c r="N856" i="8"/>
  <c r="K857" i="8"/>
  <c r="L857" i="8"/>
  <c r="M857" i="8"/>
  <c r="N857" i="8"/>
  <c r="K858" i="8"/>
  <c r="L858" i="8"/>
  <c r="M858" i="8"/>
  <c r="N858" i="8"/>
  <c r="K859" i="8"/>
  <c r="L859" i="8"/>
  <c r="M859" i="8"/>
  <c r="N859" i="8"/>
  <c r="K860" i="8"/>
  <c r="L860" i="8"/>
  <c r="M860" i="8"/>
  <c r="N860" i="8"/>
  <c r="K861" i="8"/>
  <c r="L861" i="8"/>
  <c r="M861" i="8"/>
  <c r="N861" i="8"/>
  <c r="K862" i="8"/>
  <c r="L862" i="8"/>
  <c r="M862" i="8"/>
  <c r="N862" i="8"/>
  <c r="K863" i="8"/>
  <c r="L863" i="8"/>
  <c r="M863" i="8"/>
  <c r="N863" i="8"/>
  <c r="K864" i="8"/>
  <c r="L864" i="8"/>
  <c r="M864" i="8"/>
  <c r="N864" i="8"/>
  <c r="K865" i="8"/>
  <c r="L865" i="8"/>
  <c r="M865" i="8"/>
  <c r="N865" i="8"/>
  <c r="K866" i="8"/>
  <c r="L866" i="8"/>
  <c r="M866" i="8"/>
  <c r="N866" i="8"/>
  <c r="K867" i="8"/>
  <c r="L867" i="8"/>
  <c r="M867" i="8"/>
  <c r="N867" i="8"/>
  <c r="K868" i="8"/>
  <c r="L868" i="8"/>
  <c r="M868" i="8"/>
  <c r="N868" i="8"/>
  <c r="K869" i="8"/>
  <c r="L869" i="8"/>
  <c r="M869" i="8"/>
  <c r="N869" i="8"/>
  <c r="K870" i="8"/>
  <c r="L870" i="8"/>
  <c r="M870" i="8"/>
  <c r="N870" i="8"/>
  <c r="K871" i="8"/>
  <c r="L871" i="8"/>
  <c r="M871" i="8"/>
  <c r="N871" i="8"/>
  <c r="K872" i="8"/>
  <c r="L872" i="8"/>
  <c r="M872" i="8"/>
  <c r="N872" i="8"/>
  <c r="K873" i="8"/>
  <c r="L873" i="8"/>
  <c r="M873" i="8"/>
  <c r="N873" i="8"/>
  <c r="K874" i="8"/>
  <c r="L874" i="8"/>
  <c r="M874" i="8"/>
  <c r="N874" i="8"/>
  <c r="K875" i="8"/>
  <c r="L875" i="8"/>
  <c r="M875" i="8"/>
  <c r="N875" i="8"/>
  <c r="K876" i="8"/>
  <c r="L876" i="8"/>
  <c r="M876" i="8"/>
  <c r="N876" i="8"/>
  <c r="K877" i="8"/>
  <c r="L877" i="8"/>
  <c r="M877" i="8"/>
  <c r="N877" i="8"/>
  <c r="K878" i="8"/>
  <c r="L878" i="8"/>
  <c r="M878" i="8"/>
  <c r="N878" i="8"/>
  <c r="K879" i="8"/>
  <c r="L879" i="8"/>
  <c r="M879" i="8"/>
  <c r="N879" i="8"/>
  <c r="K880" i="8"/>
  <c r="L880" i="8"/>
  <c r="M880" i="8"/>
  <c r="N880" i="8"/>
  <c r="K881" i="8"/>
  <c r="L881" i="8"/>
  <c r="M881" i="8"/>
  <c r="N881" i="8"/>
  <c r="K882" i="8"/>
  <c r="L882" i="8"/>
  <c r="M882" i="8"/>
  <c r="N882" i="8"/>
  <c r="K883" i="8"/>
  <c r="L883" i="8"/>
  <c r="M883" i="8"/>
  <c r="N883" i="8"/>
  <c r="K884" i="8"/>
  <c r="L884" i="8"/>
  <c r="M884" i="8"/>
  <c r="N884" i="8"/>
  <c r="K885" i="8"/>
  <c r="L885" i="8"/>
  <c r="M885" i="8"/>
  <c r="N885" i="8"/>
  <c r="K886" i="8"/>
  <c r="L886" i="8"/>
  <c r="M886" i="8"/>
  <c r="N886" i="8"/>
  <c r="K887" i="8"/>
  <c r="L887" i="8"/>
  <c r="M887" i="8"/>
  <c r="N887" i="8"/>
  <c r="K888" i="8"/>
  <c r="L888" i="8"/>
  <c r="M888" i="8"/>
  <c r="N888" i="8"/>
  <c r="K889" i="8"/>
  <c r="L889" i="8"/>
  <c r="M889" i="8"/>
  <c r="N889" i="8"/>
  <c r="K890" i="8"/>
  <c r="L890" i="8"/>
  <c r="M890" i="8"/>
  <c r="N890" i="8"/>
  <c r="K891" i="8"/>
  <c r="L891" i="8"/>
  <c r="M891" i="8"/>
  <c r="N891" i="8"/>
  <c r="K892" i="8"/>
  <c r="L892" i="8"/>
  <c r="M892" i="8"/>
  <c r="N892" i="8"/>
  <c r="K893" i="8"/>
  <c r="L893" i="8"/>
  <c r="M893" i="8"/>
  <c r="N893" i="8"/>
  <c r="K746" i="8"/>
  <c r="L746" i="8"/>
  <c r="M746" i="8"/>
  <c r="N746" i="8"/>
  <c r="K747" i="8"/>
  <c r="L747" i="8"/>
  <c r="M747" i="8"/>
  <c r="N747" i="8"/>
  <c r="I745" i="8"/>
  <c r="K745" i="8"/>
  <c r="L745" i="8"/>
  <c r="M745" i="8"/>
  <c r="N745" i="8"/>
  <c r="I132" i="8"/>
  <c r="K132" i="8"/>
  <c r="L132" i="8"/>
  <c r="M132" i="8"/>
  <c r="N132" i="8"/>
  <c r="K133" i="8"/>
  <c r="L133" i="8"/>
  <c r="M133" i="8"/>
  <c r="N133" i="8"/>
  <c r="I134" i="8"/>
  <c r="K134" i="8"/>
  <c r="L134" i="8"/>
  <c r="M134" i="8"/>
  <c r="N134" i="8"/>
  <c r="K135" i="8"/>
  <c r="L135" i="8"/>
  <c r="M135" i="8"/>
  <c r="N135" i="8"/>
  <c r="K136" i="8"/>
  <c r="L136" i="8"/>
  <c r="M136" i="8"/>
  <c r="N136" i="8"/>
  <c r="K137" i="8"/>
  <c r="L137" i="8"/>
  <c r="M137" i="8"/>
  <c r="N137" i="8"/>
  <c r="I138" i="8"/>
  <c r="K138" i="8"/>
  <c r="L138" i="8"/>
  <c r="M138" i="8"/>
  <c r="N138" i="8"/>
  <c r="I139" i="8"/>
  <c r="K139" i="8"/>
  <c r="L139" i="8"/>
  <c r="M139" i="8"/>
  <c r="N139" i="8"/>
  <c r="I140" i="8"/>
  <c r="K140" i="8"/>
  <c r="L140" i="8"/>
  <c r="M140" i="8"/>
  <c r="N140" i="8"/>
  <c r="I141" i="8"/>
  <c r="K141" i="8"/>
  <c r="L141" i="8"/>
  <c r="M141" i="8"/>
  <c r="N141" i="8"/>
  <c r="I142" i="8"/>
  <c r="K142" i="8"/>
  <c r="L142" i="8"/>
  <c r="M142" i="8"/>
  <c r="N142" i="8"/>
  <c r="K143" i="8"/>
  <c r="L143" i="8"/>
  <c r="M143" i="8"/>
  <c r="N143" i="8"/>
  <c r="K144" i="8"/>
  <c r="L144" i="8"/>
  <c r="M144" i="8"/>
  <c r="N144" i="8"/>
  <c r="I145" i="8"/>
  <c r="K145" i="8"/>
  <c r="L145" i="8"/>
  <c r="M145" i="8"/>
  <c r="N145" i="8"/>
  <c r="I146" i="8"/>
  <c r="K146" i="8"/>
  <c r="L146" i="8"/>
  <c r="M146" i="8"/>
  <c r="N146" i="8"/>
  <c r="I147" i="8"/>
  <c r="K147" i="8"/>
  <c r="L147" i="8"/>
  <c r="M147" i="8"/>
  <c r="N147" i="8"/>
  <c r="I148" i="8"/>
  <c r="K148" i="8"/>
  <c r="L148" i="8"/>
  <c r="M148" i="8"/>
  <c r="N148" i="8"/>
  <c r="I149" i="8"/>
  <c r="L149" i="8"/>
  <c r="M149" i="8"/>
  <c r="N149" i="8"/>
  <c r="I150" i="8"/>
  <c r="K150" i="8"/>
  <c r="L150" i="8"/>
  <c r="M150" i="8"/>
  <c r="N150" i="8"/>
  <c r="I151" i="8"/>
  <c r="K151" i="8"/>
  <c r="L151" i="8"/>
  <c r="M151" i="8"/>
  <c r="N151" i="8"/>
  <c r="I152" i="8"/>
  <c r="K152" i="8"/>
  <c r="L152" i="8"/>
  <c r="M152" i="8"/>
  <c r="N152" i="8"/>
  <c r="I153" i="8"/>
  <c r="K153" i="8"/>
  <c r="L153" i="8"/>
  <c r="M153" i="8"/>
  <c r="N153" i="8"/>
  <c r="I154" i="8"/>
  <c r="K154" i="8"/>
  <c r="L154" i="8"/>
  <c r="M154" i="8"/>
  <c r="N154" i="8"/>
  <c r="K155" i="8"/>
  <c r="L155" i="8"/>
  <c r="M155" i="8"/>
  <c r="N155" i="8"/>
  <c r="K156" i="8"/>
  <c r="L156" i="8"/>
  <c r="M156" i="8"/>
  <c r="N156" i="8"/>
  <c r="K157" i="8"/>
  <c r="L157" i="8"/>
  <c r="M157" i="8"/>
  <c r="N157" i="8"/>
  <c r="K158" i="8"/>
  <c r="L158" i="8"/>
  <c r="M158" i="8"/>
  <c r="N158" i="8"/>
  <c r="K159" i="8"/>
  <c r="L159" i="8"/>
  <c r="M159" i="8"/>
  <c r="N159" i="8"/>
  <c r="K160" i="8"/>
  <c r="L160" i="8"/>
  <c r="M160" i="8"/>
  <c r="N160" i="8"/>
  <c r="K161" i="8"/>
  <c r="L161" i="8"/>
  <c r="M161" i="8"/>
  <c r="N161" i="8"/>
  <c r="K162" i="8"/>
  <c r="L162" i="8"/>
  <c r="M162" i="8"/>
  <c r="N162" i="8"/>
  <c r="K163" i="8"/>
  <c r="L163" i="8"/>
  <c r="M163" i="8"/>
  <c r="N163" i="8"/>
  <c r="K164" i="8"/>
  <c r="L164" i="8"/>
  <c r="M164" i="8"/>
  <c r="N164" i="8"/>
  <c r="I165" i="8"/>
  <c r="K165" i="8"/>
  <c r="L165" i="8"/>
  <c r="M165" i="8"/>
  <c r="N165" i="8"/>
  <c r="K166" i="8"/>
  <c r="L166" i="8"/>
  <c r="M166" i="8"/>
  <c r="N166" i="8"/>
  <c r="K167" i="8"/>
  <c r="L167" i="8"/>
  <c r="M167" i="8"/>
  <c r="N167" i="8"/>
  <c r="K168" i="8"/>
  <c r="L168" i="8"/>
  <c r="M168" i="8"/>
  <c r="N168" i="8"/>
  <c r="I169" i="8"/>
  <c r="K169" i="8"/>
  <c r="L169" i="8"/>
  <c r="M169" i="8"/>
  <c r="N169" i="8"/>
  <c r="I170" i="8"/>
  <c r="K170" i="8"/>
  <c r="L170" i="8"/>
  <c r="M170" i="8"/>
  <c r="N170" i="8"/>
  <c r="K171" i="8"/>
  <c r="L171" i="8"/>
  <c r="M171" i="8"/>
  <c r="N171" i="8"/>
  <c r="K172" i="8"/>
  <c r="L172" i="8"/>
  <c r="M172" i="8"/>
  <c r="N172" i="8"/>
  <c r="K173" i="8"/>
  <c r="L173" i="8"/>
  <c r="M173" i="8"/>
  <c r="N173" i="8"/>
  <c r="K174" i="8"/>
  <c r="L174" i="8"/>
  <c r="M174" i="8"/>
  <c r="N174" i="8"/>
  <c r="K175" i="8"/>
  <c r="L175" i="8"/>
  <c r="M175" i="8"/>
  <c r="N175" i="8"/>
  <c r="K176" i="8"/>
  <c r="L176" i="8"/>
  <c r="M176" i="8"/>
  <c r="N176" i="8"/>
  <c r="K177" i="8"/>
  <c r="L177" i="8"/>
  <c r="M177" i="8"/>
  <c r="N177" i="8"/>
  <c r="K178" i="8"/>
  <c r="L178" i="8"/>
  <c r="M178" i="8"/>
  <c r="N178" i="8"/>
  <c r="K179" i="8"/>
  <c r="L179" i="8"/>
  <c r="M179" i="8"/>
  <c r="N179" i="8"/>
  <c r="K180" i="8"/>
  <c r="L180" i="8"/>
  <c r="M180" i="8"/>
  <c r="N180" i="8"/>
  <c r="K181" i="8"/>
  <c r="L181" i="8"/>
  <c r="M181" i="8"/>
  <c r="N181" i="8"/>
  <c r="K182" i="8"/>
  <c r="L182" i="8"/>
  <c r="M182" i="8"/>
  <c r="N182" i="8"/>
  <c r="K183" i="8"/>
  <c r="L183" i="8"/>
  <c r="M183" i="8"/>
  <c r="N183" i="8"/>
  <c r="K184" i="8"/>
  <c r="L184" i="8"/>
  <c r="M184" i="8"/>
  <c r="N184" i="8"/>
  <c r="K185" i="8"/>
  <c r="L185" i="8"/>
  <c r="M185" i="8"/>
  <c r="N185" i="8"/>
  <c r="K186" i="8"/>
  <c r="L186" i="8"/>
  <c r="M186" i="8"/>
  <c r="N186" i="8"/>
  <c r="K187" i="8"/>
  <c r="L187" i="8"/>
  <c r="M187" i="8"/>
  <c r="N187" i="8"/>
  <c r="I188" i="8"/>
  <c r="K188" i="8"/>
  <c r="L188" i="8"/>
  <c r="M188" i="8"/>
  <c r="N188" i="8"/>
  <c r="K189" i="8"/>
  <c r="L189" i="8"/>
  <c r="M189" i="8"/>
  <c r="N189" i="8"/>
  <c r="K190" i="8"/>
  <c r="L190" i="8"/>
  <c r="M190" i="8"/>
  <c r="N190" i="8"/>
  <c r="K191" i="8"/>
  <c r="L191" i="8"/>
  <c r="M191" i="8"/>
  <c r="N191" i="8"/>
  <c r="K192" i="8"/>
  <c r="L192" i="8"/>
  <c r="M192" i="8"/>
  <c r="N192" i="8"/>
  <c r="K193" i="8"/>
  <c r="L193" i="8"/>
  <c r="M193" i="8"/>
  <c r="N193" i="8"/>
  <c r="I194" i="8"/>
  <c r="K194" i="8"/>
  <c r="L194" i="8"/>
  <c r="M194" i="8"/>
  <c r="N194" i="8"/>
  <c r="I195" i="8"/>
  <c r="K195" i="8"/>
  <c r="L195" i="8"/>
  <c r="M195" i="8"/>
  <c r="N195" i="8"/>
  <c r="K196" i="8"/>
  <c r="L196" i="8"/>
  <c r="M196" i="8"/>
  <c r="N196" i="8"/>
  <c r="I197" i="8"/>
  <c r="K197" i="8"/>
  <c r="L197" i="8"/>
  <c r="M197" i="8"/>
  <c r="N197" i="8"/>
  <c r="I198" i="8"/>
  <c r="K198" i="8"/>
  <c r="L198" i="8"/>
  <c r="M198" i="8"/>
  <c r="N198" i="8"/>
  <c r="I199" i="8"/>
  <c r="K199" i="8"/>
  <c r="L199" i="8"/>
  <c r="M199" i="8"/>
  <c r="N199" i="8"/>
  <c r="K200" i="8"/>
  <c r="L200" i="8"/>
  <c r="M200" i="8"/>
  <c r="N200" i="8"/>
  <c r="K201" i="8"/>
  <c r="L201" i="8"/>
  <c r="M201" i="8"/>
  <c r="N201" i="8"/>
  <c r="K202" i="8"/>
  <c r="L202" i="8"/>
  <c r="M202" i="8"/>
  <c r="N202" i="8"/>
  <c r="K203" i="8"/>
  <c r="L203" i="8"/>
  <c r="M203" i="8"/>
  <c r="N203" i="8"/>
  <c r="K204" i="8"/>
  <c r="L204" i="8"/>
  <c r="M204" i="8"/>
  <c r="N204" i="8"/>
  <c r="K205" i="8"/>
  <c r="L205" i="8"/>
  <c r="M205" i="8"/>
  <c r="N205" i="8"/>
  <c r="K206" i="8"/>
  <c r="L206" i="8"/>
  <c r="M206" i="8"/>
  <c r="N206" i="8"/>
  <c r="K207" i="8"/>
  <c r="L207" i="8"/>
  <c r="M207" i="8"/>
  <c r="N207" i="8"/>
  <c r="K208" i="8"/>
  <c r="L208" i="8"/>
  <c r="M208" i="8"/>
  <c r="N208" i="8"/>
  <c r="K209" i="8"/>
  <c r="L209" i="8"/>
  <c r="M209" i="8"/>
  <c r="N209" i="8"/>
  <c r="K210" i="8"/>
  <c r="L210" i="8"/>
  <c r="M210" i="8"/>
  <c r="N210" i="8"/>
  <c r="K211" i="8"/>
  <c r="L211" i="8"/>
  <c r="M211" i="8"/>
  <c r="N211" i="8"/>
  <c r="K212" i="8"/>
  <c r="L212" i="8"/>
  <c r="M212" i="8"/>
  <c r="N212" i="8"/>
  <c r="I213" i="8"/>
  <c r="K213" i="8"/>
  <c r="L213" i="8"/>
  <c r="M213" i="8"/>
  <c r="N213" i="8"/>
  <c r="I214" i="8"/>
  <c r="K214" i="8"/>
  <c r="L214" i="8"/>
  <c r="M214" i="8"/>
  <c r="N214" i="8"/>
  <c r="I215" i="8"/>
  <c r="K215" i="8"/>
  <c r="L215" i="8"/>
  <c r="M215" i="8"/>
  <c r="N215" i="8"/>
  <c r="I216" i="8"/>
  <c r="K216" i="8"/>
  <c r="L216" i="8"/>
  <c r="M216" i="8"/>
  <c r="N216" i="8"/>
  <c r="K217" i="8"/>
  <c r="L217" i="8"/>
  <c r="M217" i="8"/>
  <c r="N217" i="8"/>
  <c r="K218" i="8"/>
  <c r="L218" i="8"/>
  <c r="M218" i="8"/>
  <c r="N218" i="8"/>
  <c r="I219" i="8"/>
  <c r="K219" i="8"/>
  <c r="L219" i="8"/>
  <c r="M219" i="8"/>
  <c r="N219" i="8"/>
  <c r="K220" i="8"/>
  <c r="L220" i="8"/>
  <c r="M220" i="8"/>
  <c r="N220" i="8"/>
  <c r="K221" i="8"/>
  <c r="L221" i="8"/>
  <c r="M221" i="8"/>
  <c r="N221" i="8"/>
  <c r="K222" i="8"/>
  <c r="L222" i="8"/>
  <c r="M222" i="8"/>
  <c r="N222" i="8"/>
  <c r="K223" i="8"/>
  <c r="L223" i="8"/>
  <c r="M223" i="8"/>
  <c r="N223" i="8"/>
  <c r="K224" i="8"/>
  <c r="L224" i="8"/>
  <c r="M224" i="8"/>
  <c r="N224" i="8"/>
  <c r="I225" i="8"/>
  <c r="K225" i="8"/>
  <c r="L225" i="8"/>
  <c r="M225" i="8"/>
  <c r="N225" i="8"/>
  <c r="I226" i="8"/>
  <c r="K226" i="8"/>
  <c r="L226" i="8"/>
  <c r="M226" i="8"/>
  <c r="N226" i="8"/>
  <c r="K227" i="8"/>
  <c r="L227" i="8"/>
  <c r="M227" i="8"/>
  <c r="N227" i="8"/>
  <c r="K228" i="8"/>
  <c r="L228" i="8"/>
  <c r="M228" i="8"/>
  <c r="N228" i="8"/>
  <c r="I229" i="8"/>
  <c r="K229" i="8"/>
  <c r="L229" i="8"/>
  <c r="M229" i="8"/>
  <c r="N229" i="8"/>
  <c r="K230" i="8"/>
  <c r="L230" i="8"/>
  <c r="M230" i="8"/>
  <c r="N230" i="8"/>
  <c r="I231" i="8"/>
  <c r="K231" i="8"/>
  <c r="L231" i="8"/>
  <c r="M231" i="8"/>
  <c r="N231" i="8"/>
  <c r="K232" i="8"/>
  <c r="L232" i="8"/>
  <c r="M232" i="8"/>
  <c r="N232" i="8"/>
  <c r="K233" i="8"/>
  <c r="L233" i="8"/>
  <c r="M233" i="8"/>
  <c r="N233" i="8"/>
  <c r="K234" i="8"/>
  <c r="L234" i="8"/>
  <c r="M234" i="8"/>
  <c r="N234" i="8"/>
  <c r="K235" i="8"/>
  <c r="L235" i="8"/>
  <c r="M235" i="8"/>
  <c r="N235" i="8"/>
  <c r="I236" i="8"/>
  <c r="K236" i="8"/>
  <c r="L236" i="8"/>
  <c r="M236" i="8"/>
  <c r="N236" i="8"/>
  <c r="I237" i="8"/>
  <c r="K237" i="8"/>
  <c r="L237" i="8"/>
  <c r="M237" i="8"/>
  <c r="N237" i="8"/>
  <c r="I238" i="8"/>
  <c r="K238" i="8"/>
  <c r="L238" i="8"/>
  <c r="M238" i="8"/>
  <c r="N238" i="8"/>
  <c r="I239" i="8"/>
  <c r="K239" i="8"/>
  <c r="L239" i="8"/>
  <c r="M239" i="8"/>
  <c r="N239" i="8"/>
  <c r="I240" i="8"/>
  <c r="K240" i="8"/>
  <c r="L240" i="8"/>
  <c r="M240" i="8"/>
  <c r="N240" i="8"/>
  <c r="I241" i="8"/>
  <c r="K241" i="8"/>
  <c r="L241" i="8"/>
  <c r="M241" i="8"/>
  <c r="N241" i="8"/>
  <c r="K242" i="8"/>
  <c r="L242" i="8"/>
  <c r="M242" i="8"/>
  <c r="N242" i="8"/>
  <c r="K243" i="8"/>
  <c r="L243" i="8"/>
  <c r="M243" i="8"/>
  <c r="N243" i="8"/>
  <c r="I244" i="8"/>
  <c r="K244" i="8"/>
  <c r="L244" i="8"/>
  <c r="M244" i="8"/>
  <c r="N244" i="8"/>
  <c r="K245" i="8"/>
  <c r="L245" i="8"/>
  <c r="M245" i="8"/>
  <c r="N245" i="8"/>
  <c r="K246" i="8"/>
  <c r="L246" i="8"/>
  <c r="M246" i="8"/>
  <c r="N246" i="8"/>
  <c r="I247" i="8"/>
  <c r="K247" i="8"/>
  <c r="L247" i="8"/>
  <c r="M247" i="8"/>
  <c r="N247" i="8"/>
  <c r="K248" i="8"/>
  <c r="L248" i="8"/>
  <c r="M248" i="8"/>
  <c r="N248" i="8"/>
  <c r="I249" i="8"/>
  <c r="K249" i="8"/>
  <c r="L249" i="8"/>
  <c r="M249" i="8"/>
  <c r="N249" i="8"/>
  <c r="I250" i="8"/>
  <c r="K250" i="8"/>
  <c r="L250" i="8"/>
  <c r="M250" i="8"/>
  <c r="N250" i="8"/>
  <c r="K251" i="8"/>
  <c r="L251" i="8"/>
  <c r="M251" i="8"/>
  <c r="N251" i="8"/>
  <c r="I252" i="8"/>
  <c r="K252" i="8"/>
  <c r="L252" i="8"/>
  <c r="M252" i="8"/>
  <c r="N252" i="8"/>
  <c r="I253" i="8"/>
  <c r="K253" i="8"/>
  <c r="L253" i="8"/>
  <c r="M253" i="8"/>
  <c r="N253" i="8"/>
  <c r="I254" i="8"/>
  <c r="K254" i="8"/>
  <c r="L254" i="8"/>
  <c r="M254" i="8"/>
  <c r="N254" i="8"/>
  <c r="I255" i="8"/>
  <c r="K255" i="8"/>
  <c r="L255" i="8"/>
  <c r="M255" i="8"/>
  <c r="N255" i="8"/>
  <c r="I256" i="8"/>
  <c r="K256" i="8"/>
  <c r="L256" i="8"/>
  <c r="M256" i="8"/>
  <c r="N256" i="8"/>
  <c r="I257" i="8"/>
  <c r="K257" i="8"/>
  <c r="L257" i="8"/>
  <c r="M257" i="8"/>
  <c r="N257" i="8"/>
  <c r="K258" i="8"/>
  <c r="L258" i="8"/>
  <c r="M258" i="8"/>
  <c r="N258" i="8"/>
  <c r="I259" i="8"/>
  <c r="K259" i="8"/>
  <c r="L259" i="8"/>
  <c r="M259" i="8"/>
  <c r="N259" i="8"/>
  <c r="I260" i="8"/>
  <c r="K260" i="8"/>
  <c r="L260" i="8"/>
  <c r="M260" i="8"/>
  <c r="N260" i="8"/>
  <c r="I261" i="8"/>
  <c r="K261" i="8"/>
  <c r="L261" i="8"/>
  <c r="M261" i="8"/>
  <c r="N261" i="8"/>
  <c r="I262" i="8"/>
  <c r="K262" i="8"/>
  <c r="L262" i="8"/>
  <c r="M262" i="8"/>
  <c r="N262" i="8"/>
  <c r="I263" i="8"/>
  <c r="K263" i="8"/>
  <c r="L263" i="8"/>
  <c r="M263" i="8"/>
  <c r="N263" i="8"/>
  <c r="I264" i="8"/>
  <c r="K264" i="8"/>
  <c r="L264" i="8"/>
  <c r="M264" i="8"/>
  <c r="N264" i="8"/>
  <c r="I265" i="8"/>
  <c r="K265" i="8"/>
  <c r="L265" i="8"/>
  <c r="M265" i="8"/>
  <c r="N265" i="8"/>
  <c r="I266" i="8"/>
  <c r="K266" i="8"/>
  <c r="L266" i="8"/>
  <c r="M266" i="8"/>
  <c r="N266" i="8"/>
  <c r="I267" i="8"/>
  <c r="K267" i="8"/>
  <c r="L267" i="8"/>
  <c r="M267" i="8"/>
  <c r="N267" i="8"/>
  <c r="I268" i="8"/>
  <c r="K268" i="8"/>
  <c r="L268" i="8"/>
  <c r="M268" i="8"/>
  <c r="N268" i="8"/>
  <c r="I269" i="8"/>
  <c r="K269" i="8"/>
  <c r="L269" i="8"/>
  <c r="M269" i="8"/>
  <c r="N269" i="8"/>
  <c r="I270" i="8"/>
  <c r="K270" i="8"/>
  <c r="L270" i="8"/>
  <c r="M270" i="8"/>
  <c r="N270" i="8"/>
  <c r="I271" i="8"/>
  <c r="K271" i="8"/>
  <c r="L271" i="8"/>
  <c r="M271" i="8"/>
  <c r="N271" i="8"/>
  <c r="I272" i="8"/>
  <c r="K272" i="8"/>
  <c r="L272" i="8"/>
  <c r="M272" i="8"/>
  <c r="N272" i="8"/>
  <c r="I273" i="8"/>
  <c r="K273" i="8"/>
  <c r="L273" i="8"/>
  <c r="M273" i="8"/>
  <c r="N273" i="8"/>
  <c r="I274" i="8"/>
  <c r="K274" i="8"/>
  <c r="L274" i="8"/>
  <c r="M274" i="8"/>
  <c r="N274" i="8"/>
  <c r="I275" i="8"/>
  <c r="K275" i="8"/>
  <c r="L275" i="8"/>
  <c r="M275" i="8"/>
  <c r="N275" i="8"/>
  <c r="I276" i="8"/>
  <c r="K276" i="8"/>
  <c r="L276" i="8"/>
  <c r="M276" i="8"/>
  <c r="N276" i="8"/>
  <c r="I277" i="8"/>
  <c r="K277" i="8"/>
  <c r="L277" i="8"/>
  <c r="M277" i="8"/>
  <c r="N277" i="8"/>
  <c r="I278" i="8"/>
  <c r="K278" i="8"/>
  <c r="L278" i="8"/>
  <c r="M278" i="8"/>
  <c r="N278" i="8"/>
  <c r="I279" i="8"/>
  <c r="K279" i="8"/>
  <c r="L279" i="8"/>
  <c r="M279" i="8"/>
  <c r="N279" i="8"/>
  <c r="I280" i="8"/>
  <c r="K280" i="8"/>
  <c r="L280" i="8"/>
  <c r="M280" i="8"/>
  <c r="N280" i="8"/>
  <c r="I281" i="8"/>
  <c r="K281" i="8"/>
  <c r="L281" i="8"/>
  <c r="M281" i="8"/>
  <c r="N281" i="8"/>
  <c r="I282" i="8"/>
  <c r="K282" i="8"/>
  <c r="L282" i="8"/>
  <c r="M282" i="8"/>
  <c r="N282" i="8"/>
  <c r="I283" i="8"/>
  <c r="K283" i="8"/>
  <c r="L283" i="8"/>
  <c r="M283" i="8"/>
  <c r="N283" i="8"/>
  <c r="I284" i="8"/>
  <c r="K284" i="8"/>
  <c r="L284" i="8"/>
  <c r="M284" i="8"/>
  <c r="N284" i="8"/>
  <c r="I285" i="8"/>
  <c r="K285" i="8"/>
  <c r="L285" i="8"/>
  <c r="M285" i="8"/>
  <c r="N285" i="8"/>
  <c r="I286" i="8"/>
  <c r="K286" i="8"/>
  <c r="L286" i="8"/>
  <c r="M286" i="8"/>
  <c r="N286" i="8"/>
  <c r="I287" i="8"/>
  <c r="K287" i="8"/>
  <c r="L287" i="8"/>
  <c r="M287" i="8"/>
  <c r="N287" i="8"/>
  <c r="I288" i="8"/>
  <c r="K288" i="8"/>
  <c r="L288" i="8"/>
  <c r="M288" i="8"/>
  <c r="N288" i="8"/>
  <c r="I289" i="8"/>
  <c r="K289" i="8"/>
  <c r="L289" i="8"/>
  <c r="M289" i="8"/>
  <c r="N289" i="8"/>
  <c r="I290" i="8"/>
  <c r="K290" i="8"/>
  <c r="L290" i="8"/>
  <c r="M290" i="8"/>
  <c r="N290" i="8"/>
  <c r="I291" i="8"/>
  <c r="K291" i="8"/>
  <c r="L291" i="8"/>
  <c r="M291" i="8"/>
  <c r="N291" i="8"/>
  <c r="I292" i="8"/>
  <c r="K292" i="8"/>
  <c r="L292" i="8"/>
  <c r="M292" i="8"/>
  <c r="N292" i="8"/>
  <c r="I293" i="8"/>
  <c r="K293" i="8"/>
  <c r="L293" i="8"/>
  <c r="M293" i="8"/>
  <c r="N293" i="8"/>
  <c r="I294" i="8"/>
  <c r="K294" i="8"/>
  <c r="L294" i="8"/>
  <c r="M294" i="8"/>
  <c r="N294" i="8"/>
  <c r="I295" i="8"/>
  <c r="K295" i="8"/>
  <c r="L295" i="8"/>
  <c r="M295" i="8"/>
  <c r="N295" i="8"/>
  <c r="I296" i="8"/>
  <c r="K296" i="8"/>
  <c r="L296" i="8"/>
  <c r="M296" i="8"/>
  <c r="N296" i="8"/>
  <c r="I297" i="8"/>
  <c r="K297" i="8"/>
  <c r="L297" i="8"/>
  <c r="M297" i="8"/>
  <c r="N297" i="8"/>
  <c r="I298" i="8"/>
  <c r="K298" i="8"/>
  <c r="L298" i="8"/>
  <c r="M298" i="8"/>
  <c r="N298" i="8"/>
  <c r="I299" i="8"/>
  <c r="K299" i="8"/>
  <c r="L299" i="8"/>
  <c r="M299" i="8"/>
  <c r="N299" i="8"/>
  <c r="I300" i="8"/>
  <c r="K300" i="8"/>
  <c r="L300" i="8"/>
  <c r="M300" i="8"/>
  <c r="N300" i="8"/>
  <c r="I301" i="8"/>
  <c r="K301" i="8"/>
  <c r="L301" i="8"/>
  <c r="M301" i="8"/>
  <c r="N301" i="8"/>
  <c r="I302" i="8"/>
  <c r="K302" i="8"/>
  <c r="L302" i="8"/>
  <c r="M302" i="8"/>
  <c r="N302" i="8"/>
  <c r="I303" i="8"/>
  <c r="K303" i="8"/>
  <c r="L303" i="8"/>
  <c r="M303" i="8"/>
  <c r="N303" i="8"/>
  <c r="I304" i="8"/>
  <c r="K304" i="8"/>
  <c r="L304" i="8"/>
  <c r="M304" i="8"/>
  <c r="N304" i="8"/>
  <c r="I305" i="8"/>
  <c r="K305" i="8"/>
  <c r="L305" i="8"/>
  <c r="M305" i="8"/>
  <c r="N305" i="8"/>
  <c r="I306" i="8"/>
  <c r="K306" i="8"/>
  <c r="L306" i="8"/>
  <c r="M306" i="8"/>
  <c r="N306" i="8"/>
  <c r="I307" i="8"/>
  <c r="K307" i="8"/>
  <c r="L307" i="8"/>
  <c r="M307" i="8"/>
  <c r="N307" i="8"/>
  <c r="I308" i="8"/>
  <c r="K308" i="8"/>
  <c r="L308" i="8"/>
  <c r="M308" i="8"/>
  <c r="N308" i="8"/>
  <c r="I309" i="8"/>
  <c r="K309" i="8"/>
  <c r="L309" i="8"/>
  <c r="M309" i="8"/>
  <c r="N309" i="8"/>
  <c r="I310" i="8"/>
  <c r="K310" i="8"/>
  <c r="L310" i="8"/>
  <c r="M310" i="8"/>
  <c r="N310" i="8"/>
  <c r="I311" i="8"/>
  <c r="K311" i="8"/>
  <c r="L311" i="8"/>
  <c r="M311" i="8"/>
  <c r="N311" i="8"/>
  <c r="I312" i="8"/>
  <c r="K312" i="8"/>
  <c r="L312" i="8"/>
  <c r="M312" i="8"/>
  <c r="N312" i="8"/>
  <c r="I313" i="8"/>
  <c r="K313" i="8"/>
  <c r="L313" i="8"/>
  <c r="M313" i="8"/>
  <c r="N313" i="8"/>
  <c r="I314" i="8"/>
  <c r="K314" i="8"/>
  <c r="L314" i="8"/>
  <c r="M314" i="8"/>
  <c r="N314" i="8"/>
  <c r="K315" i="8"/>
  <c r="L315" i="8"/>
  <c r="M315" i="8"/>
  <c r="N315" i="8"/>
  <c r="K316" i="8"/>
  <c r="L316" i="8"/>
  <c r="M316" i="8"/>
  <c r="N316" i="8"/>
  <c r="I317" i="8"/>
  <c r="K317" i="8"/>
  <c r="L317" i="8"/>
  <c r="M317" i="8"/>
  <c r="N317" i="8"/>
  <c r="I318" i="8"/>
  <c r="K318" i="8"/>
  <c r="L318" i="8"/>
  <c r="M318" i="8"/>
  <c r="N318" i="8"/>
  <c r="I319" i="8"/>
  <c r="K319" i="8"/>
  <c r="L319" i="8"/>
  <c r="M319" i="8"/>
  <c r="N319" i="8"/>
  <c r="I320" i="8"/>
  <c r="K320" i="8"/>
  <c r="L320" i="8"/>
  <c r="M320" i="8"/>
  <c r="N320" i="8"/>
  <c r="I321" i="8"/>
  <c r="K321" i="8"/>
  <c r="L321" i="8"/>
  <c r="M321" i="8"/>
  <c r="N321" i="8"/>
  <c r="I322" i="8"/>
  <c r="K322" i="8"/>
  <c r="L322" i="8"/>
  <c r="M322" i="8"/>
  <c r="N322" i="8"/>
  <c r="I323" i="8"/>
  <c r="K323" i="8"/>
  <c r="L323" i="8"/>
  <c r="M323" i="8"/>
  <c r="N323" i="8"/>
  <c r="I324" i="8"/>
  <c r="K324" i="8"/>
  <c r="L324" i="8"/>
  <c r="M324" i="8"/>
  <c r="N324" i="8"/>
  <c r="I325" i="8"/>
  <c r="K325" i="8"/>
  <c r="L325" i="8"/>
  <c r="M325" i="8"/>
  <c r="N325" i="8"/>
  <c r="I326" i="8"/>
  <c r="K326" i="8"/>
  <c r="L326" i="8"/>
  <c r="M326" i="8"/>
  <c r="N326" i="8"/>
  <c r="I327" i="8"/>
  <c r="K327" i="8"/>
  <c r="L327" i="8"/>
  <c r="M327" i="8"/>
  <c r="N327" i="8"/>
  <c r="K328" i="8"/>
  <c r="L328" i="8"/>
  <c r="M328" i="8"/>
  <c r="N328" i="8"/>
  <c r="I329" i="8"/>
  <c r="K329" i="8"/>
  <c r="L329" i="8"/>
  <c r="M329" i="8"/>
  <c r="N329" i="8"/>
  <c r="I330" i="8"/>
  <c r="K330" i="8"/>
  <c r="L330" i="8"/>
  <c r="M330" i="8"/>
  <c r="N330" i="8"/>
  <c r="I331" i="8"/>
  <c r="K331" i="8"/>
  <c r="L331" i="8"/>
  <c r="M331" i="8"/>
  <c r="N331" i="8"/>
  <c r="I332" i="8"/>
  <c r="K332" i="8"/>
  <c r="L332" i="8"/>
  <c r="M332" i="8"/>
  <c r="N332" i="8"/>
  <c r="I333" i="8"/>
  <c r="K333" i="8"/>
  <c r="L333" i="8"/>
  <c r="M333" i="8"/>
  <c r="N333" i="8"/>
  <c r="I334" i="8"/>
  <c r="K334" i="8"/>
  <c r="L334" i="8"/>
  <c r="M334" i="8"/>
  <c r="N334" i="8"/>
  <c r="I335" i="8"/>
  <c r="K335" i="8"/>
  <c r="L335" i="8"/>
  <c r="M335" i="8"/>
  <c r="N335" i="8"/>
  <c r="K336" i="8"/>
  <c r="L336" i="8"/>
  <c r="M336" i="8"/>
  <c r="N336" i="8"/>
  <c r="I337" i="8"/>
  <c r="K337" i="8"/>
  <c r="L337" i="8"/>
  <c r="M337" i="8"/>
  <c r="N337" i="8"/>
  <c r="I338" i="8"/>
  <c r="K338" i="8"/>
  <c r="L338" i="8"/>
  <c r="M338" i="8"/>
  <c r="N338" i="8"/>
  <c r="I339" i="8"/>
  <c r="K339" i="8"/>
  <c r="L339" i="8"/>
  <c r="M339" i="8"/>
  <c r="N339" i="8"/>
  <c r="I340" i="8"/>
  <c r="K340" i="8"/>
  <c r="L340" i="8"/>
  <c r="M340" i="8"/>
  <c r="N340" i="8"/>
  <c r="I341" i="8"/>
  <c r="K341" i="8"/>
  <c r="L341" i="8"/>
  <c r="M341" i="8"/>
  <c r="N341" i="8"/>
  <c r="I342" i="8"/>
  <c r="K342" i="8"/>
  <c r="L342" i="8"/>
  <c r="M342" i="8"/>
  <c r="N342" i="8"/>
  <c r="I343" i="8"/>
  <c r="K343" i="8"/>
  <c r="L343" i="8"/>
  <c r="M343" i="8"/>
  <c r="N343" i="8"/>
  <c r="I344" i="8"/>
  <c r="K344" i="8"/>
  <c r="L344" i="8"/>
  <c r="M344" i="8"/>
  <c r="N344" i="8"/>
  <c r="I345" i="8"/>
  <c r="K345" i="8"/>
  <c r="L345" i="8"/>
  <c r="M345" i="8"/>
  <c r="N345" i="8"/>
  <c r="I346" i="8"/>
  <c r="K346" i="8"/>
  <c r="L346" i="8"/>
  <c r="M346" i="8"/>
  <c r="N346" i="8"/>
  <c r="I347" i="8"/>
  <c r="K347" i="8"/>
  <c r="L347" i="8"/>
  <c r="M347" i="8"/>
  <c r="N347" i="8"/>
  <c r="I348" i="8"/>
  <c r="K348" i="8"/>
  <c r="L348" i="8"/>
  <c r="M348" i="8"/>
  <c r="N348" i="8"/>
  <c r="I349" i="8"/>
  <c r="K349" i="8"/>
  <c r="L349" i="8"/>
  <c r="M349" i="8"/>
  <c r="N349" i="8"/>
  <c r="I350" i="8"/>
  <c r="K350" i="8"/>
  <c r="L350" i="8"/>
  <c r="M350" i="8"/>
  <c r="N350" i="8"/>
  <c r="I351" i="8"/>
  <c r="K351" i="8"/>
  <c r="L351" i="8"/>
  <c r="M351" i="8"/>
  <c r="N351" i="8"/>
  <c r="K352" i="8"/>
  <c r="L352" i="8"/>
  <c r="M352" i="8"/>
  <c r="N352" i="8"/>
  <c r="I353" i="8"/>
  <c r="K353" i="8"/>
  <c r="L353" i="8"/>
  <c r="M353" i="8"/>
  <c r="N353" i="8"/>
  <c r="I354" i="8"/>
  <c r="K354" i="8"/>
  <c r="L354" i="8"/>
  <c r="M354" i="8"/>
  <c r="N354" i="8"/>
  <c r="I355" i="8"/>
  <c r="K355" i="8"/>
  <c r="L355" i="8"/>
  <c r="M355" i="8"/>
  <c r="N355" i="8"/>
  <c r="I356" i="8"/>
  <c r="K356" i="8"/>
  <c r="L356" i="8"/>
  <c r="M356" i="8"/>
  <c r="N356" i="8"/>
  <c r="I357" i="8"/>
  <c r="K357" i="8"/>
  <c r="L357" i="8"/>
  <c r="M357" i="8"/>
  <c r="N357" i="8"/>
  <c r="I358" i="8"/>
  <c r="K358" i="8"/>
  <c r="L358" i="8"/>
  <c r="M358" i="8"/>
  <c r="N358" i="8"/>
  <c r="I359" i="8"/>
  <c r="K359" i="8"/>
  <c r="L359" i="8"/>
  <c r="M359" i="8"/>
  <c r="N359" i="8"/>
  <c r="I360" i="8"/>
  <c r="K360" i="8"/>
  <c r="L360" i="8"/>
  <c r="M360" i="8"/>
  <c r="N360" i="8"/>
  <c r="I361" i="8"/>
  <c r="K361" i="8"/>
  <c r="L361" i="8"/>
  <c r="M361" i="8"/>
  <c r="N361" i="8"/>
  <c r="I362" i="8"/>
  <c r="K362" i="8"/>
  <c r="L362" i="8"/>
  <c r="M362" i="8"/>
  <c r="N362" i="8"/>
  <c r="I363" i="8"/>
  <c r="K363" i="8"/>
  <c r="L363" i="8"/>
  <c r="M363" i="8"/>
  <c r="N363" i="8"/>
  <c r="I364" i="8"/>
  <c r="K364" i="8"/>
  <c r="L364" i="8"/>
  <c r="M364" i="8"/>
  <c r="N364" i="8"/>
  <c r="I365" i="8"/>
  <c r="K365" i="8"/>
  <c r="L365" i="8"/>
  <c r="M365" i="8"/>
  <c r="N365" i="8"/>
  <c r="I366" i="8"/>
  <c r="K366" i="8"/>
  <c r="L366" i="8"/>
  <c r="M366" i="8"/>
  <c r="N366" i="8"/>
  <c r="I367" i="8"/>
  <c r="K367" i="8"/>
  <c r="L367" i="8"/>
  <c r="M367" i="8"/>
  <c r="N367" i="8"/>
  <c r="I368" i="8"/>
  <c r="K368" i="8"/>
  <c r="L368" i="8"/>
  <c r="M368" i="8"/>
  <c r="N368" i="8"/>
  <c r="I369" i="8"/>
  <c r="K369" i="8"/>
  <c r="L369" i="8"/>
  <c r="M369" i="8"/>
  <c r="N369" i="8"/>
  <c r="I370" i="8"/>
  <c r="K370" i="8"/>
  <c r="L370" i="8"/>
  <c r="M370" i="8"/>
  <c r="N370" i="8"/>
  <c r="I371" i="8"/>
  <c r="K371" i="8"/>
  <c r="L371" i="8"/>
  <c r="M371" i="8"/>
  <c r="N371" i="8"/>
  <c r="I372" i="8"/>
  <c r="K372" i="8"/>
  <c r="L372" i="8"/>
  <c r="M372" i="8"/>
  <c r="N372" i="8"/>
  <c r="I373" i="8"/>
  <c r="K373" i="8"/>
  <c r="L373" i="8"/>
  <c r="M373" i="8"/>
  <c r="N373" i="8"/>
  <c r="I374" i="8"/>
  <c r="K374" i="8"/>
  <c r="L374" i="8"/>
  <c r="M374" i="8"/>
  <c r="N374" i="8"/>
  <c r="I375" i="8"/>
  <c r="K375" i="8"/>
  <c r="L375" i="8"/>
  <c r="M375" i="8"/>
  <c r="N375" i="8"/>
  <c r="I376" i="8"/>
  <c r="K376" i="8"/>
  <c r="L376" i="8"/>
  <c r="M376" i="8"/>
  <c r="N376" i="8"/>
  <c r="I377" i="8"/>
  <c r="K377" i="8"/>
  <c r="L377" i="8"/>
  <c r="M377" i="8"/>
  <c r="N377" i="8"/>
  <c r="I378" i="8"/>
  <c r="K378" i="8"/>
  <c r="L378" i="8"/>
  <c r="M378" i="8"/>
  <c r="N378" i="8"/>
  <c r="I379" i="8"/>
  <c r="K379" i="8"/>
  <c r="L379" i="8"/>
  <c r="M379" i="8"/>
  <c r="N379" i="8"/>
  <c r="I380" i="8"/>
  <c r="K380" i="8"/>
  <c r="L380" i="8"/>
  <c r="M380" i="8"/>
  <c r="N380" i="8"/>
  <c r="I381" i="8"/>
  <c r="K381" i="8"/>
  <c r="L381" i="8"/>
  <c r="M381" i="8"/>
  <c r="N381" i="8"/>
  <c r="I382" i="8"/>
  <c r="K382" i="8"/>
  <c r="L382" i="8"/>
  <c r="M382" i="8"/>
  <c r="N382" i="8"/>
  <c r="I383" i="8"/>
  <c r="K383" i="8"/>
  <c r="L383" i="8"/>
  <c r="M383" i="8"/>
  <c r="N383" i="8"/>
  <c r="I384" i="8"/>
  <c r="K384" i="8"/>
  <c r="L384" i="8"/>
  <c r="M384" i="8"/>
  <c r="N384" i="8"/>
  <c r="I385" i="8"/>
  <c r="K385" i="8"/>
  <c r="L385" i="8"/>
  <c r="M385" i="8"/>
  <c r="N385" i="8"/>
  <c r="I386" i="8"/>
  <c r="K386" i="8"/>
  <c r="L386" i="8"/>
  <c r="M386" i="8"/>
  <c r="N386" i="8"/>
  <c r="I387" i="8"/>
  <c r="K387" i="8"/>
  <c r="L387" i="8"/>
  <c r="M387" i="8"/>
  <c r="N387" i="8"/>
  <c r="I388" i="8"/>
  <c r="K388" i="8"/>
  <c r="L388" i="8"/>
  <c r="M388" i="8"/>
  <c r="N388" i="8"/>
  <c r="I389" i="8"/>
  <c r="K389" i="8"/>
  <c r="L389" i="8"/>
  <c r="M389" i="8"/>
  <c r="N389" i="8"/>
  <c r="I390" i="8"/>
  <c r="K390" i="8"/>
  <c r="L390" i="8"/>
  <c r="M390" i="8"/>
  <c r="N390" i="8"/>
  <c r="I391" i="8"/>
  <c r="K391" i="8"/>
  <c r="L391" i="8"/>
  <c r="M391" i="8"/>
  <c r="N391" i="8"/>
  <c r="I392" i="8"/>
  <c r="K392" i="8"/>
  <c r="L392" i="8"/>
  <c r="M392" i="8"/>
  <c r="N392" i="8"/>
  <c r="I393" i="8"/>
  <c r="K393" i="8"/>
  <c r="L393" i="8"/>
  <c r="M393" i="8"/>
  <c r="N393" i="8"/>
  <c r="I394" i="8"/>
  <c r="K394" i="8"/>
  <c r="L394" i="8"/>
  <c r="M394" i="8"/>
  <c r="N394" i="8"/>
  <c r="I395" i="8"/>
  <c r="K395" i="8"/>
  <c r="L395" i="8"/>
  <c r="M395" i="8"/>
  <c r="N395" i="8"/>
  <c r="I396" i="8"/>
  <c r="K396" i="8"/>
  <c r="L396" i="8"/>
  <c r="M396" i="8"/>
  <c r="N396" i="8"/>
  <c r="I397" i="8"/>
  <c r="K397" i="8"/>
  <c r="L397" i="8"/>
  <c r="M397" i="8"/>
  <c r="N397" i="8"/>
  <c r="I398" i="8"/>
  <c r="K398" i="8"/>
  <c r="L398" i="8"/>
  <c r="M398" i="8"/>
  <c r="N398" i="8"/>
  <c r="I399" i="8"/>
  <c r="K399" i="8"/>
  <c r="L399" i="8"/>
  <c r="M399" i="8"/>
  <c r="N399" i="8"/>
  <c r="I400" i="8"/>
  <c r="K400" i="8"/>
  <c r="L400" i="8"/>
  <c r="M400" i="8"/>
  <c r="N400" i="8"/>
  <c r="I401" i="8"/>
  <c r="K401" i="8"/>
  <c r="L401" i="8"/>
  <c r="M401" i="8"/>
  <c r="N401" i="8"/>
  <c r="I402" i="8"/>
  <c r="K402" i="8"/>
  <c r="L402" i="8"/>
  <c r="M402" i="8"/>
  <c r="N402" i="8"/>
  <c r="I403" i="8"/>
  <c r="K403" i="8"/>
  <c r="L403" i="8"/>
  <c r="M403" i="8"/>
  <c r="N403" i="8"/>
  <c r="I404" i="8"/>
  <c r="K404" i="8"/>
  <c r="L404" i="8"/>
  <c r="M404" i="8"/>
  <c r="N404" i="8"/>
  <c r="I405" i="8"/>
  <c r="K405" i="8"/>
  <c r="L405" i="8"/>
  <c r="M405" i="8"/>
  <c r="N405" i="8"/>
  <c r="I406" i="8"/>
  <c r="K406" i="8"/>
  <c r="L406" i="8"/>
  <c r="M406" i="8"/>
  <c r="N406" i="8"/>
  <c r="I407" i="8"/>
  <c r="K407" i="8"/>
  <c r="L407" i="8"/>
  <c r="M407" i="8"/>
  <c r="N407" i="8"/>
  <c r="I408" i="8"/>
  <c r="K408" i="8"/>
  <c r="L408" i="8"/>
  <c r="M408" i="8"/>
  <c r="N408" i="8"/>
  <c r="I409" i="8"/>
  <c r="K409" i="8"/>
  <c r="L409" i="8"/>
  <c r="M409" i="8"/>
  <c r="N409" i="8"/>
  <c r="I410" i="8"/>
  <c r="K410" i="8"/>
  <c r="L410" i="8"/>
  <c r="M410" i="8"/>
  <c r="N410" i="8"/>
  <c r="I411" i="8"/>
  <c r="K411" i="8"/>
  <c r="L411" i="8"/>
  <c r="M411" i="8"/>
  <c r="N411" i="8"/>
  <c r="I412" i="8"/>
  <c r="K412" i="8"/>
  <c r="L412" i="8"/>
  <c r="M412" i="8"/>
  <c r="N412" i="8"/>
  <c r="I413" i="8"/>
  <c r="K413" i="8"/>
  <c r="L413" i="8"/>
  <c r="M413" i="8"/>
  <c r="N413" i="8"/>
  <c r="I414" i="8"/>
  <c r="K414" i="8"/>
  <c r="L414" i="8"/>
  <c r="M414" i="8"/>
  <c r="N414" i="8"/>
  <c r="I415" i="8"/>
  <c r="K415" i="8"/>
  <c r="L415" i="8"/>
  <c r="M415" i="8"/>
  <c r="N415" i="8"/>
  <c r="I416" i="8"/>
  <c r="K416" i="8"/>
  <c r="L416" i="8"/>
  <c r="M416" i="8"/>
  <c r="N416" i="8"/>
  <c r="I417" i="8"/>
  <c r="K417" i="8"/>
  <c r="L417" i="8"/>
  <c r="M417" i="8"/>
  <c r="N417" i="8"/>
  <c r="I418" i="8"/>
  <c r="K418" i="8"/>
  <c r="L418" i="8"/>
  <c r="M418" i="8"/>
  <c r="N418" i="8"/>
  <c r="I419" i="8"/>
  <c r="K419" i="8"/>
  <c r="L419" i="8"/>
  <c r="M419" i="8"/>
  <c r="N419" i="8"/>
  <c r="I420" i="8"/>
  <c r="K420" i="8"/>
  <c r="L420" i="8"/>
  <c r="M420" i="8"/>
  <c r="N420" i="8"/>
  <c r="I421" i="8"/>
  <c r="K421" i="8"/>
  <c r="L421" i="8"/>
  <c r="M421" i="8"/>
  <c r="N421" i="8"/>
  <c r="I422" i="8"/>
  <c r="K422" i="8"/>
  <c r="L422" i="8"/>
  <c r="M422" i="8"/>
  <c r="N422" i="8"/>
  <c r="I423" i="8"/>
  <c r="K423" i="8"/>
  <c r="L423" i="8"/>
  <c r="M423" i="8"/>
  <c r="N423" i="8"/>
  <c r="I424" i="8"/>
  <c r="K424" i="8"/>
  <c r="L424" i="8"/>
  <c r="M424" i="8"/>
  <c r="N424" i="8"/>
  <c r="I425" i="8"/>
  <c r="K425" i="8"/>
  <c r="L425" i="8"/>
  <c r="M425" i="8"/>
  <c r="N425" i="8"/>
  <c r="I426" i="8"/>
  <c r="K426" i="8"/>
  <c r="L426" i="8"/>
  <c r="M426" i="8"/>
  <c r="N426" i="8"/>
  <c r="I427" i="8"/>
  <c r="K427" i="8"/>
  <c r="L427" i="8"/>
  <c r="M427" i="8"/>
  <c r="N427" i="8"/>
  <c r="I428" i="8"/>
  <c r="K428" i="8"/>
  <c r="L428" i="8"/>
  <c r="M428" i="8"/>
  <c r="N428" i="8"/>
  <c r="I429" i="8"/>
  <c r="K429" i="8"/>
  <c r="L429" i="8"/>
  <c r="M429" i="8"/>
  <c r="N429" i="8"/>
  <c r="I430" i="8"/>
  <c r="K430" i="8"/>
  <c r="L430" i="8"/>
  <c r="M430" i="8"/>
  <c r="N430" i="8"/>
  <c r="I431" i="8"/>
  <c r="K431" i="8"/>
  <c r="L431" i="8"/>
  <c r="M431" i="8"/>
  <c r="N431" i="8"/>
  <c r="I432" i="8"/>
  <c r="K432" i="8"/>
  <c r="L432" i="8"/>
  <c r="M432" i="8"/>
  <c r="N432" i="8"/>
  <c r="I433" i="8"/>
  <c r="K433" i="8"/>
  <c r="L433" i="8"/>
  <c r="M433" i="8"/>
  <c r="N433" i="8"/>
  <c r="I434" i="8"/>
  <c r="K434" i="8"/>
  <c r="L434" i="8"/>
  <c r="M434" i="8"/>
  <c r="N434" i="8"/>
  <c r="I435" i="8"/>
  <c r="K435" i="8"/>
  <c r="L435" i="8"/>
  <c r="M435" i="8"/>
  <c r="N435" i="8"/>
  <c r="I436" i="8"/>
  <c r="K436" i="8"/>
  <c r="L436" i="8"/>
  <c r="M436" i="8"/>
  <c r="N436" i="8"/>
  <c r="I437" i="8"/>
  <c r="K437" i="8"/>
  <c r="L437" i="8"/>
  <c r="M437" i="8"/>
  <c r="N437" i="8"/>
  <c r="I438" i="8"/>
  <c r="K438" i="8"/>
  <c r="L438" i="8"/>
  <c r="M438" i="8"/>
  <c r="N438" i="8"/>
  <c r="I439" i="8"/>
  <c r="K439" i="8"/>
  <c r="L439" i="8"/>
  <c r="M439" i="8"/>
  <c r="N439" i="8"/>
  <c r="I440" i="8"/>
  <c r="K440" i="8"/>
  <c r="L440" i="8"/>
  <c r="M440" i="8"/>
  <c r="N440" i="8"/>
  <c r="I441" i="8"/>
  <c r="K441" i="8"/>
  <c r="L441" i="8"/>
  <c r="M441" i="8"/>
  <c r="N441" i="8"/>
  <c r="I442" i="8"/>
  <c r="K442" i="8"/>
  <c r="L442" i="8"/>
  <c r="M442" i="8"/>
  <c r="N442" i="8"/>
  <c r="I443" i="8"/>
  <c r="K443" i="8"/>
  <c r="L443" i="8"/>
  <c r="M443" i="8"/>
  <c r="N443" i="8"/>
  <c r="I444" i="8"/>
  <c r="K444" i="8"/>
  <c r="L444" i="8"/>
  <c r="M444" i="8"/>
  <c r="N444" i="8"/>
  <c r="I445" i="8"/>
  <c r="K445" i="8"/>
  <c r="L445" i="8"/>
  <c r="M445" i="8"/>
  <c r="N445" i="8"/>
  <c r="I446" i="8"/>
  <c r="K446" i="8"/>
  <c r="L446" i="8"/>
  <c r="M446" i="8"/>
  <c r="N446" i="8"/>
  <c r="I447" i="8"/>
  <c r="K447" i="8"/>
  <c r="L447" i="8"/>
  <c r="M447" i="8"/>
  <c r="N447" i="8"/>
  <c r="I448" i="8"/>
  <c r="K448" i="8"/>
  <c r="L448" i="8"/>
  <c r="M448" i="8"/>
  <c r="N448" i="8"/>
  <c r="I449" i="8"/>
  <c r="K449" i="8"/>
  <c r="L449" i="8"/>
  <c r="M449" i="8"/>
  <c r="N449" i="8"/>
  <c r="I450" i="8"/>
  <c r="K450" i="8"/>
  <c r="L450" i="8"/>
  <c r="M450" i="8"/>
  <c r="N450" i="8"/>
  <c r="I451" i="8"/>
  <c r="K451" i="8"/>
  <c r="L451" i="8"/>
  <c r="M451" i="8"/>
  <c r="N451" i="8"/>
  <c r="I452" i="8"/>
  <c r="K452" i="8"/>
  <c r="L452" i="8"/>
  <c r="M452" i="8"/>
  <c r="N452" i="8"/>
  <c r="I453" i="8"/>
  <c r="K453" i="8"/>
  <c r="L453" i="8"/>
  <c r="M453" i="8"/>
  <c r="N453" i="8"/>
  <c r="I454" i="8"/>
  <c r="K454" i="8"/>
  <c r="L454" i="8"/>
  <c r="M454" i="8"/>
  <c r="N454" i="8"/>
  <c r="I455" i="8"/>
  <c r="K455" i="8"/>
  <c r="L455" i="8"/>
  <c r="M455" i="8"/>
  <c r="N455" i="8"/>
  <c r="I456" i="8"/>
  <c r="K456" i="8"/>
  <c r="L456" i="8"/>
  <c r="M456" i="8"/>
  <c r="N456" i="8"/>
  <c r="I457" i="8"/>
  <c r="K457" i="8"/>
  <c r="L457" i="8"/>
  <c r="M457" i="8"/>
  <c r="N457" i="8"/>
  <c r="I458" i="8"/>
  <c r="K458" i="8"/>
  <c r="L458" i="8"/>
  <c r="M458" i="8"/>
  <c r="N458" i="8"/>
  <c r="I459" i="8"/>
  <c r="K459" i="8"/>
  <c r="L459" i="8"/>
  <c r="M459" i="8"/>
  <c r="N459" i="8"/>
  <c r="I460" i="8"/>
  <c r="K460" i="8"/>
  <c r="L460" i="8"/>
  <c r="M460" i="8"/>
  <c r="N460" i="8"/>
  <c r="I461" i="8"/>
  <c r="K461" i="8"/>
  <c r="L461" i="8"/>
  <c r="M461" i="8"/>
  <c r="N461" i="8"/>
  <c r="I462" i="8"/>
  <c r="K462" i="8"/>
  <c r="L462" i="8"/>
  <c r="M462" i="8"/>
  <c r="N462" i="8"/>
  <c r="I463" i="8"/>
  <c r="K463" i="8"/>
  <c r="L463" i="8"/>
  <c r="M463" i="8"/>
  <c r="N463" i="8"/>
  <c r="I464" i="8"/>
  <c r="K464" i="8"/>
  <c r="L464" i="8"/>
  <c r="M464" i="8"/>
  <c r="N464" i="8"/>
  <c r="I465" i="8"/>
  <c r="K465" i="8"/>
  <c r="L465" i="8"/>
  <c r="M465" i="8"/>
  <c r="N465" i="8"/>
  <c r="I466" i="8"/>
  <c r="K466" i="8"/>
  <c r="L466" i="8"/>
  <c r="M466" i="8"/>
  <c r="N466" i="8"/>
  <c r="I467" i="8"/>
  <c r="K467" i="8"/>
  <c r="L467" i="8"/>
  <c r="M467" i="8"/>
  <c r="N467" i="8"/>
  <c r="I468" i="8"/>
  <c r="K468" i="8"/>
  <c r="L468" i="8"/>
  <c r="M468" i="8"/>
  <c r="N468" i="8"/>
  <c r="I469" i="8"/>
  <c r="K469" i="8"/>
  <c r="L469" i="8"/>
  <c r="M469" i="8"/>
  <c r="N469" i="8"/>
  <c r="I470" i="8"/>
  <c r="K470" i="8"/>
  <c r="L470" i="8"/>
  <c r="M470" i="8"/>
  <c r="N470" i="8"/>
  <c r="I471" i="8"/>
  <c r="K471" i="8"/>
  <c r="L471" i="8"/>
  <c r="M471" i="8"/>
  <c r="N471" i="8"/>
  <c r="I472" i="8"/>
  <c r="K472" i="8"/>
  <c r="L472" i="8"/>
  <c r="M472" i="8"/>
  <c r="N472" i="8"/>
  <c r="I473" i="8"/>
  <c r="K473" i="8"/>
  <c r="L473" i="8"/>
  <c r="M473" i="8"/>
  <c r="N473" i="8"/>
  <c r="I474" i="8"/>
  <c r="K474" i="8"/>
  <c r="L474" i="8"/>
  <c r="M474" i="8"/>
  <c r="N474" i="8"/>
  <c r="I475" i="8"/>
  <c r="K475" i="8"/>
  <c r="L475" i="8"/>
  <c r="M475" i="8"/>
  <c r="N475" i="8"/>
  <c r="I476" i="8"/>
  <c r="K476" i="8"/>
  <c r="L476" i="8"/>
  <c r="M476" i="8"/>
  <c r="N476" i="8"/>
  <c r="I477" i="8"/>
  <c r="K477" i="8"/>
  <c r="L477" i="8"/>
  <c r="M477" i="8"/>
  <c r="N477" i="8"/>
  <c r="I478" i="8"/>
  <c r="K478" i="8"/>
  <c r="L478" i="8"/>
  <c r="M478" i="8"/>
  <c r="N478" i="8"/>
  <c r="I479" i="8"/>
  <c r="K479" i="8"/>
  <c r="L479" i="8"/>
  <c r="M479" i="8"/>
  <c r="N479" i="8"/>
  <c r="I480" i="8"/>
  <c r="K480" i="8"/>
  <c r="L480" i="8"/>
  <c r="M480" i="8"/>
  <c r="N480" i="8"/>
  <c r="I481" i="8"/>
  <c r="K481" i="8"/>
  <c r="L481" i="8"/>
  <c r="M481" i="8"/>
  <c r="N481" i="8"/>
  <c r="I482" i="8"/>
  <c r="K482" i="8"/>
  <c r="L482" i="8"/>
  <c r="M482" i="8"/>
  <c r="N482" i="8"/>
  <c r="I483" i="8"/>
  <c r="K483" i="8"/>
  <c r="L483" i="8"/>
  <c r="M483" i="8"/>
  <c r="N483" i="8"/>
  <c r="I484" i="8"/>
  <c r="K484" i="8"/>
  <c r="L484" i="8"/>
  <c r="M484" i="8"/>
  <c r="N484" i="8"/>
  <c r="I485" i="8"/>
  <c r="K485" i="8"/>
  <c r="L485" i="8"/>
  <c r="M485" i="8"/>
  <c r="N485" i="8"/>
  <c r="I486" i="8"/>
  <c r="K486" i="8"/>
  <c r="L486" i="8"/>
  <c r="M486" i="8"/>
  <c r="N486" i="8"/>
  <c r="I487" i="8"/>
  <c r="K487" i="8"/>
  <c r="L487" i="8"/>
  <c r="M487" i="8"/>
  <c r="N487" i="8"/>
  <c r="I488" i="8"/>
  <c r="K488" i="8"/>
  <c r="L488" i="8"/>
  <c r="M488" i="8"/>
  <c r="N488" i="8"/>
  <c r="I489" i="8"/>
  <c r="K489" i="8"/>
  <c r="L489" i="8"/>
  <c r="M489" i="8"/>
  <c r="N489" i="8"/>
  <c r="I490" i="8"/>
  <c r="K490" i="8"/>
  <c r="L490" i="8"/>
  <c r="M490" i="8"/>
  <c r="N490" i="8"/>
  <c r="I491" i="8"/>
  <c r="K491" i="8"/>
  <c r="L491" i="8"/>
  <c r="M491" i="8"/>
  <c r="N491" i="8"/>
  <c r="I492" i="8"/>
  <c r="K492" i="8"/>
  <c r="L492" i="8"/>
  <c r="M492" i="8"/>
  <c r="N492" i="8"/>
  <c r="I493" i="8"/>
  <c r="K493" i="8"/>
  <c r="L493" i="8"/>
  <c r="M493" i="8"/>
  <c r="N493" i="8"/>
  <c r="I494" i="8"/>
  <c r="K494" i="8"/>
  <c r="L494" i="8"/>
  <c r="M494" i="8"/>
  <c r="N494" i="8"/>
  <c r="I495" i="8"/>
  <c r="K495" i="8"/>
  <c r="L495" i="8"/>
  <c r="M495" i="8"/>
  <c r="N495" i="8"/>
  <c r="I496" i="8"/>
  <c r="K496" i="8"/>
  <c r="L496" i="8"/>
  <c r="M496" i="8"/>
  <c r="N496" i="8"/>
  <c r="I497" i="8"/>
  <c r="K497" i="8"/>
  <c r="L497" i="8"/>
  <c r="M497" i="8"/>
  <c r="N497" i="8"/>
  <c r="I498" i="8"/>
  <c r="K498" i="8"/>
  <c r="L498" i="8"/>
  <c r="M498" i="8"/>
  <c r="N498" i="8"/>
  <c r="I499" i="8"/>
  <c r="K499" i="8"/>
  <c r="L499" i="8"/>
  <c r="M499" i="8"/>
  <c r="N499" i="8"/>
  <c r="I500" i="8"/>
  <c r="K500" i="8"/>
  <c r="L500" i="8"/>
  <c r="M500" i="8"/>
  <c r="N500" i="8"/>
  <c r="I501" i="8"/>
  <c r="K501" i="8"/>
  <c r="L501" i="8"/>
  <c r="M501" i="8"/>
  <c r="N501" i="8"/>
  <c r="I502" i="8"/>
  <c r="K502" i="8"/>
  <c r="L502" i="8"/>
  <c r="M502" i="8"/>
  <c r="N502" i="8"/>
  <c r="I503" i="8"/>
  <c r="K503" i="8"/>
  <c r="L503" i="8"/>
  <c r="M503" i="8"/>
  <c r="N503" i="8"/>
  <c r="I504" i="8"/>
  <c r="K504" i="8"/>
  <c r="L504" i="8"/>
  <c r="M504" i="8"/>
  <c r="N504" i="8"/>
  <c r="I505" i="8"/>
  <c r="K505" i="8"/>
  <c r="L505" i="8"/>
  <c r="M505" i="8"/>
  <c r="N505" i="8"/>
  <c r="I506" i="8"/>
  <c r="K506" i="8"/>
  <c r="L506" i="8"/>
  <c r="M506" i="8"/>
  <c r="N506" i="8"/>
  <c r="I507" i="8"/>
  <c r="K507" i="8"/>
  <c r="L507" i="8"/>
  <c r="M507" i="8"/>
  <c r="N507" i="8"/>
  <c r="I508" i="8"/>
  <c r="K508" i="8"/>
  <c r="L508" i="8"/>
  <c r="M508" i="8"/>
  <c r="N508" i="8"/>
  <c r="I509" i="8"/>
  <c r="K509" i="8"/>
  <c r="L509" i="8"/>
  <c r="M509" i="8"/>
  <c r="N509" i="8"/>
  <c r="I510" i="8"/>
  <c r="K510" i="8"/>
  <c r="L510" i="8"/>
  <c r="M510" i="8"/>
  <c r="N510" i="8"/>
  <c r="I511" i="8"/>
  <c r="K511" i="8"/>
  <c r="L511" i="8"/>
  <c r="M511" i="8"/>
  <c r="N511" i="8"/>
  <c r="I512" i="8"/>
  <c r="K512" i="8"/>
  <c r="L512" i="8"/>
  <c r="M512" i="8"/>
  <c r="N512" i="8"/>
  <c r="I513" i="8"/>
  <c r="K513" i="8"/>
  <c r="L513" i="8"/>
  <c r="M513" i="8"/>
  <c r="N513" i="8"/>
  <c r="I514" i="8"/>
  <c r="K514" i="8"/>
  <c r="L514" i="8"/>
  <c r="M514" i="8"/>
  <c r="N514" i="8"/>
  <c r="I515" i="8"/>
  <c r="K515" i="8"/>
  <c r="L515" i="8"/>
  <c r="M515" i="8"/>
  <c r="N515" i="8"/>
  <c r="I516" i="8"/>
  <c r="K516" i="8"/>
  <c r="L516" i="8"/>
  <c r="M516" i="8"/>
  <c r="N516" i="8"/>
  <c r="I517" i="8"/>
  <c r="K517" i="8"/>
  <c r="L517" i="8"/>
  <c r="M517" i="8"/>
  <c r="N517" i="8"/>
  <c r="I518" i="8"/>
  <c r="K518" i="8"/>
  <c r="L518" i="8"/>
  <c r="M518" i="8"/>
  <c r="N518" i="8"/>
  <c r="I519" i="8"/>
  <c r="K519" i="8"/>
  <c r="L519" i="8"/>
  <c r="M519" i="8"/>
  <c r="N519" i="8"/>
  <c r="I520" i="8"/>
  <c r="K520" i="8"/>
  <c r="L520" i="8"/>
  <c r="M520" i="8"/>
  <c r="N520" i="8"/>
  <c r="I521" i="8"/>
  <c r="K521" i="8"/>
  <c r="L521" i="8"/>
  <c r="M521" i="8"/>
  <c r="N521" i="8"/>
  <c r="I522" i="8"/>
  <c r="K522" i="8"/>
  <c r="L522" i="8"/>
  <c r="M522" i="8"/>
  <c r="N522" i="8"/>
  <c r="I523" i="8"/>
  <c r="K523" i="8"/>
  <c r="L523" i="8"/>
  <c r="M523" i="8"/>
  <c r="N523" i="8"/>
  <c r="I524" i="8"/>
  <c r="K524" i="8"/>
  <c r="L524" i="8"/>
  <c r="M524" i="8"/>
  <c r="N524" i="8"/>
  <c r="I525" i="8"/>
  <c r="K525" i="8"/>
  <c r="L525" i="8"/>
  <c r="M525" i="8"/>
  <c r="N525" i="8"/>
  <c r="I526" i="8"/>
  <c r="K526" i="8"/>
  <c r="L526" i="8"/>
  <c r="M526" i="8"/>
  <c r="N526" i="8"/>
  <c r="I527" i="8"/>
  <c r="K527" i="8"/>
  <c r="L527" i="8"/>
  <c r="M527" i="8"/>
  <c r="N527" i="8"/>
  <c r="I528" i="8"/>
  <c r="K528" i="8"/>
  <c r="L528" i="8"/>
  <c r="M528" i="8"/>
  <c r="N528" i="8"/>
  <c r="I529" i="8"/>
  <c r="K529" i="8"/>
  <c r="L529" i="8"/>
  <c r="M529" i="8"/>
  <c r="N529" i="8"/>
  <c r="I530" i="8"/>
  <c r="K530" i="8"/>
  <c r="L530" i="8"/>
  <c r="M530" i="8"/>
  <c r="N530" i="8"/>
  <c r="I531" i="8"/>
  <c r="K531" i="8"/>
  <c r="L531" i="8"/>
  <c r="M531" i="8"/>
  <c r="N531" i="8"/>
  <c r="I532" i="8"/>
  <c r="K532" i="8"/>
  <c r="L532" i="8"/>
  <c r="M532" i="8"/>
  <c r="N532" i="8"/>
  <c r="I533" i="8"/>
  <c r="K533" i="8"/>
  <c r="L533" i="8"/>
  <c r="M533" i="8"/>
  <c r="N533" i="8"/>
  <c r="I534" i="8"/>
  <c r="K534" i="8"/>
  <c r="L534" i="8"/>
  <c r="M534" i="8"/>
  <c r="N534" i="8"/>
  <c r="I535" i="8"/>
  <c r="K535" i="8"/>
  <c r="L535" i="8"/>
  <c r="M535" i="8"/>
  <c r="N535" i="8"/>
  <c r="I536" i="8"/>
  <c r="K536" i="8"/>
  <c r="L536" i="8"/>
  <c r="M536" i="8"/>
  <c r="N536" i="8"/>
  <c r="I537" i="8"/>
  <c r="K537" i="8"/>
  <c r="L537" i="8"/>
  <c r="M537" i="8"/>
  <c r="N537" i="8"/>
  <c r="I538" i="8"/>
  <c r="K538" i="8"/>
  <c r="L538" i="8"/>
  <c r="M538" i="8"/>
  <c r="N538" i="8"/>
  <c r="I539" i="8"/>
  <c r="K539" i="8"/>
  <c r="L539" i="8"/>
  <c r="M539" i="8"/>
  <c r="N539" i="8"/>
  <c r="I540" i="8"/>
  <c r="K540" i="8"/>
  <c r="L540" i="8"/>
  <c r="M540" i="8"/>
  <c r="N540" i="8"/>
  <c r="I541" i="8"/>
  <c r="K541" i="8"/>
  <c r="L541" i="8"/>
  <c r="M541" i="8"/>
  <c r="N541" i="8"/>
  <c r="I542" i="8"/>
  <c r="K542" i="8"/>
  <c r="L542" i="8"/>
  <c r="M542" i="8"/>
  <c r="N542" i="8"/>
  <c r="I543" i="8"/>
  <c r="K543" i="8"/>
  <c r="L543" i="8"/>
  <c r="M543" i="8"/>
  <c r="N543" i="8"/>
  <c r="I544" i="8"/>
  <c r="K544" i="8"/>
  <c r="L544" i="8"/>
  <c r="M544" i="8"/>
  <c r="N544" i="8"/>
  <c r="I545" i="8"/>
  <c r="K545" i="8"/>
  <c r="L545" i="8"/>
  <c r="M545" i="8"/>
  <c r="N545" i="8"/>
  <c r="I546" i="8"/>
  <c r="K546" i="8"/>
  <c r="L546" i="8"/>
  <c r="M546" i="8"/>
  <c r="N546" i="8"/>
  <c r="I547" i="8"/>
  <c r="K547" i="8"/>
  <c r="L547" i="8"/>
  <c r="M547" i="8"/>
  <c r="N547" i="8"/>
  <c r="I548" i="8"/>
  <c r="K548" i="8"/>
  <c r="L548" i="8"/>
  <c r="M548" i="8"/>
  <c r="N548" i="8"/>
  <c r="I549" i="8"/>
  <c r="K549" i="8"/>
  <c r="L549" i="8"/>
  <c r="M549" i="8"/>
  <c r="N549" i="8"/>
  <c r="I550" i="8"/>
  <c r="K550" i="8"/>
  <c r="L550" i="8"/>
  <c r="M550" i="8"/>
  <c r="N550" i="8"/>
  <c r="I551" i="8"/>
  <c r="K551" i="8"/>
  <c r="L551" i="8"/>
  <c r="M551" i="8"/>
  <c r="N551" i="8"/>
  <c r="I552" i="8"/>
  <c r="K552" i="8"/>
  <c r="L552" i="8"/>
  <c r="M552" i="8"/>
  <c r="N552" i="8"/>
  <c r="I553" i="8"/>
  <c r="K553" i="8"/>
  <c r="L553" i="8"/>
  <c r="M553" i="8"/>
  <c r="N553" i="8"/>
  <c r="I554" i="8"/>
  <c r="K554" i="8"/>
  <c r="L554" i="8"/>
  <c r="M554" i="8"/>
  <c r="N554" i="8"/>
  <c r="I555" i="8"/>
  <c r="K555" i="8"/>
  <c r="L555" i="8"/>
  <c r="M555" i="8"/>
  <c r="N555" i="8"/>
  <c r="I556" i="8"/>
  <c r="K556" i="8"/>
  <c r="L556" i="8"/>
  <c r="M556" i="8"/>
  <c r="N556" i="8"/>
  <c r="I557" i="8"/>
  <c r="K557" i="8"/>
  <c r="L557" i="8"/>
  <c r="M557" i="8"/>
  <c r="N557" i="8"/>
  <c r="I558" i="8"/>
  <c r="K558" i="8"/>
  <c r="L558" i="8"/>
  <c r="M558" i="8"/>
  <c r="N558" i="8"/>
  <c r="I559" i="8"/>
  <c r="K559" i="8"/>
  <c r="L559" i="8"/>
  <c r="M559" i="8"/>
  <c r="N559" i="8"/>
  <c r="I560" i="8"/>
  <c r="K560" i="8"/>
  <c r="L560" i="8"/>
  <c r="M560" i="8"/>
  <c r="N560" i="8"/>
  <c r="I561" i="8"/>
  <c r="K561" i="8"/>
  <c r="L561" i="8"/>
  <c r="M561" i="8"/>
  <c r="N561" i="8"/>
  <c r="I562" i="8"/>
  <c r="K562" i="8"/>
  <c r="L562" i="8"/>
  <c r="M562" i="8"/>
  <c r="N562" i="8"/>
  <c r="I563" i="8"/>
  <c r="K563" i="8"/>
  <c r="L563" i="8"/>
  <c r="M563" i="8"/>
  <c r="N563" i="8"/>
  <c r="I564" i="8"/>
  <c r="K564" i="8"/>
  <c r="L564" i="8"/>
  <c r="M564" i="8"/>
  <c r="N564" i="8"/>
  <c r="I565" i="8"/>
  <c r="K565" i="8"/>
  <c r="L565" i="8"/>
  <c r="M565" i="8"/>
  <c r="N565" i="8"/>
  <c r="I566" i="8"/>
  <c r="K566" i="8"/>
  <c r="L566" i="8"/>
  <c r="M566" i="8"/>
  <c r="N566" i="8"/>
  <c r="I567" i="8"/>
  <c r="K567" i="8"/>
  <c r="L567" i="8"/>
  <c r="M567" i="8"/>
  <c r="N567" i="8"/>
  <c r="I568" i="8"/>
  <c r="K568" i="8"/>
  <c r="L568" i="8"/>
  <c r="M568" i="8"/>
  <c r="N568" i="8"/>
  <c r="I569" i="8"/>
  <c r="K569" i="8"/>
  <c r="L569" i="8"/>
  <c r="M569" i="8"/>
  <c r="N569" i="8"/>
  <c r="I570" i="8"/>
  <c r="K570" i="8"/>
  <c r="L570" i="8"/>
  <c r="M570" i="8"/>
  <c r="N570" i="8"/>
  <c r="I571" i="8"/>
  <c r="K571" i="8"/>
  <c r="L571" i="8"/>
  <c r="M571" i="8"/>
  <c r="N571" i="8"/>
  <c r="I572" i="8"/>
  <c r="K572" i="8"/>
  <c r="L572" i="8"/>
  <c r="M572" i="8"/>
  <c r="N572" i="8"/>
  <c r="I573" i="8"/>
  <c r="K573" i="8"/>
  <c r="L573" i="8"/>
  <c r="M573" i="8"/>
  <c r="N573" i="8"/>
  <c r="I574" i="8"/>
  <c r="K574" i="8"/>
  <c r="L574" i="8"/>
  <c r="M574" i="8"/>
  <c r="N574" i="8"/>
  <c r="I575" i="8"/>
  <c r="K575" i="8"/>
  <c r="L575" i="8"/>
  <c r="M575" i="8"/>
  <c r="N575" i="8"/>
  <c r="I576" i="8"/>
  <c r="K576" i="8"/>
  <c r="L576" i="8"/>
  <c r="M576" i="8"/>
  <c r="N576" i="8"/>
  <c r="I577" i="8"/>
  <c r="K577" i="8"/>
  <c r="L577" i="8"/>
  <c r="M577" i="8"/>
  <c r="N577" i="8"/>
  <c r="I578" i="8"/>
  <c r="K578" i="8"/>
  <c r="L578" i="8"/>
  <c r="M578" i="8"/>
  <c r="N578" i="8"/>
  <c r="I579" i="8"/>
  <c r="K579" i="8"/>
  <c r="L579" i="8"/>
  <c r="M579" i="8"/>
  <c r="N579" i="8"/>
  <c r="I580" i="8"/>
  <c r="K580" i="8"/>
  <c r="L580" i="8"/>
  <c r="M580" i="8"/>
  <c r="N580" i="8"/>
  <c r="I581" i="8"/>
  <c r="K581" i="8"/>
  <c r="L581" i="8"/>
  <c r="M581" i="8"/>
  <c r="N581" i="8"/>
  <c r="I582" i="8"/>
  <c r="K582" i="8"/>
  <c r="L582" i="8"/>
  <c r="M582" i="8"/>
  <c r="N582" i="8"/>
  <c r="I583" i="8"/>
  <c r="K583" i="8"/>
  <c r="L583" i="8"/>
  <c r="M583" i="8"/>
  <c r="N583" i="8"/>
  <c r="I584" i="8"/>
  <c r="K584" i="8"/>
  <c r="L584" i="8"/>
  <c r="M584" i="8"/>
  <c r="N584" i="8"/>
  <c r="I585" i="8"/>
  <c r="K585" i="8"/>
  <c r="L585" i="8"/>
  <c r="M585" i="8"/>
  <c r="N585" i="8"/>
  <c r="I586" i="8"/>
  <c r="K586" i="8"/>
  <c r="L586" i="8"/>
  <c r="M586" i="8"/>
  <c r="N586" i="8"/>
  <c r="I587" i="8"/>
  <c r="K587" i="8"/>
  <c r="L587" i="8"/>
  <c r="M587" i="8"/>
  <c r="N587" i="8"/>
  <c r="I588" i="8"/>
  <c r="K588" i="8"/>
  <c r="L588" i="8"/>
  <c r="M588" i="8"/>
  <c r="N588" i="8"/>
  <c r="I589" i="8"/>
  <c r="K589" i="8"/>
  <c r="L589" i="8"/>
  <c r="M589" i="8"/>
  <c r="N589" i="8"/>
  <c r="I590" i="8"/>
  <c r="K590" i="8"/>
  <c r="L590" i="8"/>
  <c r="M590" i="8"/>
  <c r="N590" i="8"/>
  <c r="I591" i="8"/>
  <c r="K591" i="8"/>
  <c r="L591" i="8"/>
  <c r="M591" i="8"/>
  <c r="N591" i="8"/>
  <c r="I592" i="8"/>
  <c r="K592" i="8"/>
  <c r="L592" i="8"/>
  <c r="M592" i="8"/>
  <c r="N592" i="8"/>
  <c r="I593" i="8"/>
  <c r="K593" i="8"/>
  <c r="L593" i="8"/>
  <c r="M593" i="8"/>
  <c r="N593" i="8"/>
  <c r="I594" i="8"/>
  <c r="K594" i="8"/>
  <c r="L594" i="8"/>
  <c r="M594" i="8"/>
  <c r="N594" i="8"/>
  <c r="I595" i="8"/>
  <c r="K595" i="8"/>
  <c r="L595" i="8"/>
  <c r="M595" i="8"/>
  <c r="N595" i="8"/>
  <c r="I596" i="8"/>
  <c r="K596" i="8"/>
  <c r="L596" i="8"/>
  <c r="M596" i="8"/>
  <c r="N596" i="8"/>
  <c r="I597" i="8"/>
  <c r="K597" i="8"/>
  <c r="L597" i="8"/>
  <c r="M597" i="8"/>
  <c r="N597" i="8"/>
  <c r="I598" i="8"/>
  <c r="K598" i="8"/>
  <c r="L598" i="8"/>
  <c r="M598" i="8"/>
  <c r="N598" i="8"/>
  <c r="I599" i="8"/>
  <c r="K599" i="8"/>
  <c r="L599" i="8"/>
  <c r="M599" i="8"/>
  <c r="N599" i="8"/>
  <c r="I600" i="8"/>
  <c r="K600" i="8"/>
  <c r="L600" i="8"/>
  <c r="M600" i="8"/>
  <c r="N600" i="8"/>
  <c r="I601" i="8"/>
  <c r="K601" i="8"/>
  <c r="L601" i="8"/>
  <c r="M601" i="8"/>
  <c r="N601" i="8"/>
  <c r="I602" i="8"/>
  <c r="K602" i="8"/>
  <c r="L602" i="8"/>
  <c r="M602" i="8"/>
  <c r="N602" i="8"/>
  <c r="I603" i="8"/>
  <c r="K603" i="8"/>
  <c r="L603" i="8"/>
  <c r="M603" i="8"/>
  <c r="N603" i="8"/>
  <c r="I604" i="8"/>
  <c r="K604" i="8"/>
  <c r="L604" i="8"/>
  <c r="M604" i="8"/>
  <c r="N604" i="8"/>
  <c r="I605" i="8"/>
  <c r="K605" i="8"/>
  <c r="L605" i="8"/>
  <c r="M605" i="8"/>
  <c r="N605" i="8"/>
  <c r="I606" i="8"/>
  <c r="K606" i="8"/>
  <c r="L606" i="8"/>
  <c r="M606" i="8"/>
  <c r="N606" i="8"/>
  <c r="I607" i="8"/>
  <c r="K607" i="8"/>
  <c r="L607" i="8"/>
  <c r="M607" i="8"/>
  <c r="N607" i="8"/>
  <c r="I608" i="8"/>
  <c r="K608" i="8"/>
  <c r="L608" i="8"/>
  <c r="M608" i="8"/>
  <c r="N608" i="8"/>
  <c r="I609" i="8"/>
  <c r="K609" i="8"/>
  <c r="L609" i="8"/>
  <c r="M609" i="8"/>
  <c r="N609" i="8"/>
  <c r="I610" i="8"/>
  <c r="K610" i="8"/>
  <c r="L610" i="8"/>
  <c r="M610" i="8"/>
  <c r="N610" i="8"/>
  <c r="I611" i="8"/>
  <c r="K611" i="8"/>
  <c r="L611" i="8"/>
  <c r="M611" i="8"/>
  <c r="N611" i="8"/>
  <c r="I612" i="8"/>
  <c r="K612" i="8"/>
  <c r="L612" i="8"/>
  <c r="M612" i="8"/>
  <c r="N612" i="8"/>
  <c r="I613" i="8"/>
  <c r="K613" i="8"/>
  <c r="L613" i="8"/>
  <c r="M613" i="8"/>
  <c r="N613" i="8"/>
  <c r="I614" i="8"/>
  <c r="K614" i="8"/>
  <c r="L614" i="8"/>
  <c r="M614" i="8"/>
  <c r="N614" i="8"/>
  <c r="I615" i="8"/>
  <c r="K615" i="8"/>
  <c r="L615" i="8"/>
  <c r="M615" i="8"/>
  <c r="N615" i="8"/>
  <c r="I616" i="8"/>
  <c r="K616" i="8"/>
  <c r="L616" i="8"/>
  <c r="M616" i="8"/>
  <c r="N616" i="8"/>
  <c r="I617" i="8"/>
  <c r="K617" i="8"/>
  <c r="L617" i="8"/>
  <c r="M617" i="8"/>
  <c r="N617" i="8"/>
  <c r="I618" i="8"/>
  <c r="K618" i="8"/>
  <c r="L618" i="8"/>
  <c r="M618" i="8"/>
  <c r="N618" i="8"/>
  <c r="I619" i="8"/>
  <c r="K619" i="8"/>
  <c r="L619" i="8"/>
  <c r="M619" i="8"/>
  <c r="N619" i="8"/>
  <c r="I620" i="8"/>
  <c r="K620" i="8"/>
  <c r="L620" i="8"/>
  <c r="M620" i="8"/>
  <c r="N620" i="8"/>
  <c r="I621" i="8"/>
  <c r="K621" i="8"/>
  <c r="L621" i="8"/>
  <c r="M621" i="8"/>
  <c r="N621" i="8"/>
  <c r="I622" i="8"/>
  <c r="K622" i="8"/>
  <c r="L622" i="8"/>
  <c r="M622" i="8"/>
  <c r="N622" i="8"/>
  <c r="I623" i="8"/>
  <c r="K623" i="8"/>
  <c r="L623" i="8"/>
  <c r="M623" i="8"/>
  <c r="N623" i="8"/>
  <c r="I624" i="8"/>
  <c r="K624" i="8"/>
  <c r="L624" i="8"/>
  <c r="M624" i="8"/>
  <c r="N624" i="8"/>
  <c r="I625" i="8"/>
  <c r="K625" i="8"/>
  <c r="L625" i="8"/>
  <c r="M625" i="8"/>
  <c r="N625" i="8"/>
  <c r="I626" i="8"/>
  <c r="K626" i="8"/>
  <c r="L626" i="8"/>
  <c r="M626" i="8"/>
  <c r="N626" i="8"/>
  <c r="I627" i="8"/>
  <c r="K627" i="8"/>
  <c r="L627" i="8"/>
  <c r="M627" i="8"/>
  <c r="N627" i="8"/>
  <c r="I628" i="8"/>
  <c r="K628" i="8"/>
  <c r="L628" i="8"/>
  <c r="M628" i="8"/>
  <c r="N628" i="8"/>
  <c r="I629" i="8"/>
  <c r="K629" i="8"/>
  <c r="L629" i="8"/>
  <c r="M629" i="8"/>
  <c r="N629" i="8"/>
  <c r="I630" i="8"/>
  <c r="K630" i="8"/>
  <c r="L630" i="8"/>
  <c r="M630" i="8"/>
  <c r="N630" i="8"/>
  <c r="I631" i="8"/>
  <c r="K631" i="8"/>
  <c r="L631" i="8"/>
  <c r="M631" i="8"/>
  <c r="N631" i="8"/>
  <c r="I632" i="8"/>
  <c r="K632" i="8"/>
  <c r="L632" i="8"/>
  <c r="M632" i="8"/>
  <c r="N632" i="8"/>
  <c r="I633" i="8"/>
  <c r="K633" i="8"/>
  <c r="L633" i="8"/>
  <c r="M633" i="8"/>
  <c r="N633" i="8"/>
  <c r="I634" i="8"/>
  <c r="K634" i="8"/>
  <c r="L634" i="8"/>
  <c r="M634" i="8"/>
  <c r="N634" i="8"/>
  <c r="I635" i="8"/>
  <c r="K635" i="8"/>
  <c r="L635" i="8"/>
  <c r="M635" i="8"/>
  <c r="N635" i="8"/>
  <c r="I636" i="8"/>
  <c r="K636" i="8"/>
  <c r="L636" i="8"/>
  <c r="M636" i="8"/>
  <c r="N636" i="8"/>
  <c r="I637" i="8"/>
  <c r="K637" i="8"/>
  <c r="L637" i="8"/>
  <c r="M637" i="8"/>
  <c r="N637" i="8"/>
  <c r="I638" i="8"/>
  <c r="K638" i="8"/>
  <c r="L638" i="8"/>
  <c r="M638" i="8"/>
  <c r="N638" i="8"/>
  <c r="I639" i="8"/>
  <c r="K639" i="8"/>
  <c r="L639" i="8"/>
  <c r="M639" i="8"/>
  <c r="N639" i="8"/>
  <c r="I640" i="8"/>
  <c r="K640" i="8"/>
  <c r="L640" i="8"/>
  <c r="M640" i="8"/>
  <c r="N640" i="8"/>
  <c r="I641" i="8"/>
  <c r="K641" i="8"/>
  <c r="L641" i="8"/>
  <c r="M641" i="8"/>
  <c r="N641" i="8"/>
  <c r="I642" i="8"/>
  <c r="K642" i="8"/>
  <c r="L642" i="8"/>
  <c r="M642" i="8"/>
  <c r="N642" i="8"/>
  <c r="I643" i="8"/>
  <c r="K643" i="8"/>
  <c r="L643" i="8"/>
  <c r="M643" i="8"/>
  <c r="N643" i="8"/>
  <c r="I644" i="8"/>
  <c r="K644" i="8"/>
  <c r="L644" i="8"/>
  <c r="M644" i="8"/>
  <c r="N644" i="8"/>
  <c r="I645" i="8"/>
  <c r="K645" i="8"/>
  <c r="L645" i="8"/>
  <c r="M645" i="8"/>
  <c r="N645" i="8"/>
  <c r="I646" i="8"/>
  <c r="K646" i="8"/>
  <c r="L646" i="8"/>
  <c r="M646" i="8"/>
  <c r="N646" i="8"/>
  <c r="I647" i="8"/>
  <c r="K647" i="8"/>
  <c r="L647" i="8"/>
  <c r="M647" i="8"/>
  <c r="N647" i="8"/>
  <c r="I648" i="8"/>
  <c r="K648" i="8"/>
  <c r="L648" i="8"/>
  <c r="M648" i="8"/>
  <c r="N648" i="8"/>
  <c r="I649" i="8"/>
  <c r="K649" i="8"/>
  <c r="L649" i="8"/>
  <c r="M649" i="8"/>
  <c r="N649" i="8"/>
  <c r="I650" i="8"/>
  <c r="K650" i="8"/>
  <c r="L650" i="8"/>
  <c r="M650" i="8"/>
  <c r="N650" i="8"/>
  <c r="I651" i="8"/>
  <c r="K651" i="8"/>
  <c r="L651" i="8"/>
  <c r="M651" i="8"/>
  <c r="N651" i="8"/>
  <c r="I652" i="8"/>
  <c r="K652" i="8"/>
  <c r="L652" i="8"/>
  <c r="M652" i="8"/>
  <c r="N652" i="8"/>
  <c r="I653" i="8"/>
  <c r="K653" i="8"/>
  <c r="L653" i="8"/>
  <c r="M653" i="8"/>
  <c r="N653" i="8"/>
  <c r="I654" i="8"/>
  <c r="K654" i="8"/>
  <c r="L654" i="8"/>
  <c r="M654" i="8"/>
  <c r="N654" i="8"/>
  <c r="I655" i="8"/>
  <c r="K655" i="8"/>
  <c r="L655" i="8"/>
  <c r="M655" i="8"/>
  <c r="N655" i="8"/>
  <c r="I656" i="8"/>
  <c r="K656" i="8"/>
  <c r="L656" i="8"/>
  <c r="M656" i="8"/>
  <c r="N656" i="8"/>
  <c r="I657" i="8"/>
  <c r="K657" i="8"/>
  <c r="L657" i="8"/>
  <c r="M657" i="8"/>
  <c r="N657" i="8"/>
  <c r="I658" i="8"/>
  <c r="K658" i="8"/>
  <c r="L658" i="8"/>
  <c r="M658" i="8"/>
  <c r="N658" i="8"/>
  <c r="I659" i="8"/>
  <c r="K659" i="8"/>
  <c r="L659" i="8"/>
  <c r="M659" i="8"/>
  <c r="N659" i="8"/>
  <c r="I660" i="8"/>
  <c r="K660" i="8"/>
  <c r="L660" i="8"/>
  <c r="M660" i="8"/>
  <c r="N660" i="8"/>
  <c r="I661" i="8"/>
  <c r="K661" i="8"/>
  <c r="L661" i="8"/>
  <c r="M661" i="8"/>
  <c r="N661" i="8"/>
  <c r="I662" i="8"/>
  <c r="K662" i="8"/>
  <c r="L662" i="8"/>
  <c r="M662" i="8"/>
  <c r="N662" i="8"/>
  <c r="I663" i="8"/>
  <c r="K663" i="8"/>
  <c r="L663" i="8"/>
  <c r="M663" i="8"/>
  <c r="N663" i="8"/>
  <c r="I664" i="8"/>
  <c r="K664" i="8"/>
  <c r="L664" i="8"/>
  <c r="M664" i="8"/>
  <c r="N664" i="8"/>
  <c r="I665" i="8"/>
  <c r="K665" i="8"/>
  <c r="L665" i="8"/>
  <c r="M665" i="8"/>
  <c r="N665" i="8"/>
  <c r="I666" i="8"/>
  <c r="K666" i="8"/>
  <c r="L666" i="8"/>
  <c r="M666" i="8"/>
  <c r="N666" i="8"/>
  <c r="I667" i="8"/>
  <c r="K667" i="8"/>
  <c r="L667" i="8"/>
  <c r="M667" i="8"/>
  <c r="N667" i="8"/>
  <c r="I668" i="8"/>
  <c r="K668" i="8"/>
  <c r="L668" i="8"/>
  <c r="M668" i="8"/>
  <c r="N668" i="8"/>
  <c r="I669" i="8"/>
  <c r="K669" i="8"/>
  <c r="L669" i="8"/>
  <c r="M669" i="8"/>
  <c r="N669" i="8"/>
  <c r="I670" i="8"/>
  <c r="K670" i="8"/>
  <c r="L670" i="8"/>
  <c r="M670" i="8"/>
  <c r="N670" i="8"/>
  <c r="I671" i="8"/>
  <c r="K671" i="8"/>
  <c r="L671" i="8"/>
  <c r="M671" i="8"/>
  <c r="N671" i="8"/>
  <c r="I672" i="8"/>
  <c r="K672" i="8"/>
  <c r="L672" i="8"/>
  <c r="M672" i="8"/>
  <c r="N672" i="8"/>
  <c r="I673" i="8"/>
  <c r="K673" i="8"/>
  <c r="L673" i="8"/>
  <c r="M673" i="8"/>
  <c r="N673" i="8"/>
  <c r="I674" i="8"/>
  <c r="K674" i="8"/>
  <c r="L674" i="8"/>
  <c r="M674" i="8"/>
  <c r="N674" i="8"/>
  <c r="I675" i="8"/>
  <c r="K675" i="8"/>
  <c r="L675" i="8"/>
  <c r="M675" i="8"/>
  <c r="N675" i="8"/>
  <c r="K676" i="8"/>
  <c r="L676" i="8"/>
  <c r="M676" i="8"/>
  <c r="N676" i="8"/>
  <c r="I677" i="8"/>
  <c r="K677" i="8"/>
  <c r="L677" i="8"/>
  <c r="M677" i="8"/>
  <c r="N677" i="8"/>
  <c r="I678" i="8"/>
  <c r="K678" i="8"/>
  <c r="L678" i="8"/>
  <c r="M678" i="8"/>
  <c r="N678" i="8"/>
  <c r="I679" i="8"/>
  <c r="K679" i="8"/>
  <c r="L679" i="8"/>
  <c r="M679" i="8"/>
  <c r="N679" i="8"/>
  <c r="I680" i="8"/>
  <c r="K680" i="8"/>
  <c r="L680" i="8"/>
  <c r="M680" i="8"/>
  <c r="N680" i="8"/>
  <c r="I681" i="8"/>
  <c r="K681" i="8"/>
  <c r="L681" i="8"/>
  <c r="M681" i="8"/>
  <c r="N681" i="8"/>
  <c r="I682" i="8"/>
  <c r="K682" i="8"/>
  <c r="L682" i="8"/>
  <c r="M682" i="8"/>
  <c r="N682" i="8"/>
  <c r="I683" i="8"/>
  <c r="K683" i="8"/>
  <c r="L683" i="8"/>
  <c r="M683" i="8"/>
  <c r="N683" i="8"/>
  <c r="I684" i="8"/>
  <c r="K684" i="8"/>
  <c r="L684" i="8"/>
  <c r="M684" i="8"/>
  <c r="N684" i="8"/>
  <c r="I685" i="8"/>
  <c r="K685" i="8"/>
  <c r="L685" i="8"/>
  <c r="M685" i="8"/>
  <c r="N685" i="8"/>
  <c r="I686" i="8"/>
  <c r="K686" i="8"/>
  <c r="L686" i="8"/>
  <c r="M686" i="8"/>
  <c r="N686" i="8"/>
  <c r="I687" i="8"/>
  <c r="K687" i="8"/>
  <c r="L687" i="8"/>
  <c r="M687" i="8"/>
  <c r="N687" i="8"/>
  <c r="I688" i="8"/>
  <c r="K688" i="8"/>
  <c r="L688" i="8"/>
  <c r="M688" i="8"/>
  <c r="N688" i="8"/>
  <c r="I689" i="8"/>
  <c r="K689" i="8"/>
  <c r="L689" i="8"/>
  <c r="M689" i="8"/>
  <c r="N689" i="8"/>
  <c r="I690" i="8"/>
  <c r="K690" i="8"/>
  <c r="L690" i="8"/>
  <c r="M690" i="8"/>
  <c r="N690" i="8"/>
  <c r="I691" i="8"/>
  <c r="K691" i="8"/>
  <c r="L691" i="8"/>
  <c r="M691" i="8"/>
  <c r="N691" i="8"/>
  <c r="I692" i="8"/>
  <c r="K692" i="8"/>
  <c r="L692" i="8"/>
  <c r="M692" i="8"/>
  <c r="N692" i="8"/>
  <c r="I693" i="8"/>
  <c r="K693" i="8"/>
  <c r="L693" i="8"/>
  <c r="M693" i="8"/>
  <c r="N693" i="8"/>
  <c r="I694" i="8"/>
  <c r="K694" i="8"/>
  <c r="L694" i="8"/>
  <c r="M694" i="8"/>
  <c r="N694" i="8"/>
  <c r="I695" i="8"/>
  <c r="K695" i="8"/>
  <c r="L695" i="8"/>
  <c r="M695" i="8"/>
  <c r="N695" i="8"/>
  <c r="I696" i="8"/>
  <c r="K696" i="8"/>
  <c r="L696" i="8"/>
  <c r="M696" i="8"/>
  <c r="N696" i="8"/>
  <c r="I697" i="8"/>
  <c r="K697" i="8"/>
  <c r="L697" i="8"/>
  <c r="M697" i="8"/>
  <c r="N697" i="8"/>
  <c r="I698" i="8"/>
  <c r="K698" i="8"/>
  <c r="L698" i="8"/>
  <c r="M698" i="8"/>
  <c r="N698" i="8"/>
  <c r="I699" i="8"/>
  <c r="K699" i="8"/>
  <c r="L699" i="8"/>
  <c r="M699" i="8"/>
  <c r="N699" i="8"/>
  <c r="I700" i="8"/>
  <c r="K700" i="8"/>
  <c r="L700" i="8"/>
  <c r="M700" i="8"/>
  <c r="N700" i="8"/>
  <c r="I701" i="8"/>
  <c r="K701" i="8"/>
  <c r="L701" i="8"/>
  <c r="M701" i="8"/>
  <c r="N701" i="8"/>
  <c r="I702" i="8"/>
  <c r="K702" i="8"/>
  <c r="L702" i="8"/>
  <c r="M702" i="8"/>
  <c r="N702" i="8"/>
  <c r="I703" i="8"/>
  <c r="K703" i="8"/>
  <c r="L703" i="8"/>
  <c r="M703" i="8"/>
  <c r="N703" i="8"/>
  <c r="I704" i="8"/>
  <c r="K704" i="8"/>
  <c r="L704" i="8"/>
  <c r="M704" i="8"/>
  <c r="N704" i="8"/>
  <c r="I705" i="8"/>
  <c r="K705" i="8"/>
  <c r="L705" i="8"/>
  <c r="M705" i="8"/>
  <c r="N705" i="8"/>
  <c r="I706" i="8"/>
  <c r="K706" i="8"/>
  <c r="L706" i="8"/>
  <c r="M706" i="8"/>
  <c r="N706" i="8"/>
  <c r="I707" i="8"/>
  <c r="K707" i="8"/>
  <c r="L707" i="8"/>
  <c r="M707" i="8"/>
  <c r="N707" i="8"/>
  <c r="I708" i="8"/>
  <c r="K708" i="8"/>
  <c r="L708" i="8"/>
  <c r="M708" i="8"/>
  <c r="N708" i="8"/>
  <c r="I709" i="8"/>
  <c r="K709" i="8"/>
  <c r="L709" i="8"/>
  <c r="M709" i="8"/>
  <c r="N709" i="8"/>
  <c r="I710" i="8"/>
  <c r="K710" i="8"/>
  <c r="L710" i="8"/>
  <c r="M710" i="8"/>
  <c r="N710" i="8"/>
  <c r="I711" i="8"/>
  <c r="K711" i="8"/>
  <c r="L711" i="8"/>
  <c r="M711" i="8"/>
  <c r="N711" i="8"/>
  <c r="I712" i="8"/>
  <c r="K712" i="8"/>
  <c r="L712" i="8"/>
  <c r="M712" i="8"/>
  <c r="N712" i="8"/>
  <c r="I713" i="8"/>
  <c r="K713" i="8"/>
  <c r="L713" i="8"/>
  <c r="M713" i="8"/>
  <c r="N713" i="8"/>
  <c r="I714" i="8"/>
  <c r="K714" i="8"/>
  <c r="L714" i="8"/>
  <c r="M714" i="8"/>
  <c r="N714" i="8"/>
  <c r="I715" i="8"/>
  <c r="K715" i="8"/>
  <c r="L715" i="8"/>
  <c r="M715" i="8"/>
  <c r="N715" i="8"/>
  <c r="I716" i="8"/>
  <c r="K716" i="8"/>
  <c r="L716" i="8"/>
  <c r="M716" i="8"/>
  <c r="N716" i="8"/>
  <c r="I717" i="8"/>
  <c r="K717" i="8"/>
  <c r="L717" i="8"/>
  <c r="M717" i="8"/>
  <c r="N717" i="8"/>
  <c r="I718" i="8"/>
  <c r="K718" i="8"/>
  <c r="L718" i="8"/>
  <c r="M718" i="8"/>
  <c r="N718" i="8"/>
  <c r="I719" i="8"/>
  <c r="K719" i="8"/>
  <c r="L719" i="8"/>
  <c r="M719" i="8"/>
  <c r="N719" i="8"/>
  <c r="I720" i="8"/>
  <c r="K720" i="8"/>
  <c r="L720" i="8"/>
  <c r="M720" i="8"/>
  <c r="N720" i="8"/>
  <c r="I721" i="8"/>
  <c r="K721" i="8"/>
  <c r="L721" i="8"/>
  <c r="M721" i="8"/>
  <c r="N721" i="8"/>
  <c r="I722" i="8"/>
  <c r="K722" i="8"/>
  <c r="L722" i="8"/>
  <c r="M722" i="8"/>
  <c r="N722" i="8"/>
  <c r="I723" i="8"/>
  <c r="K723" i="8"/>
  <c r="L723" i="8"/>
  <c r="M723" i="8"/>
  <c r="N723" i="8"/>
  <c r="I724" i="8"/>
  <c r="K724" i="8"/>
  <c r="L724" i="8"/>
  <c r="M724" i="8"/>
  <c r="N724" i="8"/>
  <c r="I725" i="8"/>
  <c r="K725" i="8"/>
  <c r="L725" i="8"/>
  <c r="M725" i="8"/>
  <c r="N725" i="8"/>
  <c r="I726" i="8"/>
  <c r="K726" i="8"/>
  <c r="L726" i="8"/>
  <c r="M726" i="8"/>
  <c r="N726" i="8"/>
  <c r="I727" i="8"/>
  <c r="K727" i="8"/>
  <c r="L727" i="8"/>
  <c r="M727" i="8"/>
  <c r="N727" i="8"/>
  <c r="I728" i="8"/>
  <c r="K728" i="8"/>
  <c r="L728" i="8"/>
  <c r="M728" i="8"/>
  <c r="N728" i="8"/>
  <c r="I729" i="8"/>
  <c r="K729" i="8"/>
  <c r="L729" i="8"/>
  <c r="M729" i="8"/>
  <c r="N729" i="8"/>
  <c r="I730" i="8"/>
  <c r="K730" i="8"/>
  <c r="L730" i="8"/>
  <c r="M730" i="8"/>
  <c r="N730" i="8"/>
  <c r="I731" i="8"/>
  <c r="K731" i="8"/>
  <c r="L731" i="8"/>
  <c r="M731" i="8"/>
  <c r="N731" i="8"/>
  <c r="I732" i="8"/>
  <c r="K732" i="8"/>
  <c r="L732" i="8"/>
  <c r="M732" i="8"/>
  <c r="N732" i="8"/>
  <c r="I733" i="8"/>
  <c r="K733" i="8"/>
  <c r="L733" i="8"/>
  <c r="M733" i="8"/>
  <c r="N733" i="8"/>
  <c r="I734" i="8"/>
  <c r="K734" i="8"/>
  <c r="L734" i="8"/>
  <c r="M734" i="8"/>
  <c r="N734" i="8"/>
  <c r="I735" i="8"/>
  <c r="K735" i="8"/>
  <c r="L735" i="8"/>
  <c r="M735" i="8"/>
  <c r="N735" i="8"/>
  <c r="I736" i="8"/>
  <c r="K736" i="8"/>
  <c r="L736" i="8"/>
  <c r="M736" i="8"/>
  <c r="N736" i="8"/>
  <c r="I737" i="8"/>
  <c r="K737" i="8"/>
  <c r="L737" i="8"/>
  <c r="M737" i="8"/>
  <c r="N737" i="8"/>
  <c r="I738" i="8"/>
  <c r="K738" i="8"/>
  <c r="L738" i="8"/>
  <c r="M738" i="8"/>
  <c r="N738" i="8"/>
  <c r="I739" i="8"/>
  <c r="K739" i="8"/>
  <c r="L739" i="8"/>
  <c r="M739" i="8"/>
  <c r="N739" i="8"/>
  <c r="I740" i="8"/>
  <c r="K740" i="8"/>
  <c r="L740" i="8"/>
  <c r="M740" i="8"/>
  <c r="N740" i="8"/>
  <c r="I741" i="8"/>
  <c r="K741" i="8"/>
  <c r="L741" i="8"/>
  <c r="M741" i="8"/>
  <c r="N741" i="8"/>
  <c r="I742" i="8"/>
  <c r="K742" i="8"/>
  <c r="L742" i="8"/>
  <c r="M742" i="8"/>
  <c r="N742" i="8"/>
  <c r="I743" i="8"/>
  <c r="K743" i="8"/>
  <c r="L743" i="8"/>
  <c r="M743" i="8"/>
  <c r="N743" i="8"/>
  <c r="I744" i="8"/>
  <c r="K744" i="8"/>
  <c r="L744" i="8"/>
  <c r="M744" i="8"/>
  <c r="N744" i="8"/>
  <c r="I127" i="8"/>
  <c r="K127" i="8"/>
  <c r="L127" i="8"/>
  <c r="M127" i="8"/>
  <c r="N127" i="8"/>
  <c r="I128" i="8"/>
  <c r="K128" i="8"/>
  <c r="L128" i="8"/>
  <c r="M128" i="8"/>
  <c r="N128" i="8"/>
  <c r="I129" i="8"/>
  <c r="K129" i="8"/>
  <c r="L129" i="8"/>
  <c r="M129" i="8"/>
  <c r="N129" i="8"/>
  <c r="K130" i="8"/>
  <c r="L130" i="8"/>
  <c r="M130" i="8"/>
  <c r="N130" i="8"/>
  <c r="K131" i="8"/>
  <c r="L131" i="8"/>
  <c r="M131" i="8"/>
  <c r="N131" i="8"/>
  <c r="K126" i="8"/>
  <c r="L126" i="8"/>
  <c r="M126" i="8"/>
  <c r="N126" i="8"/>
  <c r="K57" i="8"/>
  <c r="L57" i="8"/>
  <c r="M57" i="8"/>
  <c r="N57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63" i="8"/>
  <c r="L63" i="8"/>
  <c r="M63" i="8"/>
  <c r="N63" i="8"/>
  <c r="K64" i="8"/>
  <c r="L64" i="8"/>
  <c r="M64" i="8"/>
  <c r="N64" i="8"/>
  <c r="K65" i="8"/>
  <c r="L65" i="8"/>
  <c r="M65" i="8"/>
  <c r="N65" i="8"/>
  <c r="K66" i="8"/>
  <c r="L66" i="8"/>
  <c r="M66" i="8"/>
  <c r="N66" i="8"/>
  <c r="K67" i="8"/>
  <c r="L67" i="8"/>
  <c r="M67" i="8"/>
  <c r="N67" i="8"/>
  <c r="K68" i="8"/>
  <c r="L68" i="8"/>
  <c r="M68" i="8"/>
  <c r="N68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3" i="8"/>
  <c r="L73" i="8"/>
  <c r="M73" i="8"/>
  <c r="N73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1" i="8"/>
  <c r="L81" i="8"/>
  <c r="M81" i="8"/>
  <c r="N81" i="8"/>
  <c r="K82" i="8"/>
  <c r="L82" i="8"/>
  <c r="M82" i="8"/>
  <c r="N82" i="8"/>
  <c r="K83" i="8"/>
  <c r="L83" i="8"/>
  <c r="M83" i="8"/>
  <c r="N83" i="8"/>
  <c r="K84" i="8"/>
  <c r="L84" i="8"/>
  <c r="M84" i="8"/>
  <c r="N84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89" i="8"/>
  <c r="L89" i="8"/>
  <c r="M89" i="8"/>
  <c r="N89" i="8"/>
  <c r="K90" i="8"/>
  <c r="L90" i="8"/>
  <c r="M90" i="8"/>
  <c r="N90" i="8"/>
  <c r="K91" i="8"/>
  <c r="L91" i="8"/>
  <c r="M91" i="8"/>
  <c r="N91" i="8"/>
  <c r="K92" i="8"/>
  <c r="L92" i="8"/>
  <c r="M92" i="8"/>
  <c r="N92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7" i="8"/>
  <c r="L97" i="8"/>
  <c r="M97" i="8"/>
  <c r="N97" i="8"/>
  <c r="K98" i="8"/>
  <c r="L98" i="8"/>
  <c r="M98" i="8"/>
  <c r="N98" i="8"/>
  <c r="K99" i="8"/>
  <c r="L99" i="8"/>
  <c r="M99" i="8"/>
  <c r="N99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05" i="8"/>
  <c r="L105" i="8"/>
  <c r="M105" i="8"/>
  <c r="N105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2" i="8"/>
  <c r="L112" i="8"/>
  <c r="M112" i="8"/>
  <c r="N112" i="8"/>
  <c r="K113" i="8"/>
  <c r="L113" i="8"/>
  <c r="M113" i="8"/>
  <c r="N113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0" i="8"/>
  <c r="L120" i="8"/>
  <c r="M120" i="8"/>
  <c r="N120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K125" i="8"/>
  <c r="L125" i="8"/>
  <c r="M125" i="8"/>
  <c r="N125" i="8"/>
  <c r="N25" i="8"/>
  <c r="I77" i="8"/>
  <c r="I78" i="8"/>
  <c r="I79" i="8"/>
  <c r="I80" i="8"/>
  <c r="I81" i="8"/>
  <c r="I82" i="8"/>
  <c r="I83" i="8"/>
  <c r="I100" i="8"/>
  <c r="I110" i="8"/>
  <c r="I111" i="8"/>
  <c r="I112" i="8"/>
  <c r="I114" i="8"/>
  <c r="I122" i="8"/>
  <c r="I124" i="8"/>
  <c r="I17" i="8"/>
  <c r="I28" i="8"/>
  <c r="I44" i="8"/>
  <c r="I59" i="8"/>
  <c r="I60" i="8"/>
  <c r="I61" i="8"/>
  <c r="I62" i="8"/>
  <c r="I2" i="8"/>
  <c r="K3" i="8"/>
  <c r="L3" i="8"/>
  <c r="M3" i="8"/>
  <c r="N3" i="8"/>
  <c r="K4" i="8"/>
  <c r="L4" i="8"/>
  <c r="M4" i="8"/>
  <c r="N4" i="8"/>
  <c r="K5" i="8"/>
  <c r="L5" i="8"/>
  <c r="M5" i="8"/>
  <c r="N5" i="8"/>
  <c r="K6" i="8"/>
  <c r="L6" i="8"/>
  <c r="M6" i="8"/>
  <c r="N6" i="8"/>
  <c r="K7" i="8"/>
  <c r="L7" i="8"/>
  <c r="M7" i="8"/>
  <c r="N7" i="8"/>
  <c r="K8" i="8"/>
  <c r="L8" i="8"/>
  <c r="M8" i="8"/>
  <c r="N8" i="8"/>
  <c r="L9" i="8"/>
  <c r="M9" i="8"/>
  <c r="N9" i="8"/>
  <c r="K10" i="8"/>
  <c r="L10" i="8"/>
  <c r="M10" i="8"/>
  <c r="N10" i="8"/>
  <c r="K11" i="8"/>
  <c r="L11" i="8"/>
  <c r="M11" i="8"/>
  <c r="N11" i="8"/>
  <c r="K12" i="8"/>
  <c r="L12" i="8"/>
  <c r="M12" i="8"/>
  <c r="N12" i="8"/>
  <c r="K13" i="8"/>
  <c r="L13" i="8"/>
  <c r="M13" i="8"/>
  <c r="N13" i="8"/>
  <c r="K14" i="8"/>
  <c r="L14" i="8"/>
  <c r="M14" i="8"/>
  <c r="N14" i="8"/>
  <c r="K15" i="8"/>
  <c r="L15" i="8"/>
  <c r="M15" i="8"/>
  <c r="N15" i="8"/>
  <c r="K16" i="8"/>
  <c r="L16" i="8"/>
  <c r="M16" i="8"/>
  <c r="N16" i="8"/>
  <c r="K17" i="8"/>
  <c r="L17" i="8"/>
  <c r="M17" i="8"/>
  <c r="N17" i="8"/>
  <c r="K18" i="8"/>
  <c r="L18" i="8"/>
  <c r="M18" i="8"/>
  <c r="N18" i="8"/>
  <c r="K19" i="8"/>
  <c r="L19" i="8"/>
  <c r="M19" i="8"/>
  <c r="N19" i="8"/>
  <c r="K20" i="8"/>
  <c r="L20" i="8"/>
  <c r="M20" i="8"/>
  <c r="N20" i="8"/>
  <c r="K21" i="8"/>
  <c r="L21" i="8"/>
  <c r="M21" i="8"/>
  <c r="N21" i="8"/>
  <c r="K22" i="8"/>
  <c r="L22" i="8"/>
  <c r="M22" i="8"/>
  <c r="N22" i="8"/>
  <c r="K23" i="8"/>
  <c r="L23" i="8"/>
  <c r="M23" i="8"/>
  <c r="N23" i="8"/>
  <c r="K24" i="8"/>
  <c r="L24" i="8"/>
  <c r="M24" i="8"/>
  <c r="N24" i="8"/>
  <c r="K25" i="8"/>
  <c r="L25" i="8"/>
  <c r="M25" i="8"/>
  <c r="K26" i="8"/>
  <c r="L26" i="8"/>
  <c r="M26" i="8"/>
  <c r="N26" i="8"/>
  <c r="K27" i="8"/>
  <c r="L27" i="8"/>
  <c r="M27" i="8"/>
  <c r="N27" i="8"/>
  <c r="K28" i="8"/>
  <c r="L28" i="8"/>
  <c r="M28" i="8"/>
  <c r="N28" i="8"/>
  <c r="K29" i="8"/>
  <c r="L29" i="8"/>
  <c r="M29" i="8"/>
  <c r="N29" i="8"/>
  <c r="K30" i="8"/>
  <c r="L30" i="8"/>
  <c r="M30" i="8"/>
  <c r="N30" i="8"/>
  <c r="K31" i="8"/>
  <c r="L31" i="8"/>
  <c r="M31" i="8"/>
  <c r="N31" i="8"/>
  <c r="K32" i="8"/>
  <c r="L32" i="8"/>
  <c r="M32" i="8"/>
  <c r="N32" i="8"/>
  <c r="K33" i="8"/>
  <c r="L33" i="8"/>
  <c r="M33" i="8"/>
  <c r="N33" i="8"/>
  <c r="K34" i="8"/>
  <c r="L34" i="8"/>
  <c r="M34" i="8"/>
  <c r="N34" i="8"/>
  <c r="K35" i="8"/>
  <c r="L35" i="8"/>
  <c r="M35" i="8"/>
  <c r="N35" i="8"/>
  <c r="K36" i="8"/>
  <c r="L36" i="8"/>
  <c r="M36" i="8"/>
  <c r="N36" i="8"/>
  <c r="K37" i="8"/>
  <c r="L37" i="8"/>
  <c r="M37" i="8"/>
  <c r="N37" i="8"/>
  <c r="K38" i="8"/>
  <c r="L38" i="8"/>
  <c r="M38" i="8"/>
  <c r="N38" i="8"/>
  <c r="K39" i="8"/>
  <c r="L39" i="8"/>
  <c r="M39" i="8"/>
  <c r="N39" i="8"/>
  <c r="K40" i="8"/>
  <c r="L40" i="8"/>
  <c r="M40" i="8"/>
  <c r="N40" i="8"/>
  <c r="K41" i="8"/>
  <c r="L41" i="8"/>
  <c r="M41" i="8"/>
  <c r="N41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49" i="8"/>
  <c r="L49" i="8"/>
  <c r="M49" i="8"/>
  <c r="N49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55" i="8"/>
  <c r="L55" i="8"/>
  <c r="M55" i="8"/>
  <c r="N55" i="8"/>
  <c r="K56" i="8"/>
  <c r="L56" i="8"/>
  <c r="M56" i="8"/>
  <c r="N56" i="8"/>
  <c r="K2" i="8"/>
  <c r="L2" i="8"/>
  <c r="L4" i="22" l="1"/>
  <c r="R3" i="22" s="1"/>
  <c r="N6" i="30"/>
  <c r="M6" i="30"/>
  <c r="K6" i="30"/>
  <c r="L6" i="30"/>
  <c r="S34" i="16"/>
  <c r="T33" i="17"/>
  <c r="J34" i="16"/>
  <c r="G35" i="16"/>
  <c r="B37" i="16"/>
  <c r="E36" i="16"/>
  <c r="S33" i="17"/>
  <c r="G34" i="17"/>
  <c r="O34" i="17"/>
  <c r="I7" i="17"/>
  <c r="R7" i="17" s="1"/>
  <c r="L7" i="17"/>
  <c r="G12" i="22"/>
  <c r="F14" i="22"/>
  <c r="AI2" i="28" a="1"/>
  <c r="AI2" i="28" s="1"/>
  <c r="P6" i="28"/>
  <c r="H6" i="28"/>
  <c r="P5" i="28"/>
  <c r="P44" i="28" s="1"/>
  <c r="H5" i="28"/>
  <c r="H44" i="28" s="1"/>
  <c r="P6" i="27"/>
  <c r="H6" i="27"/>
  <c r="P5" i="27"/>
  <c r="P43" i="27" s="1"/>
  <c r="H5" i="27"/>
  <c r="H43" i="27" s="1"/>
  <c r="N6" i="28"/>
  <c r="F6" i="28"/>
  <c r="N5" i="28"/>
  <c r="N44" i="28" s="1"/>
  <c r="F5" i="28"/>
  <c r="F44" i="28" s="1"/>
  <c r="N6" i="27"/>
  <c r="F6" i="27"/>
  <c r="N5" i="27"/>
  <c r="N43" i="27" s="1"/>
  <c r="F5" i="27"/>
  <c r="F43" i="27" s="1"/>
  <c r="T6" i="28"/>
  <c r="L6" i="28"/>
  <c r="T5" i="28"/>
  <c r="T44" i="28" s="1"/>
  <c r="L5" i="28"/>
  <c r="L44" i="28" s="1"/>
  <c r="T6" i="27"/>
  <c r="L6" i="27"/>
  <c r="T5" i="27"/>
  <c r="T43" i="27" s="1"/>
  <c r="L5" i="27"/>
  <c r="L43" i="27" s="1"/>
  <c r="R6" i="28"/>
  <c r="J6" i="28"/>
  <c r="R5" i="28"/>
  <c r="R44" i="28" s="1"/>
  <c r="J5" i="28"/>
  <c r="J44" i="28" s="1"/>
  <c r="R6" i="27"/>
  <c r="J6" i="27"/>
  <c r="R5" i="27"/>
  <c r="R43" i="27" s="1"/>
  <c r="J5" i="27"/>
  <c r="J43" i="27" s="1"/>
  <c r="V6" i="26"/>
  <c r="Z5" i="26"/>
  <c r="Z44" i="26" s="1"/>
  <c r="P6" i="26"/>
  <c r="H6" i="26"/>
  <c r="P5" i="26"/>
  <c r="P44" i="26" s="1"/>
  <c r="H5" i="26"/>
  <c r="H44" i="26" s="1"/>
  <c r="T6" i="26"/>
  <c r="V5" i="26"/>
  <c r="V44" i="26" s="1"/>
  <c r="N6" i="26"/>
  <c r="F6" i="26"/>
  <c r="N5" i="26"/>
  <c r="N44" i="26" s="1"/>
  <c r="F5" i="26"/>
  <c r="F44" i="26" s="1"/>
  <c r="R5" i="26"/>
  <c r="R44" i="26" s="1"/>
  <c r="Z6" i="26"/>
  <c r="X6" i="26"/>
  <c r="J6" i="26"/>
  <c r="X5" i="26"/>
  <c r="X44" i="26" s="1"/>
  <c r="J5" i="26"/>
  <c r="J44" i="26" s="1"/>
  <c r="R6" i="26"/>
  <c r="T5" i="26"/>
  <c r="T44" i="26" s="1"/>
  <c r="AB6" i="26"/>
  <c r="L6" i="26"/>
  <c r="AB5" i="26"/>
  <c r="AB44" i="26" s="1"/>
  <c r="L5" i="26"/>
  <c r="L44" i="26" s="1"/>
  <c r="H4" i="21"/>
  <c r="F6" i="17"/>
  <c r="O6" i="17" s="1"/>
  <c r="Q4" i="17"/>
  <c r="D7" i="17"/>
  <c r="M7" i="17" s="1"/>
  <c r="B6" i="16"/>
  <c r="R4" i="16"/>
  <c r="E5" i="16"/>
  <c r="M4" i="16"/>
  <c r="D6" i="16"/>
  <c r="I2" i="2"/>
  <c r="N4" i="22" l="1"/>
  <c r="R6" i="30"/>
  <c r="Q6" i="30"/>
  <c r="O6" i="30"/>
  <c r="P6" i="30"/>
  <c r="F36" i="16"/>
  <c r="H35" i="16"/>
  <c r="J35" i="16"/>
  <c r="D37" i="16"/>
  <c r="I37" i="16"/>
  <c r="H34" i="17"/>
  <c r="Q34" i="17" s="1"/>
  <c r="P34" i="17"/>
  <c r="S5" i="17"/>
  <c r="T5" i="17"/>
  <c r="E7" i="17"/>
  <c r="N7" i="17" s="1"/>
  <c r="G6" i="17"/>
  <c r="P6" i="17" s="1"/>
  <c r="B8" i="17"/>
  <c r="L8" i="17" s="1"/>
  <c r="F5" i="16"/>
  <c r="N4" i="16"/>
  <c r="I6" i="16"/>
  <c r="E6" i="16"/>
  <c r="V6" i="30" l="1"/>
  <c r="U6" i="30"/>
  <c r="S6" i="30"/>
  <c r="T6" i="30"/>
  <c r="T34" i="17"/>
  <c r="S34" i="17"/>
  <c r="G36" i="16"/>
  <c r="E37" i="16"/>
  <c r="B38" i="16"/>
  <c r="S35" i="16"/>
  <c r="I8" i="17"/>
  <c r="R8" i="17" s="1"/>
  <c r="D8" i="17"/>
  <c r="M8" i="17" s="1"/>
  <c r="F7" i="17"/>
  <c r="O7" i="17" s="1"/>
  <c r="H6" i="17"/>
  <c r="Q6" i="17" s="1"/>
  <c r="T6" i="17" s="1"/>
  <c r="F6" i="16"/>
  <c r="B7" i="16"/>
  <c r="G5" i="16"/>
  <c r="O4" i="16"/>
  <c r="Z6" i="30" l="1"/>
  <c r="Y6" i="30"/>
  <c r="AD6" i="30" s="1"/>
  <c r="X6" i="30"/>
  <c r="W6" i="30"/>
  <c r="AB6" i="30" s="1"/>
  <c r="H36" i="16"/>
  <c r="J36" i="16"/>
  <c r="D38" i="16"/>
  <c r="I38" i="16"/>
  <c r="F37" i="16"/>
  <c r="S6" i="17"/>
  <c r="E8" i="17"/>
  <c r="N8" i="17" s="1"/>
  <c r="G7" i="17"/>
  <c r="P7" i="17" s="1"/>
  <c r="B9" i="17"/>
  <c r="L9" i="17" s="1"/>
  <c r="I7" i="16"/>
  <c r="D7" i="16"/>
  <c r="H5" i="16"/>
  <c r="P4" i="16"/>
  <c r="G6" i="16"/>
  <c r="B7" i="30" l="1"/>
  <c r="F7" i="30" s="1"/>
  <c r="AC6" i="30"/>
  <c r="AE6" i="30" s="1"/>
  <c r="D7" i="30"/>
  <c r="E7" i="30"/>
  <c r="C7" i="30"/>
  <c r="S36" i="16"/>
  <c r="G37" i="16"/>
  <c r="E38" i="16"/>
  <c r="D9" i="17"/>
  <c r="M9" i="17" s="1"/>
  <c r="I9" i="17"/>
  <c r="R9" i="17" s="1"/>
  <c r="H7" i="17"/>
  <c r="Q7" i="17" s="1"/>
  <c r="T7" i="17" s="1"/>
  <c r="F8" i="17"/>
  <c r="O8" i="17" s="1"/>
  <c r="E7" i="16"/>
  <c r="H6" i="16"/>
  <c r="Q4" i="16"/>
  <c r="S5" i="16"/>
  <c r="B8" i="16"/>
  <c r="J7" i="30" l="1"/>
  <c r="H7" i="30"/>
  <c r="I7" i="30"/>
  <c r="G7" i="30"/>
  <c r="F38" i="16"/>
  <c r="H37" i="16"/>
  <c r="S6" i="16"/>
  <c r="S7" i="17"/>
  <c r="G8" i="17"/>
  <c r="P8" i="17" s="1"/>
  <c r="B10" i="17"/>
  <c r="L10" i="17" s="1"/>
  <c r="E9" i="17"/>
  <c r="N9" i="17" s="1"/>
  <c r="I8" i="16"/>
  <c r="D8" i="16"/>
  <c r="F7" i="16"/>
  <c r="K7" i="30" l="1"/>
  <c r="L7" i="30"/>
  <c r="N7" i="30"/>
  <c r="M7" i="30"/>
  <c r="G38" i="16"/>
  <c r="S37" i="16"/>
  <c r="J37" i="16"/>
  <c r="F9" i="17"/>
  <c r="O9" i="17" s="1"/>
  <c r="I10" i="17"/>
  <c r="R10" i="17" s="1"/>
  <c r="D10" i="17"/>
  <c r="M10" i="17" s="1"/>
  <c r="H8" i="17"/>
  <c r="Q8" i="17" s="1"/>
  <c r="T8" i="17" s="1"/>
  <c r="E8" i="16"/>
  <c r="G7" i="16"/>
  <c r="B9" i="16"/>
  <c r="O7" i="30" l="1"/>
  <c r="R7" i="30"/>
  <c r="P7" i="30"/>
  <c r="Q7" i="30"/>
  <c r="H38" i="16"/>
  <c r="J38" i="16"/>
  <c r="S8" i="17"/>
  <c r="B11" i="17"/>
  <c r="L11" i="17" s="1"/>
  <c r="E10" i="17"/>
  <c r="N10" i="17" s="1"/>
  <c r="G9" i="17"/>
  <c r="P9" i="17" s="1"/>
  <c r="H7" i="16"/>
  <c r="I9" i="16"/>
  <c r="D9" i="16"/>
  <c r="F8" i="16"/>
  <c r="V7" i="30" l="1"/>
  <c r="T7" i="30"/>
  <c r="S7" i="30"/>
  <c r="U7" i="30"/>
  <c r="S38" i="16"/>
  <c r="S7" i="16"/>
  <c r="H9" i="17"/>
  <c r="D11" i="17"/>
  <c r="M11" i="17" s="1"/>
  <c r="I11" i="17"/>
  <c r="R11" i="17" s="1"/>
  <c r="F10" i="17"/>
  <c r="O10" i="17" s="1"/>
  <c r="E9" i="16"/>
  <c r="G8" i="16"/>
  <c r="B10" i="16"/>
  <c r="Z7" i="30" l="1"/>
  <c r="X7" i="30"/>
  <c r="Y7" i="30"/>
  <c r="AD7" i="30" s="1"/>
  <c r="W7" i="30"/>
  <c r="AB7" i="30" s="1"/>
  <c r="Q9" i="17"/>
  <c r="T9" i="17" s="1"/>
  <c r="B12" i="17"/>
  <c r="L12" i="17" s="1"/>
  <c r="G10" i="17"/>
  <c r="P10" i="17" s="1"/>
  <c r="E11" i="17"/>
  <c r="N11" i="17" s="1"/>
  <c r="H8" i="16"/>
  <c r="I10" i="16"/>
  <c r="D10" i="16"/>
  <c r="F9" i="16"/>
  <c r="B8" i="30" l="1"/>
  <c r="AC7" i="30"/>
  <c r="AE7" i="30" s="1"/>
  <c r="C8" i="30"/>
  <c r="D8" i="30"/>
  <c r="S9" i="17"/>
  <c r="S8" i="16"/>
  <c r="H10" i="17"/>
  <c r="Q10" i="17" s="1"/>
  <c r="T10" i="17" s="1"/>
  <c r="F11" i="17"/>
  <c r="O11" i="17" s="1"/>
  <c r="I12" i="17"/>
  <c r="R12" i="17" s="1"/>
  <c r="D12" i="17"/>
  <c r="M12" i="17" s="1"/>
  <c r="G9" i="16"/>
  <c r="B11" i="16"/>
  <c r="E10" i="16"/>
  <c r="E8" i="30" l="1"/>
  <c r="F8" i="30"/>
  <c r="G8" i="30" s="1"/>
  <c r="S10" i="17"/>
  <c r="G11" i="17"/>
  <c r="P11" i="17" s="1"/>
  <c r="B13" i="17"/>
  <c r="L13" i="17" s="1"/>
  <c r="E12" i="17"/>
  <c r="N12" i="17" s="1"/>
  <c r="H9" i="16"/>
  <c r="F10" i="16"/>
  <c r="I11" i="16"/>
  <c r="D11" i="16"/>
  <c r="I8" i="30" l="1"/>
  <c r="H8" i="30"/>
  <c r="J8" i="30"/>
  <c r="N8" i="30"/>
  <c r="K8" i="30"/>
  <c r="L8" i="30"/>
  <c r="M8" i="30"/>
  <c r="F12" i="17"/>
  <c r="O12" i="17" s="1"/>
  <c r="D13" i="17"/>
  <c r="M13" i="17" s="1"/>
  <c r="I13" i="17"/>
  <c r="R13" i="17" s="1"/>
  <c r="H11" i="17"/>
  <c r="Q11" i="17" s="1"/>
  <c r="T11" i="17" s="1"/>
  <c r="E11" i="16"/>
  <c r="G10" i="16"/>
  <c r="B12" i="16"/>
  <c r="S9" i="16"/>
  <c r="R8" i="30" l="1"/>
  <c r="Q8" i="30"/>
  <c r="P8" i="30"/>
  <c r="O8" i="30"/>
  <c r="S11" i="17"/>
  <c r="B14" i="17"/>
  <c r="E13" i="17"/>
  <c r="N13" i="17" s="1"/>
  <c r="G12" i="17"/>
  <c r="P12" i="17" s="1"/>
  <c r="H10" i="16"/>
  <c r="I12" i="16"/>
  <c r="D12" i="16"/>
  <c r="F11" i="16"/>
  <c r="V8" i="30" l="1"/>
  <c r="T8" i="30"/>
  <c r="S8" i="30"/>
  <c r="U8" i="30"/>
  <c r="H12" i="17"/>
  <c r="Q12" i="17" s="1"/>
  <c r="T12" i="17" s="1"/>
  <c r="I14" i="17"/>
  <c r="R14" i="17" s="1"/>
  <c r="D14" i="17"/>
  <c r="M14" i="17" s="1"/>
  <c r="F13" i="17"/>
  <c r="O13" i="17" s="1"/>
  <c r="B13" i="16"/>
  <c r="G11" i="16"/>
  <c r="E12" i="16"/>
  <c r="S10" i="16"/>
  <c r="Z8" i="30" l="1"/>
  <c r="X8" i="30"/>
  <c r="Y8" i="30"/>
  <c r="AD8" i="30" s="1"/>
  <c r="W8" i="30"/>
  <c r="AB8" i="30" s="1"/>
  <c r="S12" i="17"/>
  <c r="E14" i="17"/>
  <c r="N14" i="17" s="1"/>
  <c r="B15" i="17"/>
  <c r="L15" i="17" s="1"/>
  <c r="G13" i="17"/>
  <c r="P13" i="17" s="1"/>
  <c r="H11" i="16"/>
  <c r="F12" i="16"/>
  <c r="I13" i="16"/>
  <c r="D13" i="16"/>
  <c r="B9" i="30" l="1"/>
  <c r="AC8" i="30"/>
  <c r="AE8" i="30" s="1"/>
  <c r="D9" i="30"/>
  <c r="F9" i="30"/>
  <c r="D15" i="17"/>
  <c r="M15" i="17" s="1"/>
  <c r="I15" i="17"/>
  <c r="R15" i="17" s="1"/>
  <c r="H13" i="17"/>
  <c r="Q13" i="17" s="1"/>
  <c r="T13" i="17" s="1"/>
  <c r="F14" i="17"/>
  <c r="O14" i="17" s="1"/>
  <c r="G12" i="16"/>
  <c r="E13" i="16"/>
  <c r="B14" i="16"/>
  <c r="S11" i="16"/>
  <c r="C9" i="30" l="1"/>
  <c r="E9" i="30"/>
  <c r="H9" i="30"/>
  <c r="I9" i="30"/>
  <c r="J9" i="30"/>
  <c r="G9" i="30"/>
  <c r="S13" i="17"/>
  <c r="G14" i="17"/>
  <c r="P14" i="17" s="1"/>
  <c r="B16" i="17"/>
  <c r="L16" i="17" s="1"/>
  <c r="E15" i="17"/>
  <c r="N15" i="17" s="1"/>
  <c r="F13" i="16"/>
  <c r="I14" i="16"/>
  <c r="D14" i="16"/>
  <c r="H12" i="16"/>
  <c r="K9" i="30" l="1"/>
  <c r="N9" i="30"/>
  <c r="M9" i="30"/>
  <c r="L9" i="30"/>
  <c r="S12" i="16"/>
  <c r="H14" i="17"/>
  <c r="Q14" i="17" s="1"/>
  <c r="I16" i="17"/>
  <c r="R16" i="17" s="1"/>
  <c r="D16" i="17"/>
  <c r="M16" i="17" s="1"/>
  <c r="F15" i="17"/>
  <c r="O15" i="17" s="1"/>
  <c r="B15" i="16"/>
  <c r="E14" i="16"/>
  <c r="G13" i="16"/>
  <c r="R9" i="30" l="1"/>
  <c r="Q9" i="30"/>
  <c r="P9" i="30"/>
  <c r="O9" i="30"/>
  <c r="S14" i="17"/>
  <c r="T14" i="17"/>
  <c r="G15" i="17"/>
  <c r="P15" i="17" s="1"/>
  <c r="B17" i="17"/>
  <c r="L17" i="17" s="1"/>
  <c r="E16" i="17"/>
  <c r="N16" i="17" s="1"/>
  <c r="F14" i="16"/>
  <c r="H13" i="16"/>
  <c r="I15" i="16"/>
  <c r="D15" i="16"/>
  <c r="V9" i="30" l="1"/>
  <c r="S9" i="30"/>
  <c r="U9" i="30"/>
  <c r="T9" i="30"/>
  <c r="F16" i="17"/>
  <c r="O16" i="17" s="1"/>
  <c r="D17" i="17"/>
  <c r="M17" i="17" s="1"/>
  <c r="I17" i="17"/>
  <c r="R17" i="17" s="1"/>
  <c r="H15" i="17"/>
  <c r="Q15" i="17" s="1"/>
  <c r="T15" i="17" s="1"/>
  <c r="B16" i="16"/>
  <c r="E15" i="16"/>
  <c r="S13" i="16"/>
  <c r="G14" i="16"/>
  <c r="Z9" i="30" l="1"/>
  <c r="W9" i="30"/>
  <c r="AB9" i="30" s="1"/>
  <c r="X9" i="30"/>
  <c r="Y9" i="30"/>
  <c r="AD9" i="30" s="1"/>
  <c r="S15" i="17"/>
  <c r="E17" i="17"/>
  <c r="N17" i="17" s="1"/>
  <c r="B18" i="17"/>
  <c r="L18" i="17" s="1"/>
  <c r="G16" i="17"/>
  <c r="P16" i="17" s="1"/>
  <c r="H14" i="16"/>
  <c r="F15" i="16"/>
  <c r="I16" i="16"/>
  <c r="D16" i="16"/>
  <c r="B10" i="30" l="1"/>
  <c r="F10" i="30" s="1"/>
  <c r="AC9" i="30"/>
  <c r="AE9" i="30" s="1"/>
  <c r="D10" i="30"/>
  <c r="C10" i="30"/>
  <c r="E10" i="30"/>
  <c r="S14" i="16"/>
  <c r="F17" i="17"/>
  <c r="O17" i="17" s="1"/>
  <c r="H16" i="17"/>
  <c r="Q16" i="17" s="1"/>
  <c r="T16" i="17" s="1"/>
  <c r="I18" i="17"/>
  <c r="R18" i="17" s="1"/>
  <c r="D18" i="17"/>
  <c r="M18" i="17" s="1"/>
  <c r="G15" i="16"/>
  <c r="E16" i="16"/>
  <c r="B17" i="16"/>
  <c r="G10" i="30" l="1"/>
  <c r="H10" i="30"/>
  <c r="J10" i="30"/>
  <c r="I10" i="30"/>
  <c r="S16" i="17"/>
  <c r="E18" i="17"/>
  <c r="N18" i="17" s="1"/>
  <c r="B19" i="17"/>
  <c r="L19" i="17" s="1"/>
  <c r="G17" i="17"/>
  <c r="P17" i="17" s="1"/>
  <c r="F16" i="16"/>
  <c r="I17" i="16"/>
  <c r="D17" i="16"/>
  <c r="H15" i="16"/>
  <c r="N10" i="30" l="1"/>
  <c r="L10" i="30"/>
  <c r="K10" i="30"/>
  <c r="M10" i="30"/>
  <c r="S15" i="16"/>
  <c r="H17" i="17"/>
  <c r="Q17" i="17" s="1"/>
  <c r="T17" i="17" s="1"/>
  <c r="D19" i="17"/>
  <c r="M19" i="17" s="1"/>
  <c r="I19" i="17"/>
  <c r="R19" i="17" s="1"/>
  <c r="F18" i="17"/>
  <c r="O18" i="17" s="1"/>
  <c r="B18" i="16"/>
  <c r="E17" i="16"/>
  <c r="G16" i="16"/>
  <c r="R10" i="30" l="1"/>
  <c r="P10" i="30"/>
  <c r="Q10" i="30"/>
  <c r="O10" i="30"/>
  <c r="S17" i="17"/>
  <c r="E19" i="17"/>
  <c r="N19" i="17" s="1"/>
  <c r="G18" i="17"/>
  <c r="P18" i="17" s="1"/>
  <c r="B20" i="17"/>
  <c r="L20" i="17" s="1"/>
  <c r="F17" i="16"/>
  <c r="H16" i="16"/>
  <c r="I18" i="16"/>
  <c r="D18" i="16"/>
  <c r="V10" i="30" l="1"/>
  <c r="S10" i="30"/>
  <c r="T10" i="30"/>
  <c r="U10" i="30"/>
  <c r="S16" i="16"/>
  <c r="H18" i="17"/>
  <c r="I20" i="17"/>
  <c r="R20" i="17" s="1"/>
  <c r="D20" i="17"/>
  <c r="M20" i="17" s="1"/>
  <c r="F19" i="17"/>
  <c r="O19" i="17" s="1"/>
  <c r="E18" i="16"/>
  <c r="B19" i="16"/>
  <c r="G17" i="16"/>
  <c r="Z10" i="30" l="1"/>
  <c r="W10" i="30"/>
  <c r="AB10" i="30" s="1"/>
  <c r="X10" i="30"/>
  <c r="Y10" i="30"/>
  <c r="AD10" i="30" s="1"/>
  <c r="Q18" i="17"/>
  <c r="T18" i="17" s="1"/>
  <c r="E20" i="17"/>
  <c r="N20" i="17" s="1"/>
  <c r="G19" i="17"/>
  <c r="P19" i="17" s="1"/>
  <c r="B21" i="17"/>
  <c r="L21" i="17" s="1"/>
  <c r="I19" i="16"/>
  <c r="D19" i="16"/>
  <c r="H17" i="16"/>
  <c r="F18" i="16"/>
  <c r="B11" i="30" l="1"/>
  <c r="AC10" i="30"/>
  <c r="AE10" i="30" s="1"/>
  <c r="E11" i="30"/>
  <c r="F11" i="30"/>
  <c r="C11" i="30"/>
  <c r="D11" i="30"/>
  <c r="S18" i="17"/>
  <c r="H19" i="17"/>
  <c r="Q19" i="17" s="1"/>
  <c r="T19" i="17" s="1"/>
  <c r="D21" i="17"/>
  <c r="M21" i="17" s="1"/>
  <c r="I21" i="17"/>
  <c r="R21" i="17" s="1"/>
  <c r="F20" i="17"/>
  <c r="O20" i="17" s="1"/>
  <c r="G18" i="16"/>
  <c r="E19" i="16"/>
  <c r="S17" i="16"/>
  <c r="B20" i="16"/>
  <c r="H11" i="30" l="1"/>
  <c r="J11" i="30"/>
  <c r="I11" i="30"/>
  <c r="G11" i="30"/>
  <c r="S19" i="17"/>
  <c r="G20" i="17"/>
  <c r="P20" i="17" s="1"/>
  <c r="E21" i="17"/>
  <c r="N21" i="17" s="1"/>
  <c r="B22" i="17"/>
  <c r="L22" i="17" s="1"/>
  <c r="I20" i="16"/>
  <c r="D20" i="16"/>
  <c r="F19" i="16"/>
  <c r="H18" i="16"/>
  <c r="L11" i="30" l="1"/>
  <c r="K11" i="30"/>
  <c r="N11" i="30"/>
  <c r="M11" i="30"/>
  <c r="S18" i="16"/>
  <c r="I22" i="17"/>
  <c r="R22" i="17" s="1"/>
  <c r="D22" i="17"/>
  <c r="M22" i="17" s="1"/>
  <c r="F21" i="17"/>
  <c r="O21" i="17" s="1"/>
  <c r="H20" i="17"/>
  <c r="E20" i="16"/>
  <c r="G19" i="16"/>
  <c r="B21" i="16"/>
  <c r="R11" i="30" l="1"/>
  <c r="Q11" i="30"/>
  <c r="P11" i="30"/>
  <c r="O11" i="30"/>
  <c r="Q20" i="17"/>
  <c r="T20" i="17" s="1"/>
  <c r="G21" i="17"/>
  <c r="P21" i="17" s="1"/>
  <c r="E22" i="17"/>
  <c r="N22" i="17" s="1"/>
  <c r="B23" i="17"/>
  <c r="L23" i="17" s="1"/>
  <c r="I21" i="16"/>
  <c r="D21" i="16"/>
  <c r="H19" i="16"/>
  <c r="F20" i="16"/>
  <c r="V11" i="30" l="1"/>
  <c r="U11" i="30"/>
  <c r="S11" i="30"/>
  <c r="T11" i="30"/>
  <c r="S20" i="17"/>
  <c r="S19" i="16"/>
  <c r="H21" i="17"/>
  <c r="Q21" i="17" s="1"/>
  <c r="T21" i="17" s="1"/>
  <c r="F22" i="17"/>
  <c r="O22" i="17" s="1"/>
  <c r="D23" i="17"/>
  <c r="M23" i="17" s="1"/>
  <c r="I23" i="17"/>
  <c r="R23" i="17" s="1"/>
  <c r="G20" i="16"/>
  <c r="E21" i="16"/>
  <c r="B22" i="16"/>
  <c r="Z11" i="30" l="1"/>
  <c r="W11" i="30"/>
  <c r="AB11" i="30" s="1"/>
  <c r="Y11" i="30"/>
  <c r="AD11" i="30" s="1"/>
  <c r="X11" i="30"/>
  <c r="S21" i="17"/>
  <c r="E23" i="17"/>
  <c r="N23" i="17" s="1"/>
  <c r="G22" i="17"/>
  <c r="P22" i="17" s="1"/>
  <c r="B24" i="17"/>
  <c r="F21" i="16"/>
  <c r="I22" i="16"/>
  <c r="D22" i="16"/>
  <c r="H20" i="16"/>
  <c r="B12" i="30" l="1"/>
  <c r="F12" i="30" s="1"/>
  <c r="AC11" i="30"/>
  <c r="AE11" i="30" s="1"/>
  <c r="L24" i="17"/>
  <c r="S20" i="16"/>
  <c r="I24" i="17"/>
  <c r="R24" i="17" s="1"/>
  <c r="D24" i="17"/>
  <c r="M24" i="17" s="1"/>
  <c r="H22" i="17"/>
  <c r="Q22" i="17" s="1"/>
  <c r="T22" i="17" s="1"/>
  <c r="F23" i="17"/>
  <c r="O23" i="17" s="1"/>
  <c r="B23" i="16"/>
  <c r="E22" i="16"/>
  <c r="G21" i="16"/>
  <c r="E12" i="30" l="1"/>
  <c r="D12" i="30"/>
  <c r="C12" i="30"/>
  <c r="H12" i="30"/>
  <c r="G12" i="30"/>
  <c r="J12" i="30"/>
  <c r="I12" i="30"/>
  <c r="S22" i="17"/>
  <c r="G23" i="17"/>
  <c r="P23" i="17" s="1"/>
  <c r="E24" i="17"/>
  <c r="B25" i="17"/>
  <c r="F22" i="16"/>
  <c r="H21" i="16"/>
  <c r="I23" i="16"/>
  <c r="D23" i="16"/>
  <c r="L12" i="30" l="1"/>
  <c r="M12" i="30"/>
  <c r="N12" i="30"/>
  <c r="K12" i="30"/>
  <c r="L25" i="17"/>
  <c r="N24" i="17"/>
  <c r="S21" i="16"/>
  <c r="F24" i="17"/>
  <c r="O24" i="17" s="1"/>
  <c r="D25" i="17"/>
  <c r="M25" i="17" s="1"/>
  <c r="I25" i="17"/>
  <c r="R25" i="17" s="1"/>
  <c r="H23" i="17"/>
  <c r="E23" i="16"/>
  <c r="B24" i="16"/>
  <c r="G22" i="16"/>
  <c r="R12" i="30" l="1"/>
  <c r="P12" i="30"/>
  <c r="Q12" i="30"/>
  <c r="O12" i="30"/>
  <c r="Q23" i="17"/>
  <c r="T23" i="17" s="1"/>
  <c r="E25" i="17"/>
  <c r="B26" i="17"/>
  <c r="G24" i="17"/>
  <c r="H22" i="16"/>
  <c r="D24" i="16"/>
  <c r="I24" i="16"/>
  <c r="F23" i="16"/>
  <c r="V12" i="30" l="1"/>
  <c r="U12" i="30"/>
  <c r="T12" i="30"/>
  <c r="S12" i="30"/>
  <c r="P24" i="17"/>
  <c r="L26" i="17"/>
  <c r="S23" i="17"/>
  <c r="N25" i="17"/>
  <c r="S22" i="16"/>
  <c r="F25" i="17"/>
  <c r="O25" i="17" s="1"/>
  <c r="H24" i="17"/>
  <c r="Q24" i="17" s="1"/>
  <c r="I26" i="17"/>
  <c r="D26" i="17"/>
  <c r="M26" i="17" s="1"/>
  <c r="E24" i="16"/>
  <c r="B25" i="16"/>
  <c r="G23" i="16"/>
  <c r="Z12" i="30" l="1"/>
  <c r="W12" i="30"/>
  <c r="AB12" i="30" s="1"/>
  <c r="Y12" i="30"/>
  <c r="AD12" i="30" s="1"/>
  <c r="X12" i="30"/>
  <c r="T24" i="17"/>
  <c r="S24" i="17"/>
  <c r="E26" i="17"/>
  <c r="N26" i="17" s="1"/>
  <c r="B27" i="17"/>
  <c r="L27" i="17" s="1"/>
  <c r="G25" i="17"/>
  <c r="I25" i="16"/>
  <c r="D25" i="16"/>
  <c r="H23" i="16"/>
  <c r="F24" i="16"/>
  <c r="B13" i="30" l="1"/>
  <c r="F13" i="30" s="1"/>
  <c r="AC12" i="30"/>
  <c r="AE12" i="30" s="1"/>
  <c r="D13" i="30"/>
  <c r="C13" i="30"/>
  <c r="E13" i="30"/>
  <c r="P25" i="17"/>
  <c r="H25" i="17"/>
  <c r="Q25" i="17" s="1"/>
  <c r="D27" i="17"/>
  <c r="M27" i="17" s="1"/>
  <c r="I27" i="17"/>
  <c r="R27" i="17" s="1"/>
  <c r="F26" i="17"/>
  <c r="G24" i="16"/>
  <c r="S23" i="16"/>
  <c r="E25" i="16"/>
  <c r="B26" i="16"/>
  <c r="G13" i="30" l="1"/>
  <c r="I13" i="30"/>
  <c r="J13" i="30"/>
  <c r="H13" i="30"/>
  <c r="S25" i="17"/>
  <c r="T25" i="17"/>
  <c r="O26" i="17"/>
  <c r="E27" i="17"/>
  <c r="N27" i="17" s="1"/>
  <c r="G26" i="17"/>
  <c r="P26" i="17" s="1"/>
  <c r="B28" i="17"/>
  <c r="L28" i="17" s="1"/>
  <c r="D26" i="16"/>
  <c r="I26" i="16"/>
  <c r="F25" i="16"/>
  <c r="H24" i="16"/>
  <c r="L13" i="30" l="1"/>
  <c r="K13" i="30"/>
  <c r="M13" i="30"/>
  <c r="N13" i="30"/>
  <c r="S24" i="16"/>
  <c r="I28" i="17"/>
  <c r="R28" i="17" s="1"/>
  <c r="D28" i="17"/>
  <c r="M28" i="17" s="1"/>
  <c r="H26" i="17"/>
  <c r="F27" i="17"/>
  <c r="O27" i="17" s="1"/>
  <c r="B27" i="16"/>
  <c r="G25" i="16"/>
  <c r="E26" i="16"/>
  <c r="R13" i="30" l="1"/>
  <c r="Q13" i="30"/>
  <c r="O13" i="30"/>
  <c r="P13" i="30"/>
  <c r="Q26" i="17"/>
  <c r="G27" i="17"/>
  <c r="P27" i="17" s="1"/>
  <c r="E28" i="17"/>
  <c r="N28" i="17" s="1"/>
  <c r="H25" i="16"/>
  <c r="F26" i="16"/>
  <c r="D27" i="16"/>
  <c r="I27" i="16"/>
  <c r="V13" i="30" l="1"/>
  <c r="U13" i="30"/>
  <c r="T13" i="30"/>
  <c r="S13" i="30"/>
  <c r="S26" i="17"/>
  <c r="T26" i="17"/>
  <c r="S25" i="16"/>
  <c r="H27" i="17"/>
  <c r="Q27" i="17" s="1"/>
  <c r="T27" i="17" s="1"/>
  <c r="F28" i="17"/>
  <c r="O28" i="17" s="1"/>
  <c r="B28" i="16"/>
  <c r="G26" i="16"/>
  <c r="E27" i="16"/>
  <c r="Z13" i="30" l="1"/>
  <c r="Y13" i="30"/>
  <c r="AD13" i="30" s="1"/>
  <c r="W13" i="30"/>
  <c r="AB13" i="30" s="1"/>
  <c r="X13" i="30"/>
  <c r="S27" i="17"/>
  <c r="G28" i="17"/>
  <c r="P28" i="17" s="1"/>
  <c r="H26" i="16"/>
  <c r="F27" i="16"/>
  <c r="I28" i="16"/>
  <c r="D28" i="16"/>
  <c r="B14" i="30" l="1"/>
  <c r="F14" i="30" s="1"/>
  <c r="AC13" i="30"/>
  <c r="AE13" i="30" s="1"/>
  <c r="D14" i="30"/>
  <c r="E14" i="30"/>
  <c r="S26" i="16"/>
  <c r="H28" i="17"/>
  <c r="Q28" i="17" s="1"/>
  <c r="T28" i="17" s="1"/>
  <c r="E28" i="16"/>
  <c r="G27" i="16"/>
  <c r="C14" i="30" l="1"/>
  <c r="G14" i="30"/>
  <c r="J14" i="30"/>
  <c r="I14" i="30"/>
  <c r="H14" i="30"/>
  <c r="S28" i="17"/>
  <c r="H27" i="16"/>
  <c r="F28" i="16"/>
  <c r="K14" i="30" l="1"/>
  <c r="N14" i="30"/>
  <c r="M14" i="30"/>
  <c r="L14" i="30"/>
  <c r="J4" i="17"/>
  <c r="B1" i="17" s="1"/>
  <c r="S27" i="16"/>
  <c r="G28" i="16"/>
  <c r="R14" i="30" l="1"/>
  <c r="Q14" i="30"/>
  <c r="O14" i="30"/>
  <c r="P14" i="30"/>
  <c r="H28" i="16"/>
  <c r="J4" i="16"/>
  <c r="J1" i="16" s="1"/>
  <c r="V14" i="30" l="1"/>
  <c r="S14" i="30"/>
  <c r="T14" i="30"/>
  <c r="U14" i="30"/>
  <c r="S28" i="16"/>
  <c r="Z14" i="30" l="1"/>
  <c r="W14" i="30"/>
  <c r="AB14" i="30" s="1"/>
  <c r="Y14" i="30"/>
  <c r="AD14" i="30" s="1"/>
  <c r="X14" i="30"/>
  <c r="B15" i="30" l="1"/>
  <c r="AC14" i="30"/>
  <c r="AE14" i="30" s="1"/>
  <c r="C15" i="30"/>
  <c r="E15" i="30"/>
  <c r="F15" i="30"/>
  <c r="D15" i="30"/>
  <c r="I15" i="30" l="1"/>
  <c r="J15" i="30"/>
  <c r="H15" i="30"/>
  <c r="G15" i="30"/>
  <c r="L15" i="30" l="1"/>
  <c r="N15" i="30"/>
  <c r="K15" i="30"/>
  <c r="M15" i="30"/>
  <c r="R15" i="30" l="1"/>
  <c r="Q15" i="30"/>
  <c r="P15" i="30"/>
  <c r="O15" i="30"/>
  <c r="V15" i="30" l="1"/>
  <c r="U15" i="30"/>
  <c r="S15" i="30"/>
  <c r="T15" i="30"/>
  <c r="Z15" i="30" l="1"/>
  <c r="Y15" i="30"/>
  <c r="AD15" i="30" s="1"/>
  <c r="X15" i="30"/>
  <c r="W15" i="30"/>
  <c r="AB15" i="30" s="1"/>
  <c r="B16" i="30" l="1"/>
  <c r="AC15" i="30"/>
  <c r="AE15" i="30" s="1"/>
  <c r="C16" i="30"/>
  <c r="F16" i="30"/>
  <c r="D16" i="30"/>
  <c r="E16" i="30"/>
  <c r="I16" i="30" l="1"/>
  <c r="G16" i="30"/>
  <c r="J16" i="30"/>
  <c r="H16" i="30"/>
  <c r="K16" i="30" l="1"/>
  <c r="M16" i="30"/>
  <c r="N16" i="30"/>
  <c r="L16" i="30"/>
  <c r="R16" i="30" l="1"/>
  <c r="O16" i="30"/>
  <c r="Q16" i="30"/>
  <c r="P16" i="30"/>
  <c r="V16" i="30" l="1"/>
  <c r="S16" i="30"/>
  <c r="T16" i="30"/>
  <c r="U16" i="30"/>
  <c r="Z16" i="30" l="1"/>
  <c r="X16" i="30"/>
  <c r="Y16" i="30"/>
  <c r="AD16" i="30" s="1"/>
  <c r="W16" i="30"/>
  <c r="AB16" i="30" s="1"/>
  <c r="B17" i="30" l="1"/>
  <c r="AC16" i="30"/>
  <c r="AE16" i="30" s="1"/>
  <c r="C17" i="30"/>
  <c r="F17" i="30"/>
  <c r="D17" i="30"/>
  <c r="E17" i="30"/>
  <c r="H17" i="30" l="1"/>
  <c r="I17" i="30"/>
  <c r="J17" i="30"/>
  <c r="G17" i="30"/>
  <c r="L17" i="30" l="1"/>
  <c r="K17" i="30"/>
  <c r="N17" i="30"/>
  <c r="M17" i="30"/>
  <c r="R17" i="30" l="1"/>
  <c r="P17" i="30"/>
  <c r="Q17" i="30"/>
  <c r="O17" i="30"/>
  <c r="V17" i="30" l="1"/>
  <c r="T17" i="30"/>
  <c r="S17" i="30"/>
  <c r="U17" i="30"/>
  <c r="Z17" i="30" l="1"/>
  <c r="X17" i="30"/>
  <c r="W17" i="30"/>
  <c r="AB17" i="30" s="1"/>
  <c r="Y17" i="30"/>
  <c r="AD17" i="30" s="1"/>
  <c r="B18" i="30" l="1"/>
  <c r="AC17" i="30"/>
  <c r="AE17" i="30" s="1"/>
  <c r="F18" i="30"/>
  <c r="C18" i="30"/>
  <c r="D18" i="30"/>
  <c r="E18" i="30" l="1"/>
  <c r="I18" i="30"/>
  <c r="J18" i="30"/>
  <c r="G18" i="30"/>
  <c r="H18" i="30"/>
  <c r="L18" i="30" l="1"/>
  <c r="N18" i="30"/>
  <c r="M18" i="30"/>
  <c r="K18" i="30"/>
  <c r="R18" i="30" l="1"/>
  <c r="O18" i="30"/>
  <c r="Q18" i="30"/>
  <c r="P18" i="30"/>
  <c r="V18" i="30" l="1"/>
  <c r="U18" i="30"/>
  <c r="T18" i="30"/>
  <c r="S18" i="30"/>
  <c r="Z18" i="30" l="1"/>
  <c r="W18" i="30"/>
  <c r="AB18" i="30" s="1"/>
  <c r="Y18" i="30"/>
  <c r="AD18" i="30" s="1"/>
  <c r="X18" i="30"/>
  <c r="B19" i="30" l="1"/>
  <c r="AC18" i="30"/>
  <c r="AE18" i="30" s="1"/>
  <c r="C19" i="30"/>
  <c r="E19" i="30"/>
  <c r="F19" i="30"/>
  <c r="D19" i="30"/>
  <c r="G19" i="30" l="1"/>
  <c r="H19" i="30"/>
  <c r="J19" i="30"/>
  <c r="I19" i="30"/>
  <c r="L19" i="30" l="1"/>
  <c r="M19" i="30"/>
  <c r="N19" i="30"/>
  <c r="K19" i="30"/>
  <c r="R19" i="30" l="1"/>
  <c r="P19" i="30"/>
  <c r="Q19" i="30"/>
  <c r="O19" i="30"/>
  <c r="V19" i="30" l="1"/>
  <c r="S19" i="30"/>
  <c r="U19" i="30"/>
  <c r="T19" i="30"/>
  <c r="Z19" i="30" l="1"/>
  <c r="W19" i="30"/>
  <c r="AB19" i="30" s="1"/>
  <c r="X19" i="30"/>
  <c r="Y19" i="30"/>
  <c r="AD19" i="30" s="1"/>
  <c r="B20" i="30" l="1"/>
  <c r="AC19" i="30"/>
  <c r="AE19" i="30" s="1"/>
  <c r="C20" i="30" l="1"/>
  <c r="E20" i="30"/>
  <c r="D20" i="30"/>
  <c r="F20" i="30"/>
  <c r="J20" i="30" s="1"/>
  <c r="I20" i="30"/>
  <c r="H20" i="30" l="1"/>
  <c r="G20" i="30"/>
  <c r="N20" i="30"/>
  <c r="L20" i="30"/>
  <c r="M20" i="30"/>
  <c r="K20" i="30"/>
  <c r="R20" i="30" l="1"/>
  <c r="Q20" i="30"/>
  <c r="P20" i="30"/>
  <c r="O20" i="30"/>
  <c r="V20" i="30" l="1"/>
  <c r="U20" i="30"/>
  <c r="S20" i="30"/>
  <c r="T20" i="30"/>
  <c r="Z20" i="30" l="1"/>
  <c r="Y20" i="30"/>
  <c r="AD20" i="30" s="1"/>
  <c r="W20" i="30"/>
  <c r="AB20" i="30" s="1"/>
  <c r="X20" i="30"/>
  <c r="B21" i="30" l="1"/>
  <c r="AC20" i="30"/>
  <c r="AE20" i="30" s="1"/>
  <c r="E21" i="30"/>
  <c r="F21" i="30"/>
  <c r="C21" i="30"/>
  <c r="D21" i="30"/>
  <c r="H21" i="30" l="1"/>
  <c r="G21" i="30"/>
  <c r="J21" i="30"/>
  <c r="I21" i="30"/>
  <c r="L21" i="30" l="1"/>
  <c r="N21" i="30"/>
  <c r="M21" i="30"/>
  <c r="K21" i="30"/>
  <c r="R21" i="30" l="1"/>
  <c r="O21" i="30"/>
  <c r="Q21" i="30"/>
  <c r="P21" i="30"/>
  <c r="V21" i="30" l="1"/>
  <c r="T21" i="30"/>
  <c r="U21" i="30"/>
  <c r="S21" i="30"/>
  <c r="Z21" i="30" l="1"/>
  <c r="W21" i="30"/>
  <c r="AB21" i="30" s="1"/>
  <c r="Y21" i="30"/>
  <c r="AD21" i="30" s="1"/>
  <c r="X21" i="30"/>
  <c r="B22" i="30" l="1"/>
  <c r="AC21" i="30"/>
  <c r="AE21" i="30" s="1"/>
  <c r="C22" i="30"/>
  <c r="F22" i="30"/>
  <c r="D22" i="30"/>
  <c r="E22" i="30"/>
  <c r="I22" i="30" l="1"/>
  <c r="J22" i="30"/>
  <c r="G22" i="30"/>
  <c r="H22" i="30"/>
  <c r="L22" i="30" l="1"/>
  <c r="K22" i="30"/>
  <c r="N22" i="30"/>
  <c r="M22" i="30"/>
  <c r="R22" i="30" l="1"/>
  <c r="O22" i="30"/>
  <c r="Q22" i="30"/>
  <c r="P22" i="30"/>
  <c r="V22" i="30" l="1"/>
  <c r="U22" i="30"/>
  <c r="S22" i="30"/>
  <c r="T22" i="30"/>
  <c r="Z22" i="30" l="1"/>
  <c r="X22" i="30"/>
  <c r="W22" i="30"/>
  <c r="AB22" i="30" s="1"/>
  <c r="Y22" i="30"/>
  <c r="AD22" i="30" s="1"/>
  <c r="B23" i="30" l="1"/>
  <c r="AC22" i="30"/>
  <c r="AE22" i="30" s="1"/>
  <c r="D23" i="30"/>
  <c r="C23" i="30"/>
  <c r="F23" i="30"/>
  <c r="E23" i="30"/>
  <c r="J23" i="30" l="1"/>
  <c r="I23" i="30"/>
  <c r="H23" i="30"/>
  <c r="G23" i="30"/>
  <c r="N23" i="30" l="1"/>
  <c r="M23" i="30"/>
  <c r="K23" i="30"/>
  <c r="L23" i="30"/>
  <c r="Q23" i="30" l="1"/>
  <c r="P23" i="30"/>
  <c r="O23" i="30"/>
  <c r="R23" i="30"/>
  <c r="V23" i="30" l="1"/>
  <c r="U23" i="30"/>
  <c r="S23" i="30"/>
  <c r="T23" i="30"/>
  <c r="Z23" i="30" l="1"/>
  <c r="W23" i="30"/>
  <c r="AB23" i="30" s="1"/>
  <c r="Y23" i="30"/>
  <c r="AD23" i="30" s="1"/>
  <c r="X23" i="30"/>
  <c r="B24" i="30" l="1"/>
  <c r="AC23" i="30"/>
  <c r="AE23" i="30" s="1"/>
  <c r="E24" i="30"/>
  <c r="F24" i="30"/>
  <c r="C24" i="30"/>
  <c r="D24" i="30"/>
  <c r="I24" i="30" l="1"/>
  <c r="J24" i="30"/>
  <c r="H24" i="30"/>
  <c r="G24" i="30"/>
  <c r="L24" i="30" l="1"/>
  <c r="N24" i="30"/>
  <c r="M24" i="30"/>
  <c r="K24" i="30"/>
  <c r="Q24" i="30" l="1"/>
  <c r="O24" i="30"/>
  <c r="P24" i="30"/>
  <c r="R24" i="30"/>
  <c r="V24" i="30" l="1"/>
  <c r="U24" i="30"/>
  <c r="S24" i="30"/>
  <c r="T24" i="30"/>
  <c r="Z24" i="30" l="1"/>
  <c r="Y24" i="30"/>
  <c r="AD24" i="30" s="1"/>
  <c r="W24" i="30"/>
  <c r="AB24" i="30" s="1"/>
  <c r="X24" i="30"/>
  <c r="B25" i="30" l="1"/>
  <c r="AC24" i="30"/>
  <c r="AE24" i="30" s="1"/>
  <c r="C25" i="30"/>
  <c r="D25" i="30"/>
  <c r="E25" i="30"/>
  <c r="F25" i="30"/>
  <c r="J25" i="30" l="1"/>
  <c r="G25" i="30"/>
  <c r="H25" i="30"/>
  <c r="I25" i="30"/>
  <c r="M25" i="30" l="1"/>
  <c r="N25" i="30"/>
  <c r="K25" i="30"/>
  <c r="L25" i="30"/>
  <c r="R25" i="30" l="1"/>
  <c r="O25" i="30"/>
  <c r="Q25" i="30"/>
  <c r="P25" i="30"/>
  <c r="V25" i="30" l="1"/>
  <c r="S25" i="30"/>
  <c r="U25" i="30"/>
  <c r="T25" i="30"/>
  <c r="Z25" i="30" l="1"/>
  <c r="X25" i="30"/>
  <c r="Y25" i="30"/>
  <c r="AD25" i="30" s="1"/>
  <c r="W25" i="30"/>
  <c r="AB25" i="30" s="1"/>
  <c r="B26" i="30" l="1"/>
  <c r="AC25" i="30"/>
  <c r="AE25" i="30" s="1"/>
  <c r="E26" i="30"/>
  <c r="C26" i="30" l="1"/>
  <c r="D26" i="30"/>
  <c r="F26" i="30"/>
  <c r="G26" i="30" s="1"/>
  <c r="H26" i="30"/>
  <c r="I26" i="30"/>
  <c r="J26" i="30" l="1"/>
  <c r="N26" i="30"/>
  <c r="M26" i="30"/>
  <c r="L26" i="30"/>
  <c r="K26" i="30"/>
  <c r="P26" i="30" l="1"/>
  <c r="O26" i="30"/>
  <c r="Q26" i="30"/>
  <c r="R26" i="30"/>
  <c r="V26" i="30" l="1"/>
  <c r="U26" i="30"/>
  <c r="S26" i="30"/>
  <c r="T26" i="30"/>
  <c r="Z26" i="30" l="1"/>
  <c r="Y26" i="30"/>
  <c r="AD26" i="30" s="1"/>
  <c r="W26" i="30"/>
  <c r="AB26" i="30" s="1"/>
  <c r="X26" i="30"/>
  <c r="B27" i="30" l="1"/>
  <c r="AC26" i="30"/>
  <c r="AE26" i="30" s="1"/>
  <c r="D27" i="30"/>
  <c r="E27" i="30"/>
  <c r="F27" i="30"/>
  <c r="C27" i="30"/>
  <c r="J27" i="30" l="1"/>
  <c r="I27" i="30"/>
  <c r="G27" i="30"/>
  <c r="H27" i="30"/>
  <c r="N27" i="30" l="1"/>
  <c r="K27" i="30"/>
  <c r="M27" i="30"/>
  <c r="L27" i="30"/>
  <c r="Q27" i="30" l="1"/>
  <c r="P27" i="30"/>
  <c r="O27" i="30"/>
  <c r="R27" i="30"/>
  <c r="V27" i="30" l="1"/>
  <c r="U27" i="30"/>
  <c r="T27" i="30"/>
  <c r="S27" i="30"/>
  <c r="Z27" i="30" l="1"/>
  <c r="Y27" i="30"/>
  <c r="AD27" i="30" s="1"/>
  <c r="X27" i="30"/>
  <c r="W27" i="30"/>
  <c r="AB27" i="30" s="1"/>
  <c r="B28" i="30" l="1"/>
  <c r="AC27" i="30"/>
  <c r="AE27" i="30" s="1"/>
  <c r="D28" i="30"/>
  <c r="C28" i="30"/>
  <c r="E28" i="30"/>
  <c r="F28" i="30"/>
  <c r="J28" i="30" l="1"/>
  <c r="H28" i="30"/>
  <c r="G28" i="30"/>
  <c r="I28" i="30"/>
  <c r="N28" i="30" l="1"/>
  <c r="M28" i="30"/>
  <c r="L28" i="30"/>
  <c r="K28" i="30"/>
  <c r="Q28" i="30" l="1"/>
  <c r="O28" i="30"/>
  <c r="R28" i="30"/>
  <c r="P28" i="30"/>
  <c r="V28" i="30" l="1"/>
  <c r="T28" i="30"/>
  <c r="S28" i="30"/>
  <c r="U28" i="30"/>
  <c r="Z28" i="30" l="1"/>
  <c r="W28" i="30"/>
  <c r="AB28" i="30" s="1"/>
  <c r="Y28" i="30"/>
  <c r="AD28" i="30" s="1"/>
  <c r="X28" i="30"/>
  <c r="B29" i="30" l="1"/>
  <c r="AC28" i="30"/>
  <c r="AE28" i="30" s="1"/>
  <c r="C29" i="30"/>
  <c r="E29" i="30"/>
  <c r="F29" i="30"/>
  <c r="D29" i="30"/>
  <c r="J29" i="30" l="1"/>
  <c r="I29" i="30"/>
  <c r="H29" i="30"/>
  <c r="G29" i="30"/>
  <c r="L29" i="30" l="1"/>
  <c r="N29" i="30"/>
  <c r="K29" i="30"/>
  <c r="M29" i="30"/>
  <c r="R29" i="30" l="1"/>
  <c r="Q29" i="30"/>
  <c r="O29" i="30"/>
  <c r="P29" i="30"/>
  <c r="V29" i="30" l="1"/>
  <c r="U29" i="30"/>
  <c r="T29" i="30"/>
  <c r="S29" i="30"/>
  <c r="Z29" i="30" l="1"/>
  <c r="Y29" i="30"/>
  <c r="AD29" i="30" s="1"/>
  <c r="W29" i="30"/>
  <c r="AB29" i="30" s="1"/>
  <c r="X29" i="30"/>
  <c r="B30" i="30" l="1"/>
  <c r="AC29" i="30"/>
  <c r="AE29" i="30" s="1"/>
  <c r="E30" i="30"/>
  <c r="F30" i="30"/>
  <c r="D30" i="30"/>
  <c r="C30" i="30"/>
  <c r="H30" i="30" l="1"/>
  <c r="G30" i="30"/>
  <c r="J30" i="30"/>
  <c r="I30" i="30"/>
  <c r="L30" i="30" l="1"/>
  <c r="N30" i="30"/>
  <c r="M30" i="30"/>
  <c r="K30" i="30"/>
  <c r="R30" i="30" l="1"/>
  <c r="Q30" i="30"/>
  <c r="O30" i="30"/>
  <c r="P30" i="30"/>
  <c r="V30" i="30" l="1"/>
  <c r="U30" i="30"/>
  <c r="S30" i="30"/>
  <c r="T30" i="30"/>
  <c r="Z30" i="30" l="1"/>
  <c r="X30" i="30"/>
  <c r="W30" i="30"/>
  <c r="AB30" i="30" s="1"/>
  <c r="Y30" i="30"/>
  <c r="AD30" i="30" s="1"/>
  <c r="B31" i="30" l="1"/>
  <c r="AC30" i="30"/>
  <c r="AE30" i="30" s="1"/>
  <c r="C31" i="30"/>
  <c r="E31" i="30"/>
  <c r="F31" i="30"/>
  <c r="D31" i="30"/>
  <c r="J31" i="30" l="1"/>
  <c r="I31" i="30"/>
  <c r="H31" i="30"/>
  <c r="G31" i="30"/>
  <c r="N31" i="30" l="1"/>
  <c r="M31" i="30"/>
  <c r="L31" i="30"/>
  <c r="K31" i="30"/>
  <c r="R31" i="30" l="1"/>
  <c r="P31" i="30"/>
  <c r="Q31" i="30"/>
  <c r="O31" i="30"/>
  <c r="V31" i="30" l="1"/>
  <c r="U31" i="30"/>
  <c r="T31" i="30"/>
  <c r="S31" i="30"/>
  <c r="Z31" i="30" l="1"/>
  <c r="Y31" i="30"/>
  <c r="AD31" i="30" s="1"/>
  <c r="W31" i="30"/>
  <c r="AB31" i="30" s="1"/>
  <c r="X31" i="30"/>
  <c r="B32" i="30" l="1"/>
  <c r="AC31" i="30"/>
  <c r="AE31" i="30" s="1"/>
  <c r="D32" i="30"/>
  <c r="E32" i="30"/>
  <c r="F32" i="30"/>
  <c r="C32" i="30"/>
  <c r="J32" i="30" l="1"/>
  <c r="I32" i="30"/>
  <c r="H32" i="30"/>
  <c r="G32" i="30"/>
  <c r="M32" i="30" l="1"/>
  <c r="K32" i="30"/>
  <c r="N32" i="30"/>
  <c r="L32" i="30"/>
  <c r="Q32" i="30" l="1"/>
  <c r="O32" i="30"/>
  <c r="R32" i="30"/>
  <c r="P32" i="30"/>
  <c r="V32" i="30" l="1"/>
  <c r="S32" i="30"/>
  <c r="T32" i="30"/>
  <c r="U32" i="30"/>
  <c r="Z32" i="30" l="1"/>
  <c r="Y32" i="30"/>
  <c r="AD32" i="30" s="1"/>
  <c r="X32" i="30"/>
  <c r="W32" i="30"/>
  <c r="AB32" i="30" s="1"/>
  <c r="B33" i="30" l="1"/>
  <c r="AC32" i="30"/>
  <c r="AE32" i="30" s="1"/>
  <c r="D33" i="30"/>
  <c r="E33" i="30"/>
  <c r="F33" i="30"/>
  <c r="C33" i="30"/>
  <c r="J33" i="30" l="1"/>
  <c r="G33" i="30"/>
  <c r="I33" i="30"/>
  <c r="H33" i="30"/>
  <c r="K33" i="30" l="1"/>
  <c r="L33" i="30"/>
  <c r="N33" i="30"/>
  <c r="M33" i="30"/>
  <c r="R33" i="30" l="1"/>
  <c r="Q33" i="30"/>
  <c r="P33" i="30"/>
  <c r="O33" i="30"/>
  <c r="V33" i="30" l="1"/>
  <c r="U33" i="30"/>
  <c r="S33" i="30"/>
  <c r="T33" i="30"/>
  <c r="Z33" i="30" l="1"/>
  <c r="Y33" i="30"/>
  <c r="AD33" i="30" s="1"/>
  <c r="X33" i="30"/>
  <c r="W33" i="30"/>
  <c r="AB33" i="30" s="1"/>
  <c r="B34" i="30" l="1"/>
  <c r="AC33" i="30"/>
  <c r="AE33" i="30" s="1"/>
  <c r="E34" i="30"/>
  <c r="F34" i="30"/>
  <c r="D34" i="30"/>
  <c r="C34" i="30"/>
  <c r="J34" i="30" l="1"/>
  <c r="H34" i="30"/>
  <c r="G34" i="30"/>
  <c r="I34" i="30"/>
  <c r="N34" i="30" l="1"/>
  <c r="M34" i="30"/>
  <c r="L34" i="30"/>
  <c r="K34" i="30"/>
  <c r="R34" i="30" l="1"/>
  <c r="P34" i="30"/>
  <c r="Q34" i="30"/>
  <c r="O34" i="30"/>
  <c r="V34" i="30" l="1"/>
  <c r="S34" i="30"/>
  <c r="U34" i="30"/>
  <c r="T34" i="30"/>
  <c r="Z34" i="30" l="1"/>
  <c r="Y34" i="30"/>
  <c r="AD34" i="30" s="1"/>
  <c r="W34" i="30"/>
  <c r="AB34" i="30" s="1"/>
  <c r="X34" i="30"/>
  <c r="B35" i="30" l="1"/>
  <c r="AC34" i="30"/>
  <c r="AE34" i="30" s="1"/>
  <c r="D35" i="30"/>
  <c r="C35" i="30"/>
  <c r="E35" i="30"/>
  <c r="F35" i="30"/>
  <c r="J35" i="30" l="1"/>
  <c r="G35" i="30"/>
  <c r="I35" i="30"/>
  <c r="H35" i="30"/>
  <c r="N35" i="30" l="1"/>
  <c r="M35" i="30"/>
  <c r="L35" i="30"/>
  <c r="K35" i="30"/>
  <c r="R35" i="30" l="1"/>
  <c r="Q35" i="30"/>
  <c r="P35" i="30"/>
  <c r="O35" i="30"/>
  <c r="V35" i="30" l="1"/>
  <c r="U35" i="30"/>
  <c r="S35" i="30"/>
  <c r="T35" i="30"/>
  <c r="Z35" i="30" l="1"/>
  <c r="Y35" i="30"/>
  <c r="AD35" i="30" s="1"/>
  <c r="W35" i="30"/>
  <c r="AB35" i="30" s="1"/>
  <c r="X35" i="30"/>
  <c r="B36" i="30" l="1"/>
  <c r="AC35" i="30"/>
  <c r="AE35" i="30" s="1"/>
  <c r="E36" i="30"/>
  <c r="F36" i="30"/>
  <c r="D36" i="30"/>
  <c r="C36" i="30"/>
  <c r="J36" i="30" l="1"/>
  <c r="H36" i="30"/>
  <c r="G36" i="30"/>
  <c r="I36" i="30"/>
  <c r="N36" i="30" l="1"/>
  <c r="M36" i="30"/>
  <c r="K36" i="30"/>
  <c r="L36" i="30"/>
  <c r="P36" i="30" l="1"/>
  <c r="R36" i="30"/>
  <c r="Q36" i="30"/>
  <c r="O36" i="30"/>
  <c r="V36" i="30" l="1"/>
  <c r="U36" i="30"/>
  <c r="T36" i="30"/>
  <c r="S36" i="30"/>
  <c r="Z36" i="30" l="1"/>
  <c r="X36" i="30"/>
  <c r="Y36" i="30"/>
  <c r="AD36" i="30" s="1"/>
  <c r="W36" i="30"/>
  <c r="AB36" i="30" s="1"/>
  <c r="B37" i="30" l="1"/>
  <c r="AC36" i="30"/>
  <c r="AE36" i="30" s="1"/>
  <c r="E37" i="30"/>
  <c r="F37" i="30"/>
  <c r="C37" i="30"/>
  <c r="D37" i="30"/>
  <c r="J37" i="30" l="1"/>
  <c r="G37" i="30"/>
  <c r="I37" i="30"/>
  <c r="H37" i="30"/>
  <c r="N37" i="30" l="1"/>
  <c r="M37" i="30"/>
  <c r="K37" i="30"/>
  <c r="L37" i="30"/>
  <c r="Q37" i="30" l="1"/>
  <c r="P37" i="30"/>
  <c r="O37" i="30"/>
  <c r="R37" i="30"/>
  <c r="V37" i="30" l="1"/>
  <c r="U37" i="30"/>
  <c r="T37" i="30"/>
  <c r="S37" i="30"/>
  <c r="Z37" i="30" l="1"/>
  <c r="Y37" i="30"/>
  <c r="AD37" i="30" s="1"/>
  <c r="W37" i="30"/>
  <c r="AB37" i="30" s="1"/>
  <c r="X37" i="30"/>
  <c r="B38" i="30" l="1"/>
  <c r="C38" i="30" s="1"/>
  <c r="AC37" i="30"/>
  <c r="AE37" i="30" s="1"/>
  <c r="E38" i="30"/>
  <c r="F38" i="30"/>
  <c r="D38" i="30"/>
  <c r="J38" i="30" l="1"/>
  <c r="G38" i="30"/>
  <c r="I38" i="30"/>
  <c r="H38" i="30"/>
  <c r="N38" i="30" l="1"/>
  <c r="M38" i="30"/>
  <c r="K38" i="30"/>
  <c r="L38" i="30"/>
  <c r="Q38" i="30" l="1"/>
  <c r="P38" i="30"/>
  <c r="O38" i="30"/>
  <c r="R38" i="30"/>
  <c r="V38" i="30" l="1"/>
  <c r="U38" i="30"/>
  <c r="T38" i="30"/>
  <c r="S38" i="30"/>
  <c r="Z38" i="30" l="1"/>
  <c r="Y38" i="30"/>
  <c r="AD38" i="30" s="1"/>
  <c r="X38" i="30"/>
  <c r="W38" i="30"/>
  <c r="AB38" i="30" s="1"/>
  <c r="B39" i="30" l="1"/>
  <c r="AC38" i="30"/>
  <c r="AE38" i="30" s="1"/>
  <c r="C39" i="30"/>
  <c r="D39" i="30"/>
  <c r="E39" i="30"/>
  <c r="F39" i="30"/>
  <c r="J39" i="30" l="1"/>
  <c r="G39" i="30"/>
  <c r="I39" i="30"/>
  <c r="H39" i="30"/>
  <c r="N39" i="30" l="1"/>
  <c r="M39" i="30"/>
  <c r="K39" i="30"/>
  <c r="L39" i="30"/>
  <c r="Q39" i="30" l="1"/>
  <c r="P39" i="30"/>
  <c r="O39" i="30"/>
  <c r="R39" i="30"/>
  <c r="V39" i="30" l="1"/>
  <c r="U39" i="30"/>
  <c r="T39" i="30"/>
  <c r="S39" i="30"/>
  <c r="Z39" i="30" l="1"/>
  <c r="Y39" i="30"/>
  <c r="AD39" i="30" s="1"/>
  <c r="W39" i="30"/>
  <c r="AB39" i="30" s="1"/>
  <c r="X39" i="30"/>
  <c r="B40" i="30" l="1"/>
  <c r="AC39" i="30"/>
  <c r="AE39" i="30" s="1"/>
  <c r="C40" i="30"/>
  <c r="E40" i="30"/>
  <c r="F40" i="30" l="1"/>
  <c r="D40" i="30"/>
  <c r="J40" i="30"/>
  <c r="G40" i="30"/>
  <c r="I40" i="30"/>
  <c r="H40" i="30"/>
  <c r="N40" i="30" l="1"/>
  <c r="M40" i="30"/>
  <c r="L40" i="30"/>
  <c r="K40" i="30"/>
  <c r="P40" i="30" l="1"/>
  <c r="R40" i="30"/>
  <c r="Q40" i="30"/>
  <c r="O40" i="30"/>
  <c r="V40" i="30" l="1"/>
  <c r="S40" i="30"/>
  <c r="U40" i="30"/>
  <c r="T40" i="30"/>
  <c r="Z40" i="30" l="1"/>
  <c r="Y40" i="30"/>
  <c r="AD40" i="30" s="1"/>
  <c r="X40" i="30"/>
  <c r="W40" i="30"/>
  <c r="AB40" i="30" s="1"/>
  <c r="B41" i="30" l="1"/>
  <c r="AC40" i="30"/>
  <c r="AE40" i="30" s="1"/>
  <c r="D41" i="30"/>
  <c r="E41" i="30"/>
  <c r="F41" i="30"/>
  <c r="C41" i="30"/>
  <c r="J41" i="30" l="1"/>
  <c r="I41" i="30"/>
  <c r="H41" i="30"/>
  <c r="G41" i="30"/>
  <c r="N41" i="30" l="1"/>
  <c r="M41" i="30"/>
  <c r="K41" i="30"/>
  <c r="L41" i="30"/>
  <c r="P41" i="30" l="1"/>
  <c r="R41" i="30"/>
  <c r="Q41" i="30"/>
  <c r="O41" i="30"/>
  <c r="V41" i="30" l="1"/>
  <c r="S41" i="30"/>
  <c r="U41" i="30"/>
  <c r="T41" i="30"/>
  <c r="Z41" i="30" l="1"/>
  <c r="Y41" i="30"/>
  <c r="AD41" i="30" s="1"/>
  <c r="W41" i="30"/>
  <c r="AB41" i="30" s="1"/>
  <c r="X41" i="30"/>
  <c r="B42" i="30" l="1"/>
  <c r="AC41" i="30"/>
  <c r="AE41" i="30" s="1"/>
  <c r="E42" i="30"/>
  <c r="F42" i="30"/>
  <c r="D42" i="30"/>
  <c r="C42" i="30"/>
  <c r="J42" i="30" l="1"/>
  <c r="H42" i="30"/>
  <c r="G42" i="30"/>
  <c r="I42" i="30"/>
  <c r="N42" i="30" l="1"/>
  <c r="M42" i="30"/>
  <c r="L42" i="30"/>
  <c r="K42" i="30"/>
  <c r="P42" i="30" l="1"/>
  <c r="Q42" i="30"/>
  <c r="R42" i="30"/>
  <c r="O42" i="30"/>
  <c r="V42" i="30" l="1"/>
  <c r="U42" i="30"/>
  <c r="T42" i="30"/>
  <c r="S42" i="30"/>
  <c r="Z42" i="30" l="1"/>
  <c r="Y42" i="30"/>
  <c r="AD42" i="30" s="1"/>
  <c r="X42" i="30"/>
  <c r="W42" i="30"/>
  <c r="AB42" i="30" s="1"/>
  <c r="B43" i="30" l="1"/>
  <c r="AC42" i="30"/>
  <c r="AE42" i="30" s="1"/>
  <c r="E43" i="30"/>
  <c r="F43" i="30"/>
  <c r="C43" i="30"/>
  <c r="D43" i="30"/>
  <c r="J43" i="30" l="1"/>
  <c r="G43" i="30"/>
  <c r="H43" i="30"/>
  <c r="I43" i="30"/>
  <c r="N43" i="30" l="1"/>
  <c r="M43" i="30"/>
  <c r="K43" i="30"/>
  <c r="L43" i="30"/>
  <c r="Q43" i="30" l="1"/>
  <c r="O43" i="30"/>
  <c r="P43" i="30"/>
  <c r="R43" i="30"/>
  <c r="V43" i="30" l="1"/>
  <c r="S43" i="30"/>
  <c r="U43" i="30"/>
  <c r="T43" i="30"/>
  <c r="Z43" i="30" l="1"/>
  <c r="Y43" i="30"/>
  <c r="AD43" i="30" s="1"/>
  <c r="W43" i="30"/>
  <c r="AB43" i="30" s="1"/>
  <c r="X43" i="30"/>
  <c r="B44" i="30" l="1"/>
  <c r="AC43" i="30"/>
  <c r="AE43" i="30" s="1"/>
  <c r="C44" i="30"/>
  <c r="D44" i="30"/>
  <c r="E44" i="30"/>
  <c r="F44" i="30"/>
  <c r="J44" i="30" l="1"/>
  <c r="G44" i="30"/>
  <c r="I44" i="30"/>
  <c r="H44" i="30"/>
  <c r="N44" i="30" l="1"/>
  <c r="M44" i="30"/>
  <c r="K44" i="30"/>
  <c r="L44" i="30"/>
  <c r="P44" i="30" l="1"/>
  <c r="O44" i="30"/>
  <c r="Q44" i="30"/>
  <c r="R44" i="30"/>
  <c r="V44" i="30" l="1"/>
  <c r="U44" i="30"/>
  <c r="T44" i="30"/>
  <c r="S44" i="30"/>
  <c r="Z44" i="30" l="1"/>
  <c r="Y44" i="30"/>
  <c r="AD44" i="30" s="1"/>
  <c r="W44" i="30"/>
  <c r="AB44" i="30" s="1"/>
  <c r="X44" i="30"/>
  <c r="B45" i="30" l="1"/>
  <c r="AC44" i="30"/>
  <c r="AE44" i="30" s="1"/>
  <c r="C45" i="30"/>
  <c r="D45" i="30"/>
  <c r="E45" i="30"/>
  <c r="F45" i="30"/>
  <c r="J45" i="30" l="1"/>
  <c r="H45" i="30"/>
  <c r="G45" i="30"/>
  <c r="I45" i="30"/>
  <c r="N45" i="30" l="1"/>
  <c r="M45" i="30"/>
  <c r="L45" i="30"/>
  <c r="K45" i="30"/>
  <c r="P45" i="30" l="1"/>
  <c r="R45" i="30"/>
  <c r="Q45" i="30"/>
  <c r="O45" i="30"/>
  <c r="V45" i="30" l="1"/>
  <c r="U45" i="30"/>
  <c r="T45" i="30"/>
  <c r="S45" i="30"/>
  <c r="Z45" i="30" l="1"/>
  <c r="Y45" i="30"/>
  <c r="AD45" i="30" s="1"/>
  <c r="W45" i="30"/>
  <c r="AB45" i="30" s="1"/>
  <c r="X45" i="30"/>
  <c r="B46" i="30" l="1"/>
  <c r="AC45" i="30"/>
  <c r="AE45" i="30" s="1"/>
  <c r="C46" i="30"/>
  <c r="E46" i="30"/>
  <c r="F46" i="30"/>
  <c r="D46" i="30"/>
  <c r="J46" i="30" l="1"/>
  <c r="G46" i="30"/>
  <c r="I46" i="30"/>
  <c r="H46" i="30"/>
  <c r="N46" i="30" l="1"/>
  <c r="M46" i="30"/>
  <c r="K46" i="30"/>
  <c r="L46" i="30"/>
  <c r="O46" i="30" l="1"/>
  <c r="R46" i="30"/>
  <c r="Q46" i="30"/>
  <c r="P46" i="30"/>
  <c r="V46" i="30" l="1"/>
  <c r="U46" i="30"/>
  <c r="T46" i="30"/>
  <c r="S46" i="30"/>
  <c r="Z46" i="30" l="1"/>
  <c r="Y46" i="30"/>
  <c r="AD46" i="30" s="1"/>
  <c r="W46" i="30"/>
  <c r="AB46" i="30" s="1"/>
  <c r="X46" i="30"/>
  <c r="B47" i="30" l="1"/>
  <c r="AC46" i="30"/>
  <c r="AE46" i="30" s="1"/>
  <c r="E47" i="30"/>
  <c r="F47" i="30"/>
  <c r="D47" i="30"/>
  <c r="C47" i="30"/>
  <c r="J47" i="30" l="1"/>
  <c r="G47" i="30"/>
  <c r="H47" i="30"/>
  <c r="I47" i="30"/>
  <c r="N47" i="30" l="1"/>
  <c r="M47" i="30"/>
  <c r="L47" i="30"/>
  <c r="K47" i="30"/>
  <c r="Q47" i="30" l="1"/>
  <c r="O47" i="30"/>
  <c r="R47" i="30"/>
  <c r="P47" i="30"/>
  <c r="V47" i="30" l="1"/>
  <c r="S47" i="30"/>
  <c r="U47" i="30"/>
  <c r="T47" i="30"/>
  <c r="Z47" i="30" l="1"/>
  <c r="Y47" i="30"/>
  <c r="AD47" i="30" s="1"/>
  <c r="X47" i="30"/>
  <c r="W47" i="30"/>
  <c r="AB47" i="30" s="1"/>
  <c r="B48" i="30" l="1"/>
  <c r="AC47" i="30"/>
  <c r="AE47" i="30" s="1"/>
  <c r="D48" i="30"/>
  <c r="F48" i="30"/>
  <c r="C48" i="30"/>
  <c r="E48" i="30"/>
  <c r="AN4" i="30" l="1"/>
  <c r="I48" i="30"/>
  <c r="J48" i="30"/>
  <c r="G48" i="30"/>
  <c r="H48" i="30"/>
  <c r="N48" i="30" l="1"/>
  <c r="L48" i="30"/>
  <c r="K48" i="30"/>
  <c r="M48" i="30"/>
  <c r="R48" i="30" l="1"/>
  <c r="Q48" i="30"/>
  <c r="O48" i="30"/>
  <c r="P48" i="30"/>
  <c r="V48" i="30" l="1"/>
  <c r="T48" i="30"/>
  <c r="U48" i="30"/>
  <c r="S48" i="30"/>
  <c r="Z48" i="30" l="1"/>
  <c r="B49" i="30" s="1"/>
  <c r="Y48" i="30"/>
  <c r="AD48" i="30" s="1"/>
  <c r="X48" i="30"/>
  <c r="W48" i="30"/>
  <c r="AB48" i="30" s="1"/>
  <c r="AC48" i="30" l="1"/>
  <c r="AE48" i="30" s="1"/>
  <c r="E49" i="30"/>
  <c r="F49" i="30"/>
  <c r="D49" i="30"/>
  <c r="C49" i="30"/>
  <c r="J49" i="30" l="1"/>
  <c r="G49" i="30"/>
  <c r="I49" i="30"/>
  <c r="H49" i="30"/>
  <c r="N49" i="30" l="1"/>
  <c r="K49" i="30"/>
  <c r="L49" i="30"/>
  <c r="M49" i="30"/>
  <c r="Q49" i="30" l="1"/>
  <c r="O49" i="30"/>
  <c r="R49" i="30"/>
  <c r="P49" i="30"/>
  <c r="V49" i="30" l="1"/>
  <c r="U49" i="30"/>
  <c r="T49" i="30"/>
  <c r="S49" i="30"/>
  <c r="Z49" i="30" l="1"/>
  <c r="B50" i="30" s="1"/>
  <c r="Y49" i="30"/>
  <c r="AD49" i="30" s="1"/>
  <c r="W49" i="30"/>
  <c r="AB49" i="30" s="1"/>
  <c r="X49" i="30"/>
  <c r="AC49" i="30" l="1"/>
  <c r="AE49" i="30" s="1"/>
  <c r="D50" i="30"/>
  <c r="E50" i="30"/>
  <c r="C50" i="30"/>
  <c r="F50" i="30"/>
  <c r="J50" i="30" l="1"/>
  <c r="G50" i="30"/>
  <c r="H50" i="30"/>
  <c r="I50" i="30"/>
  <c r="N50" i="30" l="1"/>
  <c r="L50" i="30"/>
  <c r="M50" i="30"/>
  <c r="K50" i="30"/>
  <c r="R50" i="30" l="1"/>
  <c r="O50" i="30"/>
  <c r="Q50" i="30"/>
  <c r="P50" i="30"/>
  <c r="V50" i="30" l="1"/>
  <c r="U50" i="30"/>
  <c r="S50" i="30"/>
  <c r="T50" i="30"/>
  <c r="Z50" i="30" l="1"/>
  <c r="B51" i="30" s="1"/>
  <c r="X50" i="30"/>
  <c r="W50" i="30"/>
  <c r="AB50" i="30" s="1"/>
  <c r="Y50" i="30"/>
  <c r="AD50" i="30" s="1"/>
  <c r="AC50" i="30" l="1"/>
  <c r="AE50" i="30" s="1"/>
  <c r="C51" i="30"/>
  <c r="F51" i="30"/>
  <c r="D51" i="30"/>
  <c r="E51" i="30"/>
  <c r="J51" i="30" l="1"/>
  <c r="G51" i="30"/>
  <c r="I51" i="30"/>
  <c r="H51" i="30"/>
  <c r="N51" i="30" l="1"/>
  <c r="M51" i="30"/>
  <c r="K51" i="30"/>
  <c r="L51" i="30"/>
  <c r="P51" i="30" l="1"/>
  <c r="R51" i="30"/>
  <c r="Q51" i="30"/>
  <c r="O51" i="30"/>
  <c r="V51" i="30" l="1"/>
  <c r="U51" i="30"/>
  <c r="S51" i="30"/>
  <c r="T51" i="30"/>
  <c r="Z51" i="30" l="1"/>
  <c r="B52" i="30" s="1"/>
  <c r="Y51" i="30"/>
  <c r="AD51" i="30" s="1"/>
  <c r="X51" i="30"/>
  <c r="W51" i="30"/>
  <c r="AB51" i="30" s="1"/>
  <c r="AC51" i="30" l="1"/>
  <c r="AE51" i="30" s="1"/>
  <c r="E52" i="30"/>
  <c r="F52" i="30"/>
  <c r="C52" i="30"/>
  <c r="D52" i="30"/>
  <c r="J52" i="30" l="1"/>
  <c r="G52" i="30"/>
  <c r="I52" i="30"/>
  <c r="H52" i="30"/>
  <c r="N52" i="30" l="1"/>
  <c r="M52" i="30"/>
  <c r="L52" i="30"/>
  <c r="K52" i="30"/>
  <c r="Q52" i="30" l="1"/>
  <c r="O52" i="30"/>
  <c r="P52" i="30"/>
  <c r="R52" i="30"/>
  <c r="V52" i="30" l="1"/>
  <c r="T52" i="30"/>
  <c r="S52" i="30"/>
  <c r="U52" i="30"/>
  <c r="Z52" i="30" l="1"/>
  <c r="B53" i="30" s="1"/>
  <c r="Y52" i="30"/>
  <c r="AD52" i="30" s="1"/>
  <c r="W52" i="30"/>
  <c r="AB52" i="30" s="1"/>
  <c r="X52" i="30"/>
  <c r="AC52" i="30" l="1"/>
  <c r="AE52" i="30" s="1"/>
  <c r="E53" i="30"/>
  <c r="F53" i="30"/>
  <c r="D53" i="30"/>
  <c r="C53" i="30"/>
  <c r="J53" i="30" l="1"/>
  <c r="I53" i="30"/>
  <c r="H53" i="30"/>
  <c r="G53" i="30"/>
  <c r="N53" i="30" l="1"/>
  <c r="M53" i="30"/>
  <c r="K53" i="30"/>
  <c r="L53" i="30"/>
  <c r="R53" i="30" l="1"/>
  <c r="O53" i="30"/>
  <c r="P53" i="30"/>
  <c r="Q53" i="30"/>
  <c r="V53" i="30" l="1"/>
  <c r="S53" i="30"/>
  <c r="T53" i="30"/>
  <c r="U53" i="30"/>
  <c r="Z53" i="30" l="1"/>
  <c r="B54" i="30" s="1"/>
  <c r="Y53" i="30"/>
  <c r="AD53" i="30" s="1"/>
  <c r="X53" i="30"/>
  <c r="W53" i="30"/>
  <c r="AB53" i="30" s="1"/>
  <c r="AC53" i="30" l="1"/>
  <c r="AE53" i="30" s="1"/>
  <c r="C54" i="30"/>
  <c r="D54" i="30"/>
  <c r="E54" i="30"/>
  <c r="F54" i="30"/>
  <c r="J54" i="30" l="1"/>
  <c r="G54" i="30"/>
  <c r="I54" i="30"/>
  <c r="H54" i="30"/>
  <c r="N54" i="30" l="1"/>
  <c r="M54" i="30"/>
  <c r="L54" i="30"/>
  <c r="K54" i="30"/>
  <c r="Q54" i="30" l="1"/>
  <c r="P54" i="30"/>
  <c r="O54" i="30"/>
  <c r="R54" i="30"/>
  <c r="V54" i="30" l="1"/>
  <c r="U54" i="30"/>
  <c r="S54" i="30"/>
  <c r="T54" i="30"/>
  <c r="Z54" i="30" l="1"/>
  <c r="B55" i="30" s="1"/>
  <c r="Y54" i="30"/>
  <c r="AD54" i="30" s="1"/>
  <c r="W54" i="30"/>
  <c r="AB54" i="30" s="1"/>
  <c r="X54" i="30"/>
  <c r="AC54" i="30" l="1"/>
  <c r="AE54" i="30" s="1"/>
  <c r="C55" i="30"/>
  <c r="E55" i="30"/>
  <c r="F55" i="30"/>
  <c r="D55" i="30"/>
  <c r="H55" i="30" l="1"/>
  <c r="I55" i="30"/>
  <c r="G55" i="30"/>
  <c r="J55" i="30"/>
  <c r="N55" i="30" l="1"/>
  <c r="M55" i="30"/>
  <c r="L55" i="30"/>
  <c r="K55" i="30"/>
  <c r="Q55" i="30" l="1"/>
  <c r="R55" i="30"/>
  <c r="P55" i="30"/>
  <c r="O55" i="30"/>
  <c r="V55" i="30" l="1"/>
  <c r="U55" i="30"/>
  <c r="T55" i="30"/>
  <c r="S55" i="30"/>
  <c r="Z55" i="30" l="1"/>
  <c r="B56" i="30" s="1"/>
  <c r="Y55" i="30"/>
  <c r="AD55" i="30" s="1"/>
  <c r="W55" i="30"/>
  <c r="AB55" i="30" s="1"/>
  <c r="X55" i="30"/>
  <c r="AC55" i="30" l="1"/>
  <c r="AE55" i="30" s="1"/>
  <c r="D56" i="30"/>
  <c r="C56" i="30"/>
  <c r="E56" i="30"/>
  <c r="F56" i="30"/>
  <c r="J56" i="30" l="1"/>
  <c r="G56" i="30"/>
  <c r="H56" i="30"/>
  <c r="I56" i="30"/>
  <c r="N56" i="30" l="1"/>
  <c r="M56" i="30"/>
  <c r="K56" i="30"/>
  <c r="L56" i="30"/>
  <c r="P56" i="30" l="1"/>
  <c r="O56" i="30"/>
  <c r="R56" i="30"/>
  <c r="Q56" i="30"/>
  <c r="V56" i="30" l="1"/>
  <c r="U56" i="30"/>
  <c r="S56" i="30"/>
  <c r="T56" i="30"/>
  <c r="Z56" i="30" l="1"/>
  <c r="B57" i="30" s="1"/>
  <c r="Y56" i="30"/>
  <c r="AD56" i="30" s="1"/>
  <c r="W56" i="30"/>
  <c r="AB56" i="30" s="1"/>
  <c r="X56" i="30"/>
  <c r="AC56" i="30" l="1"/>
  <c r="AE56" i="30" s="1"/>
  <c r="E57" i="30"/>
  <c r="F57" i="30"/>
  <c r="D57" i="30"/>
  <c r="C57" i="30"/>
  <c r="J57" i="30" l="1"/>
  <c r="I57" i="30"/>
  <c r="H57" i="30"/>
  <c r="G57" i="30"/>
  <c r="L57" i="30" l="1"/>
  <c r="N57" i="30"/>
  <c r="K57" i="30"/>
  <c r="M57" i="30"/>
  <c r="O57" i="30" l="1"/>
  <c r="R57" i="30"/>
  <c r="Q57" i="30"/>
  <c r="P57" i="30"/>
  <c r="V57" i="30" l="1"/>
  <c r="U57" i="30"/>
  <c r="T57" i="30"/>
  <c r="S57" i="30"/>
  <c r="Z57" i="30" l="1"/>
  <c r="B58" i="30" s="1"/>
  <c r="Y57" i="30"/>
  <c r="AD57" i="30" s="1"/>
  <c r="X57" i="30"/>
  <c r="W57" i="30"/>
  <c r="AB57" i="30" s="1"/>
  <c r="AC57" i="30" l="1"/>
  <c r="AE57" i="30" s="1"/>
  <c r="F58" i="30"/>
  <c r="C58" i="30"/>
  <c r="D58" i="30"/>
  <c r="E58" i="30"/>
  <c r="J58" i="30" l="1"/>
  <c r="G58" i="30"/>
  <c r="I58" i="30"/>
  <c r="H58" i="30"/>
  <c r="N58" i="30" l="1"/>
  <c r="M58" i="30"/>
  <c r="K58" i="30"/>
  <c r="L58" i="30"/>
  <c r="O58" i="30" l="1"/>
  <c r="P58" i="30"/>
  <c r="Q58" i="30"/>
  <c r="R58" i="30"/>
  <c r="V58" i="30" l="1"/>
  <c r="U58" i="30"/>
  <c r="T58" i="30"/>
  <c r="S58" i="30"/>
  <c r="Z58" i="30" l="1"/>
  <c r="B59" i="30" s="1"/>
  <c r="W58" i="30"/>
  <c r="AB58" i="30" s="1"/>
  <c r="X58" i="30"/>
  <c r="Y58" i="30"/>
  <c r="AD58" i="30" s="1"/>
  <c r="AC58" i="30" l="1"/>
  <c r="AE58" i="30" s="1"/>
  <c r="F59" i="30"/>
  <c r="C59" i="30"/>
  <c r="D59" i="30"/>
  <c r="E59" i="30"/>
  <c r="J59" i="30" l="1"/>
  <c r="I59" i="30"/>
  <c r="G59" i="30"/>
  <c r="H59" i="30"/>
  <c r="N59" i="30" l="1"/>
  <c r="M59" i="30"/>
  <c r="L59" i="30"/>
  <c r="K59" i="30"/>
  <c r="R59" i="30" l="1"/>
  <c r="O59" i="30"/>
  <c r="Q59" i="30"/>
  <c r="P59" i="30"/>
  <c r="V59" i="30" l="1"/>
  <c r="U59" i="30"/>
  <c r="S59" i="30"/>
  <c r="T59" i="30"/>
  <c r="Z59" i="30" l="1"/>
  <c r="B60" i="30" s="1"/>
  <c r="Y59" i="30"/>
  <c r="AD59" i="30" s="1"/>
  <c r="X59" i="30"/>
  <c r="W59" i="30"/>
  <c r="AB59" i="30" s="1"/>
  <c r="AC59" i="30" l="1"/>
  <c r="AE59" i="30" s="1"/>
  <c r="F60" i="30"/>
  <c r="D60" i="30"/>
  <c r="C60" i="30"/>
  <c r="E60" i="30"/>
  <c r="J60" i="30" l="1"/>
  <c r="G60" i="30"/>
  <c r="I60" i="30"/>
  <c r="H60" i="30"/>
  <c r="N60" i="30" l="1"/>
  <c r="M60" i="30"/>
  <c r="K60" i="30"/>
  <c r="L60" i="30"/>
  <c r="R60" i="30" l="1"/>
  <c r="Q60" i="30"/>
  <c r="P60" i="30"/>
  <c r="O60" i="30"/>
  <c r="V60" i="30" l="1"/>
  <c r="U60" i="30"/>
  <c r="S60" i="30"/>
  <c r="T60" i="30"/>
  <c r="Z60" i="30" l="1"/>
  <c r="B61" i="30" s="1"/>
  <c r="Y60" i="30"/>
  <c r="AD60" i="30" s="1"/>
  <c r="W60" i="30"/>
  <c r="AB60" i="30" s="1"/>
  <c r="X60" i="30"/>
  <c r="AC60" i="30" l="1"/>
  <c r="AE60" i="30" s="1"/>
  <c r="E61" i="30"/>
  <c r="F61" i="30"/>
  <c r="D61" i="30"/>
  <c r="C61" i="30"/>
  <c r="H61" i="30" l="1"/>
  <c r="J61" i="30"/>
  <c r="I61" i="30"/>
  <c r="G61" i="30"/>
  <c r="N61" i="30" l="1"/>
  <c r="M61" i="30"/>
  <c r="K61" i="30"/>
  <c r="L61" i="30"/>
  <c r="R61" i="30" l="1"/>
  <c r="Q61" i="30"/>
  <c r="P61" i="30"/>
  <c r="O61" i="30"/>
  <c r="V61" i="30" l="1"/>
  <c r="U61" i="30"/>
  <c r="T61" i="30"/>
  <c r="S61" i="30"/>
  <c r="Z61" i="30" l="1"/>
  <c r="B62" i="30" s="1"/>
  <c r="Y61" i="30"/>
  <c r="AD61" i="30" s="1"/>
  <c r="X61" i="30"/>
  <c r="W61" i="30"/>
  <c r="AB61" i="30" s="1"/>
  <c r="AC61" i="30" l="1"/>
  <c r="AE61" i="30" s="1"/>
  <c r="E62" i="30"/>
  <c r="F62" i="30"/>
  <c r="D62" i="30"/>
  <c r="C62" i="30"/>
  <c r="J62" i="30" l="1"/>
  <c r="G62" i="30"/>
  <c r="I62" i="30"/>
  <c r="H62" i="30"/>
  <c r="N62" i="30" l="1"/>
  <c r="L62" i="30"/>
  <c r="M62" i="30"/>
  <c r="K62" i="30"/>
  <c r="Q62" i="30" l="1"/>
  <c r="O62" i="30"/>
  <c r="P62" i="30"/>
  <c r="R62" i="30"/>
  <c r="V62" i="30" l="1"/>
  <c r="S62" i="30"/>
  <c r="T62" i="30"/>
  <c r="U62" i="30"/>
  <c r="Z62" i="30" l="1"/>
  <c r="B63" i="30" s="1"/>
  <c r="Y62" i="30"/>
  <c r="AD62" i="30" s="1"/>
  <c r="X62" i="30"/>
  <c r="W62" i="30"/>
  <c r="AB62" i="30" s="1"/>
  <c r="AC62" i="30" l="1"/>
  <c r="AE62" i="30" s="1"/>
  <c r="D63" i="30"/>
  <c r="E63" i="30"/>
  <c r="F63" i="30"/>
  <c r="C63" i="30"/>
  <c r="J63" i="30" l="1"/>
  <c r="G63" i="30"/>
  <c r="H63" i="30"/>
  <c r="I63" i="30"/>
  <c r="N63" i="30" l="1"/>
  <c r="M63" i="30"/>
  <c r="K63" i="30"/>
  <c r="L63" i="30"/>
  <c r="Q63" i="30" l="1"/>
  <c r="O63" i="30"/>
  <c r="P63" i="30"/>
  <c r="R63" i="30"/>
  <c r="V63" i="30" l="1"/>
  <c r="U63" i="30"/>
  <c r="T63" i="30"/>
  <c r="S63" i="30"/>
  <c r="Z63" i="30" l="1"/>
  <c r="B64" i="30" s="1"/>
  <c r="Y63" i="30"/>
  <c r="AD63" i="30" s="1"/>
  <c r="X63" i="30"/>
  <c r="W63" i="30"/>
  <c r="AB63" i="30" s="1"/>
  <c r="AC63" i="30" l="1"/>
  <c r="AE63" i="30" s="1"/>
  <c r="D64" i="30"/>
  <c r="C64" i="30"/>
  <c r="E64" i="30"/>
  <c r="F64" i="30"/>
  <c r="J64" i="30" l="1"/>
  <c r="G64" i="30"/>
  <c r="I64" i="30"/>
  <c r="H64" i="30"/>
  <c r="N64" i="30" l="1"/>
  <c r="M64" i="30"/>
  <c r="K64" i="30"/>
  <c r="L64" i="30"/>
  <c r="O64" i="30" l="1"/>
  <c r="P64" i="30"/>
  <c r="R64" i="30"/>
  <c r="Q64" i="30"/>
  <c r="V64" i="30" l="1"/>
  <c r="U64" i="30"/>
  <c r="S64" i="30"/>
  <c r="T64" i="30"/>
  <c r="Z64" i="30" l="1"/>
  <c r="B65" i="30" s="1"/>
  <c r="Y64" i="30"/>
  <c r="AD64" i="30" s="1"/>
  <c r="W64" i="30"/>
  <c r="AB64" i="30" s="1"/>
  <c r="X64" i="30"/>
  <c r="AC64" i="30" l="1"/>
  <c r="AE64" i="30" s="1"/>
  <c r="D65" i="30"/>
  <c r="C65" i="30"/>
  <c r="E65" i="30"/>
  <c r="F65" i="30"/>
  <c r="J65" i="30" l="1"/>
  <c r="G65" i="30"/>
  <c r="I65" i="30"/>
  <c r="H65" i="30"/>
  <c r="N65" i="30" l="1"/>
  <c r="K65" i="30"/>
  <c r="L65" i="30"/>
  <c r="M65" i="30"/>
  <c r="O65" i="30" l="1"/>
  <c r="P65" i="30"/>
  <c r="R65" i="30"/>
  <c r="Q65" i="30"/>
  <c r="V65" i="30" l="1"/>
  <c r="U65" i="30"/>
  <c r="T65" i="30"/>
  <c r="S65" i="30"/>
  <c r="Z65" i="30" l="1"/>
  <c r="B66" i="30" s="1"/>
  <c r="Y65" i="30"/>
  <c r="AD65" i="30" s="1"/>
  <c r="X65" i="30"/>
  <c r="W65" i="30"/>
  <c r="AB65" i="30" s="1"/>
  <c r="AC65" i="30" l="1"/>
  <c r="AE65" i="30" s="1"/>
  <c r="D66" i="30"/>
  <c r="E66" i="30"/>
  <c r="F66" i="30"/>
  <c r="C66" i="30"/>
  <c r="G66" i="30" l="1"/>
  <c r="H66" i="30"/>
  <c r="J66" i="30"/>
  <c r="I66" i="30"/>
  <c r="N66" i="30" l="1"/>
  <c r="M66" i="30"/>
  <c r="L66" i="30"/>
  <c r="K66" i="30"/>
  <c r="O66" i="30" l="1"/>
  <c r="R66" i="30"/>
  <c r="P66" i="30"/>
  <c r="Q66" i="30"/>
  <c r="V66" i="30" l="1"/>
  <c r="T66" i="30"/>
  <c r="U66" i="30"/>
  <c r="S66" i="30"/>
  <c r="Z66" i="30" l="1"/>
  <c r="B67" i="30" s="1"/>
  <c r="Y66" i="30"/>
  <c r="AD66" i="30" s="1"/>
  <c r="W66" i="30"/>
  <c r="AB66" i="30" s="1"/>
  <c r="X66" i="30"/>
  <c r="AC66" i="30" l="1"/>
  <c r="AE66" i="30" s="1"/>
  <c r="D67" i="30"/>
  <c r="C67" i="30"/>
  <c r="E67" i="30"/>
  <c r="F67" i="30"/>
  <c r="J67" i="30" l="1"/>
  <c r="G67" i="30"/>
  <c r="I67" i="30"/>
  <c r="H67" i="30"/>
  <c r="N67" i="30" l="1"/>
  <c r="M67" i="30"/>
  <c r="L67" i="30"/>
  <c r="K67" i="30"/>
  <c r="P67" i="30" l="1"/>
  <c r="O67" i="30"/>
  <c r="R67" i="30"/>
  <c r="Q67" i="30"/>
  <c r="V67" i="30" l="1"/>
  <c r="T67" i="30"/>
  <c r="U67" i="30"/>
  <c r="S67" i="30"/>
  <c r="Z67" i="30" l="1"/>
  <c r="B68" i="30" s="1"/>
  <c r="Y67" i="30"/>
  <c r="AD67" i="30" s="1"/>
  <c r="W67" i="30"/>
  <c r="AB67" i="30" s="1"/>
  <c r="X67" i="30"/>
  <c r="AC67" i="30" l="1"/>
  <c r="AE67" i="30" s="1"/>
  <c r="F68" i="30"/>
  <c r="D68" i="30"/>
  <c r="C68" i="30"/>
  <c r="E68" i="30"/>
  <c r="J68" i="30" l="1"/>
  <c r="H68" i="30"/>
  <c r="G68" i="30"/>
  <c r="I68" i="30"/>
  <c r="N68" i="30" l="1"/>
  <c r="M68" i="30"/>
  <c r="K68" i="30"/>
  <c r="L68" i="30"/>
  <c r="O68" i="30" l="1"/>
  <c r="R68" i="30"/>
  <c r="Q68" i="30"/>
  <c r="P68" i="30"/>
  <c r="V68" i="30" l="1"/>
  <c r="U68" i="30"/>
  <c r="T68" i="30"/>
  <c r="S68" i="30"/>
  <c r="Z68" i="30" l="1"/>
  <c r="B69" i="30" s="1"/>
  <c r="Y68" i="30"/>
  <c r="AD68" i="30" s="1"/>
  <c r="W68" i="30"/>
  <c r="AB68" i="30" s="1"/>
  <c r="X68" i="30"/>
  <c r="AC68" i="30" l="1"/>
  <c r="AE68" i="30" s="1"/>
  <c r="F69" i="30"/>
  <c r="C69" i="30"/>
  <c r="D69" i="30"/>
  <c r="E69" i="30"/>
  <c r="J69" i="30" l="1"/>
  <c r="G69" i="30"/>
  <c r="I69" i="30"/>
  <c r="H69" i="30"/>
  <c r="N69" i="30" l="1"/>
  <c r="M69" i="30"/>
  <c r="K69" i="30"/>
  <c r="L69" i="30"/>
  <c r="R69" i="30" l="1"/>
  <c r="Q69" i="30"/>
  <c r="O69" i="30"/>
  <c r="P69" i="30"/>
  <c r="V69" i="30" l="1"/>
  <c r="U69" i="30"/>
  <c r="T69" i="30"/>
  <c r="S69" i="30"/>
  <c r="Z69" i="30" l="1"/>
  <c r="B70" i="30" s="1"/>
  <c r="Y69" i="30"/>
  <c r="AD69" i="30" s="1"/>
  <c r="X69" i="30"/>
  <c r="W69" i="30"/>
  <c r="AB69" i="30" s="1"/>
  <c r="AC69" i="30" l="1"/>
  <c r="AE69" i="30" s="1"/>
  <c r="F70" i="30"/>
  <c r="D70" i="30"/>
  <c r="C70" i="30"/>
  <c r="E70" i="30"/>
  <c r="J70" i="30" l="1"/>
  <c r="I70" i="30"/>
  <c r="H70" i="30"/>
  <c r="G70" i="30"/>
  <c r="L70" i="30" l="1"/>
  <c r="N70" i="30"/>
  <c r="K70" i="30"/>
  <c r="M70" i="30"/>
  <c r="R70" i="30" l="1"/>
  <c r="Q70" i="30"/>
  <c r="O70" i="30"/>
  <c r="P70" i="30"/>
  <c r="V70" i="30" l="1"/>
  <c r="U70" i="30"/>
  <c r="S70" i="30"/>
  <c r="T70" i="30"/>
  <c r="Z70" i="30" l="1"/>
  <c r="B71" i="30" s="1"/>
  <c r="Y70" i="30"/>
  <c r="AD70" i="30" s="1"/>
  <c r="X70" i="30"/>
  <c r="W70" i="30"/>
  <c r="AB70" i="30" s="1"/>
  <c r="AC70" i="30" l="1"/>
  <c r="AE70" i="30" s="1"/>
  <c r="C71" i="30"/>
  <c r="E71" i="30"/>
  <c r="F71" i="30"/>
  <c r="D71" i="30"/>
  <c r="J71" i="30" l="1"/>
  <c r="G71" i="30"/>
  <c r="I71" i="30"/>
  <c r="H71" i="30"/>
  <c r="N71" i="30" l="1"/>
  <c r="M71" i="30"/>
  <c r="L71" i="30"/>
  <c r="K71" i="30"/>
  <c r="R71" i="30" l="1"/>
  <c r="Q71" i="30"/>
  <c r="O71" i="30"/>
  <c r="P71" i="30"/>
  <c r="V71" i="30" l="1"/>
  <c r="U71" i="30"/>
  <c r="T71" i="30"/>
  <c r="S71" i="30"/>
  <c r="Z71" i="30" l="1"/>
  <c r="B72" i="30" s="1"/>
  <c r="W71" i="30"/>
  <c r="AB71" i="30" s="1"/>
  <c r="X71" i="30"/>
  <c r="Y71" i="30"/>
  <c r="AD71" i="30" s="1"/>
  <c r="AC71" i="30" l="1"/>
  <c r="AE71" i="30" s="1"/>
  <c r="C72" i="30"/>
  <c r="E72" i="30"/>
  <c r="D72" i="30"/>
  <c r="F72" i="30"/>
  <c r="J72" i="30" l="1"/>
  <c r="H72" i="30"/>
  <c r="G72" i="30"/>
  <c r="I72" i="30"/>
  <c r="M72" i="30" l="1"/>
  <c r="N72" i="30"/>
  <c r="K72" i="30"/>
  <c r="L72" i="30"/>
  <c r="O72" i="30" l="1"/>
  <c r="P72" i="30"/>
  <c r="R72" i="30"/>
  <c r="Q72" i="30"/>
  <c r="V72" i="30" l="1"/>
  <c r="U72" i="30"/>
  <c r="S72" i="30"/>
  <c r="T72" i="30"/>
  <c r="Z72" i="30" l="1"/>
  <c r="B73" i="30" s="1"/>
  <c r="Y72" i="30"/>
  <c r="AD72" i="30" s="1"/>
  <c r="W72" i="30"/>
  <c r="AB72" i="30" s="1"/>
  <c r="X72" i="30"/>
  <c r="AC72" i="30" l="1"/>
  <c r="AE72" i="30" s="1"/>
  <c r="C73" i="30"/>
  <c r="E73" i="30"/>
  <c r="F73" i="30"/>
  <c r="D73" i="30"/>
  <c r="J73" i="30" l="1"/>
  <c r="G73" i="30"/>
  <c r="I73" i="30"/>
  <c r="H73" i="30"/>
  <c r="N73" i="30" l="1"/>
  <c r="M73" i="30"/>
  <c r="K73" i="30"/>
  <c r="L73" i="30"/>
  <c r="O73" i="30" l="1"/>
  <c r="R73" i="30"/>
  <c r="Q73" i="30"/>
  <c r="P73" i="30"/>
  <c r="V73" i="30" l="1"/>
  <c r="U73" i="30"/>
  <c r="S73" i="30"/>
  <c r="T73" i="30"/>
  <c r="Z73" i="30" l="1"/>
  <c r="B74" i="30" s="1"/>
  <c r="W73" i="30"/>
  <c r="AB73" i="30" s="1"/>
  <c r="X73" i="30"/>
  <c r="Y73" i="30"/>
  <c r="AD73" i="30" s="1"/>
  <c r="AC73" i="30" l="1"/>
  <c r="AE73" i="30" s="1"/>
  <c r="F74" i="30"/>
  <c r="C74" i="30"/>
  <c r="D74" i="30"/>
  <c r="E74" i="30"/>
  <c r="I74" i="30" l="1"/>
  <c r="J74" i="30"/>
  <c r="H74" i="30"/>
  <c r="G74" i="30"/>
  <c r="N74" i="30" l="1"/>
  <c r="M74" i="30"/>
  <c r="K74" i="30"/>
  <c r="L74" i="30"/>
  <c r="Q74" i="30" l="1"/>
  <c r="O74" i="30"/>
  <c r="R74" i="30"/>
  <c r="P74" i="30"/>
  <c r="V74" i="30" l="1"/>
  <c r="U74" i="30"/>
  <c r="S74" i="30"/>
  <c r="T74" i="30"/>
  <c r="Z74" i="30" l="1"/>
  <c r="B75" i="30" s="1"/>
  <c r="Y74" i="30"/>
  <c r="AD74" i="30" s="1"/>
  <c r="W74" i="30"/>
  <c r="AB74" i="30" s="1"/>
  <c r="X74" i="30"/>
  <c r="AC74" i="30" l="1"/>
  <c r="AE74" i="30" s="1"/>
  <c r="E75" i="30"/>
  <c r="D75" i="30"/>
  <c r="F75" i="30"/>
  <c r="C75" i="30"/>
  <c r="J75" i="30" l="1"/>
  <c r="G75" i="30"/>
  <c r="H75" i="30"/>
  <c r="I75" i="30"/>
  <c r="N75" i="30" l="1"/>
  <c r="M75" i="30"/>
  <c r="K75" i="30"/>
  <c r="L75" i="30"/>
  <c r="R75" i="30" l="1"/>
  <c r="Q75" i="30"/>
  <c r="P75" i="30"/>
  <c r="O75" i="30"/>
  <c r="V75" i="30" l="1"/>
  <c r="U75" i="30"/>
  <c r="S75" i="30"/>
  <c r="T75" i="30"/>
  <c r="Z75" i="30" l="1"/>
  <c r="B76" i="30" s="1"/>
  <c r="Y75" i="30"/>
  <c r="AD75" i="30" s="1"/>
  <c r="X75" i="30"/>
  <c r="W75" i="30"/>
  <c r="AB75" i="30" s="1"/>
  <c r="AC75" i="30" l="1"/>
  <c r="AE75" i="30" s="1"/>
  <c r="D76" i="30"/>
  <c r="F76" i="30"/>
  <c r="C76" i="30"/>
  <c r="E76" i="30"/>
  <c r="H76" i="30" l="1"/>
  <c r="J76" i="30"/>
  <c r="G76" i="30"/>
  <c r="I76" i="30"/>
  <c r="N76" i="30" l="1"/>
  <c r="L76" i="30"/>
  <c r="M76" i="30"/>
  <c r="K76" i="30"/>
  <c r="R76" i="30" l="1"/>
  <c r="Q76" i="30"/>
  <c r="O76" i="30"/>
  <c r="P76" i="30"/>
  <c r="V76" i="30" l="1"/>
  <c r="U76" i="30"/>
  <c r="T76" i="30"/>
  <c r="S76" i="30"/>
  <c r="Z76" i="30" l="1"/>
  <c r="B77" i="30" s="1"/>
  <c r="Y76" i="30"/>
  <c r="AD76" i="30" s="1"/>
  <c r="W76" i="30"/>
  <c r="AB76" i="30" s="1"/>
  <c r="X76" i="30"/>
  <c r="AC76" i="30" l="1"/>
  <c r="AE76" i="30" s="1"/>
  <c r="D77" i="30"/>
  <c r="E77" i="30"/>
  <c r="F77" i="30"/>
  <c r="C77" i="30"/>
  <c r="J77" i="30" l="1"/>
  <c r="I77" i="30"/>
  <c r="H77" i="30"/>
  <c r="G77" i="30"/>
  <c r="L77" i="30" l="1"/>
  <c r="K77" i="30"/>
  <c r="N77" i="30"/>
  <c r="M77" i="30"/>
  <c r="R77" i="30" l="1"/>
  <c r="P77" i="30"/>
  <c r="Q77" i="30"/>
  <c r="O77" i="30"/>
  <c r="V77" i="30" l="1"/>
  <c r="T77" i="30"/>
  <c r="U77" i="30"/>
  <c r="S77" i="30"/>
  <c r="Z77" i="30" l="1"/>
  <c r="B78" i="30" s="1"/>
  <c r="Y77" i="30"/>
  <c r="AD77" i="30" s="1"/>
  <c r="W77" i="30"/>
  <c r="AB77" i="30" s="1"/>
  <c r="X77" i="30"/>
  <c r="AC77" i="30" l="1"/>
  <c r="AE77" i="30" s="1"/>
  <c r="C78" i="30"/>
  <c r="E78" i="30"/>
  <c r="F78" i="30"/>
  <c r="D78" i="30"/>
  <c r="J78" i="30" l="1"/>
  <c r="H78" i="30"/>
  <c r="G78" i="30"/>
  <c r="I78" i="30"/>
  <c r="N78" i="30" l="1"/>
  <c r="M78" i="30"/>
  <c r="L78" i="30"/>
  <c r="K78" i="30"/>
  <c r="P78" i="30" l="1"/>
  <c r="O78" i="30"/>
  <c r="R78" i="30"/>
  <c r="Q78" i="30"/>
  <c r="V78" i="30" l="1"/>
  <c r="S78" i="30"/>
  <c r="T78" i="30"/>
  <c r="U78" i="30"/>
  <c r="Z78" i="30" l="1"/>
  <c r="B79" i="30" s="1"/>
  <c r="Y78" i="30"/>
  <c r="AD78" i="30" s="1"/>
  <c r="W78" i="30"/>
  <c r="AB78" i="30" s="1"/>
  <c r="X78" i="30"/>
  <c r="AC78" i="30" l="1"/>
  <c r="AE78" i="30" s="1"/>
  <c r="C79" i="30"/>
  <c r="E79" i="30"/>
  <c r="F79" i="30"/>
  <c r="D79" i="30"/>
  <c r="J79" i="30" l="1"/>
  <c r="G79" i="30"/>
  <c r="I79" i="30"/>
  <c r="H79" i="30"/>
  <c r="N79" i="30" l="1"/>
  <c r="M79" i="30"/>
  <c r="L79" i="30"/>
  <c r="K79" i="30"/>
  <c r="P79" i="30" l="1"/>
  <c r="O79" i="30"/>
  <c r="R79" i="30"/>
  <c r="Q79" i="30"/>
  <c r="V79" i="30" l="1"/>
  <c r="T79" i="30"/>
  <c r="U79" i="30"/>
  <c r="S79" i="30"/>
  <c r="Z79" i="30" l="1"/>
  <c r="B80" i="30" s="1"/>
  <c r="X79" i="30"/>
  <c r="Y79" i="30"/>
  <c r="AD79" i="30" s="1"/>
  <c r="W79" i="30"/>
  <c r="AB79" i="30" s="1"/>
  <c r="AC79" i="30" l="1"/>
  <c r="AE79" i="30" s="1"/>
  <c r="C80" i="30"/>
  <c r="D80" i="30"/>
  <c r="F80" i="30"/>
  <c r="E80" i="30"/>
  <c r="J80" i="30" l="1"/>
  <c r="G80" i="30"/>
  <c r="H80" i="30"/>
  <c r="I80" i="30"/>
  <c r="N80" i="30" l="1"/>
  <c r="M80" i="30"/>
  <c r="L80" i="30"/>
  <c r="K80" i="30"/>
  <c r="P80" i="30" l="1"/>
  <c r="Q80" i="30"/>
  <c r="O80" i="30"/>
  <c r="R80" i="30"/>
  <c r="V80" i="30" l="1"/>
  <c r="U80" i="30"/>
  <c r="S80" i="30"/>
  <c r="T80" i="30"/>
  <c r="Z80" i="30" l="1"/>
  <c r="B81" i="30" s="1"/>
  <c r="Y80" i="30"/>
  <c r="AD80" i="30" s="1"/>
  <c r="W80" i="30"/>
  <c r="AB80" i="30" s="1"/>
  <c r="X80" i="30"/>
  <c r="AC80" i="30" l="1"/>
  <c r="AE80" i="30" s="1"/>
  <c r="F81" i="30"/>
  <c r="C81" i="30"/>
  <c r="D81" i="30"/>
  <c r="E81" i="30"/>
  <c r="J81" i="30" l="1"/>
  <c r="G81" i="30"/>
  <c r="I81" i="30"/>
  <c r="H81" i="30"/>
  <c r="N81" i="30" l="1"/>
  <c r="M81" i="30"/>
  <c r="L81" i="30"/>
  <c r="K81" i="30"/>
  <c r="P81" i="30" l="1"/>
  <c r="O81" i="30"/>
  <c r="R81" i="30"/>
  <c r="Q81" i="30"/>
  <c r="V81" i="30" l="1"/>
  <c r="U81" i="30"/>
  <c r="T81" i="30"/>
  <c r="S81" i="30"/>
  <c r="Z81" i="30" l="1"/>
  <c r="B82" i="30" s="1"/>
  <c r="Y81" i="30"/>
  <c r="AD81" i="30" s="1"/>
  <c r="W81" i="30"/>
  <c r="AB81" i="30" s="1"/>
  <c r="X81" i="30"/>
  <c r="AC81" i="30" l="1"/>
  <c r="AE81" i="30" s="1"/>
  <c r="C82" i="30"/>
  <c r="E82" i="30"/>
  <c r="F82" i="30"/>
  <c r="D82" i="30"/>
  <c r="J82" i="30" l="1"/>
  <c r="G82" i="30"/>
  <c r="I82" i="30"/>
  <c r="H82" i="30"/>
  <c r="N82" i="30" l="1"/>
  <c r="M82" i="30"/>
  <c r="L82" i="30"/>
  <c r="K82" i="30"/>
  <c r="R82" i="30" l="1"/>
  <c r="Q82" i="30"/>
  <c r="P82" i="30"/>
  <c r="O82" i="30"/>
  <c r="V82" i="30" l="1"/>
  <c r="U82" i="30"/>
  <c r="S82" i="30"/>
  <c r="T82" i="30"/>
  <c r="Z82" i="30" l="1"/>
  <c r="B83" i="30" s="1"/>
  <c r="Y82" i="30"/>
  <c r="AD82" i="30" s="1"/>
  <c r="W82" i="30"/>
  <c r="AB82" i="30" s="1"/>
  <c r="X82" i="30"/>
  <c r="AC82" i="30" l="1"/>
  <c r="AE82" i="30" s="1"/>
  <c r="D83" i="30"/>
  <c r="C83" i="30"/>
  <c r="E83" i="30"/>
  <c r="F83" i="30"/>
  <c r="J83" i="30" l="1"/>
  <c r="G83" i="30"/>
  <c r="I83" i="30"/>
  <c r="H83" i="30"/>
  <c r="N83" i="30" l="1"/>
  <c r="M83" i="30"/>
  <c r="L83" i="30"/>
  <c r="K83" i="30"/>
  <c r="O83" i="30" l="1"/>
  <c r="P83" i="30"/>
  <c r="R83" i="30"/>
  <c r="Q83" i="30"/>
  <c r="V83" i="30" l="1"/>
  <c r="U83" i="30"/>
  <c r="S83" i="30"/>
  <c r="T83" i="30"/>
  <c r="Z83" i="30" l="1"/>
  <c r="B84" i="30" s="1"/>
  <c r="Y83" i="30"/>
  <c r="AD83" i="30" s="1"/>
  <c r="W83" i="30"/>
  <c r="AB83" i="30" s="1"/>
  <c r="X83" i="30"/>
  <c r="AC83" i="30" l="1"/>
  <c r="AE83" i="30" s="1"/>
  <c r="D84" i="30"/>
  <c r="E84" i="30"/>
  <c r="F84" i="30"/>
  <c r="C84" i="30"/>
  <c r="J84" i="30" l="1"/>
  <c r="G84" i="30"/>
  <c r="I84" i="30"/>
  <c r="H84" i="30"/>
  <c r="N84" i="30" l="1"/>
  <c r="M84" i="30"/>
  <c r="L84" i="30"/>
  <c r="K84" i="30"/>
  <c r="O84" i="30" l="1"/>
  <c r="R84" i="30"/>
  <c r="Q84" i="30"/>
  <c r="P84" i="30"/>
  <c r="V84" i="30" l="1"/>
  <c r="U84" i="30"/>
  <c r="T84" i="30"/>
  <c r="S84" i="30"/>
  <c r="Z84" i="30" l="1"/>
  <c r="B85" i="30" s="1"/>
  <c r="Y84" i="30"/>
  <c r="AD84" i="30" s="1"/>
  <c r="X84" i="30"/>
  <c r="W84" i="30"/>
  <c r="AB84" i="30" s="1"/>
  <c r="AC84" i="30" l="1"/>
  <c r="AE84" i="30" s="1"/>
  <c r="D85" i="30"/>
  <c r="C85" i="30"/>
  <c r="E85" i="30"/>
  <c r="F85" i="30"/>
  <c r="H85" i="30" l="1"/>
  <c r="I85" i="30"/>
  <c r="J85" i="30"/>
  <c r="G85" i="30"/>
  <c r="N85" i="30" l="1"/>
  <c r="M85" i="30"/>
  <c r="L85" i="30"/>
  <c r="K85" i="30"/>
  <c r="O85" i="30" l="1"/>
  <c r="P85" i="30"/>
  <c r="R85" i="30"/>
  <c r="Q85" i="30"/>
  <c r="V85" i="30" l="1"/>
  <c r="U85" i="30"/>
  <c r="S85" i="30"/>
  <c r="T85" i="30"/>
  <c r="Z85" i="30" l="1"/>
  <c r="B86" i="30" s="1"/>
  <c r="Y85" i="30"/>
  <c r="AD85" i="30" s="1"/>
  <c r="W85" i="30"/>
  <c r="AB85" i="30" s="1"/>
  <c r="X85" i="30"/>
  <c r="AC85" i="30" l="1"/>
  <c r="AE85" i="30" s="1"/>
  <c r="F86" i="30"/>
  <c r="D86" i="30"/>
  <c r="C86" i="30"/>
  <c r="E86" i="30"/>
  <c r="J86" i="30" l="1"/>
  <c r="H86" i="30"/>
  <c r="G86" i="30"/>
  <c r="I86" i="30"/>
  <c r="N86" i="30" l="1"/>
  <c r="M86" i="30"/>
  <c r="K86" i="30"/>
  <c r="L86" i="30"/>
  <c r="P86" i="30" l="1"/>
  <c r="R86" i="30"/>
  <c r="Q86" i="30"/>
  <c r="O86" i="30"/>
  <c r="V86" i="30" l="1"/>
  <c r="T86" i="30"/>
  <c r="S86" i="30"/>
  <c r="U86" i="30"/>
  <c r="Z86" i="30" l="1"/>
  <c r="B87" i="30" s="1"/>
  <c r="Y86" i="30"/>
  <c r="AD86" i="30" s="1"/>
  <c r="X86" i="30"/>
  <c r="W86" i="30"/>
  <c r="AB86" i="30" s="1"/>
  <c r="AC86" i="30" l="1"/>
  <c r="AE86" i="30" s="1"/>
  <c r="D87" i="30"/>
  <c r="C87" i="30"/>
  <c r="E87" i="30"/>
  <c r="F87" i="30"/>
  <c r="J87" i="30" l="1"/>
  <c r="I87" i="30"/>
  <c r="G87" i="30"/>
  <c r="H87" i="30"/>
  <c r="N87" i="30" l="1"/>
  <c r="M87" i="30"/>
  <c r="K87" i="30"/>
  <c r="L87" i="30"/>
  <c r="R87" i="30" l="1"/>
  <c r="Q87" i="30"/>
  <c r="O87" i="30"/>
  <c r="P87" i="30"/>
  <c r="V87" i="30" l="1"/>
  <c r="U87" i="30"/>
  <c r="S87" i="30"/>
  <c r="T87" i="30"/>
  <c r="Z87" i="30" l="1"/>
  <c r="B88" i="30" s="1"/>
  <c r="Y87" i="30"/>
  <c r="AD87" i="30" s="1"/>
  <c r="W87" i="30"/>
  <c r="AB87" i="30" s="1"/>
  <c r="X87" i="30"/>
  <c r="AC87" i="30" l="1"/>
  <c r="AE87" i="30" s="1"/>
  <c r="F88" i="30"/>
  <c r="D88" i="30"/>
  <c r="C88" i="30"/>
  <c r="E88" i="30"/>
  <c r="J88" i="30" l="1"/>
  <c r="H88" i="30"/>
  <c r="G88" i="30"/>
  <c r="I88" i="30"/>
  <c r="N88" i="30" l="1"/>
  <c r="K88" i="30"/>
  <c r="M88" i="30"/>
  <c r="L88" i="30"/>
  <c r="O88" i="30" l="1"/>
  <c r="R88" i="30"/>
  <c r="P88" i="30"/>
  <c r="Q88" i="30"/>
  <c r="V88" i="30" l="1"/>
  <c r="U88" i="30"/>
  <c r="S88" i="30"/>
  <c r="T88" i="30"/>
  <c r="Z88" i="30" l="1"/>
  <c r="B89" i="30" s="1"/>
  <c r="Y88" i="30"/>
  <c r="AD88" i="30" s="1"/>
  <c r="W88" i="30"/>
  <c r="AB88" i="30" s="1"/>
  <c r="X88" i="30"/>
  <c r="AC88" i="30" l="1"/>
  <c r="AE88" i="30" s="1"/>
  <c r="D89" i="30"/>
  <c r="E89" i="30"/>
  <c r="F89" i="30"/>
  <c r="C89" i="30"/>
  <c r="J89" i="30" l="1"/>
  <c r="G89" i="30"/>
  <c r="I89" i="30"/>
  <c r="H89" i="30"/>
  <c r="M89" i="30" l="1"/>
  <c r="L89" i="30"/>
  <c r="K89" i="30"/>
  <c r="N89" i="30"/>
  <c r="R89" i="30" l="1"/>
  <c r="Q89" i="30"/>
  <c r="O89" i="30"/>
  <c r="P89" i="30"/>
  <c r="V89" i="30" l="1"/>
  <c r="U89" i="30"/>
  <c r="S89" i="30"/>
  <c r="T89" i="30"/>
  <c r="Z89" i="30" l="1"/>
  <c r="B90" i="30" s="1"/>
  <c r="Y89" i="30"/>
  <c r="AD89" i="30" s="1"/>
  <c r="W89" i="30"/>
  <c r="AB89" i="30" s="1"/>
  <c r="X89" i="30"/>
  <c r="AC89" i="30" l="1"/>
  <c r="AE89" i="30" s="1"/>
  <c r="F90" i="30"/>
  <c r="C90" i="30"/>
  <c r="D90" i="30"/>
  <c r="E90" i="30"/>
  <c r="J90" i="30" l="1"/>
  <c r="H90" i="30"/>
  <c r="G90" i="30"/>
  <c r="I90" i="30"/>
  <c r="N90" i="30" l="1"/>
  <c r="M90" i="30"/>
  <c r="K90" i="30"/>
  <c r="L90" i="30"/>
  <c r="Q90" i="30" l="1"/>
  <c r="P90" i="30"/>
  <c r="R90" i="30"/>
  <c r="O90" i="30"/>
  <c r="V90" i="30" l="1"/>
  <c r="U90" i="30"/>
  <c r="S90" i="30"/>
  <c r="T90" i="30"/>
  <c r="Z90" i="30" l="1"/>
  <c r="B91" i="30" s="1"/>
  <c r="Y90" i="30"/>
  <c r="AD90" i="30" s="1"/>
  <c r="W90" i="30"/>
  <c r="AB90" i="30" s="1"/>
  <c r="X90" i="30"/>
  <c r="AC90" i="30" l="1"/>
  <c r="AE90" i="30" s="1"/>
  <c r="C91" i="30"/>
  <c r="E91" i="30"/>
  <c r="F91" i="30"/>
  <c r="D91" i="30"/>
  <c r="J91" i="30" l="1"/>
  <c r="I91" i="30"/>
  <c r="H91" i="30"/>
  <c r="G91" i="30"/>
  <c r="N91" i="30" l="1"/>
  <c r="M91" i="30"/>
  <c r="K91" i="30"/>
  <c r="L91" i="30"/>
  <c r="R91" i="30" l="1"/>
  <c r="Q91" i="30"/>
  <c r="O91" i="30"/>
  <c r="P91" i="30"/>
  <c r="V91" i="30" l="1"/>
  <c r="U91" i="30"/>
  <c r="T91" i="30"/>
  <c r="S91" i="30"/>
  <c r="Z91" i="30" l="1"/>
  <c r="B92" i="30" s="1"/>
  <c r="Y91" i="30"/>
  <c r="AD91" i="30" s="1"/>
  <c r="W91" i="30"/>
  <c r="AB91" i="30" s="1"/>
  <c r="X91" i="30"/>
  <c r="AC91" i="30" l="1"/>
  <c r="AE91" i="30" s="1"/>
  <c r="F92" i="30"/>
  <c r="C92" i="30"/>
  <c r="D92" i="30"/>
  <c r="E92" i="30"/>
  <c r="J92" i="30" l="1"/>
  <c r="I92" i="30"/>
  <c r="H92" i="30"/>
  <c r="G92" i="30"/>
  <c r="N92" i="30" l="1"/>
  <c r="M92" i="30"/>
  <c r="L92" i="30"/>
  <c r="K92" i="30"/>
  <c r="Q92" i="30" l="1"/>
  <c r="P92" i="30"/>
  <c r="R92" i="30"/>
  <c r="O92" i="30"/>
  <c r="V92" i="30" l="1"/>
  <c r="T92" i="30"/>
  <c r="S92" i="30"/>
  <c r="U92" i="30"/>
  <c r="Z92" i="30" l="1"/>
  <c r="B93" i="30" s="1"/>
  <c r="Y92" i="30"/>
  <c r="AD92" i="30" s="1"/>
  <c r="X92" i="30"/>
  <c r="W92" i="30"/>
  <c r="AB92" i="30" s="1"/>
  <c r="AC92" i="30" l="1"/>
  <c r="AE92" i="30" s="1"/>
  <c r="E93" i="30"/>
  <c r="F93" i="30"/>
  <c r="D93" i="30"/>
  <c r="C93" i="30"/>
  <c r="J93" i="30" l="1"/>
  <c r="G93" i="30"/>
  <c r="I93" i="30"/>
  <c r="H93" i="30"/>
  <c r="N93" i="30" l="1"/>
  <c r="M93" i="30"/>
  <c r="K93" i="30"/>
  <c r="L93" i="30"/>
  <c r="R93" i="30" l="1"/>
  <c r="Q93" i="30"/>
  <c r="P93" i="30"/>
  <c r="O93" i="30"/>
  <c r="V93" i="30" l="1"/>
  <c r="U93" i="30"/>
  <c r="T93" i="30"/>
  <c r="S93" i="30"/>
  <c r="Z93" i="30" l="1"/>
  <c r="B94" i="30" s="1"/>
  <c r="Y93" i="30"/>
  <c r="AD93" i="30" s="1"/>
  <c r="W93" i="30"/>
  <c r="AB93" i="30" s="1"/>
  <c r="X93" i="30"/>
  <c r="AC93" i="30" l="1"/>
  <c r="AE93" i="30" s="1"/>
  <c r="D94" i="30"/>
  <c r="C94" i="30"/>
  <c r="E94" i="30"/>
  <c r="F94" i="30"/>
  <c r="J94" i="30" l="1"/>
  <c r="G94" i="30"/>
  <c r="I94" i="30"/>
  <c r="H94" i="30"/>
  <c r="N94" i="30" l="1"/>
  <c r="K94" i="30"/>
  <c r="L94" i="30"/>
  <c r="M94" i="30"/>
  <c r="R94" i="30" l="1"/>
  <c r="P94" i="30"/>
  <c r="Q94" i="30"/>
  <c r="O94" i="30"/>
  <c r="V94" i="30" l="1"/>
  <c r="U94" i="30"/>
  <c r="T94" i="30"/>
  <c r="S94" i="30"/>
  <c r="Z94" i="30" l="1"/>
  <c r="B95" i="30" s="1"/>
  <c r="Y94" i="30"/>
  <c r="AD94" i="30" s="1"/>
  <c r="X94" i="30"/>
  <c r="W94" i="30"/>
  <c r="AB94" i="30" s="1"/>
  <c r="AC94" i="30" l="1"/>
  <c r="AE94" i="30" s="1"/>
  <c r="E95" i="30"/>
  <c r="F95" i="30"/>
  <c r="D95" i="30"/>
  <c r="C95" i="30"/>
  <c r="J95" i="30" l="1"/>
  <c r="G95" i="30"/>
  <c r="I95" i="30"/>
  <c r="H95" i="30"/>
  <c r="N95" i="30" l="1"/>
  <c r="M95" i="30"/>
  <c r="L95" i="30"/>
  <c r="K95" i="30"/>
  <c r="O95" i="30" l="1"/>
  <c r="R95" i="30"/>
  <c r="Q95" i="30"/>
  <c r="P95" i="30"/>
  <c r="V95" i="30" l="1"/>
  <c r="U95" i="30"/>
  <c r="S95" i="30"/>
  <c r="T95" i="30"/>
  <c r="Z95" i="30" l="1"/>
  <c r="B96" i="30" s="1"/>
  <c r="Y95" i="30"/>
  <c r="AD95" i="30" s="1"/>
  <c r="W95" i="30"/>
  <c r="AB95" i="30" s="1"/>
  <c r="X95" i="30"/>
  <c r="AC95" i="30" l="1"/>
  <c r="AE95" i="30" s="1"/>
  <c r="E96" i="30"/>
  <c r="F96" i="30"/>
  <c r="C96" i="30"/>
  <c r="D96" i="30"/>
  <c r="J96" i="30" l="1"/>
  <c r="G96" i="30"/>
  <c r="H96" i="30"/>
  <c r="I96" i="30"/>
  <c r="N96" i="30" l="1"/>
  <c r="M96" i="30"/>
  <c r="K96" i="30"/>
  <c r="L96" i="30"/>
  <c r="Q96" i="30" l="1"/>
  <c r="O96" i="30"/>
  <c r="P96" i="30"/>
  <c r="R96" i="30"/>
  <c r="V96" i="30" l="1"/>
  <c r="U96" i="30"/>
  <c r="S96" i="30"/>
  <c r="T96" i="30"/>
  <c r="Z96" i="30" l="1"/>
  <c r="B97" i="30" s="1"/>
  <c r="Y96" i="30"/>
  <c r="AD96" i="30" s="1"/>
  <c r="X96" i="30"/>
  <c r="W96" i="30"/>
  <c r="AB96" i="30" s="1"/>
  <c r="AC96" i="30" l="1"/>
  <c r="AE96" i="30" s="1"/>
  <c r="E97" i="30"/>
  <c r="F97" i="30"/>
  <c r="D97" i="30"/>
  <c r="C97" i="30"/>
  <c r="J97" i="30" l="1"/>
  <c r="G97" i="30"/>
  <c r="I97" i="30"/>
  <c r="H97" i="30"/>
  <c r="N97" i="30" l="1"/>
  <c r="M97" i="30"/>
  <c r="K97" i="30"/>
  <c r="L97" i="30"/>
  <c r="Q97" i="30" l="1"/>
  <c r="O97" i="30"/>
  <c r="P97" i="30"/>
  <c r="R97" i="30"/>
  <c r="V97" i="30" l="1"/>
  <c r="U97" i="30"/>
  <c r="S97" i="30"/>
  <c r="T97" i="30"/>
  <c r="Z97" i="30" l="1"/>
  <c r="B98" i="30" s="1"/>
  <c r="Y97" i="30"/>
  <c r="AD97" i="30" s="1"/>
  <c r="W97" i="30"/>
  <c r="AB97" i="30" s="1"/>
  <c r="X97" i="30"/>
  <c r="AC97" i="30" l="1"/>
  <c r="AE97" i="30" s="1"/>
  <c r="D98" i="30"/>
  <c r="E98" i="30"/>
  <c r="F98" i="30"/>
  <c r="C98" i="30"/>
  <c r="J98" i="30" l="1"/>
  <c r="G98" i="30"/>
  <c r="I98" i="30"/>
  <c r="H98" i="30"/>
  <c r="N98" i="30" l="1"/>
  <c r="L98" i="30"/>
  <c r="M98" i="30"/>
  <c r="K98" i="30"/>
  <c r="Q98" i="30" l="1"/>
  <c r="O98" i="30"/>
  <c r="R98" i="30"/>
  <c r="P98" i="30"/>
  <c r="V98" i="30" l="1"/>
  <c r="S98" i="30"/>
  <c r="T98" i="30"/>
  <c r="U98" i="30"/>
  <c r="Z98" i="30" l="1"/>
  <c r="B99" i="30" s="1"/>
  <c r="Y98" i="30"/>
  <c r="AD98" i="30" s="1"/>
  <c r="W98" i="30"/>
  <c r="AB98" i="30" s="1"/>
  <c r="X98" i="30"/>
  <c r="AC98" i="30" l="1"/>
  <c r="AE98" i="30" s="1"/>
  <c r="C99" i="30"/>
  <c r="E99" i="30"/>
  <c r="F99" i="30"/>
  <c r="D99" i="30"/>
  <c r="J99" i="30" l="1"/>
  <c r="G99" i="30"/>
  <c r="I99" i="30"/>
  <c r="H99" i="30"/>
  <c r="N99" i="30" l="1"/>
  <c r="M99" i="30"/>
  <c r="L99" i="30"/>
  <c r="K99" i="30"/>
  <c r="O99" i="30" l="1"/>
  <c r="P99" i="30"/>
  <c r="R99" i="30"/>
  <c r="Q99" i="30"/>
  <c r="V99" i="30" l="1"/>
  <c r="U99" i="30"/>
  <c r="S99" i="30"/>
  <c r="T99" i="30"/>
  <c r="Z99" i="30" l="1"/>
  <c r="B100" i="30" s="1"/>
  <c r="X99" i="30"/>
  <c r="Y99" i="30"/>
  <c r="AD99" i="30" s="1"/>
  <c r="W99" i="30"/>
  <c r="AB99" i="30" s="1"/>
  <c r="AC99" i="30" l="1"/>
  <c r="AE99" i="30" s="1"/>
  <c r="F100" i="30"/>
  <c r="D100" i="30"/>
  <c r="C100" i="30"/>
  <c r="E100" i="30"/>
  <c r="J100" i="30" l="1"/>
  <c r="I100" i="30"/>
  <c r="H100" i="30"/>
  <c r="G100" i="30"/>
  <c r="N100" i="30" l="1"/>
  <c r="M100" i="30"/>
  <c r="K100" i="30"/>
  <c r="L100" i="30"/>
  <c r="Q100" i="30" l="1"/>
  <c r="P100" i="30"/>
  <c r="R100" i="30"/>
  <c r="O100" i="30"/>
  <c r="V100" i="30" l="1"/>
  <c r="U100" i="30"/>
  <c r="S100" i="30"/>
  <c r="T100" i="30"/>
  <c r="Z100" i="30" l="1"/>
  <c r="B101" i="30" s="1"/>
  <c r="Y100" i="30"/>
  <c r="AD100" i="30" s="1"/>
  <c r="W100" i="30"/>
  <c r="AB100" i="30" s="1"/>
  <c r="X100" i="30"/>
  <c r="AC100" i="30" l="1"/>
  <c r="AE100" i="30" s="1"/>
  <c r="D101" i="30"/>
  <c r="C101" i="30"/>
  <c r="E101" i="30"/>
  <c r="F101" i="30"/>
  <c r="J101" i="30" l="1"/>
  <c r="G101" i="30"/>
  <c r="I101" i="30"/>
  <c r="H101" i="30"/>
  <c r="L101" i="30" l="1"/>
  <c r="N101" i="30"/>
  <c r="K101" i="30"/>
  <c r="M101" i="30"/>
  <c r="R101" i="30" l="1"/>
  <c r="Q101" i="30"/>
  <c r="P101" i="30"/>
  <c r="O101" i="30"/>
  <c r="V101" i="30" l="1"/>
  <c r="U101" i="30"/>
  <c r="T101" i="30"/>
  <c r="S101" i="30"/>
  <c r="Z101" i="30" l="1"/>
  <c r="B102" i="30" s="1"/>
  <c r="Y101" i="30"/>
  <c r="AD101" i="30" s="1"/>
  <c r="W101" i="30"/>
  <c r="AB101" i="30" s="1"/>
  <c r="X101" i="30"/>
  <c r="AC101" i="30" l="1"/>
  <c r="AE101" i="30" s="1"/>
  <c r="D102" i="30"/>
  <c r="E102" i="30"/>
  <c r="F102" i="30"/>
  <c r="C102" i="30"/>
  <c r="J102" i="30" l="1"/>
  <c r="G102" i="30"/>
  <c r="H102" i="30"/>
  <c r="I102" i="30"/>
  <c r="N102" i="30" l="1"/>
  <c r="M102" i="30"/>
  <c r="K102" i="30"/>
  <c r="L102" i="30"/>
  <c r="R102" i="30" l="1"/>
  <c r="Q102" i="30"/>
  <c r="P102" i="30"/>
  <c r="O102" i="30"/>
  <c r="V102" i="30" l="1"/>
  <c r="U102" i="30"/>
  <c r="S102" i="30"/>
  <c r="T102" i="30"/>
  <c r="Z102" i="30" l="1"/>
  <c r="B103" i="30" s="1"/>
  <c r="X102" i="30"/>
  <c r="Y102" i="30"/>
  <c r="AD102" i="30" s="1"/>
  <c r="W102" i="30"/>
  <c r="AB102" i="30" s="1"/>
  <c r="AC102" i="30" l="1"/>
  <c r="AE102" i="30" s="1"/>
  <c r="E103" i="30"/>
  <c r="F103" i="30"/>
  <c r="C103" i="30"/>
  <c r="D103" i="30"/>
  <c r="H103" i="30" l="1"/>
  <c r="I103" i="30"/>
  <c r="J103" i="30"/>
  <c r="G103" i="30"/>
  <c r="N103" i="30" l="1"/>
  <c r="M103" i="30"/>
  <c r="L103" i="30"/>
  <c r="K103" i="30"/>
  <c r="Q103" i="30" l="1"/>
  <c r="O103" i="30"/>
  <c r="R103" i="30"/>
  <c r="P103" i="30"/>
  <c r="V103" i="30" l="1"/>
  <c r="U103" i="30"/>
  <c r="T103" i="30"/>
  <c r="S103" i="30"/>
  <c r="Z103" i="30" l="1"/>
  <c r="B104" i="30" s="1"/>
  <c r="X103" i="30"/>
  <c r="Y103" i="30"/>
  <c r="AD103" i="30" s="1"/>
  <c r="W103" i="30"/>
  <c r="AB103" i="30" s="1"/>
  <c r="AC103" i="30" l="1"/>
  <c r="AE103" i="30" s="1"/>
  <c r="E104" i="30"/>
  <c r="F104" i="30"/>
  <c r="D104" i="30"/>
  <c r="C104" i="30"/>
  <c r="I104" i="30" l="1"/>
  <c r="J104" i="30"/>
  <c r="H104" i="30"/>
  <c r="G104" i="30"/>
  <c r="L104" i="30" l="1"/>
  <c r="K104" i="30"/>
  <c r="N104" i="30"/>
  <c r="M104" i="30"/>
  <c r="R104" i="30" l="1"/>
  <c r="P104" i="30"/>
  <c r="Q104" i="30"/>
  <c r="O104" i="30"/>
  <c r="V104" i="30" l="1"/>
  <c r="S104" i="30"/>
  <c r="T104" i="30"/>
  <c r="U104" i="30"/>
  <c r="Z104" i="30" l="1"/>
  <c r="B105" i="30" s="1"/>
  <c r="X104" i="30"/>
  <c r="W104" i="30"/>
  <c r="AB104" i="30" s="1"/>
  <c r="Y104" i="30"/>
  <c r="AD104" i="30" s="1"/>
  <c r="AC104" i="30" l="1"/>
  <c r="AE104" i="30" s="1"/>
  <c r="C105" i="30"/>
  <c r="D105" i="30"/>
  <c r="E105" i="30"/>
  <c r="F105" i="30"/>
  <c r="J105" i="30" l="1"/>
  <c r="G105" i="30"/>
  <c r="H105" i="30"/>
  <c r="I105" i="30"/>
  <c r="N105" i="30" l="1"/>
  <c r="M105" i="30"/>
  <c r="K105" i="30"/>
  <c r="L105" i="30"/>
  <c r="P105" i="30" l="1"/>
  <c r="Q105" i="30"/>
  <c r="O105" i="30"/>
  <c r="R105" i="30"/>
  <c r="V105" i="30" l="1"/>
  <c r="U105" i="30"/>
  <c r="T105" i="30"/>
  <c r="S105" i="30"/>
  <c r="Z105" i="30" l="1"/>
  <c r="B106" i="30" s="1"/>
  <c r="X105" i="30"/>
  <c r="Y105" i="30"/>
  <c r="AD105" i="30" s="1"/>
  <c r="W105" i="30"/>
  <c r="AB105" i="30" s="1"/>
  <c r="AC105" i="30" l="1"/>
  <c r="AE105" i="30" s="1"/>
  <c r="D106" i="30"/>
  <c r="E106" i="30"/>
  <c r="F106" i="30"/>
  <c r="C106" i="30"/>
  <c r="I106" i="30" l="1"/>
  <c r="G106" i="30"/>
  <c r="J106" i="30"/>
  <c r="H106" i="30"/>
  <c r="L106" i="30" l="1"/>
  <c r="K106" i="30"/>
  <c r="N106" i="30"/>
  <c r="M106" i="30"/>
  <c r="O106" i="30" l="1"/>
  <c r="R106" i="30"/>
  <c r="Q106" i="30"/>
  <c r="P106" i="30"/>
  <c r="V106" i="30" l="1"/>
  <c r="U106" i="30"/>
  <c r="T106" i="30"/>
  <c r="S106" i="30"/>
  <c r="Z106" i="30" l="1"/>
  <c r="B107" i="30" s="1"/>
  <c r="Y106" i="30"/>
  <c r="AD106" i="30" s="1"/>
  <c r="W106" i="30"/>
  <c r="AB106" i="30" s="1"/>
  <c r="X106" i="30"/>
  <c r="AC106" i="30" l="1"/>
  <c r="AE106" i="30" s="1"/>
  <c r="D107" i="30"/>
  <c r="C107" i="30"/>
  <c r="E107" i="30"/>
  <c r="F107" i="30"/>
  <c r="J107" i="30" l="1"/>
  <c r="G107" i="30"/>
  <c r="I107" i="30"/>
  <c r="H107" i="30"/>
  <c r="N107" i="30" l="1"/>
  <c r="M107" i="30"/>
  <c r="L107" i="30"/>
  <c r="K107" i="30"/>
  <c r="O107" i="30" l="1"/>
  <c r="P107" i="30"/>
  <c r="R107" i="30"/>
  <c r="Q107" i="30"/>
  <c r="V107" i="30" l="1"/>
  <c r="T107" i="30"/>
  <c r="S107" i="30"/>
  <c r="U107" i="30"/>
  <c r="Z107" i="30" l="1"/>
  <c r="B108" i="30" s="1"/>
  <c r="X107" i="30"/>
  <c r="Y107" i="30"/>
  <c r="AD107" i="30" s="1"/>
  <c r="W107" i="30"/>
  <c r="AB107" i="30" s="1"/>
  <c r="AC107" i="30" l="1"/>
  <c r="AE107" i="30" s="1"/>
  <c r="E108" i="30"/>
  <c r="F108" i="30"/>
  <c r="C108" i="30"/>
  <c r="D108" i="30"/>
  <c r="J108" i="30" l="1"/>
  <c r="G108" i="30"/>
  <c r="I108" i="30"/>
  <c r="H108" i="30"/>
  <c r="N108" i="30" l="1"/>
  <c r="M108" i="30"/>
  <c r="K108" i="30"/>
  <c r="L108" i="30"/>
  <c r="R108" i="30" l="1"/>
  <c r="Q108" i="30"/>
  <c r="P108" i="30"/>
  <c r="O108" i="30"/>
  <c r="V108" i="30" l="1"/>
  <c r="U108" i="30"/>
  <c r="T108" i="30"/>
  <c r="S108" i="30"/>
  <c r="Z108" i="30" l="1"/>
  <c r="B109" i="30" s="1"/>
  <c r="Y108" i="30"/>
  <c r="AD108" i="30" s="1"/>
  <c r="X108" i="30"/>
  <c r="W108" i="30"/>
  <c r="AB108" i="30" s="1"/>
  <c r="AC108" i="30" l="1"/>
  <c r="AE108" i="30" s="1"/>
  <c r="F109" i="30"/>
  <c r="D109" i="30"/>
  <c r="C109" i="30"/>
  <c r="E109" i="30"/>
  <c r="J109" i="30" l="1"/>
  <c r="I109" i="30"/>
  <c r="H109" i="30"/>
  <c r="G109" i="30"/>
  <c r="N109" i="30" l="1"/>
  <c r="M109" i="30"/>
  <c r="K109" i="30"/>
  <c r="L109" i="30"/>
  <c r="R109" i="30" l="1"/>
  <c r="Q109" i="30"/>
  <c r="O109" i="30"/>
  <c r="P109" i="30"/>
  <c r="V109" i="30" l="1"/>
  <c r="S109" i="30"/>
  <c r="U109" i="30"/>
  <c r="T109" i="30"/>
  <c r="Z109" i="30" l="1"/>
  <c r="B110" i="30" s="1"/>
  <c r="Y109" i="30"/>
  <c r="AD109" i="30" s="1"/>
  <c r="W109" i="30"/>
  <c r="AB109" i="30" s="1"/>
  <c r="X109" i="30"/>
  <c r="AC109" i="30" l="1"/>
  <c r="AE109" i="30" s="1"/>
  <c r="E110" i="30"/>
  <c r="F110" i="30"/>
  <c r="D110" i="30"/>
  <c r="C110" i="30"/>
  <c r="J110" i="30" l="1"/>
  <c r="G110" i="30"/>
  <c r="I110" i="30"/>
  <c r="H110" i="30"/>
  <c r="N110" i="30" l="1"/>
  <c r="M110" i="30"/>
  <c r="L110" i="30"/>
  <c r="K110" i="30"/>
  <c r="R110" i="30" l="1"/>
  <c r="Q110" i="30"/>
  <c r="O110" i="30"/>
  <c r="P110" i="30"/>
  <c r="V110" i="30" l="1"/>
  <c r="U110" i="30"/>
  <c r="T110" i="30"/>
  <c r="S110" i="30"/>
  <c r="Z110" i="30" l="1"/>
  <c r="B111" i="30" s="1"/>
  <c r="Y110" i="30"/>
  <c r="AD110" i="30" s="1"/>
  <c r="X110" i="30"/>
  <c r="W110" i="30"/>
  <c r="AB110" i="30" s="1"/>
  <c r="AC110" i="30" l="1"/>
  <c r="AE110" i="30" s="1"/>
  <c r="D111" i="30"/>
  <c r="E111" i="30"/>
  <c r="F111" i="30"/>
  <c r="C111" i="30"/>
  <c r="J111" i="30" l="1"/>
  <c r="G111" i="30"/>
  <c r="I111" i="30"/>
  <c r="H111" i="30"/>
  <c r="N111" i="30" l="1"/>
  <c r="M111" i="30"/>
  <c r="L111" i="30"/>
  <c r="K111" i="30"/>
  <c r="Q111" i="30" l="1"/>
  <c r="O111" i="30"/>
  <c r="P111" i="30"/>
  <c r="R111" i="30"/>
  <c r="V111" i="30" l="1"/>
  <c r="U111" i="30"/>
  <c r="S111" i="30"/>
  <c r="T111" i="30"/>
  <c r="Z111" i="30" l="1"/>
  <c r="B112" i="30" s="1"/>
  <c r="Y111" i="30"/>
  <c r="AD111" i="30" s="1"/>
  <c r="X111" i="30"/>
  <c r="W111" i="30"/>
  <c r="AB111" i="30" s="1"/>
  <c r="AC111" i="30" l="1"/>
  <c r="AE111" i="30" s="1"/>
  <c r="C112" i="30"/>
  <c r="E112" i="30"/>
  <c r="F112" i="30"/>
  <c r="D112" i="30"/>
  <c r="J112" i="30" l="1"/>
  <c r="H112" i="30"/>
  <c r="G112" i="30"/>
  <c r="I112" i="30"/>
  <c r="N112" i="30" l="1"/>
  <c r="M112" i="30"/>
  <c r="K112" i="30"/>
  <c r="L112" i="30"/>
  <c r="O112" i="30" l="1"/>
  <c r="P112" i="30"/>
  <c r="R112" i="30"/>
  <c r="Q112" i="30"/>
  <c r="V112" i="30" l="1"/>
  <c r="U112" i="30"/>
  <c r="S112" i="30"/>
  <c r="T112" i="30"/>
  <c r="Z112" i="30" l="1"/>
  <c r="B113" i="30" s="1"/>
  <c r="Y112" i="30"/>
  <c r="AD112" i="30" s="1"/>
  <c r="W112" i="30"/>
  <c r="AB112" i="30" s="1"/>
  <c r="X112" i="30"/>
  <c r="AC112" i="30" l="1"/>
  <c r="AE112" i="30" s="1"/>
  <c r="C113" i="30"/>
  <c r="E113" i="30"/>
  <c r="F113" i="30"/>
  <c r="D113" i="30"/>
  <c r="J113" i="30" l="1"/>
  <c r="G113" i="30"/>
  <c r="I113" i="30"/>
  <c r="H113" i="30"/>
  <c r="N113" i="30" l="1"/>
  <c r="M113" i="30"/>
  <c r="K113" i="30"/>
  <c r="L113" i="30"/>
  <c r="P113" i="30" l="1"/>
  <c r="Q113" i="30"/>
  <c r="R113" i="30"/>
  <c r="O113" i="30"/>
  <c r="V113" i="30" l="1"/>
  <c r="U113" i="30"/>
  <c r="T113" i="30"/>
  <c r="S113" i="30"/>
  <c r="Z113" i="30" l="1"/>
  <c r="B114" i="30" s="1"/>
  <c r="Y113" i="30"/>
  <c r="AD113" i="30" s="1"/>
  <c r="X113" i="30"/>
  <c r="W113" i="30"/>
  <c r="AB113" i="30" s="1"/>
  <c r="AC113" i="30" l="1"/>
  <c r="AE113" i="30" s="1"/>
  <c r="F114" i="30"/>
  <c r="C114" i="30"/>
  <c r="D114" i="30"/>
  <c r="E114" i="30"/>
  <c r="J114" i="30" l="1"/>
  <c r="G114" i="30"/>
  <c r="I114" i="30"/>
  <c r="H114" i="30"/>
  <c r="N114" i="30" l="1"/>
  <c r="M114" i="30"/>
  <c r="L114" i="30"/>
  <c r="K114" i="30"/>
  <c r="P114" i="30" l="1"/>
  <c r="O114" i="30"/>
  <c r="R114" i="30"/>
  <c r="Q114" i="30"/>
  <c r="V114" i="30" l="1"/>
  <c r="U114" i="30"/>
  <c r="S114" i="30"/>
  <c r="T114" i="30"/>
  <c r="Z114" i="30" l="1"/>
  <c r="B115" i="30" s="1"/>
  <c r="Y114" i="30"/>
  <c r="AD114" i="30" s="1"/>
  <c r="W114" i="30"/>
  <c r="AB114" i="30" s="1"/>
  <c r="X114" i="30"/>
  <c r="AC114" i="30" l="1"/>
  <c r="AE114" i="30" s="1"/>
  <c r="D115" i="30"/>
  <c r="C115" i="30"/>
  <c r="E115" i="30"/>
  <c r="F115" i="30"/>
  <c r="J115" i="30" l="1"/>
  <c r="G115" i="30"/>
  <c r="I115" i="30"/>
  <c r="H115" i="30"/>
  <c r="N115" i="30" l="1"/>
  <c r="M115" i="30"/>
  <c r="K115" i="30"/>
  <c r="L115" i="30"/>
  <c r="R115" i="30" l="1"/>
  <c r="Q115" i="30"/>
  <c r="P115" i="30"/>
  <c r="O115" i="30"/>
  <c r="V115" i="30" l="1"/>
  <c r="U115" i="30"/>
  <c r="S115" i="30"/>
  <c r="T115" i="30"/>
  <c r="Z115" i="30" l="1"/>
  <c r="B116" i="30" s="1"/>
  <c r="Y115" i="30"/>
  <c r="AD115" i="30" s="1"/>
  <c r="W115" i="30"/>
  <c r="AB115" i="30" s="1"/>
  <c r="X115" i="30"/>
  <c r="AC115" i="30" l="1"/>
  <c r="AE115" i="30" s="1"/>
  <c r="F116" i="30"/>
  <c r="C116" i="30"/>
  <c r="D116" i="30"/>
  <c r="E116" i="30"/>
  <c r="J116" i="30" l="1"/>
  <c r="I116" i="30"/>
  <c r="H116" i="30"/>
  <c r="G116" i="30"/>
  <c r="N116" i="30" l="1"/>
  <c r="M116" i="30"/>
  <c r="K116" i="30"/>
  <c r="L116" i="30"/>
  <c r="O116" i="30" l="1"/>
  <c r="R116" i="30"/>
  <c r="Q116" i="30"/>
  <c r="P116" i="30"/>
  <c r="V116" i="30" l="1"/>
  <c r="U116" i="30"/>
  <c r="S116" i="30"/>
  <c r="T116" i="30"/>
  <c r="Z116" i="30" l="1"/>
  <c r="B117" i="30" s="1"/>
  <c r="Y116" i="30"/>
  <c r="AD116" i="30" s="1"/>
  <c r="X116" i="30"/>
  <c r="W116" i="30"/>
  <c r="AB116" i="30" s="1"/>
  <c r="AC116" i="30" l="1"/>
  <c r="AE116" i="30" s="1"/>
  <c r="D117" i="30"/>
  <c r="E117" i="30"/>
  <c r="F117" i="30"/>
  <c r="C117" i="30"/>
  <c r="J117" i="30" l="1"/>
  <c r="G117" i="30"/>
  <c r="I117" i="30"/>
  <c r="H117" i="30"/>
  <c r="N117" i="30" l="1"/>
  <c r="M117" i="30"/>
  <c r="K117" i="30"/>
  <c r="L117" i="30"/>
  <c r="R117" i="30" l="1"/>
  <c r="Q117" i="30"/>
  <c r="O117" i="30"/>
  <c r="P117" i="30"/>
  <c r="V117" i="30" l="1"/>
  <c r="U117" i="30"/>
  <c r="T117" i="30"/>
  <c r="S117" i="30"/>
  <c r="Z117" i="30" l="1"/>
  <c r="B118" i="30" s="1"/>
  <c r="Y117" i="30"/>
  <c r="AD117" i="30" s="1"/>
  <c r="W117" i="30"/>
  <c r="AB117" i="30" s="1"/>
  <c r="X117" i="30"/>
  <c r="AC117" i="30" l="1"/>
  <c r="AE117" i="30" s="1"/>
  <c r="F118" i="30"/>
  <c r="D118" i="30"/>
  <c r="C118" i="30"/>
  <c r="E118" i="30"/>
  <c r="J118" i="30" l="1"/>
  <c r="I118" i="30"/>
  <c r="H118" i="30"/>
  <c r="G118" i="30"/>
  <c r="N118" i="30" l="1"/>
  <c r="M118" i="30"/>
  <c r="K118" i="30"/>
  <c r="L118" i="30"/>
  <c r="Q118" i="30" l="1"/>
  <c r="P118" i="30"/>
  <c r="R118" i="30"/>
  <c r="O118" i="30"/>
  <c r="V118" i="30" l="1"/>
  <c r="U118" i="30"/>
  <c r="S118" i="30"/>
  <c r="T118" i="30"/>
  <c r="Z118" i="30" l="1"/>
  <c r="B119" i="30" s="1"/>
  <c r="Y118" i="30"/>
  <c r="AD118" i="30" s="1"/>
  <c r="W118" i="30"/>
  <c r="AB118" i="30" s="1"/>
  <c r="X118" i="30"/>
  <c r="AC118" i="30" l="1"/>
  <c r="AE118" i="30" s="1"/>
  <c r="E119" i="30"/>
  <c r="F119" i="30"/>
  <c r="C119" i="30"/>
  <c r="D119" i="30"/>
  <c r="J119" i="30" l="1"/>
  <c r="G119" i="30"/>
  <c r="I119" i="30"/>
  <c r="H119" i="30"/>
  <c r="N119" i="30" l="1"/>
  <c r="M119" i="30"/>
  <c r="L119" i="30"/>
  <c r="K119" i="30"/>
  <c r="R119" i="30" l="1"/>
  <c r="Q119" i="30"/>
  <c r="P119" i="30"/>
  <c r="O119" i="30"/>
  <c r="V119" i="30" l="1"/>
  <c r="U119" i="30"/>
  <c r="S119" i="30"/>
  <c r="T119" i="30"/>
  <c r="Z119" i="30" l="1"/>
  <c r="B120" i="30" s="1"/>
  <c r="Y119" i="30"/>
  <c r="AD119" i="30" s="1"/>
  <c r="X119" i="30"/>
  <c r="W119" i="30"/>
  <c r="AB119" i="30" s="1"/>
  <c r="AC119" i="30" l="1"/>
  <c r="AE119" i="30" s="1"/>
  <c r="C120" i="30"/>
  <c r="D120" i="30"/>
  <c r="E120" i="30"/>
  <c r="F120" i="30"/>
  <c r="J120" i="30" l="1"/>
  <c r="H120" i="30"/>
  <c r="G120" i="30"/>
  <c r="I120" i="30"/>
  <c r="N120" i="30" l="1"/>
  <c r="M120" i="30"/>
  <c r="K120" i="30"/>
  <c r="L120" i="30"/>
  <c r="Q120" i="30" l="1"/>
  <c r="P120" i="30"/>
  <c r="O120" i="30"/>
  <c r="R120" i="30"/>
  <c r="V120" i="30" l="1"/>
  <c r="U120" i="30"/>
  <c r="T120" i="30"/>
  <c r="S120" i="30"/>
  <c r="Z120" i="30" l="1"/>
  <c r="B121" i="30" s="1"/>
  <c r="Y120" i="30"/>
  <c r="AD120" i="30" s="1"/>
  <c r="W120" i="30"/>
  <c r="AB120" i="30" s="1"/>
  <c r="X120" i="30"/>
  <c r="AC120" i="30" l="1"/>
  <c r="AE120" i="30" s="1"/>
  <c r="C121" i="30"/>
  <c r="E121" i="30"/>
  <c r="F121" i="30"/>
  <c r="D121" i="30"/>
  <c r="J121" i="30" l="1"/>
  <c r="G121" i="30"/>
  <c r="I121" i="30"/>
  <c r="H121" i="30"/>
  <c r="N121" i="30" l="1"/>
  <c r="M121" i="30"/>
  <c r="K121" i="30"/>
  <c r="L121" i="30"/>
  <c r="P121" i="30" l="1"/>
  <c r="R121" i="30"/>
  <c r="Q121" i="30"/>
  <c r="O121" i="30"/>
  <c r="V121" i="30" l="1"/>
  <c r="U121" i="30"/>
  <c r="T121" i="30"/>
  <c r="S121" i="30"/>
  <c r="Z121" i="30" l="1"/>
  <c r="B122" i="30" s="1"/>
  <c r="Y121" i="30"/>
  <c r="AD121" i="30" s="1"/>
  <c r="W121" i="30"/>
  <c r="AB121" i="30" s="1"/>
  <c r="X121" i="30"/>
  <c r="AC121" i="30" l="1"/>
  <c r="AE121" i="30" s="1"/>
  <c r="C122" i="30"/>
  <c r="D122" i="30"/>
  <c r="E122" i="30"/>
  <c r="F122" i="30"/>
  <c r="J122" i="30" l="1"/>
  <c r="G122" i="30"/>
  <c r="I122" i="30"/>
  <c r="H122" i="30"/>
  <c r="N122" i="30" l="1"/>
  <c r="M122" i="30"/>
  <c r="K122" i="30"/>
  <c r="L122" i="30"/>
  <c r="O122" i="30" l="1"/>
  <c r="P122" i="30"/>
  <c r="R122" i="30"/>
  <c r="Q122" i="30"/>
  <c r="V122" i="30" l="1"/>
  <c r="U122" i="30"/>
  <c r="S122" i="30"/>
  <c r="T122" i="30"/>
  <c r="Z122" i="30" l="1"/>
  <c r="B123" i="30" s="1"/>
  <c r="Y122" i="30"/>
  <c r="AD122" i="30" s="1"/>
  <c r="W122" i="30"/>
  <c r="AB122" i="30" s="1"/>
  <c r="X122" i="30"/>
  <c r="AC122" i="30" l="1"/>
  <c r="AE122" i="30" s="1"/>
  <c r="F123" i="30"/>
  <c r="C123" i="30"/>
  <c r="D123" i="30"/>
  <c r="E123" i="30"/>
  <c r="I123" i="30" l="1"/>
  <c r="J123" i="30"/>
  <c r="G123" i="30"/>
  <c r="H123" i="30"/>
  <c r="N123" i="30" l="1"/>
  <c r="M123" i="30"/>
  <c r="K123" i="30"/>
  <c r="L123" i="30"/>
  <c r="O123" i="30" l="1"/>
  <c r="R123" i="30"/>
  <c r="Q123" i="30"/>
  <c r="P123" i="30"/>
  <c r="V123" i="30" l="1"/>
  <c r="U123" i="30"/>
  <c r="T123" i="30"/>
  <c r="S123" i="30"/>
  <c r="Z123" i="30" l="1"/>
  <c r="B124" i="30" s="1"/>
  <c r="Y123" i="30"/>
  <c r="AD123" i="30" s="1"/>
  <c r="W123" i="30"/>
  <c r="AB123" i="30" s="1"/>
  <c r="X123" i="30"/>
  <c r="AC123" i="30" l="1"/>
  <c r="AE123" i="30" s="1"/>
  <c r="D124" i="30"/>
  <c r="C124" i="30"/>
  <c r="E124" i="30"/>
  <c r="F124" i="30"/>
  <c r="J124" i="30" l="1"/>
  <c r="I124" i="30"/>
  <c r="H124" i="30"/>
  <c r="G124" i="30"/>
  <c r="N124" i="30" l="1"/>
  <c r="M124" i="30"/>
  <c r="L124" i="30"/>
  <c r="K124" i="30"/>
  <c r="R124" i="30" l="1"/>
  <c r="Q124" i="30"/>
  <c r="P124" i="30"/>
  <c r="O124" i="30"/>
  <c r="V124" i="30" l="1"/>
  <c r="S124" i="30"/>
  <c r="T124" i="30"/>
  <c r="U124" i="30"/>
  <c r="Z124" i="30" l="1"/>
  <c r="B125" i="30" s="1"/>
  <c r="Y124" i="30"/>
  <c r="AD124" i="30" s="1"/>
  <c r="X124" i="30"/>
  <c r="W124" i="30"/>
  <c r="AB124" i="30" s="1"/>
  <c r="AC124" i="30" l="1"/>
  <c r="AE124" i="30" s="1"/>
  <c r="E125" i="30"/>
  <c r="F125" i="30"/>
  <c r="C125" i="30"/>
  <c r="D125" i="30"/>
  <c r="J125" i="30" l="1"/>
  <c r="G125" i="30"/>
  <c r="H125" i="30"/>
  <c r="I125" i="30"/>
  <c r="N125" i="30" l="1"/>
  <c r="M125" i="30"/>
  <c r="L125" i="30"/>
  <c r="K125" i="30"/>
  <c r="O125" i="30" l="1"/>
  <c r="P125" i="30"/>
  <c r="R125" i="30"/>
  <c r="Q125" i="30"/>
  <c r="V125" i="30" l="1"/>
  <c r="S125" i="30"/>
  <c r="U125" i="30"/>
  <c r="T125" i="30"/>
  <c r="Z125" i="30" l="1"/>
  <c r="B126" i="30" s="1"/>
  <c r="Y125" i="30"/>
  <c r="AD125" i="30" s="1"/>
  <c r="X125" i="30"/>
  <c r="W125" i="30"/>
  <c r="AB125" i="30" s="1"/>
  <c r="AC125" i="30" l="1"/>
  <c r="AE125" i="30" s="1"/>
  <c r="E126" i="30"/>
  <c r="F126" i="30"/>
  <c r="C126" i="30"/>
  <c r="D126" i="30"/>
  <c r="H126" i="30" l="1"/>
  <c r="G126" i="30"/>
  <c r="J126" i="30"/>
  <c r="I126" i="30"/>
  <c r="N126" i="30" l="1"/>
  <c r="L126" i="30"/>
  <c r="K126" i="30"/>
  <c r="M126" i="30"/>
  <c r="R126" i="30" l="1"/>
  <c r="O126" i="30"/>
  <c r="P126" i="30"/>
  <c r="Q126" i="30"/>
  <c r="V126" i="30" l="1"/>
  <c r="U126" i="30"/>
  <c r="T126" i="30"/>
  <c r="S126" i="30"/>
  <c r="Z126" i="30" l="1"/>
  <c r="B127" i="30" s="1"/>
  <c r="Y126" i="30"/>
  <c r="AD126" i="30" s="1"/>
  <c r="W126" i="30"/>
  <c r="AB126" i="30" s="1"/>
  <c r="X126" i="30"/>
  <c r="AC126" i="30" l="1"/>
  <c r="AE126" i="30" s="1"/>
  <c r="E127" i="30"/>
  <c r="F127" i="30"/>
  <c r="C127" i="30"/>
  <c r="D127" i="30"/>
  <c r="J127" i="30" l="1"/>
  <c r="H127" i="30"/>
  <c r="G127" i="30"/>
  <c r="I127" i="30"/>
  <c r="N127" i="30" l="1"/>
  <c r="L127" i="30"/>
  <c r="M127" i="30"/>
  <c r="K127" i="30"/>
  <c r="R127" i="30" l="1"/>
  <c r="O127" i="30"/>
  <c r="Q127" i="30"/>
  <c r="P127" i="30"/>
  <c r="V127" i="30" l="1"/>
  <c r="U127" i="30"/>
  <c r="T127" i="30"/>
  <c r="S127" i="30"/>
  <c r="Z127" i="30" l="1"/>
  <c r="B128" i="30" s="1"/>
  <c r="Y127" i="30"/>
  <c r="AD127" i="30" s="1"/>
  <c r="X127" i="30"/>
  <c r="W127" i="30"/>
  <c r="AB127" i="30" s="1"/>
  <c r="AC127" i="30" l="1"/>
  <c r="AE127" i="30" s="1"/>
  <c r="C128" i="30"/>
  <c r="F128" i="30"/>
  <c r="D128" i="30"/>
  <c r="E128" i="30"/>
  <c r="J128" i="30" l="1"/>
  <c r="H128" i="30"/>
  <c r="I128" i="30"/>
  <c r="G128" i="30"/>
  <c r="N128" i="30" l="1"/>
  <c r="K128" i="30"/>
  <c r="L128" i="30"/>
  <c r="M128" i="30"/>
  <c r="R128" i="30" l="1"/>
  <c r="Q128" i="30"/>
  <c r="P128" i="30"/>
  <c r="O128" i="30"/>
  <c r="V128" i="30" l="1"/>
  <c r="T128" i="30"/>
  <c r="U128" i="30"/>
  <c r="S128" i="30"/>
  <c r="Z128" i="30" l="1"/>
  <c r="B129" i="30" s="1"/>
  <c r="Y128" i="30"/>
  <c r="AD128" i="30" s="1"/>
  <c r="X128" i="30"/>
  <c r="W128" i="30"/>
  <c r="AB128" i="30" s="1"/>
  <c r="AC128" i="30" l="1"/>
  <c r="AE128" i="30" s="1"/>
  <c r="E129" i="30"/>
  <c r="F129" i="30"/>
  <c r="C129" i="30"/>
  <c r="D129" i="30"/>
  <c r="J129" i="30" l="1"/>
  <c r="I129" i="30"/>
  <c r="H129" i="30"/>
  <c r="G129" i="30"/>
  <c r="L129" i="30" l="1"/>
  <c r="K129" i="30"/>
  <c r="N129" i="30"/>
  <c r="M129" i="30"/>
  <c r="R129" i="30" l="1"/>
  <c r="Q129" i="30"/>
  <c r="O129" i="30"/>
  <c r="P129" i="30"/>
  <c r="V129" i="30" l="1"/>
  <c r="U129" i="30"/>
  <c r="S129" i="30"/>
  <c r="T129" i="30"/>
  <c r="Z129" i="30" l="1"/>
  <c r="B130" i="30" s="1"/>
  <c r="Y129" i="30"/>
  <c r="AD129" i="30" s="1"/>
  <c r="W129" i="30"/>
  <c r="AB129" i="30" s="1"/>
  <c r="X129" i="30"/>
  <c r="AC129" i="30" l="1"/>
  <c r="AE129" i="30" s="1"/>
  <c r="D130" i="30"/>
  <c r="F130" i="30"/>
  <c r="E130" i="30"/>
  <c r="C130" i="30"/>
  <c r="J130" i="30" l="1"/>
  <c r="G130" i="30"/>
  <c r="I130" i="30"/>
  <c r="H130" i="30"/>
  <c r="N130" i="30" l="1"/>
  <c r="L130" i="30"/>
  <c r="M130" i="30"/>
  <c r="K130" i="30"/>
  <c r="R130" i="30" l="1"/>
  <c r="O130" i="30"/>
  <c r="Q130" i="30"/>
  <c r="P130" i="30"/>
  <c r="V130" i="30" l="1"/>
  <c r="U130" i="30"/>
  <c r="S130" i="30"/>
  <c r="T130" i="30"/>
  <c r="Z130" i="30" l="1"/>
  <c r="B131" i="30" s="1"/>
  <c r="Y130" i="30"/>
  <c r="AD130" i="30" s="1"/>
  <c r="W130" i="30"/>
  <c r="AB130" i="30" s="1"/>
  <c r="X130" i="30"/>
  <c r="AC130" i="30" l="1"/>
  <c r="AE130" i="30" s="1"/>
  <c r="D131" i="30"/>
  <c r="E131" i="30"/>
  <c r="F131" i="30"/>
  <c r="C131" i="30"/>
  <c r="J131" i="30" l="1"/>
  <c r="I131" i="30"/>
  <c r="G131" i="30"/>
  <c r="H131" i="30"/>
  <c r="K131" i="30" l="1"/>
  <c r="L131" i="30"/>
  <c r="N131" i="30"/>
  <c r="M131" i="30"/>
  <c r="R131" i="30" l="1"/>
  <c r="O131" i="30"/>
  <c r="Q131" i="30"/>
  <c r="P131" i="30"/>
  <c r="V131" i="30" l="1"/>
  <c r="T131" i="30"/>
  <c r="U131" i="30"/>
  <c r="S131" i="30"/>
  <c r="Z131" i="30" l="1"/>
  <c r="B132" i="30" s="1"/>
  <c r="X131" i="30"/>
  <c r="W131" i="30"/>
  <c r="AB131" i="30" s="1"/>
  <c r="Y131" i="30"/>
  <c r="AD131" i="30" s="1"/>
  <c r="AC131" i="30" l="1"/>
  <c r="AE131" i="30" s="1"/>
  <c r="E132" i="30"/>
  <c r="F132" i="30"/>
  <c r="D132" i="30"/>
  <c r="C132" i="30"/>
  <c r="I132" i="30" l="1"/>
  <c r="J132" i="30"/>
  <c r="G132" i="30"/>
  <c r="H132" i="30"/>
  <c r="N132" i="30" l="1"/>
  <c r="M132" i="30"/>
  <c r="L132" i="30"/>
  <c r="K132" i="30"/>
  <c r="R132" i="30" l="1"/>
  <c r="P132" i="30"/>
  <c r="Q132" i="30"/>
  <c r="O132" i="30"/>
  <c r="V132" i="30" l="1"/>
  <c r="U132" i="30"/>
  <c r="T132" i="30"/>
  <c r="S132" i="30"/>
  <c r="Z132" i="30" l="1"/>
  <c r="B133" i="30" s="1"/>
  <c r="Y132" i="30"/>
  <c r="AD132" i="30" s="1"/>
  <c r="X132" i="30"/>
  <c r="W132" i="30"/>
  <c r="AB132" i="30" s="1"/>
  <c r="AC132" i="30" l="1"/>
  <c r="AE132" i="30" s="1"/>
  <c r="D133" i="30"/>
  <c r="E133" i="30"/>
  <c r="F133" i="30"/>
  <c r="C133" i="30"/>
  <c r="J133" i="30" l="1"/>
  <c r="H133" i="30"/>
  <c r="G133" i="30"/>
  <c r="I133" i="30"/>
  <c r="N133" i="30" l="1"/>
  <c r="M133" i="30"/>
  <c r="L133" i="30"/>
  <c r="K133" i="30"/>
  <c r="R133" i="30" l="1"/>
  <c r="O133" i="30"/>
  <c r="P133" i="30"/>
  <c r="Q133" i="30"/>
  <c r="V133" i="30" l="1"/>
  <c r="S133" i="30"/>
  <c r="T133" i="30"/>
  <c r="U133" i="30"/>
  <c r="Z133" i="30" l="1"/>
  <c r="B134" i="30" s="1"/>
  <c r="Y133" i="30"/>
  <c r="AD133" i="30" s="1"/>
  <c r="X133" i="30"/>
  <c r="W133" i="30"/>
  <c r="AB133" i="30" s="1"/>
  <c r="AC133" i="30" l="1"/>
  <c r="AE133" i="30" s="1"/>
  <c r="C134" i="30"/>
  <c r="E134" i="30"/>
  <c r="F134" i="30"/>
  <c r="D134" i="30"/>
  <c r="J134" i="30" l="1"/>
  <c r="G134" i="30"/>
  <c r="I134" i="30"/>
  <c r="H134" i="30"/>
  <c r="N134" i="30" l="1"/>
  <c r="L134" i="30"/>
  <c r="K134" i="30"/>
  <c r="M134" i="30"/>
  <c r="Q134" i="30" l="1"/>
  <c r="O134" i="30"/>
  <c r="R134" i="30"/>
  <c r="P134" i="30"/>
  <c r="V134" i="30" l="1"/>
  <c r="U134" i="30"/>
  <c r="T134" i="30"/>
  <c r="S134" i="30"/>
  <c r="Z134" i="30" l="1"/>
  <c r="B135" i="30" s="1"/>
  <c r="Y134" i="30"/>
  <c r="AD134" i="30" s="1"/>
  <c r="X134" i="30"/>
  <c r="W134" i="30"/>
  <c r="AB134" i="30" s="1"/>
  <c r="AC134" i="30" l="1"/>
  <c r="AE134" i="30" s="1"/>
  <c r="C135" i="30"/>
  <c r="D135" i="30"/>
  <c r="E135" i="30"/>
  <c r="F135" i="30"/>
  <c r="H135" i="30" l="1"/>
  <c r="I135" i="30"/>
  <c r="J135" i="30"/>
  <c r="G135" i="30"/>
  <c r="N135" i="30" l="1"/>
  <c r="M135" i="30"/>
  <c r="L135" i="30"/>
  <c r="K135" i="30"/>
  <c r="Q135" i="30" l="1"/>
  <c r="P135" i="30"/>
  <c r="R135" i="30"/>
  <c r="O135" i="30"/>
  <c r="V135" i="30" l="1"/>
  <c r="U135" i="30"/>
  <c r="S135" i="30"/>
  <c r="T135" i="30"/>
  <c r="Z135" i="30" l="1"/>
  <c r="B136" i="30" s="1"/>
  <c r="X135" i="30"/>
  <c r="Y135" i="30"/>
  <c r="AD135" i="30" s="1"/>
  <c r="W135" i="30"/>
  <c r="AB135" i="30" s="1"/>
  <c r="AC135" i="30" l="1"/>
  <c r="AE135" i="30" s="1"/>
  <c r="C136" i="30"/>
  <c r="E136" i="30"/>
  <c r="F136" i="30"/>
  <c r="D136" i="30"/>
  <c r="J136" i="30" l="1"/>
  <c r="H136" i="30"/>
  <c r="G136" i="30"/>
  <c r="I136" i="30"/>
  <c r="N136" i="30" l="1"/>
  <c r="M136" i="30"/>
  <c r="K136" i="30"/>
  <c r="L136" i="30"/>
  <c r="R136" i="30" l="1"/>
  <c r="P136" i="30"/>
  <c r="O136" i="30"/>
  <c r="Q136" i="30"/>
  <c r="V136" i="30" l="1"/>
  <c r="U136" i="30"/>
  <c r="T136" i="30"/>
  <c r="S136" i="30"/>
  <c r="Z136" i="30" l="1"/>
  <c r="B137" i="30" s="1"/>
  <c r="Y136" i="30"/>
  <c r="AD136" i="30" s="1"/>
  <c r="X136" i="30"/>
  <c r="W136" i="30"/>
  <c r="AB136" i="30" s="1"/>
  <c r="AC136" i="30" l="1"/>
  <c r="AE136" i="30" s="1"/>
  <c r="C137" i="30"/>
  <c r="E137" i="30"/>
  <c r="F137" i="30"/>
  <c r="D137" i="30"/>
  <c r="J137" i="30" l="1"/>
  <c r="I137" i="30"/>
  <c r="H137" i="30"/>
  <c r="G137" i="30"/>
  <c r="N137" i="30" l="1"/>
  <c r="M137" i="30"/>
  <c r="L137" i="30"/>
  <c r="K137" i="30"/>
  <c r="Q137" i="30" l="1"/>
  <c r="P137" i="30"/>
  <c r="R137" i="30"/>
  <c r="O137" i="30"/>
  <c r="V137" i="30" l="1"/>
  <c r="U137" i="30"/>
  <c r="T137" i="30"/>
  <c r="S137" i="30"/>
  <c r="Z137" i="30" l="1"/>
  <c r="B138" i="30" s="1"/>
  <c r="Y137" i="30"/>
  <c r="AD137" i="30" s="1"/>
  <c r="X137" i="30"/>
  <c r="W137" i="30"/>
  <c r="AB137" i="30" s="1"/>
  <c r="AC137" i="30" l="1"/>
  <c r="AE137" i="30" s="1"/>
  <c r="C138" i="30"/>
  <c r="E138" i="30"/>
  <c r="F138" i="30"/>
  <c r="D138" i="30"/>
  <c r="J138" i="30" l="1"/>
  <c r="H138" i="30"/>
  <c r="G138" i="30"/>
  <c r="I138" i="30"/>
  <c r="N138" i="30" l="1"/>
  <c r="M138" i="30"/>
  <c r="K138" i="30"/>
  <c r="L138" i="30"/>
  <c r="Q138" i="30" l="1"/>
  <c r="O138" i="30"/>
  <c r="R138" i="30"/>
  <c r="P138" i="30"/>
  <c r="V138" i="30" l="1"/>
  <c r="U138" i="30"/>
  <c r="S138" i="30"/>
  <c r="T138" i="30"/>
  <c r="Z138" i="30" l="1"/>
  <c r="B139" i="30" s="1"/>
  <c r="X138" i="30"/>
  <c r="Y138" i="30"/>
  <c r="AD138" i="30" s="1"/>
  <c r="W138" i="30"/>
  <c r="AB138" i="30" s="1"/>
  <c r="AC138" i="30" l="1"/>
  <c r="AE138" i="30" s="1"/>
  <c r="C139" i="30"/>
  <c r="E139" i="30"/>
  <c r="F139" i="30"/>
  <c r="D139" i="30"/>
  <c r="H139" i="30" l="1"/>
  <c r="I139" i="30"/>
  <c r="J139" i="30"/>
  <c r="G139" i="30"/>
  <c r="L139" i="30" l="1"/>
  <c r="M139" i="30"/>
  <c r="K139" i="30"/>
  <c r="N139" i="30"/>
  <c r="R139" i="30" l="1"/>
  <c r="Q139" i="30"/>
  <c r="P139" i="30"/>
  <c r="O139" i="30"/>
  <c r="V139" i="30" l="1"/>
  <c r="U139" i="30"/>
  <c r="T139" i="30"/>
  <c r="S139" i="30"/>
  <c r="Z139" i="30" l="1"/>
  <c r="B140" i="30" s="1"/>
  <c r="W139" i="30"/>
  <c r="AB139" i="30" s="1"/>
  <c r="Y139" i="30"/>
  <c r="AD139" i="30" s="1"/>
  <c r="X139" i="30"/>
  <c r="AC139" i="30" l="1"/>
  <c r="AE139" i="30" s="1"/>
  <c r="D140" i="30"/>
  <c r="F140" i="30"/>
  <c r="C140" i="30"/>
  <c r="E140" i="30"/>
  <c r="J140" i="30" l="1"/>
  <c r="H140" i="30"/>
  <c r="G140" i="30"/>
  <c r="I140" i="30"/>
  <c r="N140" i="30" l="1"/>
  <c r="L140" i="30"/>
  <c r="M140" i="30"/>
  <c r="K140" i="30"/>
  <c r="R140" i="30" l="1"/>
  <c r="O140" i="30"/>
  <c r="Q140" i="30"/>
  <c r="P140" i="30"/>
  <c r="V140" i="30" l="1"/>
  <c r="S140" i="30"/>
  <c r="U140" i="30"/>
  <c r="T140" i="30"/>
  <c r="Z140" i="30" l="1"/>
  <c r="B141" i="30" s="1"/>
  <c r="X140" i="30"/>
  <c r="Y140" i="30"/>
  <c r="AD140" i="30" s="1"/>
  <c r="W140" i="30"/>
  <c r="AB140" i="30" s="1"/>
  <c r="AC140" i="30" l="1"/>
  <c r="AE140" i="30" s="1"/>
  <c r="E141" i="30"/>
  <c r="F141" i="30"/>
  <c r="D141" i="30"/>
  <c r="C141" i="30"/>
  <c r="J141" i="30" l="1"/>
  <c r="I141" i="30"/>
  <c r="H141" i="30"/>
  <c r="G141" i="30"/>
  <c r="M141" i="30" l="1"/>
  <c r="N141" i="30"/>
  <c r="L141" i="30"/>
  <c r="K141" i="30"/>
  <c r="Q141" i="30" l="1"/>
  <c r="O141" i="30"/>
  <c r="P141" i="30"/>
  <c r="R141" i="30"/>
  <c r="V141" i="30" l="1"/>
  <c r="S141" i="30"/>
  <c r="T141" i="30"/>
  <c r="U141" i="30"/>
  <c r="Z141" i="30" l="1"/>
  <c r="B142" i="30" s="1"/>
  <c r="X141" i="30"/>
  <c r="Y141" i="30"/>
  <c r="AD141" i="30" s="1"/>
  <c r="W141" i="30"/>
  <c r="AB141" i="30" s="1"/>
  <c r="AC141" i="30" l="1"/>
  <c r="AE141" i="30" s="1"/>
  <c r="D142" i="30"/>
  <c r="C142" i="30"/>
  <c r="E142" i="30"/>
  <c r="F142" i="30"/>
  <c r="G142" i="30" l="1"/>
  <c r="J142" i="30"/>
  <c r="H142" i="30"/>
  <c r="I142" i="30"/>
  <c r="N142" i="30" l="1"/>
  <c r="M142" i="30"/>
  <c r="K142" i="30"/>
  <c r="L142" i="30"/>
  <c r="R142" i="30" l="1"/>
  <c r="O142" i="30"/>
  <c r="P142" i="30"/>
  <c r="Q142" i="30"/>
  <c r="V142" i="30" l="1"/>
  <c r="S142" i="30"/>
  <c r="U142" i="30"/>
  <c r="T142" i="30"/>
  <c r="Z142" i="30" l="1"/>
  <c r="B143" i="30" s="1"/>
  <c r="X142" i="30"/>
  <c r="Y142" i="30"/>
  <c r="AD142" i="30" s="1"/>
  <c r="W142" i="30"/>
  <c r="AB142" i="30" s="1"/>
  <c r="AC142" i="30" l="1"/>
  <c r="AE142" i="30" s="1"/>
  <c r="E143" i="30"/>
  <c r="F143" i="30"/>
  <c r="D143" i="30"/>
  <c r="C143" i="30"/>
  <c r="G143" i="30" l="1"/>
  <c r="I143" i="30"/>
  <c r="J143" i="30"/>
  <c r="H143" i="30"/>
  <c r="L143" i="30" l="1"/>
  <c r="K143" i="30"/>
  <c r="N143" i="30"/>
  <c r="M143" i="30"/>
  <c r="R143" i="30" l="1"/>
  <c r="Q143" i="30"/>
  <c r="O143" i="30"/>
  <c r="P143" i="30"/>
  <c r="V143" i="30" l="1"/>
  <c r="U143" i="30"/>
  <c r="S143" i="30"/>
  <c r="T143" i="30"/>
  <c r="Z143" i="30" l="1"/>
  <c r="B144" i="30" s="1"/>
  <c r="X143" i="30"/>
  <c r="Y143" i="30"/>
  <c r="AD143" i="30" s="1"/>
  <c r="W143" i="30"/>
  <c r="AB143" i="30" s="1"/>
  <c r="AC143" i="30" l="1"/>
  <c r="AE143" i="30" s="1"/>
  <c r="E144" i="30"/>
  <c r="F144" i="30"/>
  <c r="C144" i="30"/>
  <c r="D144" i="30"/>
  <c r="J144" i="30" l="1"/>
  <c r="G144" i="30"/>
  <c r="H144" i="30"/>
  <c r="I144" i="30"/>
  <c r="N144" i="30" l="1"/>
  <c r="M144" i="30"/>
  <c r="K144" i="30"/>
  <c r="L144" i="30"/>
  <c r="R144" i="30" l="1"/>
  <c r="O144" i="30"/>
  <c r="Q144" i="30"/>
  <c r="P144" i="30"/>
  <c r="V144" i="30" l="1"/>
  <c r="U144" i="30"/>
  <c r="S144" i="30"/>
  <c r="T144" i="30"/>
  <c r="Z144" i="30" l="1"/>
  <c r="B145" i="30" s="1"/>
  <c r="X144" i="30"/>
  <c r="W144" i="30"/>
  <c r="AB144" i="30" s="1"/>
  <c r="Y144" i="30"/>
  <c r="AD144" i="30" s="1"/>
  <c r="AC144" i="30" l="1"/>
  <c r="AE144" i="30" s="1"/>
  <c r="E145" i="30"/>
  <c r="F145" i="30"/>
  <c r="D145" i="30"/>
  <c r="C145" i="30"/>
  <c r="G145" i="30" l="1"/>
  <c r="I145" i="30"/>
  <c r="J145" i="30"/>
  <c r="H145" i="30"/>
  <c r="N145" i="30" l="1"/>
  <c r="L145" i="30"/>
  <c r="K145" i="30"/>
  <c r="M145" i="30"/>
  <c r="R145" i="30" l="1"/>
  <c r="O145" i="30"/>
  <c r="Q145" i="30"/>
  <c r="P145" i="30"/>
  <c r="V145" i="30" l="1"/>
  <c r="T145" i="30"/>
  <c r="S145" i="30"/>
  <c r="U145" i="30"/>
  <c r="Z145" i="30" l="1"/>
  <c r="B146" i="30" s="1"/>
  <c r="Y145" i="30"/>
  <c r="AD145" i="30" s="1"/>
  <c r="X145" i="30"/>
  <c r="W145" i="30"/>
  <c r="AB145" i="30" s="1"/>
  <c r="AC145" i="30" l="1"/>
  <c r="AE145" i="30" s="1"/>
  <c r="F146" i="30"/>
  <c r="C146" i="30"/>
  <c r="E146" i="30"/>
  <c r="D146" i="30"/>
  <c r="J146" i="30" l="1"/>
  <c r="I146" i="30"/>
  <c r="H146" i="30"/>
  <c r="G146" i="30"/>
  <c r="M146" i="30" l="1"/>
  <c r="L146" i="30"/>
  <c r="N146" i="30"/>
  <c r="K146" i="30"/>
  <c r="R146" i="30" l="1"/>
  <c r="P146" i="30"/>
  <c r="O146" i="30"/>
  <c r="Q146" i="30"/>
  <c r="V146" i="30" l="1"/>
  <c r="U146" i="30"/>
  <c r="S146" i="30"/>
  <c r="T146" i="30"/>
  <c r="Z146" i="30" l="1"/>
  <c r="B147" i="30" s="1"/>
  <c r="Y146" i="30"/>
  <c r="AD146" i="30" s="1"/>
  <c r="X146" i="30"/>
  <c r="W146" i="30"/>
  <c r="AB146" i="30" s="1"/>
  <c r="AC146" i="30" l="1"/>
  <c r="AE146" i="30" s="1"/>
  <c r="E147" i="30"/>
  <c r="F147" i="30"/>
  <c r="C147" i="30"/>
  <c r="D147" i="30"/>
  <c r="J147" i="30" l="1"/>
  <c r="I147" i="30"/>
  <c r="H147" i="30"/>
  <c r="G147" i="30"/>
  <c r="N147" i="30" l="1"/>
  <c r="K147" i="30"/>
  <c r="L147" i="30"/>
  <c r="M147" i="30"/>
  <c r="R147" i="30" l="1"/>
  <c r="O147" i="30"/>
  <c r="P147" i="30"/>
  <c r="Q147" i="30"/>
  <c r="V147" i="30" l="1"/>
  <c r="S147" i="30"/>
  <c r="U147" i="30"/>
  <c r="T147" i="30"/>
  <c r="Z147" i="30" l="1"/>
  <c r="B148" i="30" s="1"/>
  <c r="W147" i="30"/>
  <c r="AB147" i="30" s="1"/>
  <c r="Y147" i="30"/>
  <c r="AD147" i="30" s="1"/>
  <c r="X147" i="30"/>
  <c r="AC147" i="30" l="1"/>
  <c r="AE147" i="30" s="1"/>
  <c r="C148" i="30"/>
  <c r="E148" i="30"/>
  <c r="D148" i="30"/>
  <c r="F148" i="30"/>
  <c r="G148" i="30" l="1"/>
  <c r="I148" i="30"/>
  <c r="J148" i="30"/>
  <c r="H148" i="30"/>
  <c r="N148" i="30" l="1"/>
  <c r="M148" i="30"/>
  <c r="L148" i="30"/>
  <c r="K148" i="30"/>
  <c r="R148" i="30" l="1"/>
  <c r="Q148" i="30"/>
  <c r="P148" i="30"/>
  <c r="O148" i="30"/>
  <c r="V148" i="30" l="1"/>
  <c r="S148" i="30"/>
  <c r="T148" i="30"/>
  <c r="U148" i="30"/>
  <c r="Z148" i="30" l="1"/>
  <c r="B149" i="30" s="1"/>
  <c r="X148" i="30"/>
  <c r="W148" i="30"/>
  <c r="AB148" i="30" s="1"/>
  <c r="Y148" i="30"/>
  <c r="AD148" i="30" s="1"/>
  <c r="AC148" i="30" l="1"/>
  <c r="AE148" i="30" s="1"/>
  <c r="E149" i="30"/>
  <c r="D149" i="30"/>
  <c r="F149" i="30"/>
  <c r="C149" i="30"/>
  <c r="J149" i="30" l="1"/>
  <c r="I149" i="30"/>
  <c r="H149" i="30"/>
  <c r="G149" i="30"/>
  <c r="N149" i="30" l="1"/>
  <c r="L149" i="30"/>
  <c r="M149" i="30"/>
  <c r="K149" i="30"/>
  <c r="Q149" i="30" l="1"/>
  <c r="O149" i="30"/>
  <c r="P149" i="30"/>
  <c r="R149" i="30"/>
  <c r="V149" i="30" l="1"/>
  <c r="U149" i="30"/>
  <c r="S149" i="30"/>
  <c r="T149" i="30"/>
  <c r="Z149" i="30" l="1"/>
  <c r="B150" i="30" s="1"/>
  <c r="Y149" i="30"/>
  <c r="AD149" i="30" s="1"/>
  <c r="X149" i="30"/>
  <c r="W149" i="30"/>
  <c r="AB149" i="30" s="1"/>
  <c r="AC149" i="30" l="1"/>
  <c r="AE149" i="30" s="1"/>
  <c r="E150" i="30"/>
  <c r="F150" i="30"/>
  <c r="C150" i="30"/>
  <c r="D150" i="30"/>
  <c r="J150" i="30" l="1"/>
  <c r="G150" i="30"/>
  <c r="H150" i="30"/>
  <c r="I150" i="30"/>
  <c r="N150" i="30" l="1"/>
  <c r="K150" i="30"/>
  <c r="L150" i="30"/>
  <c r="M150" i="30"/>
  <c r="R150" i="30" l="1"/>
  <c r="O150" i="30"/>
  <c r="Q150" i="30"/>
  <c r="P150" i="30"/>
  <c r="V150" i="30" l="1"/>
  <c r="S150" i="30"/>
  <c r="T150" i="30"/>
  <c r="U150" i="30"/>
  <c r="Z150" i="30" l="1"/>
  <c r="B151" i="30" s="1"/>
  <c r="X150" i="30"/>
  <c r="W150" i="30"/>
  <c r="AB150" i="30" s="1"/>
  <c r="Y150" i="30"/>
  <c r="AD150" i="30" s="1"/>
  <c r="AC150" i="30" l="1"/>
  <c r="AE150" i="30" s="1"/>
  <c r="E151" i="30"/>
  <c r="F151" i="30"/>
  <c r="D151" i="30"/>
  <c r="C151" i="30"/>
  <c r="J151" i="30" l="1"/>
  <c r="G151" i="30"/>
  <c r="H151" i="30"/>
  <c r="I151" i="30"/>
  <c r="K151" i="30" l="1"/>
  <c r="M151" i="30"/>
  <c r="N151" i="30"/>
  <c r="L151" i="30"/>
  <c r="R151" i="30" l="1"/>
  <c r="O151" i="30"/>
  <c r="Q151" i="30"/>
  <c r="P151" i="30"/>
  <c r="V151" i="30" l="1"/>
  <c r="U151" i="30"/>
  <c r="T151" i="30"/>
  <c r="S151" i="30"/>
  <c r="Z151" i="30" l="1"/>
  <c r="B152" i="30" s="1"/>
  <c r="Y151" i="30"/>
  <c r="AD151" i="30" s="1"/>
  <c r="X151" i="30"/>
  <c r="W151" i="30"/>
  <c r="AB151" i="30" s="1"/>
  <c r="AC151" i="30" l="1"/>
  <c r="AE151" i="30" s="1"/>
  <c r="D152" i="30"/>
  <c r="E152" i="30"/>
  <c r="F152" i="30"/>
  <c r="C152" i="30"/>
  <c r="J152" i="30" l="1"/>
  <c r="I152" i="30"/>
  <c r="G152" i="30"/>
  <c r="H152" i="30"/>
  <c r="N152" i="30" l="1"/>
  <c r="L152" i="30"/>
  <c r="K152" i="30"/>
  <c r="M152" i="30"/>
  <c r="R152" i="30" l="1"/>
  <c r="P152" i="30"/>
  <c r="Q152" i="30"/>
  <c r="O152" i="30"/>
  <c r="V152" i="30" l="1"/>
  <c r="U152" i="30"/>
  <c r="T152" i="30"/>
  <c r="S152" i="30"/>
  <c r="Z152" i="30" l="1"/>
  <c r="B153" i="30" s="1"/>
  <c r="W152" i="30"/>
  <c r="AB152" i="30" s="1"/>
  <c r="X152" i="30"/>
  <c r="Y152" i="30"/>
  <c r="AD152" i="30" s="1"/>
  <c r="AC152" i="30" l="1"/>
  <c r="AE152" i="30" s="1"/>
  <c r="E153" i="30"/>
  <c r="F153" i="30"/>
  <c r="D153" i="30"/>
  <c r="C153" i="30"/>
  <c r="J153" i="30" l="1"/>
  <c r="H153" i="30"/>
  <c r="G153" i="30"/>
  <c r="I153" i="30"/>
  <c r="N153" i="30" l="1"/>
  <c r="K153" i="30"/>
  <c r="M153" i="30"/>
  <c r="L153" i="30"/>
  <c r="Q153" i="30" l="1"/>
  <c r="P153" i="30"/>
  <c r="R153" i="30"/>
  <c r="O153" i="30"/>
  <c r="V153" i="30" l="1"/>
  <c r="U153" i="30"/>
  <c r="T153" i="30"/>
  <c r="S153" i="30"/>
  <c r="Z153" i="30" l="1"/>
  <c r="B154" i="30" s="1"/>
  <c r="X153" i="30"/>
  <c r="W153" i="30"/>
  <c r="AB153" i="30" s="1"/>
  <c r="Y153" i="30"/>
  <c r="AD153" i="30" s="1"/>
  <c r="AC153" i="30" l="1"/>
  <c r="AE153" i="30" s="1"/>
  <c r="E154" i="30"/>
  <c r="D154" i="30"/>
  <c r="F154" i="30"/>
  <c r="C154" i="30"/>
  <c r="J154" i="30" l="1"/>
  <c r="G154" i="30"/>
  <c r="I154" i="30"/>
  <c r="H154" i="30"/>
  <c r="N154" i="30" l="1"/>
  <c r="K154" i="30"/>
  <c r="L154" i="30"/>
  <c r="M154" i="30"/>
  <c r="R154" i="30" l="1"/>
  <c r="O154" i="30"/>
  <c r="Q154" i="30"/>
  <c r="P154" i="30"/>
  <c r="V154" i="30" l="1"/>
  <c r="T154" i="30"/>
  <c r="S154" i="30"/>
  <c r="U154" i="30"/>
  <c r="Z154" i="30" l="1"/>
  <c r="B155" i="30" s="1"/>
  <c r="Y154" i="30"/>
  <c r="AD154" i="30" s="1"/>
  <c r="W154" i="30"/>
  <c r="AB154" i="30" s="1"/>
  <c r="X154" i="30"/>
  <c r="AC154" i="30" l="1"/>
  <c r="AE154" i="30" s="1"/>
  <c r="F155" i="30"/>
  <c r="C155" i="30"/>
  <c r="E155" i="30"/>
  <c r="D155" i="30"/>
  <c r="J155" i="30" l="1"/>
  <c r="I155" i="30"/>
  <c r="H155" i="30"/>
  <c r="G155" i="30"/>
  <c r="N155" i="30" l="1"/>
  <c r="M155" i="30"/>
  <c r="L155" i="30"/>
  <c r="K155" i="30"/>
  <c r="R155" i="30" l="1"/>
  <c r="P155" i="30"/>
  <c r="Q155" i="30"/>
  <c r="O155" i="30"/>
  <c r="V155" i="30" l="1"/>
  <c r="S155" i="30"/>
  <c r="T155" i="30"/>
  <c r="U155" i="30"/>
  <c r="Z155" i="30" l="1"/>
  <c r="B156" i="30" s="1"/>
  <c r="Y155" i="30"/>
  <c r="AD155" i="30" s="1"/>
  <c r="W155" i="30"/>
  <c r="AB155" i="30" s="1"/>
  <c r="X155" i="30"/>
  <c r="AC155" i="30" l="1"/>
  <c r="AE155" i="30" s="1"/>
  <c r="E156" i="30"/>
  <c r="F156" i="30"/>
  <c r="C156" i="30"/>
  <c r="D156" i="30"/>
  <c r="J156" i="30" l="1"/>
  <c r="H156" i="30"/>
  <c r="I156" i="30"/>
  <c r="G156" i="30"/>
  <c r="N156" i="30" l="1"/>
  <c r="L156" i="30"/>
  <c r="M156" i="30"/>
  <c r="K156" i="30"/>
  <c r="R156" i="30" l="1"/>
  <c r="P156" i="30"/>
  <c r="Q156" i="30"/>
  <c r="O156" i="30"/>
  <c r="V156" i="30" l="1"/>
  <c r="S156" i="30"/>
  <c r="U156" i="30"/>
  <c r="T156" i="30"/>
  <c r="Z156" i="30" l="1"/>
  <c r="B157" i="30" s="1"/>
  <c r="Y156" i="30"/>
  <c r="AD156" i="30" s="1"/>
  <c r="W156" i="30"/>
  <c r="AB156" i="30" s="1"/>
  <c r="X156" i="30"/>
  <c r="AC156" i="30" l="1"/>
  <c r="AE156" i="30" s="1"/>
  <c r="E157" i="30"/>
  <c r="F157" i="30"/>
  <c r="D157" i="30"/>
  <c r="C157" i="30"/>
  <c r="J157" i="30" l="1"/>
  <c r="H157" i="30"/>
  <c r="G157" i="30"/>
  <c r="I157" i="30"/>
  <c r="N157" i="30" l="1"/>
  <c r="L157" i="30"/>
  <c r="K157" i="30"/>
  <c r="M157" i="30"/>
  <c r="R157" i="30" l="1"/>
  <c r="P157" i="30"/>
  <c r="Q157" i="30"/>
  <c r="O157" i="30"/>
  <c r="V157" i="30" l="1"/>
  <c r="U157" i="30"/>
  <c r="S157" i="30"/>
  <c r="T157" i="30"/>
  <c r="Z157" i="30" l="1"/>
  <c r="B158" i="30" s="1"/>
  <c r="W157" i="30"/>
  <c r="AB157" i="30" s="1"/>
  <c r="Y157" i="30"/>
  <c r="AD157" i="30" s="1"/>
  <c r="X157" i="30"/>
  <c r="AC157" i="30" l="1"/>
  <c r="AE157" i="30" s="1"/>
  <c r="E158" i="30"/>
  <c r="F158" i="30"/>
  <c r="D158" i="30"/>
  <c r="C158" i="30"/>
  <c r="G158" i="30" l="1"/>
  <c r="I158" i="30"/>
  <c r="J158" i="30"/>
  <c r="H158" i="30"/>
  <c r="N158" i="30" l="1"/>
  <c r="K158" i="30"/>
  <c r="M158" i="30"/>
  <c r="L158" i="30"/>
  <c r="R158" i="30" l="1"/>
  <c r="P158" i="30"/>
  <c r="Q158" i="30"/>
  <c r="O158" i="30"/>
  <c r="V158" i="30" l="1"/>
  <c r="T158" i="30"/>
  <c r="U158" i="30"/>
  <c r="S158" i="30"/>
  <c r="Z158" i="30" l="1"/>
  <c r="B159" i="30" s="1"/>
  <c r="W158" i="30"/>
  <c r="AB158" i="30" s="1"/>
  <c r="Y158" i="30"/>
  <c r="AD158" i="30" s="1"/>
  <c r="X158" i="30"/>
  <c r="AC158" i="30" l="1"/>
  <c r="AE158" i="30" s="1"/>
  <c r="E159" i="30"/>
  <c r="F159" i="30"/>
  <c r="D159" i="30"/>
  <c r="C159" i="30"/>
  <c r="I159" i="30" l="1"/>
  <c r="H159" i="30"/>
  <c r="J159" i="30"/>
  <c r="G159" i="30"/>
  <c r="K159" i="30" l="1"/>
  <c r="N159" i="30"/>
  <c r="M159" i="30"/>
  <c r="L159" i="30"/>
  <c r="R159" i="30" l="1"/>
  <c r="P159" i="30"/>
  <c r="O159" i="30"/>
  <c r="Q159" i="30"/>
  <c r="V159" i="30" l="1"/>
  <c r="T159" i="30"/>
  <c r="S159" i="30"/>
  <c r="U159" i="30"/>
  <c r="Z159" i="30" l="1"/>
  <c r="B160" i="30" s="1"/>
  <c r="X159" i="30"/>
  <c r="Y159" i="30"/>
  <c r="AD159" i="30" s="1"/>
  <c r="W159" i="30"/>
  <c r="AB159" i="30" s="1"/>
  <c r="AC159" i="30" l="1"/>
  <c r="AE159" i="30" s="1"/>
  <c r="E160" i="30"/>
  <c r="F160" i="30"/>
  <c r="D160" i="30"/>
  <c r="C160" i="30"/>
  <c r="J160" i="30" l="1"/>
  <c r="I160" i="30"/>
  <c r="H160" i="30"/>
  <c r="G160" i="30"/>
  <c r="L160" i="30" l="1"/>
  <c r="N160" i="30"/>
  <c r="K160" i="30"/>
  <c r="M160" i="30"/>
  <c r="R160" i="30" l="1"/>
  <c r="P160" i="30"/>
  <c r="O160" i="30"/>
  <c r="Q160" i="30"/>
  <c r="V160" i="30" l="1"/>
  <c r="U160" i="30"/>
  <c r="S160" i="30"/>
  <c r="T160" i="30"/>
  <c r="Z160" i="30" l="1"/>
  <c r="B161" i="30" s="1"/>
  <c r="W160" i="30"/>
  <c r="AB160" i="30" s="1"/>
  <c r="X160" i="30"/>
  <c r="Y160" i="30"/>
  <c r="AD160" i="30" s="1"/>
  <c r="AC160" i="30" l="1"/>
  <c r="AE160" i="30" s="1"/>
  <c r="C161" i="30"/>
  <c r="D161" i="30"/>
  <c r="E161" i="30"/>
  <c r="F161" i="30"/>
  <c r="H161" i="30" l="1"/>
  <c r="I161" i="30"/>
  <c r="J161" i="30"/>
  <c r="G161" i="30"/>
  <c r="M161" i="30" l="1"/>
  <c r="N161" i="30"/>
  <c r="K161" i="30"/>
  <c r="L161" i="30"/>
  <c r="R161" i="30" l="1"/>
  <c r="O161" i="30"/>
  <c r="Q161" i="30"/>
  <c r="P161" i="30"/>
  <c r="V161" i="30" l="1"/>
  <c r="U161" i="30"/>
  <c r="S161" i="30"/>
  <c r="T161" i="30"/>
  <c r="Z161" i="30" l="1"/>
  <c r="B162" i="30" s="1"/>
  <c r="W161" i="30"/>
  <c r="AB161" i="30" s="1"/>
  <c r="X161" i="30"/>
  <c r="Y161" i="30"/>
  <c r="AD161" i="30" s="1"/>
  <c r="AC161" i="30" l="1"/>
  <c r="AE161" i="30" s="1"/>
  <c r="E162" i="30"/>
  <c r="F162" i="30"/>
  <c r="D162" i="30"/>
  <c r="C162" i="30"/>
  <c r="J162" i="30" l="1"/>
  <c r="H162" i="30"/>
  <c r="I162" i="30"/>
  <c r="G162" i="30"/>
  <c r="N162" i="30" l="1"/>
  <c r="L162" i="30"/>
  <c r="M162" i="30"/>
  <c r="K162" i="30"/>
  <c r="P162" i="30" l="1"/>
  <c r="R162" i="30"/>
  <c r="Q162" i="30"/>
  <c r="O162" i="30"/>
  <c r="V162" i="30" l="1"/>
  <c r="U162" i="30"/>
  <c r="T162" i="30"/>
  <c r="S162" i="30"/>
  <c r="Z162" i="30" l="1"/>
  <c r="B163" i="30" s="1"/>
  <c r="X162" i="30"/>
  <c r="Y162" i="30"/>
  <c r="AD162" i="30" s="1"/>
  <c r="W162" i="30"/>
  <c r="AB162" i="30" s="1"/>
  <c r="AC162" i="30" l="1"/>
  <c r="AE162" i="30" s="1"/>
  <c r="C163" i="30"/>
  <c r="E163" i="30"/>
  <c r="F163" i="30"/>
  <c r="D163" i="30"/>
  <c r="J163" i="30" l="1"/>
  <c r="G163" i="30"/>
  <c r="I163" i="30"/>
  <c r="H163" i="30"/>
  <c r="N163" i="30" l="1"/>
  <c r="L163" i="30"/>
  <c r="M163" i="30"/>
  <c r="K163" i="30"/>
  <c r="R163" i="30" l="1"/>
  <c r="O163" i="30"/>
  <c r="Q163" i="30"/>
  <c r="P163" i="30"/>
  <c r="V163" i="30" l="1"/>
  <c r="S163" i="30"/>
  <c r="T163" i="30"/>
  <c r="U163" i="30"/>
  <c r="Z163" i="30" l="1"/>
  <c r="B164" i="30" s="1"/>
  <c r="Y163" i="30"/>
  <c r="AD163" i="30" s="1"/>
  <c r="W163" i="30"/>
  <c r="AB163" i="30" s="1"/>
  <c r="X163" i="30"/>
  <c r="AC163" i="30" l="1"/>
  <c r="AE163" i="30" s="1"/>
  <c r="F164" i="30"/>
  <c r="D164" i="30"/>
  <c r="E164" i="30"/>
  <c r="C164" i="30"/>
  <c r="J164" i="30" l="1"/>
  <c r="G164" i="30"/>
  <c r="H164" i="30"/>
  <c r="I164" i="30"/>
  <c r="N164" i="30" l="1"/>
  <c r="K164" i="30"/>
  <c r="M164" i="30"/>
  <c r="L164" i="30"/>
  <c r="R164" i="30" l="1"/>
  <c r="O164" i="30"/>
  <c r="P164" i="30"/>
  <c r="Q164" i="30"/>
  <c r="V164" i="30" l="1"/>
  <c r="T164" i="30"/>
  <c r="S164" i="30"/>
  <c r="U164" i="30"/>
  <c r="Z164" i="30" l="1"/>
  <c r="B165" i="30" s="1"/>
  <c r="Y164" i="30"/>
  <c r="AD164" i="30" s="1"/>
  <c r="W164" i="30"/>
  <c r="AB164" i="30" s="1"/>
  <c r="X164" i="30"/>
  <c r="AC164" i="30" l="1"/>
  <c r="AE164" i="30" s="1"/>
  <c r="E165" i="30"/>
  <c r="F165" i="30"/>
  <c r="C165" i="30"/>
  <c r="D165" i="30"/>
  <c r="J165" i="30" l="1"/>
  <c r="I165" i="30"/>
  <c r="H165" i="30"/>
  <c r="G165" i="30"/>
  <c r="N165" i="30" l="1"/>
  <c r="M165" i="30"/>
  <c r="L165" i="30"/>
  <c r="K165" i="30"/>
  <c r="R165" i="30" l="1"/>
  <c r="Q165" i="30"/>
  <c r="P165" i="30"/>
  <c r="O165" i="30"/>
  <c r="V165" i="30" l="1"/>
  <c r="T165" i="30"/>
  <c r="S165" i="30"/>
  <c r="U165" i="30"/>
  <c r="Z165" i="30" l="1"/>
  <c r="B166" i="30" s="1"/>
  <c r="X165" i="30"/>
  <c r="Y165" i="30"/>
  <c r="AD165" i="30" s="1"/>
  <c r="W165" i="30"/>
  <c r="AB165" i="30" s="1"/>
  <c r="AC165" i="30" l="1"/>
  <c r="AE165" i="30" s="1"/>
  <c r="E166" i="30"/>
  <c r="F166" i="30"/>
  <c r="D166" i="30"/>
  <c r="C166" i="30"/>
  <c r="J166" i="30" l="1"/>
  <c r="G166" i="30"/>
  <c r="I166" i="30"/>
  <c r="H166" i="30"/>
  <c r="N166" i="30" l="1"/>
  <c r="M166" i="30"/>
  <c r="L166" i="30"/>
  <c r="K166" i="30"/>
  <c r="O166" i="30" l="1"/>
  <c r="Q166" i="30"/>
  <c r="P166" i="30"/>
  <c r="R166" i="30"/>
  <c r="V166" i="30" l="1"/>
  <c r="S166" i="30"/>
  <c r="U166" i="30"/>
  <c r="T166" i="30"/>
  <c r="Z166" i="30" l="1"/>
  <c r="B167" i="30" s="1"/>
  <c r="Y166" i="30"/>
  <c r="AD166" i="30" s="1"/>
  <c r="X166" i="30"/>
  <c r="W166" i="30"/>
  <c r="AB166" i="30" s="1"/>
  <c r="AC166" i="30" l="1"/>
  <c r="AE166" i="30" s="1"/>
  <c r="D167" i="30"/>
  <c r="E167" i="30"/>
  <c r="F167" i="30"/>
  <c r="C167" i="30"/>
  <c r="H167" i="30" l="1"/>
  <c r="I167" i="30"/>
  <c r="J167" i="30"/>
  <c r="G167" i="30"/>
  <c r="K167" i="30" l="1"/>
  <c r="N167" i="30"/>
  <c r="L167" i="30"/>
  <c r="M167" i="30"/>
  <c r="R167" i="30" l="1"/>
  <c r="P167" i="30"/>
  <c r="O167" i="30"/>
  <c r="Q167" i="30"/>
  <c r="V167" i="30" l="1"/>
  <c r="T167" i="30"/>
  <c r="U167" i="30"/>
  <c r="S167" i="30"/>
  <c r="Z167" i="30" l="1"/>
  <c r="B168" i="30" s="1"/>
  <c r="Y167" i="30"/>
  <c r="AD167" i="30" s="1"/>
  <c r="X167" i="30"/>
  <c r="W167" i="30"/>
  <c r="AB167" i="30" s="1"/>
  <c r="AC167" i="30" l="1"/>
  <c r="AE167" i="30" s="1"/>
  <c r="F168" i="30"/>
  <c r="D168" i="30"/>
  <c r="C168" i="30"/>
  <c r="E168" i="30"/>
  <c r="J168" i="30" l="1"/>
  <c r="H168" i="30"/>
  <c r="I168" i="30"/>
  <c r="G168" i="30"/>
  <c r="N168" i="30" l="1"/>
  <c r="L168" i="30"/>
  <c r="M168" i="30"/>
  <c r="K168" i="30"/>
  <c r="P168" i="30" l="1"/>
  <c r="Q168" i="30"/>
  <c r="R168" i="30"/>
  <c r="O168" i="30"/>
  <c r="V168" i="30" l="1"/>
  <c r="S168" i="30"/>
  <c r="U168" i="30"/>
  <c r="T168" i="30"/>
  <c r="Z168" i="30" l="1"/>
  <c r="B169" i="30" s="1"/>
  <c r="X168" i="30"/>
  <c r="Y168" i="30"/>
  <c r="AD168" i="30" s="1"/>
  <c r="W168" i="30"/>
  <c r="AB168" i="30" s="1"/>
  <c r="AC168" i="30" l="1"/>
  <c r="AE168" i="30" s="1"/>
  <c r="E169" i="30"/>
  <c r="C169" i="30"/>
  <c r="F169" i="30"/>
  <c r="D169" i="30"/>
  <c r="H169" i="30" l="1"/>
  <c r="I169" i="30"/>
  <c r="J169" i="30"/>
  <c r="G169" i="30"/>
  <c r="N169" i="30" l="1"/>
  <c r="M169" i="30"/>
  <c r="L169" i="30"/>
  <c r="K169" i="30"/>
  <c r="R169" i="30" l="1"/>
  <c r="Q169" i="30"/>
  <c r="P169" i="30"/>
  <c r="O169" i="30"/>
  <c r="V169" i="30" l="1"/>
  <c r="U169" i="30"/>
  <c r="S169" i="30"/>
  <c r="T169" i="30"/>
  <c r="Z169" i="30" l="1"/>
  <c r="B170" i="30" s="1"/>
  <c r="Y169" i="30"/>
  <c r="AD169" i="30" s="1"/>
  <c r="W169" i="30"/>
  <c r="AB169" i="30" s="1"/>
  <c r="X169" i="30"/>
  <c r="AC169" i="30" l="1"/>
  <c r="AE169" i="30" s="1"/>
  <c r="F170" i="30"/>
  <c r="C170" i="30"/>
  <c r="E170" i="30"/>
  <c r="D170" i="30"/>
  <c r="J170" i="30" l="1"/>
  <c r="I170" i="30"/>
  <c r="H170" i="30"/>
  <c r="G170" i="30"/>
  <c r="N170" i="30" l="1"/>
  <c r="K170" i="30"/>
  <c r="M170" i="30"/>
  <c r="L170" i="30"/>
  <c r="R170" i="30" l="1"/>
  <c r="O170" i="30"/>
  <c r="Q170" i="30"/>
  <c r="P170" i="30"/>
  <c r="V170" i="30" l="1"/>
  <c r="U170" i="30"/>
  <c r="T170" i="30"/>
  <c r="S170" i="30"/>
  <c r="Z170" i="30" l="1"/>
  <c r="B171" i="30" s="1"/>
  <c r="Y170" i="30"/>
  <c r="AD170" i="30" s="1"/>
  <c r="W170" i="30"/>
  <c r="AB170" i="30" s="1"/>
  <c r="X170" i="30"/>
  <c r="AC170" i="30" l="1"/>
  <c r="AE170" i="30" s="1"/>
  <c r="F171" i="30"/>
  <c r="D171" i="30"/>
  <c r="C171" i="30"/>
  <c r="E171" i="30"/>
  <c r="J171" i="30" l="1"/>
  <c r="H171" i="30"/>
  <c r="G171" i="30"/>
  <c r="I171" i="30"/>
  <c r="N171" i="30" l="1"/>
  <c r="M171" i="30"/>
  <c r="L171" i="30"/>
  <c r="K171" i="30"/>
  <c r="R171" i="30" l="1"/>
  <c r="P171" i="30"/>
  <c r="O171" i="30"/>
  <c r="Q171" i="30"/>
  <c r="V171" i="30" l="1"/>
  <c r="U171" i="30"/>
  <c r="S171" i="30"/>
  <c r="T171" i="30"/>
  <c r="Z171" i="30" l="1"/>
  <c r="B172" i="30" s="1"/>
  <c r="W171" i="30"/>
  <c r="AB171" i="30" s="1"/>
  <c r="X171" i="30"/>
  <c r="Y171" i="30"/>
  <c r="AD171" i="30" s="1"/>
  <c r="AC171" i="30" l="1"/>
  <c r="AE171" i="30" s="1"/>
  <c r="E172" i="30"/>
  <c r="F172" i="30"/>
  <c r="D172" i="30"/>
  <c r="C172" i="30"/>
  <c r="J172" i="30" l="1"/>
  <c r="I172" i="30"/>
  <c r="G172" i="30"/>
  <c r="H172" i="30"/>
  <c r="N172" i="30" l="1"/>
  <c r="L172" i="30"/>
  <c r="M172" i="30"/>
  <c r="K172" i="30"/>
  <c r="R172" i="30" l="1"/>
  <c r="Q172" i="30"/>
  <c r="O172" i="30"/>
  <c r="P172" i="30"/>
  <c r="V172" i="30" l="1"/>
  <c r="U172" i="30"/>
  <c r="T172" i="30"/>
  <c r="S172" i="30"/>
  <c r="Z172" i="30" l="1"/>
  <c r="B173" i="30" s="1"/>
  <c r="Y172" i="30"/>
  <c r="AD172" i="30" s="1"/>
  <c r="W172" i="30"/>
  <c r="AB172" i="30" s="1"/>
  <c r="X172" i="30"/>
  <c r="AC172" i="30" l="1"/>
  <c r="AE172" i="30" s="1"/>
  <c r="C173" i="30"/>
  <c r="E173" i="30"/>
  <c r="F173" i="30"/>
  <c r="D173" i="30"/>
  <c r="J173" i="30" l="1"/>
  <c r="H173" i="30"/>
  <c r="G173" i="30"/>
  <c r="I173" i="30"/>
  <c r="N173" i="30" l="1"/>
  <c r="L173" i="30"/>
  <c r="K173" i="30"/>
  <c r="M173" i="30"/>
  <c r="P173" i="30" l="1"/>
  <c r="Q173" i="30"/>
  <c r="O173" i="30"/>
  <c r="R173" i="30"/>
  <c r="V173" i="30" l="1"/>
  <c r="S173" i="30"/>
  <c r="U173" i="30"/>
  <c r="T173" i="30"/>
  <c r="Z173" i="30" l="1"/>
  <c r="B174" i="30" s="1"/>
  <c r="Y173" i="30"/>
  <c r="AD173" i="30" s="1"/>
  <c r="W173" i="30"/>
  <c r="AB173" i="30" s="1"/>
  <c r="X173" i="30"/>
  <c r="AC173" i="30" l="1"/>
  <c r="AE173" i="30" s="1"/>
  <c r="F174" i="30"/>
  <c r="D174" i="30"/>
  <c r="C174" i="30"/>
  <c r="E174" i="30"/>
  <c r="J174" i="30" l="1"/>
  <c r="I174" i="30"/>
  <c r="H174" i="30"/>
  <c r="G174" i="30"/>
  <c r="N174" i="30" l="1"/>
  <c r="M174" i="30"/>
  <c r="K174" i="30"/>
  <c r="L174" i="30"/>
  <c r="P174" i="30" l="1"/>
  <c r="O174" i="30"/>
  <c r="R174" i="30"/>
  <c r="Q174" i="30"/>
  <c r="V174" i="30" l="1"/>
  <c r="S174" i="30"/>
  <c r="T174" i="30"/>
  <c r="U174" i="30"/>
  <c r="Z174" i="30" l="1"/>
  <c r="B175" i="30" s="1"/>
  <c r="X174" i="30"/>
  <c r="W174" i="30"/>
  <c r="AB174" i="30" s="1"/>
  <c r="Y174" i="30"/>
  <c r="AD174" i="30" s="1"/>
  <c r="AC174" i="30" l="1"/>
  <c r="AE174" i="30" s="1"/>
  <c r="D175" i="30"/>
  <c r="E175" i="30"/>
  <c r="F175" i="30"/>
  <c r="C175" i="30"/>
  <c r="J175" i="30" l="1"/>
  <c r="G175" i="30"/>
  <c r="I175" i="30"/>
  <c r="H175" i="30"/>
  <c r="N175" i="30" l="1"/>
  <c r="M175" i="30"/>
  <c r="K175" i="30"/>
  <c r="L175" i="30"/>
  <c r="R175" i="30" l="1"/>
  <c r="P175" i="30"/>
  <c r="O175" i="30"/>
  <c r="Q175" i="30"/>
  <c r="V175" i="30" l="1"/>
  <c r="T175" i="30"/>
  <c r="S175" i="30"/>
  <c r="U175" i="30"/>
  <c r="Z175" i="30" l="1"/>
  <c r="B176" i="30" s="1"/>
  <c r="Y175" i="30"/>
  <c r="AD175" i="30" s="1"/>
  <c r="W175" i="30"/>
  <c r="AB175" i="30" s="1"/>
  <c r="X175" i="30"/>
  <c r="AC175" i="30" l="1"/>
  <c r="AE175" i="30" s="1"/>
  <c r="D176" i="30"/>
  <c r="E176" i="30"/>
  <c r="C176" i="30"/>
  <c r="F176" i="30"/>
  <c r="J176" i="30" l="1"/>
  <c r="H176" i="30"/>
  <c r="I176" i="30"/>
  <c r="G176" i="30"/>
  <c r="N176" i="30" l="1"/>
  <c r="L176" i="30"/>
  <c r="M176" i="30"/>
  <c r="K176" i="30"/>
  <c r="R176" i="30" l="1"/>
  <c r="O176" i="30"/>
  <c r="Q176" i="30"/>
  <c r="P176" i="30"/>
  <c r="V176" i="30" l="1"/>
  <c r="S176" i="30"/>
  <c r="T176" i="30"/>
  <c r="U176" i="30"/>
  <c r="Z176" i="30" l="1"/>
  <c r="B177" i="30" s="1"/>
  <c r="Y176" i="30"/>
  <c r="AD176" i="30" s="1"/>
  <c r="W176" i="30"/>
  <c r="AB176" i="30" s="1"/>
  <c r="X176" i="30"/>
  <c r="AC176" i="30" l="1"/>
  <c r="AE176" i="30" s="1"/>
  <c r="C177" i="30"/>
  <c r="D177" i="30"/>
  <c r="E177" i="30"/>
  <c r="F177" i="30"/>
  <c r="G177" i="30" l="1"/>
  <c r="H177" i="30"/>
  <c r="J177" i="30"/>
  <c r="I177" i="30"/>
  <c r="N177" i="30" l="1"/>
  <c r="L177" i="30"/>
  <c r="K177" i="30"/>
  <c r="M177" i="30"/>
  <c r="P177" i="30" l="1"/>
  <c r="R177" i="30"/>
  <c r="Q177" i="30"/>
  <c r="O177" i="30"/>
  <c r="V177" i="30" l="1"/>
  <c r="T177" i="30"/>
  <c r="U177" i="30"/>
  <c r="S177" i="30"/>
  <c r="Z177" i="30" l="1"/>
  <c r="B178" i="30" s="1"/>
  <c r="Y177" i="30"/>
  <c r="AD177" i="30" s="1"/>
  <c r="X177" i="30"/>
  <c r="W177" i="30"/>
  <c r="AB177" i="30" s="1"/>
  <c r="AC177" i="30" l="1"/>
  <c r="AE177" i="30" s="1"/>
  <c r="E178" i="30"/>
  <c r="F178" i="30"/>
  <c r="D178" i="30"/>
  <c r="C178" i="30"/>
  <c r="J178" i="30" l="1"/>
  <c r="G178" i="30"/>
  <c r="H178" i="30"/>
  <c r="I178" i="30"/>
  <c r="N178" i="30" l="1"/>
  <c r="K178" i="30"/>
  <c r="M178" i="30"/>
  <c r="L178" i="30"/>
  <c r="P178" i="30" l="1"/>
  <c r="R178" i="30"/>
  <c r="Q178" i="30"/>
  <c r="O178" i="30"/>
  <c r="V178" i="30" l="1"/>
  <c r="U178" i="30"/>
  <c r="T178" i="30"/>
  <c r="S178" i="30"/>
  <c r="Z178" i="30" l="1"/>
  <c r="B179" i="30" s="1"/>
  <c r="Y178" i="30"/>
  <c r="AD178" i="30" s="1"/>
  <c r="W178" i="30"/>
  <c r="AB178" i="30" s="1"/>
  <c r="X178" i="30"/>
  <c r="AC178" i="30" l="1"/>
  <c r="AE178" i="30" s="1"/>
  <c r="F179" i="30"/>
  <c r="E179" i="30"/>
  <c r="C179" i="30"/>
  <c r="D179" i="30"/>
  <c r="J179" i="30" l="1"/>
  <c r="H179" i="30"/>
  <c r="I179" i="30"/>
  <c r="G179" i="30"/>
  <c r="N179" i="30" l="1"/>
  <c r="L179" i="30"/>
  <c r="K179" i="30"/>
  <c r="M179" i="30"/>
  <c r="R179" i="30" l="1"/>
  <c r="O179" i="30"/>
  <c r="P179" i="30"/>
  <c r="Q179" i="30"/>
  <c r="V179" i="30" l="1"/>
  <c r="T179" i="30"/>
  <c r="S179" i="30"/>
  <c r="U179" i="30"/>
  <c r="Z179" i="30" l="1"/>
  <c r="B180" i="30" s="1"/>
  <c r="Y179" i="30"/>
  <c r="AD179" i="30" s="1"/>
  <c r="W179" i="30"/>
  <c r="AB179" i="30" s="1"/>
  <c r="X179" i="30"/>
  <c r="AC179" i="30" l="1"/>
  <c r="AE179" i="30" s="1"/>
  <c r="E180" i="30"/>
  <c r="F180" i="30"/>
  <c r="C180" i="30"/>
  <c r="D180" i="30"/>
  <c r="J180" i="30" l="1"/>
  <c r="H180" i="30"/>
  <c r="G180" i="30"/>
  <c r="I180" i="30"/>
  <c r="N180" i="30" l="1"/>
  <c r="L180" i="30"/>
  <c r="M180" i="30"/>
  <c r="K180" i="30"/>
  <c r="R180" i="30" l="1"/>
  <c r="O180" i="30"/>
  <c r="P180" i="30"/>
  <c r="Q180" i="30"/>
  <c r="V180" i="30" l="1"/>
  <c r="S180" i="30"/>
  <c r="T180" i="30"/>
  <c r="U180" i="30"/>
  <c r="Z180" i="30" l="1"/>
  <c r="B181" i="30" s="1"/>
  <c r="Y180" i="30"/>
  <c r="AD180" i="30" s="1"/>
  <c r="W180" i="30"/>
  <c r="AB180" i="30" s="1"/>
  <c r="X180" i="30"/>
  <c r="AC180" i="30" l="1"/>
  <c r="AE180" i="30" s="1"/>
  <c r="E181" i="30"/>
  <c r="C181" i="30"/>
  <c r="F181" i="30"/>
  <c r="D181" i="30"/>
  <c r="J181" i="30" l="1"/>
  <c r="G181" i="30"/>
  <c r="I181" i="30"/>
  <c r="H181" i="30"/>
  <c r="N181" i="30" l="1"/>
  <c r="L181" i="30"/>
  <c r="M181" i="30"/>
  <c r="K181" i="30"/>
  <c r="O181" i="30" l="1"/>
  <c r="P181" i="30"/>
  <c r="Q181" i="30"/>
  <c r="R181" i="30"/>
  <c r="V181" i="30" l="1"/>
  <c r="T181" i="30"/>
  <c r="U181" i="30"/>
  <c r="S181" i="30"/>
  <c r="Z181" i="30" l="1"/>
  <c r="B182" i="30" s="1"/>
  <c r="Y181" i="30"/>
  <c r="AD181" i="30" s="1"/>
  <c r="W181" i="30"/>
  <c r="AB181" i="30" s="1"/>
  <c r="X181" i="30"/>
  <c r="AC181" i="30" l="1"/>
  <c r="AE181" i="30" s="1"/>
  <c r="E182" i="30"/>
  <c r="F182" i="30"/>
  <c r="D182" i="30"/>
  <c r="C182" i="30"/>
  <c r="J182" i="30" l="1"/>
  <c r="I182" i="30"/>
  <c r="H182" i="30"/>
  <c r="G182" i="30"/>
  <c r="N182" i="30" l="1"/>
  <c r="M182" i="30"/>
  <c r="L182" i="30"/>
  <c r="K182" i="30"/>
  <c r="O182" i="30" l="1"/>
  <c r="Q182" i="30"/>
  <c r="R182" i="30"/>
  <c r="P182" i="30"/>
  <c r="V182" i="30" l="1"/>
  <c r="T182" i="30"/>
  <c r="U182" i="30"/>
  <c r="S182" i="30"/>
  <c r="Z182" i="30" l="1"/>
  <c r="B183" i="30" s="1"/>
  <c r="Y182" i="30"/>
  <c r="AD182" i="30" s="1"/>
  <c r="X182" i="30"/>
  <c r="W182" i="30"/>
  <c r="AB182" i="30" s="1"/>
  <c r="AC182" i="30" l="1"/>
  <c r="AE182" i="30" s="1"/>
  <c r="E183" i="30"/>
  <c r="F183" i="30"/>
  <c r="C183" i="30"/>
  <c r="D183" i="30"/>
  <c r="J183" i="30" l="1"/>
  <c r="G183" i="30"/>
  <c r="I183" i="30"/>
  <c r="H183" i="30"/>
  <c r="N183" i="30" l="1"/>
  <c r="L183" i="30"/>
  <c r="K183" i="30"/>
  <c r="M183" i="30"/>
  <c r="Q183" i="30" l="1"/>
  <c r="O183" i="30"/>
  <c r="P183" i="30"/>
  <c r="R183" i="30"/>
  <c r="V183" i="30" l="1"/>
  <c r="S183" i="30"/>
  <c r="U183" i="30"/>
  <c r="T183" i="30"/>
  <c r="Z183" i="30" l="1"/>
  <c r="B184" i="30" s="1"/>
  <c r="W183" i="30"/>
  <c r="AB183" i="30" s="1"/>
  <c r="X183" i="30"/>
  <c r="Y183" i="30"/>
  <c r="AD183" i="30" s="1"/>
  <c r="AC183" i="30" l="1"/>
  <c r="AE183" i="30" s="1"/>
  <c r="C184" i="30"/>
  <c r="D184" i="30"/>
  <c r="E184" i="30"/>
  <c r="F184" i="30"/>
  <c r="J184" i="30" l="1"/>
  <c r="I184" i="30"/>
  <c r="H184" i="30"/>
  <c r="G184" i="30"/>
  <c r="N184" i="30" l="1"/>
  <c r="M184" i="30"/>
  <c r="K184" i="30"/>
  <c r="L184" i="30"/>
  <c r="O184" i="30" l="1"/>
  <c r="P184" i="30"/>
  <c r="Q184" i="30"/>
  <c r="R184" i="30"/>
  <c r="V184" i="30" l="1"/>
  <c r="S184" i="30"/>
  <c r="T184" i="30"/>
  <c r="U184" i="30"/>
  <c r="Z184" i="30" l="1"/>
  <c r="B185" i="30" s="1"/>
  <c r="Y184" i="30"/>
  <c r="AD184" i="30" s="1"/>
  <c r="W184" i="30"/>
  <c r="AB184" i="30" s="1"/>
  <c r="X184" i="30"/>
  <c r="AC184" i="30" l="1"/>
  <c r="AE184" i="30" s="1"/>
  <c r="D185" i="30"/>
  <c r="C185" i="30"/>
  <c r="F185" i="30"/>
  <c r="E185" i="30"/>
  <c r="J185" i="30" l="1"/>
  <c r="I185" i="30"/>
  <c r="H185" i="30"/>
  <c r="G185" i="30"/>
  <c r="N185" i="30" l="1"/>
  <c r="M185" i="30"/>
  <c r="L185" i="30"/>
  <c r="K185" i="30"/>
  <c r="P185" i="30" l="1"/>
  <c r="R185" i="30"/>
  <c r="O185" i="30"/>
  <c r="Q185" i="30"/>
  <c r="V185" i="30" l="1"/>
  <c r="T185" i="30"/>
  <c r="U185" i="30"/>
  <c r="S185" i="30"/>
  <c r="Z185" i="30" l="1"/>
  <c r="B186" i="30" s="1"/>
  <c r="Y185" i="30"/>
  <c r="AD185" i="30" s="1"/>
  <c r="W185" i="30"/>
  <c r="AB185" i="30" s="1"/>
  <c r="X185" i="30"/>
  <c r="AC185" i="30" l="1"/>
  <c r="AE185" i="30" s="1"/>
  <c r="D186" i="30"/>
  <c r="F186" i="30"/>
  <c r="C186" i="30"/>
  <c r="E186" i="30"/>
  <c r="J186" i="30" l="1"/>
  <c r="I186" i="30"/>
  <c r="H186" i="30"/>
  <c r="G186" i="30"/>
  <c r="N186" i="30" l="1"/>
  <c r="M186" i="30"/>
  <c r="K186" i="30"/>
  <c r="L186" i="30"/>
  <c r="Q186" i="30" l="1"/>
  <c r="P186" i="30"/>
  <c r="R186" i="30"/>
  <c r="O186" i="30"/>
  <c r="V186" i="30" l="1"/>
  <c r="T186" i="30"/>
  <c r="S186" i="30"/>
  <c r="U186" i="30"/>
  <c r="Z186" i="30" l="1"/>
  <c r="B187" i="30" s="1"/>
  <c r="X186" i="30"/>
  <c r="W186" i="30"/>
  <c r="AB186" i="30" s="1"/>
  <c r="Y186" i="30"/>
  <c r="AD186" i="30" s="1"/>
  <c r="AC186" i="30" l="1"/>
  <c r="AE186" i="30" s="1"/>
  <c r="F187" i="30"/>
  <c r="D187" i="30"/>
  <c r="C187" i="30"/>
  <c r="E187" i="30"/>
  <c r="J187" i="30" l="1"/>
  <c r="H187" i="30"/>
  <c r="I187" i="30"/>
  <c r="G187" i="30"/>
  <c r="N187" i="30" l="1"/>
  <c r="K187" i="30"/>
  <c r="M187" i="30"/>
  <c r="L187" i="30"/>
  <c r="Q187" i="30" l="1"/>
  <c r="O187" i="30"/>
  <c r="P187" i="30"/>
  <c r="R187" i="30"/>
  <c r="V187" i="30" l="1"/>
  <c r="S187" i="30"/>
  <c r="U187" i="30"/>
  <c r="T187" i="30"/>
  <c r="Z187" i="30" l="1"/>
  <c r="B188" i="30" s="1"/>
  <c r="Y187" i="30"/>
  <c r="AD187" i="30" s="1"/>
  <c r="W187" i="30"/>
  <c r="AB187" i="30" s="1"/>
  <c r="X187" i="30"/>
  <c r="AC187" i="30" l="1"/>
  <c r="AE187" i="30" s="1"/>
  <c r="D188" i="30"/>
  <c r="F188" i="30"/>
  <c r="E188" i="30"/>
  <c r="C188" i="30"/>
  <c r="I188" i="30" l="1"/>
  <c r="G188" i="30"/>
  <c r="J188" i="30"/>
  <c r="H188" i="30"/>
  <c r="K188" i="30" l="1"/>
  <c r="M188" i="30"/>
  <c r="N188" i="30"/>
  <c r="L188" i="30"/>
  <c r="R188" i="30" l="1"/>
  <c r="P188" i="30"/>
  <c r="O188" i="30"/>
  <c r="Q188" i="30"/>
  <c r="V188" i="30" l="1"/>
  <c r="S188" i="30"/>
  <c r="T188" i="30"/>
  <c r="U188" i="30"/>
  <c r="Z188" i="30" l="1"/>
  <c r="B189" i="30" s="1"/>
  <c r="Y188" i="30"/>
  <c r="AD188" i="30" s="1"/>
  <c r="W188" i="30"/>
  <c r="AB188" i="30" s="1"/>
  <c r="X188" i="30"/>
  <c r="AC188" i="30" l="1"/>
  <c r="AE188" i="30" s="1"/>
  <c r="E189" i="30"/>
  <c r="C189" i="30"/>
  <c r="D189" i="30"/>
  <c r="F189" i="30"/>
  <c r="J189" i="30" l="1"/>
  <c r="I189" i="30"/>
  <c r="H189" i="30"/>
  <c r="G189" i="30"/>
  <c r="K189" i="30" l="1"/>
  <c r="N189" i="30"/>
  <c r="M189" i="30"/>
  <c r="L189" i="30"/>
  <c r="O189" i="30" l="1"/>
  <c r="P189" i="30"/>
  <c r="Q189" i="30"/>
  <c r="R189" i="30"/>
  <c r="V189" i="30" l="1"/>
  <c r="S189" i="30"/>
  <c r="T189" i="30"/>
  <c r="U189" i="30"/>
  <c r="Z189" i="30" l="1"/>
  <c r="B190" i="30" s="1"/>
  <c r="X189" i="30"/>
  <c r="W189" i="30"/>
  <c r="AB189" i="30" s="1"/>
  <c r="Y189" i="30"/>
  <c r="AD189" i="30" s="1"/>
  <c r="AC189" i="30" l="1"/>
  <c r="AE189" i="30" s="1"/>
  <c r="E190" i="30"/>
  <c r="F190" i="30"/>
  <c r="C190" i="30"/>
  <c r="D190" i="30"/>
  <c r="J190" i="30" l="1"/>
  <c r="G190" i="30"/>
  <c r="H190" i="30"/>
  <c r="I190" i="30"/>
  <c r="N190" i="30" l="1"/>
  <c r="M190" i="30"/>
  <c r="K190" i="30"/>
  <c r="L190" i="30"/>
  <c r="R190" i="30" l="1"/>
  <c r="P190" i="30"/>
  <c r="Q190" i="30"/>
  <c r="O190" i="30"/>
  <c r="V190" i="30" l="1"/>
  <c r="T190" i="30"/>
  <c r="S190" i="30"/>
  <c r="U190" i="30"/>
  <c r="Z190" i="30" l="1"/>
  <c r="B191" i="30" s="1"/>
  <c r="X190" i="30"/>
  <c r="W190" i="30"/>
  <c r="AB190" i="30" s="1"/>
  <c r="Y190" i="30"/>
  <c r="AD190" i="30" s="1"/>
  <c r="AC190" i="30" l="1"/>
  <c r="AE190" i="30" s="1"/>
  <c r="C191" i="30"/>
  <c r="F191" i="30"/>
  <c r="E191" i="30"/>
  <c r="D191" i="30"/>
  <c r="I191" i="30" l="1"/>
  <c r="G191" i="30"/>
  <c r="J191" i="30"/>
  <c r="H191" i="30"/>
  <c r="L191" i="30" l="1"/>
  <c r="N191" i="30"/>
  <c r="K191" i="30"/>
  <c r="M191" i="30"/>
  <c r="P191" i="30" l="1"/>
  <c r="O191" i="30"/>
  <c r="Q191" i="30"/>
  <c r="R191" i="30"/>
  <c r="V191" i="30" l="1"/>
  <c r="T191" i="30"/>
  <c r="U191" i="30"/>
  <c r="S191" i="30"/>
  <c r="Z191" i="30" l="1"/>
  <c r="B192" i="30" s="1"/>
  <c r="X191" i="30"/>
  <c r="W191" i="30"/>
  <c r="AB191" i="30" s="1"/>
  <c r="Y191" i="30"/>
  <c r="AD191" i="30" s="1"/>
  <c r="AC191" i="30" l="1"/>
  <c r="AE191" i="30" s="1"/>
  <c r="E192" i="30"/>
  <c r="F192" i="30"/>
  <c r="D192" i="30"/>
  <c r="C192" i="30"/>
  <c r="J192" i="30" l="1"/>
  <c r="H192" i="30"/>
  <c r="G192" i="30"/>
  <c r="I192" i="30"/>
  <c r="N192" i="30" l="1"/>
  <c r="K192" i="30"/>
  <c r="M192" i="30"/>
  <c r="L192" i="30"/>
  <c r="O192" i="30" l="1"/>
  <c r="P192" i="30"/>
  <c r="Q192" i="30"/>
  <c r="R192" i="30"/>
  <c r="V192" i="30" l="1"/>
  <c r="T192" i="30"/>
  <c r="S192" i="30"/>
  <c r="U192" i="30"/>
  <c r="Z192" i="30" l="1"/>
  <c r="B193" i="30" s="1"/>
  <c r="W192" i="30"/>
  <c r="AB192" i="30" s="1"/>
  <c r="Y192" i="30"/>
  <c r="AD192" i="30" s="1"/>
  <c r="X192" i="30"/>
  <c r="AC192" i="30" l="1"/>
  <c r="AE192" i="30" s="1"/>
  <c r="C193" i="30"/>
  <c r="E193" i="30"/>
  <c r="F193" i="30"/>
  <c r="D193" i="30"/>
  <c r="J193" i="30" l="1"/>
  <c r="H193" i="30"/>
  <c r="G193" i="30"/>
  <c r="I193" i="30"/>
  <c r="N193" i="30" l="1"/>
  <c r="K193" i="30"/>
  <c r="M193" i="30"/>
  <c r="L193" i="30"/>
  <c r="Q193" i="30" l="1"/>
  <c r="O193" i="30"/>
  <c r="P193" i="30"/>
  <c r="R193" i="30"/>
  <c r="V193" i="30" l="1"/>
  <c r="S193" i="30"/>
  <c r="U193" i="30"/>
  <c r="T193" i="30"/>
  <c r="Z193" i="30" l="1"/>
  <c r="B194" i="30" s="1"/>
  <c r="Y193" i="30"/>
  <c r="AD193" i="30" s="1"/>
  <c r="X193" i="30"/>
  <c r="W193" i="30"/>
  <c r="AB193" i="30" s="1"/>
  <c r="AC193" i="30" l="1"/>
  <c r="AE193" i="30" s="1"/>
  <c r="E194" i="30"/>
  <c r="C194" i="30"/>
  <c r="F194" i="30"/>
  <c r="D194" i="30"/>
  <c r="J194" i="30" l="1"/>
  <c r="G194" i="30"/>
  <c r="I194" i="30"/>
  <c r="H194" i="30"/>
  <c r="N194" i="30" l="1"/>
  <c r="L194" i="30"/>
  <c r="K194" i="30"/>
  <c r="M194" i="30"/>
  <c r="Q194" i="30" l="1"/>
  <c r="O194" i="30"/>
  <c r="R194" i="30"/>
  <c r="P194" i="30"/>
  <c r="V194" i="30" l="1"/>
  <c r="S194" i="30"/>
  <c r="T194" i="30"/>
  <c r="U194" i="30"/>
  <c r="Z194" i="30" l="1"/>
  <c r="B195" i="30" s="1"/>
  <c r="Y194" i="30"/>
  <c r="AD194" i="30" s="1"/>
  <c r="W194" i="30"/>
  <c r="AB194" i="30" s="1"/>
  <c r="X194" i="30"/>
  <c r="AC194" i="30" l="1"/>
  <c r="AE194" i="30" s="1"/>
  <c r="C195" i="30"/>
  <c r="E195" i="30"/>
  <c r="F195" i="30"/>
  <c r="D195" i="30"/>
  <c r="H195" i="30" l="1"/>
  <c r="J195" i="30"/>
  <c r="G195" i="30"/>
  <c r="I195" i="30"/>
  <c r="N195" i="30" l="1"/>
  <c r="M195" i="30"/>
  <c r="L195" i="30"/>
  <c r="K195" i="30"/>
  <c r="Q195" i="30" l="1"/>
  <c r="O195" i="30"/>
  <c r="R195" i="30"/>
  <c r="P195" i="30"/>
  <c r="V195" i="30" l="1"/>
  <c r="T195" i="30"/>
  <c r="S195" i="30"/>
  <c r="U195" i="30"/>
  <c r="Z195" i="30" l="1"/>
  <c r="B196" i="30" s="1"/>
  <c r="W195" i="30"/>
  <c r="AB195" i="30" s="1"/>
  <c r="X195" i="30"/>
  <c r="Y195" i="30"/>
  <c r="AD195" i="30" s="1"/>
  <c r="AC195" i="30" l="1"/>
  <c r="AE195" i="30" s="1"/>
  <c r="C196" i="30"/>
  <c r="D196" i="30"/>
  <c r="E196" i="30"/>
  <c r="F196" i="30"/>
  <c r="J196" i="30" l="1"/>
  <c r="H196" i="30"/>
  <c r="G196" i="30"/>
  <c r="I196" i="30"/>
  <c r="N196" i="30" l="1"/>
  <c r="K196" i="30"/>
  <c r="M196" i="30"/>
  <c r="L196" i="30"/>
  <c r="O196" i="30" l="1"/>
  <c r="P196" i="30"/>
  <c r="R196" i="30"/>
  <c r="Q196" i="30"/>
  <c r="V196" i="30" l="1"/>
  <c r="U196" i="30"/>
  <c r="S196" i="30"/>
  <c r="T196" i="30"/>
  <c r="Z196" i="30" l="1"/>
  <c r="B197" i="30" s="1"/>
  <c r="Y196" i="30"/>
  <c r="AD196" i="30" s="1"/>
  <c r="W196" i="30"/>
  <c r="AB196" i="30" s="1"/>
  <c r="X196" i="30"/>
  <c r="AC196" i="30" l="1"/>
  <c r="AE196" i="30" s="1"/>
  <c r="D197" i="30"/>
  <c r="E197" i="30"/>
  <c r="C197" i="30"/>
  <c r="F197" i="30"/>
  <c r="J197" i="30" l="1"/>
  <c r="H197" i="30"/>
  <c r="G197" i="30"/>
  <c r="I197" i="30"/>
  <c r="N197" i="30" l="1"/>
  <c r="K197" i="30"/>
  <c r="M197" i="30"/>
  <c r="L197" i="30"/>
  <c r="Q197" i="30" l="1"/>
  <c r="R197" i="30"/>
  <c r="P197" i="30"/>
  <c r="O197" i="30"/>
  <c r="V197" i="30" l="1"/>
  <c r="T197" i="30"/>
  <c r="S197" i="30"/>
  <c r="U197" i="30"/>
  <c r="Z197" i="30" l="1"/>
  <c r="B198" i="30" s="1"/>
  <c r="Y197" i="30"/>
  <c r="AD197" i="30" s="1"/>
  <c r="X197" i="30"/>
  <c r="W197" i="30"/>
  <c r="AB197" i="30" s="1"/>
  <c r="AC197" i="30" l="1"/>
  <c r="AE197" i="30" s="1"/>
  <c r="C198" i="30"/>
  <c r="D198" i="30"/>
  <c r="E198" i="30"/>
  <c r="F198" i="30"/>
  <c r="J198" i="30" l="1"/>
  <c r="G198" i="30"/>
  <c r="H198" i="30"/>
  <c r="I198" i="30"/>
  <c r="N198" i="30" l="1"/>
  <c r="M198" i="30"/>
  <c r="K198" i="30"/>
  <c r="L198" i="30"/>
  <c r="Q198" i="30" l="1"/>
  <c r="R198" i="30"/>
  <c r="O198" i="30"/>
  <c r="P198" i="30"/>
  <c r="V198" i="30" l="1"/>
  <c r="U198" i="30"/>
  <c r="T198" i="30"/>
  <c r="S198" i="30"/>
  <c r="Z198" i="30" l="1"/>
  <c r="B199" i="30" s="1"/>
  <c r="W198" i="30"/>
  <c r="AB198" i="30" s="1"/>
  <c r="Y198" i="30"/>
  <c r="AD198" i="30" s="1"/>
  <c r="X198" i="30"/>
  <c r="AC198" i="30" l="1"/>
  <c r="AE198" i="30" s="1"/>
  <c r="F199" i="30"/>
  <c r="D199" i="30"/>
  <c r="C199" i="30"/>
  <c r="E199" i="30"/>
  <c r="J199" i="30" l="1"/>
  <c r="H199" i="30"/>
  <c r="G199" i="30"/>
  <c r="I199" i="30"/>
  <c r="N199" i="30" l="1"/>
  <c r="K199" i="30"/>
  <c r="L199" i="30"/>
  <c r="M199" i="30"/>
  <c r="R199" i="30" l="1"/>
  <c r="Q199" i="30"/>
  <c r="O199" i="30"/>
  <c r="P199" i="30"/>
  <c r="V199" i="30" l="1"/>
  <c r="S199" i="30"/>
  <c r="U199" i="30"/>
  <c r="T199" i="30"/>
  <c r="Z199" i="30" l="1"/>
  <c r="B200" i="30" s="1"/>
  <c r="Y199" i="30"/>
  <c r="AD199" i="30" s="1"/>
  <c r="X199" i="30"/>
  <c r="W199" i="30"/>
  <c r="AB199" i="30" s="1"/>
  <c r="AC199" i="30" l="1"/>
  <c r="AE199" i="30" s="1"/>
  <c r="F200" i="30"/>
  <c r="E200" i="30"/>
  <c r="D200" i="30"/>
  <c r="C200" i="30"/>
  <c r="J200" i="30" l="1"/>
  <c r="I200" i="30"/>
  <c r="H200" i="30"/>
  <c r="G200" i="30"/>
  <c r="N200" i="30" l="1"/>
  <c r="M200" i="30"/>
  <c r="L200" i="30"/>
  <c r="K200" i="30"/>
  <c r="R200" i="30" l="1"/>
  <c r="O200" i="30"/>
  <c r="P200" i="30"/>
  <c r="Q200" i="30"/>
  <c r="V200" i="30" l="1"/>
  <c r="U200" i="30"/>
  <c r="S200" i="30"/>
  <c r="T200" i="30"/>
  <c r="Z200" i="30" l="1"/>
  <c r="B201" i="30" s="1"/>
  <c r="Y200" i="30"/>
  <c r="AD200" i="30" s="1"/>
  <c r="X200" i="30"/>
  <c r="W200" i="30"/>
  <c r="AB200" i="30" s="1"/>
  <c r="AC200" i="30" l="1"/>
  <c r="AE200" i="30" s="1"/>
  <c r="E201" i="30"/>
  <c r="F201" i="30"/>
  <c r="D201" i="30"/>
  <c r="C201" i="30"/>
  <c r="J201" i="30" l="1"/>
  <c r="G201" i="30"/>
  <c r="I201" i="30"/>
  <c r="H201" i="30"/>
  <c r="N201" i="30" l="1"/>
  <c r="K201" i="30"/>
  <c r="L201" i="30"/>
  <c r="M201" i="30"/>
  <c r="R201" i="30" l="1"/>
  <c r="O201" i="30"/>
  <c r="Q201" i="30"/>
  <c r="P201" i="30"/>
  <c r="V201" i="30" l="1"/>
  <c r="T201" i="30"/>
  <c r="U201" i="30"/>
  <c r="S201" i="30"/>
  <c r="Z201" i="30" l="1"/>
  <c r="B202" i="30" s="1"/>
  <c r="X201" i="30"/>
  <c r="W201" i="30"/>
  <c r="AB201" i="30" s="1"/>
  <c r="Y201" i="30"/>
  <c r="AD201" i="30" s="1"/>
  <c r="AC201" i="30" l="1"/>
  <c r="AE201" i="30" s="1"/>
  <c r="C202" i="30"/>
  <c r="E202" i="30"/>
  <c r="F202" i="30"/>
  <c r="D202" i="30"/>
  <c r="J202" i="30" l="1"/>
  <c r="G202" i="30"/>
  <c r="H202" i="30"/>
  <c r="I202" i="30"/>
  <c r="N202" i="30" l="1"/>
  <c r="M202" i="30"/>
  <c r="L202" i="30"/>
  <c r="K202" i="30"/>
  <c r="O202" i="30" l="1"/>
  <c r="Q202" i="30"/>
  <c r="P202" i="30"/>
  <c r="R202" i="30"/>
  <c r="V202" i="30" l="1"/>
  <c r="S202" i="30"/>
  <c r="T202" i="30"/>
  <c r="U202" i="30"/>
  <c r="Z202" i="30" l="1"/>
  <c r="B203" i="30" s="1"/>
  <c r="Y202" i="30"/>
  <c r="AD202" i="30" s="1"/>
  <c r="W202" i="30"/>
  <c r="AB202" i="30" s="1"/>
  <c r="X202" i="30"/>
  <c r="AC202" i="30" l="1"/>
  <c r="AE202" i="30" s="1"/>
  <c r="F203" i="30"/>
  <c r="C203" i="30"/>
  <c r="D203" i="30"/>
  <c r="E203" i="30"/>
  <c r="J203" i="30" l="1"/>
  <c r="G203" i="30"/>
  <c r="H203" i="30"/>
  <c r="I203" i="30"/>
  <c r="N203" i="30" l="1"/>
  <c r="K203" i="30"/>
  <c r="L203" i="30"/>
  <c r="M203" i="30"/>
  <c r="Q203" i="30" l="1"/>
  <c r="O203" i="30"/>
  <c r="R203" i="30"/>
  <c r="P203" i="30"/>
  <c r="V203" i="30" l="1"/>
  <c r="T203" i="30"/>
  <c r="U203" i="30"/>
  <c r="S203" i="30"/>
  <c r="Z203" i="30" l="1"/>
  <c r="B204" i="30" s="1"/>
  <c r="Y203" i="30"/>
  <c r="AD203" i="30" s="1"/>
  <c r="W203" i="30"/>
  <c r="AB203" i="30" s="1"/>
  <c r="X203" i="30"/>
  <c r="AC203" i="30" l="1"/>
  <c r="AE203" i="30" s="1"/>
  <c r="F204" i="30"/>
  <c r="C204" i="30"/>
  <c r="D204" i="30"/>
  <c r="E204" i="30"/>
  <c r="J204" i="30" l="1"/>
  <c r="H204" i="30"/>
  <c r="I204" i="30"/>
  <c r="G204" i="30"/>
  <c r="N204" i="30" l="1"/>
  <c r="M204" i="30"/>
  <c r="L204" i="30"/>
  <c r="K204" i="30"/>
  <c r="R204" i="30" l="1"/>
  <c r="Q204" i="30"/>
  <c r="O204" i="30"/>
  <c r="P204" i="30"/>
  <c r="V204" i="30" l="1"/>
  <c r="T204" i="30"/>
  <c r="U204" i="30"/>
  <c r="S204" i="30"/>
  <c r="Z204" i="30" l="1"/>
  <c r="B205" i="30" s="1"/>
  <c r="X204" i="30"/>
  <c r="W204" i="30"/>
  <c r="AB204" i="30" s="1"/>
  <c r="Y204" i="30"/>
  <c r="AD204" i="30" s="1"/>
  <c r="AC204" i="30" l="1"/>
  <c r="AE204" i="30" s="1"/>
  <c r="D205" i="30"/>
  <c r="C205" i="30"/>
  <c r="E205" i="30"/>
  <c r="F205" i="30"/>
  <c r="J205" i="30" l="1"/>
  <c r="I205" i="30"/>
  <c r="H205" i="30"/>
  <c r="G205" i="30"/>
  <c r="N205" i="30" l="1"/>
  <c r="L205" i="30"/>
  <c r="M205" i="30"/>
  <c r="K205" i="30"/>
  <c r="R205" i="30" l="1"/>
  <c r="O205" i="30"/>
  <c r="P205" i="30"/>
  <c r="Q205" i="30"/>
  <c r="V205" i="30" l="1"/>
  <c r="S205" i="30"/>
  <c r="T205" i="30"/>
  <c r="U205" i="30"/>
  <c r="Z205" i="30" l="1"/>
  <c r="B206" i="30" s="1"/>
  <c r="Y205" i="30"/>
  <c r="AD205" i="30" s="1"/>
  <c r="W205" i="30"/>
  <c r="AB205" i="30" s="1"/>
  <c r="X205" i="30"/>
  <c r="AC205" i="30" l="1"/>
  <c r="AE205" i="30" s="1"/>
  <c r="E206" i="30"/>
  <c r="F206" i="30"/>
  <c r="C206" i="30"/>
  <c r="D206" i="30"/>
  <c r="J206" i="30" l="1"/>
  <c r="I206" i="30"/>
  <c r="H206" i="30"/>
  <c r="G206" i="30"/>
  <c r="L206" i="30" l="1"/>
  <c r="N206" i="30"/>
  <c r="M206" i="30"/>
  <c r="K206" i="30"/>
  <c r="R206" i="30" l="1"/>
  <c r="O206" i="30"/>
  <c r="P206" i="30"/>
  <c r="Q206" i="30"/>
  <c r="V206" i="30" l="1"/>
  <c r="U206" i="30"/>
  <c r="T206" i="30"/>
  <c r="S206" i="30"/>
  <c r="Z206" i="30" l="1"/>
  <c r="B207" i="30" s="1"/>
  <c r="Y206" i="30"/>
  <c r="AD206" i="30" s="1"/>
  <c r="X206" i="30"/>
  <c r="W206" i="30"/>
  <c r="AB206" i="30" s="1"/>
  <c r="AC206" i="30" l="1"/>
  <c r="AE206" i="30" s="1"/>
  <c r="F207" i="30"/>
  <c r="E207" i="30"/>
  <c r="D207" i="30"/>
  <c r="C207" i="30"/>
  <c r="J207" i="30" l="1"/>
  <c r="H207" i="30"/>
  <c r="G207" i="30"/>
  <c r="I207" i="30"/>
  <c r="N207" i="30" l="1"/>
  <c r="M207" i="30"/>
  <c r="L207" i="30"/>
  <c r="K207" i="30"/>
  <c r="Q207" i="30" l="1"/>
  <c r="P207" i="30"/>
  <c r="O207" i="30"/>
  <c r="R207" i="30"/>
  <c r="V207" i="30" l="1"/>
  <c r="U207" i="30"/>
  <c r="T207" i="30"/>
  <c r="S207" i="30"/>
  <c r="Z207" i="30" l="1"/>
  <c r="B208" i="30" s="1"/>
  <c r="X207" i="30"/>
  <c r="W207" i="30"/>
  <c r="AB207" i="30" s="1"/>
  <c r="Y207" i="30"/>
  <c r="AD207" i="30" s="1"/>
  <c r="AC207" i="30" l="1"/>
  <c r="AE207" i="30" s="1"/>
  <c r="E208" i="30"/>
  <c r="F208" i="30"/>
  <c r="D208" i="30"/>
  <c r="C208" i="30"/>
  <c r="J208" i="30" l="1"/>
  <c r="I208" i="30"/>
  <c r="G208" i="30"/>
  <c r="H208" i="30"/>
  <c r="N208" i="30" l="1"/>
  <c r="M208" i="30"/>
  <c r="K208" i="30"/>
  <c r="L208" i="30"/>
  <c r="R208" i="30" l="1"/>
  <c r="O208" i="30"/>
  <c r="Q208" i="30"/>
  <c r="P208" i="30"/>
  <c r="V208" i="30" l="1"/>
  <c r="T208" i="30"/>
  <c r="S208" i="30"/>
  <c r="U208" i="30"/>
  <c r="Z208" i="30" l="1"/>
  <c r="B209" i="30" s="1"/>
  <c r="Y208" i="30"/>
  <c r="AD208" i="30" s="1"/>
  <c r="W208" i="30"/>
  <c r="AB208" i="30" s="1"/>
  <c r="X208" i="30"/>
  <c r="AC208" i="30" l="1"/>
  <c r="AE208" i="30" s="1"/>
  <c r="E209" i="30"/>
  <c r="F209" i="30"/>
  <c r="D209" i="30"/>
  <c r="C209" i="30"/>
  <c r="J209" i="30" l="1"/>
  <c r="G209" i="30"/>
  <c r="H209" i="30"/>
  <c r="I209" i="30"/>
  <c r="N209" i="30" l="1"/>
  <c r="M209" i="30"/>
  <c r="L209" i="30"/>
  <c r="K209" i="30"/>
  <c r="R209" i="30" l="1"/>
  <c r="Q209" i="30"/>
  <c r="P209" i="30"/>
  <c r="O209" i="30"/>
  <c r="V209" i="30" l="1"/>
  <c r="S209" i="30"/>
  <c r="T209" i="30"/>
  <c r="U209" i="30"/>
  <c r="Z209" i="30" l="1"/>
  <c r="B210" i="30" s="1"/>
  <c r="Y209" i="30"/>
  <c r="AD209" i="30" s="1"/>
  <c r="X209" i="30"/>
  <c r="W209" i="30"/>
  <c r="AB209" i="30" s="1"/>
  <c r="AC209" i="30" l="1"/>
  <c r="AE209" i="30" s="1"/>
  <c r="E210" i="30"/>
  <c r="F210" i="30"/>
  <c r="D210" i="30"/>
  <c r="C210" i="30"/>
  <c r="J210" i="30" l="1"/>
  <c r="H210" i="30"/>
  <c r="I210" i="30"/>
  <c r="G210" i="30"/>
  <c r="N210" i="30" l="1"/>
  <c r="K210" i="30"/>
  <c r="L210" i="30"/>
  <c r="M210" i="30"/>
  <c r="Q210" i="30" l="1"/>
  <c r="P210" i="30"/>
  <c r="O210" i="30"/>
  <c r="R210" i="30"/>
  <c r="V210" i="30" l="1"/>
  <c r="U210" i="30"/>
  <c r="S210" i="30"/>
  <c r="T210" i="30"/>
  <c r="Z210" i="30" l="1"/>
  <c r="B211" i="30" s="1"/>
  <c r="X210" i="30"/>
  <c r="Y210" i="30"/>
  <c r="AD210" i="30" s="1"/>
  <c r="W210" i="30"/>
  <c r="AB210" i="30" s="1"/>
  <c r="AC210" i="30" l="1"/>
  <c r="AE210" i="30" s="1"/>
  <c r="E211" i="30"/>
  <c r="F211" i="30"/>
  <c r="D211" i="30"/>
  <c r="C211" i="30"/>
  <c r="J211" i="30" l="1"/>
  <c r="I211" i="30"/>
  <c r="H211" i="30"/>
  <c r="G211" i="30"/>
  <c r="N211" i="30" l="1"/>
  <c r="K211" i="30"/>
  <c r="M211" i="30"/>
  <c r="L211" i="30"/>
  <c r="Q211" i="30" l="1"/>
  <c r="P211" i="30"/>
  <c r="O211" i="30"/>
  <c r="R211" i="30"/>
  <c r="V211" i="30" l="1"/>
  <c r="S211" i="30"/>
  <c r="U211" i="30"/>
  <c r="T211" i="30"/>
  <c r="Z211" i="30" l="1"/>
  <c r="B212" i="30" s="1"/>
  <c r="Y211" i="30"/>
  <c r="AD211" i="30" s="1"/>
  <c r="X211" i="30"/>
  <c r="W211" i="30"/>
  <c r="AB211" i="30" s="1"/>
  <c r="AC211" i="30" l="1"/>
  <c r="AE211" i="30" s="1"/>
  <c r="D212" i="30"/>
  <c r="F212" i="30"/>
  <c r="C212" i="30"/>
  <c r="J212" i="30" l="1"/>
  <c r="H212" i="30"/>
  <c r="I212" i="30"/>
  <c r="G212" i="30"/>
  <c r="N212" i="30" l="1"/>
  <c r="M212" i="30"/>
  <c r="K212" i="30"/>
  <c r="L212" i="30"/>
  <c r="Q212" i="30" l="1"/>
  <c r="O212" i="30"/>
  <c r="P212" i="30"/>
  <c r="R212" i="30"/>
  <c r="V212" i="30" l="1"/>
  <c r="U212" i="30"/>
  <c r="S212" i="30"/>
  <c r="T212" i="30"/>
  <c r="Z212" i="30" l="1"/>
  <c r="B213" i="30" s="1"/>
  <c r="W212" i="30"/>
  <c r="AB212" i="30" s="1"/>
  <c r="X212" i="30"/>
  <c r="Y212" i="30"/>
  <c r="AD212" i="30" s="1"/>
  <c r="AC212" i="30" l="1"/>
  <c r="AE212" i="30" s="1"/>
  <c r="D213" i="30"/>
  <c r="F213" i="30"/>
  <c r="C213" i="30"/>
  <c r="J213" i="30" l="1"/>
  <c r="G213" i="30"/>
  <c r="I213" i="30"/>
  <c r="H213" i="30"/>
  <c r="N213" i="30" l="1"/>
  <c r="L213" i="30"/>
  <c r="M213" i="30"/>
  <c r="K213" i="30"/>
  <c r="P213" i="30" l="1"/>
  <c r="R213" i="30"/>
  <c r="O213" i="30"/>
  <c r="Q213" i="30"/>
  <c r="V213" i="30" l="1"/>
  <c r="T213" i="30"/>
  <c r="S213" i="30"/>
  <c r="U213" i="30"/>
  <c r="Z213" i="30" l="1"/>
  <c r="B214" i="30" s="1"/>
  <c r="W213" i="30"/>
  <c r="AB213" i="30" s="1"/>
  <c r="Y213" i="30"/>
  <c r="AD213" i="30" s="1"/>
  <c r="X213" i="30"/>
  <c r="AC213" i="30" l="1"/>
  <c r="AE213" i="30" s="1"/>
  <c r="D214" i="30"/>
  <c r="C214" i="30"/>
  <c r="F214" i="30"/>
  <c r="G214" i="30" l="1"/>
  <c r="J214" i="30"/>
  <c r="I214" i="30"/>
  <c r="H214" i="30"/>
  <c r="K214" i="30" l="1"/>
  <c r="M214" i="30"/>
  <c r="N214" i="30"/>
  <c r="L214" i="30"/>
  <c r="O214" i="30" l="1"/>
  <c r="P214" i="30"/>
  <c r="R214" i="30"/>
  <c r="Q214" i="30"/>
  <c r="V214" i="30" l="1"/>
  <c r="S214" i="30"/>
  <c r="U214" i="30"/>
  <c r="T214" i="30"/>
  <c r="Z214" i="30" l="1"/>
  <c r="B215" i="30" s="1"/>
  <c r="W214" i="30"/>
  <c r="AB214" i="30" s="1"/>
  <c r="Y214" i="30"/>
  <c r="AD214" i="30" s="1"/>
  <c r="X214" i="30"/>
  <c r="AC214" i="30" l="1"/>
  <c r="AE214" i="30" s="1"/>
  <c r="F215" i="30"/>
  <c r="C215" i="30"/>
  <c r="D215" i="30"/>
  <c r="H215" i="30" l="1"/>
  <c r="I215" i="30"/>
  <c r="J215" i="30"/>
  <c r="G215" i="30"/>
  <c r="N215" i="30" l="1"/>
  <c r="M215" i="30"/>
  <c r="L215" i="30"/>
  <c r="K215" i="30"/>
  <c r="Q215" i="30" l="1"/>
  <c r="R215" i="30"/>
  <c r="O215" i="30"/>
  <c r="P215" i="30"/>
  <c r="V215" i="30" l="1"/>
  <c r="S215" i="30"/>
  <c r="U215" i="30"/>
  <c r="T215" i="30"/>
  <c r="Z215" i="30" l="1"/>
  <c r="B216" i="30" s="1"/>
  <c r="X215" i="30"/>
  <c r="W215" i="30"/>
  <c r="AB215" i="30" s="1"/>
  <c r="Y215" i="30"/>
  <c r="AD215" i="30" s="1"/>
  <c r="AC215" i="30" l="1"/>
  <c r="AE215" i="30" s="1"/>
  <c r="F216" i="30"/>
  <c r="C216" i="30"/>
  <c r="D216" i="30"/>
  <c r="J216" i="30" l="1"/>
  <c r="H216" i="30"/>
  <c r="I216" i="30"/>
  <c r="G216" i="30"/>
  <c r="N216" i="30" l="1"/>
  <c r="K216" i="30"/>
  <c r="L216" i="30"/>
  <c r="M216" i="30"/>
  <c r="R216" i="30" l="1"/>
  <c r="Q216" i="30"/>
  <c r="O216" i="30"/>
  <c r="P216" i="30"/>
  <c r="V216" i="30" l="1"/>
  <c r="T216" i="30"/>
  <c r="S216" i="30"/>
  <c r="U216" i="30"/>
  <c r="Z216" i="30" l="1"/>
  <c r="B217" i="30" s="1"/>
  <c r="X216" i="30"/>
  <c r="W216" i="30"/>
  <c r="AB216" i="30" s="1"/>
  <c r="Y216" i="30"/>
  <c r="AD216" i="30" s="1"/>
  <c r="AC216" i="30" l="1"/>
  <c r="AE216" i="30" s="1"/>
  <c r="F217" i="30"/>
  <c r="D217" i="30"/>
  <c r="C217" i="30"/>
  <c r="J217" i="30" l="1"/>
  <c r="H217" i="30"/>
  <c r="G217" i="30"/>
  <c r="I217" i="30"/>
  <c r="L217" i="30" l="1"/>
  <c r="K217" i="30"/>
  <c r="N217" i="30"/>
  <c r="M217" i="30"/>
  <c r="O217" i="30" l="1"/>
  <c r="R217" i="30"/>
  <c r="P217" i="30"/>
  <c r="Q217" i="30"/>
  <c r="V217" i="30" l="1"/>
  <c r="S217" i="30"/>
  <c r="T217" i="30"/>
  <c r="U217" i="30"/>
  <c r="Z217" i="30" l="1"/>
  <c r="B218" i="30" s="1"/>
  <c r="Y217" i="30"/>
  <c r="AD217" i="30" s="1"/>
  <c r="W217" i="30"/>
  <c r="AB217" i="30" s="1"/>
  <c r="X217" i="30"/>
  <c r="AC217" i="30" l="1"/>
  <c r="AE217" i="30" s="1"/>
  <c r="F218" i="30"/>
  <c r="C218" i="30"/>
  <c r="D218" i="30"/>
  <c r="J218" i="30" l="1"/>
  <c r="G218" i="30"/>
  <c r="I218" i="30"/>
  <c r="H218" i="30"/>
  <c r="L218" i="30" l="1"/>
  <c r="K218" i="30"/>
  <c r="N218" i="30"/>
  <c r="M218" i="30"/>
  <c r="P218" i="30" l="1"/>
  <c r="Q218" i="30"/>
  <c r="O218" i="30"/>
  <c r="R218" i="30"/>
  <c r="V218" i="30" l="1"/>
  <c r="S218" i="30"/>
  <c r="T218" i="30"/>
  <c r="U218" i="30"/>
  <c r="Z218" i="30" l="1"/>
  <c r="B219" i="30" s="1"/>
  <c r="X218" i="30"/>
  <c r="Y218" i="30"/>
  <c r="AD218" i="30" s="1"/>
  <c r="W218" i="30"/>
  <c r="AB218" i="30" s="1"/>
  <c r="AC218" i="30" l="1"/>
  <c r="AE218" i="30" s="1"/>
  <c r="F219" i="30"/>
  <c r="C219" i="30"/>
  <c r="D219" i="30"/>
  <c r="J219" i="30" l="1"/>
  <c r="H219" i="30"/>
  <c r="G219" i="30"/>
  <c r="I219" i="30"/>
  <c r="N219" i="30" l="1"/>
  <c r="M219" i="30"/>
  <c r="K219" i="30"/>
  <c r="L219" i="30"/>
  <c r="P219" i="30" l="1"/>
  <c r="Q219" i="30"/>
  <c r="O219" i="30"/>
  <c r="R219" i="30"/>
  <c r="V219" i="30" l="1"/>
  <c r="T219" i="30"/>
  <c r="S219" i="30"/>
  <c r="U219" i="30"/>
  <c r="Z219" i="30" l="1"/>
  <c r="B220" i="30" s="1"/>
  <c r="W219" i="30"/>
  <c r="AB219" i="30" s="1"/>
  <c r="X219" i="30"/>
  <c r="Y219" i="30"/>
  <c r="AD219" i="30" s="1"/>
  <c r="AC219" i="30" l="1"/>
  <c r="AE219" i="30" s="1"/>
  <c r="D220" i="30"/>
  <c r="F220" i="30"/>
  <c r="C220" i="30"/>
  <c r="J220" i="30" l="1"/>
  <c r="G220" i="30"/>
  <c r="I220" i="30"/>
  <c r="H220" i="30"/>
  <c r="N220" i="30" l="1"/>
  <c r="M220" i="30"/>
  <c r="L220" i="30"/>
  <c r="K220" i="30"/>
  <c r="Q220" i="30" l="1"/>
  <c r="O220" i="30"/>
  <c r="P220" i="30"/>
  <c r="R220" i="30"/>
  <c r="V220" i="30" l="1"/>
  <c r="S220" i="30"/>
  <c r="U220" i="30"/>
  <c r="T220" i="30"/>
  <c r="Z220" i="30" l="1"/>
  <c r="B221" i="30" s="1"/>
  <c r="W220" i="30"/>
  <c r="AB220" i="30" s="1"/>
  <c r="X220" i="30"/>
  <c r="Y220" i="30"/>
  <c r="AD220" i="30" s="1"/>
  <c r="AC220" i="30" l="1"/>
  <c r="AE220" i="30" s="1"/>
  <c r="C221" i="30"/>
  <c r="F221" i="30"/>
  <c r="D221" i="30"/>
  <c r="J221" i="30" l="1"/>
  <c r="G221" i="30"/>
  <c r="I221" i="30"/>
  <c r="H221" i="30"/>
  <c r="N221" i="30" l="1"/>
  <c r="M221" i="30"/>
  <c r="L221" i="30"/>
  <c r="K221" i="30"/>
  <c r="P221" i="30" l="1"/>
  <c r="Q221" i="30"/>
  <c r="R221" i="30"/>
  <c r="O221" i="30"/>
  <c r="V221" i="30" l="1"/>
  <c r="U221" i="30"/>
  <c r="T221" i="30"/>
  <c r="S221" i="30"/>
  <c r="Z221" i="30" l="1"/>
  <c r="B222" i="30" s="1"/>
  <c r="Y221" i="30"/>
  <c r="AD221" i="30" s="1"/>
  <c r="X221" i="30"/>
  <c r="W221" i="30"/>
  <c r="AB221" i="30" s="1"/>
  <c r="AC221" i="30" l="1"/>
  <c r="AE221" i="30" s="1"/>
  <c r="F222" i="30"/>
  <c r="D222" i="30"/>
  <c r="C222" i="30"/>
  <c r="J222" i="30" l="1"/>
  <c r="H222" i="30"/>
  <c r="G222" i="30"/>
  <c r="I222" i="30"/>
  <c r="N222" i="30" l="1"/>
  <c r="L222" i="30"/>
  <c r="K222" i="30"/>
  <c r="M222" i="30"/>
  <c r="P222" i="30" l="1"/>
  <c r="O222" i="30"/>
  <c r="R222" i="30"/>
  <c r="Q222" i="30"/>
  <c r="V222" i="30" l="1"/>
  <c r="S222" i="30"/>
  <c r="T222" i="30"/>
  <c r="U222" i="30"/>
  <c r="Z222" i="30" l="1"/>
  <c r="B223" i="30" s="1"/>
  <c r="X222" i="30"/>
  <c r="W222" i="30"/>
  <c r="AB222" i="30" s="1"/>
  <c r="Y222" i="30"/>
  <c r="AD222" i="30" s="1"/>
  <c r="AC222" i="30" l="1"/>
  <c r="AE222" i="30" s="1"/>
  <c r="D223" i="30"/>
  <c r="C223" i="30"/>
  <c r="F223" i="30"/>
  <c r="J223" i="30" l="1"/>
  <c r="H223" i="30"/>
  <c r="G223" i="30"/>
  <c r="I223" i="30"/>
  <c r="N223" i="30" l="1"/>
  <c r="K223" i="30"/>
  <c r="M223" i="30"/>
  <c r="L223" i="30"/>
  <c r="Q223" i="30" l="1"/>
  <c r="O223" i="30"/>
  <c r="P223" i="30"/>
  <c r="R223" i="30"/>
  <c r="V223" i="30" l="1"/>
  <c r="U223" i="30"/>
  <c r="S223" i="30"/>
  <c r="T223" i="30"/>
  <c r="Z223" i="30" l="1"/>
  <c r="B224" i="30" s="1"/>
  <c r="Y223" i="30"/>
  <c r="AD223" i="30" s="1"/>
  <c r="X223" i="30"/>
  <c r="W223" i="30"/>
  <c r="AB223" i="30" s="1"/>
  <c r="AC223" i="30" l="1"/>
  <c r="AE223" i="30" s="1"/>
  <c r="D224" i="30"/>
  <c r="C224" i="30"/>
  <c r="F224" i="30"/>
  <c r="J224" i="30" l="1"/>
  <c r="G224" i="30"/>
  <c r="I224" i="30"/>
  <c r="H224" i="30"/>
  <c r="N224" i="30" l="1"/>
  <c r="L224" i="30"/>
  <c r="M224" i="30"/>
  <c r="K224" i="30"/>
  <c r="P224" i="30" l="1"/>
  <c r="R224" i="30"/>
  <c r="Q224" i="30"/>
  <c r="O224" i="30"/>
  <c r="V224" i="30" l="1"/>
  <c r="S224" i="30"/>
  <c r="T224" i="30"/>
  <c r="U224" i="30"/>
  <c r="Z224" i="30" l="1"/>
  <c r="B225" i="30" s="1"/>
  <c r="W224" i="30"/>
  <c r="AB224" i="30" s="1"/>
  <c r="X224" i="30"/>
  <c r="Y224" i="30"/>
  <c r="AD224" i="30" s="1"/>
  <c r="AC224" i="30" l="1"/>
  <c r="AE224" i="30" s="1"/>
  <c r="D225" i="30"/>
  <c r="F225" i="30"/>
  <c r="C225" i="30"/>
  <c r="J225" i="30" l="1"/>
  <c r="I225" i="30"/>
  <c r="H225" i="30"/>
  <c r="G225" i="30"/>
  <c r="N225" i="30" l="1"/>
  <c r="K225" i="30"/>
  <c r="M225" i="30"/>
  <c r="L225" i="30"/>
  <c r="Q225" i="30" l="1"/>
  <c r="P225" i="30"/>
  <c r="R225" i="30"/>
  <c r="O225" i="30"/>
  <c r="V225" i="30" l="1"/>
  <c r="S225" i="30"/>
  <c r="T225" i="30"/>
  <c r="U225" i="30"/>
  <c r="Z225" i="30" l="1"/>
  <c r="B226" i="30" s="1"/>
  <c r="W225" i="30"/>
  <c r="AB225" i="30" s="1"/>
  <c r="Y225" i="30"/>
  <c r="AD225" i="30" s="1"/>
  <c r="X225" i="30"/>
  <c r="AC225" i="30" l="1"/>
  <c r="AE225" i="30" s="1"/>
  <c r="F226" i="30"/>
  <c r="D226" i="30"/>
  <c r="C226" i="30"/>
  <c r="J226" i="30" l="1"/>
  <c r="I226" i="30"/>
  <c r="H226" i="30"/>
  <c r="G226" i="30"/>
  <c r="N226" i="30" l="1"/>
  <c r="M226" i="30"/>
  <c r="K226" i="30"/>
  <c r="L226" i="30"/>
  <c r="Q226" i="30" l="1"/>
  <c r="O226" i="30"/>
  <c r="R226" i="30"/>
  <c r="P226" i="30"/>
  <c r="V226" i="30" l="1"/>
  <c r="T226" i="30"/>
  <c r="S226" i="30"/>
  <c r="U226" i="30"/>
  <c r="Z226" i="30" l="1"/>
  <c r="B227" i="30" s="1"/>
  <c r="X226" i="30"/>
  <c r="W226" i="30"/>
  <c r="AB226" i="30" s="1"/>
  <c r="Y226" i="30"/>
  <c r="AD226" i="30" s="1"/>
  <c r="AC226" i="30" l="1"/>
  <c r="AE226" i="30" s="1"/>
  <c r="C227" i="30"/>
  <c r="D227" i="30"/>
  <c r="F227" i="30"/>
  <c r="J227" i="30" l="1"/>
  <c r="I227" i="30"/>
  <c r="H227" i="30"/>
  <c r="G227" i="30"/>
  <c r="N227" i="30" l="1"/>
  <c r="K227" i="30"/>
  <c r="L227" i="30"/>
  <c r="M227" i="30"/>
  <c r="O227" i="30" l="1"/>
  <c r="R227" i="30"/>
  <c r="Q227" i="30"/>
  <c r="P227" i="30"/>
  <c r="V227" i="30" l="1"/>
  <c r="T227" i="30"/>
  <c r="U227" i="30"/>
  <c r="S227" i="30"/>
  <c r="Z227" i="30" l="1"/>
  <c r="B228" i="30" s="1"/>
  <c r="Y227" i="30"/>
  <c r="AD227" i="30" s="1"/>
  <c r="W227" i="30"/>
  <c r="AB227" i="30" s="1"/>
  <c r="X227" i="30"/>
  <c r="AC227" i="30" l="1"/>
  <c r="AE227" i="30" s="1"/>
  <c r="C228" i="30"/>
  <c r="F228" i="30"/>
  <c r="D228" i="30"/>
  <c r="J228" i="30" l="1"/>
  <c r="G228" i="30"/>
  <c r="I228" i="30"/>
  <c r="H228" i="30"/>
  <c r="N228" i="30" l="1"/>
  <c r="M228" i="30"/>
  <c r="L228" i="30"/>
  <c r="K228" i="30"/>
  <c r="O228" i="30" l="1"/>
  <c r="Q228" i="30"/>
  <c r="R228" i="30"/>
  <c r="P228" i="30"/>
  <c r="V228" i="30" l="1"/>
  <c r="U228" i="30"/>
  <c r="T228" i="30"/>
  <c r="S228" i="30"/>
  <c r="Z228" i="30" l="1"/>
  <c r="B229" i="30" s="1"/>
  <c r="X228" i="30"/>
  <c r="W228" i="30"/>
  <c r="AB228" i="30" s="1"/>
  <c r="Y228" i="30"/>
  <c r="AD228" i="30" s="1"/>
  <c r="AC228" i="30" l="1"/>
  <c r="AE228" i="30" s="1"/>
  <c r="F229" i="30"/>
  <c r="C229" i="30"/>
  <c r="D229" i="30"/>
  <c r="J229" i="30" l="1"/>
  <c r="H229" i="30"/>
  <c r="G229" i="30"/>
  <c r="I229" i="30"/>
  <c r="N229" i="30" l="1"/>
  <c r="K229" i="30"/>
  <c r="M229" i="30"/>
  <c r="L229" i="30"/>
  <c r="O229" i="30" l="1"/>
  <c r="Q229" i="30"/>
  <c r="R229" i="30"/>
  <c r="P229" i="30"/>
  <c r="V229" i="30" l="1"/>
  <c r="S229" i="30"/>
  <c r="T229" i="30"/>
  <c r="U229" i="30"/>
  <c r="Z229" i="30" l="1"/>
  <c r="B230" i="30" s="1"/>
  <c r="Y229" i="30"/>
  <c r="AD229" i="30" s="1"/>
  <c r="W229" i="30"/>
  <c r="AB229" i="30" s="1"/>
  <c r="X229" i="30"/>
  <c r="AC229" i="30" l="1"/>
  <c r="AE229" i="30" s="1"/>
  <c r="C230" i="30"/>
  <c r="D230" i="30"/>
  <c r="F230" i="30"/>
  <c r="J230" i="30" l="1"/>
  <c r="G230" i="30"/>
  <c r="I230" i="30"/>
  <c r="H230" i="30"/>
  <c r="N230" i="30" l="1"/>
  <c r="K230" i="30"/>
  <c r="L230" i="30"/>
  <c r="M230" i="30"/>
  <c r="Q230" i="30" l="1"/>
  <c r="P230" i="30"/>
  <c r="R230" i="30"/>
  <c r="O230" i="30"/>
  <c r="V230" i="30" l="1"/>
  <c r="S230" i="30"/>
  <c r="T230" i="30"/>
  <c r="U230" i="30"/>
  <c r="Z230" i="30" l="1"/>
  <c r="B231" i="30" s="1"/>
  <c r="W230" i="30"/>
  <c r="AB230" i="30" s="1"/>
  <c r="X230" i="30"/>
  <c r="Y230" i="30"/>
  <c r="AD230" i="30" s="1"/>
  <c r="AC230" i="30" l="1"/>
  <c r="AE230" i="30" s="1"/>
  <c r="D231" i="30"/>
  <c r="C231" i="30"/>
  <c r="F231" i="30"/>
  <c r="J231" i="30" l="1"/>
  <c r="G231" i="30"/>
  <c r="I231" i="30"/>
  <c r="H231" i="30"/>
  <c r="N231" i="30" l="1"/>
  <c r="K231" i="30"/>
  <c r="L231" i="30"/>
  <c r="M231" i="30"/>
  <c r="P231" i="30" l="1"/>
  <c r="O231" i="30"/>
  <c r="R231" i="30"/>
  <c r="Q231" i="30"/>
  <c r="V231" i="30" l="1"/>
  <c r="S231" i="30"/>
  <c r="U231" i="30"/>
  <c r="T231" i="30"/>
  <c r="Z231" i="30" l="1"/>
  <c r="B232" i="30" s="1"/>
  <c r="Y231" i="30"/>
  <c r="AD231" i="30" s="1"/>
  <c r="W231" i="30"/>
  <c r="AB231" i="30" s="1"/>
  <c r="X231" i="30"/>
  <c r="AC231" i="30" l="1"/>
  <c r="AE231" i="30" s="1"/>
  <c r="D232" i="30"/>
  <c r="F232" i="30"/>
  <c r="C232" i="30"/>
  <c r="J232" i="30" l="1"/>
  <c r="H232" i="30"/>
  <c r="I232" i="30"/>
  <c r="G232" i="30"/>
  <c r="L232" i="30" l="1"/>
  <c r="N232" i="30"/>
  <c r="K232" i="30"/>
  <c r="M232" i="30"/>
  <c r="P232" i="30" l="1"/>
  <c r="R232" i="30"/>
  <c r="Q232" i="30"/>
  <c r="O232" i="30"/>
  <c r="V232" i="30" l="1"/>
  <c r="T232" i="30"/>
  <c r="S232" i="30"/>
  <c r="U232" i="30"/>
  <c r="Z232" i="30" l="1"/>
  <c r="B233" i="30" s="1"/>
  <c r="W232" i="30"/>
  <c r="AB232" i="30" s="1"/>
  <c r="X232" i="30"/>
  <c r="Y232" i="30"/>
  <c r="AD232" i="30" s="1"/>
  <c r="AC232" i="30" l="1"/>
  <c r="AE232" i="30" s="1"/>
  <c r="D233" i="30"/>
  <c r="C233" i="30"/>
  <c r="F233" i="30"/>
  <c r="J233" i="30" l="1"/>
  <c r="H233" i="30"/>
  <c r="I233" i="30"/>
  <c r="G233" i="30"/>
  <c r="N233" i="30" l="1"/>
  <c r="M233" i="30"/>
  <c r="L233" i="30"/>
  <c r="K233" i="30"/>
  <c r="R233" i="30" l="1"/>
  <c r="P233" i="30"/>
  <c r="O233" i="30"/>
  <c r="Q233" i="30"/>
  <c r="V233" i="30" l="1"/>
  <c r="S233" i="30"/>
  <c r="U233" i="30"/>
  <c r="T233" i="30"/>
  <c r="Z233" i="30" l="1"/>
  <c r="B234" i="30" s="1"/>
  <c r="W233" i="30"/>
  <c r="AB233" i="30" s="1"/>
  <c r="X233" i="30"/>
  <c r="Y233" i="30"/>
  <c r="AD233" i="30" s="1"/>
  <c r="AC233" i="30" l="1"/>
  <c r="AE233" i="30" s="1"/>
  <c r="F234" i="30"/>
  <c r="D234" i="30"/>
  <c r="C234" i="30"/>
  <c r="J234" i="30" l="1"/>
  <c r="I234" i="30"/>
  <c r="H234" i="30"/>
  <c r="G234" i="30"/>
  <c r="N234" i="30" l="1"/>
  <c r="M234" i="30"/>
  <c r="L234" i="30"/>
  <c r="K234" i="30"/>
  <c r="P234" i="30" l="1"/>
  <c r="Q234" i="30"/>
  <c r="R234" i="30"/>
  <c r="O234" i="30"/>
  <c r="V234" i="30" l="1"/>
  <c r="T234" i="30"/>
  <c r="U234" i="30"/>
  <c r="S234" i="30"/>
  <c r="Z234" i="30" l="1"/>
  <c r="B235" i="30" s="1"/>
  <c r="W234" i="30"/>
  <c r="AB234" i="30" s="1"/>
  <c r="X234" i="30"/>
  <c r="Y234" i="30"/>
  <c r="AD234" i="30" s="1"/>
  <c r="AC234" i="30" l="1"/>
  <c r="AE234" i="30" s="1"/>
  <c r="F235" i="30"/>
  <c r="D235" i="30"/>
  <c r="C235" i="30"/>
  <c r="J235" i="30" l="1"/>
  <c r="G235" i="30"/>
  <c r="H235" i="30"/>
  <c r="I235" i="30"/>
  <c r="N235" i="30" l="1"/>
  <c r="L235" i="30"/>
  <c r="M235" i="30"/>
  <c r="K235" i="30"/>
  <c r="Q235" i="30" l="1"/>
  <c r="P235" i="30"/>
  <c r="O235" i="30"/>
  <c r="R235" i="30"/>
  <c r="V235" i="30" l="1"/>
  <c r="U235" i="30"/>
  <c r="S235" i="30"/>
  <c r="T235" i="30"/>
  <c r="Z235" i="30" l="1"/>
  <c r="B236" i="30" s="1"/>
  <c r="Y235" i="30"/>
  <c r="AD235" i="30" s="1"/>
  <c r="W235" i="30"/>
  <c r="AB235" i="30" s="1"/>
  <c r="X235" i="30"/>
  <c r="AC235" i="30" l="1"/>
  <c r="AE235" i="30" s="1"/>
  <c r="C236" i="30"/>
  <c r="F236" i="30"/>
  <c r="D236" i="30"/>
  <c r="J236" i="30" l="1"/>
  <c r="G236" i="30"/>
  <c r="I236" i="30"/>
  <c r="H236" i="30"/>
  <c r="N236" i="30" l="1"/>
  <c r="K236" i="30"/>
  <c r="M236" i="30"/>
  <c r="L236" i="30"/>
  <c r="O236" i="30" l="1"/>
  <c r="P236" i="30"/>
  <c r="Q236" i="30"/>
  <c r="R236" i="30"/>
  <c r="V236" i="30" l="1"/>
  <c r="T236" i="30"/>
  <c r="S236" i="30"/>
  <c r="U236" i="30"/>
  <c r="Z236" i="30" l="1"/>
  <c r="B237" i="30" s="1"/>
  <c r="W236" i="30"/>
  <c r="AB236" i="30" s="1"/>
  <c r="X236" i="30"/>
  <c r="Y236" i="30"/>
  <c r="AD236" i="30" s="1"/>
  <c r="AC236" i="30" l="1"/>
  <c r="AE236" i="30" s="1"/>
  <c r="C237" i="30"/>
  <c r="F237" i="30"/>
  <c r="D237" i="30"/>
  <c r="J237" i="30" l="1"/>
  <c r="I237" i="30"/>
  <c r="H237" i="30"/>
  <c r="G237" i="30"/>
  <c r="N237" i="30" l="1"/>
  <c r="M237" i="30"/>
  <c r="L237" i="30"/>
  <c r="K237" i="30"/>
  <c r="Q237" i="30" l="1"/>
  <c r="O237" i="30"/>
  <c r="R237" i="30"/>
  <c r="P237" i="30"/>
  <c r="V237" i="30" l="1"/>
  <c r="T237" i="30"/>
  <c r="U237" i="30"/>
  <c r="S237" i="30"/>
  <c r="Z237" i="30" l="1"/>
  <c r="B238" i="30" s="1"/>
  <c r="Y237" i="30"/>
  <c r="AD237" i="30" s="1"/>
  <c r="W237" i="30"/>
  <c r="AB237" i="30" s="1"/>
  <c r="X237" i="30"/>
  <c r="AC237" i="30" l="1"/>
  <c r="AE237" i="30" s="1"/>
  <c r="F238" i="30"/>
  <c r="C238" i="30"/>
  <c r="D238" i="30"/>
  <c r="J238" i="30" l="1"/>
  <c r="H238" i="30"/>
  <c r="G238" i="30"/>
  <c r="I238" i="30"/>
  <c r="N238" i="30" l="1"/>
  <c r="M238" i="30"/>
  <c r="K238" i="30"/>
  <c r="L238" i="30"/>
  <c r="P238" i="30" l="1"/>
  <c r="O238" i="30"/>
  <c r="Q238" i="30"/>
  <c r="R238" i="30"/>
  <c r="V238" i="30" l="1"/>
  <c r="U238" i="30"/>
  <c r="T238" i="30"/>
  <c r="S238" i="30"/>
  <c r="Z238" i="30" l="1"/>
  <c r="B239" i="30" s="1"/>
  <c r="Y238" i="30"/>
  <c r="AD238" i="30" s="1"/>
  <c r="X238" i="30"/>
  <c r="W238" i="30"/>
  <c r="AB238" i="30" s="1"/>
  <c r="AC238" i="30" l="1"/>
  <c r="AE238" i="30" s="1"/>
  <c r="F239" i="30"/>
  <c r="C239" i="30"/>
  <c r="D239" i="30"/>
  <c r="J239" i="30" l="1"/>
  <c r="H239" i="30"/>
  <c r="G239" i="30"/>
  <c r="I239" i="30"/>
  <c r="N239" i="30" l="1"/>
  <c r="M239" i="30"/>
  <c r="L239" i="30"/>
  <c r="K239" i="30"/>
  <c r="R239" i="30" l="1"/>
  <c r="P239" i="30"/>
  <c r="O239" i="30"/>
  <c r="Q239" i="30"/>
  <c r="V239" i="30" l="1"/>
  <c r="S239" i="30"/>
  <c r="U239" i="30"/>
  <c r="T239" i="30"/>
  <c r="Z239" i="30" l="1"/>
  <c r="B240" i="30" s="1"/>
  <c r="Y239" i="30"/>
  <c r="AD239" i="30" s="1"/>
  <c r="X239" i="30"/>
  <c r="W239" i="30"/>
  <c r="AB239" i="30" s="1"/>
  <c r="AC239" i="30" l="1"/>
  <c r="AE239" i="30" s="1"/>
  <c r="F240" i="30"/>
  <c r="D240" i="30"/>
  <c r="C240" i="30"/>
  <c r="J240" i="30" l="1"/>
  <c r="I240" i="30"/>
  <c r="G240" i="30"/>
  <c r="H240" i="30"/>
  <c r="N240" i="30" l="1"/>
  <c r="M240" i="30"/>
  <c r="K240" i="30"/>
  <c r="L240" i="30"/>
  <c r="O240" i="30" l="1"/>
  <c r="P240" i="30"/>
  <c r="Q240" i="30"/>
  <c r="R240" i="30"/>
  <c r="V240" i="30" l="1"/>
  <c r="U240" i="30"/>
  <c r="T240" i="30"/>
  <c r="S240" i="30"/>
  <c r="Z240" i="30" l="1"/>
  <c r="B241" i="30" s="1"/>
  <c r="X240" i="30"/>
  <c r="W240" i="30"/>
  <c r="AB240" i="30" s="1"/>
  <c r="Y240" i="30"/>
  <c r="AD240" i="30" s="1"/>
  <c r="AC240" i="30" l="1"/>
  <c r="AE240" i="30" s="1"/>
  <c r="F241" i="30"/>
  <c r="C241" i="30"/>
  <c r="D241" i="30"/>
  <c r="J241" i="30" l="1"/>
  <c r="I241" i="30"/>
  <c r="G241" i="30"/>
  <c r="H241" i="30"/>
  <c r="N241" i="30" l="1"/>
  <c r="K241" i="30"/>
  <c r="M241" i="30"/>
  <c r="L241" i="30"/>
  <c r="P241" i="30" l="1"/>
  <c r="Q241" i="30"/>
  <c r="O241" i="30"/>
  <c r="R241" i="30"/>
  <c r="V241" i="30" l="1"/>
  <c r="T241" i="30"/>
  <c r="U241" i="30"/>
  <c r="S241" i="30"/>
  <c r="Z241" i="30" l="1"/>
  <c r="B242" i="30" s="1"/>
  <c r="Y241" i="30"/>
  <c r="AD241" i="30" s="1"/>
  <c r="W241" i="30"/>
  <c r="AB241" i="30" s="1"/>
  <c r="X241" i="30"/>
  <c r="AC241" i="30" l="1"/>
  <c r="AE241" i="30" s="1"/>
  <c r="C242" i="30"/>
  <c r="F242" i="30"/>
  <c r="D242" i="30"/>
  <c r="G242" i="30" l="1"/>
  <c r="J242" i="30"/>
  <c r="I242" i="30"/>
  <c r="H242" i="30"/>
  <c r="L242" i="30" l="1"/>
  <c r="K242" i="30"/>
  <c r="N242" i="30"/>
  <c r="M242" i="30"/>
  <c r="O242" i="30" l="1"/>
  <c r="P242" i="30"/>
  <c r="Q242" i="30"/>
  <c r="R242" i="30"/>
  <c r="V242" i="30" l="1"/>
  <c r="T242" i="30"/>
  <c r="U242" i="30"/>
  <c r="S242" i="30"/>
  <c r="Z242" i="30" l="1"/>
  <c r="B243" i="30" s="1"/>
  <c r="X242" i="30"/>
  <c r="W242" i="30"/>
  <c r="AB242" i="30" s="1"/>
  <c r="Y242" i="30"/>
  <c r="AD242" i="30" s="1"/>
  <c r="AC242" i="30" l="1"/>
  <c r="AE242" i="30" s="1"/>
  <c r="D243" i="30"/>
  <c r="C243" i="30"/>
  <c r="F243" i="30"/>
  <c r="J243" i="30" l="1"/>
  <c r="H243" i="30"/>
  <c r="G243" i="30"/>
  <c r="I243" i="30"/>
  <c r="K243" i="30" l="1"/>
  <c r="N243" i="30"/>
  <c r="M243" i="30"/>
  <c r="L243" i="30"/>
  <c r="P243" i="30" l="1"/>
  <c r="Q243" i="30"/>
  <c r="R243" i="30"/>
  <c r="O243" i="30"/>
  <c r="V243" i="30" l="1"/>
  <c r="U243" i="30"/>
  <c r="S243" i="30"/>
  <c r="T243" i="30"/>
  <c r="Z243" i="30" l="1"/>
  <c r="B244" i="30" s="1"/>
  <c r="X243" i="30"/>
  <c r="Y243" i="30"/>
  <c r="AD243" i="30" s="1"/>
  <c r="W243" i="30"/>
  <c r="AB243" i="30" s="1"/>
  <c r="AC243" i="30" l="1"/>
  <c r="AE243" i="30" s="1"/>
  <c r="D244" i="30"/>
  <c r="F244" i="30"/>
  <c r="C244" i="30"/>
  <c r="J244" i="30" l="1"/>
  <c r="G244" i="30"/>
  <c r="H244" i="30"/>
  <c r="I244" i="30"/>
  <c r="N244" i="30" l="1"/>
  <c r="M244" i="30"/>
  <c r="K244" i="30"/>
  <c r="L244" i="30"/>
  <c r="O244" i="30" l="1"/>
  <c r="R244" i="30"/>
  <c r="P244" i="30"/>
  <c r="Q244" i="30"/>
  <c r="V244" i="30" l="1"/>
  <c r="T244" i="30"/>
  <c r="U244" i="30"/>
  <c r="S244" i="30"/>
  <c r="Z244" i="30" l="1"/>
  <c r="B245" i="30" s="1"/>
  <c r="W244" i="30"/>
  <c r="AB244" i="30" s="1"/>
  <c r="Y244" i="30"/>
  <c r="AD244" i="30" s="1"/>
  <c r="X244" i="30"/>
  <c r="AC244" i="30" l="1"/>
  <c r="AE244" i="30" s="1"/>
  <c r="C245" i="30"/>
  <c r="D245" i="30"/>
  <c r="F245" i="30"/>
  <c r="J245" i="30" l="1"/>
  <c r="G245" i="30"/>
  <c r="I245" i="30"/>
  <c r="H245" i="30"/>
  <c r="K245" i="30" l="1"/>
  <c r="N245" i="30"/>
  <c r="L245" i="30"/>
  <c r="M245" i="30"/>
  <c r="O245" i="30" l="1"/>
  <c r="Q245" i="30"/>
  <c r="R245" i="30"/>
  <c r="P245" i="30"/>
  <c r="V245" i="30" l="1"/>
  <c r="S245" i="30"/>
  <c r="T245" i="30"/>
  <c r="U245" i="30"/>
  <c r="Z245" i="30" l="1"/>
  <c r="B246" i="30" s="1"/>
  <c r="Y245" i="30"/>
  <c r="AD245" i="30" s="1"/>
  <c r="W245" i="30"/>
  <c r="AB245" i="30" s="1"/>
  <c r="X245" i="30"/>
  <c r="AC245" i="30" l="1"/>
  <c r="AE245" i="30" s="1"/>
  <c r="F246" i="30"/>
  <c r="C246" i="30"/>
  <c r="D246" i="30"/>
  <c r="J246" i="30" l="1"/>
  <c r="H246" i="30"/>
  <c r="G246" i="30"/>
  <c r="I246" i="30"/>
  <c r="N246" i="30" l="1"/>
  <c r="M246" i="30"/>
  <c r="K246" i="30"/>
  <c r="L246" i="30"/>
  <c r="Q246" i="30" l="1"/>
  <c r="O246" i="30"/>
  <c r="R246" i="30"/>
  <c r="P246" i="30"/>
  <c r="V246" i="30" l="1"/>
  <c r="U246" i="30"/>
  <c r="S246" i="30"/>
  <c r="T246" i="30"/>
  <c r="Z246" i="30" l="1"/>
  <c r="B247" i="30" s="1"/>
  <c r="X246" i="30"/>
  <c r="Y246" i="30"/>
  <c r="AD246" i="30" s="1"/>
  <c r="W246" i="30"/>
  <c r="AB246" i="30" s="1"/>
  <c r="AC246" i="30" l="1"/>
  <c r="AE246" i="30" s="1"/>
  <c r="F247" i="30"/>
  <c r="C247" i="30"/>
  <c r="D247" i="30"/>
  <c r="J247" i="30" l="1"/>
  <c r="G247" i="30"/>
  <c r="I247" i="30"/>
  <c r="H247" i="30"/>
  <c r="N247" i="30" l="1"/>
  <c r="K247" i="30"/>
  <c r="M247" i="30"/>
  <c r="L247" i="30"/>
  <c r="O247" i="30" l="1"/>
  <c r="P247" i="30"/>
  <c r="Q247" i="30"/>
  <c r="R247" i="30"/>
  <c r="V247" i="30" l="1"/>
  <c r="S247" i="30"/>
  <c r="U247" i="30"/>
  <c r="T247" i="30"/>
  <c r="Z247" i="30" l="1"/>
  <c r="B248" i="30" s="1"/>
  <c r="Y247" i="30"/>
  <c r="AD247" i="30" s="1"/>
  <c r="W247" i="30"/>
  <c r="AB247" i="30" s="1"/>
  <c r="X247" i="30"/>
  <c r="AC247" i="30" l="1"/>
  <c r="AE247" i="30" s="1"/>
  <c r="C248" i="30"/>
  <c r="F248" i="30"/>
  <c r="D248" i="30"/>
  <c r="J248" i="30" l="1"/>
  <c r="H248" i="30"/>
  <c r="I248" i="30"/>
  <c r="G248" i="30"/>
  <c r="N248" i="30" l="1"/>
  <c r="K248" i="30"/>
  <c r="L248" i="30"/>
  <c r="M248" i="30"/>
  <c r="Q248" i="30" l="1"/>
  <c r="P248" i="30"/>
  <c r="O248" i="30"/>
  <c r="R248" i="30"/>
  <c r="V248" i="30" l="1"/>
  <c r="S248" i="30"/>
  <c r="T248" i="30"/>
  <c r="U248" i="30"/>
  <c r="Z248" i="30" l="1"/>
  <c r="B249" i="30" s="1"/>
  <c r="Y248" i="30"/>
  <c r="AD248" i="30" s="1"/>
  <c r="X248" i="30"/>
  <c r="W248" i="30"/>
  <c r="AB248" i="30" s="1"/>
  <c r="AC248" i="30" l="1"/>
  <c r="AE248" i="30" s="1"/>
  <c r="F249" i="30"/>
  <c r="C249" i="30"/>
  <c r="D249" i="30"/>
  <c r="J249" i="30" l="1"/>
  <c r="G249" i="30"/>
  <c r="I249" i="30"/>
  <c r="H249" i="30"/>
  <c r="N249" i="30" l="1"/>
  <c r="K249" i="30"/>
  <c r="M249" i="30"/>
  <c r="L249" i="30"/>
  <c r="R249" i="30" l="1"/>
  <c r="O249" i="30"/>
  <c r="Q249" i="30"/>
  <c r="P249" i="30"/>
  <c r="V249" i="30" l="1"/>
  <c r="U249" i="30"/>
  <c r="S249" i="30"/>
  <c r="T249" i="30"/>
  <c r="Z249" i="30" l="1"/>
  <c r="B250" i="30" s="1"/>
  <c r="Y249" i="30"/>
  <c r="AD249" i="30" s="1"/>
  <c r="X249" i="30"/>
  <c r="W249" i="30"/>
  <c r="AB249" i="30" s="1"/>
  <c r="AC249" i="30" l="1"/>
  <c r="AE249" i="30" s="1"/>
  <c r="C250" i="30"/>
  <c r="F250" i="30"/>
  <c r="D250" i="30"/>
  <c r="J250" i="30" l="1"/>
  <c r="G250" i="30"/>
  <c r="I250" i="30"/>
  <c r="H250" i="30"/>
  <c r="N250" i="30" l="1"/>
  <c r="M250" i="30"/>
  <c r="L250" i="30"/>
  <c r="K250" i="30"/>
  <c r="P250" i="30" l="1"/>
  <c r="Q250" i="30"/>
  <c r="O250" i="30"/>
  <c r="R250" i="30"/>
  <c r="V250" i="30" l="1"/>
  <c r="U250" i="30"/>
  <c r="S250" i="30"/>
  <c r="T250" i="30"/>
  <c r="Z250" i="30" l="1"/>
  <c r="B251" i="30" s="1"/>
  <c r="Y250" i="30"/>
  <c r="AD250" i="30" s="1"/>
  <c r="X250" i="30"/>
  <c r="W250" i="30"/>
  <c r="AB250" i="30" s="1"/>
  <c r="AC250" i="30" l="1"/>
  <c r="AE250" i="30" s="1"/>
  <c r="F251" i="30"/>
  <c r="C251" i="30"/>
  <c r="D251" i="30"/>
  <c r="J251" i="30" l="1"/>
  <c r="I251" i="30"/>
  <c r="H251" i="30"/>
  <c r="G251" i="30"/>
  <c r="N251" i="30" l="1"/>
  <c r="K251" i="30"/>
  <c r="M251" i="30"/>
  <c r="L251" i="30"/>
  <c r="O251" i="30" l="1"/>
  <c r="P251" i="30"/>
  <c r="R251" i="30"/>
  <c r="Q251" i="30"/>
  <c r="V251" i="30" l="1"/>
  <c r="T251" i="30"/>
  <c r="S251" i="30"/>
  <c r="U251" i="30"/>
  <c r="Z251" i="30" l="1"/>
  <c r="B252" i="30" s="1"/>
  <c r="Y251" i="30"/>
  <c r="AD251" i="30" s="1"/>
  <c r="W251" i="30"/>
  <c r="AB251" i="30" s="1"/>
  <c r="X251" i="30"/>
  <c r="AC251" i="30" l="1"/>
  <c r="AE251" i="30" s="1"/>
  <c r="D252" i="30"/>
  <c r="F252" i="30"/>
  <c r="C252" i="30"/>
  <c r="J252" i="30" l="1"/>
  <c r="I252" i="30"/>
  <c r="H252" i="30"/>
  <c r="G252" i="30"/>
  <c r="N252" i="30" l="1"/>
  <c r="L252" i="30"/>
  <c r="M252" i="30"/>
  <c r="K252" i="30"/>
  <c r="Q252" i="30" l="1"/>
  <c r="O252" i="30"/>
  <c r="P252" i="30"/>
  <c r="R252" i="30"/>
  <c r="V252" i="30" l="1"/>
  <c r="U252" i="30"/>
  <c r="T252" i="30"/>
  <c r="S252" i="30"/>
  <c r="Z252" i="30" l="1"/>
  <c r="B253" i="30" s="1"/>
  <c r="Y252" i="30"/>
  <c r="AD252" i="30" s="1"/>
  <c r="W252" i="30"/>
  <c r="AB252" i="30" s="1"/>
  <c r="X252" i="30"/>
  <c r="AC252" i="30" l="1"/>
  <c r="AE252" i="30" s="1"/>
  <c r="D253" i="30"/>
  <c r="F253" i="30"/>
  <c r="C253" i="30"/>
  <c r="J253" i="30" l="1"/>
  <c r="H253" i="30"/>
  <c r="G253" i="30"/>
  <c r="I253" i="30"/>
  <c r="N253" i="30" l="1"/>
  <c r="M253" i="30"/>
  <c r="L253" i="30"/>
  <c r="K253" i="30"/>
  <c r="P253" i="30" l="1"/>
  <c r="R253" i="30"/>
  <c r="O253" i="30"/>
  <c r="Q253" i="30"/>
  <c r="V253" i="30" l="1"/>
  <c r="S253" i="30"/>
  <c r="U253" i="30"/>
  <c r="T253" i="30"/>
  <c r="Z253" i="30" l="1"/>
  <c r="B254" i="30" s="1"/>
  <c r="Y253" i="30"/>
  <c r="AD253" i="30" s="1"/>
  <c r="W253" i="30"/>
  <c r="AB253" i="30" s="1"/>
  <c r="X253" i="30"/>
  <c r="AC253" i="30" l="1"/>
  <c r="AE253" i="30" s="1"/>
  <c r="C254" i="30"/>
  <c r="F254" i="30"/>
  <c r="D254" i="30"/>
  <c r="J254" i="30" l="1"/>
  <c r="I254" i="30"/>
  <c r="G254" i="30"/>
  <c r="H254" i="30"/>
  <c r="N254" i="30" l="1"/>
  <c r="M254" i="30"/>
  <c r="L254" i="30"/>
  <c r="K254" i="30"/>
  <c r="O254" i="30" l="1"/>
  <c r="Q254" i="30"/>
  <c r="R254" i="30"/>
  <c r="P254" i="30"/>
  <c r="V254" i="30" l="1"/>
  <c r="U254" i="30"/>
  <c r="T254" i="30"/>
  <c r="S254" i="30"/>
  <c r="Z254" i="30" l="1"/>
  <c r="B255" i="30" s="1"/>
  <c r="Y254" i="30"/>
  <c r="AD254" i="30" s="1"/>
  <c r="W254" i="30"/>
  <c r="AB254" i="30" s="1"/>
  <c r="X254" i="30"/>
  <c r="AC254" i="30" l="1"/>
  <c r="AE254" i="30" s="1"/>
  <c r="F255" i="30"/>
  <c r="C255" i="30"/>
  <c r="D255" i="30"/>
  <c r="J255" i="30" l="1"/>
  <c r="I255" i="30"/>
  <c r="H255" i="30"/>
  <c r="G255" i="30"/>
  <c r="N255" i="30" l="1"/>
  <c r="M255" i="30"/>
  <c r="L255" i="30"/>
  <c r="K255" i="30"/>
  <c r="P255" i="30" l="1"/>
  <c r="Q255" i="30"/>
  <c r="O255" i="30"/>
  <c r="R255" i="30"/>
  <c r="V255" i="30" l="1"/>
  <c r="S255" i="30"/>
  <c r="T255" i="30"/>
  <c r="U255" i="30"/>
  <c r="Z255" i="30" l="1"/>
  <c r="B256" i="30" s="1"/>
  <c r="Y255" i="30"/>
  <c r="AD255" i="30" s="1"/>
  <c r="W255" i="30"/>
  <c r="AB255" i="30" s="1"/>
  <c r="X255" i="30"/>
  <c r="AC255" i="30" l="1"/>
  <c r="AE255" i="30" s="1"/>
  <c r="D256" i="30"/>
  <c r="F256" i="30"/>
  <c r="C256" i="30"/>
  <c r="J256" i="30" l="1"/>
  <c r="H256" i="30"/>
  <c r="G256" i="30"/>
  <c r="I256" i="30"/>
  <c r="N256" i="30" l="1"/>
  <c r="M256" i="30"/>
  <c r="K256" i="30"/>
  <c r="L256" i="30"/>
  <c r="O256" i="30" l="1"/>
  <c r="Q256" i="30"/>
  <c r="P256" i="30"/>
  <c r="R256" i="30"/>
  <c r="V256" i="30" l="1"/>
  <c r="U256" i="30"/>
  <c r="T256" i="30"/>
  <c r="S256" i="30"/>
  <c r="Z256" i="30" l="1"/>
  <c r="B257" i="30" s="1"/>
  <c r="Y256" i="30"/>
  <c r="AD256" i="30" s="1"/>
  <c r="X256" i="30"/>
  <c r="W256" i="30"/>
  <c r="AB256" i="30" s="1"/>
  <c r="AC256" i="30" l="1"/>
  <c r="AE256" i="30" s="1"/>
  <c r="F257" i="30"/>
  <c r="C257" i="30"/>
  <c r="D257" i="30"/>
  <c r="J257" i="30" l="1"/>
  <c r="H257" i="30"/>
  <c r="G257" i="30"/>
  <c r="I257" i="30"/>
  <c r="N257" i="30" l="1"/>
  <c r="M257" i="30"/>
  <c r="K257" i="30"/>
  <c r="L257" i="30"/>
  <c r="P257" i="30" l="1"/>
  <c r="Q257" i="30"/>
  <c r="R257" i="30"/>
  <c r="O257" i="30"/>
  <c r="V257" i="30" l="1"/>
  <c r="T257" i="30"/>
  <c r="S257" i="30"/>
  <c r="U257" i="30"/>
  <c r="Z257" i="30" l="1"/>
  <c r="B258" i="30" s="1"/>
  <c r="Y257" i="30"/>
  <c r="AD257" i="30" s="1"/>
  <c r="X257" i="30"/>
  <c r="W257" i="30"/>
  <c r="AB257" i="30" s="1"/>
  <c r="AC257" i="30" l="1"/>
  <c r="AE257" i="30" s="1"/>
  <c r="F258" i="30"/>
  <c r="D258" i="30"/>
  <c r="C258" i="30"/>
  <c r="J258" i="30" l="1"/>
  <c r="G258" i="30"/>
  <c r="H258" i="30"/>
  <c r="N258" i="30" l="1"/>
  <c r="M258" i="30"/>
  <c r="K258" i="30"/>
  <c r="L258" i="30"/>
  <c r="R258" i="30" l="1"/>
  <c r="P258" i="30"/>
  <c r="Q258" i="30"/>
  <c r="O258" i="30"/>
  <c r="V258" i="30" l="1"/>
  <c r="U258" i="30"/>
  <c r="S258" i="30"/>
  <c r="T258" i="30"/>
  <c r="Z258" i="30" l="1"/>
  <c r="B259" i="30" s="1"/>
  <c r="Y258" i="30"/>
  <c r="AD258" i="30" s="1"/>
  <c r="W258" i="30"/>
  <c r="AB258" i="30" s="1"/>
  <c r="X258" i="30"/>
  <c r="AC258" i="30" l="1"/>
  <c r="AE258" i="30" s="1"/>
  <c r="C259" i="30"/>
  <c r="F259" i="30"/>
  <c r="D259" i="30"/>
  <c r="J259" i="30" l="1"/>
  <c r="H259" i="30"/>
  <c r="G259" i="30"/>
  <c r="N259" i="30" l="1"/>
  <c r="M259" i="30"/>
  <c r="K259" i="30"/>
  <c r="L259" i="30"/>
  <c r="Q259" i="30" l="1"/>
  <c r="O259" i="30"/>
  <c r="P259" i="30"/>
  <c r="R259" i="30"/>
  <c r="V259" i="30" l="1"/>
  <c r="T259" i="30"/>
  <c r="S259" i="30"/>
  <c r="U259" i="30"/>
  <c r="Z259" i="30" l="1"/>
  <c r="B260" i="30" s="1"/>
  <c r="Y259" i="30"/>
  <c r="AD259" i="30" s="1"/>
  <c r="X259" i="30"/>
  <c r="W259" i="30"/>
  <c r="AB259" i="30" s="1"/>
  <c r="AC259" i="30" l="1"/>
  <c r="AE259" i="30" s="1"/>
  <c r="F260" i="30"/>
  <c r="C260" i="30"/>
  <c r="D260" i="30"/>
  <c r="J260" i="30" l="1"/>
  <c r="G260" i="30"/>
  <c r="H260" i="30"/>
  <c r="N260" i="30" l="1"/>
  <c r="L260" i="30"/>
  <c r="M260" i="30"/>
  <c r="K260" i="30"/>
  <c r="O260" i="30" l="1"/>
  <c r="P260" i="30"/>
  <c r="R260" i="30"/>
  <c r="Q260" i="30"/>
  <c r="V260" i="30" l="1"/>
  <c r="S260" i="30"/>
  <c r="U260" i="30"/>
  <c r="T260" i="30"/>
  <c r="Z260" i="30" l="1"/>
  <c r="B261" i="30" s="1"/>
  <c r="Y260" i="30"/>
  <c r="AD260" i="30" s="1"/>
  <c r="W260" i="30"/>
  <c r="AB260" i="30" s="1"/>
  <c r="X260" i="30"/>
  <c r="AC260" i="30" l="1"/>
  <c r="AE260" i="30" s="1"/>
  <c r="C261" i="30"/>
  <c r="F261" i="30"/>
  <c r="D261" i="30"/>
  <c r="J261" i="30" l="1"/>
  <c r="G261" i="30"/>
  <c r="H261" i="30"/>
  <c r="N261" i="30" l="1"/>
  <c r="M261" i="30"/>
  <c r="L261" i="30"/>
  <c r="K261" i="30"/>
  <c r="O261" i="30" l="1"/>
  <c r="Q261" i="30"/>
  <c r="P261" i="30"/>
  <c r="R261" i="30"/>
  <c r="V261" i="30" l="1"/>
  <c r="U261" i="30"/>
  <c r="S261" i="30"/>
  <c r="T261" i="30"/>
  <c r="Z261" i="30" l="1"/>
  <c r="B262" i="30" s="1"/>
  <c r="Y261" i="30"/>
  <c r="AD261" i="30" s="1"/>
  <c r="X261" i="30"/>
  <c r="W261" i="30"/>
  <c r="AB261" i="30" s="1"/>
  <c r="AC261" i="30" l="1"/>
  <c r="AE261" i="30" s="1"/>
  <c r="D262" i="30"/>
  <c r="C262" i="30"/>
  <c r="F262" i="30"/>
  <c r="J262" i="30" l="1"/>
  <c r="H262" i="30"/>
  <c r="G262" i="30"/>
  <c r="N262" i="30" l="1"/>
  <c r="M262" i="30"/>
  <c r="K262" i="30"/>
  <c r="L262" i="30"/>
  <c r="P262" i="30" l="1"/>
  <c r="O262" i="30"/>
  <c r="R262" i="30"/>
  <c r="Q262" i="30"/>
  <c r="V262" i="30" l="1"/>
  <c r="S262" i="30"/>
  <c r="U262" i="30"/>
  <c r="T262" i="30"/>
  <c r="Z262" i="30" l="1"/>
  <c r="B263" i="30" s="1"/>
  <c r="Y262" i="30"/>
  <c r="AD262" i="30" s="1"/>
  <c r="W262" i="30"/>
  <c r="AB262" i="30" s="1"/>
  <c r="X262" i="30"/>
  <c r="AC262" i="30" l="1"/>
  <c r="AE262" i="30" s="1"/>
  <c r="F263" i="30"/>
  <c r="C263" i="30"/>
  <c r="D263" i="30"/>
  <c r="J263" i="30" l="1"/>
  <c r="H263" i="30"/>
  <c r="G263" i="30"/>
  <c r="N263" i="30" l="1"/>
  <c r="M263" i="30"/>
  <c r="K263" i="30"/>
  <c r="L263" i="30"/>
  <c r="P263" i="30" l="1"/>
  <c r="O263" i="30"/>
  <c r="R263" i="30"/>
  <c r="Q263" i="30"/>
  <c r="V263" i="30" l="1"/>
  <c r="S263" i="30"/>
  <c r="T263" i="30"/>
  <c r="U263" i="30"/>
  <c r="Z263" i="30" l="1"/>
  <c r="B264" i="30" s="1"/>
  <c r="Y263" i="30"/>
  <c r="AD263" i="30" s="1"/>
  <c r="W263" i="30"/>
  <c r="AB263" i="30" s="1"/>
  <c r="X263" i="30"/>
  <c r="AC263" i="30" l="1"/>
  <c r="AE263" i="30" s="1"/>
  <c r="D264" i="30"/>
  <c r="C264" i="30"/>
  <c r="F264" i="30"/>
  <c r="J264" i="30" l="1"/>
  <c r="H264" i="30"/>
  <c r="G264" i="30"/>
  <c r="N264" i="30" l="1"/>
  <c r="M264" i="30"/>
  <c r="L264" i="30"/>
  <c r="K264" i="30"/>
  <c r="P264" i="30" l="1"/>
  <c r="O264" i="30"/>
  <c r="Q264" i="30"/>
  <c r="R264" i="30"/>
  <c r="V264" i="30" l="1"/>
  <c r="S264" i="30"/>
  <c r="T264" i="30"/>
  <c r="U264" i="30"/>
  <c r="Z264" i="30" l="1"/>
  <c r="B265" i="30" s="1"/>
  <c r="Y264" i="30"/>
  <c r="AD264" i="30" s="1"/>
  <c r="X264" i="30"/>
  <c r="W264" i="30"/>
  <c r="AB264" i="30" s="1"/>
  <c r="AC264" i="30" l="1"/>
  <c r="AE264" i="30" s="1"/>
  <c r="D265" i="30"/>
  <c r="C265" i="30"/>
  <c r="F265" i="30"/>
  <c r="J265" i="30" l="1"/>
  <c r="G265" i="30"/>
  <c r="H265" i="30"/>
  <c r="N265" i="30" l="1"/>
  <c r="M265" i="30"/>
  <c r="L265" i="30"/>
  <c r="K265" i="30"/>
  <c r="O265" i="30" l="1"/>
  <c r="R265" i="30"/>
  <c r="P265" i="30"/>
  <c r="Q265" i="30"/>
  <c r="V265" i="30" l="1"/>
  <c r="U265" i="30"/>
  <c r="T265" i="30"/>
  <c r="S265" i="30"/>
  <c r="Z265" i="30" l="1"/>
  <c r="B266" i="30" s="1"/>
  <c r="W265" i="30"/>
  <c r="AB265" i="30" s="1"/>
  <c r="Y265" i="30"/>
  <c r="AD265" i="30" s="1"/>
  <c r="X265" i="30"/>
  <c r="AC265" i="30" l="1"/>
  <c r="AE265" i="30" s="1"/>
  <c r="D266" i="30"/>
  <c r="F266" i="30"/>
  <c r="C266" i="30"/>
  <c r="J266" i="30" l="1"/>
  <c r="H266" i="30"/>
  <c r="G266" i="30"/>
  <c r="N266" i="30" l="1"/>
  <c r="M266" i="30"/>
  <c r="K266" i="30"/>
  <c r="L266" i="30"/>
  <c r="Q266" i="30" l="1"/>
  <c r="O266" i="30"/>
  <c r="R266" i="30"/>
  <c r="P266" i="30"/>
  <c r="V266" i="30" l="1"/>
  <c r="T266" i="30"/>
  <c r="U266" i="30"/>
  <c r="S266" i="30"/>
  <c r="Z266" i="30" l="1"/>
  <c r="B267" i="30" s="1"/>
  <c r="Y266" i="30"/>
  <c r="AD266" i="30" s="1"/>
  <c r="X266" i="30"/>
  <c r="W266" i="30"/>
  <c r="AB266" i="30" s="1"/>
  <c r="AC266" i="30" l="1"/>
  <c r="AE266" i="30" s="1"/>
  <c r="F267" i="30"/>
  <c r="C267" i="30"/>
  <c r="D267" i="30"/>
  <c r="J267" i="30" l="1"/>
  <c r="H267" i="30"/>
  <c r="G267" i="30"/>
  <c r="N267" i="30" l="1"/>
  <c r="M267" i="30"/>
  <c r="K267" i="30"/>
  <c r="L267" i="30"/>
  <c r="O267" i="30" l="1"/>
  <c r="Q267" i="30"/>
  <c r="R267" i="30"/>
  <c r="P267" i="30"/>
  <c r="V267" i="30" l="1"/>
  <c r="U267" i="30"/>
  <c r="S267" i="30"/>
  <c r="T267" i="30"/>
  <c r="Z267" i="30" l="1"/>
  <c r="B268" i="30" s="1"/>
  <c r="Y267" i="30"/>
  <c r="AD267" i="30" s="1"/>
  <c r="X267" i="30"/>
  <c r="W267" i="30"/>
  <c r="AB267" i="30" s="1"/>
  <c r="AC267" i="30" l="1"/>
  <c r="AE267" i="30" s="1"/>
  <c r="D268" i="30"/>
  <c r="C268" i="30"/>
  <c r="F268" i="30"/>
  <c r="J268" i="30" l="1"/>
  <c r="G268" i="30"/>
  <c r="H268" i="30"/>
  <c r="N268" i="30" l="1"/>
  <c r="L268" i="30"/>
  <c r="M268" i="30"/>
  <c r="K268" i="30"/>
  <c r="Q268" i="30" l="1"/>
  <c r="O268" i="30"/>
  <c r="P268" i="30"/>
  <c r="R268" i="30"/>
  <c r="V268" i="30" l="1"/>
  <c r="U268" i="30"/>
  <c r="S268" i="30"/>
  <c r="T268" i="30"/>
  <c r="Z268" i="30" l="1"/>
  <c r="B269" i="30" s="1"/>
  <c r="X268" i="30"/>
  <c r="Y268" i="30"/>
  <c r="AD268" i="30" s="1"/>
  <c r="W268" i="30"/>
  <c r="AB268" i="30" s="1"/>
  <c r="AC268" i="30" l="1"/>
  <c r="AE268" i="30" s="1"/>
  <c r="D269" i="30"/>
  <c r="F269" i="30"/>
  <c r="C269" i="30"/>
  <c r="J269" i="30" l="1"/>
  <c r="H269" i="30"/>
  <c r="G269" i="30"/>
  <c r="N269" i="30" l="1"/>
  <c r="L269" i="30"/>
  <c r="K269" i="30"/>
  <c r="M269" i="30"/>
  <c r="O269" i="30" l="1"/>
  <c r="R269" i="30"/>
  <c r="P269" i="30"/>
  <c r="Q269" i="30"/>
  <c r="V269" i="30" l="1"/>
  <c r="U269" i="30"/>
  <c r="T269" i="30"/>
  <c r="S269" i="30"/>
  <c r="Z269" i="30" l="1"/>
  <c r="B270" i="30" s="1"/>
  <c r="Y269" i="30"/>
  <c r="AD269" i="30" s="1"/>
  <c r="X269" i="30"/>
  <c r="W269" i="30"/>
  <c r="AB269" i="30" s="1"/>
  <c r="AC269" i="30" l="1"/>
  <c r="AE269" i="30" s="1"/>
  <c r="C270" i="30"/>
  <c r="F270" i="30"/>
  <c r="D270" i="30"/>
  <c r="G270" i="30" l="1"/>
  <c r="J270" i="30"/>
  <c r="H270" i="30"/>
  <c r="N270" i="30" l="1"/>
  <c r="L270" i="30"/>
  <c r="M270" i="30"/>
  <c r="K270" i="30"/>
  <c r="O270" i="30" l="1"/>
  <c r="P270" i="30"/>
  <c r="R270" i="30"/>
  <c r="Q270" i="30"/>
  <c r="V270" i="30" l="1"/>
  <c r="S270" i="30"/>
  <c r="T270" i="30"/>
  <c r="U270" i="30"/>
  <c r="Z270" i="30" l="1"/>
  <c r="B271" i="30" s="1"/>
  <c r="X270" i="30"/>
  <c r="Y270" i="30"/>
  <c r="AD270" i="30" s="1"/>
  <c r="W270" i="30"/>
  <c r="AB270" i="30" s="1"/>
  <c r="AC270" i="30" l="1"/>
  <c r="AE270" i="30" s="1"/>
  <c r="D271" i="30"/>
  <c r="C271" i="30"/>
  <c r="F271" i="30"/>
  <c r="J271" i="30" l="1"/>
  <c r="H271" i="30"/>
  <c r="G271" i="30"/>
  <c r="N271" i="30" l="1"/>
  <c r="M271" i="30"/>
  <c r="L271" i="30"/>
  <c r="K271" i="30"/>
  <c r="P271" i="30" l="1"/>
  <c r="O271" i="30"/>
  <c r="R271" i="30"/>
  <c r="Q271" i="30"/>
  <c r="V271" i="30" l="1"/>
  <c r="U271" i="30"/>
  <c r="S271" i="30"/>
  <c r="T271" i="30"/>
  <c r="Z271" i="30" l="1"/>
  <c r="B272" i="30" s="1"/>
  <c r="Y271" i="30"/>
  <c r="AD271" i="30" s="1"/>
  <c r="X271" i="30"/>
  <c r="W271" i="30"/>
  <c r="AB271" i="30" s="1"/>
  <c r="AC271" i="30" l="1"/>
  <c r="AE271" i="30" s="1"/>
  <c r="D272" i="30"/>
  <c r="F272" i="30"/>
  <c r="C272" i="30"/>
  <c r="J272" i="30" l="1"/>
  <c r="G272" i="30"/>
  <c r="H272" i="30"/>
  <c r="N272" i="30" l="1"/>
  <c r="K272" i="30"/>
  <c r="M272" i="30"/>
  <c r="L272" i="30"/>
  <c r="O272" i="30" l="1"/>
  <c r="R272" i="30"/>
  <c r="Q272" i="30"/>
  <c r="P272" i="30"/>
  <c r="V272" i="30" l="1"/>
  <c r="T272" i="30"/>
  <c r="U272" i="30"/>
  <c r="S272" i="30"/>
  <c r="Z272" i="30" l="1"/>
  <c r="B273" i="30" s="1"/>
  <c r="X272" i="30"/>
  <c r="W272" i="30"/>
  <c r="AB272" i="30" s="1"/>
  <c r="Y272" i="30"/>
  <c r="AD272" i="30" s="1"/>
  <c r="AC272" i="30" l="1"/>
  <c r="AE272" i="30" s="1"/>
  <c r="C273" i="30"/>
  <c r="D273" i="30"/>
  <c r="F273" i="30"/>
  <c r="J273" i="30" l="1"/>
  <c r="G273" i="30"/>
  <c r="H273" i="30"/>
  <c r="N273" i="30" l="1"/>
  <c r="K273" i="30"/>
  <c r="L273" i="30"/>
  <c r="M273" i="30"/>
  <c r="O273" i="30" l="1"/>
  <c r="P273" i="30"/>
  <c r="R273" i="30"/>
  <c r="Q273" i="30"/>
  <c r="V273" i="30" l="1"/>
  <c r="S273" i="30"/>
  <c r="T273" i="30"/>
  <c r="U273" i="30"/>
  <c r="Z273" i="30" l="1"/>
  <c r="B274" i="30" s="1"/>
  <c r="Y273" i="30"/>
  <c r="AD273" i="30" s="1"/>
  <c r="X273" i="30"/>
  <c r="W273" i="30"/>
  <c r="AB273" i="30" s="1"/>
  <c r="AC273" i="30" l="1"/>
  <c r="AE273" i="30" s="1"/>
  <c r="F274" i="30"/>
  <c r="C274" i="30"/>
  <c r="D274" i="30"/>
  <c r="J274" i="30" l="1"/>
  <c r="G274" i="30"/>
  <c r="H274" i="30"/>
  <c r="K274" i="30" l="1"/>
  <c r="N274" i="30"/>
  <c r="L274" i="30"/>
  <c r="M274" i="30"/>
  <c r="Q274" i="30" l="1"/>
  <c r="P274" i="30"/>
  <c r="R274" i="30"/>
  <c r="O274" i="30"/>
  <c r="V274" i="30" l="1"/>
  <c r="S274" i="30"/>
  <c r="U274" i="30"/>
  <c r="T274" i="30"/>
  <c r="Z274" i="30" l="1"/>
  <c r="B275" i="30" s="1"/>
  <c r="Y274" i="30"/>
  <c r="AD274" i="30" s="1"/>
  <c r="X274" i="30"/>
  <c r="W274" i="30"/>
  <c r="AB274" i="30" s="1"/>
  <c r="AC274" i="30" l="1"/>
  <c r="AE274" i="30" s="1"/>
  <c r="D275" i="30"/>
  <c r="C275" i="30"/>
  <c r="F275" i="30"/>
  <c r="J275" i="30" l="1"/>
  <c r="G275" i="30"/>
  <c r="H275" i="30"/>
  <c r="N275" i="30" l="1"/>
  <c r="M275" i="30"/>
  <c r="K275" i="30"/>
  <c r="L275" i="30"/>
  <c r="P275" i="30" l="1"/>
  <c r="O275" i="30"/>
  <c r="R275" i="30"/>
  <c r="Q275" i="30"/>
  <c r="V275" i="30" l="1"/>
  <c r="U275" i="30"/>
  <c r="S275" i="30"/>
  <c r="T275" i="30"/>
  <c r="Z275" i="30" l="1"/>
  <c r="B276" i="30" s="1"/>
  <c r="X275" i="30"/>
  <c r="Y275" i="30"/>
  <c r="AD275" i="30" s="1"/>
  <c r="W275" i="30"/>
  <c r="AB275" i="30" s="1"/>
  <c r="AC275" i="30" l="1"/>
  <c r="AE275" i="30" s="1"/>
  <c r="C276" i="30"/>
  <c r="F276" i="30"/>
  <c r="D276" i="30"/>
  <c r="J276" i="30" l="1"/>
  <c r="G276" i="30"/>
  <c r="H276" i="30"/>
  <c r="N276" i="30" l="1"/>
  <c r="K276" i="30"/>
  <c r="L276" i="30"/>
  <c r="M276" i="30"/>
  <c r="P276" i="30" l="1"/>
  <c r="O276" i="30"/>
  <c r="Q276" i="30"/>
  <c r="R276" i="30"/>
  <c r="V276" i="30" l="1"/>
  <c r="U276" i="30"/>
  <c r="T276" i="30"/>
  <c r="S276" i="30"/>
  <c r="Z276" i="30" l="1"/>
  <c r="B277" i="30" s="1"/>
  <c r="Y276" i="30"/>
  <c r="AD276" i="30" s="1"/>
  <c r="W276" i="30"/>
  <c r="AB276" i="30" s="1"/>
  <c r="X276" i="30"/>
  <c r="AC276" i="30" l="1"/>
  <c r="AE276" i="30" s="1"/>
  <c r="C277" i="30"/>
  <c r="D277" i="30"/>
  <c r="F277" i="30"/>
  <c r="J277" i="30" l="1"/>
  <c r="G277" i="30"/>
  <c r="H277" i="30"/>
  <c r="N277" i="30" l="1"/>
  <c r="M277" i="30"/>
  <c r="K277" i="30"/>
  <c r="L277" i="30"/>
  <c r="O277" i="30" l="1"/>
  <c r="Q277" i="30"/>
  <c r="R277" i="30"/>
  <c r="P277" i="30"/>
  <c r="V277" i="30" l="1"/>
  <c r="U277" i="30"/>
  <c r="S277" i="30"/>
  <c r="T277" i="30"/>
  <c r="Z277" i="30" l="1"/>
  <c r="B278" i="30" s="1"/>
  <c r="Y277" i="30"/>
  <c r="AD277" i="30" s="1"/>
  <c r="X277" i="30"/>
  <c r="W277" i="30"/>
  <c r="AB277" i="30" s="1"/>
  <c r="AC277" i="30" l="1"/>
  <c r="AE277" i="30" s="1"/>
  <c r="D278" i="30"/>
  <c r="F278" i="30"/>
  <c r="C278" i="30"/>
  <c r="J278" i="30" l="1"/>
  <c r="G278" i="30"/>
  <c r="H278" i="30"/>
  <c r="N278" i="30" l="1"/>
  <c r="L278" i="30"/>
  <c r="M278" i="30"/>
  <c r="K278" i="30"/>
  <c r="P278" i="30" l="1"/>
  <c r="O278" i="30"/>
  <c r="R278" i="30"/>
  <c r="Q278" i="30"/>
  <c r="V278" i="30" l="1"/>
  <c r="T278" i="30"/>
  <c r="U278" i="30"/>
  <c r="S278" i="30"/>
  <c r="Z278" i="30" l="1"/>
  <c r="B279" i="30" s="1"/>
  <c r="Y278" i="30"/>
  <c r="AD278" i="30" s="1"/>
  <c r="W278" i="30"/>
  <c r="AB278" i="30" s="1"/>
  <c r="X278" i="30"/>
  <c r="AC278" i="30" l="1"/>
  <c r="AE278" i="30" s="1"/>
  <c r="F279" i="30"/>
  <c r="D279" i="30"/>
  <c r="C279" i="30"/>
  <c r="J279" i="30" l="1"/>
  <c r="G279" i="30"/>
  <c r="H279" i="30"/>
  <c r="N279" i="30" l="1"/>
  <c r="M279" i="30"/>
  <c r="L279" i="30"/>
  <c r="K279" i="30"/>
  <c r="Q279" i="30" l="1"/>
  <c r="R279" i="30"/>
  <c r="P279" i="30"/>
  <c r="O279" i="30"/>
  <c r="V279" i="30" l="1"/>
  <c r="S279" i="30"/>
  <c r="T279" i="30"/>
  <c r="U279" i="30"/>
  <c r="Z279" i="30" l="1"/>
  <c r="B280" i="30" s="1"/>
  <c r="Y279" i="30"/>
  <c r="AD279" i="30" s="1"/>
  <c r="W279" i="30"/>
  <c r="AB279" i="30" s="1"/>
  <c r="X279" i="30"/>
  <c r="AC279" i="30" l="1"/>
  <c r="AE279" i="30" s="1"/>
  <c r="D280" i="30"/>
  <c r="F280" i="30"/>
  <c r="C280" i="30"/>
  <c r="J280" i="30" l="1"/>
  <c r="G280" i="30"/>
  <c r="H280" i="30"/>
  <c r="N280" i="30" l="1"/>
  <c r="L280" i="30"/>
  <c r="K280" i="30"/>
  <c r="M280" i="30"/>
  <c r="O280" i="30" l="1"/>
  <c r="Q280" i="30"/>
  <c r="P280" i="30"/>
  <c r="R280" i="30"/>
  <c r="V280" i="30" l="1"/>
  <c r="T280" i="30"/>
  <c r="U280" i="30"/>
  <c r="S280" i="30"/>
  <c r="Z280" i="30" l="1"/>
  <c r="B281" i="30" s="1"/>
  <c r="W280" i="30"/>
  <c r="AB280" i="30" s="1"/>
  <c r="X280" i="30"/>
  <c r="Y280" i="30"/>
  <c r="AD280" i="30" s="1"/>
  <c r="AC280" i="30" l="1"/>
  <c r="AE280" i="30" s="1"/>
  <c r="F281" i="30"/>
  <c r="D281" i="30"/>
  <c r="C281" i="30"/>
  <c r="J281" i="30" l="1"/>
  <c r="G281" i="30"/>
  <c r="H281" i="30"/>
  <c r="N281" i="30" l="1"/>
  <c r="K281" i="30"/>
  <c r="L281" i="30"/>
  <c r="M281" i="30"/>
  <c r="P281" i="30" l="1"/>
  <c r="R281" i="30"/>
  <c r="Q281" i="30"/>
  <c r="O281" i="30"/>
  <c r="V281" i="30" l="1"/>
  <c r="U281" i="30"/>
  <c r="S281" i="30"/>
  <c r="T281" i="30"/>
  <c r="Z281" i="30" l="1"/>
  <c r="B282" i="30" s="1"/>
  <c r="Y281" i="30"/>
  <c r="AD281" i="30" s="1"/>
  <c r="W281" i="30"/>
  <c r="AB281" i="30" s="1"/>
  <c r="X281" i="30"/>
  <c r="AC281" i="30" l="1"/>
  <c r="AE281" i="30" s="1"/>
  <c r="D282" i="30"/>
  <c r="F282" i="30"/>
  <c r="C282" i="30"/>
  <c r="J282" i="30" l="1"/>
  <c r="G282" i="30"/>
  <c r="H282" i="30"/>
  <c r="N282" i="30" l="1"/>
  <c r="M282" i="30"/>
  <c r="K282" i="30"/>
  <c r="L282" i="30"/>
  <c r="O282" i="30" l="1"/>
  <c r="P282" i="30"/>
  <c r="Q282" i="30"/>
  <c r="R282" i="30"/>
  <c r="V282" i="30" l="1"/>
  <c r="T282" i="30"/>
  <c r="U282" i="30"/>
  <c r="S282" i="30"/>
  <c r="Z282" i="30" l="1"/>
  <c r="B283" i="30" s="1"/>
  <c r="W282" i="30"/>
  <c r="AB282" i="30" s="1"/>
  <c r="Y282" i="30"/>
  <c r="AD282" i="30" s="1"/>
  <c r="X282" i="30"/>
  <c r="AC282" i="30" l="1"/>
  <c r="AE282" i="30" s="1"/>
  <c r="F283" i="30"/>
  <c r="D283" i="30"/>
  <c r="C283" i="30"/>
  <c r="J283" i="30" l="1"/>
  <c r="H283" i="30"/>
  <c r="G283" i="30"/>
  <c r="N283" i="30" l="1"/>
  <c r="M283" i="30"/>
  <c r="L283" i="30"/>
  <c r="K283" i="30"/>
  <c r="P283" i="30" l="1"/>
  <c r="O283" i="30"/>
  <c r="Q283" i="30"/>
  <c r="R283" i="30"/>
  <c r="V283" i="30" l="1"/>
  <c r="T283" i="30"/>
  <c r="U283" i="30"/>
  <c r="S283" i="30"/>
  <c r="Z283" i="30" l="1"/>
  <c r="B284" i="30" s="1"/>
  <c r="Y283" i="30"/>
  <c r="AD283" i="30" s="1"/>
  <c r="W283" i="30"/>
  <c r="AB283" i="30" s="1"/>
  <c r="X283" i="30"/>
  <c r="AC283" i="30" l="1"/>
  <c r="AE283" i="30" s="1"/>
  <c r="C284" i="30"/>
  <c r="F284" i="30"/>
  <c r="D284" i="30"/>
  <c r="J284" i="30" l="1"/>
  <c r="G284" i="30"/>
  <c r="H284" i="30"/>
  <c r="N284" i="30" l="1"/>
  <c r="M284" i="30"/>
  <c r="K284" i="30"/>
  <c r="L284" i="30"/>
  <c r="O284" i="30" l="1"/>
  <c r="P284" i="30"/>
  <c r="Q284" i="30"/>
  <c r="R284" i="30"/>
  <c r="V284" i="30" l="1"/>
  <c r="U284" i="30"/>
  <c r="S284" i="30"/>
  <c r="T284" i="30"/>
  <c r="Z284" i="30" l="1"/>
  <c r="B285" i="30" s="1"/>
  <c r="Y284" i="30"/>
  <c r="AD284" i="30" s="1"/>
  <c r="W284" i="30"/>
  <c r="AB284" i="30" s="1"/>
  <c r="X284" i="30"/>
  <c r="AC284" i="30" l="1"/>
  <c r="AE284" i="30" s="1"/>
  <c r="D285" i="30"/>
  <c r="F285" i="30"/>
  <c r="C285" i="30"/>
  <c r="J285" i="30" l="1"/>
  <c r="G285" i="30"/>
  <c r="H285" i="30"/>
  <c r="N285" i="30" l="1"/>
  <c r="M285" i="30"/>
  <c r="L285" i="30"/>
  <c r="K285" i="30"/>
  <c r="Q285" i="30" l="1"/>
  <c r="O285" i="30"/>
  <c r="R285" i="30"/>
  <c r="P285" i="30"/>
  <c r="V285" i="30" l="1"/>
  <c r="U285" i="30"/>
  <c r="T285" i="30"/>
  <c r="S285" i="30"/>
  <c r="Z285" i="30" l="1"/>
  <c r="B286" i="30" s="1"/>
  <c r="X285" i="30"/>
  <c r="W285" i="30"/>
  <c r="AB285" i="30" s="1"/>
  <c r="Y285" i="30"/>
  <c r="AD285" i="30" s="1"/>
  <c r="AC285" i="30" l="1"/>
  <c r="AE285" i="30" s="1"/>
  <c r="C286" i="30"/>
  <c r="D286" i="30"/>
  <c r="F286" i="30"/>
  <c r="J286" i="30" l="1"/>
  <c r="G286" i="30"/>
  <c r="H286" i="30"/>
  <c r="N286" i="30" l="1"/>
  <c r="M286" i="30"/>
  <c r="K286" i="30"/>
  <c r="L286" i="30"/>
  <c r="Q286" i="30" l="1"/>
  <c r="P286" i="30"/>
  <c r="R286" i="30"/>
  <c r="O286" i="30"/>
  <c r="V286" i="30" l="1"/>
  <c r="S286" i="30"/>
  <c r="T286" i="30"/>
  <c r="U286" i="30"/>
  <c r="Z286" i="30" l="1"/>
  <c r="B287" i="30" s="1"/>
  <c r="Y286" i="30"/>
  <c r="AD286" i="30" s="1"/>
  <c r="W286" i="30"/>
  <c r="AB286" i="30" s="1"/>
  <c r="X286" i="30"/>
  <c r="AC286" i="30" l="1"/>
  <c r="AE286" i="30" s="1"/>
  <c r="D287" i="30"/>
  <c r="F287" i="30"/>
  <c r="C287" i="30"/>
  <c r="J287" i="30" l="1"/>
  <c r="H287" i="30"/>
  <c r="G287" i="30"/>
  <c r="N287" i="30" l="1"/>
  <c r="M287" i="30"/>
  <c r="L287" i="30"/>
  <c r="K287" i="30"/>
  <c r="P287" i="30" l="1"/>
  <c r="O287" i="30"/>
  <c r="R287" i="30"/>
  <c r="Q287" i="30"/>
  <c r="V287" i="30" l="1"/>
  <c r="U287" i="30"/>
  <c r="S287" i="30"/>
  <c r="T287" i="30"/>
  <c r="Z287" i="30" l="1"/>
  <c r="B288" i="30" s="1"/>
  <c r="Y287" i="30"/>
  <c r="AD287" i="30" s="1"/>
  <c r="X287" i="30"/>
  <c r="W287" i="30"/>
  <c r="AB287" i="30" s="1"/>
  <c r="AC287" i="30" l="1"/>
  <c r="AE287" i="30" s="1"/>
  <c r="C288" i="30"/>
  <c r="D288" i="30"/>
  <c r="F288" i="30"/>
  <c r="J288" i="30" l="1"/>
  <c r="G288" i="30"/>
  <c r="H288" i="30"/>
  <c r="N288" i="30" l="1"/>
  <c r="L288" i="30"/>
  <c r="M288" i="30"/>
  <c r="K288" i="30"/>
  <c r="R288" i="30" l="1"/>
  <c r="O288" i="30"/>
  <c r="Q288" i="30"/>
  <c r="P288" i="30"/>
  <c r="V288" i="30" l="1"/>
  <c r="U288" i="30"/>
  <c r="S288" i="30"/>
  <c r="T288" i="30"/>
  <c r="Z288" i="30" l="1"/>
  <c r="B289" i="30" s="1"/>
  <c r="Y288" i="30"/>
  <c r="AD288" i="30" s="1"/>
  <c r="W288" i="30"/>
  <c r="AB288" i="30" s="1"/>
  <c r="X288" i="30"/>
  <c r="AC288" i="30" l="1"/>
  <c r="AE288" i="30" s="1"/>
  <c r="D289" i="30"/>
  <c r="C289" i="30"/>
  <c r="F289" i="30"/>
  <c r="J289" i="30" l="1"/>
  <c r="H289" i="30"/>
  <c r="G289" i="30"/>
  <c r="N289" i="30" l="1"/>
  <c r="M289" i="30"/>
  <c r="K289" i="30"/>
  <c r="L289" i="30"/>
  <c r="P289" i="30" l="1"/>
  <c r="O289" i="30"/>
  <c r="R289" i="30"/>
  <c r="Q289" i="30"/>
  <c r="V289" i="30" l="1"/>
  <c r="U289" i="30"/>
  <c r="S289" i="30"/>
  <c r="T289" i="30"/>
  <c r="Z289" i="30" l="1"/>
  <c r="B290" i="30" s="1"/>
  <c r="Y289" i="30"/>
  <c r="AD289" i="30" s="1"/>
  <c r="X289" i="30"/>
  <c r="W289" i="30"/>
  <c r="AB289" i="30" s="1"/>
  <c r="AC289" i="30" l="1"/>
  <c r="AE289" i="30" s="1"/>
  <c r="D290" i="30"/>
  <c r="F290" i="30"/>
  <c r="C290" i="30"/>
  <c r="J290" i="30" l="1"/>
  <c r="G290" i="30"/>
  <c r="H290" i="30"/>
  <c r="N290" i="30" l="1"/>
  <c r="M290" i="30"/>
  <c r="K290" i="30"/>
  <c r="L290" i="30"/>
  <c r="O290" i="30" l="1"/>
  <c r="R290" i="30"/>
  <c r="P290" i="30"/>
  <c r="Q290" i="30"/>
  <c r="V290" i="30" l="1"/>
  <c r="U290" i="30"/>
  <c r="S290" i="30"/>
  <c r="T290" i="30"/>
  <c r="Z290" i="30" l="1"/>
  <c r="B291" i="30" s="1"/>
  <c r="Y290" i="30"/>
  <c r="AD290" i="30" s="1"/>
  <c r="W290" i="30"/>
  <c r="AB290" i="30" s="1"/>
  <c r="X290" i="30"/>
  <c r="AC290" i="30" l="1"/>
  <c r="AE290" i="30" s="1"/>
  <c r="F291" i="30"/>
  <c r="C291" i="30"/>
  <c r="D291" i="30"/>
  <c r="J291" i="30" l="1"/>
  <c r="H291" i="30"/>
  <c r="G291" i="30"/>
  <c r="N291" i="30" l="1"/>
  <c r="K291" i="30"/>
  <c r="L291" i="30"/>
  <c r="M291" i="30"/>
  <c r="O291" i="30" l="1"/>
  <c r="P291" i="30"/>
  <c r="R291" i="30"/>
  <c r="Q291" i="30"/>
  <c r="V291" i="30" l="1"/>
  <c r="S291" i="30"/>
  <c r="T291" i="30"/>
  <c r="U291" i="30"/>
  <c r="Z291" i="30" l="1"/>
  <c r="B292" i="30" s="1"/>
  <c r="Y291" i="30"/>
  <c r="AD291" i="30" s="1"/>
  <c r="W291" i="30"/>
  <c r="AB291" i="30" s="1"/>
  <c r="X291" i="30"/>
  <c r="AC291" i="30" l="1"/>
  <c r="AE291" i="30" s="1"/>
  <c r="F292" i="30"/>
  <c r="C292" i="30"/>
  <c r="D292" i="30"/>
  <c r="J292" i="30" l="1"/>
  <c r="G292" i="30"/>
  <c r="H292" i="30"/>
  <c r="N292" i="30" l="1"/>
  <c r="K292" i="30"/>
  <c r="L292" i="30"/>
  <c r="M292" i="30"/>
  <c r="Q292" i="30" l="1"/>
  <c r="P292" i="30"/>
  <c r="O292" i="30"/>
  <c r="R292" i="30"/>
  <c r="V292" i="30" l="1"/>
  <c r="S292" i="30"/>
  <c r="U292" i="30"/>
  <c r="T292" i="30"/>
  <c r="Z292" i="30" l="1"/>
  <c r="B293" i="30" s="1"/>
  <c r="Y292" i="30"/>
  <c r="AD292" i="30" s="1"/>
  <c r="W292" i="30"/>
  <c r="AB292" i="30" s="1"/>
  <c r="X292" i="30"/>
  <c r="AC292" i="30" l="1"/>
  <c r="AE292" i="30" s="1"/>
  <c r="C293" i="30"/>
  <c r="F293" i="30"/>
  <c r="D293" i="30"/>
  <c r="J293" i="30" l="1"/>
  <c r="G293" i="30"/>
  <c r="H293" i="30"/>
  <c r="N293" i="30" l="1"/>
  <c r="M293" i="30"/>
  <c r="L293" i="30"/>
  <c r="K293" i="30"/>
  <c r="O293" i="30" l="1"/>
  <c r="Q293" i="30"/>
  <c r="P293" i="30"/>
  <c r="R293" i="30"/>
  <c r="V293" i="30" l="1"/>
  <c r="T293" i="30"/>
  <c r="U293" i="30"/>
  <c r="S293" i="30"/>
  <c r="Z293" i="30" l="1"/>
  <c r="B294" i="30" s="1"/>
  <c r="Y293" i="30"/>
  <c r="AD293" i="30" s="1"/>
  <c r="X293" i="30"/>
  <c r="W293" i="30"/>
  <c r="AB293" i="30" s="1"/>
  <c r="AC293" i="30" l="1"/>
  <c r="AE293" i="30" s="1"/>
  <c r="F294" i="30"/>
  <c r="C294" i="30"/>
  <c r="D294" i="30"/>
  <c r="J294" i="30" l="1"/>
  <c r="G294" i="30"/>
  <c r="H294" i="30"/>
  <c r="N294" i="30" l="1"/>
  <c r="K294" i="30"/>
  <c r="M294" i="30"/>
  <c r="L294" i="30"/>
  <c r="O294" i="30" l="1"/>
  <c r="P294" i="30"/>
  <c r="R294" i="30"/>
  <c r="Q294" i="30"/>
  <c r="V294" i="30" l="1"/>
  <c r="U294" i="30"/>
  <c r="S294" i="30"/>
  <c r="T294" i="30"/>
  <c r="Z294" i="30" l="1"/>
  <c r="B295" i="30" s="1"/>
  <c r="W294" i="30"/>
  <c r="AB294" i="30" s="1"/>
  <c r="X294" i="30"/>
  <c r="Y294" i="30"/>
  <c r="AD294" i="30" s="1"/>
  <c r="AC294" i="30" l="1"/>
  <c r="AE294" i="30" s="1"/>
  <c r="C295" i="30"/>
  <c r="F295" i="30"/>
  <c r="D295" i="30"/>
  <c r="G295" i="30" l="1"/>
  <c r="J295" i="30"/>
  <c r="H295" i="30"/>
  <c r="N295" i="30" l="1"/>
  <c r="M295" i="30"/>
  <c r="K295" i="30"/>
  <c r="L295" i="30"/>
  <c r="Q295" i="30" l="1"/>
  <c r="P295" i="30"/>
  <c r="O295" i="30"/>
  <c r="R295" i="30"/>
  <c r="V295" i="30" l="1"/>
  <c r="U295" i="30"/>
  <c r="S295" i="30"/>
  <c r="T295" i="30"/>
  <c r="Z295" i="30" l="1"/>
  <c r="B296" i="30" s="1"/>
  <c r="Y295" i="30"/>
  <c r="AD295" i="30" s="1"/>
  <c r="W295" i="30"/>
  <c r="AB295" i="30" s="1"/>
  <c r="X295" i="30"/>
  <c r="AC295" i="30" l="1"/>
  <c r="AE295" i="30" s="1"/>
  <c r="F296" i="30"/>
  <c r="D296" i="30"/>
  <c r="C296" i="30"/>
  <c r="J296" i="30" l="1"/>
  <c r="H296" i="30"/>
  <c r="G296" i="30"/>
  <c r="K296" i="30" l="1"/>
  <c r="M296" i="30"/>
  <c r="N296" i="30"/>
  <c r="L296" i="30"/>
  <c r="O296" i="30" l="1"/>
  <c r="P296" i="30"/>
  <c r="R296" i="30"/>
  <c r="Q296" i="30"/>
  <c r="V296" i="30" l="1"/>
  <c r="T296" i="30"/>
  <c r="S296" i="30"/>
  <c r="U296" i="30"/>
  <c r="Z296" i="30" l="1"/>
  <c r="B297" i="30" s="1"/>
  <c r="Y296" i="30"/>
  <c r="AD296" i="30" s="1"/>
  <c r="X296" i="30"/>
  <c r="W296" i="30"/>
  <c r="AB296" i="30" s="1"/>
  <c r="AC296" i="30" l="1"/>
  <c r="AE296" i="30" s="1"/>
  <c r="F297" i="30"/>
  <c r="C297" i="30"/>
  <c r="D297" i="30"/>
  <c r="J297" i="30" l="1"/>
  <c r="G297" i="30"/>
  <c r="H297" i="30"/>
  <c r="N297" i="30" l="1"/>
  <c r="M297" i="30"/>
  <c r="L297" i="30"/>
  <c r="K297" i="30"/>
  <c r="Q297" i="30" l="1"/>
  <c r="O297" i="30"/>
  <c r="P297" i="30"/>
  <c r="R297" i="30"/>
  <c r="V297" i="30" l="1"/>
  <c r="U297" i="30"/>
  <c r="T297" i="30"/>
  <c r="S297" i="30"/>
  <c r="Z297" i="30" l="1"/>
  <c r="B298" i="30" s="1"/>
  <c r="W297" i="30"/>
  <c r="AB297" i="30" s="1"/>
  <c r="X297" i="30"/>
  <c r="Y297" i="30"/>
  <c r="AD297" i="30" s="1"/>
  <c r="AC297" i="30" l="1"/>
  <c r="AE297" i="30" s="1"/>
  <c r="C298" i="30"/>
  <c r="F298" i="30"/>
  <c r="D298" i="30"/>
  <c r="H298" i="30" l="1"/>
  <c r="J298" i="30"/>
  <c r="G298" i="30"/>
  <c r="N298" i="30" l="1"/>
  <c r="M298" i="30"/>
  <c r="L298" i="30"/>
  <c r="K298" i="30"/>
  <c r="Q298" i="30" l="1"/>
  <c r="P298" i="30"/>
  <c r="O298" i="30"/>
  <c r="R298" i="30"/>
  <c r="V298" i="30" l="1"/>
  <c r="S298" i="30"/>
  <c r="U298" i="30"/>
  <c r="T298" i="30"/>
  <c r="Z298" i="30" l="1"/>
  <c r="B299" i="30" s="1"/>
  <c r="X298" i="30"/>
  <c r="Y298" i="30"/>
  <c r="AD298" i="30" s="1"/>
  <c r="W298" i="30"/>
  <c r="AB298" i="30" s="1"/>
  <c r="AC298" i="30" l="1"/>
  <c r="AE298" i="30" s="1"/>
  <c r="F299" i="30"/>
  <c r="D299" i="30"/>
  <c r="C299" i="30"/>
  <c r="J299" i="30" l="1"/>
  <c r="G299" i="30"/>
  <c r="H299" i="30"/>
  <c r="N299" i="30" l="1"/>
  <c r="M299" i="30"/>
  <c r="K299" i="30"/>
  <c r="L299" i="30"/>
  <c r="O299" i="30" l="1"/>
  <c r="Q299" i="30"/>
  <c r="P299" i="30"/>
  <c r="R299" i="30"/>
  <c r="V299" i="30" l="1"/>
  <c r="T299" i="30"/>
  <c r="S299" i="30"/>
  <c r="U299" i="30"/>
  <c r="Z299" i="30" l="1"/>
  <c r="B300" i="30" s="1"/>
  <c r="Y299" i="30"/>
  <c r="AD299" i="30" s="1"/>
  <c r="X299" i="30"/>
  <c r="W299" i="30"/>
  <c r="AB299" i="30" s="1"/>
  <c r="AC299" i="30" l="1"/>
  <c r="AE299" i="30" s="1"/>
  <c r="D300" i="30"/>
  <c r="F300" i="30"/>
  <c r="C300" i="30"/>
  <c r="J300" i="30" l="1"/>
  <c r="G300" i="30"/>
  <c r="H300" i="30"/>
  <c r="N300" i="30" l="1"/>
  <c r="L300" i="30"/>
  <c r="M300" i="30"/>
  <c r="K300" i="30"/>
  <c r="Q300" i="30" l="1"/>
  <c r="P300" i="30"/>
  <c r="O300" i="30"/>
  <c r="R300" i="30"/>
  <c r="V300" i="30" l="1"/>
  <c r="S300" i="30"/>
  <c r="T300" i="30"/>
  <c r="U300" i="30"/>
  <c r="Z300" i="30" l="1"/>
  <c r="B301" i="30" s="1"/>
  <c r="Y300" i="30"/>
  <c r="AD300" i="30" s="1"/>
  <c r="W300" i="30"/>
  <c r="AB300" i="30" s="1"/>
  <c r="X300" i="30"/>
  <c r="AC300" i="30" l="1"/>
  <c r="AE300" i="30" s="1"/>
  <c r="F301" i="30"/>
  <c r="D301" i="30"/>
  <c r="C301" i="30"/>
  <c r="J301" i="30" l="1"/>
  <c r="H301" i="30"/>
  <c r="G301" i="30"/>
  <c r="N301" i="30" l="1"/>
  <c r="M301" i="30"/>
  <c r="K301" i="30"/>
  <c r="L301" i="30"/>
  <c r="P301" i="30" l="1"/>
  <c r="O301" i="30"/>
  <c r="R301" i="30"/>
  <c r="Q301" i="30"/>
  <c r="V301" i="30" l="1"/>
  <c r="T301" i="30"/>
  <c r="U301" i="30"/>
  <c r="S301" i="30"/>
  <c r="Z301" i="30" l="1"/>
  <c r="B302" i="30" s="1"/>
  <c r="Y301" i="30"/>
  <c r="AD301" i="30" s="1"/>
  <c r="W301" i="30"/>
  <c r="AB301" i="30" s="1"/>
  <c r="X301" i="30"/>
  <c r="AC301" i="30" l="1"/>
  <c r="AE301" i="30" s="1"/>
  <c r="F302" i="30"/>
  <c r="D302" i="30"/>
  <c r="C302" i="30"/>
  <c r="J302" i="30" l="1"/>
  <c r="G302" i="30"/>
  <c r="H302" i="30"/>
  <c r="N302" i="30" l="1"/>
  <c r="K302" i="30"/>
  <c r="M302" i="30"/>
  <c r="L302" i="30"/>
  <c r="O302" i="30" l="1"/>
  <c r="P302" i="30"/>
  <c r="Q302" i="30"/>
  <c r="R302" i="30"/>
  <c r="V302" i="30" l="1"/>
  <c r="T302" i="30"/>
  <c r="U302" i="30"/>
  <c r="S302" i="30"/>
  <c r="Z302" i="30" l="1"/>
  <c r="B303" i="30" s="1"/>
  <c r="Y302" i="30"/>
  <c r="AD302" i="30" s="1"/>
  <c r="W302" i="30"/>
  <c r="AB302" i="30" s="1"/>
  <c r="X302" i="30"/>
  <c r="AC302" i="30" l="1"/>
  <c r="AE302" i="30" s="1"/>
  <c r="C303" i="30"/>
  <c r="D303" i="30"/>
  <c r="F303" i="30"/>
  <c r="J303" i="30" l="1"/>
  <c r="G303" i="30"/>
  <c r="H303" i="30"/>
  <c r="N303" i="30" l="1"/>
  <c r="M303" i="30"/>
  <c r="L303" i="30"/>
  <c r="K303" i="30"/>
  <c r="P303" i="30" l="1"/>
  <c r="Q303" i="30"/>
  <c r="O303" i="30"/>
  <c r="R303" i="30"/>
  <c r="V303" i="30" l="1"/>
  <c r="S303" i="30"/>
  <c r="U303" i="30"/>
  <c r="T303" i="30"/>
  <c r="Z303" i="30" l="1"/>
  <c r="B304" i="30" s="1"/>
  <c r="Y303" i="30"/>
  <c r="AD303" i="30" s="1"/>
  <c r="W303" i="30"/>
  <c r="AB303" i="30" s="1"/>
  <c r="X303" i="30"/>
  <c r="AC303" i="30" l="1"/>
  <c r="AE303" i="30" s="1"/>
  <c r="D304" i="30"/>
  <c r="F304" i="30"/>
  <c r="C304" i="30"/>
  <c r="J304" i="30" l="1"/>
  <c r="H304" i="30"/>
  <c r="G304" i="30"/>
  <c r="N304" i="30" l="1"/>
  <c r="M304" i="30"/>
  <c r="L304" i="30"/>
  <c r="K304" i="30"/>
  <c r="P304" i="30" l="1"/>
  <c r="O304" i="30"/>
  <c r="R304" i="30"/>
  <c r="Q304" i="30"/>
  <c r="V304" i="30" l="1"/>
  <c r="S304" i="30"/>
  <c r="T304" i="30"/>
  <c r="U304" i="30"/>
  <c r="Z304" i="30" l="1"/>
  <c r="B305" i="30" s="1"/>
  <c r="Y304" i="30"/>
  <c r="AD304" i="30" s="1"/>
  <c r="W304" i="30"/>
  <c r="AB304" i="30" s="1"/>
  <c r="X304" i="30"/>
  <c r="AC304" i="30" l="1"/>
  <c r="AE304" i="30" s="1"/>
  <c r="F305" i="30"/>
  <c r="C305" i="30"/>
  <c r="D305" i="30"/>
  <c r="J305" i="30" l="1"/>
  <c r="H305" i="30"/>
  <c r="G305" i="30"/>
  <c r="N305" i="30" l="1"/>
  <c r="M305" i="30"/>
  <c r="K305" i="30"/>
  <c r="L305" i="30"/>
  <c r="O305" i="30" l="1"/>
  <c r="P305" i="30"/>
  <c r="R305" i="30"/>
  <c r="Q305" i="30"/>
  <c r="V305" i="30" l="1"/>
  <c r="S305" i="30"/>
  <c r="T305" i="30"/>
  <c r="U305" i="30"/>
  <c r="Z305" i="30" l="1"/>
  <c r="Y305" i="30"/>
  <c r="AD305" i="30" s="1"/>
  <c r="AD1" i="30" s="1"/>
  <c r="X305" i="30"/>
  <c r="W305" i="30"/>
  <c r="AB305" i="30" s="1"/>
  <c r="AC305" i="30" l="1"/>
  <c r="AC1" i="30" s="1"/>
  <c r="AB1" i="30"/>
  <c r="AE305" i="30" l="1"/>
  <c r="AE1" i="30"/>
  <c r="AM4" i="30" l="1"/>
  <c r="AP4" i="30"/>
  <c r="AH4" i="30"/>
  <c r="AI4" i="30"/>
  <c r="AJ4" i="30"/>
  <c r="AK4" i="30"/>
  <c r="AL4" i="30"/>
  <c r="AO4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<sst xmlns="http://schemas.openxmlformats.org/spreadsheetml/2006/main" count="8866" uniqueCount="1228">
  <si>
    <t>ok</t>
  </si>
  <si>
    <t>data:</t>
  </si>
  <si>
    <t>corrigir</t>
  </si>
  <si>
    <t>item</t>
  </si>
  <si>
    <t>descrição das inspeções</t>
  </si>
  <si>
    <t>Forma n° =&gt;</t>
  </si>
  <si>
    <t>Placa n° =&gt;</t>
  </si>
  <si>
    <t>Dimensoes=&gt;</t>
  </si>
  <si>
    <t>TOPO DA PLACA</t>
  </si>
  <si>
    <t>PE DA PLACA</t>
  </si>
  <si>
    <t>Dimensões de Compr. Total 3,16 mts</t>
  </si>
  <si>
    <t>Dimensões de Compr. Total 2,396 mts</t>
  </si>
  <si>
    <t>Recobrimento superior e inferior 3 cm</t>
  </si>
  <si>
    <t>Abertura da Tela 1,19 x 1,29 mts</t>
  </si>
  <si>
    <t>Abrertura  inferior 9 x 19 (2x)</t>
  </si>
  <si>
    <t>Reforço de tela Q1 e Q2</t>
  </si>
  <si>
    <t>Reforços de quina no vazado maoir</t>
  </si>
  <si>
    <t>Limpeza da Forma</t>
  </si>
  <si>
    <t>Alinhamento e Nivel da tela Galvanizada</t>
  </si>
  <si>
    <t>8 ferros 8 mm por viga    2 vigas por tela</t>
  </si>
  <si>
    <t>36 estrivos de 6,5 cm x 14 cm</t>
  </si>
  <si>
    <t>Travamento de formas</t>
  </si>
  <si>
    <t>Prumo de forma da Contoneira</t>
  </si>
  <si>
    <t>ESQUADRO DE FORMAS</t>
  </si>
  <si>
    <t>3,65 x 2,396</t>
  </si>
  <si>
    <t>Alças de içamento (4 x) - altura alças 6 cm</t>
  </si>
  <si>
    <t xml:space="preserve">VIGAS LATERAIAS (ESTRIBOS E BARRAS) </t>
  </si>
  <si>
    <t>RECOBRIMENTO SUPERIOR/ INFERIOR E LATERIAS</t>
  </si>
  <si>
    <t>TELAS SUPERIOR E INFERIOR ESTAO ATADAS</t>
  </si>
  <si>
    <t>DIMENSÕES DA PLACA (DIVISORIA ESCOSTADAS NA TRAVA)</t>
  </si>
  <si>
    <t>CABO  1</t>
  </si>
  <si>
    <t>CABO  2</t>
  </si>
  <si>
    <t>CABO  3</t>
  </si>
  <si>
    <t>CABO  4</t>
  </si>
  <si>
    <t>CABO  5</t>
  </si>
  <si>
    <t>CABO  6</t>
  </si>
  <si>
    <t>CABO  7</t>
  </si>
  <si>
    <t>CABO  8</t>
  </si>
  <si>
    <t>CABO  10</t>
  </si>
  <si>
    <t>CABO  11</t>
  </si>
  <si>
    <t>CABO  12</t>
  </si>
  <si>
    <t>CABO  13</t>
  </si>
  <si>
    <t>CABO  14</t>
  </si>
  <si>
    <t>CABO  15</t>
  </si>
  <si>
    <t>CABO  16</t>
  </si>
  <si>
    <t>REFORÇO DE CABEÇA E PE</t>
  </si>
  <si>
    <t xml:space="preserve">CHAPAS DE INSERTOS </t>
  </si>
  <si>
    <t>ITEM</t>
  </si>
  <si>
    <t>se concretada marque "x"</t>
  </si>
  <si>
    <t>IDENT. TANQUE</t>
  </si>
  <si>
    <t xml:space="preserve">PLACA </t>
  </si>
  <si>
    <t>TIPO</t>
  </si>
  <si>
    <t>CHAPA DE 250X250</t>
  </si>
  <si>
    <t>CHAPA DE 120X 120</t>
  </si>
  <si>
    <t>CHAPA DE 500 X 500</t>
  </si>
  <si>
    <t xml:space="preserve">CHAPA DE 1440 X 1440 </t>
  </si>
  <si>
    <t>CHAPA DE 1150 X 1150</t>
  </si>
  <si>
    <t>QTDE</t>
  </si>
  <si>
    <t>PN</t>
  </si>
  <si>
    <t>F1</t>
  </si>
  <si>
    <t>PE</t>
  </si>
  <si>
    <t>PF</t>
  </si>
  <si>
    <t>INSERTS</t>
  </si>
  <si>
    <t>BOBINA N°</t>
  </si>
  <si>
    <t>DATA:</t>
  </si>
  <si>
    <t>FORMAS</t>
  </si>
  <si>
    <t>F2</t>
  </si>
  <si>
    <t>F3</t>
  </si>
  <si>
    <t>F4</t>
  </si>
  <si>
    <t>F5</t>
  </si>
  <si>
    <t>F6</t>
  </si>
  <si>
    <t>F7</t>
  </si>
  <si>
    <t>F8</t>
  </si>
  <si>
    <t>BT1</t>
  </si>
  <si>
    <t>CP1</t>
  </si>
  <si>
    <t>BT2</t>
  </si>
  <si>
    <t>BT3</t>
  </si>
  <si>
    <t>BT4</t>
  </si>
  <si>
    <t>FECHAMENTO FORMA LATERAL (PINAGEM) (dois lados)</t>
  </si>
  <si>
    <t>SIKASWELL CHAPA DE TUBULAÇÃO</t>
  </si>
  <si>
    <t>SERIE:</t>
  </si>
  <si>
    <t>ÂNGULO DE A CADA 5 CONCRETAGEM</t>
  </si>
  <si>
    <t>HORA INICIO</t>
  </si>
  <si>
    <t>LIMPEZA : SOPRAGEM E COLETA DE ARRAMES</t>
  </si>
  <si>
    <t>EMENDAS</t>
  </si>
  <si>
    <t>P</t>
  </si>
  <si>
    <t>-</t>
  </si>
  <si>
    <t>T1</t>
  </si>
  <si>
    <t>T2</t>
  </si>
  <si>
    <t>T3</t>
  </si>
  <si>
    <t>T4</t>
  </si>
  <si>
    <t>REATOR 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</si>
  <si>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</si>
  <si>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</si>
  <si>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</si>
  <si>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</si>
  <si>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</si>
  <si>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</si>
  <si>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</si>
  <si>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</si>
  <si>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</si>
  <si>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INJETOR  1X</t>
  </si>
  <si>
    <t xml:space="preserve">QTDE DE BAINHAS (12 NO NEREDA  E 6 NO PRIMARIO) E SE ESTAO ATADAS NA ZONA </t>
  </si>
  <si>
    <t>MEDIDAS DE TOPO DE FORMA   (2380 NO PRIMARIO); (2375 NO NEREDA)</t>
  </si>
  <si>
    <t>PRIMARIO</t>
  </si>
  <si>
    <t>NEREDA</t>
  </si>
  <si>
    <t>PÉ 2X   M24</t>
  </si>
  <si>
    <t>BT5</t>
  </si>
  <si>
    <t>PISTA -002</t>
  </si>
  <si>
    <t>CABO  09</t>
  </si>
  <si>
    <t>PISTA -001</t>
  </si>
  <si>
    <r>
      <t xml:space="preserve">QTDE DE CABOS E ALONGAMENTOS  </t>
    </r>
    <r>
      <rPr>
        <b/>
        <sz val="20"/>
        <color theme="1"/>
        <rFont val="Times New Roman"/>
        <family val="1"/>
      </rPr>
      <t>16 C  321A356</t>
    </r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</si>
  <si>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</t>
    </r>
    <r>
      <rPr>
        <b/>
        <sz val="20"/>
        <color theme="1"/>
        <rFont val="Times New Roman"/>
        <family val="1"/>
      </rPr>
      <t>2X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</si>
  <si>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 xml:space="preserve"> 5,50 DO PÉ     5/8 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</si>
  <si>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- NEREDA</t>
    </r>
  </si>
  <si>
    <r>
      <t xml:space="preserve">MOV: </t>
    </r>
    <r>
      <rPr>
        <b/>
        <sz val="20"/>
        <color theme="1"/>
        <rFont val="Times New Roman"/>
        <family val="1"/>
      </rPr>
      <t xml:space="preserve"> 4 X 5TON X 125CB  +  4 X 5TON X 125ESF. PRIMARIO</t>
    </r>
  </si>
  <si>
    <t>REATOR 2</t>
  </si>
  <si>
    <t>#3/8-1620X1620</t>
  </si>
  <si>
    <t>#3/8-1120X1120</t>
  </si>
  <si>
    <t>#3/8-1200X1200</t>
  </si>
  <si>
    <t>#3/8-530X530</t>
  </si>
  <si>
    <t>QUAL É A OBRA</t>
  </si>
  <si>
    <t>#3/8 X150X150</t>
  </si>
  <si>
    <t>PNI</t>
  </si>
  <si>
    <t>PEI</t>
  </si>
  <si>
    <t>A DEFINIR</t>
  </si>
  <si>
    <r>
      <rPr>
        <b/>
        <sz val="12"/>
        <color theme="1"/>
        <rFont val="Calibri"/>
        <family val="2"/>
        <scheme val="minor"/>
      </rPr>
      <t>02</t>
    </r>
    <r>
      <rPr>
        <sz val="11"/>
        <color theme="1"/>
        <rFont val="Calibri"/>
        <family val="2"/>
        <scheme val="minor"/>
      </rPr>
      <t>- 150X150 #3/8</t>
    </r>
  </si>
  <si>
    <t>REATOR 3</t>
  </si>
  <si>
    <t>REATOR 4</t>
  </si>
  <si>
    <t>REATOR 6</t>
  </si>
  <si>
    <t>REATOR 5</t>
  </si>
  <si>
    <t>REATOR 7</t>
  </si>
  <si>
    <t>REATOR 8</t>
  </si>
  <si>
    <r>
      <rPr>
        <b/>
        <sz val="20"/>
        <color theme="1"/>
        <rFont val="Times New Roman"/>
        <family val="1"/>
      </rPr>
      <t xml:space="preserve">JUNÇÃO 3/8 X 25 MM  </t>
    </r>
    <r>
      <rPr>
        <sz val="20"/>
        <color theme="1"/>
        <rFont val="Times New Roman"/>
        <family val="1"/>
      </rPr>
      <t xml:space="preserve"> FLUTUADOR  2X</t>
    </r>
  </si>
  <si>
    <t>ESPAÇADOR DE TELA A TELA E VIGA (36X)</t>
  </si>
  <si>
    <t>INICIO</t>
  </si>
  <si>
    <t>T´REMINIO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</si>
  <si>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</si>
  <si>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</si>
  <si>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</si>
  <si>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</si>
  <si>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</si>
  <si>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</si>
  <si>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</si>
  <si>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</si>
  <si>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</si>
  <si>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</si>
  <si>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</si>
  <si>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</si>
  <si>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</si>
  <si>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</si>
  <si>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</si>
  <si>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</si>
  <si>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</si>
  <si>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</si>
  <si>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</si>
  <si>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</si>
  <si>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</si>
  <si>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</si>
  <si>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</si>
  <si>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</si>
  <si>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NUMERO CONCRETAGEM</t>
  </si>
  <si>
    <t>REATOR 12</t>
  </si>
  <si>
    <t>data</t>
  </si>
  <si>
    <t>data do acabamento finalizado</t>
  </si>
  <si>
    <t>pista</t>
  </si>
  <si>
    <t>se</t>
  </si>
  <si>
    <t>media</t>
  </si>
  <si>
    <t>4 placas/dia</t>
  </si>
  <si>
    <t>REATOR 9</t>
  </si>
  <si>
    <t>REATOR 10</t>
  </si>
  <si>
    <t>REATOR 11</t>
  </si>
  <si>
    <t>PEV</t>
  </si>
  <si>
    <t>SEM CHAPA</t>
  </si>
  <si>
    <t>NÃO TEM CHAPA</t>
  </si>
  <si>
    <t>PE(I)</t>
  </si>
  <si>
    <t>PEI(V)</t>
  </si>
  <si>
    <t>ATERRAMENTO + ARM. CANAL</t>
  </si>
  <si>
    <t>ARM. CANAL SAIDA</t>
  </si>
  <si>
    <t>TEB</t>
  </si>
  <si>
    <t>TUBO EMBAIXO CANALETA</t>
  </si>
  <si>
    <t>T10"</t>
  </si>
  <si>
    <t>TUBO DE 10 " - A DEFINIR</t>
  </si>
  <si>
    <t>ATERRAMENTO+ CHAPA P/ T10"</t>
  </si>
  <si>
    <t>ÂNGULO DE A CADA  CONCRETAGEM</t>
  </si>
  <si>
    <t>CABO 1</t>
  </si>
  <si>
    <t>ALONG.</t>
  </si>
  <si>
    <t>PISTA -PF</t>
  </si>
  <si>
    <t>CABO</t>
  </si>
  <si>
    <t>CABO 2</t>
  </si>
  <si>
    <t>CABO 3</t>
  </si>
  <si>
    <t>CABO 4</t>
  </si>
  <si>
    <t>CABO 5</t>
  </si>
  <si>
    <t>CABO 6</t>
  </si>
  <si>
    <t>CABO 7</t>
  </si>
  <si>
    <t>CABO 8</t>
  </si>
  <si>
    <t>CABO 9</t>
  </si>
  <si>
    <t>CABO 10</t>
  </si>
  <si>
    <t>CABO 11</t>
  </si>
  <si>
    <t>CABO 12</t>
  </si>
  <si>
    <t>CABO 13</t>
  </si>
  <si>
    <t>CABO 14</t>
  </si>
  <si>
    <t>CABO 15</t>
  </si>
  <si>
    <t>CABO 16</t>
  </si>
  <si>
    <t>CABO 17</t>
  </si>
  <si>
    <t>CABO 18</t>
  </si>
  <si>
    <t>CERTIFICADO</t>
  </si>
  <si>
    <t>DATA DE FAB</t>
  </si>
  <si>
    <r>
      <t xml:space="preserve">SERIE:         </t>
    </r>
    <r>
      <rPr>
        <b/>
        <sz val="26"/>
        <color theme="1"/>
        <rFont val="Calibri"/>
        <family val="2"/>
        <scheme val="minor"/>
      </rPr>
      <t xml:space="preserve">          </t>
    </r>
  </si>
  <si>
    <r>
      <t xml:space="preserve">QTDE DE CABOS E ALONGAMENTOS  </t>
    </r>
    <r>
      <rPr>
        <b/>
        <sz val="20"/>
        <color theme="1"/>
        <rFont val="Times New Roman"/>
        <family val="1"/>
      </rPr>
      <t>18 Cabos  105A120</t>
    </r>
  </si>
  <si>
    <t>observação</t>
  </si>
  <si>
    <t>** inserir luva #5/8 para escora aparatir de 1,50mts de altura, desixando recuado 5 mm para dentro da placa</t>
  </si>
  <si>
    <t xml:space="preserve">ok </t>
  </si>
  <si>
    <t>** chapa de ancoragem 100x220x19 mm 1 em cada bainha</t>
  </si>
  <si>
    <t>** verificar se molas não estao tocando o fundo do painels</t>
  </si>
  <si>
    <t>** verificar se total bainhas estao bem vedadas, para não entra concreto nelas,</t>
  </si>
  <si>
    <t>** verificar e total toquinho de madeiras foram devidademente envelopados com lona - ajuda na desforma</t>
  </si>
  <si>
    <t>PN-001</t>
  </si>
  <si>
    <t>PN-002</t>
  </si>
  <si>
    <t>jobson</t>
  </si>
  <si>
    <t>pablo</t>
  </si>
  <si>
    <t>seg</t>
  </si>
  <si>
    <t>DATA TRANS.</t>
  </si>
  <si>
    <t>PLACA CARRETA</t>
  </si>
  <si>
    <t>NF:</t>
  </si>
  <si>
    <t>PROJETO</t>
  </si>
  <si>
    <t>%</t>
  </si>
  <si>
    <t xml:space="preserve">TOTAL DE PLACAS  NORMAIS </t>
  </si>
  <si>
    <t xml:space="preserve">TOTAL PLACAS ESPECIAIS </t>
  </si>
  <si>
    <t xml:space="preserve">TOTAL DE PLACAS FECHO </t>
  </si>
  <si>
    <t>TOTAIS</t>
  </si>
  <si>
    <t xml:space="preserve">QTDE </t>
  </si>
  <si>
    <t>TOTAKL GERAL</t>
  </si>
  <si>
    <t>JESUS</t>
  </si>
  <si>
    <t>DEIVED</t>
  </si>
  <si>
    <t>EXECUÇÃO (concretado)</t>
  </si>
  <si>
    <t>se concretado</t>
  </si>
  <si>
    <t>primario</t>
  </si>
  <si>
    <t>nereda</t>
  </si>
  <si>
    <t>estimado semana</t>
  </si>
  <si>
    <t>SE TRANSPORTADO</t>
  </si>
  <si>
    <t>ACABAMENTO (PRONTO)</t>
  </si>
  <si>
    <t>TRANSPORTE (EM VIAGEM)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</si>
  <si>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</si>
  <si>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</si>
  <si>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</si>
  <si>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</si>
  <si>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</si>
  <si>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</si>
  <si>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</si>
  <si>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</si>
  <si>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</si>
  <si>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</si>
  <si>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</si>
  <si>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</si>
  <si>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</si>
  <si>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</si>
  <si>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</si>
  <si>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</si>
  <si>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</si>
  <si>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</si>
  <si>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</si>
  <si>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</si>
  <si>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</si>
  <si>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</si>
  <si>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</si>
  <si>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</si>
  <si>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</si>
  <si>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</si>
  <si>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</si>
  <si>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</si>
  <si>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</si>
  <si>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</si>
  <si>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</si>
  <si>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</si>
  <si>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</si>
  <si>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</si>
  <si>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</si>
  <si>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</si>
  <si>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</si>
  <si>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</si>
  <si>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</si>
  <si>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</si>
  <si>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</si>
  <si>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</si>
  <si>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</si>
  <si>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</si>
  <si>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</si>
  <si>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</si>
  <si>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</si>
  <si>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</si>
  <si>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</si>
  <si>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</si>
  <si>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</si>
  <si>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</si>
  <si>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</si>
  <si>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</si>
  <si>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</si>
  <si>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</si>
  <si>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</si>
  <si>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</si>
  <si>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</si>
  <si>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</si>
  <si>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</si>
  <si>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</si>
  <si>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</si>
  <si>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</si>
  <si>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</si>
  <si>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</si>
  <si>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</si>
  <si>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</si>
  <si>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</si>
  <si>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</si>
  <si>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</si>
  <si>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</si>
  <si>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</si>
  <si>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</si>
  <si>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</si>
  <si>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</si>
  <si>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</si>
  <si>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</si>
  <si>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</si>
  <si>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</si>
  <si>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</si>
  <si>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</si>
  <si>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</si>
  <si>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</si>
  <si>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</si>
  <si>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</si>
  <si>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</si>
  <si>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</si>
  <si>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</si>
  <si>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</si>
  <si>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</si>
  <si>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</si>
  <si>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</si>
  <si>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</si>
  <si>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</si>
  <si>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</si>
  <si>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</si>
  <si>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</si>
  <si>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</si>
  <si>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</si>
  <si>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</si>
  <si>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</si>
  <si>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</si>
  <si>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</si>
  <si>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</si>
  <si>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</si>
  <si>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</si>
  <si>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</si>
  <si>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</si>
  <si>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</si>
  <si>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</si>
  <si>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</si>
  <si>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</si>
  <si>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</si>
  <si>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</si>
  <si>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</si>
  <si>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</si>
  <si>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</si>
  <si>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</si>
  <si>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</si>
  <si>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</si>
  <si>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</si>
  <si>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</si>
  <si>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</si>
  <si>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</si>
  <si>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</si>
  <si>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</si>
  <si>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</si>
  <si>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</si>
  <si>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</si>
  <si>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</si>
  <si>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</si>
  <si>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</si>
  <si>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</si>
  <si>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</si>
  <si>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</si>
  <si>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</si>
  <si>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</si>
  <si>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</si>
  <si>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</si>
  <si>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</si>
  <si>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</si>
  <si>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</si>
  <si>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</si>
  <si>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</si>
  <si>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</si>
  <si>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</si>
  <si>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</si>
  <si>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</si>
  <si>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</si>
  <si>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</si>
  <si>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</si>
  <si>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</si>
  <si>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</si>
  <si>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</si>
  <si>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</si>
  <si>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</si>
  <si>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</si>
  <si>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</si>
  <si>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</si>
  <si>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</si>
  <si>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</si>
  <si>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</si>
  <si>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</si>
  <si>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</si>
  <si>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</si>
  <si>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</si>
  <si>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</si>
  <si>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</si>
  <si>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</si>
  <si>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</si>
  <si>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</si>
  <si>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</si>
  <si>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</si>
  <si>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</si>
  <si>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</si>
  <si>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</si>
  <si>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</si>
  <si>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</si>
  <si>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</si>
  <si>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</si>
  <si>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</si>
  <si>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</si>
  <si>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</si>
  <si>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</si>
  <si>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</si>
  <si>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</si>
  <si>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</si>
  <si>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</si>
  <si>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</si>
  <si>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</si>
  <si>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</si>
  <si>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</si>
  <si>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</si>
  <si>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</si>
  <si>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</si>
  <si>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</si>
  <si>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</si>
  <si>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</si>
  <si>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</si>
  <si>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</si>
  <si>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</si>
  <si>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</si>
  <si>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</si>
  <si>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</si>
  <si>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</si>
  <si>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</si>
  <si>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</si>
  <si>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</si>
  <si>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</si>
  <si>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</si>
  <si>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</si>
  <si>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</si>
  <si>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</si>
  <si>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</si>
  <si>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</si>
  <si>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</si>
  <si>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</si>
  <si>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</si>
  <si>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</si>
  <si>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</si>
  <si>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</si>
  <si>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</si>
  <si>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</si>
  <si>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</si>
  <si>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</si>
  <si>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</si>
  <si>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</si>
  <si>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</si>
  <si>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</si>
  <si>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</si>
  <si>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</si>
  <si>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</si>
  <si>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</si>
  <si>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</si>
  <si>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</si>
  <si>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</si>
  <si>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</si>
  <si>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</si>
  <si>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</si>
  <si>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</si>
  <si>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</si>
  <si>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</si>
  <si>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</si>
  <si>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</si>
  <si>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</si>
  <si>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</si>
  <si>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</si>
  <si>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</si>
  <si>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</si>
  <si>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</si>
  <si>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</si>
  <si>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</si>
  <si>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</si>
  <si>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</si>
  <si>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</si>
  <si>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</si>
  <si>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</si>
  <si>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</si>
  <si>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</si>
  <si>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</si>
  <si>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</si>
  <si>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</si>
  <si>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</si>
  <si>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</si>
  <si>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</si>
  <si>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</si>
  <si>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</si>
  <si>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</si>
  <si>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</si>
  <si>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</si>
  <si>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</si>
  <si>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</si>
  <si>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</si>
  <si>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</si>
  <si>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</si>
  <si>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</si>
  <si>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</si>
  <si>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</si>
  <si>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</si>
  <si>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</si>
  <si>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</si>
  <si>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</si>
  <si>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</si>
  <si>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</si>
  <si>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</si>
  <si>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</si>
  <si>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</si>
  <si>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</si>
  <si>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</si>
  <si>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</si>
  <si>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</si>
  <si>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</si>
  <si>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</si>
  <si>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</si>
  <si>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</si>
  <si>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</si>
  <si>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</si>
  <si>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</si>
  <si>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</si>
  <si>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</si>
  <si>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</si>
  <si>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</si>
  <si>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</si>
  <si>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</si>
  <si>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</si>
  <si>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</si>
  <si>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</si>
  <si>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</si>
  <si>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</si>
  <si>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</si>
  <si>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</si>
  <si>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</si>
  <si>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</si>
  <si>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</si>
  <si>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</si>
  <si>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</si>
  <si>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</si>
  <si>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</si>
  <si>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</si>
  <si>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</si>
  <si>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</si>
  <si>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</si>
  <si>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</si>
  <si>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</si>
  <si>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</si>
  <si>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</si>
  <si>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</si>
  <si>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</si>
  <si>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</si>
  <si>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</si>
  <si>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</si>
  <si>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</si>
  <si>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</si>
  <si>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</si>
  <si>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</si>
  <si>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</si>
  <si>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</si>
  <si>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</si>
  <si>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</si>
  <si>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</si>
  <si>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</si>
  <si>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</si>
  <si>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</si>
  <si>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</si>
  <si>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</si>
  <si>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</si>
  <si>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</si>
  <si>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</si>
  <si>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</si>
  <si>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</si>
  <si>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</si>
  <si>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</si>
  <si>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</si>
  <si>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</si>
  <si>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</si>
  <si>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</si>
  <si>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</si>
  <si>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</si>
  <si>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</si>
  <si>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</si>
  <si>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</si>
  <si>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</si>
  <si>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</si>
  <si>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</si>
  <si>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</si>
  <si>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</si>
  <si>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</si>
  <si>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</si>
  <si>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</si>
  <si>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</si>
  <si>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</si>
  <si>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</si>
  <si>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</si>
  <si>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</si>
  <si>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</si>
  <si>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</si>
  <si>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</si>
  <si>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</si>
  <si>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</si>
  <si>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</si>
  <si>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</si>
  <si>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</si>
  <si>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</si>
  <si>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</si>
  <si>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</si>
  <si>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</si>
  <si>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</si>
  <si>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</si>
  <si>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</si>
  <si>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</si>
  <si>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</si>
  <si>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</si>
  <si>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</si>
  <si>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</si>
  <si>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</si>
  <si>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</si>
  <si>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</si>
  <si>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</si>
  <si>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</si>
  <si>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</si>
  <si>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</si>
  <si>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</si>
  <si>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</si>
  <si>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</si>
  <si>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</si>
  <si>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</si>
  <si>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</si>
  <si>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</si>
  <si>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</si>
  <si>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</si>
  <si>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</si>
  <si>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</si>
  <si>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</si>
  <si>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</si>
  <si>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</si>
  <si>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</si>
  <si>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</si>
  <si>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</si>
  <si>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</si>
  <si>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</si>
  <si>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</si>
  <si>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</si>
  <si>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</si>
  <si>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</si>
  <si>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</si>
  <si>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</si>
  <si>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</si>
  <si>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</si>
  <si>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</si>
  <si>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</si>
  <si>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</si>
  <si>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</si>
  <si>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</si>
  <si>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</si>
  <si>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</si>
  <si>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</si>
  <si>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</si>
  <si>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</si>
  <si>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</si>
  <si>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</si>
  <si>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</si>
  <si>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</si>
  <si>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</si>
  <si>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</si>
  <si>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</si>
  <si>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</si>
  <si>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</si>
  <si>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</si>
  <si>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</si>
  <si>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</si>
  <si>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</si>
  <si>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</si>
  <si>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</si>
  <si>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</si>
  <si>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</si>
  <si>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</si>
  <si>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</si>
  <si>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</si>
  <si>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</si>
  <si>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</si>
  <si>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</si>
  <si>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</si>
  <si>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</si>
  <si>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</si>
  <si>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</si>
  <si>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</si>
  <si>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</si>
  <si>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</si>
  <si>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</si>
  <si>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</si>
  <si>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</si>
  <si>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</si>
  <si>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</si>
  <si>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</si>
  <si>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</si>
  <si>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</si>
  <si>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</si>
  <si>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</si>
  <si>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</si>
  <si>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</si>
  <si>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</si>
  <si>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</si>
  <si>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</si>
  <si>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</si>
  <si>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</si>
  <si>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</si>
  <si>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</si>
  <si>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</si>
  <si>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</si>
  <si>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</si>
  <si>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</si>
  <si>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</si>
  <si>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</si>
  <si>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</si>
  <si>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</si>
  <si>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</si>
  <si>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</si>
  <si>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</si>
  <si>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</si>
  <si>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</si>
  <si>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</si>
  <si>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</si>
  <si>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</si>
  <si>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</si>
  <si>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</si>
  <si>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</si>
  <si>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</si>
  <si>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</si>
  <si>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</si>
  <si>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</si>
  <si>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</si>
  <si>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</si>
  <si>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</si>
  <si>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</si>
  <si>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</si>
  <si>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</si>
  <si>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</si>
  <si>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</si>
  <si>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</si>
  <si>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</si>
  <si>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</si>
  <si>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</si>
  <si>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</si>
  <si>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</si>
  <si>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</si>
  <si>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</si>
  <si>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</si>
  <si>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</si>
  <si>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</si>
  <si>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</si>
  <si>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</si>
  <si>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</si>
  <si>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</si>
  <si>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</si>
  <si>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</si>
  <si>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</si>
  <si>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</si>
  <si>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</si>
  <si>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</si>
  <si>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</si>
  <si>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</si>
  <si>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</si>
  <si>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</si>
  <si>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</si>
  <si>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</si>
  <si>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</si>
  <si>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</si>
  <si>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</si>
  <si>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</si>
  <si>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</si>
  <si>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</si>
  <si>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</si>
  <si>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</si>
  <si>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</si>
  <si>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</si>
  <si>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</si>
  <si>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</si>
  <si>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</si>
  <si>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</si>
  <si>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</si>
  <si>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</si>
  <si>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</si>
  <si>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</si>
  <si>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</si>
  <si>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</si>
  <si>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</si>
  <si>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</si>
  <si>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</si>
  <si>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</si>
  <si>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</si>
  <si>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</si>
  <si>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</si>
  <si>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</si>
  <si>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</si>
  <si>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</si>
  <si>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</si>
  <si>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</si>
  <si>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</si>
  <si>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</si>
  <si>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</si>
  <si>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</si>
  <si>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</si>
  <si>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</si>
  <si>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</si>
  <si>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</si>
  <si>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</si>
  <si>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</si>
  <si>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</si>
  <si>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</si>
  <si>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</si>
  <si>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</si>
  <si>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</si>
  <si>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</si>
  <si>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</si>
  <si>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</si>
  <si>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</si>
  <si>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</si>
  <si>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</si>
  <si>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</si>
  <si>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</si>
  <si>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</si>
  <si>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</si>
  <si>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</si>
  <si>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</si>
  <si>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</si>
  <si>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</si>
  <si>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</si>
  <si>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</si>
  <si>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</si>
  <si>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</si>
  <si>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</si>
  <si>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</si>
  <si>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</si>
  <si>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</si>
  <si>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</si>
  <si>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</si>
  <si>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</si>
  <si>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</si>
  <si>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</si>
  <si>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</si>
  <si>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</si>
  <si>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</si>
  <si>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</si>
  <si>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</si>
  <si>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</si>
  <si>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</si>
  <si>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</si>
  <si>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</si>
  <si>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</si>
  <si>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</si>
  <si>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</si>
  <si>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</si>
  <si>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</si>
  <si>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</si>
  <si>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</si>
  <si>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</si>
  <si>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</si>
  <si>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</si>
  <si>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</si>
  <si>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</si>
  <si>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</si>
  <si>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</si>
  <si>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</si>
  <si>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</si>
  <si>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</si>
  <si>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</si>
  <si>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</si>
  <si>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</si>
  <si>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</si>
  <si>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</si>
  <si>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</si>
  <si>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</si>
  <si>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</si>
  <si>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</si>
  <si>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</si>
  <si>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</si>
  <si>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</si>
  <si>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</si>
  <si>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</si>
  <si>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</si>
  <si>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</si>
  <si>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</si>
  <si>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</si>
  <si>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</si>
  <si>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</si>
  <si>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</si>
  <si>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</si>
  <si>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</si>
  <si>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</si>
  <si>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</si>
  <si>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</si>
  <si>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</si>
  <si>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</si>
  <si>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</si>
  <si>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</si>
  <si>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</si>
  <si>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</si>
  <si>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</si>
  <si>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</si>
  <si>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</si>
  <si>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</si>
  <si>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</si>
  <si>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</si>
  <si>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</si>
  <si>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</si>
  <si>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</si>
  <si>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</si>
  <si>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</si>
  <si>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</si>
  <si>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</si>
  <si>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</si>
  <si>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</si>
  <si>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</si>
  <si>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</si>
  <si>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</si>
  <si>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</si>
  <si>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</si>
  <si>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</si>
  <si>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</si>
  <si>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</si>
  <si>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</si>
  <si>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</si>
  <si>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</si>
  <si>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</si>
  <si>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</si>
  <si>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</si>
  <si>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</si>
  <si>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</si>
  <si>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</si>
  <si>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</si>
  <si>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</si>
  <si>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</si>
  <si>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</si>
  <si>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</si>
  <si>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</si>
  <si>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</si>
  <si>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</si>
  <si>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</si>
  <si>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</si>
  <si>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</si>
  <si>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</si>
  <si>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</si>
  <si>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</si>
  <si>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</si>
  <si>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</si>
  <si>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</si>
  <si>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</si>
  <si>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</si>
  <si>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</si>
  <si>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</si>
  <si>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</si>
  <si>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</si>
  <si>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</si>
  <si>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</si>
  <si>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GALPÃO 1</t>
  </si>
  <si>
    <t>GALPÃO 2</t>
  </si>
  <si>
    <t>ASM2F56</t>
  </si>
  <si>
    <t>#3/8-1315X1315</t>
  </si>
  <si>
    <t>OVH9601</t>
  </si>
  <si>
    <t>BYZ5H26</t>
  </si>
  <si>
    <t>RYL4I85</t>
  </si>
  <si>
    <t>JCO3H89</t>
  </si>
  <si>
    <t>RELATORIO POS ROMPIMENTO</t>
  </si>
  <si>
    <t>VISTORIA SUPERFICIAL SE HÁ FISSURAS</t>
  </si>
  <si>
    <t>VERIFICAR SE HÁ QUEBRAS DURANTE A DESFORMA</t>
  </si>
  <si>
    <t>VERIFICAR SE FORAM ARMAZENDAS CORRETAMENTE</t>
  </si>
  <si>
    <t>VERIFICAR SE ALGUMA IMPERFEIÇÃO NOTAVEM NO ATO DA DESFORMA</t>
  </si>
  <si>
    <t>ibc0i59</t>
  </si>
  <si>
    <t>jac2h97</t>
  </si>
  <si>
    <t>IOO3D34</t>
  </si>
  <si>
    <t>VERIFICAR SE BOLHAS DE AR LADO DIREITO</t>
  </si>
  <si>
    <t>VERIFICAR SE MICROFISSURAS SUPERFICIAIS NA PLACA</t>
  </si>
  <si>
    <t>BETONEIRA</t>
  </si>
  <si>
    <t>F9</t>
  </si>
  <si>
    <t>F10</t>
  </si>
  <si>
    <t>F11</t>
  </si>
  <si>
    <t>F12</t>
  </si>
  <si>
    <t>ESPAÇADOR DE TELA A TELA E VIGA</t>
  </si>
  <si>
    <r>
      <t xml:space="preserve">VERIFICAR MEDIDA TPO PLACA ATE CANALETA </t>
    </r>
    <r>
      <rPr>
        <b/>
        <sz val="26"/>
        <color theme="1"/>
        <rFont val="Times New Roman"/>
        <family val="1"/>
      </rPr>
      <t>1,225</t>
    </r>
  </si>
  <si>
    <t>altura de escora</t>
  </si>
  <si>
    <t>bt1</t>
  </si>
  <si>
    <t>bt2</t>
  </si>
  <si>
    <t>vol(m3)</t>
  </si>
  <si>
    <t>flow</t>
  </si>
  <si>
    <t>NF</t>
  </si>
  <si>
    <t>CP1 (20H)</t>
  </si>
  <si>
    <t>CP2 (20H)</t>
  </si>
  <si>
    <t>CP3 (28D)</t>
  </si>
  <si>
    <t>CP4 (28D)</t>
  </si>
  <si>
    <t>RESIST.</t>
  </si>
  <si>
    <t>FLOW=&gt;</t>
  </si>
  <si>
    <t>HORA LANÇ =&gt;</t>
  </si>
  <si>
    <t>HORA ROMP.</t>
  </si>
  <si>
    <t>BT6</t>
  </si>
  <si>
    <t>NF =&gt;</t>
  </si>
  <si>
    <t>SERIE=&gt;</t>
  </si>
  <si>
    <t>NF=&gt;</t>
  </si>
  <si>
    <t>SERIE =&gt;</t>
  </si>
  <si>
    <t>X</t>
  </si>
  <si>
    <t xml:space="preserve">vol(m³) </t>
  </si>
  <si>
    <t>PR_PNI-63</t>
  </si>
  <si>
    <t>PR_PNI-69</t>
  </si>
  <si>
    <t>PR_PNI-75</t>
  </si>
  <si>
    <t>PR_PN-89</t>
  </si>
  <si>
    <t>PR_PN-90</t>
  </si>
  <si>
    <t>PR_PN-91</t>
  </si>
  <si>
    <t>PR_PN-92</t>
  </si>
  <si>
    <t>PR_PN-94</t>
  </si>
  <si>
    <t>PR_PN-96</t>
  </si>
  <si>
    <t>PR_PN-100</t>
  </si>
  <si>
    <t>PR_PN-101</t>
  </si>
  <si>
    <t>PR_PN-102</t>
  </si>
  <si>
    <t>AGE4I27</t>
  </si>
  <si>
    <t>JDF4H68</t>
  </si>
  <si>
    <t>MTQ0C61</t>
  </si>
  <si>
    <t>PRIMARIO 1</t>
  </si>
  <si>
    <t>PRIMARIO 2</t>
  </si>
  <si>
    <t>=</t>
  </si>
  <si>
    <t>jcu8d98</t>
  </si>
  <si>
    <t>jar4j58</t>
  </si>
  <si>
    <t>msm2h13</t>
  </si>
  <si>
    <t>moy7599</t>
  </si>
  <si>
    <t>ppq9d36</t>
  </si>
  <si>
    <t>qrk3e99</t>
  </si>
  <si>
    <t>MSE-9496</t>
  </si>
  <si>
    <t>lotação do estoque</t>
  </si>
  <si>
    <t>tota roduzido</t>
  </si>
  <si>
    <t>total transportado</t>
  </si>
  <si>
    <t>dias</t>
  </si>
  <si>
    <t>placa/dia</t>
  </si>
  <si>
    <t xml:space="preserve">1 concretagem nereda </t>
  </si>
  <si>
    <t xml:space="preserve"> </t>
  </si>
  <si>
    <t>obs:</t>
  </si>
  <si>
    <t>problema na 5 bainha - ver com Marcelo</t>
  </si>
  <si>
    <t>jab5e34</t>
  </si>
  <si>
    <t>DANIEL</t>
  </si>
  <si>
    <t>TÉRMINIO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</si>
  <si>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</si>
  <si>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</si>
  <si>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</si>
  <si>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</si>
  <si>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</si>
  <si>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</si>
  <si>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</si>
  <si>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</si>
  <si>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</si>
  <si>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</si>
  <si>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SEG</t>
  </si>
  <si>
    <t>TER</t>
  </si>
  <si>
    <t>QUA</t>
  </si>
  <si>
    <t>QUI</t>
  </si>
  <si>
    <t>SEXT</t>
  </si>
  <si>
    <t>SAB</t>
  </si>
  <si>
    <t>DOM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</si>
  <si>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</si>
  <si>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</si>
  <si>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</si>
  <si>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</si>
  <si>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</si>
  <si>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</si>
  <si>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</si>
  <si>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</si>
  <si>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</si>
  <si>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</si>
  <si>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</si>
  <si>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SEMAMA</t>
  </si>
  <si>
    <t>PRIMARIO PN-01 PN-02</t>
  </si>
  <si>
    <t>MRT-4800</t>
  </si>
  <si>
    <t>SEV8E92</t>
  </si>
  <si>
    <t>PPQ9327</t>
  </si>
  <si>
    <t>OVJ1J87</t>
  </si>
  <si>
    <t>ITQ4C60</t>
  </si>
  <si>
    <t>MTV4C49</t>
  </si>
  <si>
    <t>FOH8658</t>
  </si>
  <si>
    <t>LBV9D52</t>
  </si>
  <si>
    <t>mpz8h44</t>
  </si>
  <si>
    <t>ppj8374</t>
  </si>
  <si>
    <t>PN-501</t>
  </si>
  <si>
    <t>PN-502</t>
  </si>
  <si>
    <t>PN-503</t>
  </si>
  <si>
    <t>PN-504</t>
  </si>
  <si>
    <t>PN-505</t>
  </si>
  <si>
    <t>PN-506</t>
  </si>
  <si>
    <t>PN-507</t>
  </si>
  <si>
    <t>PR_PN-135</t>
  </si>
  <si>
    <t xml:space="preserve">EQUIPES: </t>
  </si>
  <si>
    <t>PISTA</t>
  </si>
  <si>
    <t>ANTONIO GONÇALVES</t>
  </si>
  <si>
    <t>CONCRETAGEM</t>
  </si>
  <si>
    <t>FABIO</t>
  </si>
  <si>
    <t>JAILSON</t>
  </si>
  <si>
    <t>JOAO BISPO</t>
  </si>
  <si>
    <t>ACABAMENTO</t>
  </si>
  <si>
    <t>PABLO</t>
  </si>
  <si>
    <t>JOBSON</t>
  </si>
  <si>
    <t>DEIVD</t>
  </si>
  <si>
    <t>TELA</t>
  </si>
  <si>
    <t>VINICIUS</t>
  </si>
  <si>
    <t>PEDRO HENRIQUE</t>
  </si>
  <si>
    <t>GABRIEL FIGUEIREDO</t>
  </si>
  <si>
    <t>PRE MONTAGENS</t>
  </si>
  <si>
    <t>GABRIEL ROCHA</t>
  </si>
  <si>
    <t>GILMAR ARMADOR</t>
  </si>
  <si>
    <t>MOVIMENTAÇÃO</t>
  </si>
  <si>
    <t>WALBERT</t>
  </si>
  <si>
    <t>ADRIANO TAVARES</t>
  </si>
  <si>
    <t>USINA</t>
  </si>
  <si>
    <t>RENATO</t>
  </si>
  <si>
    <t>JOÃO RIBEIRO</t>
  </si>
  <si>
    <t>EDER</t>
  </si>
  <si>
    <t>CARLOS SAMUEL</t>
  </si>
  <si>
    <t>FABRICIO</t>
  </si>
  <si>
    <t>CHAPAS DE INSERTOS / SIKASWELL CHAPA DE TUBULAÇÃO</t>
  </si>
  <si>
    <t>VERIFICAR SE ESTA VIBRANDO EM BAIXO DA TELINHA, EVITAR BROCA NO PINO</t>
  </si>
  <si>
    <t>COLETAR CABOS</t>
  </si>
  <si>
    <t>CABO  9</t>
  </si>
  <si>
    <t>CABO  17</t>
  </si>
  <si>
    <t>CABO  18</t>
  </si>
  <si>
    <t>OBRA</t>
  </si>
  <si>
    <t>AERADOR 1</t>
  </si>
  <si>
    <t>AERADOR 2</t>
  </si>
  <si>
    <r>
      <t xml:space="preserve">QTDE DE CABOS E ALONGAMENTOS  </t>
    </r>
    <r>
      <rPr>
        <b/>
        <sz val="20"/>
        <color theme="1"/>
        <rFont val="Times New Roman"/>
        <family val="1"/>
      </rPr>
      <t>18 C  321A356</t>
    </r>
  </si>
  <si>
    <t>PÉ 2X   M36</t>
  </si>
  <si>
    <r>
      <t xml:space="preserve">TELA VIVEIRO E REFORÇO </t>
    </r>
    <r>
      <rPr>
        <b/>
        <sz val="20"/>
        <color theme="1"/>
        <rFont val="Times New Roman"/>
        <family val="1"/>
      </rPr>
      <t>20MM</t>
    </r>
    <r>
      <rPr>
        <sz val="20"/>
        <color theme="1"/>
        <rFont val="Times New Roman"/>
        <family val="1"/>
      </rPr>
      <t xml:space="preserve"> EM CIMA DOS PINOS IÇAMENTOS 4</t>
    </r>
    <r>
      <rPr>
        <b/>
        <sz val="20"/>
        <color theme="1"/>
        <rFont val="Times New Roman"/>
        <family val="1"/>
      </rPr>
      <t>X 7,5 TON/300  3 "u"  10 MM E 1 BARRA 1 MTS</t>
    </r>
  </si>
  <si>
    <r>
      <t xml:space="preserve">ESCORA  </t>
    </r>
    <r>
      <rPr>
        <b/>
        <sz val="20"/>
        <color theme="1"/>
        <rFont val="Times New Roman"/>
        <family val="1"/>
      </rPr>
      <t>6,00 DO PÉ     5/8  PARAF. SUPERIOR</t>
    </r>
  </si>
  <si>
    <t xml:space="preserve">ESPAÇADOR DE TELA A TELA E VIGA </t>
  </si>
  <si>
    <t>MEDIDAS DE TOPO DE FORMA  2378 MM</t>
  </si>
  <si>
    <r>
      <t xml:space="preserve">MOV: </t>
    </r>
    <r>
      <rPr>
        <b/>
        <sz val="20"/>
        <color theme="1"/>
        <rFont val="Times New Roman"/>
        <family val="1"/>
      </rPr>
      <t xml:space="preserve"> 4 X 10TON X 125CB</t>
    </r>
  </si>
  <si>
    <t>TAREFA PRODUÇÃO</t>
  </si>
  <si>
    <t xml:space="preserve">             </t>
  </si>
  <si>
    <t>PN-335</t>
  </si>
  <si>
    <t>DOMIN</t>
  </si>
  <si>
    <t>OVL6D95</t>
  </si>
  <si>
    <t>DESCRIÇÃO DE CHAPAS OU NÃO</t>
  </si>
  <si>
    <t>SERIE</t>
  </si>
  <si>
    <t>MES ACABAMENTO</t>
  </si>
  <si>
    <t>EDUARDO</t>
  </si>
  <si>
    <t>GABRIEL SERRANO</t>
  </si>
  <si>
    <t>WISLEY</t>
  </si>
  <si>
    <t>TANQUE AERADOR</t>
  </si>
  <si>
    <t>AERADOR</t>
  </si>
  <si>
    <t>TOTAL DE PLACAS  NORMAIS  (PN)</t>
  </si>
  <si>
    <t>TOTAL DE PROJETO</t>
  </si>
  <si>
    <t>TOTAL CONCRETADO</t>
  </si>
  <si>
    <t>TOTAL ACABADO</t>
  </si>
  <si>
    <t>TOTAL TRANSPORTADO</t>
  </si>
  <si>
    <t>TAG</t>
  </si>
  <si>
    <t>AERADORES</t>
  </si>
  <si>
    <t>TOTAL DE PLACAS FECHO (PF)</t>
  </si>
  <si>
    <t>TOTAL DE PLACAS (PE E PNI)</t>
  </si>
  <si>
    <t>FERRO DE ATERRAMENTO PE PLACAS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</si>
  <si>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</si>
  <si>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</si>
  <si>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RODRIGO</t>
  </si>
  <si>
    <t>RCHARD</t>
  </si>
  <si>
    <t>ESDSON</t>
  </si>
  <si>
    <t>CONSELMAR</t>
  </si>
  <si>
    <t>SOBRANDO</t>
  </si>
  <si>
    <t>UALISON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</si>
  <si>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</si>
  <si>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</si>
  <si>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</si>
  <si>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</si>
  <si>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</si>
  <si>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</si>
  <si>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</si>
  <si>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</si>
  <si>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TANQUE AERADOR 1</t>
  </si>
  <si>
    <t>PLACA DESCARTADA EXCESSO FISSURAS</t>
  </si>
  <si>
    <t>ANTONIO GONCALVES</t>
  </si>
  <si>
    <t>FORMAS ESPECIAIS E CORTE/QUEIMA  DE CABOS</t>
  </si>
  <si>
    <t>LUACIANO</t>
  </si>
  <si>
    <t>TELA / CORTE DE FERRAGENS</t>
  </si>
  <si>
    <t xml:space="preserve">SEMANA </t>
  </si>
  <si>
    <t>SABADO</t>
  </si>
  <si>
    <t>TOTAL  NA SEMANA COM CONSELMAR</t>
  </si>
  <si>
    <t>TOTAL  NA SABADO COM CONSELMAR</t>
  </si>
  <si>
    <t>TANQUE AERADOR 2</t>
  </si>
  <si>
    <t>OLHAR DESENHO ESPECIFICO</t>
  </si>
  <si>
    <r>
      <t xml:space="preserve">TELA VIVEIRO E REFORÇO </t>
    </r>
    <r>
      <rPr>
        <b/>
        <sz val="20"/>
        <color theme="1"/>
        <rFont val="Times New Roman"/>
        <family val="1"/>
      </rPr>
      <t>16 MM</t>
    </r>
    <r>
      <rPr>
        <sz val="20"/>
        <color theme="1"/>
        <rFont val="Times New Roman"/>
        <family val="1"/>
      </rPr>
      <t xml:space="preserve"> EM CIMA DOS PINOS IÇAMENTOS        4</t>
    </r>
    <r>
      <rPr>
        <b/>
        <sz val="20"/>
        <color theme="1"/>
        <rFont val="Times New Roman"/>
        <family val="1"/>
      </rPr>
      <t>X 10 TON/340  3 "u"  10 MM E 1 BARRA 1 MTS - nereda</t>
    </r>
  </si>
  <si>
    <r>
      <t>ESCORA 6,00</t>
    </r>
    <r>
      <rPr>
        <b/>
        <sz val="20"/>
        <color theme="1"/>
        <rFont val="Times New Roman"/>
        <family val="1"/>
      </rPr>
      <t xml:space="preserve"> DO PÉ     5/8 </t>
    </r>
  </si>
  <si>
    <t>QTDE DE BAINHAS (27 bainhas</t>
  </si>
  <si>
    <t>MEDIDAS DE TOPO DE FORMA (2378 NO aerador1 )</t>
  </si>
  <si>
    <r>
      <t xml:space="preserve">MOV: </t>
    </r>
    <r>
      <rPr>
        <b/>
        <sz val="20"/>
        <color theme="1"/>
        <rFont val="Times New Roman"/>
        <family val="1"/>
      </rPr>
      <t xml:space="preserve"> 8 X 7,5TON X 175 esf   </t>
    </r>
  </si>
  <si>
    <t>pintura superior micro f</t>
  </si>
  <si>
    <t>QTDE DE BAINHAS 28 BAINHAS</t>
  </si>
  <si>
    <t xml:space="preserve">                                                                                                                                                                        </t>
  </si>
  <si>
    <t>COLETOR DE ESPUMA</t>
  </si>
  <si>
    <t>ESPERAR DE VIGA SUPERIOR</t>
  </si>
  <si>
    <t>,</t>
  </si>
  <si>
    <t>AER 2_PF-155</t>
  </si>
  <si>
    <t>#1/2-1400 X 1400</t>
  </si>
  <si>
    <t>AER 2_PN-175</t>
  </si>
  <si>
    <t>AER 2_PN-176</t>
  </si>
  <si>
    <t>AER 2_PN-177</t>
  </si>
  <si>
    <t>AER 2_PN-179</t>
  </si>
  <si>
    <t>AER 2_PE-162</t>
  </si>
  <si>
    <t xml:space="preserve"> ARRANQUES CENTRAL EM BAIXO VAZADO</t>
  </si>
  <si>
    <t>PLACA TESTE</t>
  </si>
  <si>
    <t>PN-292-A</t>
  </si>
  <si>
    <t>15/12/2025</t>
  </si>
  <si>
    <t>PR_PE-98</t>
  </si>
  <si>
    <t>PLACAS  ACABADAS POR MÊS fechamento por semana completa</t>
  </si>
  <si>
    <t>fechamento contado dia a dia + preciso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</si>
</sst>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25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2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i/>
      <sz val="10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 Light"/>
      <family val="2"/>
      <scheme val="major"/>
    </font>
    <font>
      <b/>
      <sz val="30"/>
      <color theme="1"/>
      <name val="Calibri"/>
      <family val="2"/>
      <scheme val="minor"/>
    </font>
    <font>
      <sz val="30"/>
      <color theme="1"/>
      <name val="TechnicBold"/>
      <charset val="2"/>
    </font>
    <font>
      <sz val="30"/>
      <color theme="1"/>
      <name val="Times New Roman"/>
      <family val="1"/>
    </font>
    <font>
      <sz val="19"/>
      <color theme="1"/>
      <name val="TechnicBold"/>
      <charset val="2"/>
    </font>
    <font>
      <b/>
      <sz val="25"/>
      <color theme="1"/>
      <name val="Calibri"/>
      <family val="2"/>
      <scheme val="minor"/>
    </font>
    <font>
      <sz val="18"/>
      <color theme="1"/>
      <name val="Swis721 Cn BT"/>
      <family val="2"/>
    </font>
    <font>
      <b/>
      <sz val="2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wis721 Cn BT"/>
      <family val="2"/>
    </font>
    <font>
      <sz val="25"/>
      <color theme="1"/>
      <name val="Avenir Next LT Pro Light"/>
      <family val="2"/>
    </font>
    <font>
      <b/>
      <sz val="30"/>
      <color theme="1"/>
      <name val="Times New Roman"/>
      <family val="1"/>
    </font>
    <font>
      <b/>
      <sz val="32"/>
      <color theme="1"/>
      <name val="Calibri"/>
      <family val="2"/>
      <scheme val="minor"/>
    </font>
    <font>
      <sz val="36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E12B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50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7" fillId="0" borderId="1" xfId="0" applyFont="1" applyBorder="1"/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5" borderId="1" xfId="0" applyFont="1" applyFill="1" applyBorder="1"/>
    <xf numFmtId="0" fontId="14" fillId="0" borderId="1" xfId="0" applyFont="1" applyBorder="1" applyAlignment="1">
      <alignment horizontal="center" vertical="center"/>
    </xf>
    <xf numFmtId="0" fontId="5" fillId="0" borderId="0" xfId="0" applyFont="1"/>
    <xf numFmtId="0" fontId="2" fillId="5" borderId="5" xfId="0" applyFont="1" applyFill="1" applyBorder="1"/>
    <xf numFmtId="0" fontId="2" fillId="0" borderId="5" xfId="0" applyFont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5" borderId="3" xfId="0" applyFont="1" applyFill="1" applyBorder="1"/>
    <xf numFmtId="0" fontId="2" fillId="0" borderId="3" xfId="0" applyFont="1" applyBorder="1"/>
    <xf numFmtId="0" fontId="2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9" fillId="0" borderId="0" xfId="0" applyFont="1"/>
    <xf numFmtId="2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31" fillId="0" borderId="1" xfId="0" applyFont="1" applyBorder="1"/>
    <xf numFmtId="0" fontId="32" fillId="2" borderId="1" xfId="0" applyFont="1" applyFill="1" applyBorder="1"/>
    <xf numFmtId="0" fontId="0" fillId="0" borderId="13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31" fillId="0" borderId="0" xfId="0" applyFont="1"/>
    <xf numFmtId="0" fontId="11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16" fontId="0" fillId="14" borderId="20" xfId="0" applyNumberForma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quotePrefix="1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29" fillId="18" borderId="1" xfId="1" applyNumberFormat="1" applyFont="1" applyFill="1" applyBorder="1" applyAlignment="1">
      <alignment horizontal="center" vertical="center"/>
    </xf>
    <xf numFmtId="10" fontId="29" fillId="18" borderId="1" xfId="1" applyNumberFormat="1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16" fillId="0" borderId="0" xfId="0" applyFont="1"/>
    <xf numFmtId="14" fontId="20" fillId="0" borderId="3" xfId="0" applyNumberFormat="1" applyFont="1" applyBorder="1"/>
    <xf numFmtId="14" fontId="20" fillId="0" borderId="4" xfId="0" applyNumberFormat="1" applyFont="1" applyBorder="1"/>
    <xf numFmtId="14" fontId="20" fillId="0" borderId="5" xfId="0" applyNumberFormat="1" applyFont="1" applyBorder="1"/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5" fillId="0" borderId="1" xfId="0" applyFont="1" applyBorder="1" applyAlignment="1">
      <alignment horizontal="center"/>
    </xf>
    <xf numFmtId="0" fontId="2" fillId="5" borderId="22" xfId="0" applyFont="1" applyFill="1" applyBorder="1"/>
    <xf numFmtId="0" fontId="2" fillId="0" borderId="23" xfId="0" applyFont="1" applyBorder="1"/>
    <xf numFmtId="0" fontId="16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21" xfId="0" applyBorder="1"/>
    <xf numFmtId="0" fontId="14" fillId="0" borderId="3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45" fillId="0" borderId="0" xfId="0" applyFont="1"/>
    <xf numFmtId="14" fontId="45" fillId="3" borderId="0" xfId="0" quotePrefix="1" applyNumberFormat="1" applyFont="1" applyFill="1" applyAlignment="1">
      <alignment horizontal="center" vertical="center"/>
    </xf>
    <xf numFmtId="0" fontId="45" fillId="3" borderId="1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4" fontId="45" fillId="0" borderId="0" xfId="0" applyNumberFormat="1" applyFont="1"/>
    <xf numFmtId="0" fontId="6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1" fillId="0" borderId="1" xfId="0" applyFont="1" applyBorder="1" applyAlignment="1">
      <alignment vertical="center"/>
    </xf>
    <xf numFmtId="0" fontId="44" fillId="0" borderId="0" xfId="0" applyFont="1"/>
    <xf numFmtId="16" fontId="5" fillId="14" borderId="20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4" fontId="30" fillId="2" borderId="1" xfId="0" applyNumberFormat="1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5" fillId="3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22" borderId="0" xfId="0" applyFont="1" applyFill="1"/>
    <xf numFmtId="0" fontId="0" fillId="22" borderId="0" xfId="0" applyFill="1"/>
    <xf numFmtId="0" fontId="5" fillId="18" borderId="0" xfId="0" applyFont="1" applyFill="1"/>
    <xf numFmtId="0" fontId="51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wrapText="1"/>
    </xf>
    <xf numFmtId="0" fontId="47" fillId="0" borderId="5" xfId="0" applyFont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47" fillId="0" borderId="1" xfId="0" quotePrefix="1" applyFont="1" applyBorder="1" applyAlignment="1">
      <alignment vertical="center"/>
    </xf>
    <xf numFmtId="0" fontId="47" fillId="0" borderId="1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2" fillId="0" borderId="12" xfId="0" applyFont="1" applyBorder="1"/>
    <xf numFmtId="0" fontId="2" fillId="0" borderId="11" xfId="0" applyFont="1" applyBorder="1"/>
    <xf numFmtId="0" fontId="2" fillId="0" borderId="8" xfId="0" applyFont="1" applyBorder="1"/>
    <xf numFmtId="0" fontId="43" fillId="0" borderId="1" xfId="0" applyFont="1" applyBorder="1" applyAlignment="1">
      <alignment vertical="center"/>
    </xf>
    <xf numFmtId="0" fontId="18" fillId="0" borderId="1" xfId="0" applyFont="1" applyBorder="1" applyAlignment="1">
      <alignment horizontal="right" vertical="center"/>
    </xf>
    <xf numFmtId="0" fontId="52" fillId="0" borderId="1" xfId="0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16" fontId="0" fillId="14" borderId="0" xfId="0" applyNumberFormat="1" applyFill="1" applyAlignment="1">
      <alignment horizontal="center" wrapText="1"/>
    </xf>
    <xf numFmtId="0" fontId="51" fillId="21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0" fontId="51" fillId="23" borderId="1" xfId="0" applyFont="1" applyFill="1" applyBorder="1" applyAlignment="1">
      <alignment horizontal="center" vertical="center"/>
    </xf>
    <xf numFmtId="0" fontId="0" fillId="15" borderId="0" xfId="0" applyFill="1"/>
    <xf numFmtId="0" fontId="30" fillId="15" borderId="1" xfId="0" applyFont="1" applyFill="1" applyBorder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51" fillId="1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21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4" borderId="1" xfId="0" applyFill="1" applyBorder="1" applyAlignment="1">
      <alignment horizontal="center" vertical="center"/>
    </xf>
    <xf numFmtId="0" fontId="0" fillId="2" borderId="1" xfId="0" applyFill="1" applyBorder="1"/>
    <xf numFmtId="0" fontId="0" fillId="22" borderId="0" xfId="0" applyFill="1" applyAlignment="1">
      <alignment horizontal="left"/>
    </xf>
    <xf numFmtId="0" fontId="0" fillId="18" borderId="0" xfId="0" applyFill="1"/>
    <xf numFmtId="0" fontId="0" fillId="6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6" borderId="29" xfId="0" applyFill="1" applyBorder="1" applyAlignment="1">
      <alignment horizontal="left"/>
    </xf>
    <xf numFmtId="0" fontId="0" fillId="21" borderId="30" xfId="0" applyFill="1" applyBorder="1" applyAlignment="1">
      <alignment horizontal="left"/>
    </xf>
    <xf numFmtId="0" fontId="0" fillId="18" borderId="29" xfId="0" applyFill="1" applyBorder="1" applyAlignment="1">
      <alignment horizontal="left"/>
    </xf>
    <xf numFmtId="0" fontId="0" fillId="18" borderId="29" xfId="0" applyFill="1" applyBorder="1"/>
    <xf numFmtId="0" fontId="0" fillId="0" borderId="30" xfId="0" applyBorder="1"/>
    <xf numFmtId="0" fontId="0" fillId="18" borderId="31" xfId="0" applyFill="1" applyBorder="1"/>
    <xf numFmtId="0" fontId="0" fillId="18" borderId="32" xfId="0" applyFill="1" applyBorder="1"/>
    <xf numFmtId="0" fontId="0" fillId="4" borderId="32" xfId="0" applyFill="1" applyBorder="1"/>
    <xf numFmtId="0" fontId="0" fillId="21" borderId="32" xfId="0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0" fillId="3" borderId="32" xfId="0" applyFill="1" applyBorder="1"/>
    <xf numFmtId="0" fontId="0" fillId="22" borderId="32" xfId="0" applyFill="1" applyBorder="1"/>
    <xf numFmtId="0" fontId="0" fillId="0" borderId="32" xfId="0" applyBorder="1"/>
    <xf numFmtId="0" fontId="0" fillId="0" borderId="33" xfId="0" applyBorder="1"/>
    <xf numFmtId="0" fontId="6" fillId="18" borderId="34" xfId="0" applyFont="1" applyFill="1" applyBorder="1" applyAlignment="1">
      <alignment horizontal="center" vertical="center"/>
    </xf>
    <xf numFmtId="0" fontId="6" fillId="18" borderId="35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horizontal="center" vertical="center"/>
    </xf>
    <xf numFmtId="0" fontId="6" fillId="21" borderId="35" xfId="0" applyFont="1" applyFill="1" applyBorder="1" applyAlignment="1">
      <alignment horizontal="center" vertical="center"/>
    </xf>
    <xf numFmtId="0" fontId="6" fillId="21" borderId="35" xfId="0" applyFont="1" applyFill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/>
    </xf>
    <xf numFmtId="0" fontId="6" fillId="21" borderId="36" xfId="0" applyFont="1" applyFill="1" applyBorder="1" applyAlignment="1">
      <alignment horizontal="center" vertical="center" wrapText="1"/>
    </xf>
    <xf numFmtId="0" fontId="6" fillId="21" borderId="34" xfId="0" applyFont="1" applyFill="1" applyBorder="1"/>
    <xf numFmtId="0" fontId="6" fillId="21" borderId="35" xfId="0" applyFont="1" applyFill="1" applyBorder="1"/>
    <xf numFmtId="0" fontId="6" fillId="4" borderId="35" xfId="0" applyFont="1" applyFill="1" applyBorder="1"/>
    <xf numFmtId="0" fontId="6" fillId="3" borderId="35" xfId="0" applyFont="1" applyFill="1" applyBorder="1"/>
    <xf numFmtId="0" fontId="6" fillId="22" borderId="35" xfId="0" applyFont="1" applyFill="1" applyBorder="1"/>
    <xf numFmtId="0" fontId="6" fillId="22" borderId="36" xfId="0" applyFont="1" applyFill="1" applyBorder="1"/>
    <xf numFmtId="0" fontId="6" fillId="21" borderId="34" xfId="0" applyFont="1" applyFill="1" applyBorder="1" applyAlignment="1">
      <alignment vertical="center"/>
    </xf>
    <xf numFmtId="0" fontId="6" fillId="21" borderId="35" xfId="0" applyFont="1" applyFill="1" applyBorder="1" applyAlignment="1">
      <alignment vertical="center"/>
    </xf>
    <xf numFmtId="0" fontId="6" fillId="4" borderId="35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22" borderId="35" xfId="0" applyFont="1" applyFill="1" applyBorder="1" applyAlignment="1">
      <alignment vertical="center"/>
    </xf>
    <xf numFmtId="0" fontId="6" fillId="22" borderId="36" xfId="0" applyFont="1" applyFill="1" applyBorder="1" applyAlignment="1">
      <alignment vertical="center"/>
    </xf>
    <xf numFmtId="49" fontId="21" fillId="0" borderId="20" xfId="0" applyNumberFormat="1" applyFont="1" applyBorder="1" applyAlignment="1">
      <alignment horizontal="center" vertical="center"/>
    </xf>
    <xf numFmtId="0" fontId="30" fillId="14" borderId="8" xfId="0" applyFont="1" applyFill="1" applyBorder="1" applyAlignment="1">
      <alignment horizontal="center" vertical="center"/>
    </xf>
    <xf numFmtId="0" fontId="30" fillId="14" borderId="9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17" borderId="8" xfId="0" applyFont="1" applyFill="1" applyBorder="1" applyAlignment="1">
      <alignment horizontal="center" vertical="center"/>
    </xf>
    <xf numFmtId="0" fontId="30" fillId="17" borderId="9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0" fillId="0" borderId="13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9" fillId="0" borderId="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50" fillId="0" borderId="3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14" fontId="50" fillId="0" borderId="3" xfId="0" applyNumberFormat="1" applyFont="1" applyBorder="1" applyAlignment="1">
      <alignment horizontal="center"/>
    </xf>
    <xf numFmtId="14" fontId="50" fillId="0" borderId="4" xfId="0" applyNumberFormat="1" applyFont="1" applyBorder="1" applyAlignment="1">
      <alignment horizontal="center"/>
    </xf>
    <xf numFmtId="14" fontId="50" fillId="0" borderId="5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31" fillId="0" borderId="1" xfId="0" applyFont="1" applyBorder="1" applyAlignment="1">
      <alignment horizontal="righ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40" fillId="17" borderId="3" xfId="0" applyFont="1" applyFill="1" applyBorder="1" applyAlignment="1">
      <alignment horizontal="center" vertical="center"/>
    </xf>
    <xf numFmtId="0" fontId="40" fillId="17" borderId="5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right" vertical="center"/>
    </xf>
    <xf numFmtId="0" fontId="31" fillId="0" borderId="5" xfId="0" applyFont="1" applyBorder="1" applyAlignment="1">
      <alignment horizontal="right" vertical="center"/>
    </xf>
    <xf numFmtId="0" fontId="24" fillId="5" borderId="3" xfId="0" applyFont="1" applyFill="1" applyBorder="1" applyAlignment="1">
      <alignment horizontal="left" vertical="center"/>
    </xf>
    <xf numFmtId="0" fontId="24" fillId="5" borderId="4" xfId="0" applyFont="1" applyFill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24" fillId="5" borderId="3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 wrapText="1"/>
    </xf>
    <xf numFmtId="0" fontId="36" fillId="17" borderId="3" xfId="0" applyFont="1" applyFill="1" applyBorder="1" applyAlignment="1">
      <alignment horizontal="center" vertical="center"/>
    </xf>
    <xf numFmtId="0" fontId="36" fillId="17" borderId="5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44" fillId="0" borderId="4" xfId="0" applyFont="1" applyBorder="1" applyAlignment="1">
      <alignment horizontal="center"/>
    </xf>
    <xf numFmtId="0" fontId="29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vertical="center" textRotation="180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textRotation="90"/>
    </xf>
    <xf numFmtId="0" fontId="28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9" fillId="17" borderId="3" xfId="0" applyFont="1" applyFill="1" applyBorder="1" applyAlignment="1">
      <alignment horizontal="center" vertical="center"/>
    </xf>
    <xf numFmtId="0" fontId="49" fillId="17" borderId="5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1" fillId="0" borderId="3" xfId="0" applyFont="1" applyBorder="1" applyAlignment="1">
      <alignment vertical="center"/>
    </xf>
    <xf numFmtId="0" fontId="31" fillId="0" borderId="5" xfId="0" applyFont="1" applyBorder="1" applyAlignment="1">
      <alignment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textRotation="90"/>
    </xf>
    <xf numFmtId="0" fontId="50" fillId="0" borderId="1" xfId="0" applyFont="1" applyBorder="1" applyAlignment="1">
      <alignment horizontal="center"/>
    </xf>
    <xf numFmtId="0" fontId="47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7" fillId="0" borderId="3" xfId="0" quotePrefix="1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8" fillId="0" borderId="2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14" fontId="42" fillId="0" borderId="1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3" xfId="0" quotePrefix="1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38" fillId="2" borderId="0" xfId="0" applyFont="1" applyFill="1" applyAlignment="1">
      <alignment horizontal="center"/>
    </xf>
    <xf numFmtId="0" fontId="38" fillId="2" borderId="2" xfId="0" applyFont="1" applyFill="1" applyBorder="1" applyAlignment="1">
      <alignment horizontal="center"/>
    </xf>
    <xf numFmtId="0" fontId="31" fillId="0" borderId="1" xfId="0" applyFont="1" applyBorder="1" applyAlignment="1">
      <alignment vertical="center"/>
    </xf>
    <xf numFmtId="0" fontId="4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46" fillId="0" borderId="3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14" fontId="20" fillId="0" borderId="3" xfId="0" applyNumberFormat="1" applyFont="1" applyBorder="1" applyAlignment="1">
      <alignment horizontal="center"/>
    </xf>
    <xf numFmtId="14" fontId="20" fillId="0" borderId="4" xfId="0" applyNumberFormat="1" applyFont="1" applyBorder="1" applyAlignment="1">
      <alignment horizontal="center"/>
    </xf>
    <xf numFmtId="14" fontId="20" fillId="0" borderId="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9" fillId="0" borderId="1" xfId="0" applyFont="1" applyBorder="1" applyAlignment="1">
      <alignment horizontal="left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35" fillId="0" borderId="11" xfId="0" applyNumberFormat="1" applyFont="1" applyBorder="1" applyAlignment="1">
      <alignment horizontal="center"/>
    </xf>
    <xf numFmtId="14" fontId="35" fillId="0" borderId="12" xfId="0" applyNumberFormat="1" applyFont="1" applyBorder="1" applyAlignment="1">
      <alignment horizontal="center"/>
    </xf>
    <xf numFmtId="14" fontId="35" fillId="0" borderId="13" xfId="0" applyNumberFormat="1" applyFont="1" applyBorder="1" applyAlignment="1">
      <alignment horizontal="center"/>
    </xf>
    <xf numFmtId="14" fontId="35" fillId="0" borderId="2" xfId="0" applyNumberFormat="1" applyFont="1" applyBorder="1" applyAlignment="1">
      <alignment horizontal="center"/>
    </xf>
    <xf numFmtId="14" fontId="35" fillId="0" borderId="10" xfId="0" applyNumberFormat="1" applyFont="1" applyBorder="1" applyAlignment="1">
      <alignment horizontal="center"/>
    </xf>
    <xf numFmtId="14" fontId="35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45" fillId="0" borderId="38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0" fillId="0" borderId="0" xfId="0"/>
    <xf numFmtId="0" fontId="0" fillId="3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0" fillId="18" borderId="0" xfId="0" applyFill="1"/>
    <xf numFmtId="0" fontId="0" fillId="22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18" borderId="0" xfId="0" applyFill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5" fillId="4" borderId="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textRotation="90"/>
    </xf>
    <xf numFmtId="0" fontId="6" fillId="0" borderId="2" xfId="0" applyFont="1" applyBorder="1" applyAlignment="1">
      <alignment horizontal="right" vertical="center" textRotation="90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180" wrapText="1"/>
    </xf>
    <xf numFmtId="14" fontId="0" fillId="0" borderId="3" xfId="0" quotePrefix="1" applyNumberForma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17" fontId="5" fillId="0" borderId="1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9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BE1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100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70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90.png"/><Relationship Id="rId4" Type="http://schemas.openxmlformats.org/officeDocument/2006/relationships/image" Target="../media/image60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1039091</xdr:colOff>
      <xdr:row>1</xdr:row>
      <xdr:rowOff>69273</xdr:rowOff>
    </xdr:from>
    <xdr:to>
      <xdr:col>23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605E3C72-FB7B-4347-B328-EC7AE71AF3DF}"/>
            </a:ext>
          </a:extLst>
        </xdr:cNvPr>
        <xdr:cNvSpPr/>
      </xdr:nvSpPr>
      <xdr:spPr>
        <a:xfrm>
          <a:off x="32606846" y="40074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7</xdr:row>
      <xdr:rowOff>69273</xdr:rowOff>
    </xdr:from>
    <xdr:to>
      <xdr:col>23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8038097F-2E60-40C2-B8AE-6B9C7E287391}"/>
            </a:ext>
          </a:extLst>
        </xdr:cNvPr>
        <xdr:cNvSpPr/>
      </xdr:nvSpPr>
      <xdr:spPr>
        <a:xfrm>
          <a:off x="32606846" y="396309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12</xdr:row>
      <xdr:rowOff>69273</xdr:rowOff>
    </xdr:from>
    <xdr:to>
      <xdr:col>23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CE4C8831-4CC4-4A7F-8B51-A684DDFEA2B0}"/>
            </a:ext>
          </a:extLst>
        </xdr:cNvPr>
        <xdr:cNvSpPr/>
      </xdr:nvSpPr>
      <xdr:spPr>
        <a:xfrm>
          <a:off x="32606846" y="696346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18</xdr:row>
      <xdr:rowOff>69273</xdr:rowOff>
    </xdr:from>
    <xdr:to>
      <xdr:col>23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765A9D01-DDA5-4CCD-9864-9B099D70C518}"/>
            </a:ext>
          </a:extLst>
        </xdr:cNvPr>
        <xdr:cNvSpPr/>
      </xdr:nvSpPr>
      <xdr:spPr>
        <a:xfrm>
          <a:off x="32606846" y="10992543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24</xdr:row>
      <xdr:rowOff>69273</xdr:rowOff>
    </xdr:from>
    <xdr:to>
      <xdr:col>23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9F37C23C-0F96-4856-8BC6-A99B6B4644B4}"/>
            </a:ext>
          </a:extLst>
        </xdr:cNvPr>
        <xdr:cNvSpPr/>
      </xdr:nvSpPr>
      <xdr:spPr>
        <a:xfrm>
          <a:off x="32606846" y="1504066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1039091</xdr:colOff>
      <xdr:row>30</xdr:row>
      <xdr:rowOff>69273</xdr:rowOff>
    </xdr:from>
    <xdr:to>
      <xdr:col>23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CB5684F1-F946-4F14-9455-13147D2B01A0}"/>
            </a:ext>
          </a:extLst>
        </xdr:cNvPr>
        <xdr:cNvSpPr/>
      </xdr:nvSpPr>
      <xdr:spPr>
        <a:xfrm>
          <a:off x="32606846" y="19098318"/>
          <a:ext cx="195868" cy="32246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3802726</xdr:colOff>
      <xdr:row>29</xdr:row>
      <xdr:rowOff>402129</xdr:rowOff>
    </xdr:from>
    <xdr:to>
      <xdr:col>20</xdr:col>
      <xdr:colOff>658090</xdr:colOff>
      <xdr:row>31</xdr:row>
      <xdr:rowOff>263583</xdr:rowOff>
    </xdr:to>
    <xdr:sp macro="" textlink="">
      <xdr:nvSpPr>
        <xdr:cNvPr id="2" name="Sinal de Subtração 1">
          <a:extLst>
            <a:ext uri="{FF2B5EF4-FFF2-40B4-BE49-F238E27FC236}">
              <a16:creationId xmlns:a16="http://schemas.microsoft.com/office/drawing/2014/main" id="{533DEF7F-57E2-4452-8148-A100C05E2DC2}"/>
            </a:ext>
          </a:extLst>
        </xdr:cNvPr>
        <xdr:cNvSpPr/>
      </xdr:nvSpPr>
      <xdr:spPr>
        <a:xfrm>
          <a:off x="6729499" y="18742084"/>
          <a:ext cx="14121591" cy="1108363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499111</xdr:colOff>
      <xdr:row>28</xdr:row>
      <xdr:rowOff>323965</xdr:rowOff>
    </xdr:from>
    <xdr:to>
      <xdr:col>21</xdr:col>
      <xdr:colOff>192694</xdr:colOff>
      <xdr:row>30</xdr:row>
      <xdr:rowOff>251978</xdr:rowOff>
    </xdr:to>
    <xdr:sp macro="" textlink="">
      <xdr:nvSpPr>
        <xdr:cNvPr id="3" name="Sinal de Subtração 2">
          <a:extLst>
            <a:ext uri="{FF2B5EF4-FFF2-40B4-BE49-F238E27FC236}">
              <a16:creationId xmlns:a16="http://schemas.microsoft.com/office/drawing/2014/main" id="{D0888246-A996-4E81-BF9A-5A9362664458}"/>
            </a:ext>
          </a:extLst>
        </xdr:cNvPr>
        <xdr:cNvSpPr/>
      </xdr:nvSpPr>
      <xdr:spPr>
        <a:xfrm flipV="1">
          <a:off x="19098838" y="18040465"/>
          <a:ext cx="2499129" cy="1174922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</xdr:row>
      <xdr:rowOff>69273</xdr:rowOff>
    </xdr:from>
    <xdr:to>
      <xdr:col>29</xdr:col>
      <xdr:colOff>1233054</xdr:colOff>
      <xdr:row>1</xdr:row>
      <xdr:rowOff>387928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4DE486E5-B6A3-73BF-B645-ECE35BBB8189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608DA262-2B29-4420-939D-9BDDBA3E271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D9E740F8-F300-4361-B142-80FEC7A137E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0D8FF8C0-529C-457F-9440-9770BEC6C080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03866244-1A7D-4563-A1EC-51BFC1DECC67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1F9E3C0F-CF16-44CC-88B3-4FDF3025EC72}"/>
            </a:ext>
          </a:extLst>
        </xdr:cNvPr>
        <xdr:cNvSpPr/>
      </xdr:nvSpPr>
      <xdr:spPr>
        <a:xfrm>
          <a:off x="28512655" y="51261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1260764</xdr:colOff>
      <xdr:row>1</xdr:row>
      <xdr:rowOff>55418</xdr:rowOff>
    </xdr:from>
    <xdr:to>
      <xdr:col>29</xdr:col>
      <xdr:colOff>1454727</xdr:colOff>
      <xdr:row>1</xdr:row>
      <xdr:rowOff>374073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B9BEF6CE-5725-4B6F-82C6-0D6FD42D87ED}"/>
            </a:ext>
          </a:extLst>
        </xdr:cNvPr>
        <xdr:cNvSpPr/>
      </xdr:nvSpPr>
      <xdr:spPr>
        <a:xfrm>
          <a:off x="30978764" y="49876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7</xdr:row>
      <xdr:rowOff>69273</xdr:rowOff>
    </xdr:from>
    <xdr:to>
      <xdr:col>29</xdr:col>
      <xdr:colOff>1233054</xdr:colOff>
      <xdr:row>7</xdr:row>
      <xdr:rowOff>387928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33640B8C-E687-40CB-8F2D-245855C835C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12</xdr:row>
      <xdr:rowOff>69273</xdr:rowOff>
    </xdr:from>
    <xdr:to>
      <xdr:col>29</xdr:col>
      <xdr:colOff>1233054</xdr:colOff>
      <xdr:row>12</xdr:row>
      <xdr:rowOff>387928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305ECF51-3714-4C4B-BC44-D7BE407DF224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18</xdr:row>
      <xdr:rowOff>69273</xdr:rowOff>
    </xdr:from>
    <xdr:to>
      <xdr:col>29</xdr:col>
      <xdr:colOff>1233054</xdr:colOff>
      <xdr:row>18</xdr:row>
      <xdr:rowOff>387928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986830A2-5A09-40AE-8D2C-B7B159EF332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24</xdr:row>
      <xdr:rowOff>69273</xdr:rowOff>
    </xdr:from>
    <xdr:to>
      <xdr:col>29</xdr:col>
      <xdr:colOff>1233054</xdr:colOff>
      <xdr:row>24</xdr:row>
      <xdr:rowOff>387928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3689BBD1-0B96-4B5C-AB56-F10DC163922A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1039091</xdr:colOff>
      <xdr:row>30</xdr:row>
      <xdr:rowOff>69273</xdr:rowOff>
    </xdr:from>
    <xdr:to>
      <xdr:col>29</xdr:col>
      <xdr:colOff>1233054</xdr:colOff>
      <xdr:row>30</xdr:row>
      <xdr:rowOff>387928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D021EAC8-CE2B-4D33-8097-DB8889653EA5}"/>
            </a:ext>
          </a:extLst>
        </xdr:cNvPr>
        <xdr:cNvSpPr/>
      </xdr:nvSpPr>
      <xdr:spPr>
        <a:xfrm>
          <a:off x="28463471" y="511233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390698</xdr:colOff>
      <xdr:row>61</xdr:row>
      <xdr:rowOff>173182</xdr:rowOff>
    </xdr:from>
    <xdr:to>
      <xdr:col>4</xdr:col>
      <xdr:colOff>3146194</xdr:colOff>
      <xdr:row>73</xdr:row>
      <xdr:rowOff>365171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E605700-E212-A390-0F27-CC1507D7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425" y="30687818"/>
          <a:ext cx="5378162" cy="6018519"/>
        </a:xfrm>
        <a:prstGeom prst="rect">
          <a:avLst/>
        </a:prstGeom>
      </xdr:spPr>
    </xdr:pic>
    <xdr:clientData/>
  </xdr:twoCellAnchor>
  <xdr:twoCellAnchor editAs="oneCell">
    <xdr:from>
      <xdr:col>4</xdr:col>
      <xdr:colOff>3082706</xdr:colOff>
      <xdr:row>60</xdr:row>
      <xdr:rowOff>363681</xdr:rowOff>
    </xdr:from>
    <xdr:to>
      <xdr:col>15</xdr:col>
      <xdr:colOff>575611</xdr:colOff>
      <xdr:row>72</xdr:row>
      <xdr:rowOff>134735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6CD79D-F5B1-65DA-AE60-B77B86EF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9479" y="30393408"/>
          <a:ext cx="8194206" cy="5593773"/>
        </a:xfrm>
        <a:prstGeom prst="rect">
          <a:avLst/>
        </a:prstGeom>
      </xdr:spPr>
    </xdr:pic>
    <xdr:clientData/>
  </xdr:twoCellAnchor>
  <xdr:twoCellAnchor editAs="oneCell">
    <xdr:from>
      <xdr:col>12</xdr:col>
      <xdr:colOff>731174</xdr:colOff>
      <xdr:row>59</xdr:row>
      <xdr:rowOff>388620</xdr:rowOff>
    </xdr:from>
    <xdr:to>
      <xdr:col>30</xdr:col>
      <xdr:colOff>519034</xdr:colOff>
      <xdr:row>77</xdr:row>
      <xdr:rowOff>96113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06BAECB-7739-6DF9-A389-507BB33F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15356" y="29933438"/>
          <a:ext cx="12520163" cy="8432049"/>
        </a:xfrm>
        <a:prstGeom prst="rect">
          <a:avLst/>
        </a:prstGeom>
      </xdr:spPr>
    </xdr:pic>
    <xdr:clientData/>
  </xdr:twoCellAnchor>
  <xdr:twoCellAnchor>
    <xdr:from>
      <xdr:col>37</xdr:col>
      <xdr:colOff>1260764</xdr:colOff>
      <xdr:row>1</xdr:row>
      <xdr:rowOff>55418</xdr:rowOff>
    </xdr:from>
    <xdr:to>
      <xdr:col>37</xdr:col>
      <xdr:colOff>1454727</xdr:colOff>
      <xdr:row>1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6A992B88-03D3-4644-AD1B-33DDDCB0685F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7</xdr:row>
      <xdr:rowOff>55418</xdr:rowOff>
    </xdr:from>
    <xdr:to>
      <xdr:col>37</xdr:col>
      <xdr:colOff>1454727</xdr:colOff>
      <xdr:row>7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ADD82D23-AB4C-427A-AE1A-C0E320ECE386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12</xdr:row>
      <xdr:rowOff>55418</xdr:rowOff>
    </xdr:from>
    <xdr:to>
      <xdr:col>37</xdr:col>
      <xdr:colOff>1454727</xdr:colOff>
      <xdr:row>12</xdr:row>
      <xdr:rowOff>374073</xdr:rowOff>
    </xdr:to>
    <xdr:sp macro="" textlink="">
      <xdr:nvSpPr>
        <xdr:cNvPr id="7" name="Seta: para Baixo 6">
          <a:extLst>
            <a:ext uri="{FF2B5EF4-FFF2-40B4-BE49-F238E27FC236}">
              <a16:creationId xmlns:a16="http://schemas.microsoft.com/office/drawing/2014/main" id="{B2EAD910-019A-4E5D-B15C-884A6A5D4219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18</xdr:row>
      <xdr:rowOff>55418</xdr:rowOff>
    </xdr:from>
    <xdr:to>
      <xdr:col>37</xdr:col>
      <xdr:colOff>1454727</xdr:colOff>
      <xdr:row>18</xdr:row>
      <xdr:rowOff>374073</xdr:rowOff>
    </xdr:to>
    <xdr:sp macro="" textlink="">
      <xdr:nvSpPr>
        <xdr:cNvPr id="8" name="Seta: para Baixo 7">
          <a:extLst>
            <a:ext uri="{FF2B5EF4-FFF2-40B4-BE49-F238E27FC236}">
              <a16:creationId xmlns:a16="http://schemas.microsoft.com/office/drawing/2014/main" id="{429BDFCB-6B56-47DE-9C5A-5B391118A0F8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24</xdr:row>
      <xdr:rowOff>55418</xdr:rowOff>
    </xdr:from>
    <xdr:to>
      <xdr:col>37</xdr:col>
      <xdr:colOff>1454727</xdr:colOff>
      <xdr:row>24</xdr:row>
      <xdr:rowOff>374073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00D5787D-0745-4DA9-AAE4-4A139FFD558E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1260764</xdr:colOff>
      <xdr:row>30</xdr:row>
      <xdr:rowOff>55418</xdr:rowOff>
    </xdr:from>
    <xdr:to>
      <xdr:col>37</xdr:col>
      <xdr:colOff>1454727</xdr:colOff>
      <xdr:row>30</xdr:row>
      <xdr:rowOff>374073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E88299E9-13B4-4997-B51D-6160CCD6568C}"/>
            </a:ext>
          </a:extLst>
        </xdr:cNvPr>
        <xdr:cNvSpPr/>
      </xdr:nvSpPr>
      <xdr:spPr>
        <a:xfrm>
          <a:off x="30940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68580</xdr:rowOff>
    </xdr:from>
    <xdr:to>
      <xdr:col>2</xdr:col>
      <xdr:colOff>897255</xdr:colOff>
      <xdr:row>36</xdr:row>
      <xdr:rowOff>117022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C17A13A-78ED-4997-B595-5C681359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2630"/>
          <a:ext cx="1994535" cy="1722120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25</xdr:row>
      <xdr:rowOff>445770</xdr:rowOff>
    </xdr:from>
    <xdr:to>
      <xdr:col>25</xdr:col>
      <xdr:colOff>363832</xdr:colOff>
      <xdr:row>28</xdr:row>
      <xdr:rowOff>342900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896CEF-C63E-4DE7-BCD0-67DE5A79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841450" y="14142720"/>
          <a:ext cx="2501242" cy="17830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31</xdr:row>
      <xdr:rowOff>83820</xdr:rowOff>
    </xdr:from>
    <xdr:to>
      <xdr:col>4</xdr:col>
      <xdr:colOff>3102048</xdr:colOff>
      <xdr:row>36</xdr:row>
      <xdr:rowOff>132262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9FCC96-83E9-4876-BC0A-45B06E86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0" y="17247870"/>
          <a:ext cx="2801058" cy="1725930"/>
        </a:xfrm>
        <a:prstGeom prst="rect">
          <a:avLst/>
        </a:prstGeom>
      </xdr:spPr>
    </xdr:pic>
    <xdr:clientData/>
  </xdr:twoCellAnchor>
  <xdr:twoCellAnchor editAs="oneCell">
    <xdr:from>
      <xdr:col>4</xdr:col>
      <xdr:colOff>4438650</xdr:colOff>
      <xdr:row>31</xdr:row>
      <xdr:rowOff>129540</xdr:rowOff>
    </xdr:from>
    <xdr:to>
      <xdr:col>4</xdr:col>
      <xdr:colOff>6758940</xdr:colOff>
      <xdr:row>36</xdr:row>
      <xdr:rowOff>151062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F7386F2-5042-4F51-B2D0-87527B69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9050" y="17293590"/>
          <a:ext cx="2324100" cy="1695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1146809</xdr:colOff>
      <xdr:row>32</xdr:row>
      <xdr:rowOff>91440</xdr:rowOff>
    </xdr:from>
    <xdr:to>
      <xdr:col>14</xdr:col>
      <xdr:colOff>298991</xdr:colOff>
      <xdr:row>35</xdr:row>
      <xdr:rowOff>132261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E9C93E3-8EBF-4886-9AC5-489BAA5E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39209" y="17579340"/>
          <a:ext cx="1661067" cy="107061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31</xdr:row>
      <xdr:rowOff>182880</xdr:rowOff>
    </xdr:from>
    <xdr:to>
      <xdr:col>10</xdr:col>
      <xdr:colOff>705855</xdr:colOff>
      <xdr:row>36</xdr:row>
      <xdr:rowOff>78922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6D369A7-2C4B-40A6-907B-2618D99B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4300" y="17346930"/>
          <a:ext cx="3569070" cy="1569720"/>
        </a:xfrm>
        <a:prstGeom prst="rect">
          <a:avLst/>
        </a:prstGeom>
      </xdr:spPr>
    </xdr:pic>
    <xdr:clientData/>
  </xdr:twoCellAnchor>
  <xdr:twoCellAnchor editAs="oneCell">
    <xdr:from>
      <xdr:col>15</xdr:col>
      <xdr:colOff>659129</xdr:colOff>
      <xdr:row>32</xdr:row>
      <xdr:rowOff>26670</xdr:rowOff>
    </xdr:from>
    <xdr:to>
      <xdr:col>17</xdr:col>
      <xdr:colOff>1160743</xdr:colOff>
      <xdr:row>35</xdr:row>
      <xdr:rowOff>56061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31080B6-17F5-42FE-BFD2-F71C2D50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4829" y="17514570"/>
          <a:ext cx="2854289" cy="1059180"/>
        </a:xfrm>
        <a:prstGeom prst="rect">
          <a:avLst/>
        </a:prstGeom>
      </xdr:spPr>
    </xdr:pic>
    <xdr:clientData/>
  </xdr:twoCellAnchor>
  <xdr:twoCellAnchor editAs="oneCell">
    <xdr:from>
      <xdr:col>18</xdr:col>
      <xdr:colOff>1150620</xdr:colOff>
      <xdr:row>32</xdr:row>
      <xdr:rowOff>68580</xdr:rowOff>
    </xdr:from>
    <xdr:to>
      <xdr:col>20</xdr:col>
      <xdr:colOff>1582497</xdr:colOff>
      <xdr:row>35</xdr:row>
      <xdr:rowOff>231321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92988DD-D022-4D20-B3BC-71D476B9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29620" y="17556480"/>
          <a:ext cx="3747616" cy="1188720"/>
        </a:xfrm>
        <a:prstGeom prst="rect">
          <a:avLst/>
        </a:prstGeom>
      </xdr:spPr>
    </xdr:pic>
    <xdr:clientData/>
  </xdr:twoCellAnchor>
  <xdr:twoCellAnchor>
    <xdr:from>
      <xdr:col>2</xdr:col>
      <xdr:colOff>1028700</xdr:colOff>
      <xdr:row>31</xdr:row>
      <xdr:rowOff>259080</xdr:rowOff>
    </xdr:from>
    <xdr:to>
      <xdr:col>4</xdr:col>
      <xdr:colOff>0</xdr:colOff>
      <xdr:row>36</xdr:row>
      <xdr:rowOff>114300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6D2235B-C812-8FF5-4878-29C9990A17AF}"/>
            </a:ext>
          </a:extLst>
        </xdr:cNvPr>
        <xdr:cNvSpPr txBox="1"/>
      </xdr:nvSpPr>
      <xdr:spPr>
        <a:xfrm>
          <a:off x="2114550" y="17423130"/>
          <a:ext cx="1085850" cy="14744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21</xdr:col>
      <xdr:colOff>563880</xdr:colOff>
      <xdr:row>28</xdr:row>
      <xdr:rowOff>502920</xdr:rowOff>
    </xdr:from>
    <xdr:to>
      <xdr:col>24</xdr:col>
      <xdr:colOff>476250</xdr:colOff>
      <xdr:row>30</xdr:row>
      <xdr:rowOff>152400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2730AD4-4BB4-48F3-B795-229624EF2500}"/>
            </a:ext>
          </a:extLst>
        </xdr:cNvPr>
        <xdr:cNvSpPr txBox="1"/>
      </xdr:nvSpPr>
      <xdr:spPr>
        <a:xfrm>
          <a:off x="27100530" y="16085820"/>
          <a:ext cx="1741170" cy="9067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6717030</xdr:colOff>
      <xdr:row>32</xdr:row>
      <xdr:rowOff>281940</xdr:rowOff>
    </xdr:from>
    <xdr:to>
      <xdr:col>6</xdr:col>
      <xdr:colOff>133350</xdr:colOff>
      <xdr:row>35</xdr:row>
      <xdr:rowOff>304800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BC66B3BC-815F-43AF-8AAC-E41005BDF0D2}"/>
            </a:ext>
          </a:extLst>
        </xdr:cNvPr>
        <xdr:cNvSpPr txBox="1"/>
      </xdr:nvSpPr>
      <xdr:spPr>
        <a:xfrm>
          <a:off x="9917430" y="17769840"/>
          <a:ext cx="1436370" cy="9944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4</xdr:col>
      <xdr:colOff>3550920</xdr:colOff>
      <xdr:row>33</xdr:row>
      <xdr:rowOff>7620</xdr:rowOff>
    </xdr:from>
    <xdr:to>
      <xdr:col>4</xdr:col>
      <xdr:colOff>4572000</xdr:colOff>
      <xdr:row>36</xdr:row>
      <xdr:rowOff>114300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45E577ED-853C-47CA-85CD-4927F412E8C6}"/>
            </a:ext>
          </a:extLst>
        </xdr:cNvPr>
        <xdr:cNvSpPr txBox="1"/>
      </xdr:nvSpPr>
      <xdr:spPr>
        <a:xfrm>
          <a:off x="6751320" y="17819370"/>
          <a:ext cx="1021080" cy="107823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14</xdr:col>
      <xdr:colOff>468630</xdr:colOff>
      <xdr:row>32</xdr:row>
      <xdr:rowOff>213360</xdr:rowOff>
    </xdr:from>
    <xdr:to>
      <xdr:col>15</xdr:col>
      <xdr:colOff>400050</xdr:colOff>
      <xdr:row>36</xdr:row>
      <xdr:rowOff>38100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6971BF-9FBE-43A2-B3AD-01DC44337710}"/>
            </a:ext>
          </a:extLst>
        </xdr:cNvPr>
        <xdr:cNvSpPr txBox="1"/>
      </xdr:nvSpPr>
      <xdr:spPr>
        <a:xfrm>
          <a:off x="18223230" y="17701260"/>
          <a:ext cx="1112520" cy="112014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10</xdr:col>
      <xdr:colOff>727710</xdr:colOff>
      <xdr:row>32</xdr:row>
      <xdr:rowOff>247650</xdr:rowOff>
    </xdr:from>
    <xdr:to>
      <xdr:col>12</xdr:col>
      <xdr:colOff>971550</xdr:colOff>
      <xdr:row>36</xdr:row>
      <xdr:rowOff>95250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14897E6-3DC8-46ED-B13F-CFECE81BCF8E}"/>
            </a:ext>
          </a:extLst>
        </xdr:cNvPr>
        <xdr:cNvSpPr txBox="1"/>
      </xdr:nvSpPr>
      <xdr:spPr>
        <a:xfrm>
          <a:off x="15148560" y="17735550"/>
          <a:ext cx="1215390" cy="11430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17</xdr:col>
      <xdr:colOff>1070610</xdr:colOff>
      <xdr:row>32</xdr:row>
      <xdr:rowOff>224790</xdr:rowOff>
    </xdr:from>
    <xdr:to>
      <xdr:col>19</xdr:col>
      <xdr:colOff>0</xdr:colOff>
      <xdr:row>36</xdr:row>
      <xdr:rowOff>190500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A890089E-F943-4E47-B59F-080476F7ADE7}"/>
            </a:ext>
          </a:extLst>
        </xdr:cNvPr>
        <xdr:cNvSpPr txBox="1"/>
      </xdr:nvSpPr>
      <xdr:spPr>
        <a:xfrm>
          <a:off x="22368510" y="17712690"/>
          <a:ext cx="1291590" cy="12611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22</xdr:col>
      <xdr:colOff>240030</xdr:colOff>
      <xdr:row>33</xdr:row>
      <xdr:rowOff>49530</xdr:rowOff>
    </xdr:from>
    <xdr:to>
      <xdr:col>24</xdr:col>
      <xdr:colOff>285750</xdr:colOff>
      <xdr:row>36</xdr:row>
      <xdr:rowOff>152400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D4B08375-93E4-42D2-A810-871EB447FCF1}"/>
            </a:ext>
          </a:extLst>
        </xdr:cNvPr>
        <xdr:cNvSpPr txBox="1"/>
      </xdr:nvSpPr>
      <xdr:spPr>
        <a:xfrm>
          <a:off x="27386280" y="17861280"/>
          <a:ext cx="1264920" cy="10744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qtde</a:t>
          </a:r>
        </a:p>
      </xdr:txBody>
    </xdr:sp>
    <xdr:clientData/>
  </xdr:twoCellAnchor>
  <xdr:twoCellAnchor>
    <xdr:from>
      <xdr:col>15</xdr:col>
      <xdr:colOff>892629</xdr:colOff>
      <xdr:row>5</xdr:row>
      <xdr:rowOff>163286</xdr:rowOff>
    </xdr:from>
    <xdr:to>
      <xdr:col>15</xdr:col>
      <xdr:colOff>903515</xdr:colOff>
      <xdr:row>8</xdr:row>
      <xdr:rowOff>566057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E19F6F78-4E18-BE0D-4BC2-3E6C597C57A7}"/>
            </a:ext>
          </a:extLst>
        </xdr:cNvPr>
        <xdr:cNvCxnSpPr/>
      </xdr:nvCxnSpPr>
      <xdr:spPr>
        <a:xfrm>
          <a:off x="19888200" y="2340429"/>
          <a:ext cx="10886" cy="1240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1260764</xdr:colOff>
      <xdr:row>66</xdr:row>
      <xdr:rowOff>55418</xdr:rowOff>
    </xdr:from>
    <xdr:to>
      <xdr:col>18</xdr:col>
      <xdr:colOff>1454727</xdr:colOff>
      <xdr:row>66</xdr:row>
      <xdr:rowOff>374073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383DEB42-D7E7-40B9-A9BE-364737949246}"/>
            </a:ext>
          </a:extLst>
        </xdr:cNvPr>
        <xdr:cNvSpPr/>
      </xdr:nvSpPr>
      <xdr:spPr>
        <a:xfrm>
          <a:off x="32845664" y="4973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1260764</xdr:colOff>
      <xdr:row>72</xdr:row>
      <xdr:rowOff>55418</xdr:rowOff>
    </xdr:from>
    <xdr:to>
      <xdr:col>18</xdr:col>
      <xdr:colOff>1454727</xdr:colOff>
      <xdr:row>72</xdr:row>
      <xdr:rowOff>374073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76B5CABA-1A61-494E-923B-9DE37C5AFB64}"/>
            </a:ext>
          </a:extLst>
        </xdr:cNvPr>
        <xdr:cNvSpPr/>
      </xdr:nvSpPr>
      <xdr:spPr>
        <a:xfrm>
          <a:off x="32845664" y="3088178"/>
          <a:ext cx="193963" cy="31865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740230</xdr:colOff>
      <xdr:row>13</xdr:row>
      <xdr:rowOff>174170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3C18828-808B-7452-3F80-3007BBB7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560612" y="560613"/>
          <a:ext cx="4822370" cy="3701143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</xdr:row>
      <xdr:rowOff>75762</xdr:rowOff>
    </xdr:from>
    <xdr:to>
      <xdr:col>5</xdr:col>
      <xdr:colOff>925290</xdr:colOff>
      <xdr:row>35</xdr:row>
      <xdr:rowOff>10886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3FB2C2-BD10-0EDE-3315-7B24C56E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-1682059" y="6406023"/>
          <a:ext cx="7250324" cy="3886202"/>
        </a:xfrm>
        <a:prstGeom prst="rect">
          <a:avLst/>
        </a:prstGeom>
      </xdr:spPr>
    </xdr:pic>
    <xdr:clientData/>
  </xdr:twoCellAnchor>
  <xdr:twoCellAnchor editAs="oneCell">
    <xdr:from>
      <xdr:col>2</xdr:col>
      <xdr:colOff>388011</xdr:colOff>
      <xdr:row>17</xdr:row>
      <xdr:rowOff>171771</xdr:rowOff>
    </xdr:from>
    <xdr:to>
      <xdr:col>4</xdr:col>
      <xdr:colOff>153566</xdr:colOff>
      <xdr:row>18</xdr:row>
      <xdr:rowOff>238611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14:cNvPr>
            <xdr14:cNvContentPartPr/>
          </xdr14:nvContentPartPr>
          <xdr14:nvPr macro=""/>
          <xdr14:xfrm>
            <a:off x="1585440" y="5560200"/>
            <a:ext cx="919440" cy="447840"/>
          </xdr14:xfrm>
        </xdr:contentPart>
      </mc:Choice>
      <mc:Fallback xmlns=""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F250FB96-AB5D-2FFF-9242-0F09403564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76800" y="5551560"/>
              <a:ext cx="93708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478131</xdr:colOff>
      <xdr:row>7</xdr:row>
      <xdr:rowOff>68469</xdr:rowOff>
    </xdr:from>
    <xdr:to>
      <xdr:col>2</xdr:col>
      <xdr:colOff>459291</xdr:colOff>
      <xdr:row>7</xdr:row>
      <xdr:rowOff>340269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14:cNvPr>
            <xdr14:cNvContentPartPr/>
          </xdr14:nvContentPartPr>
          <xdr14:nvPr macro=""/>
          <xdr14:xfrm>
            <a:off x="1065960" y="2300040"/>
            <a:ext cx="590760" cy="27180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1009841F-179A-FD00-24F4-B6CEC712204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57320" y="2291040"/>
              <a:ext cx="60840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119331</xdr:colOff>
      <xdr:row>28</xdr:row>
      <xdr:rowOff>173778</xdr:rowOff>
    </xdr:from>
    <xdr:to>
      <xdr:col>3</xdr:col>
      <xdr:colOff>119691</xdr:colOff>
      <xdr:row>30</xdr:row>
      <xdr:rowOff>119126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14:cNvPr>
            <xdr14:cNvContentPartPr/>
          </xdr14:nvContentPartPr>
          <xdr14:nvPr macro=""/>
          <xdr14:xfrm>
            <a:off x="1926360" y="9034749"/>
            <a:ext cx="360" cy="576720"/>
          </xdr14:xfrm>
        </xdr:contentPart>
      </mc:Choice>
      <mc:Fallback xmlns="">
        <xdr:pic>
          <xdr:nvPicPr>
            <xdr:cNvPr id="13" name="Tinta 12">
              <a:extLst>
                <a:ext uri="{FF2B5EF4-FFF2-40B4-BE49-F238E27FC236}">
                  <a16:creationId xmlns:a16="http://schemas.microsoft.com/office/drawing/2014/main" id="{23905C2B-5D69-4BD3-95E5-0AEDF0701E2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917360" y="9026109"/>
              <a:ext cx="1800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533211</xdr:colOff>
      <xdr:row>28</xdr:row>
      <xdr:rowOff>183498</xdr:rowOff>
    </xdr:from>
    <xdr:to>
      <xdr:col>3</xdr:col>
      <xdr:colOff>108531</xdr:colOff>
      <xdr:row>29</xdr:row>
      <xdr:rowOff>315292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14:cNvPr>
            <xdr14:cNvContentPartPr/>
          </xdr14:nvContentPartPr>
          <xdr14:nvPr macro=""/>
          <xdr14:xfrm>
            <a:off x="1121040" y="9044469"/>
            <a:ext cx="794520" cy="447480"/>
          </xdr14:xfrm>
        </xdr:contentPart>
      </mc:Choice>
      <mc:Fallback xmlns=""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39F9C173-6CA5-EB60-CBD8-665A00FD72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12040" y="9035469"/>
              <a:ext cx="81216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587246</xdr:colOff>
      <xdr:row>18</xdr:row>
      <xdr:rowOff>86675</xdr:rowOff>
    </xdr:from>
    <xdr:to>
      <xdr:col>5</xdr:col>
      <xdr:colOff>587606</xdr:colOff>
      <xdr:row>18</xdr:row>
      <xdr:rowOff>87035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14:cNvPr>
            <xdr14:cNvContentPartPr/>
          </xdr14:nvContentPartPr>
          <xdr14:nvPr macro=""/>
          <xdr14:xfrm>
            <a:off x="3548160" y="5790789"/>
            <a:ext cx="360" cy="360"/>
          </xdr14:xfrm>
        </xdr:contentPart>
      </mc:Choice>
      <mc:Fallback xmlns=""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57277F23-B533-06B8-A3B3-F63CC90F33A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539520" y="57817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24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10 128 24575,'-1'-2'0,"0"0"0,0 0 0,0 0 0,0 1 0,0-1 0,0 0 0,1 0 0,-1 0 0,1 0 0,-1 0 0,1 0 0,0-1 0,0 1 0,0 0 0,0 0 0,0 0 0,0 0 0,1 0 0,-1 0 0,1 0 0,-1 0 0,1 0 0,0 0 0,0 0 0,1-2 0,1-1 0,-1 0 0,1 1 0,-1 0 0,1-1 0,1 1 0,-1 0 0,1 0 0,-1 1 0,6-5 0,-1 4 0,0 0 0,1 0 0,0 1 0,-1 0 0,1 1 0,0-1 0,0 2 0,0-1 0,0 1 0,0 1 0,1 0 0,-1 0 0,0 0 0,0 2 0,0-1 0,14 5 0,-3-1 0,0 1 0,0 1 0,-1 1 0,0 1 0,0 0 0,22 16 0,-32-18 0,35 22 0,-1 2 0,68 66 0,-101-86 0,0 0 0,0 1 0,-1 0 0,0 1 0,-1 0 0,-1 0 0,0 0 0,-1 1 0,0 0 0,-1 0 0,-1 1 0,0-1 0,-1 1 0,3 24 0,-5 0 0,-1 0 0,-2-1 0,-1 1 0,-2 0 0,-2-1 0,-2 0 0,-1-1 0,-1 0 0,-34 70 0,41-98 0,-1-1 0,1 0 0,-2 0 0,1 0 0,-1 0 0,0-1 0,-1 0 0,0-1 0,0 1 0,0-1 0,-15 9 0,12-10 0,0-1 0,0 0 0,0 0 0,0-1 0,-1-1 0,1 0 0,-1 0 0,1-1 0,-1 0 0,-14-1 0,-5 0 0,0-2 0,-51-8 0,71 8 0,1-1 0,-1 0 0,1 0 0,0-1 0,-1-1 0,2 1 0,-1-1 0,1-1 0,-1 0 0,1 0 0,-13-14 0,15 14 0,0 0 0,0 0 0,1 0 0,0-1 0,0 0 0,1 0 0,0 0 0,0-1 0,1 1 0,-1-1 0,-2-13 0,6 20 0,0 0 0,0 0 0,0 0 0,0 0 0,0 0 0,0 0 0,0 0 0,0 0 0,0 0 0,1 0 0,-1 0 0,0 0 0,1 0 0,-1 0 0,1 0 0,-1 0 0,1 1 0,0-1 0,-1 0 0,1 0 0,0 1 0,-1-1 0,1 0 0,0 1 0,0-1 0,-1 0 0,1 1 0,0-1 0,0 1 0,0 0 0,0-1 0,0 1 0,0 0 0,0-1 0,0 1 0,0 0 0,0 0 0,0 0 0,0 0 0,0 0 0,0 0 0,1 0 0,5 0 0,-1 1 0,1 0 0,-1 0 0,1 0 0,6 3 0,2 0 0,-1 2 0,-1 0 0,1 0 0,-1 1 0,0 1 0,0 0 0,-1 1 0,0 0 0,-1 1 0,0 0 0,-1 1 0,0 0 0,0 1 0,-1 0 0,-1 0 0,0 1 0,7 15 0,55 160-1365,-61-162-5461</inkml:trace>
  <inkml:trace contextRef="#ctx0" brushRef="#br0" timeOffset="2547.62">1341 66 24575,'-7'6'0,"-1"-1"0,0 0 0,1 0 0,-2-1 0,1 0 0,0 0 0,-2-1 0,-16 4 0,-18 8 0,19-5 0,1 2 0,-1 1 0,2 0 0,0 2 0,1 1 0,0 0 0,1 2 0,2 0 0,-1 2 0,2 0 0,1 1 0,0 0 0,2 2 0,-16 29 0,21-32 0,0 1 0,2 0 0,0 1 0,2 0 0,0 0 0,2 1 0,0 0 0,2-1 0,0 2 0,1-1 0,2 0 0,5 40 0,-5-52 0,1 1 0,1-1 0,0 1 0,0-1 0,1 0 0,8 17 0,-8-22 0,1 1 0,-1-1 0,1-1 0,0 1 0,0-1 0,0 0 0,1 0 0,0 0 0,0-1 0,0 1 0,12 4 0,5 4 0,-12-7 0,0 0 0,1-1 0,21 7 0,-28-10 0,0-1 0,1-1 0,-1 1 0,1-1 0,-1 0 0,0 0 0,1-1 0,-1 1 0,1-1 0,-1 0 0,0-1 0,7-2 0,-7 2 0,1 0 0,0-1 0,-1 0 0,0 0 0,0-1 0,0 1 0,0-1 0,-1 0 0,1-1 0,-1 1 0,0-1 0,0 1 0,-1-1 0,1-1 0,4-8 0,0-5 0,0-1 0,-1 0 0,5-27 0,1-3 0,-9 38 0,1-3 0,-1 1 0,0-1 0,2-26 0,-5 39 0,-1-1 0,0 1 0,1-1 0,-1 0 0,0 1 0,-1-1 0,1 1 0,0-1 0,-1 1 0,0 0 0,1-1 0,-1 1 0,0-1 0,0 1 0,0 0 0,-1 0 0,1 0 0,0-1 0,-1 1 0,1 1 0,-1-1 0,0 0 0,0 0 0,0 0 0,0 1 0,0-1 0,0 1 0,0 0 0,-3-2 0,-12-1 0,-1 1 0,0 1 0,0 0 0,0 1 0,0 1 0,0 1 0,-28 4 0,41-5-57,1 1 0,-1-1 1,1 1-1,-1 0 0,1 0 0,-1 1 0,1-1 0,0 1 0,0 0 0,0 0 0,0 1 1,0-1-1,0 1 0,0 0 0,1-1 0,0 2 0,-1-1 0,1 0 0,0 1 1,0-1-1,1 1 0,-1 0 0,-2 7 0,-3 13-6769</inkml:trace>
  <inkml:trace contextRef="#ctx0" brushRef="#br0" timeOffset="4536.3">1492 703 24575,'6'5'0,"0"7"0,-4 1 0,-4 9 0,-6 11 0,-6 0 0,-7-1 0,0 0 0,0-1 0,-3-1 0,-3 1 0,5-6-8191</inkml:trace>
  <inkml:trace contextRef="#ctx0" brushRef="#br0" timeOffset="6586.27">2098 339 24575,'-11'1'0,"1"1"0,-1 0 0,1 1 0,-1 0 0,1 1 0,0 0 0,0 0 0,1 1 0,-1 1 0,1-1 0,0 1 0,0 1 0,1 0 0,0 0 0,0 1 0,1 0 0,-12 15 0,16-18 0,0-1 0,-1 1 0,2 0 0,-1 0 0,0 1 0,1-1 0,0 0 0,1 1 0,-1-1 0,1 1 0,0 0 0,0-1 0,1 1 0,-1 0 0,1 0 0,0-1 0,1 1 0,0 0 0,0-1 0,0 1 0,0 0 0,1-1 0,0 1 0,0-1 0,1 0 0,-1 0 0,1 0 0,0 0 0,1 0 0,-1-1 0,1 1 0,0-1 0,0 0 0,6 6 0,14 11 0,2-1 0,0-1 0,2-1 0,0-2 0,0 0 0,57 21 0,-70-33 0,0 0 0,-1 0 0,1-1 0,1-1 0,-1 0 0,0-2 0,0 1 0,1-2 0,15-2 0,-24 2 0,1 0 0,-1-1 0,0 0 0,0 0 0,0 0 0,0-1 0,0 0 0,-1-1 0,1 0 0,-1 0 0,0 0 0,0 0 0,0-1 0,-1 0 0,0 0 0,0-1 0,0 0 0,0 0 0,-1 0 0,4-8 0,4-6 0,-2-1 0,-1-1 0,-1-1 0,0 1 0,-2 0 0,-1-1 0,0 0 0,-2 0 0,1-26 0,-4 34 0,0 0 0,-1-1 0,0 1 0,-1 1 0,-7-24 0,8 34 0,0 0 0,-1 0 0,0 0 0,0 0 0,0 0 0,0 1 0,-1-1 0,1 1 0,-1 0 0,0 0 0,0 0 0,0 0 0,0 0 0,0 0 0,-1 1 0,0 0 0,1 0 0,-1 0 0,0 0 0,0 0 0,0 1 0,0-1 0,0 1 0,-6-1 0,-28-1 0,-1 1 0,0 2 0,-54 6 0,71-4 0,4-1 0,1 2 0,-1 0 0,0 1 0,1 1 0,0 0 0,0 2 0,1 0 0,-1 0 0,2 2 0,-29 19 0,35-22 0,1 1 0,-1 1 0,2-1 0,-1 1 0,1 0 0,0 1 0,1 0 0,0 0 0,1 0 0,-1 1 0,2 0 0,-1 0 0,2 0 0,-1 0 0,1 1 0,1-1 0,0 1 0,0 0 0,1 11 0,0-8-114,1 10-303,-1 1 0,-7 33 0,2-32-6409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29:36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 51 24575,'-19'331'0,"8"4"0,11-298 0,-1-139 0,2-119 0,0 210 0,0 1 0,0-1 0,1 1 0,0 0 0,0 0 0,8-17 0,-9 23 0,1 0 0,0 1 0,0-1 0,1 1 0,-1 0 0,0 0 0,1 0 0,0 0 0,0 0 0,0 0 0,0 1 0,0 0 0,1-1 0,-1 1 0,1 0 0,0 1 0,-1-1 0,1 1 0,0-1 0,6 0 0,12 0 0,1 0 0,-1 2 0,0 1 0,1 1 0,-1 0 0,41 11 0,22 2 0,35-6 0,147-8 0,-115-3 0,411 2 0,-546 1 0,-1 0 0,27 7 0,-4-1 0,-37-7 0,0 0 0,-1 0 0,1 0 0,0 0 0,0 0 0,0 0 0,0 0 0,0-1 0,-1 1 0,1-1 0,0 0 0,0 1 0,-1-1 0,1 0 0,0 0 0,-1 0 0,1 0 0,-1 0 0,1 0 0,-1-1 0,0 1 0,1 0 0,-1-1 0,0 1 0,0-1 0,0 1 0,0-1 0,0 0 0,0 1 0,-1-1 0,1 0 0,0 0 0,-1 1 0,0-1 0,1 0 0,-1 0 0,0-2 0,2-11 0,0 1 0,-2-1 0,-1-26 0,0 22 0,-4-176 0,5 912-1365,0-691-5461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0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24575,'0'1575'-1365,"0"-1549"-5461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03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2086 185 24575,'0'-4'0,"0"0"0,-1-1 0,1 1 0,-1 0 0,0 0 0,0 0 0,0 0 0,-1 0 0,1 0 0,-1 0 0,0 0 0,0 0 0,0 1 0,-1-1 0,1 1 0,-5-5 0,2 3 0,0 1 0,-1 0 0,0 0 0,0 0 0,0 1 0,0 0 0,0 0 0,0 0 0,-9-2 0,-8 0 0,-1 1 0,1 0 0,0 2 0,-43 1 0,8-1 0,-64-10 0,-50-2 0,88 13 0,-103 5 0,182-4 0,1 0 0,0 1 0,0 0 0,0 0 0,0 1 0,0-1 0,0 1 0,1-1 0,-1 1 0,0 1 0,1-1 0,-1 0 0,1 1 0,0-1 0,0 1 0,0 0 0,0 0 0,1 1 0,-1-1 0,1 0 0,0 1 0,-1-1 0,2 1 0,-1 0 0,0 0 0,1 0 0,0 0 0,-2 8 0,0 9 0,0-1 0,1 1 0,2 0 0,2 32 0,-1-29 0,-1-15 0,1 0 0,1-1 0,-1 1 0,1 0 0,1-1 0,-1 0 0,2 1 0,-1-1 0,1 0 0,6 9 0,2 0 0,1 0 0,0-1 0,20 18 0,-21-22 0,0-1 0,1-1 0,1 0 0,0-1 0,0 0 0,1-1 0,0-1 0,0 0 0,1-1 0,0-1 0,22 5 0,2-4 0,1-1 0,0-1 0,61-4 0,-47-1 0,-20 2 0,0-2 0,64-11 0,-88 10 0,-1-1 0,1 0 0,-1 0 0,0-1 0,0-1 0,-1 0 0,1 0 0,-1-1 0,0 0 0,0 0 0,-1-1 0,0 0 0,11-13 0,71-96 0,-83 107-170,-1 0-1,0-1 0,-1 1 1,0-1-1,0-1 0,-1 1 1,4-17-1,-1-7-6655</inkml:trace>
  <inkml:trace contextRef="#ctx0" brushRef="#br0" timeOffset="346.75">2147 185 24575,'-5'0'0,"-7"0"0,-2 0-8191</inkml:trace>
  <inkml:trace contextRef="#ctx0" brushRef="#br0" timeOffset="3049.14">1210 34 24575,'0'-1'0,"1"0"0,-1-1 0,0 1 0,1 0 0,-1 0 0,1 0 0,-1 1 0,1-1 0,-1 0 0,1 0 0,0 0 0,-1 0 0,1 0 0,0 1 0,0-1 0,0 0 0,-1 1 0,1-1 0,0 0 0,0 1 0,0-1 0,0 1 0,0 0 0,0-1 0,0 1 0,2-1 0,32-5 0,-31 6 0,43-5 0,0 3 0,65 6 0,-93-1 0,1 1 0,-1 0 0,0 2 0,0 0 0,22 12 0,-15-7 0,46 12 0,-47-17 0,10 2 0,38 14 0,-63-18 0,1 0 0,-1 1 0,-1 0 0,1 1 0,-1 0 0,1 0 0,14 15 0,-22-19 0,0-1 0,-1 0 0,1 1 0,-1-1 0,1 1 0,-1-1 0,0 1 0,1 0 0,-1 0 0,0 0 0,0-1 0,0 1 0,-1 0 0,1 0 0,0 0 0,-1 0 0,1 0 0,-1 0 0,0 1 0,0-1 0,0 0 0,0 0 0,0 0 0,0 0 0,0 0 0,-1 0 0,1 0 0,-1 0 0,1 0 0,-1 0 0,0 0 0,0 0 0,0 0 0,0 0 0,-2 2 0,0-1 0,-1 1 0,0-1 0,1 0 0,-2 0 0,1-1 0,0 1 0,0-1 0,-1 0 0,1 0 0,-1 0 0,0-1 0,1 1 0,-1-1 0,-6 1 0,-84 8 0,-57 10 0,-98 28 0,226-40 0,53-10 0,321-74 0,-102 18 0,-216 53 0,39-1 0,20-4 0,-86 9-119,-4 1 49,1 0 1,-1 0 0,0 0 0,1 0 0,-1-1-1,0 1 1,1 0 0,-1-1 0,0 1 0,0-1-1,1 0 1,-1 1 0,0-1 0,0 0 0,0 0-1,0 0 1,1-1 0</inkml:trace>
  <inkml:trace contextRef="#ctx0" brushRef="#br0" timeOffset="6539.2">0 850 24575,'794'0'0,"-771"-2"0,-1 0 0,34-8 0,-32 5 0,39-2 0,-63 7 0,0 0 0,0 0 0,0 0 0,0 0 0,1 0 0,-1 0 0,0 0 0,0 0 0,0 0 0,1 0 0,-1 0 0,0 0 0,0 0 0,0 0 0,0 0 0,0 1 0,1-1 0,-1 0 0,0 0 0,0 0 0,0 0 0,0 0 0,0 0 0,0 1 0,1-1 0,-1 0 0,0 0 0,0 0 0,0 0 0,0 1 0,0-1 0,0 0 0,0 0 0,0 0 0,0 1 0,0-1 0,0 0 0,0 0 0,0 0 0,0 1 0,0-1 0,-3 13 0,-9 12 0,1-10 0,0 0 0,-1 0 0,0-1 0,-1-1 0,-1 0 0,0-1 0,-24 17 0,-118 64 0,139-84 0,-73 31 0,66-31 0,1 1 0,1 1 0,0 0 0,-21 16 0,34-20 0,-20 16 0,27-22 0,1 0 0,0 0 0,0 0 0,-1-1 0,1 1 0,-1 0 0,1-1 0,0 1 0,-1-1 0,1 1 0,-1-1 0,1 0 0,-1 1 0,0-1 0,1 0 0,-1 0 0,-1-1 0,2 1 0,1 0 0,-1-1 0,1 1 0,0-1 0,-1 0 0,1 1 0,0-1 0,-1 1 0,1-1 0,0 0 0,-1 1 0,1-1 0,0 1 0,0-1 0,0 0 0,0 1 0,0-1 0,0 0 0,0 1 0,0-1 0,0 0 0,0 1 0,0-1 0,0 0 0,0 1 0,1-1 0,-1 0 0,0 1 0,0-1 0,1 1 0,-1-1 0,0 0 0,1 1 0,-1-1 0,1 1 0,0-1 0,15-23 0,3 3 0,2 0 0,0 2 0,36-26 0,79-42 0,-64 43 0,-43 27 0,2 2 0,63-24 0,-91 38 0,-1 0 0,1 0 0,0 0 0,-1 0 0,1 0 0,-1-1 0,0 1 0,1-1 0,-1 0 0,0 0 0,0 0 0,0 0 0,0 0 0,2-4 0,-3 5 0,-1 0 0,0-1 0,0 1 0,0 0 0,1-1 0,-1 1 0,-1 0 0,1 0 0,0-1 0,0 1 0,0 0 0,-1-1 0,1 1 0,0 0 0,-1 0 0,1 0 0,-1-1 0,0 1 0,1 0 0,-1 0 0,0 0 0,0 0 0,0 0 0,1 0 0,-1 0 0,0 0 0,0 1 0,0-1 0,-1 0 0,1 0 0,0 1 0,0-1 0,-2 0 0,-17-10 0,-1 1 0,0 1 0,-29-9 0,-18-7 0,27 6 0,-2 3 0,1 1 0,-2 1 0,-55-8 0,84 19 7,0-1 0,0-1 0,-24-10-1,4 1-1398,10 7-5434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16T16:30:12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84D-30DF-44FF-A43F-5BAC28BB59E7}">
  <sheetPr>
    <tabColor rgb="FF92D050"/>
  </sheetPr>
  <dimension ref="B1:R23"/>
  <sheetViews>
    <sheetView zoomScale="70" zoomScaleNormal="70" workbookViewId="0">
      <selection activeCell="Q5" sqref="Q5"/>
    </sheetView>
  </sheetViews>
  <sheetFormatPr defaultColWidth="8.85546875" defaultRowHeight="18.75" x14ac:dyDescent="0.25"/>
  <cols>
    <col min="1" max="1" width="8.42578125" style="63" customWidth="1"/>
    <col min="2" max="2" width="56.7109375" style="63" customWidth="1"/>
    <col min="3" max="3" width="16.85546875" style="63" customWidth="1"/>
    <col min="4" max="5" width="18.42578125" style="63" customWidth="1"/>
    <col min="6" max="7" width="24.7109375" style="63" customWidth="1"/>
    <col min="8" max="8" width="21.28515625" style="63" customWidth="1"/>
    <col min="9" max="9" width="19.140625" style="63" customWidth="1"/>
    <col min="10" max="10" width="4.140625" style="63" customWidth="1"/>
    <col min="11" max="11" width="8.140625" style="63" customWidth="1"/>
    <col min="12" max="12" width="15.28515625" style="63" customWidth="1"/>
    <col min="13" max="13" width="15.42578125" style="63" customWidth="1"/>
    <col min="14" max="14" width="32.7109375" style="63" customWidth="1"/>
    <col min="15" max="15" width="8.85546875" style="63"/>
    <col min="16" max="16" width="24.28515625" style="63" customWidth="1"/>
    <col min="17" max="17" width="14" style="63" customWidth="1"/>
    <col min="18" max="18" width="21.28515625" style="63" customWidth="1"/>
    <col min="19" max="16384" width="8.85546875" style="63"/>
  </cols>
  <sheetData>
    <row r="1" spans="2:18" ht="40.15" customHeight="1" x14ac:dyDescent="0.25">
      <c r="B1" s="262" t="s">
        <v>105</v>
      </c>
      <c r="C1" s="85" t="s">
        <v>225</v>
      </c>
      <c r="D1" s="254" t="s">
        <v>235</v>
      </c>
      <c r="E1" s="255"/>
      <c r="F1" s="256" t="s">
        <v>241</v>
      </c>
      <c r="G1" s="257"/>
      <c r="H1" s="258" t="s">
        <v>242</v>
      </c>
      <c r="I1" s="259"/>
      <c r="P1" s="261"/>
      <c r="Q1" s="261"/>
      <c r="R1" s="261"/>
    </row>
    <row r="2" spans="2:18" ht="40.15" customHeight="1" x14ac:dyDescent="0.25">
      <c r="B2" s="263"/>
      <c r="C2" s="85" t="s">
        <v>105</v>
      </c>
      <c r="D2" s="86" t="s">
        <v>231</v>
      </c>
      <c r="E2" s="86" t="s">
        <v>226</v>
      </c>
      <c r="F2" s="87" t="s">
        <v>231</v>
      </c>
      <c r="G2" s="87" t="s">
        <v>226</v>
      </c>
      <c r="H2" s="88" t="s">
        <v>231</v>
      </c>
      <c r="I2" s="88" t="s">
        <v>226</v>
      </c>
      <c r="L2" s="156"/>
      <c r="M2" s="156"/>
      <c r="P2" s="158" t="s">
        <v>1054</v>
      </c>
      <c r="Q2" s="64" t="s">
        <v>1052</v>
      </c>
      <c r="R2" s="64" t="s">
        <v>1053</v>
      </c>
    </row>
    <row r="3" spans="2:18" ht="40.15" customHeight="1" x14ac:dyDescent="0.25">
      <c r="B3" s="64" t="s">
        <v>227</v>
      </c>
      <c r="C3" s="85">
        <f>COUNTIF(' CADASTRO'!$F$2:$F$745,"PN")</f>
        <v>637</v>
      </c>
      <c r="D3" s="103">
        <f>SUMIFS(' CADASTRO'!$D$2:$D$745,' CADASTRO'!$F$2:$F$745,"PN")</f>
        <v>637</v>
      </c>
      <c r="E3" s="114">
        <f>D3/C3</f>
        <v>1</v>
      </c>
      <c r="F3" s="104">
        <f>SUMIFS(' CADASTRO'!$T$2:$T$745,' CADASTRO'!$F$2:$F$745,"PN")</f>
        <v>616</v>
      </c>
      <c r="G3" s="113">
        <f>F3/C3</f>
        <v>0.96703296703296704</v>
      </c>
      <c r="H3" s="105">
        <f>SUMIFS(' CADASTRO'!$X$2:$X$745,' CADASTRO'!$F$2:$F$745,"PN")</f>
        <v>623</v>
      </c>
      <c r="I3" s="112">
        <f>H3/C3</f>
        <v>0.97802197802197799</v>
      </c>
      <c r="L3" s="156" t="s">
        <v>1050</v>
      </c>
      <c r="M3" s="156" t="s">
        <v>1051</v>
      </c>
      <c r="N3" s="155" t="s">
        <v>1049</v>
      </c>
      <c r="P3" s="159">
        <v>45733</v>
      </c>
      <c r="Q3" s="260">
        <f ca="1">P4-P3</f>
        <v>274</v>
      </c>
      <c r="R3" s="260">
        <f ca="1">L4/Q3</f>
        <v>3.8759124087591239</v>
      </c>
    </row>
    <row r="4" spans="2:18" ht="40.15" customHeight="1" x14ac:dyDescent="0.25">
      <c r="B4" s="64" t="s">
        <v>228</v>
      </c>
      <c r="C4" s="85">
        <f>COUNTIF(' CADASTRO'!$F$2:$F$745,"PE")</f>
        <v>83</v>
      </c>
      <c r="D4" s="103">
        <f>SUMIFS(' CADASTRO'!$D$2:$D$745,' CADASTRO'!$F$2:$F$745,"PE")</f>
        <v>83</v>
      </c>
      <c r="E4" s="114">
        <f t="shared" ref="E4:E5" si="0">D4/C4</f>
        <v>1</v>
      </c>
      <c r="F4" s="104">
        <f>SUMIFS(' CADASTRO'!$T$2:$T$745,' CADASTRO'!$F$2:$F$745,"PE")</f>
        <v>82</v>
      </c>
      <c r="G4" s="113">
        <f>F4/C4</f>
        <v>0.98795180722891562</v>
      </c>
      <c r="H4" s="105">
        <f>SUMIFS(' CADASTRO'!$X$2:$X$745,' CADASTRO'!$F$2:$F$745,"PE")</f>
        <v>82</v>
      </c>
      <c r="I4" s="112">
        <f>H4/C4</f>
        <v>0.98795180722891562</v>
      </c>
      <c r="L4" s="63">
        <f>D6+D14+D21</f>
        <v>1062</v>
      </c>
      <c r="M4" s="63">
        <f>H6+H14+H21</f>
        <v>927</v>
      </c>
      <c r="N4" s="155">
        <f>L4-M4</f>
        <v>135</v>
      </c>
      <c r="P4" s="157">
        <f ca="1">TODAY()</f>
        <v>46007</v>
      </c>
      <c r="Q4" s="260"/>
      <c r="R4" s="260"/>
    </row>
    <row r="5" spans="2:18" ht="40.15" customHeight="1" x14ac:dyDescent="0.25">
      <c r="B5" s="64" t="s">
        <v>229</v>
      </c>
      <c r="C5" s="85">
        <f>COUNTIF(' CADASTRO'!$F$2:$F$745,"PF")</f>
        <v>24</v>
      </c>
      <c r="D5" s="103">
        <f>SUMIFS(' CADASTRO'!$D$2:$D$745,' CADASTRO'!$F$2:$F$745,"PF")</f>
        <v>24</v>
      </c>
      <c r="E5" s="114">
        <f t="shared" si="0"/>
        <v>1</v>
      </c>
      <c r="F5" s="104">
        <f>SUMIFS(' CADASTRO'!$T$2:$T$745,' CADASTRO'!$F$2:$F$745,"PF")</f>
        <v>23</v>
      </c>
      <c r="G5" s="113">
        <f>F5/C5</f>
        <v>0.95833333333333337</v>
      </c>
      <c r="H5" s="105">
        <f>SUMIFS(' CADASTRO'!$X$2:$X$745,' CADASTRO'!$F$2:$F$745,"PF")</f>
        <v>23</v>
      </c>
      <c r="I5" s="112">
        <f>H5/C5</f>
        <v>0.95833333333333337</v>
      </c>
    </row>
    <row r="6" spans="2:18" ht="37.15" customHeight="1" x14ac:dyDescent="0.25">
      <c r="B6" s="63" t="s">
        <v>230</v>
      </c>
      <c r="C6" s="85">
        <f>SUM(C3:C5)</f>
        <v>744</v>
      </c>
      <c r="D6" s="104">
        <f>SUM(D3:D5)</f>
        <v>744</v>
      </c>
      <c r="E6" s="115">
        <f>D6/C6</f>
        <v>1</v>
      </c>
      <c r="F6" s="104">
        <f>SUM(F3:F5)</f>
        <v>721</v>
      </c>
      <c r="H6" s="105">
        <f>SUM(H3:H5)</f>
        <v>728</v>
      </c>
    </row>
    <row r="9" spans="2:18" ht="40.15" customHeight="1" x14ac:dyDescent="0.25">
      <c r="B9" s="264" t="s">
        <v>104</v>
      </c>
      <c r="C9" s="85" t="s">
        <v>225</v>
      </c>
      <c r="D9" s="254" t="s">
        <v>235</v>
      </c>
      <c r="E9" s="255"/>
      <c r="F9" s="256" t="s">
        <v>241</v>
      </c>
      <c r="G9" s="257"/>
      <c r="H9" s="258" t="s">
        <v>242</v>
      </c>
      <c r="I9" s="259"/>
    </row>
    <row r="10" spans="2:18" ht="40.15" customHeight="1" x14ac:dyDescent="0.25">
      <c r="B10" s="265"/>
      <c r="C10" s="85" t="s">
        <v>104</v>
      </c>
      <c r="D10" s="86" t="s">
        <v>231</v>
      </c>
      <c r="E10" s="86" t="s">
        <v>226</v>
      </c>
      <c r="F10" s="87" t="s">
        <v>231</v>
      </c>
      <c r="G10" s="87" t="s">
        <v>226</v>
      </c>
      <c r="H10" s="88" t="s">
        <v>231</v>
      </c>
      <c r="I10" s="88" t="s">
        <v>226</v>
      </c>
    </row>
    <row r="11" spans="2:18" ht="40.15" customHeight="1" x14ac:dyDescent="0.25">
      <c r="B11" s="64" t="s">
        <v>227</v>
      </c>
      <c r="C11" s="106">
        <f>COUNTIF(' CADASTRO'!$F$746:$F$893,"PN")</f>
        <v>104</v>
      </c>
      <c r="D11" s="103">
        <f>'CALCULOS '!D4</f>
        <v>104</v>
      </c>
      <c r="E11" s="114">
        <f>D11/C11</f>
        <v>1</v>
      </c>
      <c r="F11" s="104">
        <f>'CALCULOS '!E4</f>
        <v>57</v>
      </c>
      <c r="G11" s="113">
        <f>F11/C11</f>
        <v>0.54807692307692313</v>
      </c>
      <c r="H11" s="105">
        <f>'CALCULOS '!F4</f>
        <v>52</v>
      </c>
      <c r="I11" s="111">
        <f>H11/C11</f>
        <v>0.5</v>
      </c>
    </row>
    <row r="12" spans="2:18" ht="40.15" customHeight="1" x14ac:dyDescent="0.25">
      <c r="B12" s="64" t="s">
        <v>228</v>
      </c>
      <c r="C12" s="106">
        <f>SUM('CALCULOS '!B5:$B$10)</f>
        <v>38</v>
      </c>
      <c r="D12" s="103">
        <f>SUM('CALCULOS '!D5:$D$10)</f>
        <v>38</v>
      </c>
      <c r="E12" s="114">
        <f t="shared" ref="E12:E13" si="1">D12/C12</f>
        <v>1</v>
      </c>
      <c r="F12" s="104">
        <f>SUM('CALCULOS '!$E$5:$E$10)</f>
        <v>16</v>
      </c>
      <c r="G12" s="113">
        <f>F12/C12</f>
        <v>0.42105263157894735</v>
      </c>
      <c r="H12" s="105">
        <f>SUM('CALCULOS '!$F$5:$F$10)</f>
        <v>12</v>
      </c>
      <c r="I12" s="111">
        <f>H12/C12</f>
        <v>0.31578947368421051</v>
      </c>
    </row>
    <row r="13" spans="2:18" ht="40.15" customHeight="1" x14ac:dyDescent="0.25">
      <c r="B13" s="64" t="s">
        <v>229</v>
      </c>
      <c r="C13" s="106">
        <f>COUNTIF(' CADASTRO'!$F$746:$F$894,"PF")</f>
        <v>6</v>
      </c>
      <c r="D13" s="103">
        <f>'CALCULOS '!D3</f>
        <v>6</v>
      </c>
      <c r="E13" s="114">
        <f t="shared" si="1"/>
        <v>1</v>
      </c>
      <c r="F13" s="104">
        <f>'CALCULOS '!E3</f>
        <v>1</v>
      </c>
      <c r="G13" s="113">
        <f>F13/C13</f>
        <v>0.16666666666666666</v>
      </c>
      <c r="H13" s="105">
        <f>'CALCULOS '!F3</f>
        <v>0</v>
      </c>
      <c r="I13" s="111">
        <f>H13/C13</f>
        <v>0</v>
      </c>
    </row>
    <row r="14" spans="2:18" ht="27" customHeight="1" x14ac:dyDescent="0.25">
      <c r="B14" s="63" t="s">
        <v>230</v>
      </c>
      <c r="C14" s="106">
        <f>SUM(C11:C13)</f>
        <v>148</v>
      </c>
      <c r="D14" s="103">
        <f>SUM(D11:D13)</f>
        <v>148</v>
      </c>
      <c r="E14" s="114">
        <f>D14/C14</f>
        <v>1</v>
      </c>
      <c r="F14" s="104">
        <f>SUM(F11:F13)</f>
        <v>74</v>
      </c>
      <c r="G14" s="93"/>
      <c r="H14" s="105">
        <f>SUM(H11:H13)</f>
        <v>64</v>
      </c>
    </row>
    <row r="16" spans="2:18" ht="40.15" customHeight="1" x14ac:dyDescent="0.25">
      <c r="B16" s="252" t="s">
        <v>1163</v>
      </c>
      <c r="C16" s="85" t="s">
        <v>225</v>
      </c>
      <c r="D16" s="254" t="s">
        <v>235</v>
      </c>
      <c r="E16" s="255"/>
      <c r="F16" s="256" t="s">
        <v>241</v>
      </c>
      <c r="G16" s="257"/>
      <c r="H16" s="258" t="s">
        <v>242</v>
      </c>
      <c r="I16" s="259"/>
    </row>
    <row r="17" spans="2:9" ht="40.15" customHeight="1" x14ac:dyDescent="0.25">
      <c r="B17" s="253"/>
      <c r="C17" s="85" t="s">
        <v>1164</v>
      </c>
      <c r="D17" s="86" t="s">
        <v>231</v>
      </c>
      <c r="E17" s="86" t="s">
        <v>226</v>
      </c>
      <c r="F17" s="87" t="s">
        <v>231</v>
      </c>
      <c r="G17" s="87" t="s">
        <v>226</v>
      </c>
      <c r="H17" s="88" t="s">
        <v>231</v>
      </c>
      <c r="I17" s="88" t="s">
        <v>226</v>
      </c>
    </row>
    <row r="18" spans="2:9" ht="40.15" customHeight="1" x14ac:dyDescent="0.25">
      <c r="B18" s="64" t="s">
        <v>1165</v>
      </c>
      <c r="C18" s="106">
        <f>'CALCULOS '!B21</f>
        <v>229</v>
      </c>
      <c r="D18" s="103">
        <f>'CALCULOS '!D21</f>
        <v>129</v>
      </c>
      <c r="E18" s="114">
        <f>D18/C18</f>
        <v>0.5633187772925764</v>
      </c>
      <c r="F18" s="104">
        <f>'CALCULOS '!$E$21</f>
        <v>102</v>
      </c>
      <c r="G18" s="113">
        <f>F18/D18</f>
        <v>0.79069767441860461</v>
      </c>
      <c r="H18" s="105">
        <f>'CALCULOS '!F21</f>
        <v>100</v>
      </c>
      <c r="I18" s="111">
        <f>H18/C18</f>
        <v>0.4366812227074236</v>
      </c>
    </row>
    <row r="19" spans="2:9" ht="40.15" customHeight="1" x14ac:dyDescent="0.25">
      <c r="B19" s="64" t="s">
        <v>1173</v>
      </c>
      <c r="C19" s="106">
        <f>SUM('CALCULOS '!$B$22:$B$27)</f>
        <v>47</v>
      </c>
      <c r="D19" s="103">
        <f>SUM('CALCULOS '!D22:D27)</f>
        <v>36</v>
      </c>
      <c r="E19" s="114">
        <f t="shared" ref="E19:E20" si="2">D19/C19</f>
        <v>0.76595744680851063</v>
      </c>
      <c r="F19" s="104">
        <f>SUM('CALCULOS '!$E$22:$E$27)</f>
        <v>31</v>
      </c>
      <c r="G19" s="113">
        <f t="shared" ref="G19" si="3">F19/D19</f>
        <v>0.86111111111111116</v>
      </c>
      <c r="H19" s="105">
        <f>SUM('CALCULOS '!$F$22:$F$27)</f>
        <v>31</v>
      </c>
      <c r="I19" s="111">
        <f>H19/C19</f>
        <v>0.65957446808510634</v>
      </c>
    </row>
    <row r="20" spans="2:9" ht="40.15" customHeight="1" x14ac:dyDescent="0.25">
      <c r="B20" s="64" t="s">
        <v>1172</v>
      </c>
      <c r="C20" s="106">
        <f>'CALCULOS '!B20</f>
        <v>6</v>
      </c>
      <c r="D20" s="103">
        <f>'CALCULOS '!D20</f>
        <v>5</v>
      </c>
      <c r="E20" s="114">
        <f t="shared" si="2"/>
        <v>0.83333333333333337</v>
      </c>
      <c r="F20" s="104">
        <f>'CALCULOS '!E20</f>
        <v>4</v>
      </c>
      <c r="G20" s="113">
        <f>IF(D20=0,0,F20/D20)</f>
        <v>0.8</v>
      </c>
      <c r="H20" s="105">
        <f>'CALCULOS '!F20</f>
        <v>4</v>
      </c>
      <c r="I20" s="111">
        <f>H20/C20</f>
        <v>0.66666666666666663</v>
      </c>
    </row>
    <row r="21" spans="2:9" ht="27" customHeight="1" x14ac:dyDescent="0.25">
      <c r="B21" s="63" t="s">
        <v>230</v>
      </c>
      <c r="C21" s="106">
        <f>SUM(C18:C20)</f>
        <v>282</v>
      </c>
      <c r="D21" s="103">
        <f>SUM(D18:D20)</f>
        <v>170</v>
      </c>
      <c r="E21" s="114">
        <f>D21/C21</f>
        <v>0.6028368794326241</v>
      </c>
      <c r="F21" s="104">
        <f>SUM(F18:F20)</f>
        <v>137</v>
      </c>
      <c r="G21" s="93"/>
      <c r="H21" s="105">
        <f>SUM(H18:H20)</f>
        <v>135</v>
      </c>
    </row>
    <row r="23" spans="2:9" x14ac:dyDescent="0.25">
      <c r="F23" s="63">
        <f>F21-F20</f>
        <v>133</v>
      </c>
    </row>
  </sheetData>
  <mergeCells count="15">
    <mergeCell ref="D1:E1"/>
    <mergeCell ref="B1:B2"/>
    <mergeCell ref="B9:B10"/>
    <mergeCell ref="D9:E9"/>
    <mergeCell ref="F1:G1"/>
    <mergeCell ref="R3:R4"/>
    <mergeCell ref="P1:R1"/>
    <mergeCell ref="H1:I1"/>
    <mergeCell ref="H9:I9"/>
    <mergeCell ref="F9:G9"/>
    <mergeCell ref="B16:B17"/>
    <mergeCell ref="D16:E16"/>
    <mergeCell ref="F16:G16"/>
    <mergeCell ref="H16:I16"/>
    <mergeCell ref="Q3:Q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9134-FFD1-4693-B9A4-7A2CD156AE45}">
  <dimension ref="A1:AI1189"/>
  <sheetViews>
    <sheetView zoomScaleNormal="100" zoomScaleSheetLayoutView="115" workbookViewId="0">
      <pane xSplit="5" ySplit="1" topLeftCell="R1167" activePane="bottomRight" state="frozen"/>
      <selection pane="topRight" activeCell="D1" sqref="D1"/>
      <selection pane="bottomLeft" activeCell="A2" sqref="A2"/>
      <selection pane="bottomRight" activeCell="AA2" sqref="AA2:AA1177"/>
    </sheetView>
  </sheetViews>
  <sheetFormatPr defaultColWidth="8.85546875" defaultRowHeight="18.75" x14ac:dyDescent="0.25"/>
  <cols>
    <col min="1" max="1" width="8.85546875" style="14"/>
    <col min="2" max="2" width="11.5703125" style="67" bestFit="1" customWidth="1"/>
    <col min="3" max="3" width="11.7109375" style="14" customWidth="1"/>
    <col min="4" max="4" width="11.7109375" style="14" hidden="1" customWidth="1"/>
    <col min="5" max="5" width="23.42578125" style="14" customWidth="1"/>
    <col min="6" max="6" width="12.28515625" style="14" hidden="1" customWidth="1"/>
    <col min="7" max="7" width="4.7109375" style="14" hidden="1" customWidth="1"/>
    <col min="8" max="8" width="6.140625" style="14" hidden="1" customWidth="1"/>
    <col min="9" max="9" width="15.42578125" style="14" customWidth="1"/>
    <col min="10" max="10" width="6.42578125" style="14" customWidth="1"/>
    <col min="11" max="11" width="17.42578125" style="14" hidden="1" customWidth="1"/>
    <col min="12" max="12" width="19.140625" style="14" hidden="1" customWidth="1"/>
    <col min="13" max="13" width="19.42578125" style="14" hidden="1" customWidth="1"/>
    <col min="14" max="16" width="18.42578125" style="14" hidden="1" customWidth="1"/>
    <col min="17" max="17" width="30.85546875" style="14" customWidth="1"/>
    <col min="18" max="18" width="17.7109375" style="14" customWidth="1"/>
    <col min="19" max="19" width="8.85546875" style="14" customWidth="1"/>
    <col min="20" max="20" width="8.85546875" style="14" hidden="1" customWidth="1"/>
    <col min="21" max="22" width="15.7109375" style="14" customWidth="1"/>
    <col min="23" max="23" width="16.140625" style="93" customWidth="1"/>
    <col min="24" max="24" width="19.140625" style="93" hidden="1" customWidth="1"/>
    <col min="25" max="25" width="14.28515625" style="13" customWidth="1"/>
    <col min="26" max="26" width="55.42578125" customWidth="1"/>
    <col min="27" max="27" width="15.140625" style="13" customWidth="1"/>
    <col min="36" max="36" width="8.85546875" style="14" customWidth="1"/>
    <col min="37" max="16384" width="8.85546875" style="14"/>
  </cols>
  <sheetData>
    <row r="1" spans="1:27" ht="27.6" customHeight="1" x14ac:dyDescent="0.25">
      <c r="A1" s="96" t="s">
        <v>47</v>
      </c>
      <c r="B1" s="97" t="s">
        <v>163</v>
      </c>
      <c r="C1" s="98" t="s">
        <v>48</v>
      </c>
      <c r="D1" s="98" t="s">
        <v>236</v>
      </c>
      <c r="E1" s="98" t="s">
        <v>49</v>
      </c>
      <c r="F1" s="99" t="s">
        <v>50</v>
      </c>
      <c r="G1" s="100"/>
      <c r="H1" s="79"/>
      <c r="I1" s="79"/>
      <c r="J1" s="101" t="s">
        <v>51</v>
      </c>
      <c r="K1" s="15" t="s">
        <v>117</v>
      </c>
      <c r="L1" s="15" t="s">
        <v>118</v>
      </c>
      <c r="M1" s="15" t="s">
        <v>119</v>
      </c>
      <c r="N1" s="15" t="s">
        <v>120</v>
      </c>
      <c r="O1" s="45" t="s">
        <v>122</v>
      </c>
      <c r="P1" s="15" t="s">
        <v>125</v>
      </c>
      <c r="Q1" s="76" t="s">
        <v>1157</v>
      </c>
      <c r="R1" s="81" t="s">
        <v>164</v>
      </c>
      <c r="S1" s="82" t="s">
        <v>165</v>
      </c>
      <c r="T1" s="82" t="s">
        <v>166</v>
      </c>
      <c r="U1" s="83" t="s">
        <v>222</v>
      </c>
      <c r="V1" s="83" t="s">
        <v>223</v>
      </c>
      <c r="W1" s="152" t="s">
        <v>224</v>
      </c>
      <c r="X1" s="84" t="s">
        <v>240</v>
      </c>
      <c r="Y1" s="84" t="s">
        <v>1003</v>
      </c>
      <c r="Z1" s="84" t="s">
        <v>1056</v>
      </c>
      <c r="AA1" s="194" t="s">
        <v>1159</v>
      </c>
    </row>
    <row r="2" spans="1:27" ht="28.15" customHeight="1" x14ac:dyDescent="0.25">
      <c r="A2" s="89">
        <v>1</v>
      </c>
      <c r="B2" s="68">
        <v>45797</v>
      </c>
      <c r="C2" s="40">
        <v>29</v>
      </c>
      <c r="D2" s="40">
        <f t="shared" ref="D2:D65" si="0">IF(B2&gt;0,1,"")</f>
        <v>1</v>
      </c>
      <c r="E2" s="41" t="s">
        <v>91</v>
      </c>
      <c r="F2" s="17" t="s">
        <v>61</v>
      </c>
      <c r="G2" s="17" t="s">
        <v>86</v>
      </c>
      <c r="H2" s="42" t="s">
        <v>92</v>
      </c>
      <c r="I2" s="17" t="str">
        <f t="shared" ref="I2:I65" si="1">_xlfn.CONCAT(F2,G2,H2)</f>
        <v>PF-01</v>
      </c>
      <c r="J2" s="18" t="s">
        <v>61</v>
      </c>
      <c r="K2" s="19" t="e">
        <f>IF(J2="","SEM #CH",VLOOKUP(J2,#REF!,2,0))</f>
        <v>#REF!</v>
      </c>
      <c r="L2" s="19" t="e">
        <f>IF(J2="","SEM #CH",VLOOKUP(J2,#REF!,3,0))</f>
        <v>#REF!</v>
      </c>
      <c r="M2" s="19" t="e">
        <f>IF(J2="","SEM #CH",VLOOKUP(J2,#REF!,4,0))</f>
        <v>#REF!</v>
      </c>
      <c r="N2" s="19" t="e">
        <f>IF(J2="","SEM #CH",VLOOKUP(J2,#REF!,5,0))</f>
        <v>#REF!</v>
      </c>
      <c r="O2" s="19" t="e">
        <f>IF(J2="","SEM #CH",VLOOKUP(J2,#REF!,6,0))</f>
        <v>#REF!</v>
      </c>
      <c r="P2" s="19" t="e">
        <f>IF(J2="","SEM #CH",VLOOKUP(J2,#REF!,7,0))</f>
        <v>#REF!</v>
      </c>
      <c r="Q2" s="77" t="str">
        <f>VLOOKUP(J2,'p1'!$B$2:$C$30,2,0)</f>
        <v>SEM CHAPA</v>
      </c>
      <c r="R2" s="94">
        <v>45799</v>
      </c>
      <c r="S2" s="90" t="s">
        <v>217</v>
      </c>
      <c r="T2" s="90">
        <f>IF(R2="",0,1)</f>
        <v>1</v>
      </c>
      <c r="U2" s="94">
        <v>45824</v>
      </c>
      <c r="V2" s="91" t="s">
        <v>86</v>
      </c>
      <c r="W2" s="92">
        <v>2387</v>
      </c>
      <c r="X2" s="93">
        <f t="shared" ref="X2:X65" si="2">IF(U2&gt;0,1,"")</f>
        <v>1</v>
      </c>
      <c r="Y2" s="92"/>
      <c r="Z2" s="92"/>
      <c r="AA2" s="13" t="str">
        <f>TEXT(R2,"mmm/aaaa")</f>
        <v>mai/2025</v>
      </c>
    </row>
    <row r="3" spans="1:27" x14ac:dyDescent="0.25">
      <c r="A3" s="89">
        <v>2</v>
      </c>
      <c r="B3" s="68">
        <v>45733</v>
      </c>
      <c r="C3" s="40">
        <v>1</v>
      </c>
      <c r="D3" s="40">
        <f t="shared" si="0"/>
        <v>1</v>
      </c>
      <c r="E3" s="41" t="s">
        <v>91</v>
      </c>
      <c r="F3" s="21" t="s">
        <v>58</v>
      </c>
      <c r="G3" s="17" t="s">
        <v>86</v>
      </c>
      <c r="H3" s="42" t="s">
        <v>93</v>
      </c>
      <c r="I3" s="17" t="str">
        <f t="shared" si="1"/>
        <v>PN-02</v>
      </c>
      <c r="J3" s="18" t="s">
        <v>85</v>
      </c>
      <c r="K3" s="19" t="e">
        <f>IF(J3="","SEM #CH",VLOOKUP(J3,#REF!,2,0))</f>
        <v>#REF!</v>
      </c>
      <c r="L3" s="19" t="e">
        <f>IF(J3="","SEM #CH",VLOOKUP(J3,#REF!,3,0))</f>
        <v>#REF!</v>
      </c>
      <c r="M3" s="19" t="e">
        <f>IF(J3="","SEM #CH",VLOOKUP(J3,#REF!,4,0))</f>
        <v>#REF!</v>
      </c>
      <c r="N3" s="19" t="e">
        <f>IF(J3="","SEM #CH",VLOOKUP(J3,#REF!,5,0))</f>
        <v>#REF!</v>
      </c>
      <c r="O3" s="19" t="e">
        <f>IF(J3="","SEM #CH",VLOOKUP(J3,#REF!,6,0))</f>
        <v>#REF!</v>
      </c>
      <c r="P3" s="19" t="e">
        <f>IF(J3="","SEM #CH",VLOOKUP(J3,#REF!,7,0))</f>
        <v>#REF!</v>
      </c>
      <c r="Q3" s="77" t="str">
        <f>VLOOKUP(J3,'p1'!$B$2:$C$30,2,0)</f>
        <v>NÃO TEM CHAPA</v>
      </c>
      <c r="R3" s="94">
        <v>45738</v>
      </c>
      <c r="S3" s="90" t="s">
        <v>217</v>
      </c>
      <c r="T3" s="90">
        <f t="shared" ref="T3:T66" si="3">IF(R3="",0,1)</f>
        <v>1</v>
      </c>
      <c r="U3" s="94">
        <v>45818</v>
      </c>
      <c r="V3" s="91" t="s">
        <v>86</v>
      </c>
      <c r="W3" s="92">
        <v>2373</v>
      </c>
      <c r="X3" s="93">
        <f t="shared" si="2"/>
        <v>1</v>
      </c>
      <c r="Y3" s="92"/>
      <c r="Z3" s="92"/>
      <c r="AA3" s="13" t="str">
        <f t="shared" ref="AA3:AA66" si="4">TEXT(R3,"mmm/aaaa")</f>
        <v>mar/2025</v>
      </c>
    </row>
    <row r="4" spans="1:27" x14ac:dyDescent="0.25">
      <c r="A4" s="89">
        <v>3</v>
      </c>
      <c r="B4" s="68">
        <v>45733</v>
      </c>
      <c r="C4" s="40">
        <v>1</v>
      </c>
      <c r="D4" s="40">
        <f t="shared" si="0"/>
        <v>1</v>
      </c>
      <c r="E4" s="41" t="s">
        <v>91</v>
      </c>
      <c r="F4" s="17" t="s">
        <v>58</v>
      </c>
      <c r="G4" s="17" t="s">
        <v>86</v>
      </c>
      <c r="H4" s="42" t="s">
        <v>94</v>
      </c>
      <c r="I4" s="17" t="str">
        <f t="shared" si="1"/>
        <v>PN-03</v>
      </c>
      <c r="J4" s="18" t="s">
        <v>85</v>
      </c>
      <c r="K4" s="19" t="e">
        <f>IF(J4="","SEM #CH",VLOOKUP(J4,#REF!,2,0))</f>
        <v>#REF!</v>
      </c>
      <c r="L4" s="19" t="e">
        <f>IF(J4="","SEM #CH",VLOOKUP(J4,#REF!,3,0))</f>
        <v>#REF!</v>
      </c>
      <c r="M4" s="19" t="e">
        <f>IF(J4="","SEM #CH",VLOOKUP(J4,#REF!,4,0))</f>
        <v>#REF!</v>
      </c>
      <c r="N4" s="19" t="e">
        <f>IF(J4="","SEM #CH",VLOOKUP(J4,#REF!,5,0))</f>
        <v>#REF!</v>
      </c>
      <c r="O4" s="19" t="e">
        <f>IF(J4="","SEM #CH",VLOOKUP(J4,#REF!,6,0))</f>
        <v>#REF!</v>
      </c>
      <c r="P4" s="19" t="e">
        <f>IF(J4="","SEM #CH",VLOOKUP(J4,#REF!,7,0))</f>
        <v>#REF!</v>
      </c>
      <c r="Q4" s="77" t="str">
        <f>VLOOKUP(J4,'p1'!$B$2:$C$30,2,0)</f>
        <v>NÃO TEM CHAPA</v>
      </c>
      <c r="R4" s="94">
        <v>45738</v>
      </c>
      <c r="S4" s="90" t="s">
        <v>217</v>
      </c>
      <c r="T4" s="90">
        <f t="shared" si="3"/>
        <v>1</v>
      </c>
      <c r="U4" s="94">
        <v>45818</v>
      </c>
      <c r="V4" s="91" t="s">
        <v>86</v>
      </c>
      <c r="W4" s="92">
        <v>2373</v>
      </c>
      <c r="X4" s="93">
        <f t="shared" si="2"/>
        <v>1</v>
      </c>
      <c r="Y4" s="92"/>
      <c r="Z4" s="92"/>
      <c r="AA4" s="13" t="str">
        <f t="shared" si="4"/>
        <v>mar/2025</v>
      </c>
    </row>
    <row r="5" spans="1:27" x14ac:dyDescent="0.25">
      <c r="A5" s="89">
        <v>4</v>
      </c>
      <c r="B5" s="68">
        <v>45733</v>
      </c>
      <c r="C5" s="40">
        <v>1</v>
      </c>
      <c r="D5" s="40">
        <f t="shared" si="0"/>
        <v>1</v>
      </c>
      <c r="E5" s="41" t="s">
        <v>91</v>
      </c>
      <c r="F5" s="17" t="s">
        <v>58</v>
      </c>
      <c r="G5" s="17" t="s">
        <v>86</v>
      </c>
      <c r="H5" s="42" t="s">
        <v>95</v>
      </c>
      <c r="I5" s="17" t="str">
        <f t="shared" si="1"/>
        <v>PN-04</v>
      </c>
      <c r="J5" s="18" t="s">
        <v>85</v>
      </c>
      <c r="K5" s="19" t="e">
        <f>IF(J5="","SEM #CH",VLOOKUP(J5,#REF!,2,0))</f>
        <v>#REF!</v>
      </c>
      <c r="L5" s="19" t="e">
        <f>IF(J5="","SEM #CH",VLOOKUP(J5,#REF!,3,0))</f>
        <v>#REF!</v>
      </c>
      <c r="M5" s="19" t="e">
        <f>IF(J5="","SEM #CH",VLOOKUP(J5,#REF!,4,0))</f>
        <v>#REF!</v>
      </c>
      <c r="N5" s="19" t="e">
        <f>IF(J5="","SEM #CH",VLOOKUP(J5,#REF!,5,0))</f>
        <v>#REF!</v>
      </c>
      <c r="O5" s="19" t="e">
        <f>IF(J5="","SEM #CH",VLOOKUP(J5,#REF!,6,0))</f>
        <v>#REF!</v>
      </c>
      <c r="P5" s="19" t="e">
        <f>IF(J5="","SEM #CH",VLOOKUP(J5,#REF!,7,0))</f>
        <v>#REF!</v>
      </c>
      <c r="Q5" s="77" t="str">
        <f>VLOOKUP(J5,'p1'!$B$2:$C$30,2,0)</f>
        <v>NÃO TEM CHAPA</v>
      </c>
      <c r="R5" s="94">
        <v>45743</v>
      </c>
      <c r="S5" s="90" t="s">
        <v>217</v>
      </c>
      <c r="T5" s="90">
        <f t="shared" si="3"/>
        <v>1</v>
      </c>
      <c r="U5" s="94">
        <v>45824</v>
      </c>
      <c r="V5" s="91" t="s">
        <v>86</v>
      </c>
      <c r="W5" s="92">
        <v>2387</v>
      </c>
      <c r="X5" s="93">
        <f t="shared" si="2"/>
        <v>1</v>
      </c>
      <c r="Y5" s="92"/>
      <c r="Z5" s="92"/>
      <c r="AA5" s="13" t="str">
        <f t="shared" si="4"/>
        <v>mar/2025</v>
      </c>
    </row>
    <row r="6" spans="1:27" x14ac:dyDescent="0.25">
      <c r="A6" s="89">
        <v>5</v>
      </c>
      <c r="B6" s="68">
        <v>45733</v>
      </c>
      <c r="C6" s="40">
        <v>1</v>
      </c>
      <c r="D6" s="40">
        <f t="shared" si="0"/>
        <v>1</v>
      </c>
      <c r="E6" s="41" t="s">
        <v>91</v>
      </c>
      <c r="F6" s="17" t="s">
        <v>58</v>
      </c>
      <c r="G6" s="17" t="s">
        <v>86</v>
      </c>
      <c r="H6" s="42" t="s">
        <v>96</v>
      </c>
      <c r="I6" s="17" t="str">
        <f t="shared" si="1"/>
        <v>PN-05</v>
      </c>
      <c r="J6" s="18" t="s">
        <v>85</v>
      </c>
      <c r="K6" s="19" t="e">
        <f>IF(J6="","SEM #CH",VLOOKUP(J6,#REF!,2,0))</f>
        <v>#REF!</v>
      </c>
      <c r="L6" s="19" t="e">
        <f>IF(J6="","SEM #CH",VLOOKUP(J6,#REF!,3,0))</f>
        <v>#REF!</v>
      </c>
      <c r="M6" s="19" t="e">
        <f>IF(J6="","SEM #CH",VLOOKUP(J6,#REF!,4,0))</f>
        <v>#REF!</v>
      </c>
      <c r="N6" s="19" t="e">
        <f>IF(J6="","SEM #CH",VLOOKUP(J6,#REF!,5,0))</f>
        <v>#REF!</v>
      </c>
      <c r="O6" s="19" t="e">
        <f>IF(J6="","SEM #CH",VLOOKUP(J6,#REF!,6,0))</f>
        <v>#REF!</v>
      </c>
      <c r="P6" s="19" t="e">
        <f>IF(J6="","SEM #CH",VLOOKUP(J6,#REF!,7,0))</f>
        <v>#REF!</v>
      </c>
      <c r="Q6" s="77" t="str">
        <f>VLOOKUP(J6,'p1'!$B$2:$C$30,2,0)</f>
        <v>NÃO TEM CHAPA</v>
      </c>
      <c r="R6" s="94">
        <v>45741</v>
      </c>
      <c r="S6" s="90" t="s">
        <v>217</v>
      </c>
      <c r="T6" s="90">
        <f t="shared" si="3"/>
        <v>1</v>
      </c>
      <c r="U6" s="94">
        <v>45818</v>
      </c>
      <c r="V6" s="90" t="s">
        <v>86</v>
      </c>
      <c r="W6" s="92">
        <v>2373</v>
      </c>
      <c r="X6" s="93">
        <f t="shared" si="2"/>
        <v>1</v>
      </c>
      <c r="Y6" s="92"/>
      <c r="Z6" s="92"/>
      <c r="AA6" s="13" t="str">
        <f t="shared" si="4"/>
        <v>mar/2025</v>
      </c>
    </row>
    <row r="7" spans="1:27" x14ac:dyDescent="0.25">
      <c r="A7" s="89">
        <v>6</v>
      </c>
      <c r="B7" s="68">
        <v>45733</v>
      </c>
      <c r="C7" s="40">
        <v>1</v>
      </c>
      <c r="D7" s="40">
        <f t="shared" si="0"/>
        <v>1</v>
      </c>
      <c r="E7" s="41" t="s">
        <v>91</v>
      </c>
      <c r="F7" s="17" t="s">
        <v>58</v>
      </c>
      <c r="G7" s="17" t="s">
        <v>86</v>
      </c>
      <c r="H7" s="42" t="s">
        <v>97</v>
      </c>
      <c r="I7" s="17" t="str">
        <f t="shared" si="1"/>
        <v>PN-06</v>
      </c>
      <c r="J7" s="18" t="s">
        <v>85</v>
      </c>
      <c r="K7" s="19" t="e">
        <f>IF(J7="","SEM #CH",VLOOKUP(J7,#REF!,2,0))</f>
        <v>#REF!</v>
      </c>
      <c r="L7" s="19" t="e">
        <f>IF(J7="","SEM #CH",VLOOKUP(J7,#REF!,3,0))</f>
        <v>#REF!</v>
      </c>
      <c r="M7" s="19" t="e">
        <f>IF(J7="","SEM #CH",VLOOKUP(J7,#REF!,4,0))</f>
        <v>#REF!</v>
      </c>
      <c r="N7" s="19" t="e">
        <f>IF(J7="","SEM #CH",VLOOKUP(J7,#REF!,5,0))</f>
        <v>#REF!</v>
      </c>
      <c r="O7" s="19" t="e">
        <f>IF(J7="","SEM #CH",VLOOKUP(J7,#REF!,6,0))</f>
        <v>#REF!</v>
      </c>
      <c r="P7" s="19" t="e">
        <f>IF(J7="","SEM #CH",VLOOKUP(J7,#REF!,7,0))</f>
        <v>#REF!</v>
      </c>
      <c r="Q7" s="77" t="str">
        <f>VLOOKUP(J7,'p1'!$B$2:$C$30,2,0)</f>
        <v>NÃO TEM CHAPA</v>
      </c>
      <c r="R7" s="94">
        <v>45741</v>
      </c>
      <c r="S7" s="90" t="s">
        <v>217</v>
      </c>
      <c r="T7" s="90">
        <f t="shared" si="3"/>
        <v>1</v>
      </c>
      <c r="U7" s="94">
        <v>45818</v>
      </c>
      <c r="V7" s="90" t="s">
        <v>86</v>
      </c>
      <c r="W7" s="92">
        <v>2372</v>
      </c>
      <c r="X7" s="93">
        <f t="shared" si="2"/>
        <v>1</v>
      </c>
      <c r="Y7" s="92"/>
      <c r="Z7" s="92"/>
      <c r="AA7" s="13" t="str">
        <f t="shared" si="4"/>
        <v>mar/2025</v>
      </c>
    </row>
    <row r="8" spans="1:27" x14ac:dyDescent="0.25">
      <c r="A8" s="89">
        <v>7</v>
      </c>
      <c r="B8" s="68">
        <v>45806</v>
      </c>
      <c r="C8" s="40">
        <v>31</v>
      </c>
      <c r="D8" s="40">
        <f t="shared" si="0"/>
        <v>1</v>
      </c>
      <c r="E8" s="41" t="s">
        <v>91</v>
      </c>
      <c r="F8" s="17" t="s">
        <v>60</v>
      </c>
      <c r="G8" s="17" t="s">
        <v>86</v>
      </c>
      <c r="H8" s="42" t="s">
        <v>98</v>
      </c>
      <c r="I8" s="17" t="str">
        <f t="shared" si="1"/>
        <v>PE-07</v>
      </c>
      <c r="J8" s="18" t="s">
        <v>88</v>
      </c>
      <c r="K8" s="19" t="e">
        <f>IF(J8="","SEM #CH",VLOOKUP(J8,#REF!,2,0))</f>
        <v>#REF!</v>
      </c>
      <c r="L8" s="19" t="e">
        <f>IF(J8="","SEM #CH",VLOOKUP(J8,#REF!,3,0))</f>
        <v>#REF!</v>
      </c>
      <c r="M8" s="19" t="e">
        <f>IF(J8="","SEM #CH",VLOOKUP(J8,#REF!,4,0))</f>
        <v>#REF!</v>
      </c>
      <c r="N8" s="19" t="e">
        <f>IF(J8="","SEM #CH",VLOOKUP(J8,#REF!,5,0))</f>
        <v>#REF!</v>
      </c>
      <c r="O8" s="19" t="e">
        <f>IF(J8="","SEM #CH",VLOOKUP(J8,#REF!,6,0))</f>
        <v>#REF!</v>
      </c>
      <c r="P8" s="19" t="e">
        <f>IF(J8="","SEM #CH",VLOOKUP(J8,#REF!,7,0))</f>
        <v>#REF!</v>
      </c>
      <c r="Q8" s="77" t="str">
        <f>VLOOKUP(J8,'p1'!$B$2:$C$30,2,0)</f>
        <v>#3/8-1315X1315</v>
      </c>
      <c r="R8" s="94">
        <v>45812</v>
      </c>
      <c r="S8" s="90" t="s">
        <v>217</v>
      </c>
      <c r="T8" s="90">
        <f t="shared" si="3"/>
        <v>1</v>
      </c>
      <c r="U8" s="94">
        <v>45821</v>
      </c>
      <c r="V8" s="90" t="s">
        <v>86</v>
      </c>
      <c r="W8" s="92">
        <v>2383</v>
      </c>
      <c r="X8" s="93">
        <f t="shared" si="2"/>
        <v>1</v>
      </c>
      <c r="Y8" s="92"/>
      <c r="Z8" s="92"/>
      <c r="AA8" s="13" t="str">
        <f t="shared" si="4"/>
        <v>jun/2025</v>
      </c>
    </row>
    <row r="9" spans="1:27" x14ac:dyDescent="0.25">
      <c r="A9" s="89">
        <v>8</v>
      </c>
      <c r="B9" s="68">
        <v>45806</v>
      </c>
      <c r="C9" s="40">
        <v>31</v>
      </c>
      <c r="D9" s="40">
        <f t="shared" si="0"/>
        <v>1</v>
      </c>
      <c r="E9" s="41" t="s">
        <v>91</v>
      </c>
      <c r="F9" s="17" t="s">
        <v>60</v>
      </c>
      <c r="G9" s="17" t="s">
        <v>86</v>
      </c>
      <c r="H9" s="42" t="s">
        <v>99</v>
      </c>
      <c r="I9" s="17" t="str">
        <f t="shared" si="1"/>
        <v>PE-08</v>
      </c>
      <c r="J9" s="18" t="s">
        <v>87</v>
      </c>
      <c r="K9" s="19" t="e">
        <f>IF(J9="","SEM #CH",VLOOKUP(J9,#REF!,2,0))</f>
        <v>#REF!</v>
      </c>
      <c r="L9" s="19" t="e">
        <f>IF(J9="","SEM #CH",VLOOKUP(J9,#REF!,3,0))</f>
        <v>#REF!</v>
      </c>
      <c r="M9" s="19" t="e">
        <f>IF(J9="","SEM #CH",VLOOKUP(J9,#REF!,4,0))</f>
        <v>#REF!</v>
      </c>
      <c r="N9" s="19" t="e">
        <f>IF(J9="","SEM #CH",VLOOKUP(J9,#REF!,5,0))</f>
        <v>#REF!</v>
      </c>
      <c r="O9" s="19" t="e">
        <f>IF(J9="","SEM #CH",VLOOKUP(J9,#REF!,6,0))</f>
        <v>#REF!</v>
      </c>
      <c r="P9" s="19" t="e">
        <f>IF(J9="","SEM #CH",VLOOKUP(J9,#REF!,7,0))</f>
        <v>#REF!</v>
      </c>
      <c r="Q9" s="77" t="str">
        <f>VLOOKUP(J9,'p1'!$B$2:$C$30,2,0)</f>
        <v>#3/8-1620X1620</v>
      </c>
      <c r="R9" s="94">
        <v>45813</v>
      </c>
      <c r="S9" s="90" t="s">
        <v>217</v>
      </c>
      <c r="T9" s="90">
        <f t="shared" si="3"/>
        <v>1</v>
      </c>
      <c r="U9" s="94">
        <v>45814</v>
      </c>
      <c r="V9" s="90" t="s">
        <v>993</v>
      </c>
      <c r="W9" s="92">
        <v>2367</v>
      </c>
      <c r="X9" s="93">
        <f t="shared" si="2"/>
        <v>1</v>
      </c>
      <c r="Y9" s="92"/>
      <c r="Z9" s="92"/>
      <c r="AA9" s="13" t="str">
        <f t="shared" si="4"/>
        <v>jun/2025</v>
      </c>
    </row>
    <row r="10" spans="1:27" x14ac:dyDescent="0.25">
      <c r="A10" s="89">
        <v>9</v>
      </c>
      <c r="B10" s="68">
        <v>45806</v>
      </c>
      <c r="C10" s="40">
        <v>31</v>
      </c>
      <c r="D10" s="40">
        <f t="shared" si="0"/>
        <v>1</v>
      </c>
      <c r="E10" s="41" t="s">
        <v>91</v>
      </c>
      <c r="F10" s="17" t="s">
        <v>60</v>
      </c>
      <c r="G10" s="17" t="s">
        <v>86</v>
      </c>
      <c r="H10" s="42" t="s">
        <v>100</v>
      </c>
      <c r="I10" s="17" t="str">
        <f t="shared" si="1"/>
        <v>PE-09</v>
      </c>
      <c r="J10" s="18" t="s">
        <v>89</v>
      </c>
      <c r="K10" s="19" t="e">
        <f>IF(J10="","SEM #CH",VLOOKUP(J10,#REF!,2,0))</f>
        <v>#REF!</v>
      </c>
      <c r="L10" s="19" t="e">
        <f>IF(J10="","SEM #CH",VLOOKUP(J10,#REF!,3,0))</f>
        <v>#REF!</v>
      </c>
      <c r="M10" s="19" t="e">
        <f>IF(J10="","SEM #CH",VLOOKUP(J10,#REF!,4,0))</f>
        <v>#REF!</v>
      </c>
      <c r="N10" s="19" t="e">
        <f>IF(J10="","SEM #CH",VLOOKUP(J10,#REF!,5,0))</f>
        <v>#REF!</v>
      </c>
      <c r="O10" s="19" t="e">
        <f>IF(J10="","SEM #CH",VLOOKUP(J10,#REF!,6,0))</f>
        <v>#REF!</v>
      </c>
      <c r="P10" s="19" t="e">
        <f>IF(J10="","SEM #CH",VLOOKUP(J10,#REF!,7,0))</f>
        <v>#REF!</v>
      </c>
      <c r="Q10" s="77" t="str">
        <f>VLOOKUP(J10,'p1'!$B$2:$C$30,2,0)</f>
        <v>#3/8-1200X1200</v>
      </c>
      <c r="R10" s="94">
        <v>45810</v>
      </c>
      <c r="S10" s="90" t="s">
        <v>217</v>
      </c>
      <c r="T10" s="90">
        <f t="shared" si="3"/>
        <v>1</v>
      </c>
      <c r="U10" s="94">
        <v>45817</v>
      </c>
      <c r="V10" s="90" t="s">
        <v>86</v>
      </c>
      <c r="W10" s="92">
        <v>2370</v>
      </c>
      <c r="X10" s="93">
        <f t="shared" si="2"/>
        <v>1</v>
      </c>
      <c r="Y10" s="92"/>
      <c r="Z10" s="92"/>
      <c r="AA10" s="13" t="str">
        <f t="shared" si="4"/>
        <v>jun/2025</v>
      </c>
    </row>
    <row r="11" spans="1:27" x14ac:dyDescent="0.25">
      <c r="A11" s="89">
        <v>10</v>
      </c>
      <c r="B11" s="68">
        <v>45733</v>
      </c>
      <c r="C11" s="40">
        <v>1</v>
      </c>
      <c r="D11" s="40">
        <f t="shared" si="0"/>
        <v>1</v>
      </c>
      <c r="E11" s="41" t="s">
        <v>91</v>
      </c>
      <c r="F11" s="17" t="s">
        <v>58</v>
      </c>
      <c r="G11" s="17" t="s">
        <v>86</v>
      </c>
      <c r="H11" s="42" t="s">
        <v>243</v>
      </c>
      <c r="I11" s="17" t="str">
        <f t="shared" si="1"/>
        <v>PN-10</v>
      </c>
      <c r="J11" s="18" t="s">
        <v>85</v>
      </c>
      <c r="K11" s="19" t="e">
        <f>IF(J11="","SEM #CH",VLOOKUP(J11,#REF!,2,0))</f>
        <v>#REF!</v>
      </c>
      <c r="L11" s="19" t="e">
        <f>IF(J11="","SEM #CH",VLOOKUP(J11,#REF!,3,0))</f>
        <v>#REF!</v>
      </c>
      <c r="M11" s="19" t="e">
        <f>IF(J11="","SEM #CH",VLOOKUP(J11,#REF!,4,0))</f>
        <v>#REF!</v>
      </c>
      <c r="N11" s="19" t="e">
        <f>IF(J11="","SEM #CH",VLOOKUP(J11,#REF!,5,0))</f>
        <v>#REF!</v>
      </c>
      <c r="O11" s="19" t="e">
        <f>IF(J11="","SEM #CH",VLOOKUP(J11,#REF!,6,0))</f>
        <v>#REF!</v>
      </c>
      <c r="P11" s="19" t="e">
        <f>IF(J11="","SEM #CH",VLOOKUP(J11,#REF!,7,0))</f>
        <v>#REF!</v>
      </c>
      <c r="Q11" s="77" t="str">
        <f>VLOOKUP(J11,'p1'!$B$2:$C$30,2,0)</f>
        <v>NÃO TEM CHAPA</v>
      </c>
      <c r="R11" s="94">
        <v>45740</v>
      </c>
      <c r="S11" s="90" t="s">
        <v>217</v>
      </c>
      <c r="T11" s="90">
        <f t="shared" si="3"/>
        <v>1</v>
      </c>
      <c r="U11" s="94">
        <v>45818</v>
      </c>
      <c r="V11" s="90" t="s">
        <v>86</v>
      </c>
      <c r="W11" s="92">
        <v>2372</v>
      </c>
      <c r="X11" s="93">
        <f t="shared" si="2"/>
        <v>1</v>
      </c>
      <c r="Y11" s="92"/>
      <c r="Z11" s="92"/>
      <c r="AA11" s="13" t="str">
        <f t="shared" si="4"/>
        <v>mar/2025</v>
      </c>
    </row>
    <row r="12" spans="1:27" x14ac:dyDescent="0.25">
      <c r="A12" s="89">
        <v>11</v>
      </c>
      <c r="B12" s="68">
        <v>45733</v>
      </c>
      <c r="C12" s="40">
        <v>1</v>
      </c>
      <c r="D12" s="40">
        <f t="shared" si="0"/>
        <v>1</v>
      </c>
      <c r="E12" s="41" t="s">
        <v>91</v>
      </c>
      <c r="F12" s="17" t="s">
        <v>58</v>
      </c>
      <c r="G12" s="17" t="s">
        <v>86</v>
      </c>
      <c r="H12" s="42" t="s">
        <v>244</v>
      </c>
      <c r="I12" s="17" t="str">
        <f t="shared" si="1"/>
        <v>PN-11</v>
      </c>
      <c r="J12" s="18" t="s">
        <v>85</v>
      </c>
      <c r="K12" s="19" t="e">
        <f>IF(J12="","SEM #CH",VLOOKUP(J12,#REF!,2,0))</f>
        <v>#REF!</v>
      </c>
      <c r="L12" s="19" t="e">
        <f>IF(J12="","SEM #CH",VLOOKUP(J12,#REF!,3,0))</f>
        <v>#REF!</v>
      </c>
      <c r="M12" s="19" t="e">
        <f>IF(J12="","SEM #CH",VLOOKUP(J12,#REF!,4,0))</f>
        <v>#REF!</v>
      </c>
      <c r="N12" s="19" t="e">
        <f>IF(J12="","SEM #CH",VLOOKUP(J12,#REF!,5,0))</f>
        <v>#REF!</v>
      </c>
      <c r="O12" s="19" t="e">
        <f>IF(J12="","SEM #CH",VLOOKUP(J12,#REF!,6,0))</f>
        <v>#REF!</v>
      </c>
      <c r="P12" s="19" t="e">
        <f>IF(J12="","SEM #CH",VLOOKUP(J12,#REF!,7,0))</f>
        <v>#REF!</v>
      </c>
      <c r="Q12" s="77" t="str">
        <f>VLOOKUP(J12,'p1'!$B$2:$C$30,2,0)</f>
        <v>NÃO TEM CHAPA</v>
      </c>
      <c r="R12" s="94">
        <v>45740</v>
      </c>
      <c r="S12" s="90" t="s">
        <v>217</v>
      </c>
      <c r="T12" s="90">
        <f t="shared" si="3"/>
        <v>1</v>
      </c>
      <c r="U12" s="94">
        <v>45759</v>
      </c>
      <c r="V12" s="90" t="s">
        <v>86</v>
      </c>
      <c r="W12" s="92">
        <v>2373</v>
      </c>
      <c r="X12" s="93">
        <f t="shared" si="2"/>
        <v>1</v>
      </c>
      <c r="Y12" s="92"/>
      <c r="Z12" s="92"/>
      <c r="AA12" s="13" t="str">
        <f t="shared" si="4"/>
        <v>mar/2025</v>
      </c>
    </row>
    <row r="13" spans="1:27" x14ac:dyDescent="0.25">
      <c r="A13" s="89">
        <v>12</v>
      </c>
      <c r="B13" s="68">
        <v>45741</v>
      </c>
      <c r="C13" s="40">
        <v>2</v>
      </c>
      <c r="D13" s="40">
        <f t="shared" si="0"/>
        <v>1</v>
      </c>
      <c r="E13" s="41" t="s">
        <v>91</v>
      </c>
      <c r="F13" s="17" t="s">
        <v>58</v>
      </c>
      <c r="G13" s="17" t="s">
        <v>86</v>
      </c>
      <c r="H13" s="42" t="s">
        <v>245</v>
      </c>
      <c r="I13" s="17" t="str">
        <f t="shared" si="1"/>
        <v>PN-12</v>
      </c>
      <c r="J13" s="18" t="s">
        <v>85</v>
      </c>
      <c r="K13" s="19" t="e">
        <f>IF(J13="","SEM #CH",VLOOKUP(J13,#REF!,2,0))</f>
        <v>#REF!</v>
      </c>
      <c r="L13" s="19" t="e">
        <f>IF(J13="","SEM #CH",VLOOKUP(J13,#REF!,3,0))</f>
        <v>#REF!</v>
      </c>
      <c r="M13" s="19" t="e">
        <f>IF(J13="","SEM #CH",VLOOKUP(J13,#REF!,4,0))</f>
        <v>#REF!</v>
      </c>
      <c r="N13" s="19" t="e">
        <f>IF(J13="","SEM #CH",VLOOKUP(J13,#REF!,5,0))</f>
        <v>#REF!</v>
      </c>
      <c r="O13" s="19" t="e">
        <f>IF(J13="","SEM #CH",VLOOKUP(J13,#REF!,6,0))</f>
        <v>#REF!</v>
      </c>
      <c r="P13" s="19" t="e">
        <f>IF(J13="","SEM #CH",VLOOKUP(J13,#REF!,7,0))</f>
        <v>#REF!</v>
      </c>
      <c r="Q13" s="77" t="str">
        <f>VLOOKUP(J13,'p1'!$B$2:$C$30,2,0)</f>
        <v>NÃO TEM CHAPA</v>
      </c>
      <c r="R13" s="94">
        <v>45743</v>
      </c>
      <c r="S13" s="90" t="s">
        <v>217</v>
      </c>
      <c r="T13" s="90">
        <f t="shared" si="3"/>
        <v>1</v>
      </c>
      <c r="U13" s="94">
        <v>45831</v>
      </c>
      <c r="V13" s="90" t="s">
        <v>86</v>
      </c>
      <c r="W13" s="92">
        <v>2405</v>
      </c>
      <c r="X13" s="93">
        <f t="shared" si="2"/>
        <v>1</v>
      </c>
      <c r="Y13" s="92"/>
      <c r="Z13" s="92"/>
      <c r="AA13" s="13" t="str">
        <f t="shared" si="4"/>
        <v>mar/2025</v>
      </c>
    </row>
    <row r="14" spans="1:27" ht="15" customHeight="1" x14ac:dyDescent="0.25">
      <c r="A14" s="89">
        <v>13</v>
      </c>
      <c r="B14" s="68">
        <v>45741</v>
      </c>
      <c r="C14" s="40">
        <v>2</v>
      </c>
      <c r="D14" s="40">
        <f t="shared" si="0"/>
        <v>1</v>
      </c>
      <c r="E14" s="41" t="s">
        <v>91</v>
      </c>
      <c r="F14" s="17" t="s">
        <v>58</v>
      </c>
      <c r="G14" s="17" t="s">
        <v>86</v>
      </c>
      <c r="H14" s="42" t="s">
        <v>246</v>
      </c>
      <c r="I14" s="17" t="str">
        <f t="shared" si="1"/>
        <v>PN-13</v>
      </c>
      <c r="J14" s="18" t="s">
        <v>85</v>
      </c>
      <c r="K14" s="19" t="e">
        <f>IF(J14="","SEM #CH",VLOOKUP(J14,#REF!,2,0))</f>
        <v>#REF!</v>
      </c>
      <c r="L14" s="19" t="e">
        <f>IF(J14="","SEM #CH",VLOOKUP(J14,#REF!,3,0))</f>
        <v>#REF!</v>
      </c>
      <c r="M14" s="19" t="e">
        <f>IF(J14="","SEM #CH",VLOOKUP(J14,#REF!,4,0))</f>
        <v>#REF!</v>
      </c>
      <c r="N14" s="19" t="e">
        <f>IF(J14="","SEM #CH",VLOOKUP(J14,#REF!,5,0))</f>
        <v>#REF!</v>
      </c>
      <c r="O14" s="19" t="e">
        <f>IF(J14="","SEM #CH",VLOOKUP(J14,#REF!,6,0))</f>
        <v>#REF!</v>
      </c>
      <c r="P14" s="19" t="e">
        <f>IF(J14="","SEM #CH",VLOOKUP(J14,#REF!,7,0))</f>
        <v>#REF!</v>
      </c>
      <c r="Q14" s="77" t="str">
        <f>VLOOKUP(J14,'p1'!$B$2:$C$30,2,0)</f>
        <v>NÃO TEM CHAPA</v>
      </c>
      <c r="R14" s="94">
        <v>45747</v>
      </c>
      <c r="S14" s="90" t="s">
        <v>217</v>
      </c>
      <c r="T14" s="90">
        <f t="shared" si="3"/>
        <v>1</v>
      </c>
      <c r="U14" s="94">
        <v>45817</v>
      </c>
      <c r="V14" s="90" t="s">
        <v>86</v>
      </c>
      <c r="W14" s="92">
        <v>2371</v>
      </c>
      <c r="X14" s="93">
        <f t="shared" si="2"/>
        <v>1</v>
      </c>
      <c r="Y14" s="92"/>
      <c r="Z14" s="92"/>
      <c r="AA14" s="13" t="str">
        <f t="shared" si="4"/>
        <v>mar/2025</v>
      </c>
    </row>
    <row r="15" spans="1:27" x14ac:dyDescent="0.25">
      <c r="A15" s="89">
        <v>14</v>
      </c>
      <c r="B15" s="68">
        <v>45741</v>
      </c>
      <c r="C15" s="40">
        <v>2</v>
      </c>
      <c r="D15" s="40">
        <f t="shared" si="0"/>
        <v>1</v>
      </c>
      <c r="E15" s="41" t="s">
        <v>91</v>
      </c>
      <c r="F15" s="17" t="s">
        <v>58</v>
      </c>
      <c r="G15" s="17" t="s">
        <v>86</v>
      </c>
      <c r="H15" s="42" t="s">
        <v>247</v>
      </c>
      <c r="I15" s="17" t="str">
        <f t="shared" si="1"/>
        <v>PN-14</v>
      </c>
      <c r="J15" s="18" t="s">
        <v>85</v>
      </c>
      <c r="K15" s="19" t="e">
        <f>IF(J15="","SEM #CH",VLOOKUP(J15,#REF!,2,0))</f>
        <v>#REF!</v>
      </c>
      <c r="L15" s="19" t="e">
        <f>IF(J15="","SEM #CH",VLOOKUP(J15,#REF!,3,0))</f>
        <v>#REF!</v>
      </c>
      <c r="M15" s="19" t="e">
        <f>IF(J15="","SEM #CH",VLOOKUP(J15,#REF!,4,0))</f>
        <v>#REF!</v>
      </c>
      <c r="N15" s="19" t="e">
        <f>IF(J15="","SEM #CH",VLOOKUP(J15,#REF!,5,0))</f>
        <v>#REF!</v>
      </c>
      <c r="O15" s="19" t="e">
        <f>IF(J15="","SEM #CH",VLOOKUP(J15,#REF!,6,0))</f>
        <v>#REF!</v>
      </c>
      <c r="P15" s="19" t="e">
        <f>IF(J15="","SEM #CH",VLOOKUP(J15,#REF!,7,0))</f>
        <v>#REF!</v>
      </c>
      <c r="Q15" s="77" t="str">
        <f>VLOOKUP(J15,'p1'!$B$2:$C$30,2,0)</f>
        <v>NÃO TEM CHAPA</v>
      </c>
      <c r="R15" s="94">
        <v>45747</v>
      </c>
      <c r="S15" s="90" t="s">
        <v>217</v>
      </c>
      <c r="T15" s="90">
        <f t="shared" si="3"/>
        <v>1</v>
      </c>
      <c r="U15" s="94">
        <v>45818</v>
      </c>
      <c r="V15" s="90" t="s">
        <v>86</v>
      </c>
      <c r="W15" s="92">
        <v>2375</v>
      </c>
      <c r="X15" s="93">
        <f t="shared" si="2"/>
        <v>1</v>
      </c>
      <c r="Y15" s="92"/>
      <c r="Z15" s="92"/>
      <c r="AA15" s="13" t="str">
        <f t="shared" si="4"/>
        <v>mar/2025</v>
      </c>
    </row>
    <row r="16" spans="1:27" x14ac:dyDescent="0.25">
      <c r="A16" s="89">
        <v>15</v>
      </c>
      <c r="B16" s="68">
        <v>45741</v>
      </c>
      <c r="C16" s="40">
        <v>2</v>
      </c>
      <c r="D16" s="40">
        <f t="shared" si="0"/>
        <v>1</v>
      </c>
      <c r="E16" s="41" t="s">
        <v>91</v>
      </c>
      <c r="F16" s="17" t="s">
        <v>58</v>
      </c>
      <c r="G16" s="17" t="s">
        <v>86</v>
      </c>
      <c r="H16" s="42" t="s">
        <v>248</v>
      </c>
      <c r="I16" s="17" t="str">
        <f t="shared" si="1"/>
        <v>PN-15</v>
      </c>
      <c r="J16" s="18" t="s">
        <v>85</v>
      </c>
      <c r="K16" s="19" t="e">
        <f>IF(J16="","SEM #CH",VLOOKUP(J16,#REF!,2,0))</f>
        <v>#REF!</v>
      </c>
      <c r="L16" s="19" t="e">
        <f>IF(J16="","SEM #CH",VLOOKUP(J16,#REF!,3,0))</f>
        <v>#REF!</v>
      </c>
      <c r="M16" s="19" t="e">
        <f>IF(J16="","SEM #CH",VLOOKUP(J16,#REF!,4,0))</f>
        <v>#REF!</v>
      </c>
      <c r="N16" s="19" t="e">
        <f>IF(J16="","SEM #CH",VLOOKUP(J16,#REF!,5,0))</f>
        <v>#REF!</v>
      </c>
      <c r="O16" s="19" t="e">
        <f>IF(J16="","SEM #CH",VLOOKUP(J16,#REF!,6,0))</f>
        <v>#REF!</v>
      </c>
      <c r="P16" s="19" t="e">
        <f>IF(J16="","SEM #CH",VLOOKUP(J16,#REF!,7,0))</f>
        <v>#REF!</v>
      </c>
      <c r="Q16" s="77" t="str">
        <f>VLOOKUP(J16,'p1'!$B$2:$C$30,2,0)</f>
        <v>NÃO TEM CHAPA</v>
      </c>
      <c r="R16" s="94">
        <v>45745</v>
      </c>
      <c r="S16" s="90" t="s">
        <v>217</v>
      </c>
      <c r="T16" s="90">
        <f t="shared" si="3"/>
        <v>1</v>
      </c>
      <c r="U16" s="94">
        <v>45818</v>
      </c>
      <c r="V16" s="90" t="s">
        <v>86</v>
      </c>
      <c r="W16" s="92">
        <v>2372</v>
      </c>
      <c r="X16" s="93">
        <f t="shared" si="2"/>
        <v>1</v>
      </c>
      <c r="Y16" s="92"/>
      <c r="Z16" s="92"/>
      <c r="AA16" s="13" t="str">
        <f t="shared" si="4"/>
        <v>mar/2025</v>
      </c>
    </row>
    <row r="17" spans="1:27" x14ac:dyDescent="0.25">
      <c r="A17" s="89">
        <v>16</v>
      </c>
      <c r="B17" s="68">
        <v>45741</v>
      </c>
      <c r="C17" s="40">
        <v>2</v>
      </c>
      <c r="D17" s="40">
        <f t="shared" si="0"/>
        <v>1</v>
      </c>
      <c r="E17" s="41" t="s">
        <v>91</v>
      </c>
      <c r="F17" s="17" t="s">
        <v>58</v>
      </c>
      <c r="G17" s="17" t="s">
        <v>86</v>
      </c>
      <c r="H17" s="42" t="s">
        <v>249</v>
      </c>
      <c r="I17" s="17" t="str">
        <f t="shared" si="1"/>
        <v>PN-16</v>
      </c>
      <c r="J17" s="18" t="s">
        <v>85</v>
      </c>
      <c r="K17" s="19" t="e">
        <f>IF(J17="","SEM #CH",VLOOKUP(J17,#REF!,2,0))</f>
        <v>#REF!</v>
      </c>
      <c r="L17" s="19" t="e">
        <f>IF(J17="","SEM #CH",VLOOKUP(J17,#REF!,3,0))</f>
        <v>#REF!</v>
      </c>
      <c r="M17" s="19" t="e">
        <f>IF(J17="","SEM #CH",VLOOKUP(J17,#REF!,4,0))</f>
        <v>#REF!</v>
      </c>
      <c r="N17" s="19" t="e">
        <f>IF(J17="","SEM #CH",VLOOKUP(J17,#REF!,5,0))</f>
        <v>#REF!</v>
      </c>
      <c r="O17" s="19" t="e">
        <f>IF(J17="","SEM #CH",VLOOKUP(J17,#REF!,6,0))</f>
        <v>#REF!</v>
      </c>
      <c r="P17" s="19" t="e">
        <f>IF(J17="","SEM #CH",VLOOKUP(J17,#REF!,7,0))</f>
        <v>#REF!</v>
      </c>
      <c r="Q17" s="77" t="str">
        <f>VLOOKUP(J17,'p1'!$B$2:$C$30,2,0)</f>
        <v>NÃO TEM CHAPA</v>
      </c>
      <c r="R17" s="94">
        <v>45745</v>
      </c>
      <c r="S17" s="90" t="s">
        <v>217</v>
      </c>
      <c r="T17" s="90">
        <f t="shared" si="3"/>
        <v>1</v>
      </c>
      <c r="U17" s="94">
        <v>45924</v>
      </c>
      <c r="V17" s="90" t="s">
        <v>86</v>
      </c>
      <c r="W17" s="90">
        <v>2540</v>
      </c>
      <c r="X17" s="93">
        <f t="shared" si="2"/>
        <v>1</v>
      </c>
      <c r="Y17" s="92"/>
      <c r="Z17" s="92"/>
      <c r="AA17" s="13" t="str">
        <f t="shared" si="4"/>
        <v>mar/2025</v>
      </c>
    </row>
    <row r="18" spans="1:27" x14ac:dyDescent="0.25">
      <c r="A18" s="89">
        <v>17</v>
      </c>
      <c r="B18" s="68">
        <v>45741</v>
      </c>
      <c r="C18" s="40">
        <v>2</v>
      </c>
      <c r="D18" s="40">
        <f t="shared" si="0"/>
        <v>1</v>
      </c>
      <c r="E18" s="41" t="s">
        <v>91</v>
      </c>
      <c r="F18" s="17" t="s">
        <v>58</v>
      </c>
      <c r="G18" s="17" t="s">
        <v>86</v>
      </c>
      <c r="H18" s="42" t="s">
        <v>250</v>
      </c>
      <c r="I18" s="17" t="str">
        <f t="shared" si="1"/>
        <v>PN-17</v>
      </c>
      <c r="J18" s="18" t="s">
        <v>85</v>
      </c>
      <c r="K18" s="19" t="e">
        <f>IF(J18="","SEM #CH",VLOOKUP(J18,#REF!,2,0))</f>
        <v>#REF!</v>
      </c>
      <c r="L18" s="19" t="e">
        <f>IF(J18="","SEM #CH",VLOOKUP(J18,#REF!,3,0))</f>
        <v>#REF!</v>
      </c>
      <c r="M18" s="19" t="e">
        <f>IF(J18="","SEM #CH",VLOOKUP(J18,#REF!,4,0))</f>
        <v>#REF!</v>
      </c>
      <c r="N18" s="19" t="e">
        <f>IF(J18="","SEM #CH",VLOOKUP(J18,#REF!,5,0))</f>
        <v>#REF!</v>
      </c>
      <c r="O18" s="19" t="e">
        <f>IF(J18="","SEM #CH",VLOOKUP(J18,#REF!,6,0))</f>
        <v>#REF!</v>
      </c>
      <c r="P18" s="19" t="e">
        <f>IF(J18="","SEM #CH",VLOOKUP(J18,#REF!,7,0))</f>
        <v>#REF!</v>
      </c>
      <c r="Q18" s="77" t="str">
        <f>VLOOKUP(J18,'p1'!$B$2:$C$30,2,0)</f>
        <v>NÃO TEM CHAPA</v>
      </c>
      <c r="R18" s="94">
        <v>45744</v>
      </c>
      <c r="S18" s="90" t="s">
        <v>217</v>
      </c>
      <c r="T18" s="90">
        <f t="shared" si="3"/>
        <v>1</v>
      </c>
      <c r="U18" s="94">
        <v>45854</v>
      </c>
      <c r="V18" s="90" t="s">
        <v>86</v>
      </c>
      <c r="W18" s="90">
        <v>2447</v>
      </c>
      <c r="X18" s="93">
        <f t="shared" si="2"/>
        <v>1</v>
      </c>
      <c r="Y18" s="92"/>
      <c r="Z18" s="92"/>
      <c r="AA18" s="13" t="str">
        <f t="shared" si="4"/>
        <v>mar/2025</v>
      </c>
    </row>
    <row r="19" spans="1:27" x14ac:dyDescent="0.25">
      <c r="A19" s="89">
        <v>18</v>
      </c>
      <c r="B19" s="68">
        <v>45741</v>
      </c>
      <c r="C19" s="40">
        <v>2</v>
      </c>
      <c r="D19" s="40">
        <f t="shared" si="0"/>
        <v>1</v>
      </c>
      <c r="E19" s="41" t="s">
        <v>91</v>
      </c>
      <c r="F19" s="17" t="s">
        <v>58</v>
      </c>
      <c r="G19" s="17" t="s">
        <v>86</v>
      </c>
      <c r="H19" s="42" t="s">
        <v>251</v>
      </c>
      <c r="I19" s="17" t="str">
        <f t="shared" si="1"/>
        <v>PN-18</v>
      </c>
      <c r="J19" s="18" t="s">
        <v>85</v>
      </c>
      <c r="K19" s="19" t="e">
        <f>IF(J19="","SEM #CH",VLOOKUP(J19,#REF!,2,0))</f>
        <v>#REF!</v>
      </c>
      <c r="L19" s="19" t="e">
        <f>IF(J19="","SEM #CH",VLOOKUP(J19,#REF!,3,0))</f>
        <v>#REF!</v>
      </c>
      <c r="M19" s="19" t="e">
        <f>IF(J19="","SEM #CH",VLOOKUP(J19,#REF!,4,0))</f>
        <v>#REF!</v>
      </c>
      <c r="N19" s="19" t="e">
        <f>IF(J19="","SEM #CH",VLOOKUP(J19,#REF!,5,0))</f>
        <v>#REF!</v>
      </c>
      <c r="O19" s="19" t="e">
        <f>IF(J19="","SEM #CH",VLOOKUP(J19,#REF!,6,0))</f>
        <v>#REF!</v>
      </c>
      <c r="P19" s="19" t="e">
        <f>IF(J19="","SEM #CH",VLOOKUP(J19,#REF!,7,0))</f>
        <v>#REF!</v>
      </c>
      <c r="Q19" s="77" t="str">
        <f>VLOOKUP(J19,'p1'!$B$2:$C$30,2,0)</f>
        <v>NÃO TEM CHAPA</v>
      </c>
      <c r="R19" s="94">
        <v>45775</v>
      </c>
      <c r="S19" s="90" t="s">
        <v>217</v>
      </c>
      <c r="T19" s="90">
        <f t="shared" si="3"/>
        <v>1</v>
      </c>
      <c r="U19" s="94">
        <v>45833</v>
      </c>
      <c r="V19" s="90" t="s">
        <v>86</v>
      </c>
      <c r="W19" s="90">
        <v>2416</v>
      </c>
      <c r="X19" s="93">
        <f t="shared" si="2"/>
        <v>1</v>
      </c>
      <c r="Y19" s="92"/>
      <c r="Z19" s="92"/>
      <c r="AA19" s="13" t="str">
        <f t="shared" si="4"/>
        <v>abr/2025</v>
      </c>
    </row>
    <row r="20" spans="1:27" x14ac:dyDescent="0.25">
      <c r="A20" s="89">
        <v>19</v>
      </c>
      <c r="B20" s="68">
        <v>45742</v>
      </c>
      <c r="C20" s="40">
        <v>3</v>
      </c>
      <c r="D20" s="40">
        <f t="shared" si="0"/>
        <v>1</v>
      </c>
      <c r="E20" s="41" t="s">
        <v>91</v>
      </c>
      <c r="F20" s="17" t="s">
        <v>58</v>
      </c>
      <c r="G20" s="17" t="s">
        <v>86</v>
      </c>
      <c r="H20" s="42" t="s">
        <v>252</v>
      </c>
      <c r="I20" s="17" t="str">
        <f t="shared" si="1"/>
        <v>PN-19</v>
      </c>
      <c r="J20" s="18" t="s">
        <v>85</v>
      </c>
      <c r="K20" s="19" t="e">
        <f>IF(J20="","SEM #CH",VLOOKUP(J20,#REF!,2,0))</f>
        <v>#REF!</v>
      </c>
      <c r="L20" s="19" t="e">
        <f>IF(J20="","SEM #CH",VLOOKUP(J20,#REF!,3,0))</f>
        <v>#REF!</v>
      </c>
      <c r="M20" s="19" t="e">
        <f>IF(J20="","SEM #CH",VLOOKUP(J20,#REF!,4,0))</f>
        <v>#REF!</v>
      </c>
      <c r="N20" s="19" t="e">
        <f>IF(J20="","SEM #CH",VLOOKUP(J20,#REF!,5,0))</f>
        <v>#REF!</v>
      </c>
      <c r="O20" s="19" t="e">
        <f>IF(J20="","SEM #CH",VLOOKUP(J20,#REF!,6,0))</f>
        <v>#REF!</v>
      </c>
      <c r="P20" s="19" t="e">
        <f>IF(J20="","SEM #CH",VLOOKUP(J20,#REF!,7,0))</f>
        <v>#REF!</v>
      </c>
      <c r="Q20" s="77" t="str">
        <f>VLOOKUP(J20,'p1'!$B$2:$C$30,2,0)</f>
        <v>NÃO TEM CHAPA</v>
      </c>
      <c r="R20" s="94">
        <v>45751</v>
      </c>
      <c r="S20" s="90" t="s">
        <v>218</v>
      </c>
      <c r="T20" s="90">
        <f t="shared" si="3"/>
        <v>1</v>
      </c>
      <c r="U20" s="94">
        <v>45811</v>
      </c>
      <c r="V20" s="90" t="s">
        <v>991</v>
      </c>
      <c r="W20" s="92">
        <v>2364</v>
      </c>
      <c r="X20" s="93">
        <f t="shared" si="2"/>
        <v>1</v>
      </c>
      <c r="Y20" s="92"/>
      <c r="Z20" s="92"/>
      <c r="AA20" s="13" t="str">
        <f t="shared" si="4"/>
        <v>abr/2025</v>
      </c>
    </row>
    <row r="21" spans="1:27" x14ac:dyDescent="0.25">
      <c r="A21" s="89">
        <v>20</v>
      </c>
      <c r="B21" s="68">
        <v>45742</v>
      </c>
      <c r="C21" s="40">
        <v>3</v>
      </c>
      <c r="D21" s="40">
        <f t="shared" si="0"/>
        <v>1</v>
      </c>
      <c r="E21" s="41" t="s">
        <v>91</v>
      </c>
      <c r="F21" s="17" t="s">
        <v>58</v>
      </c>
      <c r="G21" s="17" t="s">
        <v>86</v>
      </c>
      <c r="H21" s="42" t="s">
        <v>253</v>
      </c>
      <c r="I21" s="17" t="str">
        <f t="shared" si="1"/>
        <v>PN-20</v>
      </c>
      <c r="J21" s="18" t="s">
        <v>85</v>
      </c>
      <c r="K21" s="19" t="e">
        <f>IF(J21="","SEM #CH",VLOOKUP(J21,#REF!,2,0))</f>
        <v>#REF!</v>
      </c>
      <c r="L21" s="19" t="e">
        <f>IF(J21="","SEM #CH",VLOOKUP(J21,#REF!,3,0))</f>
        <v>#REF!</v>
      </c>
      <c r="M21" s="19" t="e">
        <f>IF(J21="","SEM #CH",VLOOKUP(J21,#REF!,4,0))</f>
        <v>#REF!</v>
      </c>
      <c r="N21" s="19" t="e">
        <f>IF(J21="","SEM #CH",VLOOKUP(J21,#REF!,5,0))</f>
        <v>#REF!</v>
      </c>
      <c r="O21" s="19" t="e">
        <f>IF(J21="","SEM #CH",VLOOKUP(J21,#REF!,6,0))</f>
        <v>#REF!</v>
      </c>
      <c r="P21" s="19" t="e">
        <f>IF(J21="","SEM #CH",VLOOKUP(J21,#REF!,7,0))</f>
        <v>#REF!</v>
      </c>
      <c r="Q21" s="77" t="str">
        <f>VLOOKUP(J21,'p1'!$B$2:$C$30,2,0)</f>
        <v>NÃO TEM CHAPA</v>
      </c>
      <c r="R21" s="94">
        <v>45751</v>
      </c>
      <c r="S21" s="90" t="s">
        <v>218</v>
      </c>
      <c r="T21" s="90">
        <f t="shared" si="3"/>
        <v>1</v>
      </c>
      <c r="U21" s="94">
        <v>45811</v>
      </c>
      <c r="V21" s="90" t="s">
        <v>992</v>
      </c>
      <c r="W21" s="92">
        <v>2365</v>
      </c>
      <c r="X21" s="93">
        <f t="shared" si="2"/>
        <v>1</v>
      </c>
      <c r="Y21" s="92"/>
      <c r="Z21" s="92"/>
      <c r="AA21" s="13" t="str">
        <f t="shared" si="4"/>
        <v>abr/2025</v>
      </c>
    </row>
    <row r="22" spans="1:27" x14ac:dyDescent="0.25">
      <c r="A22" s="89">
        <v>21</v>
      </c>
      <c r="B22" s="68">
        <v>45742</v>
      </c>
      <c r="C22" s="40">
        <v>3</v>
      </c>
      <c r="D22" s="40">
        <f t="shared" si="0"/>
        <v>1</v>
      </c>
      <c r="E22" s="41" t="s">
        <v>91</v>
      </c>
      <c r="F22" s="17" t="s">
        <v>58</v>
      </c>
      <c r="G22" s="17" t="s">
        <v>86</v>
      </c>
      <c r="H22" s="42" t="s">
        <v>254</v>
      </c>
      <c r="I22" s="17" t="str">
        <f t="shared" si="1"/>
        <v>PN-21</v>
      </c>
      <c r="J22" s="18" t="s">
        <v>85</v>
      </c>
      <c r="K22" s="19" t="e">
        <f>IF(J22="","SEM #CH",VLOOKUP(J22,#REF!,2,0))</f>
        <v>#REF!</v>
      </c>
      <c r="L22" s="19" t="e">
        <f>IF(J22="","SEM #CH",VLOOKUP(J22,#REF!,3,0))</f>
        <v>#REF!</v>
      </c>
      <c r="M22" s="19" t="e">
        <f>IF(J22="","SEM #CH",VLOOKUP(J22,#REF!,4,0))</f>
        <v>#REF!</v>
      </c>
      <c r="N22" s="19" t="e">
        <f>IF(J22="","SEM #CH",VLOOKUP(J22,#REF!,5,0))</f>
        <v>#REF!</v>
      </c>
      <c r="O22" s="19" t="e">
        <f>IF(J22="","SEM #CH",VLOOKUP(J22,#REF!,6,0))</f>
        <v>#REF!</v>
      </c>
      <c r="P22" s="19" t="e">
        <f>IF(J22="","SEM #CH",VLOOKUP(J22,#REF!,7,0))</f>
        <v>#REF!</v>
      </c>
      <c r="Q22" s="77" t="str">
        <f>VLOOKUP(J22,'p1'!$B$2:$C$30,2,0)</f>
        <v>NÃO TEM CHAPA</v>
      </c>
      <c r="R22" s="94">
        <v>45749</v>
      </c>
      <c r="S22" s="90" t="s">
        <v>218</v>
      </c>
      <c r="T22" s="90">
        <f t="shared" si="3"/>
        <v>1</v>
      </c>
      <c r="U22" s="94">
        <v>45811</v>
      </c>
      <c r="V22" s="90" t="s">
        <v>992</v>
      </c>
      <c r="W22" s="92">
        <v>2365</v>
      </c>
      <c r="X22" s="93">
        <f t="shared" si="2"/>
        <v>1</v>
      </c>
      <c r="Y22" s="92"/>
      <c r="Z22" s="92"/>
      <c r="AA22" s="13" t="str">
        <f t="shared" si="4"/>
        <v>abr/2025</v>
      </c>
    </row>
    <row r="23" spans="1:27" x14ac:dyDescent="0.25">
      <c r="A23" s="89">
        <v>22</v>
      </c>
      <c r="B23" s="68">
        <v>45742</v>
      </c>
      <c r="C23" s="40">
        <v>3</v>
      </c>
      <c r="D23" s="40">
        <f t="shared" si="0"/>
        <v>1</v>
      </c>
      <c r="E23" s="41" t="s">
        <v>91</v>
      </c>
      <c r="F23" s="17" t="s">
        <v>58</v>
      </c>
      <c r="G23" s="17" t="s">
        <v>86</v>
      </c>
      <c r="H23" s="42" t="s">
        <v>255</v>
      </c>
      <c r="I23" s="17" t="str">
        <f t="shared" si="1"/>
        <v>PN-22</v>
      </c>
      <c r="J23" s="18" t="s">
        <v>85</v>
      </c>
      <c r="K23" s="19" t="e">
        <f>IF(J23="","SEM #CH",VLOOKUP(J23,#REF!,2,0))</f>
        <v>#REF!</v>
      </c>
      <c r="L23" s="19" t="e">
        <f>IF(J23="","SEM #CH",VLOOKUP(J23,#REF!,3,0))</f>
        <v>#REF!</v>
      </c>
      <c r="M23" s="19" t="e">
        <f>IF(J23="","SEM #CH",VLOOKUP(J23,#REF!,4,0))</f>
        <v>#REF!</v>
      </c>
      <c r="N23" s="19" t="e">
        <f>IF(J23="","SEM #CH",VLOOKUP(J23,#REF!,5,0))</f>
        <v>#REF!</v>
      </c>
      <c r="O23" s="19" t="e">
        <f>IF(J23="","SEM #CH",VLOOKUP(J23,#REF!,6,0))</f>
        <v>#REF!</v>
      </c>
      <c r="P23" s="19" t="e">
        <f>IF(J23="","SEM #CH",VLOOKUP(J23,#REF!,7,0))</f>
        <v>#REF!</v>
      </c>
      <c r="Q23" s="77" t="str">
        <f>VLOOKUP(J23,'p1'!$B$2:$C$30,2,0)</f>
        <v>NÃO TEM CHAPA</v>
      </c>
      <c r="R23" s="94">
        <v>45748</v>
      </c>
      <c r="S23" s="90" t="s">
        <v>218</v>
      </c>
      <c r="T23" s="90">
        <f t="shared" si="3"/>
        <v>1</v>
      </c>
      <c r="U23" s="94">
        <v>45811</v>
      </c>
      <c r="V23" s="90" t="s">
        <v>992</v>
      </c>
      <c r="W23" s="92">
        <v>2365</v>
      </c>
      <c r="X23" s="93">
        <f t="shared" si="2"/>
        <v>1</v>
      </c>
      <c r="Y23" s="92"/>
      <c r="Z23" s="92"/>
      <c r="AA23" s="13" t="str">
        <f t="shared" si="4"/>
        <v>abr/2025</v>
      </c>
    </row>
    <row r="24" spans="1:27" x14ac:dyDescent="0.25">
      <c r="A24" s="89">
        <v>23</v>
      </c>
      <c r="B24" s="68">
        <v>45742</v>
      </c>
      <c r="C24" s="40">
        <v>3</v>
      </c>
      <c r="D24" s="40">
        <f t="shared" si="0"/>
        <v>1</v>
      </c>
      <c r="E24" s="41" t="s">
        <v>91</v>
      </c>
      <c r="F24" s="17" t="s">
        <v>58</v>
      </c>
      <c r="G24" s="17" t="s">
        <v>86</v>
      </c>
      <c r="H24" s="42" t="s">
        <v>256</v>
      </c>
      <c r="I24" s="17" t="str">
        <f t="shared" si="1"/>
        <v>PN-23</v>
      </c>
      <c r="J24" s="18" t="s">
        <v>85</v>
      </c>
      <c r="K24" s="19" t="e">
        <f>IF(J24="","SEM #CH",VLOOKUP(J24,#REF!,2,0))</f>
        <v>#REF!</v>
      </c>
      <c r="L24" s="19" t="e">
        <f>IF(J24="","SEM #CH",VLOOKUP(J24,#REF!,3,0))</f>
        <v>#REF!</v>
      </c>
      <c r="M24" s="19" t="e">
        <f>IF(J24="","SEM #CH",VLOOKUP(J24,#REF!,4,0))</f>
        <v>#REF!</v>
      </c>
      <c r="N24" s="19" t="e">
        <f>IF(J24="","SEM #CH",VLOOKUP(J24,#REF!,5,0))</f>
        <v>#REF!</v>
      </c>
      <c r="O24" s="19" t="e">
        <f>IF(J24="","SEM #CH",VLOOKUP(J24,#REF!,6,0))</f>
        <v>#REF!</v>
      </c>
      <c r="P24" s="19" t="e">
        <f>IF(J24="","SEM #CH",VLOOKUP(J24,#REF!,7,0))</f>
        <v>#REF!</v>
      </c>
      <c r="Q24" s="77" t="str">
        <f>VLOOKUP(J24,'p1'!$B$2:$C$30,2,0)</f>
        <v>NÃO TEM CHAPA</v>
      </c>
      <c r="R24" s="94">
        <v>45748</v>
      </c>
      <c r="S24" s="90" t="s">
        <v>218</v>
      </c>
      <c r="T24" s="90">
        <f t="shared" si="3"/>
        <v>1</v>
      </c>
      <c r="U24" s="94">
        <v>45818</v>
      </c>
      <c r="V24" s="90" t="s">
        <v>86</v>
      </c>
      <c r="W24" s="92">
        <v>2374</v>
      </c>
      <c r="X24" s="93">
        <f t="shared" si="2"/>
        <v>1</v>
      </c>
      <c r="Y24" s="92"/>
      <c r="Z24" s="92"/>
      <c r="AA24" s="13" t="str">
        <f t="shared" si="4"/>
        <v>abr/2025</v>
      </c>
    </row>
    <row r="25" spans="1:27" x14ac:dyDescent="0.25">
      <c r="A25" s="89">
        <v>24</v>
      </c>
      <c r="B25" s="68">
        <v>45806</v>
      </c>
      <c r="C25" s="40">
        <v>31</v>
      </c>
      <c r="D25" s="40">
        <f t="shared" si="0"/>
        <v>1</v>
      </c>
      <c r="E25" s="41" t="s">
        <v>91</v>
      </c>
      <c r="F25" s="17" t="s">
        <v>60</v>
      </c>
      <c r="G25" s="17" t="s">
        <v>86</v>
      </c>
      <c r="H25" s="42" t="s">
        <v>257</v>
      </c>
      <c r="I25" s="17" t="str">
        <f t="shared" si="1"/>
        <v>PE-24</v>
      </c>
      <c r="J25" s="18" t="s">
        <v>90</v>
      </c>
      <c r="K25" s="19" t="e">
        <f>IF(J25="","SEM #CH",VLOOKUP(J25,#REF!,2,0))</f>
        <v>#REF!</v>
      </c>
      <c r="L25" s="19" t="e">
        <f>IF(J25="","SEM #CH",VLOOKUP(J25,#REF!,3,0))</f>
        <v>#REF!</v>
      </c>
      <c r="M25" s="19" t="e">
        <f>IF(J25="","SEM #CH",VLOOKUP(J25,#REF!,4,0))</f>
        <v>#REF!</v>
      </c>
      <c r="N25" s="19" t="e">
        <f>IF(J25="","SEM #CH",VLOOKUP(J25,#REF!,5,0))</f>
        <v>#REF!</v>
      </c>
      <c r="O25" s="19" t="e">
        <f>IF(J25="","SEM #CH",VLOOKUP(J25,#REF!,6,0))</f>
        <v>#REF!</v>
      </c>
      <c r="P25" s="19" t="e">
        <f>IF(J25="","SEM #CH",VLOOKUP(J25,#REF!,7,0))</f>
        <v>#REF!</v>
      </c>
      <c r="Q25" s="77" t="str">
        <f>VLOOKUP(J25,'p1'!$B$2:$C$30,2,0)</f>
        <v>#3/8-530X530</v>
      </c>
      <c r="R25" s="94">
        <v>45810</v>
      </c>
      <c r="S25" s="90" t="s">
        <v>217</v>
      </c>
      <c r="T25" s="90">
        <f t="shared" si="3"/>
        <v>1</v>
      </c>
      <c r="U25" s="94">
        <v>45854</v>
      </c>
      <c r="V25" s="90" t="s">
        <v>86</v>
      </c>
      <c r="W25" s="92">
        <v>2448</v>
      </c>
      <c r="X25" s="93">
        <f t="shared" si="2"/>
        <v>1</v>
      </c>
      <c r="Y25" s="92"/>
      <c r="Z25" s="92"/>
      <c r="AA25" s="13" t="str">
        <f t="shared" si="4"/>
        <v>jun/2025</v>
      </c>
    </row>
    <row r="26" spans="1:27" x14ac:dyDescent="0.25">
      <c r="A26" s="89">
        <v>25</v>
      </c>
      <c r="B26" s="68">
        <v>45742</v>
      </c>
      <c r="C26" s="40">
        <v>3</v>
      </c>
      <c r="D26" s="40">
        <f t="shared" si="0"/>
        <v>1</v>
      </c>
      <c r="E26" s="41" t="s">
        <v>91</v>
      </c>
      <c r="F26" s="17" t="s">
        <v>58</v>
      </c>
      <c r="G26" s="17" t="s">
        <v>86</v>
      </c>
      <c r="H26" s="42" t="s">
        <v>258</v>
      </c>
      <c r="I26" s="17" t="str">
        <f t="shared" si="1"/>
        <v>PN-25</v>
      </c>
      <c r="J26" s="18" t="s">
        <v>85</v>
      </c>
      <c r="K26" s="19" t="e">
        <f>IF(J26="","SEM #CH",VLOOKUP(J26,#REF!,2,0))</f>
        <v>#REF!</v>
      </c>
      <c r="L26" s="19" t="e">
        <f>IF(J26="","SEM #CH",VLOOKUP(J26,#REF!,3,0))</f>
        <v>#REF!</v>
      </c>
      <c r="M26" s="19" t="e">
        <f>IF(J26="","SEM #CH",VLOOKUP(J26,#REF!,4,0))</f>
        <v>#REF!</v>
      </c>
      <c r="N26" s="19" t="e">
        <f>IF(J26="","SEM #CH",VLOOKUP(J26,#REF!,5,0))</f>
        <v>#REF!</v>
      </c>
      <c r="O26" s="19" t="e">
        <f>IF(J26="","SEM #CH",VLOOKUP(J26,#REF!,6,0))</f>
        <v>#REF!</v>
      </c>
      <c r="P26" s="19" t="e">
        <f>IF(J26="","SEM #CH",VLOOKUP(J26,#REF!,7,0))</f>
        <v>#REF!</v>
      </c>
      <c r="Q26" s="77" t="str">
        <f>VLOOKUP(J26,'p1'!$B$2:$C$30,2,0)</f>
        <v>NÃO TEM CHAPA</v>
      </c>
      <c r="R26" s="94">
        <v>45745</v>
      </c>
      <c r="S26" s="90" t="s">
        <v>218</v>
      </c>
      <c r="T26" s="90">
        <f t="shared" si="3"/>
        <v>1</v>
      </c>
      <c r="U26" s="94">
        <v>45818</v>
      </c>
      <c r="V26" s="90" t="s">
        <v>86</v>
      </c>
      <c r="W26" s="92">
        <v>2374</v>
      </c>
      <c r="X26" s="93">
        <f t="shared" si="2"/>
        <v>1</v>
      </c>
      <c r="Y26" s="92"/>
      <c r="Z26" s="92"/>
      <c r="AA26" s="13" t="str">
        <f t="shared" si="4"/>
        <v>mar/2025</v>
      </c>
    </row>
    <row r="27" spans="1:27" x14ac:dyDescent="0.25">
      <c r="A27" s="89">
        <v>26</v>
      </c>
      <c r="B27" s="68">
        <v>45742</v>
      </c>
      <c r="C27" s="40">
        <v>3</v>
      </c>
      <c r="D27" s="40">
        <f t="shared" si="0"/>
        <v>1</v>
      </c>
      <c r="E27" s="41" t="s">
        <v>91</v>
      </c>
      <c r="F27" s="17" t="s">
        <v>58</v>
      </c>
      <c r="G27" s="17" t="s">
        <v>86</v>
      </c>
      <c r="H27" s="42" t="s">
        <v>259</v>
      </c>
      <c r="I27" s="17" t="str">
        <f t="shared" si="1"/>
        <v>PN-26</v>
      </c>
      <c r="J27" s="18" t="s">
        <v>85</v>
      </c>
      <c r="K27" s="19" t="e">
        <f>IF(J27="","SEM #CH",VLOOKUP(J27,#REF!,2,0))</f>
        <v>#REF!</v>
      </c>
      <c r="L27" s="19" t="e">
        <f>IF(J27="","SEM #CH",VLOOKUP(J27,#REF!,3,0))</f>
        <v>#REF!</v>
      </c>
      <c r="M27" s="19" t="e">
        <f>IF(J27="","SEM #CH",VLOOKUP(J27,#REF!,4,0))</f>
        <v>#REF!</v>
      </c>
      <c r="N27" s="19" t="e">
        <f>IF(J27="","SEM #CH",VLOOKUP(J27,#REF!,5,0))</f>
        <v>#REF!</v>
      </c>
      <c r="O27" s="19" t="e">
        <f>IF(J27="","SEM #CH",VLOOKUP(J27,#REF!,6,0))</f>
        <v>#REF!</v>
      </c>
      <c r="P27" s="19" t="e">
        <f>IF(J27="","SEM #CH",VLOOKUP(J27,#REF!,7,0))</f>
        <v>#REF!</v>
      </c>
      <c r="Q27" s="77" t="str">
        <f>VLOOKUP(J27,'p1'!$B$2:$C$30,2,0)</f>
        <v>NÃO TEM CHAPA</v>
      </c>
      <c r="R27" s="94">
        <v>45749</v>
      </c>
      <c r="S27" s="90" t="s">
        <v>218</v>
      </c>
      <c r="T27" s="90">
        <f t="shared" si="3"/>
        <v>1</v>
      </c>
      <c r="U27" s="94">
        <v>45818</v>
      </c>
      <c r="V27" s="90" t="s">
        <v>86</v>
      </c>
      <c r="W27" s="92">
        <v>2374</v>
      </c>
      <c r="X27" s="93">
        <f t="shared" si="2"/>
        <v>1</v>
      </c>
      <c r="Y27" s="92"/>
      <c r="Z27" s="92"/>
      <c r="AA27" s="13" t="str">
        <f t="shared" si="4"/>
        <v>abr/2025</v>
      </c>
    </row>
    <row r="28" spans="1:27" x14ac:dyDescent="0.25">
      <c r="A28" s="89">
        <v>27</v>
      </c>
      <c r="B28" s="68">
        <v>45743</v>
      </c>
      <c r="C28" s="40">
        <v>4</v>
      </c>
      <c r="D28" s="40">
        <f t="shared" si="0"/>
        <v>1</v>
      </c>
      <c r="E28" s="41" t="s">
        <v>91</v>
      </c>
      <c r="F28" s="17" t="s">
        <v>58</v>
      </c>
      <c r="G28" s="17" t="s">
        <v>86</v>
      </c>
      <c r="H28" s="42" t="s">
        <v>260</v>
      </c>
      <c r="I28" s="17" t="str">
        <f t="shared" si="1"/>
        <v>PN-27</v>
      </c>
      <c r="J28" s="18" t="s">
        <v>85</v>
      </c>
      <c r="K28" s="19" t="e">
        <f>IF(J28="","SEM #CH",VLOOKUP(J28,#REF!,2,0))</f>
        <v>#REF!</v>
      </c>
      <c r="L28" s="19" t="e">
        <f>IF(J28="","SEM #CH",VLOOKUP(J28,#REF!,3,0))</f>
        <v>#REF!</v>
      </c>
      <c r="M28" s="19" t="e">
        <f>IF(J28="","SEM #CH",VLOOKUP(J28,#REF!,4,0))</f>
        <v>#REF!</v>
      </c>
      <c r="N28" s="19" t="e">
        <f>IF(J28="","SEM #CH",VLOOKUP(J28,#REF!,5,0))</f>
        <v>#REF!</v>
      </c>
      <c r="O28" s="19" t="e">
        <f>IF(J28="","SEM #CH",VLOOKUP(J28,#REF!,6,0))</f>
        <v>#REF!</v>
      </c>
      <c r="P28" s="19" t="e">
        <f>IF(J28="","SEM #CH",VLOOKUP(J28,#REF!,7,0))</f>
        <v>#REF!</v>
      </c>
      <c r="Q28" s="77" t="str">
        <f>VLOOKUP(J28,'p1'!$B$2:$C$30,2,0)</f>
        <v>NÃO TEM CHAPA</v>
      </c>
      <c r="R28" s="94">
        <v>45910</v>
      </c>
      <c r="S28" s="90" t="s">
        <v>217</v>
      </c>
      <c r="T28" s="90">
        <f t="shared" si="3"/>
        <v>1</v>
      </c>
      <c r="U28" s="94">
        <v>45912</v>
      </c>
      <c r="V28" s="90" t="s">
        <v>86</v>
      </c>
      <c r="W28" s="92">
        <v>2520</v>
      </c>
      <c r="X28" s="93">
        <f t="shared" si="2"/>
        <v>1</v>
      </c>
      <c r="Y28" s="92"/>
      <c r="Z28" s="92"/>
      <c r="AA28" s="13" t="str">
        <f t="shared" si="4"/>
        <v>set/2025</v>
      </c>
    </row>
    <row r="29" spans="1:27" x14ac:dyDescent="0.25">
      <c r="A29" s="89">
        <v>28</v>
      </c>
      <c r="B29" s="68">
        <v>45743</v>
      </c>
      <c r="C29" s="40">
        <v>4</v>
      </c>
      <c r="D29" s="40">
        <f t="shared" si="0"/>
        <v>1</v>
      </c>
      <c r="E29" s="41" t="s">
        <v>91</v>
      </c>
      <c r="F29" s="17" t="s">
        <v>58</v>
      </c>
      <c r="G29" s="17" t="s">
        <v>86</v>
      </c>
      <c r="H29" s="42" t="s">
        <v>261</v>
      </c>
      <c r="I29" s="17" t="str">
        <f t="shared" si="1"/>
        <v>PN-28</v>
      </c>
      <c r="J29" s="18" t="s">
        <v>85</v>
      </c>
      <c r="K29" s="19" t="e">
        <f>IF(J29="","SEM #CH",VLOOKUP(J29,#REF!,2,0))</f>
        <v>#REF!</v>
      </c>
      <c r="L29" s="19" t="e">
        <f>IF(J29="","SEM #CH",VLOOKUP(J29,#REF!,3,0))</f>
        <v>#REF!</v>
      </c>
      <c r="M29" s="19" t="e">
        <f>IF(J29="","SEM #CH",VLOOKUP(J29,#REF!,4,0))</f>
        <v>#REF!</v>
      </c>
      <c r="N29" s="19" t="e">
        <f>IF(J29="","SEM #CH",VLOOKUP(J29,#REF!,5,0))</f>
        <v>#REF!</v>
      </c>
      <c r="O29" s="19" t="e">
        <f>IF(J29="","SEM #CH",VLOOKUP(J29,#REF!,6,0))</f>
        <v>#REF!</v>
      </c>
      <c r="P29" s="19" t="e">
        <f>IF(J29="","SEM #CH",VLOOKUP(J29,#REF!,7,0))</f>
        <v>#REF!</v>
      </c>
      <c r="Q29" s="77" t="str">
        <f>VLOOKUP(J29,'p1'!$B$2:$C$30,2,0)</f>
        <v>NÃO TEM CHAPA</v>
      </c>
      <c r="R29" s="94">
        <v>45752</v>
      </c>
      <c r="S29" s="90" t="s">
        <v>217</v>
      </c>
      <c r="T29" s="90">
        <f t="shared" si="3"/>
        <v>1</v>
      </c>
      <c r="U29" s="94">
        <v>45817</v>
      </c>
      <c r="V29" s="90" t="s">
        <v>86</v>
      </c>
      <c r="W29" s="92">
        <v>2371</v>
      </c>
      <c r="X29" s="93">
        <f t="shared" si="2"/>
        <v>1</v>
      </c>
      <c r="Y29" s="92"/>
      <c r="Z29" s="92"/>
      <c r="AA29" s="13" t="str">
        <f t="shared" si="4"/>
        <v>abr/2025</v>
      </c>
    </row>
    <row r="30" spans="1:27" x14ac:dyDescent="0.25">
      <c r="A30" s="89">
        <v>29</v>
      </c>
      <c r="B30" s="68">
        <v>45743</v>
      </c>
      <c r="C30" s="40">
        <v>4</v>
      </c>
      <c r="D30" s="40">
        <f t="shared" si="0"/>
        <v>1</v>
      </c>
      <c r="E30" s="41" t="s">
        <v>91</v>
      </c>
      <c r="F30" s="17" t="s">
        <v>58</v>
      </c>
      <c r="G30" s="17" t="s">
        <v>86</v>
      </c>
      <c r="H30" s="42" t="s">
        <v>262</v>
      </c>
      <c r="I30" s="17" t="str">
        <f t="shared" si="1"/>
        <v>PN-29</v>
      </c>
      <c r="J30" s="18" t="s">
        <v>85</v>
      </c>
      <c r="K30" s="19" t="e">
        <f>IF(J30="","SEM #CH",VLOOKUP(J30,#REF!,2,0))</f>
        <v>#REF!</v>
      </c>
      <c r="L30" s="19" t="e">
        <f>IF(J30="","SEM #CH",VLOOKUP(J30,#REF!,3,0))</f>
        <v>#REF!</v>
      </c>
      <c r="M30" s="19" t="e">
        <f>IF(J30="","SEM #CH",VLOOKUP(J30,#REF!,4,0))</f>
        <v>#REF!</v>
      </c>
      <c r="N30" s="19" t="e">
        <f>IF(J30="","SEM #CH",VLOOKUP(J30,#REF!,5,0))</f>
        <v>#REF!</v>
      </c>
      <c r="O30" s="19" t="e">
        <f>IF(J30="","SEM #CH",VLOOKUP(J30,#REF!,6,0))</f>
        <v>#REF!</v>
      </c>
      <c r="P30" s="19" t="e">
        <f>IF(J30="","SEM #CH",VLOOKUP(J30,#REF!,7,0))</f>
        <v>#REF!</v>
      </c>
      <c r="Q30" s="77" t="str">
        <f>VLOOKUP(J30,'p1'!$B$2:$C$30,2,0)</f>
        <v>NÃO TEM CHAPA</v>
      </c>
      <c r="R30" s="94">
        <v>45752</v>
      </c>
      <c r="S30" s="90" t="s">
        <v>217</v>
      </c>
      <c r="T30" s="90">
        <f t="shared" si="3"/>
        <v>1</v>
      </c>
      <c r="U30" s="94">
        <v>45854</v>
      </c>
      <c r="V30" s="90" t="s">
        <v>86</v>
      </c>
      <c r="W30" s="90">
        <v>2447</v>
      </c>
      <c r="X30" s="93">
        <f t="shared" si="2"/>
        <v>1</v>
      </c>
      <c r="Y30" s="92"/>
      <c r="Z30" s="92"/>
      <c r="AA30" s="13" t="str">
        <f t="shared" si="4"/>
        <v>abr/2025</v>
      </c>
    </row>
    <row r="31" spans="1:27" x14ac:dyDescent="0.25">
      <c r="A31" s="89">
        <v>30</v>
      </c>
      <c r="B31" s="68">
        <v>45743</v>
      </c>
      <c r="C31" s="40">
        <v>4</v>
      </c>
      <c r="D31" s="40">
        <f t="shared" si="0"/>
        <v>1</v>
      </c>
      <c r="E31" s="41" t="s">
        <v>91</v>
      </c>
      <c r="F31" s="17" t="s">
        <v>58</v>
      </c>
      <c r="G31" s="17" t="s">
        <v>86</v>
      </c>
      <c r="H31" s="42" t="s">
        <v>263</v>
      </c>
      <c r="I31" s="17" t="str">
        <f t="shared" si="1"/>
        <v>PN-30</v>
      </c>
      <c r="J31" s="18" t="s">
        <v>85</v>
      </c>
      <c r="K31" s="19" t="e">
        <f>IF(J31="","SEM #CH",VLOOKUP(J31,#REF!,2,0))</f>
        <v>#REF!</v>
      </c>
      <c r="L31" s="19" t="e">
        <f>IF(J31="","SEM #CH",VLOOKUP(J31,#REF!,3,0))</f>
        <v>#REF!</v>
      </c>
      <c r="M31" s="19" t="e">
        <f>IF(J31="","SEM #CH",VLOOKUP(J31,#REF!,4,0))</f>
        <v>#REF!</v>
      </c>
      <c r="N31" s="19" t="e">
        <f>IF(J31="","SEM #CH",VLOOKUP(J31,#REF!,5,0))</f>
        <v>#REF!</v>
      </c>
      <c r="O31" s="19" t="e">
        <f>IF(J31="","SEM #CH",VLOOKUP(J31,#REF!,6,0))</f>
        <v>#REF!</v>
      </c>
      <c r="P31" s="19" t="e">
        <f>IF(J31="","SEM #CH",VLOOKUP(J31,#REF!,7,0))</f>
        <v>#REF!</v>
      </c>
      <c r="Q31" s="77" t="str">
        <f>VLOOKUP(J31,'p1'!$B$2:$C$30,2,0)</f>
        <v>NÃO TEM CHAPA</v>
      </c>
      <c r="R31" s="94">
        <v>45750</v>
      </c>
      <c r="S31" s="90" t="s">
        <v>217</v>
      </c>
      <c r="T31" s="90">
        <f t="shared" si="3"/>
        <v>1</v>
      </c>
      <c r="U31" s="94">
        <v>45814</v>
      </c>
      <c r="V31" s="90" t="s">
        <v>86</v>
      </c>
      <c r="W31" s="92">
        <v>2369</v>
      </c>
      <c r="X31" s="93">
        <f t="shared" si="2"/>
        <v>1</v>
      </c>
      <c r="Y31" s="92"/>
      <c r="Z31" s="92"/>
      <c r="AA31" s="13" t="str">
        <f t="shared" si="4"/>
        <v>abr/2025</v>
      </c>
    </row>
    <row r="32" spans="1:27" x14ac:dyDescent="0.25">
      <c r="A32" s="89">
        <v>31</v>
      </c>
      <c r="B32" s="68">
        <v>45743</v>
      </c>
      <c r="C32" s="40">
        <v>4</v>
      </c>
      <c r="D32" s="40">
        <f t="shared" si="0"/>
        <v>1</v>
      </c>
      <c r="E32" s="41" t="s">
        <v>91</v>
      </c>
      <c r="F32" s="17" t="s">
        <v>58</v>
      </c>
      <c r="G32" s="17" t="s">
        <v>86</v>
      </c>
      <c r="H32" s="42" t="s">
        <v>264</v>
      </c>
      <c r="I32" s="17" t="str">
        <f t="shared" si="1"/>
        <v>PN-31</v>
      </c>
      <c r="J32" s="18" t="s">
        <v>85</v>
      </c>
      <c r="K32" s="19" t="e">
        <f>IF(J32="","SEM #CH",VLOOKUP(J32,#REF!,2,0))</f>
        <v>#REF!</v>
      </c>
      <c r="L32" s="19" t="e">
        <f>IF(J32="","SEM #CH",VLOOKUP(J32,#REF!,3,0))</f>
        <v>#REF!</v>
      </c>
      <c r="M32" s="19" t="e">
        <f>IF(J32="","SEM #CH",VLOOKUP(J32,#REF!,4,0))</f>
        <v>#REF!</v>
      </c>
      <c r="N32" s="19" t="e">
        <f>IF(J32="","SEM #CH",VLOOKUP(J32,#REF!,5,0))</f>
        <v>#REF!</v>
      </c>
      <c r="O32" s="19" t="e">
        <f>IF(J32="","SEM #CH",VLOOKUP(J32,#REF!,6,0))</f>
        <v>#REF!</v>
      </c>
      <c r="P32" s="19" t="e">
        <f>IF(J32="","SEM #CH",VLOOKUP(J32,#REF!,7,0))</f>
        <v>#REF!</v>
      </c>
      <c r="Q32" s="77" t="str">
        <f>VLOOKUP(J32,'p1'!$B$2:$C$30,2,0)</f>
        <v>NÃO TEM CHAPA</v>
      </c>
      <c r="R32" s="94">
        <v>45750</v>
      </c>
      <c r="S32" s="90" t="s">
        <v>217</v>
      </c>
      <c r="T32" s="90">
        <f t="shared" si="3"/>
        <v>1</v>
      </c>
      <c r="U32" s="94">
        <v>45814</v>
      </c>
      <c r="V32" s="90" t="s">
        <v>86</v>
      </c>
      <c r="W32" s="92">
        <v>2369</v>
      </c>
      <c r="X32" s="93">
        <f t="shared" si="2"/>
        <v>1</v>
      </c>
      <c r="Y32" s="92"/>
      <c r="Z32" s="92"/>
      <c r="AA32" s="13" t="str">
        <f t="shared" si="4"/>
        <v>abr/2025</v>
      </c>
    </row>
    <row r="33" spans="1:27" x14ac:dyDescent="0.25">
      <c r="A33" s="89">
        <v>32</v>
      </c>
      <c r="B33" s="68">
        <v>45800</v>
      </c>
      <c r="C33" s="40">
        <v>30</v>
      </c>
      <c r="D33" s="40">
        <f t="shared" si="0"/>
        <v>1</v>
      </c>
      <c r="E33" s="41" t="s">
        <v>91</v>
      </c>
      <c r="F33" s="17" t="s">
        <v>61</v>
      </c>
      <c r="G33" s="17" t="s">
        <v>86</v>
      </c>
      <c r="H33" s="42" t="s">
        <v>265</v>
      </c>
      <c r="I33" s="17" t="str">
        <f t="shared" si="1"/>
        <v>PF-32</v>
      </c>
      <c r="J33" s="18" t="s">
        <v>61</v>
      </c>
      <c r="K33" s="19" t="e">
        <f>IF(J33="","SEM #CH",VLOOKUP(J33,#REF!,2,0))</f>
        <v>#REF!</v>
      </c>
      <c r="L33" s="19" t="e">
        <f>IF(J33="","SEM #CH",VLOOKUP(J33,#REF!,3,0))</f>
        <v>#REF!</v>
      </c>
      <c r="M33" s="19" t="e">
        <f>IF(J33="","SEM #CH",VLOOKUP(J33,#REF!,4,0))</f>
        <v>#REF!</v>
      </c>
      <c r="N33" s="19" t="e">
        <f>IF(J33="","SEM #CH",VLOOKUP(J33,#REF!,5,0))</f>
        <v>#REF!</v>
      </c>
      <c r="O33" s="19" t="e">
        <f>IF(J33="","SEM #CH",VLOOKUP(J33,#REF!,6,0))</f>
        <v>#REF!</v>
      </c>
      <c r="P33" s="19" t="e">
        <f>IF(J33="","SEM #CH",VLOOKUP(J33,#REF!,7,0))</f>
        <v>#REF!</v>
      </c>
      <c r="Q33" s="77" t="str">
        <f>VLOOKUP(J33,'p1'!$B$2:$C$30,2,0)</f>
        <v>SEM CHAPA</v>
      </c>
      <c r="R33" s="94">
        <v>45804</v>
      </c>
      <c r="S33" s="90" t="s">
        <v>217</v>
      </c>
      <c r="T33" s="90">
        <f t="shared" si="3"/>
        <v>1</v>
      </c>
      <c r="U33" s="94">
        <v>45818</v>
      </c>
      <c r="V33" s="90" t="s">
        <v>86</v>
      </c>
      <c r="W33" s="92">
        <v>2375</v>
      </c>
      <c r="X33" s="93">
        <f t="shared" si="2"/>
        <v>1</v>
      </c>
      <c r="Y33" s="92"/>
      <c r="Z33" s="92"/>
      <c r="AA33" s="13" t="str">
        <f t="shared" si="4"/>
        <v>mai/2025</v>
      </c>
    </row>
    <row r="34" spans="1:27" x14ac:dyDescent="0.25">
      <c r="A34" s="89">
        <v>33</v>
      </c>
      <c r="B34" s="68">
        <v>45743</v>
      </c>
      <c r="C34" s="40">
        <v>4</v>
      </c>
      <c r="D34" s="40">
        <f t="shared" si="0"/>
        <v>1</v>
      </c>
      <c r="E34" s="41" t="s">
        <v>91</v>
      </c>
      <c r="F34" s="17" t="s">
        <v>58</v>
      </c>
      <c r="G34" s="17" t="s">
        <v>86</v>
      </c>
      <c r="H34" s="42" t="s">
        <v>266</v>
      </c>
      <c r="I34" s="17" t="str">
        <f t="shared" si="1"/>
        <v>PN-33</v>
      </c>
      <c r="J34" s="18" t="s">
        <v>85</v>
      </c>
      <c r="K34" s="19" t="e">
        <f>IF(J34="","SEM #CH",VLOOKUP(J34,#REF!,2,0))</f>
        <v>#REF!</v>
      </c>
      <c r="L34" s="19" t="e">
        <f>IF(J34="","SEM #CH",VLOOKUP(J34,#REF!,3,0))</f>
        <v>#REF!</v>
      </c>
      <c r="M34" s="19" t="e">
        <f>IF(J34="","SEM #CH",VLOOKUP(J34,#REF!,4,0))</f>
        <v>#REF!</v>
      </c>
      <c r="N34" s="19" t="e">
        <f>IF(J34="","SEM #CH",VLOOKUP(J34,#REF!,5,0))</f>
        <v>#REF!</v>
      </c>
      <c r="O34" s="19" t="e">
        <f>IF(J34="","SEM #CH",VLOOKUP(J34,#REF!,6,0))</f>
        <v>#REF!</v>
      </c>
      <c r="P34" s="19" t="e">
        <f>IF(J34="","SEM #CH",VLOOKUP(J34,#REF!,7,0))</f>
        <v>#REF!</v>
      </c>
      <c r="Q34" s="77" t="str">
        <f>VLOOKUP(J34,'p1'!$B$2:$C$30,2,0)</f>
        <v>NÃO TEM CHAPA</v>
      </c>
      <c r="R34" s="94">
        <v>45748</v>
      </c>
      <c r="S34" s="90" t="s">
        <v>217</v>
      </c>
      <c r="T34" s="90">
        <f t="shared" si="3"/>
        <v>1</v>
      </c>
      <c r="U34" s="94">
        <v>45814</v>
      </c>
      <c r="V34" s="90" t="s">
        <v>993</v>
      </c>
      <c r="W34" s="92">
        <v>2367</v>
      </c>
      <c r="X34" s="93">
        <f t="shared" si="2"/>
        <v>1</v>
      </c>
      <c r="Y34" s="92"/>
      <c r="Z34" s="92"/>
      <c r="AA34" s="13" t="str">
        <f t="shared" si="4"/>
        <v>abr/2025</v>
      </c>
    </row>
    <row r="35" spans="1:27" x14ac:dyDescent="0.25">
      <c r="A35" s="89">
        <v>34</v>
      </c>
      <c r="B35" s="68">
        <v>45743</v>
      </c>
      <c r="C35" s="40">
        <v>4</v>
      </c>
      <c r="D35" s="40">
        <f t="shared" si="0"/>
        <v>1</v>
      </c>
      <c r="E35" s="41" t="s">
        <v>91</v>
      </c>
      <c r="F35" s="17" t="s">
        <v>58</v>
      </c>
      <c r="G35" s="17" t="s">
        <v>86</v>
      </c>
      <c r="H35" s="42" t="s">
        <v>267</v>
      </c>
      <c r="I35" s="17" t="str">
        <f t="shared" si="1"/>
        <v>PN-34</v>
      </c>
      <c r="J35" s="18" t="s">
        <v>85</v>
      </c>
      <c r="K35" s="19" t="e">
        <f>IF(J35="","SEM #CH",VLOOKUP(J35,#REF!,2,0))</f>
        <v>#REF!</v>
      </c>
      <c r="L35" s="19" t="e">
        <f>IF(J35="","SEM #CH",VLOOKUP(J35,#REF!,3,0))</f>
        <v>#REF!</v>
      </c>
      <c r="M35" s="19" t="e">
        <f>IF(J35="","SEM #CH",VLOOKUP(J35,#REF!,4,0))</f>
        <v>#REF!</v>
      </c>
      <c r="N35" s="19" t="e">
        <f>IF(J35="","SEM #CH",VLOOKUP(J35,#REF!,5,0))</f>
        <v>#REF!</v>
      </c>
      <c r="O35" s="19" t="e">
        <f>IF(J35="","SEM #CH",VLOOKUP(J35,#REF!,6,0))</f>
        <v>#REF!</v>
      </c>
      <c r="P35" s="19" t="e">
        <f>IF(J35="","SEM #CH",VLOOKUP(J35,#REF!,7,0))</f>
        <v>#REF!</v>
      </c>
      <c r="Q35" s="77" t="str">
        <f>VLOOKUP(J35,'p1'!$B$2:$C$30,2,0)</f>
        <v>NÃO TEM CHAPA</v>
      </c>
      <c r="R35" s="94">
        <v>45748</v>
      </c>
      <c r="S35" s="90" t="s">
        <v>217</v>
      </c>
      <c r="T35" s="90">
        <f t="shared" si="3"/>
        <v>1</v>
      </c>
      <c r="U35" s="94">
        <v>45814</v>
      </c>
      <c r="V35" s="90" t="s">
        <v>993</v>
      </c>
      <c r="W35" s="92">
        <v>2367</v>
      </c>
      <c r="X35" s="93">
        <f t="shared" si="2"/>
        <v>1</v>
      </c>
      <c r="Y35" s="92"/>
      <c r="Z35" s="92"/>
      <c r="AA35" s="13" t="str">
        <f t="shared" si="4"/>
        <v>abr/2025</v>
      </c>
    </row>
    <row r="36" spans="1:27" x14ac:dyDescent="0.25">
      <c r="A36" s="89">
        <v>35</v>
      </c>
      <c r="B36" s="68">
        <v>45744</v>
      </c>
      <c r="C36" s="40">
        <v>5</v>
      </c>
      <c r="D36" s="40">
        <f t="shared" si="0"/>
        <v>1</v>
      </c>
      <c r="E36" s="41" t="s">
        <v>91</v>
      </c>
      <c r="F36" s="17" t="s">
        <v>58</v>
      </c>
      <c r="G36" s="17" t="s">
        <v>86</v>
      </c>
      <c r="H36" s="42" t="s">
        <v>268</v>
      </c>
      <c r="I36" s="17" t="str">
        <f t="shared" si="1"/>
        <v>PN-35</v>
      </c>
      <c r="J36" s="18" t="s">
        <v>85</v>
      </c>
      <c r="K36" s="19" t="e">
        <f>IF(J36="","SEM #CH",VLOOKUP(J36,#REF!,2,0))</f>
        <v>#REF!</v>
      </c>
      <c r="L36" s="19" t="e">
        <f>IF(J36="","SEM #CH",VLOOKUP(J36,#REF!,3,0))</f>
        <v>#REF!</v>
      </c>
      <c r="M36" s="19" t="e">
        <f>IF(J36="","SEM #CH",VLOOKUP(J36,#REF!,4,0))</f>
        <v>#REF!</v>
      </c>
      <c r="N36" s="19" t="e">
        <f>IF(J36="","SEM #CH",VLOOKUP(J36,#REF!,5,0))</f>
        <v>#REF!</v>
      </c>
      <c r="O36" s="19" t="e">
        <f>IF(J36="","SEM #CH",VLOOKUP(J36,#REF!,6,0))</f>
        <v>#REF!</v>
      </c>
      <c r="P36" s="19" t="e">
        <f>IF(J36="","SEM #CH",VLOOKUP(J36,#REF!,7,0))</f>
        <v>#REF!</v>
      </c>
      <c r="Q36" s="77" t="str">
        <f>VLOOKUP(J36,'p1'!$B$2:$C$30,2,0)</f>
        <v>NÃO TEM CHAPA</v>
      </c>
      <c r="R36" s="94">
        <v>45752</v>
      </c>
      <c r="S36" s="90" t="s">
        <v>218</v>
      </c>
      <c r="T36" s="90">
        <f t="shared" si="3"/>
        <v>1</v>
      </c>
      <c r="U36" s="94">
        <v>45828</v>
      </c>
      <c r="V36" s="90" t="s">
        <v>86</v>
      </c>
      <c r="W36" s="92">
        <v>2398</v>
      </c>
      <c r="X36" s="93">
        <f t="shared" si="2"/>
        <v>1</v>
      </c>
      <c r="Y36" s="92"/>
      <c r="Z36" s="92"/>
      <c r="AA36" s="13" t="str">
        <f t="shared" si="4"/>
        <v>abr/2025</v>
      </c>
    </row>
    <row r="37" spans="1:27" x14ac:dyDescent="0.25">
      <c r="A37" s="89">
        <v>36</v>
      </c>
      <c r="B37" s="68">
        <v>45744</v>
      </c>
      <c r="C37" s="40">
        <v>5</v>
      </c>
      <c r="D37" s="40">
        <f t="shared" si="0"/>
        <v>1</v>
      </c>
      <c r="E37" s="41" t="s">
        <v>91</v>
      </c>
      <c r="F37" s="17" t="s">
        <v>58</v>
      </c>
      <c r="G37" s="17" t="s">
        <v>86</v>
      </c>
      <c r="H37" s="42" t="s">
        <v>269</v>
      </c>
      <c r="I37" s="17" t="str">
        <f t="shared" si="1"/>
        <v>PN-36</v>
      </c>
      <c r="J37" s="18" t="s">
        <v>85</v>
      </c>
      <c r="K37" s="19" t="e">
        <f>IF(J37="","SEM #CH",VLOOKUP(J37,#REF!,2,0))</f>
        <v>#REF!</v>
      </c>
      <c r="L37" s="19" t="e">
        <f>IF(J37="","SEM #CH",VLOOKUP(J37,#REF!,3,0))</f>
        <v>#REF!</v>
      </c>
      <c r="M37" s="19" t="e">
        <f>IF(J37="","SEM #CH",VLOOKUP(J37,#REF!,4,0))</f>
        <v>#REF!</v>
      </c>
      <c r="N37" s="19" t="e">
        <f>IF(J37="","SEM #CH",VLOOKUP(J37,#REF!,5,0))</f>
        <v>#REF!</v>
      </c>
      <c r="O37" s="19" t="e">
        <f>IF(J37="","SEM #CH",VLOOKUP(J37,#REF!,6,0))</f>
        <v>#REF!</v>
      </c>
      <c r="P37" s="19" t="e">
        <f>IF(J37="","SEM #CH",VLOOKUP(J37,#REF!,7,0))</f>
        <v>#REF!</v>
      </c>
      <c r="Q37" s="77" t="str">
        <f>VLOOKUP(J37,'p1'!$B$2:$C$30,2,0)</f>
        <v>NÃO TEM CHAPA</v>
      </c>
      <c r="R37" s="94">
        <v>45752</v>
      </c>
      <c r="S37" s="90" t="s">
        <v>218</v>
      </c>
      <c r="T37" s="90">
        <f t="shared" si="3"/>
        <v>1</v>
      </c>
      <c r="U37" s="94">
        <v>45821</v>
      </c>
      <c r="V37" s="90" t="s">
        <v>86</v>
      </c>
      <c r="W37" s="92">
        <v>2384</v>
      </c>
      <c r="X37" s="93">
        <f t="shared" si="2"/>
        <v>1</v>
      </c>
      <c r="Y37" s="92"/>
      <c r="Z37" s="92"/>
      <c r="AA37" s="13" t="str">
        <f t="shared" si="4"/>
        <v>abr/2025</v>
      </c>
    </row>
    <row r="38" spans="1:27" x14ac:dyDescent="0.25">
      <c r="A38" s="89">
        <v>37</v>
      </c>
      <c r="B38" s="68">
        <v>45744</v>
      </c>
      <c r="C38" s="40">
        <v>5</v>
      </c>
      <c r="D38" s="40">
        <f t="shared" si="0"/>
        <v>1</v>
      </c>
      <c r="E38" s="41" t="s">
        <v>91</v>
      </c>
      <c r="F38" s="17" t="s">
        <v>58</v>
      </c>
      <c r="G38" s="17" t="s">
        <v>86</v>
      </c>
      <c r="H38" s="42" t="s">
        <v>270</v>
      </c>
      <c r="I38" s="17" t="str">
        <f t="shared" si="1"/>
        <v>PN-37</v>
      </c>
      <c r="J38" s="18" t="s">
        <v>85</v>
      </c>
      <c r="K38" s="19" t="e">
        <f>IF(J38="","SEM #CH",VLOOKUP(J38,#REF!,2,0))</f>
        <v>#REF!</v>
      </c>
      <c r="L38" s="19" t="e">
        <f>IF(J38="","SEM #CH",VLOOKUP(J38,#REF!,3,0))</f>
        <v>#REF!</v>
      </c>
      <c r="M38" s="19" t="e">
        <f>IF(J38="","SEM #CH",VLOOKUP(J38,#REF!,4,0))</f>
        <v>#REF!</v>
      </c>
      <c r="N38" s="19" t="e">
        <f>IF(J38="","SEM #CH",VLOOKUP(J38,#REF!,5,0))</f>
        <v>#REF!</v>
      </c>
      <c r="O38" s="19" t="e">
        <f>IF(J38="","SEM #CH",VLOOKUP(J38,#REF!,6,0))</f>
        <v>#REF!</v>
      </c>
      <c r="P38" s="19" t="e">
        <f>IF(J38="","SEM #CH",VLOOKUP(J38,#REF!,7,0))</f>
        <v>#REF!</v>
      </c>
      <c r="Q38" s="77" t="str">
        <f>VLOOKUP(J38,'p1'!$B$2:$C$30,2,0)</f>
        <v>NÃO TEM CHAPA</v>
      </c>
      <c r="R38" s="94">
        <v>45754</v>
      </c>
      <c r="S38" s="90" t="s">
        <v>218</v>
      </c>
      <c r="T38" s="90">
        <f t="shared" si="3"/>
        <v>1</v>
      </c>
      <c r="U38" s="94">
        <v>45820</v>
      </c>
      <c r="V38" s="90" t="s">
        <v>86</v>
      </c>
      <c r="W38" s="92">
        <v>2382</v>
      </c>
      <c r="X38" s="93">
        <f t="shared" si="2"/>
        <v>1</v>
      </c>
      <c r="Y38" s="92"/>
      <c r="Z38" s="92"/>
      <c r="AA38" s="13" t="str">
        <f t="shared" si="4"/>
        <v>abr/2025</v>
      </c>
    </row>
    <row r="39" spans="1:27" x14ac:dyDescent="0.25">
      <c r="A39" s="89">
        <v>38</v>
      </c>
      <c r="B39" s="68">
        <v>45744</v>
      </c>
      <c r="C39" s="40">
        <v>5</v>
      </c>
      <c r="D39" s="40">
        <f t="shared" si="0"/>
        <v>1</v>
      </c>
      <c r="E39" s="41" t="s">
        <v>91</v>
      </c>
      <c r="F39" s="17" t="s">
        <v>58</v>
      </c>
      <c r="G39" s="17" t="s">
        <v>86</v>
      </c>
      <c r="H39" s="42" t="s">
        <v>271</v>
      </c>
      <c r="I39" s="17" t="str">
        <f t="shared" si="1"/>
        <v>PN-38</v>
      </c>
      <c r="J39" s="18" t="s">
        <v>85</v>
      </c>
      <c r="K39" s="19" t="e">
        <f>IF(J39="","SEM #CH",VLOOKUP(J39,#REF!,2,0))</f>
        <v>#REF!</v>
      </c>
      <c r="L39" s="19" t="e">
        <f>IF(J39="","SEM #CH",VLOOKUP(J39,#REF!,3,0))</f>
        <v>#REF!</v>
      </c>
      <c r="M39" s="19" t="e">
        <f>IF(J39="","SEM #CH",VLOOKUP(J39,#REF!,4,0))</f>
        <v>#REF!</v>
      </c>
      <c r="N39" s="19" t="e">
        <f>IF(J39="","SEM #CH",VLOOKUP(J39,#REF!,5,0))</f>
        <v>#REF!</v>
      </c>
      <c r="O39" s="19" t="e">
        <f>IF(J39="","SEM #CH",VLOOKUP(J39,#REF!,6,0))</f>
        <v>#REF!</v>
      </c>
      <c r="P39" s="19" t="e">
        <f>IF(J39="","SEM #CH",VLOOKUP(J39,#REF!,7,0))</f>
        <v>#REF!</v>
      </c>
      <c r="Q39" s="77" t="str">
        <f>VLOOKUP(J39,'p1'!$B$2:$C$30,2,0)</f>
        <v>NÃO TEM CHAPA</v>
      </c>
      <c r="R39" s="94">
        <v>45754</v>
      </c>
      <c r="S39" s="90" t="s">
        <v>218</v>
      </c>
      <c r="T39" s="90">
        <f t="shared" si="3"/>
        <v>1</v>
      </c>
      <c r="U39" s="94">
        <v>45821</v>
      </c>
      <c r="V39" s="90" t="s">
        <v>86</v>
      </c>
      <c r="W39" s="92">
        <v>2384</v>
      </c>
      <c r="X39" s="93">
        <f t="shared" si="2"/>
        <v>1</v>
      </c>
      <c r="Y39" s="92"/>
      <c r="Z39" s="92"/>
      <c r="AA39" s="13" t="str">
        <f t="shared" si="4"/>
        <v>abr/2025</v>
      </c>
    </row>
    <row r="40" spans="1:27" x14ac:dyDescent="0.25">
      <c r="A40" s="89">
        <v>39</v>
      </c>
      <c r="B40" s="68">
        <v>45806</v>
      </c>
      <c r="C40" s="40">
        <v>31</v>
      </c>
      <c r="D40" s="40">
        <f t="shared" si="0"/>
        <v>1</v>
      </c>
      <c r="E40" s="41" t="s">
        <v>91</v>
      </c>
      <c r="F40" s="17" t="s">
        <v>60</v>
      </c>
      <c r="G40" s="17" t="s">
        <v>86</v>
      </c>
      <c r="H40" s="42" t="s">
        <v>272</v>
      </c>
      <c r="I40" s="17" t="str">
        <f t="shared" si="1"/>
        <v>PE-39</v>
      </c>
      <c r="J40" s="18" t="s">
        <v>88</v>
      </c>
      <c r="K40" s="19" t="e">
        <f>IF(J40="","SEM #CH",VLOOKUP(J40,#REF!,2,0))</f>
        <v>#REF!</v>
      </c>
      <c r="L40" s="19" t="e">
        <f>IF(J40="","SEM #CH",VLOOKUP(J40,#REF!,3,0))</f>
        <v>#REF!</v>
      </c>
      <c r="M40" s="19" t="e">
        <f>IF(J40="","SEM #CH",VLOOKUP(J40,#REF!,4,0))</f>
        <v>#REF!</v>
      </c>
      <c r="N40" s="19" t="e">
        <f>IF(J40="","SEM #CH",VLOOKUP(J40,#REF!,5,0))</f>
        <v>#REF!</v>
      </c>
      <c r="O40" s="19" t="e">
        <f>IF(J40="","SEM #CH",VLOOKUP(J40,#REF!,6,0))</f>
        <v>#REF!</v>
      </c>
      <c r="P40" s="19" t="e">
        <f>IF(J40="","SEM #CH",VLOOKUP(J40,#REF!,7,0))</f>
        <v>#REF!</v>
      </c>
      <c r="Q40" s="77" t="str">
        <f>VLOOKUP(J40,'p1'!$B$2:$C$30,2,0)</f>
        <v>#3/8-1315X1315</v>
      </c>
      <c r="R40" s="94">
        <v>45812</v>
      </c>
      <c r="S40" s="90" t="s">
        <v>217</v>
      </c>
      <c r="T40" s="90">
        <f t="shared" si="3"/>
        <v>1</v>
      </c>
      <c r="U40" s="94">
        <v>45814</v>
      </c>
      <c r="V40" s="90" t="s">
        <v>86</v>
      </c>
      <c r="W40" s="92">
        <v>2369</v>
      </c>
      <c r="X40" s="93">
        <f t="shared" si="2"/>
        <v>1</v>
      </c>
      <c r="Y40" s="92"/>
      <c r="Z40" s="92"/>
      <c r="AA40" s="13" t="str">
        <f t="shared" si="4"/>
        <v>jun/2025</v>
      </c>
    </row>
    <row r="41" spans="1:27" x14ac:dyDescent="0.25">
      <c r="A41" s="89">
        <v>40</v>
      </c>
      <c r="B41" s="68">
        <v>45744</v>
      </c>
      <c r="C41" s="40">
        <v>5</v>
      </c>
      <c r="D41" s="40">
        <f t="shared" si="0"/>
        <v>1</v>
      </c>
      <c r="E41" s="41" t="s">
        <v>91</v>
      </c>
      <c r="F41" s="17" t="s">
        <v>58</v>
      </c>
      <c r="G41" s="17" t="s">
        <v>86</v>
      </c>
      <c r="H41" s="42" t="s">
        <v>273</v>
      </c>
      <c r="I41" s="17" t="str">
        <f t="shared" si="1"/>
        <v>PN-40</v>
      </c>
      <c r="J41" s="18" t="s">
        <v>85</v>
      </c>
      <c r="K41" s="19" t="e">
        <f>IF(J41="","SEM #CH",VLOOKUP(J41,#REF!,2,0))</f>
        <v>#REF!</v>
      </c>
      <c r="L41" s="19" t="e">
        <f>IF(J41="","SEM #CH",VLOOKUP(J41,#REF!,3,0))</f>
        <v>#REF!</v>
      </c>
      <c r="M41" s="19" t="e">
        <f>IF(J41="","SEM #CH",VLOOKUP(J41,#REF!,4,0))</f>
        <v>#REF!</v>
      </c>
      <c r="N41" s="19" t="e">
        <f>IF(J41="","SEM #CH",VLOOKUP(J41,#REF!,5,0))</f>
        <v>#REF!</v>
      </c>
      <c r="O41" s="19" t="e">
        <f>IF(J41="","SEM #CH",VLOOKUP(J41,#REF!,6,0))</f>
        <v>#REF!</v>
      </c>
      <c r="P41" s="19" t="e">
        <f>IF(J41="","SEM #CH",VLOOKUP(J41,#REF!,7,0))</f>
        <v>#REF!</v>
      </c>
      <c r="Q41" s="77" t="str">
        <f>VLOOKUP(J41,'p1'!$B$2:$C$30,2,0)</f>
        <v>NÃO TEM CHAPA</v>
      </c>
      <c r="R41" s="94">
        <v>45758</v>
      </c>
      <c r="S41" s="90" t="s">
        <v>218</v>
      </c>
      <c r="T41" s="90">
        <f t="shared" si="3"/>
        <v>1</v>
      </c>
      <c r="U41" s="94">
        <v>45846</v>
      </c>
      <c r="V41" s="90" t="s">
        <v>1043</v>
      </c>
      <c r="W41" s="92">
        <v>2431</v>
      </c>
      <c r="X41" s="93">
        <f t="shared" si="2"/>
        <v>1</v>
      </c>
      <c r="Y41" s="92"/>
      <c r="Z41" s="92"/>
      <c r="AA41" s="13" t="str">
        <f t="shared" si="4"/>
        <v>abr/2025</v>
      </c>
    </row>
    <row r="42" spans="1:27" x14ac:dyDescent="0.25">
      <c r="A42" s="89">
        <v>41</v>
      </c>
      <c r="B42" s="68">
        <v>45744</v>
      </c>
      <c r="C42" s="40">
        <v>5</v>
      </c>
      <c r="D42" s="40">
        <f t="shared" si="0"/>
        <v>1</v>
      </c>
      <c r="E42" s="41" t="s">
        <v>91</v>
      </c>
      <c r="F42" s="17" t="s">
        <v>58</v>
      </c>
      <c r="G42" s="17" t="s">
        <v>86</v>
      </c>
      <c r="H42" s="42" t="s">
        <v>274</v>
      </c>
      <c r="I42" s="17" t="str">
        <f t="shared" si="1"/>
        <v>PN-41</v>
      </c>
      <c r="J42" s="18" t="s">
        <v>85</v>
      </c>
      <c r="K42" s="19" t="e">
        <f>IF(J42="","SEM #CH",VLOOKUP(J42,#REF!,2,0))</f>
        <v>#REF!</v>
      </c>
      <c r="L42" s="19" t="e">
        <f>IF(J42="","SEM #CH",VLOOKUP(J42,#REF!,3,0))</f>
        <v>#REF!</v>
      </c>
      <c r="M42" s="19" t="e">
        <f>IF(J42="","SEM #CH",VLOOKUP(J42,#REF!,4,0))</f>
        <v>#REF!</v>
      </c>
      <c r="N42" s="19" t="e">
        <f>IF(J42="","SEM #CH",VLOOKUP(J42,#REF!,5,0))</f>
        <v>#REF!</v>
      </c>
      <c r="O42" s="19" t="e">
        <f>IF(J42="","SEM #CH",VLOOKUP(J42,#REF!,6,0))</f>
        <v>#REF!</v>
      </c>
      <c r="P42" s="19" t="e">
        <f>IF(J42="","SEM #CH",VLOOKUP(J42,#REF!,7,0))</f>
        <v>#REF!</v>
      </c>
      <c r="Q42" s="77" t="str">
        <f>VLOOKUP(J42,'p1'!$B$2:$C$30,2,0)</f>
        <v>NÃO TEM CHAPA</v>
      </c>
      <c r="R42" s="94">
        <v>45756</v>
      </c>
      <c r="S42" s="90" t="s">
        <v>218</v>
      </c>
      <c r="T42" s="90">
        <f t="shared" si="3"/>
        <v>1</v>
      </c>
      <c r="U42" s="94">
        <v>45820</v>
      </c>
      <c r="V42" s="90" t="s">
        <v>86</v>
      </c>
      <c r="W42" s="92">
        <v>2382</v>
      </c>
      <c r="X42" s="93">
        <f t="shared" si="2"/>
        <v>1</v>
      </c>
      <c r="Y42" s="92"/>
      <c r="Z42" s="92"/>
      <c r="AA42" s="13" t="str">
        <f t="shared" si="4"/>
        <v>abr/2025</v>
      </c>
    </row>
    <row r="43" spans="1:27" x14ac:dyDescent="0.25">
      <c r="A43" s="89">
        <v>42</v>
      </c>
      <c r="B43" s="68">
        <v>45744</v>
      </c>
      <c r="C43" s="40">
        <v>5</v>
      </c>
      <c r="D43" s="40">
        <f t="shared" si="0"/>
        <v>1</v>
      </c>
      <c r="E43" s="41" t="s">
        <v>91</v>
      </c>
      <c r="F43" s="17" t="s">
        <v>58</v>
      </c>
      <c r="G43" s="17" t="s">
        <v>86</v>
      </c>
      <c r="H43" s="42" t="s">
        <v>275</v>
      </c>
      <c r="I43" s="17" t="str">
        <f t="shared" si="1"/>
        <v>PN-42</v>
      </c>
      <c r="J43" s="18" t="s">
        <v>85</v>
      </c>
      <c r="K43" s="19" t="e">
        <f>IF(J43="","SEM #CH",VLOOKUP(J43,#REF!,2,0))</f>
        <v>#REF!</v>
      </c>
      <c r="L43" s="19" t="e">
        <f>IF(J43="","SEM #CH",VLOOKUP(J43,#REF!,3,0))</f>
        <v>#REF!</v>
      </c>
      <c r="M43" s="19" t="e">
        <f>IF(J43="","SEM #CH",VLOOKUP(J43,#REF!,4,0))</f>
        <v>#REF!</v>
      </c>
      <c r="N43" s="19" t="e">
        <f>IF(J43="","SEM #CH",VLOOKUP(J43,#REF!,5,0))</f>
        <v>#REF!</v>
      </c>
      <c r="O43" s="19" t="e">
        <f>IF(J43="","SEM #CH",VLOOKUP(J43,#REF!,6,0))</f>
        <v>#REF!</v>
      </c>
      <c r="P43" s="19" t="e">
        <f>IF(J43="","SEM #CH",VLOOKUP(J43,#REF!,7,0))</f>
        <v>#REF!</v>
      </c>
      <c r="Q43" s="77" t="str">
        <f>VLOOKUP(J43,'p1'!$B$2:$C$30,2,0)</f>
        <v>NÃO TEM CHAPA</v>
      </c>
      <c r="R43" s="94">
        <v>45797</v>
      </c>
      <c r="S43" s="90" t="s">
        <v>218</v>
      </c>
      <c r="T43" s="90">
        <f t="shared" si="3"/>
        <v>1</v>
      </c>
      <c r="U43" s="94">
        <v>45833</v>
      </c>
      <c r="V43" s="90" t="s">
        <v>86</v>
      </c>
      <c r="W43" s="92">
        <v>2414</v>
      </c>
      <c r="X43" s="93">
        <f t="shared" si="2"/>
        <v>1</v>
      </c>
      <c r="Y43" s="92"/>
      <c r="Z43" s="92"/>
      <c r="AA43" s="13" t="str">
        <f t="shared" si="4"/>
        <v>mai/2025</v>
      </c>
    </row>
    <row r="44" spans="1:27" x14ac:dyDescent="0.25">
      <c r="A44" s="89">
        <v>43</v>
      </c>
      <c r="B44" s="68">
        <v>45747</v>
      </c>
      <c r="C44" s="40">
        <v>6</v>
      </c>
      <c r="D44" s="40">
        <f t="shared" si="0"/>
        <v>1</v>
      </c>
      <c r="E44" s="41" t="s">
        <v>91</v>
      </c>
      <c r="F44" s="17" t="s">
        <v>58</v>
      </c>
      <c r="G44" s="17" t="s">
        <v>86</v>
      </c>
      <c r="H44" s="42" t="s">
        <v>276</v>
      </c>
      <c r="I44" s="17" t="str">
        <f t="shared" si="1"/>
        <v>PN-43</v>
      </c>
      <c r="J44" s="18" t="s">
        <v>85</v>
      </c>
      <c r="K44" s="19" t="e">
        <f>IF(J44="","SEM #CH",VLOOKUP(J44,#REF!,2,0))</f>
        <v>#REF!</v>
      </c>
      <c r="L44" s="19" t="e">
        <f>IF(J44="","SEM #CH",VLOOKUP(J44,#REF!,3,0))</f>
        <v>#REF!</v>
      </c>
      <c r="M44" s="19" t="e">
        <f>IF(J44="","SEM #CH",VLOOKUP(J44,#REF!,4,0))</f>
        <v>#REF!</v>
      </c>
      <c r="N44" s="19" t="e">
        <f>IF(J44="","SEM #CH",VLOOKUP(J44,#REF!,5,0))</f>
        <v>#REF!</v>
      </c>
      <c r="O44" s="19" t="e">
        <f>IF(J44="","SEM #CH",VLOOKUP(J44,#REF!,6,0))</f>
        <v>#REF!</v>
      </c>
      <c r="P44" s="19" t="e">
        <f>IF(J44="","SEM #CH",VLOOKUP(J44,#REF!,7,0))</f>
        <v>#REF!</v>
      </c>
      <c r="Q44" s="77" t="str">
        <f>VLOOKUP(J44,'p1'!$B$2:$C$30,2,0)</f>
        <v>NÃO TEM CHAPA</v>
      </c>
      <c r="R44" s="94">
        <v>45901</v>
      </c>
      <c r="S44" s="90" t="s">
        <v>217</v>
      </c>
      <c r="T44" s="90">
        <f t="shared" si="3"/>
        <v>1</v>
      </c>
      <c r="U44" s="94">
        <v>45905</v>
      </c>
      <c r="V44" s="90" t="s">
        <v>1156</v>
      </c>
      <c r="W44" s="92">
        <v>2505</v>
      </c>
      <c r="X44" s="93">
        <f t="shared" si="2"/>
        <v>1</v>
      </c>
      <c r="Y44" s="92"/>
      <c r="Z44" s="92"/>
      <c r="AA44" s="13" t="str">
        <f t="shared" si="4"/>
        <v>set/2025</v>
      </c>
    </row>
    <row r="45" spans="1:27" x14ac:dyDescent="0.25">
      <c r="A45" s="89">
        <v>44</v>
      </c>
      <c r="B45" s="68">
        <v>45747</v>
      </c>
      <c r="C45" s="40">
        <v>6</v>
      </c>
      <c r="D45" s="40">
        <f t="shared" si="0"/>
        <v>1</v>
      </c>
      <c r="E45" s="41" t="s">
        <v>91</v>
      </c>
      <c r="F45" s="17" t="s">
        <v>58</v>
      </c>
      <c r="G45" s="17" t="s">
        <v>86</v>
      </c>
      <c r="H45" s="42" t="s">
        <v>277</v>
      </c>
      <c r="I45" s="17" t="str">
        <f t="shared" si="1"/>
        <v>PN-44</v>
      </c>
      <c r="J45" s="18" t="s">
        <v>85</v>
      </c>
      <c r="K45" s="19" t="e">
        <f>IF(J45="","SEM #CH",VLOOKUP(J45,#REF!,2,0))</f>
        <v>#REF!</v>
      </c>
      <c r="L45" s="19" t="e">
        <f>IF(J45="","SEM #CH",VLOOKUP(J45,#REF!,3,0))</f>
        <v>#REF!</v>
      </c>
      <c r="M45" s="19" t="e">
        <f>IF(J45="","SEM #CH",VLOOKUP(J45,#REF!,4,0))</f>
        <v>#REF!</v>
      </c>
      <c r="N45" s="19" t="e">
        <f>IF(J45="","SEM #CH",VLOOKUP(J45,#REF!,5,0))</f>
        <v>#REF!</v>
      </c>
      <c r="O45" s="19" t="e">
        <f>IF(J45="","SEM #CH",VLOOKUP(J45,#REF!,6,0))</f>
        <v>#REF!</v>
      </c>
      <c r="P45" s="19" t="e">
        <f>IF(J45="","SEM #CH",VLOOKUP(J45,#REF!,7,0))</f>
        <v>#REF!</v>
      </c>
      <c r="Q45" s="77" t="str">
        <f>VLOOKUP(J45,'p1'!$B$2:$C$30,2,0)</f>
        <v>NÃO TEM CHAPA</v>
      </c>
      <c r="R45" s="94">
        <v>45854</v>
      </c>
      <c r="S45" s="90" t="s">
        <v>217</v>
      </c>
      <c r="T45" s="90">
        <f t="shared" si="3"/>
        <v>1</v>
      </c>
      <c r="U45" s="94">
        <v>45854</v>
      </c>
      <c r="V45" s="90" t="s">
        <v>86</v>
      </c>
      <c r="W45" s="90">
        <v>2447</v>
      </c>
      <c r="X45" s="93">
        <f t="shared" si="2"/>
        <v>1</v>
      </c>
      <c r="Y45" s="92"/>
      <c r="Z45" s="92"/>
      <c r="AA45" s="13" t="str">
        <f t="shared" si="4"/>
        <v>jul/2025</v>
      </c>
    </row>
    <row r="46" spans="1:27" x14ac:dyDescent="0.25">
      <c r="A46" s="89">
        <v>45</v>
      </c>
      <c r="B46" s="68">
        <v>45747</v>
      </c>
      <c r="C46" s="40">
        <v>6</v>
      </c>
      <c r="D46" s="40">
        <f t="shared" si="0"/>
        <v>1</v>
      </c>
      <c r="E46" s="41" t="s">
        <v>91</v>
      </c>
      <c r="F46" s="17" t="s">
        <v>58</v>
      </c>
      <c r="G46" s="17" t="s">
        <v>86</v>
      </c>
      <c r="H46" s="42" t="s">
        <v>278</v>
      </c>
      <c r="I46" s="17" t="str">
        <f t="shared" si="1"/>
        <v>PN-45</v>
      </c>
      <c r="J46" s="18" t="s">
        <v>85</v>
      </c>
      <c r="K46" s="19" t="e">
        <f>IF(J46="","SEM #CH",VLOOKUP(J46,#REF!,2,0))</f>
        <v>#REF!</v>
      </c>
      <c r="L46" s="19" t="e">
        <f>IF(J46="","SEM #CH",VLOOKUP(J46,#REF!,3,0))</f>
        <v>#REF!</v>
      </c>
      <c r="M46" s="19" t="e">
        <f>IF(J46="","SEM #CH",VLOOKUP(J46,#REF!,4,0))</f>
        <v>#REF!</v>
      </c>
      <c r="N46" s="19" t="e">
        <f>IF(J46="","SEM #CH",VLOOKUP(J46,#REF!,5,0))</f>
        <v>#REF!</v>
      </c>
      <c r="O46" s="19" t="e">
        <f>IF(J46="","SEM #CH",VLOOKUP(J46,#REF!,6,0))</f>
        <v>#REF!</v>
      </c>
      <c r="P46" s="19" t="e">
        <f>IF(J46="","SEM #CH",VLOOKUP(J46,#REF!,7,0))</f>
        <v>#REF!</v>
      </c>
      <c r="Q46" s="77" t="str">
        <f>VLOOKUP(J46,'p1'!$B$2:$C$30,2,0)</f>
        <v>NÃO TEM CHAPA</v>
      </c>
      <c r="R46" s="94">
        <v>45764</v>
      </c>
      <c r="S46" s="90" t="s">
        <v>217</v>
      </c>
      <c r="T46" s="90">
        <f t="shared" si="3"/>
        <v>1</v>
      </c>
      <c r="U46" s="94">
        <v>45856</v>
      </c>
      <c r="V46" s="90" t="s">
        <v>86</v>
      </c>
      <c r="W46" s="92">
        <v>2452</v>
      </c>
      <c r="X46" s="93">
        <f t="shared" si="2"/>
        <v>1</v>
      </c>
      <c r="Y46" s="92"/>
      <c r="Z46" s="92"/>
      <c r="AA46" s="13" t="str">
        <f t="shared" si="4"/>
        <v>abr/2025</v>
      </c>
    </row>
    <row r="47" spans="1:27" x14ac:dyDescent="0.25">
      <c r="A47" s="89">
        <v>46</v>
      </c>
      <c r="B47" s="68">
        <v>45747</v>
      </c>
      <c r="C47" s="40">
        <v>6</v>
      </c>
      <c r="D47" s="40">
        <f t="shared" si="0"/>
        <v>1</v>
      </c>
      <c r="E47" s="41" t="s">
        <v>91</v>
      </c>
      <c r="F47" s="17" t="s">
        <v>58</v>
      </c>
      <c r="G47" s="17" t="s">
        <v>86</v>
      </c>
      <c r="H47" s="42" t="s">
        <v>279</v>
      </c>
      <c r="I47" s="17" t="str">
        <f t="shared" si="1"/>
        <v>PN-46</v>
      </c>
      <c r="J47" s="18" t="s">
        <v>85</v>
      </c>
      <c r="K47" s="19" t="e">
        <f>IF(J47="","SEM #CH",VLOOKUP(J47,#REF!,2,0))</f>
        <v>#REF!</v>
      </c>
      <c r="L47" s="19" t="e">
        <f>IF(J47="","SEM #CH",VLOOKUP(J47,#REF!,3,0))</f>
        <v>#REF!</v>
      </c>
      <c r="M47" s="19" t="e">
        <f>IF(J47="","SEM #CH",VLOOKUP(J47,#REF!,4,0))</f>
        <v>#REF!</v>
      </c>
      <c r="N47" s="19" t="e">
        <f>IF(J47="","SEM #CH",VLOOKUP(J47,#REF!,5,0))</f>
        <v>#REF!</v>
      </c>
      <c r="O47" s="19" t="e">
        <f>IF(J47="","SEM #CH",VLOOKUP(J47,#REF!,6,0))</f>
        <v>#REF!</v>
      </c>
      <c r="P47" s="19" t="e">
        <f>IF(J47="","SEM #CH",VLOOKUP(J47,#REF!,7,0))</f>
        <v>#REF!</v>
      </c>
      <c r="Q47" s="77" t="str">
        <f>VLOOKUP(J47,'p1'!$B$2:$C$30,2,0)</f>
        <v>NÃO TEM CHAPA</v>
      </c>
      <c r="R47" s="94">
        <v>45758</v>
      </c>
      <c r="S47" s="90" t="s">
        <v>217</v>
      </c>
      <c r="T47" s="90">
        <f t="shared" si="3"/>
        <v>1</v>
      </c>
      <c r="U47" s="94">
        <v>45817</v>
      </c>
      <c r="V47" s="90" t="s">
        <v>86</v>
      </c>
      <c r="W47" s="92">
        <v>2370</v>
      </c>
      <c r="X47" s="93">
        <f t="shared" si="2"/>
        <v>1</v>
      </c>
      <c r="Y47" s="92"/>
      <c r="Z47" s="92"/>
      <c r="AA47" s="13" t="str">
        <f t="shared" si="4"/>
        <v>abr/2025</v>
      </c>
    </row>
    <row r="48" spans="1:27" x14ac:dyDescent="0.25">
      <c r="A48" s="89">
        <v>47</v>
      </c>
      <c r="B48" s="68">
        <v>45747</v>
      </c>
      <c r="C48" s="40">
        <v>6</v>
      </c>
      <c r="D48" s="40">
        <f t="shared" si="0"/>
        <v>1</v>
      </c>
      <c r="E48" s="41" t="s">
        <v>91</v>
      </c>
      <c r="F48" s="17" t="s">
        <v>58</v>
      </c>
      <c r="G48" s="17" t="s">
        <v>86</v>
      </c>
      <c r="H48" s="42" t="s">
        <v>280</v>
      </c>
      <c r="I48" s="17" t="str">
        <f t="shared" si="1"/>
        <v>PN-47</v>
      </c>
      <c r="J48" s="18" t="s">
        <v>85</v>
      </c>
      <c r="K48" s="19" t="e">
        <f>IF(J48="","SEM #CH",VLOOKUP(J48,#REF!,2,0))</f>
        <v>#REF!</v>
      </c>
      <c r="L48" s="19" t="e">
        <f>IF(J48="","SEM #CH",VLOOKUP(J48,#REF!,3,0))</f>
        <v>#REF!</v>
      </c>
      <c r="M48" s="19" t="e">
        <f>IF(J48="","SEM #CH",VLOOKUP(J48,#REF!,4,0))</f>
        <v>#REF!</v>
      </c>
      <c r="N48" s="19" t="e">
        <f>IF(J48="","SEM #CH",VLOOKUP(J48,#REF!,5,0))</f>
        <v>#REF!</v>
      </c>
      <c r="O48" s="19" t="e">
        <f>IF(J48="","SEM #CH",VLOOKUP(J48,#REF!,6,0))</f>
        <v>#REF!</v>
      </c>
      <c r="P48" s="19" t="e">
        <f>IF(J48="","SEM #CH",VLOOKUP(J48,#REF!,7,0))</f>
        <v>#REF!</v>
      </c>
      <c r="Q48" s="77" t="str">
        <f>VLOOKUP(J48,'p1'!$B$2:$C$30,2,0)</f>
        <v>NÃO TEM CHAPA</v>
      </c>
      <c r="R48" s="94">
        <v>45758</v>
      </c>
      <c r="S48" s="90" t="s">
        <v>217</v>
      </c>
      <c r="T48" s="90">
        <f t="shared" si="3"/>
        <v>1</v>
      </c>
      <c r="U48" s="94">
        <v>45818</v>
      </c>
      <c r="V48" s="90" t="s">
        <v>86</v>
      </c>
      <c r="W48" s="92">
        <v>2375</v>
      </c>
      <c r="X48" s="93">
        <f t="shared" si="2"/>
        <v>1</v>
      </c>
      <c r="Y48" s="92"/>
      <c r="Z48" s="92"/>
      <c r="AA48" s="13" t="str">
        <f t="shared" si="4"/>
        <v>abr/2025</v>
      </c>
    </row>
    <row r="49" spans="1:27" x14ac:dyDescent="0.25">
      <c r="A49" s="89">
        <v>48</v>
      </c>
      <c r="B49" s="68">
        <v>45747</v>
      </c>
      <c r="C49" s="40">
        <v>6</v>
      </c>
      <c r="D49" s="40">
        <f t="shared" si="0"/>
        <v>1</v>
      </c>
      <c r="E49" s="41" t="s">
        <v>91</v>
      </c>
      <c r="F49" s="17" t="s">
        <v>58</v>
      </c>
      <c r="G49" s="17" t="s">
        <v>86</v>
      </c>
      <c r="H49" s="42" t="s">
        <v>281</v>
      </c>
      <c r="I49" s="17" t="str">
        <f t="shared" si="1"/>
        <v>PN-48</v>
      </c>
      <c r="J49" s="18" t="s">
        <v>85</v>
      </c>
      <c r="K49" s="19" t="e">
        <f>IF(J49="","SEM #CH",VLOOKUP(J49,#REF!,2,0))</f>
        <v>#REF!</v>
      </c>
      <c r="L49" s="19" t="e">
        <f>IF(J49="","SEM #CH",VLOOKUP(J49,#REF!,3,0))</f>
        <v>#REF!</v>
      </c>
      <c r="M49" s="19" t="e">
        <f>IF(J49="","SEM #CH",VLOOKUP(J49,#REF!,4,0))</f>
        <v>#REF!</v>
      </c>
      <c r="N49" s="19" t="e">
        <f>IF(J49="","SEM #CH",VLOOKUP(J49,#REF!,5,0))</f>
        <v>#REF!</v>
      </c>
      <c r="O49" s="19" t="e">
        <f>IF(J49="","SEM #CH",VLOOKUP(J49,#REF!,6,0))</f>
        <v>#REF!</v>
      </c>
      <c r="P49" s="19" t="e">
        <f>IF(J49="","SEM #CH",VLOOKUP(J49,#REF!,7,0))</f>
        <v>#REF!</v>
      </c>
      <c r="Q49" s="77" t="str">
        <f>VLOOKUP(J49,'p1'!$B$2:$C$30,2,0)</f>
        <v>NÃO TEM CHAPA</v>
      </c>
      <c r="R49" s="94">
        <v>45756</v>
      </c>
      <c r="S49" s="90" t="s">
        <v>217</v>
      </c>
      <c r="T49" s="90">
        <f t="shared" si="3"/>
        <v>1</v>
      </c>
      <c r="U49" s="94">
        <v>45817</v>
      </c>
      <c r="V49" s="90" t="s">
        <v>86</v>
      </c>
      <c r="W49" s="92">
        <v>2370</v>
      </c>
      <c r="X49" s="93">
        <f t="shared" si="2"/>
        <v>1</v>
      </c>
      <c r="Y49" s="92"/>
      <c r="Z49" s="92"/>
      <c r="AA49" s="13" t="str">
        <f t="shared" si="4"/>
        <v>abr/2025</v>
      </c>
    </row>
    <row r="50" spans="1:27" x14ac:dyDescent="0.25">
      <c r="A50" s="89">
        <v>49</v>
      </c>
      <c r="B50" s="68">
        <v>45747</v>
      </c>
      <c r="C50" s="40">
        <v>6</v>
      </c>
      <c r="D50" s="40">
        <f t="shared" si="0"/>
        <v>1</v>
      </c>
      <c r="E50" s="41" t="s">
        <v>91</v>
      </c>
      <c r="F50" s="17" t="s">
        <v>58</v>
      </c>
      <c r="G50" s="17" t="s">
        <v>86</v>
      </c>
      <c r="H50" s="42" t="s">
        <v>282</v>
      </c>
      <c r="I50" s="17" t="str">
        <f t="shared" si="1"/>
        <v>PN-49</v>
      </c>
      <c r="J50" s="18" t="s">
        <v>85</v>
      </c>
      <c r="K50" s="19" t="e">
        <f>IF(J50="","SEM #CH",VLOOKUP(J50,#REF!,2,0))</f>
        <v>#REF!</v>
      </c>
      <c r="L50" s="19" t="e">
        <f>IF(J50="","SEM #CH",VLOOKUP(J50,#REF!,3,0))</f>
        <v>#REF!</v>
      </c>
      <c r="M50" s="19" t="e">
        <f>IF(J50="","SEM #CH",VLOOKUP(J50,#REF!,4,0))</f>
        <v>#REF!</v>
      </c>
      <c r="N50" s="19" t="e">
        <f>IF(J50="","SEM #CH",VLOOKUP(J50,#REF!,5,0))</f>
        <v>#REF!</v>
      </c>
      <c r="O50" s="19" t="e">
        <f>IF(J50="","SEM #CH",VLOOKUP(J50,#REF!,6,0))</f>
        <v>#REF!</v>
      </c>
      <c r="P50" s="19" t="e">
        <f>IF(J50="","SEM #CH",VLOOKUP(J50,#REF!,7,0))</f>
        <v>#REF!</v>
      </c>
      <c r="Q50" s="77" t="str">
        <f>VLOOKUP(J50,'p1'!$B$2:$C$30,2,0)</f>
        <v>NÃO TEM CHAPA</v>
      </c>
      <c r="R50" s="94">
        <v>45756</v>
      </c>
      <c r="S50" s="90" t="s">
        <v>217</v>
      </c>
      <c r="T50" s="90">
        <f t="shared" si="3"/>
        <v>1</v>
      </c>
      <c r="U50" s="94">
        <v>45817</v>
      </c>
      <c r="V50" s="90" t="s">
        <v>86</v>
      </c>
      <c r="W50" s="92">
        <v>2371</v>
      </c>
      <c r="X50" s="93">
        <f t="shared" si="2"/>
        <v>1</v>
      </c>
      <c r="Y50" s="92"/>
      <c r="Z50" s="92"/>
      <c r="AA50" s="13" t="str">
        <f t="shared" si="4"/>
        <v>abr/2025</v>
      </c>
    </row>
    <row r="51" spans="1:27" x14ac:dyDescent="0.25">
      <c r="A51" s="89">
        <v>50</v>
      </c>
      <c r="B51" s="68">
        <v>45749</v>
      </c>
      <c r="C51" s="40">
        <v>7</v>
      </c>
      <c r="D51" s="40">
        <f t="shared" si="0"/>
        <v>1</v>
      </c>
      <c r="E51" s="41" t="s">
        <v>91</v>
      </c>
      <c r="F51" s="17" t="s">
        <v>58</v>
      </c>
      <c r="G51" s="17" t="s">
        <v>86</v>
      </c>
      <c r="H51" s="42" t="s">
        <v>283</v>
      </c>
      <c r="I51" s="17" t="str">
        <f t="shared" si="1"/>
        <v>PN-50</v>
      </c>
      <c r="J51" s="18" t="s">
        <v>85</v>
      </c>
      <c r="K51" s="19" t="e">
        <f>IF(J51="","SEM #CH",VLOOKUP(J51,#REF!,2,0))</f>
        <v>#REF!</v>
      </c>
      <c r="L51" s="19" t="e">
        <f>IF(J51="","SEM #CH",VLOOKUP(J51,#REF!,3,0))</f>
        <v>#REF!</v>
      </c>
      <c r="M51" s="19" t="e">
        <f>IF(J51="","SEM #CH",VLOOKUP(J51,#REF!,4,0))</f>
        <v>#REF!</v>
      </c>
      <c r="N51" s="19" t="e">
        <f>IF(J51="","SEM #CH",VLOOKUP(J51,#REF!,5,0))</f>
        <v>#REF!</v>
      </c>
      <c r="O51" s="19" t="e">
        <f>IF(J51="","SEM #CH",VLOOKUP(J51,#REF!,6,0))</f>
        <v>#REF!</v>
      </c>
      <c r="P51" s="19" t="e">
        <f>IF(J51="","SEM #CH",VLOOKUP(J51,#REF!,7,0))</f>
        <v>#REF!</v>
      </c>
      <c r="Q51" s="77" t="str">
        <f>VLOOKUP(J51,'p1'!$B$2:$C$30,2,0)</f>
        <v>NÃO TEM CHAPA</v>
      </c>
      <c r="R51" s="94">
        <v>45762</v>
      </c>
      <c r="S51" s="90" t="s">
        <v>218</v>
      </c>
      <c r="T51" s="90">
        <f t="shared" si="3"/>
        <v>1</v>
      </c>
      <c r="U51" s="94">
        <v>45819</v>
      </c>
      <c r="V51" s="90" t="s">
        <v>86</v>
      </c>
      <c r="W51" s="92">
        <v>2379</v>
      </c>
      <c r="X51" s="93">
        <f t="shared" si="2"/>
        <v>1</v>
      </c>
      <c r="Y51" s="92"/>
      <c r="Z51" s="92"/>
      <c r="AA51" s="13" t="str">
        <f t="shared" si="4"/>
        <v>abr/2025</v>
      </c>
    </row>
    <row r="52" spans="1:27" x14ac:dyDescent="0.25">
      <c r="A52" s="89">
        <v>51</v>
      </c>
      <c r="B52" s="68">
        <v>45749</v>
      </c>
      <c r="C52" s="40">
        <v>7</v>
      </c>
      <c r="D52" s="40">
        <f t="shared" si="0"/>
        <v>1</v>
      </c>
      <c r="E52" s="41" t="s">
        <v>91</v>
      </c>
      <c r="F52" s="17" t="s">
        <v>58</v>
      </c>
      <c r="G52" s="17" t="s">
        <v>86</v>
      </c>
      <c r="H52" s="42" t="s">
        <v>284</v>
      </c>
      <c r="I52" s="17" t="str">
        <f t="shared" si="1"/>
        <v>PN-51</v>
      </c>
      <c r="J52" s="18" t="s">
        <v>85</v>
      </c>
      <c r="K52" s="19" t="e">
        <f>IF(J52="","SEM #CH",VLOOKUP(J52,#REF!,2,0))</f>
        <v>#REF!</v>
      </c>
      <c r="L52" s="19" t="e">
        <f>IF(J52="","SEM #CH",VLOOKUP(J52,#REF!,3,0))</f>
        <v>#REF!</v>
      </c>
      <c r="M52" s="19" t="e">
        <f>IF(J52="","SEM #CH",VLOOKUP(J52,#REF!,4,0))</f>
        <v>#REF!</v>
      </c>
      <c r="N52" s="19" t="e">
        <f>IF(J52="","SEM #CH",VLOOKUP(J52,#REF!,5,0))</f>
        <v>#REF!</v>
      </c>
      <c r="O52" s="19" t="e">
        <f>IF(J52="","SEM #CH",VLOOKUP(J52,#REF!,6,0))</f>
        <v>#REF!</v>
      </c>
      <c r="P52" s="19" t="e">
        <f>IF(J52="","SEM #CH",VLOOKUP(J52,#REF!,7,0))</f>
        <v>#REF!</v>
      </c>
      <c r="Q52" s="77" t="str">
        <f>VLOOKUP(J52,'p1'!$B$2:$C$30,2,0)</f>
        <v>NÃO TEM CHAPA</v>
      </c>
      <c r="R52" s="94">
        <v>45773</v>
      </c>
      <c r="S52" s="90" t="s">
        <v>218</v>
      </c>
      <c r="T52" s="90">
        <f t="shared" si="3"/>
        <v>1</v>
      </c>
      <c r="U52" s="94">
        <v>45820</v>
      </c>
      <c r="V52" s="90" t="s">
        <v>1038</v>
      </c>
      <c r="W52" s="92">
        <v>2381</v>
      </c>
      <c r="X52" s="93">
        <f t="shared" si="2"/>
        <v>1</v>
      </c>
      <c r="Y52" s="92"/>
      <c r="Z52" s="92"/>
      <c r="AA52" s="13" t="str">
        <f t="shared" si="4"/>
        <v>abr/2025</v>
      </c>
    </row>
    <row r="53" spans="1:27" x14ac:dyDescent="0.25">
      <c r="A53" s="89">
        <v>52</v>
      </c>
      <c r="B53" s="68">
        <v>45749</v>
      </c>
      <c r="C53" s="40">
        <v>7</v>
      </c>
      <c r="D53" s="40">
        <f t="shared" si="0"/>
        <v>1</v>
      </c>
      <c r="E53" s="41" t="s">
        <v>91</v>
      </c>
      <c r="F53" s="17" t="s">
        <v>58</v>
      </c>
      <c r="G53" s="17" t="s">
        <v>86</v>
      </c>
      <c r="H53" s="42" t="s">
        <v>285</v>
      </c>
      <c r="I53" s="17" t="str">
        <f t="shared" si="1"/>
        <v>PN-52</v>
      </c>
      <c r="J53" s="18" t="s">
        <v>85</v>
      </c>
      <c r="K53" s="19" t="e">
        <f>IF(J53="","SEM #CH",VLOOKUP(J53,#REF!,2,0))</f>
        <v>#REF!</v>
      </c>
      <c r="L53" s="19" t="e">
        <f>IF(J53="","SEM #CH",VLOOKUP(J53,#REF!,3,0))</f>
        <v>#REF!</v>
      </c>
      <c r="M53" s="19" t="e">
        <f>IF(J53="","SEM #CH",VLOOKUP(J53,#REF!,4,0))</f>
        <v>#REF!</v>
      </c>
      <c r="N53" s="19" t="e">
        <f>IF(J53="","SEM #CH",VLOOKUP(J53,#REF!,5,0))</f>
        <v>#REF!</v>
      </c>
      <c r="O53" s="19" t="e">
        <f>IF(J53="","SEM #CH",VLOOKUP(J53,#REF!,6,0))</f>
        <v>#REF!</v>
      </c>
      <c r="P53" s="19" t="e">
        <f>IF(J53="","SEM #CH",VLOOKUP(J53,#REF!,7,0))</f>
        <v>#REF!</v>
      </c>
      <c r="Q53" s="77" t="str">
        <f>VLOOKUP(J53,'p1'!$B$2:$C$30,2,0)</f>
        <v>NÃO TEM CHAPA</v>
      </c>
      <c r="R53" s="94">
        <v>45773</v>
      </c>
      <c r="S53" s="90" t="s">
        <v>218</v>
      </c>
      <c r="T53" s="90">
        <f t="shared" si="3"/>
        <v>1</v>
      </c>
      <c r="U53" s="94">
        <v>45820</v>
      </c>
      <c r="V53" s="90" t="s">
        <v>1038</v>
      </c>
      <c r="W53" s="92">
        <v>2381</v>
      </c>
      <c r="X53" s="93">
        <f t="shared" si="2"/>
        <v>1</v>
      </c>
      <c r="Y53" s="92"/>
      <c r="Z53" s="92"/>
      <c r="AA53" s="13" t="str">
        <f t="shared" si="4"/>
        <v>abr/2025</v>
      </c>
    </row>
    <row r="54" spans="1:27" x14ac:dyDescent="0.25">
      <c r="A54" s="89">
        <v>53</v>
      </c>
      <c r="B54" s="68">
        <v>45749</v>
      </c>
      <c r="C54" s="40">
        <v>7</v>
      </c>
      <c r="D54" s="40">
        <f t="shared" si="0"/>
        <v>1</v>
      </c>
      <c r="E54" s="41" t="s">
        <v>91</v>
      </c>
      <c r="F54" s="17" t="s">
        <v>58</v>
      </c>
      <c r="G54" s="17" t="s">
        <v>86</v>
      </c>
      <c r="H54" s="42" t="s">
        <v>286</v>
      </c>
      <c r="I54" s="17" t="str">
        <f t="shared" si="1"/>
        <v>PN-53</v>
      </c>
      <c r="J54" s="18" t="s">
        <v>85</v>
      </c>
      <c r="K54" s="19" t="e">
        <f>IF(J54="","SEM #CH",VLOOKUP(J54,#REF!,2,0))</f>
        <v>#REF!</v>
      </c>
      <c r="L54" s="19" t="e">
        <f>IF(J54="","SEM #CH",VLOOKUP(J54,#REF!,3,0))</f>
        <v>#REF!</v>
      </c>
      <c r="M54" s="19" t="e">
        <f>IF(J54="","SEM #CH",VLOOKUP(J54,#REF!,4,0))</f>
        <v>#REF!</v>
      </c>
      <c r="N54" s="19" t="e">
        <f>IF(J54="","SEM #CH",VLOOKUP(J54,#REF!,5,0))</f>
        <v>#REF!</v>
      </c>
      <c r="O54" s="19" t="e">
        <f>IF(J54="","SEM #CH",VLOOKUP(J54,#REF!,6,0))</f>
        <v>#REF!</v>
      </c>
      <c r="P54" s="19" t="e">
        <f>IF(J54="","SEM #CH",VLOOKUP(J54,#REF!,7,0))</f>
        <v>#REF!</v>
      </c>
      <c r="Q54" s="77" t="str">
        <f>VLOOKUP(J54,'p1'!$B$2:$C$30,2,0)</f>
        <v>NÃO TEM CHAPA</v>
      </c>
      <c r="R54" s="94">
        <v>45771</v>
      </c>
      <c r="S54" s="90" t="s">
        <v>218</v>
      </c>
      <c r="T54" s="90">
        <f t="shared" si="3"/>
        <v>1</v>
      </c>
      <c r="U54" s="94">
        <v>45811</v>
      </c>
      <c r="V54" s="90" t="s">
        <v>991</v>
      </c>
      <c r="W54" s="92">
        <v>2364</v>
      </c>
      <c r="X54" s="93">
        <f t="shared" si="2"/>
        <v>1</v>
      </c>
      <c r="Y54" s="92"/>
      <c r="Z54" s="92"/>
      <c r="AA54" s="13" t="str">
        <f t="shared" si="4"/>
        <v>abr/2025</v>
      </c>
    </row>
    <row r="55" spans="1:27" x14ac:dyDescent="0.25">
      <c r="A55" s="89">
        <v>54</v>
      </c>
      <c r="B55" s="68">
        <v>45749</v>
      </c>
      <c r="C55" s="40">
        <v>7</v>
      </c>
      <c r="D55" s="40">
        <f t="shared" si="0"/>
        <v>1</v>
      </c>
      <c r="E55" s="41" t="s">
        <v>91</v>
      </c>
      <c r="F55" s="17" t="s">
        <v>58</v>
      </c>
      <c r="G55" s="17" t="s">
        <v>86</v>
      </c>
      <c r="H55" s="42" t="s">
        <v>287</v>
      </c>
      <c r="I55" s="17" t="str">
        <f t="shared" si="1"/>
        <v>PN-54</v>
      </c>
      <c r="J55" s="18" t="s">
        <v>85</v>
      </c>
      <c r="K55" s="19" t="e">
        <f>IF(J55="","SEM #CH",VLOOKUP(J55,#REF!,2,0))</f>
        <v>#REF!</v>
      </c>
      <c r="L55" s="19" t="e">
        <f>IF(J55="","SEM #CH",VLOOKUP(J55,#REF!,3,0))</f>
        <v>#REF!</v>
      </c>
      <c r="M55" s="19" t="e">
        <f>IF(J55="","SEM #CH",VLOOKUP(J55,#REF!,4,0))</f>
        <v>#REF!</v>
      </c>
      <c r="N55" s="19" t="e">
        <f>IF(J55="","SEM #CH",VLOOKUP(J55,#REF!,5,0))</f>
        <v>#REF!</v>
      </c>
      <c r="O55" s="19" t="e">
        <f>IF(J55="","SEM #CH",VLOOKUP(J55,#REF!,6,0))</f>
        <v>#REF!</v>
      </c>
      <c r="P55" s="19" t="e">
        <f>IF(J55="","SEM #CH",VLOOKUP(J55,#REF!,7,0))</f>
        <v>#REF!</v>
      </c>
      <c r="Q55" s="77" t="str">
        <f>VLOOKUP(J55,'p1'!$B$2:$C$30,2,0)</f>
        <v>NÃO TEM CHAPA</v>
      </c>
      <c r="R55" s="94">
        <v>45771</v>
      </c>
      <c r="S55" s="90" t="s">
        <v>218</v>
      </c>
      <c r="T55" s="90">
        <f t="shared" si="3"/>
        <v>1</v>
      </c>
      <c r="U55" s="94">
        <v>45811</v>
      </c>
      <c r="V55" s="90" t="s">
        <v>991</v>
      </c>
      <c r="W55" s="92">
        <v>2364</v>
      </c>
      <c r="X55" s="93">
        <f t="shared" si="2"/>
        <v>1</v>
      </c>
      <c r="Y55" s="92"/>
      <c r="Z55" s="92"/>
      <c r="AA55" s="13" t="str">
        <f t="shared" si="4"/>
        <v>abr/2025</v>
      </c>
    </row>
    <row r="56" spans="1:27" x14ac:dyDescent="0.25">
      <c r="A56" s="89">
        <v>55</v>
      </c>
      <c r="B56" s="68">
        <v>45806</v>
      </c>
      <c r="C56" s="40">
        <v>31</v>
      </c>
      <c r="D56" s="40">
        <f t="shared" si="0"/>
        <v>1</v>
      </c>
      <c r="E56" s="41" t="s">
        <v>91</v>
      </c>
      <c r="F56" s="17" t="s">
        <v>60</v>
      </c>
      <c r="G56" s="17" t="s">
        <v>86</v>
      </c>
      <c r="H56" s="42" t="s">
        <v>288</v>
      </c>
      <c r="I56" s="17" t="str">
        <f t="shared" si="1"/>
        <v>PE-55</v>
      </c>
      <c r="J56" s="18" t="s">
        <v>90</v>
      </c>
      <c r="K56" s="19" t="e">
        <f>IF(J56="","SEM #CH",VLOOKUP(J56,#REF!,2,0))</f>
        <v>#REF!</v>
      </c>
      <c r="L56" s="19" t="e">
        <f>IF(J56="","SEM #CH",VLOOKUP(J56,#REF!,3,0))</f>
        <v>#REF!</v>
      </c>
      <c r="M56" s="19" t="e">
        <f>IF(J56="","SEM #CH",VLOOKUP(J56,#REF!,4,0))</f>
        <v>#REF!</v>
      </c>
      <c r="N56" s="19" t="e">
        <f>IF(J56="","SEM #CH",VLOOKUP(J56,#REF!,5,0))</f>
        <v>#REF!</v>
      </c>
      <c r="O56" s="19" t="e">
        <f>IF(J56="","SEM #CH",VLOOKUP(J56,#REF!,6,0))</f>
        <v>#REF!</v>
      </c>
      <c r="P56" s="19" t="e">
        <f>IF(J56="","SEM #CH",VLOOKUP(J56,#REF!,7,0))</f>
        <v>#REF!</v>
      </c>
      <c r="Q56" s="77" t="str">
        <f>VLOOKUP(J56,'p1'!$B$2:$C$30,2,0)</f>
        <v>#3/8-530X530</v>
      </c>
      <c r="R56" s="94">
        <v>45815</v>
      </c>
      <c r="S56" s="90" t="s">
        <v>217</v>
      </c>
      <c r="T56" s="90">
        <f t="shared" si="3"/>
        <v>1</v>
      </c>
      <c r="U56" s="94">
        <v>45828</v>
      </c>
      <c r="V56" s="90" t="s">
        <v>86</v>
      </c>
      <c r="W56" s="92">
        <v>2403</v>
      </c>
      <c r="X56" s="93">
        <f t="shared" si="2"/>
        <v>1</v>
      </c>
      <c r="Y56" s="92"/>
      <c r="Z56" s="92"/>
      <c r="AA56" s="13" t="str">
        <f t="shared" si="4"/>
        <v>jun/2025</v>
      </c>
    </row>
    <row r="57" spans="1:27" x14ac:dyDescent="0.25">
      <c r="A57" s="89">
        <v>56</v>
      </c>
      <c r="B57" s="68">
        <v>45749</v>
      </c>
      <c r="C57" s="40">
        <v>7</v>
      </c>
      <c r="D57" s="40">
        <f t="shared" si="0"/>
        <v>1</v>
      </c>
      <c r="E57" s="41" t="s">
        <v>91</v>
      </c>
      <c r="F57" s="17" t="s">
        <v>58</v>
      </c>
      <c r="G57" s="17" t="s">
        <v>86</v>
      </c>
      <c r="H57" s="42" t="s">
        <v>289</v>
      </c>
      <c r="I57" s="17" t="str">
        <f t="shared" si="1"/>
        <v>PN-56</v>
      </c>
      <c r="J57" s="18" t="s">
        <v>85</v>
      </c>
      <c r="K57" s="19" t="e">
        <f>IF(J57="","SEM #CH",VLOOKUP(J57,#REF!,2,0))</f>
        <v>#REF!</v>
      </c>
      <c r="L57" s="19" t="e">
        <f>IF(J57="","SEM #CH",VLOOKUP(J57,#REF!,3,0))</f>
        <v>#REF!</v>
      </c>
      <c r="M57" s="19" t="e">
        <f>IF(J57="","SEM #CH",VLOOKUP(J57,#REF!,4,0))</f>
        <v>#REF!</v>
      </c>
      <c r="N57" s="19" t="e">
        <f>IF(J57="","SEM #CH",VLOOKUP(J57,#REF!,5,0))</f>
        <v>#REF!</v>
      </c>
      <c r="O57" s="19" t="e">
        <f>IF(J57="","SEM #CH",VLOOKUP(J57,#REF!,6,0))</f>
        <v>#REF!</v>
      </c>
      <c r="P57" s="19" t="e">
        <f>IF(J57="","SEM #CH",VLOOKUP(J57,#REF!,7,0))</f>
        <v>#REF!</v>
      </c>
      <c r="Q57" s="77" t="str">
        <f>VLOOKUP(J57,'p1'!$B$2:$C$30,2,0)</f>
        <v>NÃO TEM CHAPA</v>
      </c>
      <c r="R57" s="94">
        <v>45764</v>
      </c>
      <c r="S57" s="90" t="s">
        <v>218</v>
      </c>
      <c r="T57" s="90">
        <f t="shared" si="3"/>
        <v>1</v>
      </c>
      <c r="U57" s="94">
        <v>45821</v>
      </c>
      <c r="V57" s="90" t="s">
        <v>86</v>
      </c>
      <c r="W57" s="92">
        <v>2383</v>
      </c>
      <c r="X57" s="93">
        <f t="shared" si="2"/>
        <v>1</v>
      </c>
      <c r="Y57" s="92"/>
      <c r="Z57" s="92"/>
      <c r="AA57" s="13" t="str">
        <f t="shared" si="4"/>
        <v>abr/2025</v>
      </c>
    </row>
    <row r="58" spans="1:27" x14ac:dyDescent="0.25">
      <c r="A58" s="89">
        <v>57</v>
      </c>
      <c r="B58" s="68">
        <v>45749</v>
      </c>
      <c r="C58" s="40">
        <v>7</v>
      </c>
      <c r="D58" s="40">
        <f t="shared" si="0"/>
        <v>1</v>
      </c>
      <c r="E58" s="41" t="s">
        <v>91</v>
      </c>
      <c r="F58" s="17" t="s">
        <v>58</v>
      </c>
      <c r="G58" s="17" t="s">
        <v>86</v>
      </c>
      <c r="H58" s="42" t="s">
        <v>290</v>
      </c>
      <c r="I58" s="17" t="str">
        <f t="shared" si="1"/>
        <v>PN-57</v>
      </c>
      <c r="J58" s="18" t="s">
        <v>85</v>
      </c>
      <c r="K58" s="19" t="e">
        <f>IF(J58="","SEM #CH",VLOOKUP(J58,#REF!,2,0))</f>
        <v>#REF!</v>
      </c>
      <c r="L58" s="19" t="e">
        <f>IF(J58="","SEM #CH",VLOOKUP(J58,#REF!,3,0))</f>
        <v>#REF!</v>
      </c>
      <c r="M58" s="19" t="e">
        <f>IF(J58="","SEM #CH",VLOOKUP(J58,#REF!,4,0))</f>
        <v>#REF!</v>
      </c>
      <c r="N58" s="19" t="e">
        <f>IF(J58="","SEM #CH",VLOOKUP(J58,#REF!,5,0))</f>
        <v>#REF!</v>
      </c>
      <c r="O58" s="19" t="e">
        <f>IF(J58="","SEM #CH",VLOOKUP(J58,#REF!,6,0))</f>
        <v>#REF!</v>
      </c>
      <c r="P58" s="19" t="e">
        <f>IF(J58="","SEM #CH",VLOOKUP(J58,#REF!,7,0))</f>
        <v>#REF!</v>
      </c>
      <c r="Q58" s="77" t="str">
        <f>VLOOKUP(J58,'p1'!$B$2:$C$30,2,0)</f>
        <v>NÃO TEM CHAPA</v>
      </c>
      <c r="R58" s="94">
        <v>45769</v>
      </c>
      <c r="S58" s="90" t="s">
        <v>218</v>
      </c>
      <c r="T58" s="90">
        <f t="shared" si="3"/>
        <v>1</v>
      </c>
      <c r="U58" s="94">
        <v>45846</v>
      </c>
      <c r="V58" s="90" t="s">
        <v>1045</v>
      </c>
      <c r="W58" s="92">
        <v>2433</v>
      </c>
      <c r="X58" s="93">
        <f t="shared" si="2"/>
        <v>1</v>
      </c>
      <c r="Y58" s="92"/>
      <c r="Z58" s="92"/>
      <c r="AA58" s="13" t="str">
        <f t="shared" si="4"/>
        <v>abr/2025</v>
      </c>
    </row>
    <row r="59" spans="1:27" x14ac:dyDescent="0.25">
      <c r="A59" s="89">
        <v>58</v>
      </c>
      <c r="B59" s="68">
        <v>45750</v>
      </c>
      <c r="C59" s="40">
        <v>8</v>
      </c>
      <c r="D59" s="40">
        <f t="shared" si="0"/>
        <v>1</v>
      </c>
      <c r="E59" s="41" t="s">
        <v>91</v>
      </c>
      <c r="F59" s="17" t="s">
        <v>58</v>
      </c>
      <c r="G59" s="17" t="s">
        <v>86</v>
      </c>
      <c r="H59" s="42" t="s">
        <v>291</v>
      </c>
      <c r="I59" s="17" t="str">
        <f t="shared" si="1"/>
        <v>PN-58</v>
      </c>
      <c r="J59" s="18" t="s">
        <v>85</v>
      </c>
      <c r="K59" s="19" t="e">
        <f>IF(J59="","SEM #CH",VLOOKUP(J59,#REF!,2,0))</f>
        <v>#REF!</v>
      </c>
      <c r="L59" s="19" t="e">
        <f>IF(J59="","SEM #CH",VLOOKUP(J59,#REF!,3,0))</f>
        <v>#REF!</v>
      </c>
      <c r="M59" s="19" t="e">
        <f>IF(J59="","SEM #CH",VLOOKUP(J59,#REF!,4,0))</f>
        <v>#REF!</v>
      </c>
      <c r="N59" s="19" t="e">
        <f>IF(J59="","SEM #CH",VLOOKUP(J59,#REF!,5,0))</f>
        <v>#REF!</v>
      </c>
      <c r="O59" s="19" t="e">
        <f>IF(J59="","SEM #CH",VLOOKUP(J59,#REF!,6,0))</f>
        <v>#REF!</v>
      </c>
      <c r="P59" s="19" t="e">
        <f>IF(J59="","SEM #CH",VLOOKUP(J59,#REF!,7,0))</f>
        <v>#REF!</v>
      </c>
      <c r="Q59" s="77" t="str">
        <f>VLOOKUP(J59,'p1'!$B$2:$C$30,2,0)</f>
        <v>NÃO TEM CHAPA</v>
      </c>
      <c r="R59" s="94">
        <v>45908</v>
      </c>
      <c r="S59" s="90" t="s">
        <v>217</v>
      </c>
      <c r="T59" s="90">
        <f t="shared" si="3"/>
        <v>1</v>
      </c>
      <c r="U59" s="94">
        <v>45912</v>
      </c>
      <c r="V59" s="90" t="s">
        <v>86</v>
      </c>
      <c r="W59" s="92">
        <v>2521</v>
      </c>
      <c r="X59" s="93">
        <f t="shared" si="2"/>
        <v>1</v>
      </c>
      <c r="Y59" s="92"/>
      <c r="Z59" s="92"/>
      <c r="AA59" s="13" t="str">
        <f t="shared" si="4"/>
        <v>set/2025</v>
      </c>
    </row>
    <row r="60" spans="1:27" x14ac:dyDescent="0.25">
      <c r="A60" s="89">
        <v>59</v>
      </c>
      <c r="B60" s="68">
        <v>45750</v>
      </c>
      <c r="C60" s="40">
        <v>8</v>
      </c>
      <c r="D60" s="40">
        <f t="shared" si="0"/>
        <v>1</v>
      </c>
      <c r="E60" s="41" t="s">
        <v>91</v>
      </c>
      <c r="F60" s="17" t="s">
        <v>58</v>
      </c>
      <c r="G60" s="17" t="s">
        <v>86</v>
      </c>
      <c r="H60" s="42" t="s">
        <v>292</v>
      </c>
      <c r="I60" s="17" t="str">
        <f t="shared" si="1"/>
        <v>PN-59</v>
      </c>
      <c r="J60" s="18" t="s">
        <v>85</v>
      </c>
      <c r="K60" s="19" t="e">
        <f>IF(J60="","SEM #CH",VLOOKUP(J60,#REF!,2,0))</f>
        <v>#REF!</v>
      </c>
      <c r="L60" s="19" t="e">
        <f>IF(J60="","SEM #CH",VLOOKUP(J60,#REF!,3,0))</f>
        <v>#REF!</v>
      </c>
      <c r="M60" s="19" t="e">
        <f>IF(J60="","SEM #CH",VLOOKUP(J60,#REF!,4,0))</f>
        <v>#REF!</v>
      </c>
      <c r="N60" s="19" t="e">
        <f>IF(J60="","SEM #CH",VLOOKUP(J60,#REF!,5,0))</f>
        <v>#REF!</v>
      </c>
      <c r="O60" s="19" t="e">
        <f>IF(J60="","SEM #CH",VLOOKUP(J60,#REF!,6,0))</f>
        <v>#REF!</v>
      </c>
      <c r="P60" s="19" t="e">
        <f>IF(J60="","SEM #CH",VLOOKUP(J60,#REF!,7,0))</f>
        <v>#REF!</v>
      </c>
      <c r="Q60" s="77" t="str">
        <f>VLOOKUP(J60,'p1'!$B$2:$C$30,2,0)</f>
        <v>NÃO TEM CHAPA</v>
      </c>
      <c r="R60" s="94">
        <v>45908</v>
      </c>
      <c r="S60" s="90" t="s">
        <v>217</v>
      </c>
      <c r="T60" s="90">
        <f t="shared" si="3"/>
        <v>1</v>
      </c>
      <c r="U60" s="94">
        <v>45912</v>
      </c>
      <c r="V60" s="90" t="s">
        <v>86</v>
      </c>
      <c r="W60" s="92">
        <v>2521</v>
      </c>
      <c r="X60" s="93">
        <f t="shared" si="2"/>
        <v>1</v>
      </c>
      <c r="Y60" s="92"/>
      <c r="Z60" s="92"/>
      <c r="AA60" s="13" t="str">
        <f t="shared" si="4"/>
        <v>set/2025</v>
      </c>
    </row>
    <row r="61" spans="1:27" x14ac:dyDescent="0.25">
      <c r="A61" s="89">
        <v>60</v>
      </c>
      <c r="B61" s="68">
        <v>45750</v>
      </c>
      <c r="C61" s="40">
        <v>8</v>
      </c>
      <c r="D61" s="40">
        <f t="shared" si="0"/>
        <v>1</v>
      </c>
      <c r="E61" s="41" t="s">
        <v>91</v>
      </c>
      <c r="F61" s="17" t="s">
        <v>58</v>
      </c>
      <c r="G61" s="17" t="s">
        <v>86</v>
      </c>
      <c r="H61" s="42" t="s">
        <v>293</v>
      </c>
      <c r="I61" s="17" t="str">
        <f t="shared" si="1"/>
        <v>PN-60</v>
      </c>
      <c r="J61" s="18" t="s">
        <v>85</v>
      </c>
      <c r="K61" s="19" t="e">
        <f>IF(J61="","SEM #CH",VLOOKUP(J61,#REF!,2,0))</f>
        <v>#REF!</v>
      </c>
      <c r="L61" s="19" t="e">
        <f>IF(J61="","SEM #CH",VLOOKUP(J61,#REF!,3,0))</f>
        <v>#REF!</v>
      </c>
      <c r="M61" s="19" t="e">
        <f>IF(J61="","SEM #CH",VLOOKUP(J61,#REF!,4,0))</f>
        <v>#REF!</v>
      </c>
      <c r="N61" s="19" t="e">
        <f>IF(J61="","SEM #CH",VLOOKUP(J61,#REF!,5,0))</f>
        <v>#REF!</v>
      </c>
      <c r="O61" s="19" t="e">
        <f>IF(J61="","SEM #CH",VLOOKUP(J61,#REF!,6,0))</f>
        <v>#REF!</v>
      </c>
      <c r="P61" s="19" t="e">
        <f>IF(J61="","SEM #CH",VLOOKUP(J61,#REF!,7,0))</f>
        <v>#REF!</v>
      </c>
      <c r="Q61" s="77" t="str">
        <f>VLOOKUP(J61,'p1'!$B$2:$C$30,2,0)</f>
        <v>NÃO TEM CHAPA</v>
      </c>
      <c r="R61" s="94">
        <v>45854</v>
      </c>
      <c r="S61" s="90" t="s">
        <v>217</v>
      </c>
      <c r="T61" s="90">
        <f t="shared" si="3"/>
        <v>1</v>
      </c>
      <c r="U61" s="94">
        <v>45908</v>
      </c>
      <c r="V61" s="90" t="s">
        <v>86</v>
      </c>
      <c r="W61" s="92">
        <v>2507</v>
      </c>
      <c r="X61" s="93">
        <f t="shared" si="2"/>
        <v>1</v>
      </c>
      <c r="Y61" s="92"/>
      <c r="Z61" s="92"/>
      <c r="AA61" s="13" t="str">
        <f t="shared" si="4"/>
        <v>jul/2025</v>
      </c>
    </row>
    <row r="62" spans="1:27" x14ac:dyDescent="0.25">
      <c r="A62" s="89">
        <v>61</v>
      </c>
      <c r="B62" s="68">
        <v>45750</v>
      </c>
      <c r="C62" s="40">
        <v>8</v>
      </c>
      <c r="D62" s="40">
        <f t="shared" si="0"/>
        <v>1</v>
      </c>
      <c r="E62" s="41" t="s">
        <v>91</v>
      </c>
      <c r="F62" s="17" t="s">
        <v>58</v>
      </c>
      <c r="G62" s="17" t="s">
        <v>86</v>
      </c>
      <c r="H62" s="42" t="s">
        <v>294</v>
      </c>
      <c r="I62" s="17" t="str">
        <f t="shared" si="1"/>
        <v>PN-61</v>
      </c>
      <c r="J62" s="18" t="s">
        <v>85</v>
      </c>
      <c r="K62" s="19" t="e">
        <f>IF(J62="","SEM #CH",VLOOKUP(J62,#REF!,2,0))</f>
        <v>#REF!</v>
      </c>
      <c r="L62" s="19" t="e">
        <f>IF(J62="","SEM #CH",VLOOKUP(J62,#REF!,3,0))</f>
        <v>#REF!</v>
      </c>
      <c r="M62" s="19" t="e">
        <f>IF(J62="","SEM #CH",VLOOKUP(J62,#REF!,4,0))</f>
        <v>#REF!</v>
      </c>
      <c r="N62" s="19" t="e">
        <f>IF(J62="","SEM #CH",VLOOKUP(J62,#REF!,5,0))</f>
        <v>#REF!</v>
      </c>
      <c r="O62" s="19" t="e">
        <f>IF(J62="","SEM #CH",VLOOKUP(J62,#REF!,6,0))</f>
        <v>#REF!</v>
      </c>
      <c r="P62" s="19" t="e">
        <f>IF(J62="","SEM #CH",VLOOKUP(J62,#REF!,7,0))</f>
        <v>#REF!</v>
      </c>
      <c r="Q62" s="77" t="str">
        <f>VLOOKUP(J62,'p1'!$B$2:$C$30,2,0)</f>
        <v>NÃO TEM CHAPA</v>
      </c>
      <c r="R62" s="94">
        <v>45906</v>
      </c>
      <c r="S62" s="90" t="s">
        <v>217</v>
      </c>
      <c r="T62" s="90">
        <f t="shared" si="3"/>
        <v>1</v>
      </c>
      <c r="U62" s="94">
        <v>45908</v>
      </c>
      <c r="V62" s="90" t="s">
        <v>86</v>
      </c>
      <c r="W62" s="92">
        <v>2507</v>
      </c>
      <c r="X62" s="93">
        <f t="shared" si="2"/>
        <v>1</v>
      </c>
      <c r="Y62" s="92"/>
      <c r="Z62" s="92"/>
      <c r="AA62" s="13" t="str">
        <f t="shared" si="4"/>
        <v>set/2025</v>
      </c>
    </row>
    <row r="63" spans="1:27" x14ac:dyDescent="0.25">
      <c r="A63" s="89">
        <v>62</v>
      </c>
      <c r="B63" s="68">
        <v>45750</v>
      </c>
      <c r="C63" s="40">
        <v>8</v>
      </c>
      <c r="D63" s="40">
        <f t="shared" si="0"/>
        <v>1</v>
      </c>
      <c r="E63" s="41" t="s">
        <v>91</v>
      </c>
      <c r="F63" s="17" t="s">
        <v>58</v>
      </c>
      <c r="G63" s="17" t="s">
        <v>86</v>
      </c>
      <c r="H63" s="42" t="s">
        <v>295</v>
      </c>
      <c r="I63" s="17" t="str">
        <f t="shared" si="1"/>
        <v>PN-62</v>
      </c>
      <c r="J63" s="18" t="s">
        <v>85</v>
      </c>
      <c r="K63" s="19" t="e">
        <f>IF(J63="","SEM #CH",VLOOKUP(J63,#REF!,2,0))</f>
        <v>#REF!</v>
      </c>
      <c r="L63" s="19" t="e">
        <f>IF(J63="","SEM #CH",VLOOKUP(J63,#REF!,3,0))</f>
        <v>#REF!</v>
      </c>
      <c r="M63" s="19" t="e">
        <f>IF(J63="","SEM #CH",VLOOKUP(J63,#REF!,4,0))</f>
        <v>#REF!</v>
      </c>
      <c r="N63" s="19" t="e">
        <f>IF(J63="","SEM #CH",VLOOKUP(J63,#REF!,5,0))</f>
        <v>#REF!</v>
      </c>
      <c r="O63" s="19" t="e">
        <f>IF(J63="","SEM #CH",VLOOKUP(J63,#REF!,6,0))</f>
        <v>#REF!</v>
      </c>
      <c r="P63" s="19" t="e">
        <f>IF(J63="","SEM #CH",VLOOKUP(J63,#REF!,7,0))</f>
        <v>#REF!</v>
      </c>
      <c r="Q63" s="77" t="str">
        <f>VLOOKUP(J63,'p1'!$B$2:$C$30,2,0)</f>
        <v>NÃO TEM CHAPA</v>
      </c>
      <c r="R63" s="94">
        <v>45773</v>
      </c>
      <c r="S63" s="90" t="s">
        <v>217</v>
      </c>
      <c r="T63" s="90">
        <f t="shared" si="3"/>
        <v>1</v>
      </c>
      <c r="U63" s="94">
        <v>45854</v>
      </c>
      <c r="V63" s="90" t="s">
        <v>86</v>
      </c>
      <c r="W63" s="92">
        <v>2445</v>
      </c>
      <c r="X63" s="93">
        <f t="shared" si="2"/>
        <v>1</v>
      </c>
      <c r="Y63" s="92"/>
      <c r="Z63" s="92"/>
      <c r="AA63" s="13" t="str">
        <f t="shared" si="4"/>
        <v>abr/2025</v>
      </c>
    </row>
    <row r="64" spans="1:27" x14ac:dyDescent="0.25">
      <c r="A64" s="89">
        <v>63</v>
      </c>
      <c r="B64" s="68">
        <v>45814</v>
      </c>
      <c r="C64" s="40">
        <v>33</v>
      </c>
      <c r="D64" s="40">
        <f t="shared" si="0"/>
        <v>1</v>
      </c>
      <c r="E64" s="44" t="s">
        <v>116</v>
      </c>
      <c r="F64" s="17" t="s">
        <v>61</v>
      </c>
      <c r="G64" s="17" t="s">
        <v>86</v>
      </c>
      <c r="H64" s="42" t="s">
        <v>296</v>
      </c>
      <c r="I64" s="17" t="str">
        <f t="shared" si="1"/>
        <v>PF-63</v>
      </c>
      <c r="J64" s="18" t="s">
        <v>61</v>
      </c>
      <c r="K64" s="19" t="e">
        <f>IF(J64="","SEM #CH",VLOOKUP(J64,#REF!,2,0))</f>
        <v>#REF!</v>
      </c>
      <c r="L64" s="19" t="e">
        <f>IF(J64="","SEM #CH",VLOOKUP(J64,#REF!,3,0))</f>
        <v>#REF!</v>
      </c>
      <c r="M64" s="19" t="e">
        <f>IF(J64="","SEM #CH",VLOOKUP(J64,#REF!,4,0))</f>
        <v>#REF!</v>
      </c>
      <c r="N64" s="19" t="e">
        <f>IF(J64="","SEM #CH",VLOOKUP(J64,#REF!,5,0))</f>
        <v>#REF!</v>
      </c>
      <c r="O64" s="19" t="e">
        <f>IF(J64="","SEM #CH",VLOOKUP(J64,#REF!,6,0))</f>
        <v>#REF!</v>
      </c>
      <c r="P64" s="19" t="e">
        <f>IF(J64="","SEM #CH",VLOOKUP(J64,#REF!,7,0))</f>
        <v>#REF!</v>
      </c>
      <c r="Q64" s="77" t="str">
        <f>VLOOKUP(J64,'p1'!$B$2:$C$30,2,0)</f>
        <v>SEM CHAPA</v>
      </c>
      <c r="R64" s="94">
        <v>45818</v>
      </c>
      <c r="S64" s="90" t="s">
        <v>217</v>
      </c>
      <c r="T64" s="90">
        <f t="shared" si="3"/>
        <v>1</v>
      </c>
      <c r="U64" s="94">
        <v>45828</v>
      </c>
      <c r="V64" s="90" t="s">
        <v>86</v>
      </c>
      <c r="W64" s="92">
        <v>2403</v>
      </c>
      <c r="X64" s="93">
        <f t="shared" si="2"/>
        <v>1</v>
      </c>
      <c r="Y64" s="92"/>
      <c r="Z64" s="92"/>
      <c r="AA64" s="13" t="str">
        <f t="shared" si="4"/>
        <v>jun/2025</v>
      </c>
    </row>
    <row r="65" spans="1:27" x14ac:dyDescent="0.25">
      <c r="A65" s="89">
        <v>64</v>
      </c>
      <c r="B65" s="68">
        <v>45750</v>
      </c>
      <c r="C65" s="40">
        <v>8</v>
      </c>
      <c r="D65" s="40">
        <f t="shared" si="0"/>
        <v>1</v>
      </c>
      <c r="E65" s="44" t="s">
        <v>116</v>
      </c>
      <c r="F65" s="17" t="s">
        <v>58</v>
      </c>
      <c r="G65" s="17" t="s">
        <v>86</v>
      </c>
      <c r="H65" s="42" t="s">
        <v>297</v>
      </c>
      <c r="I65" s="17" t="str">
        <f t="shared" si="1"/>
        <v>PN-64</v>
      </c>
      <c r="J65" s="18" t="s">
        <v>85</v>
      </c>
      <c r="K65" s="19" t="e">
        <f>IF(J65="","SEM #CH",VLOOKUP(J65,#REF!,2,0))</f>
        <v>#REF!</v>
      </c>
      <c r="L65" s="19" t="e">
        <f>IF(J65="","SEM #CH",VLOOKUP(J65,#REF!,3,0))</f>
        <v>#REF!</v>
      </c>
      <c r="M65" s="19" t="e">
        <f>IF(J65="","SEM #CH",VLOOKUP(J65,#REF!,4,0))</f>
        <v>#REF!</v>
      </c>
      <c r="N65" s="19" t="e">
        <f>IF(J65="","SEM #CH",VLOOKUP(J65,#REF!,5,0))</f>
        <v>#REF!</v>
      </c>
      <c r="O65" s="19" t="e">
        <f>IF(J65="","SEM #CH",VLOOKUP(J65,#REF!,6,0))</f>
        <v>#REF!</v>
      </c>
      <c r="P65" s="19" t="e">
        <f>IF(J65="","SEM #CH",VLOOKUP(J65,#REF!,7,0))</f>
        <v>#REF!</v>
      </c>
      <c r="Q65" s="77" t="str">
        <f>VLOOKUP(J65,'p1'!$B$2:$C$30,2,0)</f>
        <v>NÃO TEM CHAPA</v>
      </c>
      <c r="R65" s="94">
        <v>45764</v>
      </c>
      <c r="S65" s="90" t="s">
        <v>217</v>
      </c>
      <c r="T65" s="90">
        <f t="shared" si="3"/>
        <v>1</v>
      </c>
      <c r="U65" s="94">
        <v>45856</v>
      </c>
      <c r="V65" s="90" t="s">
        <v>86</v>
      </c>
      <c r="W65" s="92">
        <v>2452</v>
      </c>
      <c r="X65" s="93">
        <f t="shared" si="2"/>
        <v>1</v>
      </c>
      <c r="Y65" s="92"/>
      <c r="Z65" s="92"/>
      <c r="AA65" s="13" t="str">
        <f t="shared" si="4"/>
        <v>abr/2025</v>
      </c>
    </row>
    <row r="66" spans="1:27" x14ac:dyDescent="0.25">
      <c r="A66" s="89">
        <v>65</v>
      </c>
      <c r="B66" s="68">
        <v>45750</v>
      </c>
      <c r="C66" s="40">
        <v>8</v>
      </c>
      <c r="D66" s="40">
        <f t="shared" ref="D66:D129" si="5">IF(B66&gt;0,1,"")</f>
        <v>1</v>
      </c>
      <c r="E66" s="44" t="s">
        <v>116</v>
      </c>
      <c r="F66" s="17" t="s">
        <v>58</v>
      </c>
      <c r="G66" s="17" t="s">
        <v>86</v>
      </c>
      <c r="H66" s="42" t="s">
        <v>298</v>
      </c>
      <c r="I66" s="17" t="str">
        <f t="shared" ref="I66:I129" si="6">_xlfn.CONCAT(F66,G66,H66)</f>
        <v>PN-65</v>
      </c>
      <c r="J66" s="18" t="s">
        <v>85</v>
      </c>
      <c r="K66" s="19" t="e">
        <f>IF(J66="","SEM #CH",VLOOKUP(J66,#REF!,2,0))</f>
        <v>#REF!</v>
      </c>
      <c r="L66" s="19" t="e">
        <f>IF(J66="","SEM #CH",VLOOKUP(J66,#REF!,3,0))</f>
        <v>#REF!</v>
      </c>
      <c r="M66" s="19" t="e">
        <f>IF(J66="","SEM #CH",VLOOKUP(J66,#REF!,4,0))</f>
        <v>#REF!</v>
      </c>
      <c r="N66" s="19" t="e">
        <f>IF(J66="","SEM #CH",VLOOKUP(J66,#REF!,5,0))</f>
        <v>#REF!</v>
      </c>
      <c r="O66" s="19" t="e">
        <f>IF(J66="","SEM #CH",VLOOKUP(J66,#REF!,6,0))</f>
        <v>#REF!</v>
      </c>
      <c r="P66" s="19" t="e">
        <f>IF(J66="","SEM #CH",VLOOKUP(J66,#REF!,7,0))</f>
        <v>#REF!</v>
      </c>
      <c r="Q66" s="77" t="str">
        <f>VLOOKUP(J66,'p1'!$B$2:$C$30,2,0)</f>
        <v>NÃO TEM CHAPA</v>
      </c>
      <c r="R66" s="94">
        <v>45764</v>
      </c>
      <c r="S66" s="90" t="s">
        <v>217</v>
      </c>
      <c r="T66" s="90">
        <f t="shared" si="3"/>
        <v>1</v>
      </c>
      <c r="U66" s="94">
        <v>45859</v>
      </c>
      <c r="V66" s="90" t="s">
        <v>86</v>
      </c>
      <c r="W66" s="92">
        <v>2454</v>
      </c>
      <c r="X66" s="93">
        <f t="shared" ref="X66:X129" si="7">IF(U66&gt;0,1,"")</f>
        <v>1</v>
      </c>
      <c r="Y66" s="92"/>
      <c r="Z66" s="92"/>
      <c r="AA66" s="13" t="str">
        <f t="shared" si="4"/>
        <v>abr/2025</v>
      </c>
    </row>
    <row r="67" spans="1:27" x14ac:dyDescent="0.25">
      <c r="A67" s="89">
        <v>66</v>
      </c>
      <c r="B67" s="68">
        <v>45752</v>
      </c>
      <c r="C67" s="40">
        <v>9</v>
      </c>
      <c r="D67" s="40">
        <f t="shared" si="5"/>
        <v>1</v>
      </c>
      <c r="E67" s="44" t="s">
        <v>116</v>
      </c>
      <c r="F67" s="17" t="s">
        <v>58</v>
      </c>
      <c r="G67" s="17" t="s">
        <v>86</v>
      </c>
      <c r="H67" s="42" t="s">
        <v>299</v>
      </c>
      <c r="I67" s="17" t="str">
        <f t="shared" si="6"/>
        <v>PN-66</v>
      </c>
      <c r="J67" s="18" t="s">
        <v>85</v>
      </c>
      <c r="K67" s="19" t="e">
        <f>IF(J67="","SEM #CH",VLOOKUP(J67,#REF!,2,0))</f>
        <v>#REF!</v>
      </c>
      <c r="L67" s="19" t="e">
        <f>IF(J67="","SEM #CH",VLOOKUP(J67,#REF!,3,0))</f>
        <v>#REF!</v>
      </c>
      <c r="M67" s="19" t="e">
        <f>IF(J67="","SEM #CH",VLOOKUP(J67,#REF!,4,0))</f>
        <v>#REF!</v>
      </c>
      <c r="N67" s="19" t="e">
        <f>IF(J67="","SEM #CH",VLOOKUP(J67,#REF!,5,0))</f>
        <v>#REF!</v>
      </c>
      <c r="O67" s="19" t="e">
        <f>IF(J67="","SEM #CH",VLOOKUP(J67,#REF!,6,0))</f>
        <v>#REF!</v>
      </c>
      <c r="P67" s="19" t="e">
        <f>IF(J67="","SEM #CH",VLOOKUP(J67,#REF!,7,0))</f>
        <v>#REF!</v>
      </c>
      <c r="Q67" s="77" t="str">
        <f>VLOOKUP(J67,'p1'!$B$2:$C$30,2,0)</f>
        <v>NÃO TEM CHAPA</v>
      </c>
      <c r="R67" s="94">
        <v>45784</v>
      </c>
      <c r="S67" s="90" t="s">
        <v>218</v>
      </c>
      <c r="T67" s="90">
        <f t="shared" ref="T67:T130" si="8">IF(R67="",0,1)</f>
        <v>1</v>
      </c>
      <c r="U67" s="94">
        <v>45832</v>
      </c>
      <c r="V67" s="90" t="s">
        <v>86</v>
      </c>
      <c r="W67" s="92">
        <v>2410</v>
      </c>
      <c r="X67" s="93">
        <f t="shared" si="7"/>
        <v>1</v>
      </c>
      <c r="Y67" s="92"/>
      <c r="Z67" s="92"/>
      <c r="AA67" s="13" t="str">
        <f t="shared" ref="AA67:AA130" si="9">TEXT(R67,"mmm/aaaa")</f>
        <v>mai/2025</v>
      </c>
    </row>
    <row r="68" spans="1:27" x14ac:dyDescent="0.25">
      <c r="A68" s="89">
        <v>67</v>
      </c>
      <c r="B68" s="68">
        <v>45752</v>
      </c>
      <c r="C68" s="40">
        <v>9</v>
      </c>
      <c r="D68" s="40">
        <f t="shared" si="5"/>
        <v>1</v>
      </c>
      <c r="E68" s="44" t="s">
        <v>116</v>
      </c>
      <c r="F68" s="17" t="s">
        <v>58</v>
      </c>
      <c r="G68" s="17" t="s">
        <v>86</v>
      </c>
      <c r="H68" s="42" t="s">
        <v>300</v>
      </c>
      <c r="I68" s="17" t="str">
        <f t="shared" si="6"/>
        <v>PN-67</v>
      </c>
      <c r="J68" s="18" t="s">
        <v>85</v>
      </c>
      <c r="K68" s="19" t="e">
        <f>IF(J68="","SEM #CH",VLOOKUP(J68,#REF!,2,0))</f>
        <v>#REF!</v>
      </c>
      <c r="L68" s="19" t="e">
        <f>IF(J68="","SEM #CH",VLOOKUP(J68,#REF!,3,0))</f>
        <v>#REF!</v>
      </c>
      <c r="M68" s="19" t="e">
        <f>IF(J68="","SEM #CH",VLOOKUP(J68,#REF!,4,0))</f>
        <v>#REF!</v>
      </c>
      <c r="N68" s="19" t="e">
        <f>IF(J68="","SEM #CH",VLOOKUP(J68,#REF!,5,0))</f>
        <v>#REF!</v>
      </c>
      <c r="O68" s="19" t="e">
        <f>IF(J68="","SEM #CH",VLOOKUP(J68,#REF!,6,0))</f>
        <v>#REF!</v>
      </c>
      <c r="P68" s="19" t="e">
        <f>IF(J68="","SEM #CH",VLOOKUP(J68,#REF!,7,0))</f>
        <v>#REF!</v>
      </c>
      <c r="Q68" s="77" t="str">
        <f>VLOOKUP(J68,'p1'!$B$2:$C$30,2,0)</f>
        <v>NÃO TEM CHAPA</v>
      </c>
      <c r="R68" s="94">
        <v>45782</v>
      </c>
      <c r="S68" s="90" t="s">
        <v>218</v>
      </c>
      <c r="T68" s="90">
        <f t="shared" si="8"/>
        <v>1</v>
      </c>
      <c r="U68" s="94">
        <v>45833</v>
      </c>
      <c r="V68" s="90" t="s">
        <v>86</v>
      </c>
      <c r="W68" s="92">
        <v>2413</v>
      </c>
      <c r="X68" s="93">
        <f t="shared" si="7"/>
        <v>1</v>
      </c>
      <c r="Y68" s="92"/>
      <c r="Z68" s="92"/>
      <c r="AA68" s="13" t="str">
        <f t="shared" si="9"/>
        <v>mai/2025</v>
      </c>
    </row>
    <row r="69" spans="1:27" x14ac:dyDescent="0.25">
      <c r="A69" s="89">
        <v>68</v>
      </c>
      <c r="B69" s="68">
        <v>45752</v>
      </c>
      <c r="C69" s="40">
        <v>9</v>
      </c>
      <c r="D69" s="40">
        <f t="shared" si="5"/>
        <v>1</v>
      </c>
      <c r="E69" s="44" t="s">
        <v>116</v>
      </c>
      <c r="F69" s="17" t="s">
        <v>58</v>
      </c>
      <c r="G69" s="17" t="s">
        <v>86</v>
      </c>
      <c r="H69" s="42" t="s">
        <v>301</v>
      </c>
      <c r="I69" s="17" t="str">
        <f t="shared" si="6"/>
        <v>PN-68</v>
      </c>
      <c r="J69" s="18" t="s">
        <v>85</v>
      </c>
      <c r="K69" s="19" t="e">
        <f>IF(J69="","SEM #CH",VLOOKUP(J69,#REF!,2,0))</f>
        <v>#REF!</v>
      </c>
      <c r="L69" s="19" t="e">
        <f>IF(J69="","SEM #CH",VLOOKUP(J69,#REF!,3,0))</f>
        <v>#REF!</v>
      </c>
      <c r="M69" s="19" t="e">
        <f>IF(J69="","SEM #CH",VLOOKUP(J69,#REF!,4,0))</f>
        <v>#REF!</v>
      </c>
      <c r="N69" s="19" t="e">
        <f>IF(J69="","SEM #CH",VLOOKUP(J69,#REF!,5,0))</f>
        <v>#REF!</v>
      </c>
      <c r="O69" s="19" t="e">
        <f>IF(J69="","SEM #CH",VLOOKUP(J69,#REF!,6,0))</f>
        <v>#REF!</v>
      </c>
      <c r="P69" s="19" t="e">
        <f>IF(J69="","SEM #CH",VLOOKUP(J69,#REF!,7,0))</f>
        <v>#REF!</v>
      </c>
      <c r="Q69" s="77" t="str">
        <f>VLOOKUP(J69,'p1'!$B$2:$C$30,2,0)</f>
        <v>NÃO TEM CHAPA</v>
      </c>
      <c r="R69" s="94">
        <v>45782</v>
      </c>
      <c r="S69" s="90" t="s">
        <v>218</v>
      </c>
      <c r="T69" s="90">
        <f t="shared" si="8"/>
        <v>1</v>
      </c>
      <c r="U69" s="94">
        <v>45832</v>
      </c>
      <c r="V69" s="90" t="s">
        <v>86</v>
      </c>
      <c r="W69" s="92">
        <v>2410</v>
      </c>
      <c r="X69" s="93">
        <f t="shared" si="7"/>
        <v>1</v>
      </c>
      <c r="Y69" s="92"/>
      <c r="Z69" s="92"/>
      <c r="AA69" s="13" t="str">
        <f t="shared" si="9"/>
        <v>mai/2025</v>
      </c>
    </row>
    <row r="70" spans="1:27" x14ac:dyDescent="0.25">
      <c r="A70" s="89">
        <v>69</v>
      </c>
      <c r="B70" s="68">
        <v>45812</v>
      </c>
      <c r="C70" s="40">
        <v>32</v>
      </c>
      <c r="D70" s="40">
        <f t="shared" si="5"/>
        <v>1</v>
      </c>
      <c r="E70" s="44" t="s">
        <v>116</v>
      </c>
      <c r="F70" s="17" t="s">
        <v>60</v>
      </c>
      <c r="G70" s="17" t="s">
        <v>86</v>
      </c>
      <c r="H70" s="42" t="s">
        <v>302</v>
      </c>
      <c r="I70" s="17" t="str">
        <f t="shared" si="6"/>
        <v>PE-69</v>
      </c>
      <c r="J70" s="18" t="s">
        <v>88</v>
      </c>
      <c r="K70" s="19" t="e">
        <f>IF(J70="","SEM #CH",VLOOKUP(J70,#REF!,2,0))</f>
        <v>#REF!</v>
      </c>
      <c r="L70" s="19" t="e">
        <f>IF(J70="","SEM #CH",VLOOKUP(J70,#REF!,3,0))</f>
        <v>#REF!</v>
      </c>
      <c r="M70" s="19" t="e">
        <f>IF(J70="","SEM #CH",VLOOKUP(J70,#REF!,4,0))</f>
        <v>#REF!</v>
      </c>
      <c r="N70" s="19" t="e">
        <f>IF(J70="","SEM #CH",VLOOKUP(J70,#REF!,5,0))</f>
        <v>#REF!</v>
      </c>
      <c r="O70" s="19" t="e">
        <f>IF(J70="","SEM #CH",VLOOKUP(J70,#REF!,6,0))</f>
        <v>#REF!</v>
      </c>
      <c r="P70" s="19" t="e">
        <f>IF(J70="","SEM #CH",VLOOKUP(J70,#REF!,7,0))</f>
        <v>#REF!</v>
      </c>
      <c r="Q70" s="77" t="str">
        <f>VLOOKUP(J70,'p1'!$B$2:$C$30,2,0)</f>
        <v>#3/8-1315X1315</v>
      </c>
      <c r="R70" s="94">
        <v>45831</v>
      </c>
      <c r="S70" s="90" t="s">
        <v>217</v>
      </c>
      <c r="T70" s="90">
        <f t="shared" si="8"/>
        <v>1</v>
      </c>
      <c r="U70" s="94">
        <v>45831</v>
      </c>
      <c r="V70" s="90" t="s">
        <v>86</v>
      </c>
      <c r="W70" s="92">
        <v>2405</v>
      </c>
      <c r="X70" s="93">
        <f t="shared" si="7"/>
        <v>1</v>
      </c>
      <c r="Y70" s="92"/>
      <c r="Z70" s="92"/>
      <c r="AA70" s="13" t="str">
        <f t="shared" si="9"/>
        <v>jun/2025</v>
      </c>
    </row>
    <row r="71" spans="1:27" x14ac:dyDescent="0.25">
      <c r="A71" s="89">
        <v>70</v>
      </c>
      <c r="B71" s="68">
        <v>45812</v>
      </c>
      <c r="C71" s="40">
        <v>32</v>
      </c>
      <c r="D71" s="40">
        <f t="shared" si="5"/>
        <v>1</v>
      </c>
      <c r="E71" s="44" t="s">
        <v>116</v>
      </c>
      <c r="F71" s="17" t="s">
        <v>60</v>
      </c>
      <c r="G71" s="17" t="s">
        <v>86</v>
      </c>
      <c r="H71" s="42" t="s">
        <v>303</v>
      </c>
      <c r="I71" s="17" t="str">
        <f t="shared" si="6"/>
        <v>PE-70</v>
      </c>
      <c r="J71" s="18" t="s">
        <v>87</v>
      </c>
      <c r="K71" s="19" t="e">
        <f>IF(J71="","SEM #CH",VLOOKUP(J71,#REF!,2,0))</f>
        <v>#REF!</v>
      </c>
      <c r="L71" s="19" t="e">
        <f>IF(J71="","SEM #CH",VLOOKUP(J71,#REF!,3,0))</f>
        <v>#REF!</v>
      </c>
      <c r="M71" s="19" t="e">
        <f>IF(J71="","SEM #CH",VLOOKUP(J71,#REF!,4,0))</f>
        <v>#REF!</v>
      </c>
      <c r="N71" s="19" t="e">
        <f>IF(J71="","SEM #CH",VLOOKUP(J71,#REF!,5,0))</f>
        <v>#REF!</v>
      </c>
      <c r="O71" s="19" t="e">
        <f>IF(J71="","SEM #CH",VLOOKUP(J71,#REF!,6,0))</f>
        <v>#REF!</v>
      </c>
      <c r="P71" s="19" t="e">
        <f>IF(J71="","SEM #CH",VLOOKUP(J71,#REF!,7,0))</f>
        <v>#REF!</v>
      </c>
      <c r="Q71" s="77" t="str">
        <f>VLOOKUP(J71,'p1'!$B$2:$C$30,2,0)</f>
        <v>#3/8-1620X1620</v>
      </c>
      <c r="R71" s="94">
        <v>45846</v>
      </c>
      <c r="S71" s="90" t="s">
        <v>217</v>
      </c>
      <c r="T71" s="90">
        <f t="shared" si="8"/>
        <v>1</v>
      </c>
      <c r="U71" s="94">
        <v>45859</v>
      </c>
      <c r="V71" s="90" t="s">
        <v>86</v>
      </c>
      <c r="W71" s="92">
        <v>2453</v>
      </c>
      <c r="X71" s="93">
        <f t="shared" si="7"/>
        <v>1</v>
      </c>
      <c r="Y71" s="92"/>
      <c r="Z71" s="92"/>
      <c r="AA71" s="13" t="str">
        <f t="shared" si="9"/>
        <v>jul/2025</v>
      </c>
    </row>
    <row r="72" spans="1:27" x14ac:dyDescent="0.25">
      <c r="A72" s="89">
        <v>71</v>
      </c>
      <c r="B72" s="68">
        <v>45812</v>
      </c>
      <c r="C72" s="40">
        <v>32</v>
      </c>
      <c r="D72" s="40">
        <f t="shared" si="5"/>
        <v>1</v>
      </c>
      <c r="E72" s="44" t="s">
        <v>116</v>
      </c>
      <c r="F72" s="17" t="s">
        <v>60</v>
      </c>
      <c r="G72" s="17" t="s">
        <v>86</v>
      </c>
      <c r="H72" s="42" t="s">
        <v>304</v>
      </c>
      <c r="I72" s="17" t="str">
        <f t="shared" si="6"/>
        <v>PE-71</v>
      </c>
      <c r="J72" s="18" t="s">
        <v>89</v>
      </c>
      <c r="K72" s="19" t="e">
        <f>IF(J72="","SEM #CH",VLOOKUP(J72,#REF!,2,0))</f>
        <v>#REF!</v>
      </c>
      <c r="L72" s="19" t="e">
        <f>IF(J72="","SEM #CH",VLOOKUP(J72,#REF!,3,0))</f>
        <v>#REF!</v>
      </c>
      <c r="M72" s="19" t="e">
        <f>IF(J72="","SEM #CH",VLOOKUP(J72,#REF!,4,0))</f>
        <v>#REF!</v>
      </c>
      <c r="N72" s="19" t="e">
        <f>IF(J72="","SEM #CH",VLOOKUP(J72,#REF!,5,0))</f>
        <v>#REF!</v>
      </c>
      <c r="O72" s="19" t="e">
        <f>IF(J72="","SEM #CH",VLOOKUP(J72,#REF!,6,0))</f>
        <v>#REF!</v>
      </c>
      <c r="P72" s="19" t="e">
        <f>IF(J72="","SEM #CH",VLOOKUP(J72,#REF!,7,0))</f>
        <v>#REF!</v>
      </c>
      <c r="Q72" s="77" t="str">
        <f>VLOOKUP(J72,'p1'!$B$2:$C$30,2,0)</f>
        <v>#3/8-1200X1200</v>
      </c>
      <c r="R72" s="94">
        <v>45848</v>
      </c>
      <c r="S72" s="90" t="s">
        <v>217</v>
      </c>
      <c r="T72" s="90">
        <f t="shared" si="8"/>
        <v>1</v>
      </c>
      <c r="U72" s="94">
        <v>45859</v>
      </c>
      <c r="V72" s="90" t="s">
        <v>86</v>
      </c>
      <c r="W72" s="92">
        <v>2454</v>
      </c>
      <c r="X72" s="93">
        <f t="shared" si="7"/>
        <v>1</v>
      </c>
      <c r="Y72" s="92"/>
      <c r="Z72" s="92"/>
      <c r="AA72" s="13" t="str">
        <f t="shared" si="9"/>
        <v>jul/2025</v>
      </c>
    </row>
    <row r="73" spans="1:27" x14ac:dyDescent="0.25">
      <c r="A73" s="89">
        <v>72</v>
      </c>
      <c r="B73" s="68">
        <v>45752</v>
      </c>
      <c r="C73" s="40">
        <v>9</v>
      </c>
      <c r="D73" s="40">
        <f t="shared" si="5"/>
        <v>1</v>
      </c>
      <c r="E73" s="44" t="s">
        <v>116</v>
      </c>
      <c r="F73" s="17" t="s">
        <v>58</v>
      </c>
      <c r="G73" s="17" t="s">
        <v>86</v>
      </c>
      <c r="H73" s="42" t="s">
        <v>305</v>
      </c>
      <c r="I73" s="17" t="str">
        <f t="shared" si="6"/>
        <v>PN-72</v>
      </c>
      <c r="J73" s="18" t="s">
        <v>85</v>
      </c>
      <c r="K73" s="19" t="e">
        <f>IF(J73="","SEM #CH",VLOOKUP(J73,#REF!,2,0))</f>
        <v>#REF!</v>
      </c>
      <c r="L73" s="19" t="e">
        <f>IF(J73="","SEM #CH",VLOOKUP(J73,#REF!,3,0))</f>
        <v>#REF!</v>
      </c>
      <c r="M73" s="19" t="e">
        <f>IF(J73="","SEM #CH",VLOOKUP(J73,#REF!,4,0))</f>
        <v>#REF!</v>
      </c>
      <c r="N73" s="19" t="e">
        <f>IF(J73="","SEM #CH",VLOOKUP(J73,#REF!,5,0))</f>
        <v>#REF!</v>
      </c>
      <c r="O73" s="19" t="e">
        <f>IF(J73="","SEM #CH",VLOOKUP(J73,#REF!,6,0))</f>
        <v>#REF!</v>
      </c>
      <c r="P73" s="19" t="e">
        <f>IF(J73="","SEM #CH",VLOOKUP(J73,#REF!,7,0))</f>
        <v>#REF!</v>
      </c>
      <c r="Q73" s="77" t="str">
        <f>VLOOKUP(J73,'p1'!$B$2:$C$30,2,0)</f>
        <v>NÃO TEM CHAPA</v>
      </c>
      <c r="R73" s="94">
        <v>45779</v>
      </c>
      <c r="S73" s="90" t="s">
        <v>218</v>
      </c>
      <c r="T73" s="90">
        <f t="shared" si="8"/>
        <v>1</v>
      </c>
      <c r="U73" s="94">
        <v>45833</v>
      </c>
      <c r="V73" s="90" t="s">
        <v>86</v>
      </c>
      <c r="W73" s="92">
        <v>2413</v>
      </c>
      <c r="X73" s="93">
        <f t="shared" si="7"/>
        <v>1</v>
      </c>
      <c r="Y73" s="92"/>
      <c r="Z73" s="92"/>
      <c r="AA73" s="13" t="str">
        <f t="shared" si="9"/>
        <v>mai/2025</v>
      </c>
    </row>
    <row r="74" spans="1:27" x14ac:dyDescent="0.25">
      <c r="A74" s="89">
        <v>73</v>
      </c>
      <c r="B74" s="68">
        <v>45752</v>
      </c>
      <c r="C74" s="40">
        <v>9</v>
      </c>
      <c r="D74" s="40">
        <f t="shared" si="5"/>
        <v>1</v>
      </c>
      <c r="E74" s="44" t="s">
        <v>116</v>
      </c>
      <c r="F74" s="17" t="s">
        <v>58</v>
      </c>
      <c r="G74" s="17" t="s">
        <v>86</v>
      </c>
      <c r="H74" s="42" t="s">
        <v>306</v>
      </c>
      <c r="I74" s="17" t="str">
        <f t="shared" si="6"/>
        <v>PN-73</v>
      </c>
      <c r="J74" s="18" t="s">
        <v>85</v>
      </c>
      <c r="K74" s="19" t="e">
        <f>IF(J74="","SEM #CH",VLOOKUP(J74,#REF!,2,0))</f>
        <v>#REF!</v>
      </c>
      <c r="L74" s="19" t="e">
        <f>IF(J74="","SEM #CH",VLOOKUP(J74,#REF!,3,0))</f>
        <v>#REF!</v>
      </c>
      <c r="M74" s="19" t="e">
        <f>IF(J74="","SEM #CH",VLOOKUP(J74,#REF!,4,0))</f>
        <v>#REF!</v>
      </c>
      <c r="N74" s="19" t="e">
        <f>IF(J74="","SEM #CH",VLOOKUP(J74,#REF!,5,0))</f>
        <v>#REF!</v>
      </c>
      <c r="O74" s="19" t="e">
        <f>IF(J74="","SEM #CH",VLOOKUP(J74,#REF!,6,0))</f>
        <v>#REF!</v>
      </c>
      <c r="P74" s="19" t="e">
        <f>IF(J74="","SEM #CH",VLOOKUP(J74,#REF!,7,0))</f>
        <v>#REF!</v>
      </c>
      <c r="Q74" s="77" t="str">
        <f>VLOOKUP(J74,'p1'!$B$2:$C$30,2,0)</f>
        <v>NÃO TEM CHAPA</v>
      </c>
      <c r="R74" s="94">
        <v>45779</v>
      </c>
      <c r="S74" s="90" t="s">
        <v>218</v>
      </c>
      <c r="T74" s="90">
        <f t="shared" si="8"/>
        <v>1</v>
      </c>
      <c r="U74" s="94">
        <v>45819</v>
      </c>
      <c r="V74" s="90" t="s">
        <v>86</v>
      </c>
      <c r="W74" s="92">
        <v>2379</v>
      </c>
      <c r="X74" s="93">
        <f t="shared" si="7"/>
        <v>1</v>
      </c>
      <c r="Y74" s="92"/>
      <c r="Z74" s="92"/>
      <c r="AA74" s="13" t="str">
        <f t="shared" si="9"/>
        <v>mai/2025</v>
      </c>
    </row>
    <row r="75" spans="1:27" x14ac:dyDescent="0.25">
      <c r="A75" s="89">
        <v>74</v>
      </c>
      <c r="B75" s="68">
        <v>45752</v>
      </c>
      <c r="C75" s="40">
        <v>9</v>
      </c>
      <c r="D75" s="40">
        <f t="shared" si="5"/>
        <v>1</v>
      </c>
      <c r="E75" s="44" t="s">
        <v>116</v>
      </c>
      <c r="F75" s="17" t="s">
        <v>58</v>
      </c>
      <c r="G75" s="17" t="s">
        <v>86</v>
      </c>
      <c r="H75" s="42" t="s">
        <v>307</v>
      </c>
      <c r="I75" s="17" t="str">
        <f t="shared" si="6"/>
        <v>PN-74</v>
      </c>
      <c r="J75" s="18" t="s">
        <v>85</v>
      </c>
      <c r="K75" s="19" t="e">
        <f>IF(J75="","SEM #CH",VLOOKUP(J75,#REF!,2,0))</f>
        <v>#REF!</v>
      </c>
      <c r="L75" s="19" t="e">
        <f>IF(J75="","SEM #CH",VLOOKUP(J75,#REF!,3,0))</f>
        <v>#REF!</v>
      </c>
      <c r="M75" s="19" t="e">
        <f>IF(J75="","SEM #CH",VLOOKUP(J75,#REF!,4,0))</f>
        <v>#REF!</v>
      </c>
      <c r="N75" s="19" t="e">
        <f>IF(J75="","SEM #CH",VLOOKUP(J75,#REF!,5,0))</f>
        <v>#REF!</v>
      </c>
      <c r="O75" s="19" t="e">
        <f>IF(J75="","SEM #CH",VLOOKUP(J75,#REF!,6,0))</f>
        <v>#REF!</v>
      </c>
      <c r="P75" s="19" t="e">
        <f>IF(J75="","SEM #CH",VLOOKUP(J75,#REF!,7,0))</f>
        <v>#REF!</v>
      </c>
      <c r="Q75" s="77" t="str">
        <f>VLOOKUP(J75,'p1'!$B$2:$C$30,2,0)</f>
        <v>NÃO TEM CHAPA</v>
      </c>
      <c r="R75" s="94">
        <v>45777</v>
      </c>
      <c r="S75" s="90" t="s">
        <v>218</v>
      </c>
      <c r="T75" s="90">
        <f t="shared" si="8"/>
        <v>1</v>
      </c>
      <c r="U75" s="94">
        <v>45820</v>
      </c>
      <c r="V75" s="90" t="s">
        <v>1038</v>
      </c>
      <c r="W75" s="92">
        <v>2381</v>
      </c>
      <c r="X75" s="93">
        <f t="shared" si="7"/>
        <v>1</v>
      </c>
      <c r="Y75" s="92"/>
      <c r="Z75" s="92"/>
      <c r="AA75" s="13" t="str">
        <f t="shared" si="9"/>
        <v>abr/2025</v>
      </c>
    </row>
    <row r="76" spans="1:27" x14ac:dyDescent="0.25">
      <c r="A76" s="89">
        <v>75</v>
      </c>
      <c r="B76" s="68">
        <v>45752</v>
      </c>
      <c r="C76" s="40">
        <v>9</v>
      </c>
      <c r="D76" s="40">
        <f t="shared" si="5"/>
        <v>1</v>
      </c>
      <c r="E76" s="44" t="s">
        <v>116</v>
      </c>
      <c r="F76" s="17" t="s">
        <v>58</v>
      </c>
      <c r="G76" s="17" t="s">
        <v>86</v>
      </c>
      <c r="H76" s="42" t="s">
        <v>308</v>
      </c>
      <c r="I76" s="17" t="str">
        <f t="shared" si="6"/>
        <v>PN-75</v>
      </c>
      <c r="J76" s="18" t="s">
        <v>85</v>
      </c>
      <c r="K76" s="19" t="e">
        <f>IF(J76="","SEM #CH",VLOOKUP(J76,#REF!,2,0))</f>
        <v>#REF!</v>
      </c>
      <c r="L76" s="19" t="e">
        <f>IF(J76="","SEM #CH",VLOOKUP(J76,#REF!,3,0))</f>
        <v>#REF!</v>
      </c>
      <c r="M76" s="19" t="e">
        <f>IF(J76="","SEM #CH",VLOOKUP(J76,#REF!,4,0))</f>
        <v>#REF!</v>
      </c>
      <c r="N76" s="19" t="e">
        <f>IF(J76="","SEM #CH",VLOOKUP(J76,#REF!,5,0))</f>
        <v>#REF!</v>
      </c>
      <c r="O76" s="19" t="e">
        <f>IF(J76="","SEM #CH",VLOOKUP(J76,#REF!,6,0))</f>
        <v>#REF!</v>
      </c>
      <c r="P76" s="19" t="e">
        <f>IF(J76="","SEM #CH",VLOOKUP(J76,#REF!,7,0))</f>
        <v>#REF!</v>
      </c>
      <c r="Q76" s="77" t="str">
        <f>VLOOKUP(J76,'p1'!$B$2:$C$30,2,0)</f>
        <v>NÃO TEM CHAPA</v>
      </c>
      <c r="R76" s="94">
        <v>45777</v>
      </c>
      <c r="S76" s="90" t="s">
        <v>218</v>
      </c>
      <c r="T76" s="90">
        <f t="shared" si="8"/>
        <v>1</v>
      </c>
      <c r="U76" s="94">
        <v>45819</v>
      </c>
      <c r="V76" s="90" t="s">
        <v>86</v>
      </c>
      <c r="W76" s="92">
        <v>2379</v>
      </c>
      <c r="X76" s="93">
        <f t="shared" si="7"/>
        <v>1</v>
      </c>
      <c r="Y76" s="92"/>
      <c r="Z76" s="92"/>
      <c r="AA76" s="13" t="str">
        <f t="shared" si="9"/>
        <v>abr/2025</v>
      </c>
    </row>
    <row r="77" spans="1:27" x14ac:dyDescent="0.25">
      <c r="A77" s="89">
        <v>76</v>
      </c>
      <c r="B77" s="68">
        <v>45754</v>
      </c>
      <c r="C77" s="40">
        <v>10</v>
      </c>
      <c r="D77" s="40">
        <f t="shared" si="5"/>
        <v>1</v>
      </c>
      <c r="E77" s="44" t="s">
        <v>116</v>
      </c>
      <c r="F77" s="17" t="s">
        <v>58</v>
      </c>
      <c r="G77" s="17" t="s">
        <v>86</v>
      </c>
      <c r="H77" s="42" t="s">
        <v>309</v>
      </c>
      <c r="I77" s="17" t="str">
        <f t="shared" si="6"/>
        <v>PN-76</v>
      </c>
      <c r="J77" s="18" t="s">
        <v>85</v>
      </c>
      <c r="K77" s="19" t="e">
        <f>IF(J77="","SEM #CH",VLOOKUP(J77,#REF!,2,0))</f>
        <v>#REF!</v>
      </c>
      <c r="L77" s="19" t="e">
        <f>IF(J77="","SEM #CH",VLOOKUP(J77,#REF!,3,0))</f>
        <v>#REF!</v>
      </c>
      <c r="M77" s="19" t="e">
        <f>IF(J77="","SEM #CH",VLOOKUP(J77,#REF!,4,0))</f>
        <v>#REF!</v>
      </c>
      <c r="N77" s="19" t="e">
        <f>IF(J77="","SEM #CH",VLOOKUP(J77,#REF!,5,0))</f>
        <v>#REF!</v>
      </c>
      <c r="O77" s="19" t="e">
        <f>IF(J77="","SEM #CH",VLOOKUP(J77,#REF!,6,0))</f>
        <v>#REF!</v>
      </c>
      <c r="P77" s="19" t="e">
        <f>IF(J77="","SEM #CH",VLOOKUP(J77,#REF!,7,0))</f>
        <v>#REF!</v>
      </c>
      <c r="Q77" s="77" t="str">
        <f>VLOOKUP(J77,'p1'!$B$2:$C$30,2,0)</f>
        <v>NÃO TEM CHAPA</v>
      </c>
      <c r="R77" s="94">
        <v>45926</v>
      </c>
      <c r="S77" s="90" t="s">
        <v>217</v>
      </c>
      <c r="T77" s="90">
        <f t="shared" si="8"/>
        <v>1</v>
      </c>
      <c r="U77" s="94">
        <v>45926</v>
      </c>
      <c r="V77" s="90" t="s">
        <v>86</v>
      </c>
      <c r="W77" s="92">
        <v>2547</v>
      </c>
      <c r="X77" s="93">
        <f t="shared" si="7"/>
        <v>1</v>
      </c>
      <c r="Y77" s="92"/>
      <c r="Z77" s="92"/>
      <c r="AA77" s="13" t="str">
        <f t="shared" si="9"/>
        <v>set/2025</v>
      </c>
    </row>
    <row r="78" spans="1:27" x14ac:dyDescent="0.25">
      <c r="A78" s="89">
        <v>77</v>
      </c>
      <c r="B78" s="68">
        <v>45754</v>
      </c>
      <c r="C78" s="40">
        <v>10</v>
      </c>
      <c r="D78" s="40">
        <f t="shared" si="5"/>
        <v>1</v>
      </c>
      <c r="E78" s="44" t="s">
        <v>116</v>
      </c>
      <c r="F78" s="17" t="s">
        <v>58</v>
      </c>
      <c r="G78" s="17" t="s">
        <v>86</v>
      </c>
      <c r="H78" s="42" t="s">
        <v>310</v>
      </c>
      <c r="I78" s="17" t="str">
        <f t="shared" si="6"/>
        <v>PN-77</v>
      </c>
      <c r="J78" s="18" t="s">
        <v>85</v>
      </c>
      <c r="K78" s="19" t="e">
        <f>IF(J78="","SEM #CH",VLOOKUP(J78,#REF!,2,0))</f>
        <v>#REF!</v>
      </c>
      <c r="L78" s="19" t="e">
        <f>IF(J78="","SEM #CH",VLOOKUP(J78,#REF!,3,0))</f>
        <v>#REF!</v>
      </c>
      <c r="M78" s="19" t="e">
        <f>IF(J78="","SEM #CH",VLOOKUP(J78,#REF!,4,0))</f>
        <v>#REF!</v>
      </c>
      <c r="N78" s="19" t="e">
        <f>IF(J78="","SEM #CH",VLOOKUP(J78,#REF!,5,0))</f>
        <v>#REF!</v>
      </c>
      <c r="O78" s="19" t="e">
        <f>IF(J78="","SEM #CH",VLOOKUP(J78,#REF!,6,0))</f>
        <v>#REF!</v>
      </c>
      <c r="P78" s="19" t="e">
        <f>IF(J78="","SEM #CH",VLOOKUP(J78,#REF!,7,0))</f>
        <v>#REF!</v>
      </c>
      <c r="Q78" s="77" t="str">
        <f>VLOOKUP(J78,'p1'!$B$2:$C$30,2,0)</f>
        <v>NÃO TEM CHAPA</v>
      </c>
      <c r="R78" s="94">
        <v>45911</v>
      </c>
      <c r="S78" s="90" t="s">
        <v>217</v>
      </c>
      <c r="T78" s="90">
        <f t="shared" si="8"/>
        <v>1</v>
      </c>
      <c r="U78" s="94">
        <v>45912</v>
      </c>
      <c r="V78" s="90" t="s">
        <v>86</v>
      </c>
      <c r="W78" s="92">
        <v>2521</v>
      </c>
      <c r="X78" s="93">
        <f t="shared" si="7"/>
        <v>1</v>
      </c>
      <c r="Y78" s="92"/>
      <c r="Z78" s="92"/>
      <c r="AA78" s="13" t="str">
        <f t="shared" si="9"/>
        <v>set/2025</v>
      </c>
    </row>
    <row r="79" spans="1:27" x14ac:dyDescent="0.25">
      <c r="A79" s="89">
        <v>78</v>
      </c>
      <c r="B79" s="68">
        <v>45754</v>
      </c>
      <c r="C79" s="40">
        <v>10</v>
      </c>
      <c r="D79" s="40">
        <f t="shared" si="5"/>
        <v>1</v>
      </c>
      <c r="E79" s="44" t="s">
        <v>116</v>
      </c>
      <c r="F79" s="17" t="s">
        <v>58</v>
      </c>
      <c r="G79" s="17" t="s">
        <v>86</v>
      </c>
      <c r="H79" s="42" t="s">
        <v>311</v>
      </c>
      <c r="I79" s="17" t="str">
        <f t="shared" si="6"/>
        <v>PN-78</v>
      </c>
      <c r="J79" s="18" t="s">
        <v>85</v>
      </c>
      <c r="K79" s="19" t="e">
        <f>IF(J79="","SEM #CH",VLOOKUP(J79,#REF!,2,0))</f>
        <v>#REF!</v>
      </c>
      <c r="L79" s="19" t="e">
        <f>IF(J79="","SEM #CH",VLOOKUP(J79,#REF!,3,0))</f>
        <v>#REF!</v>
      </c>
      <c r="M79" s="19" t="e">
        <f>IF(J79="","SEM #CH",VLOOKUP(J79,#REF!,4,0))</f>
        <v>#REF!</v>
      </c>
      <c r="N79" s="19" t="e">
        <f>IF(J79="","SEM #CH",VLOOKUP(J79,#REF!,5,0))</f>
        <v>#REF!</v>
      </c>
      <c r="O79" s="19" t="e">
        <f>IF(J79="","SEM #CH",VLOOKUP(J79,#REF!,6,0))</f>
        <v>#REF!</v>
      </c>
      <c r="P79" s="19" t="e">
        <f>IF(J79="","SEM #CH",VLOOKUP(J79,#REF!,7,0))</f>
        <v>#REF!</v>
      </c>
      <c r="Q79" s="77" t="str">
        <f>VLOOKUP(J79,'p1'!$B$2:$C$30,2,0)</f>
        <v>NÃO TEM CHAPA</v>
      </c>
      <c r="R79" s="94">
        <v>45927</v>
      </c>
      <c r="S79" s="90" t="s">
        <v>217</v>
      </c>
      <c r="T79" s="90">
        <f t="shared" si="8"/>
        <v>1</v>
      </c>
      <c r="U79" s="94">
        <v>45929</v>
      </c>
      <c r="V79" s="90" t="s">
        <v>86</v>
      </c>
      <c r="W79" s="92">
        <v>2551</v>
      </c>
      <c r="X79" s="93">
        <f t="shared" si="7"/>
        <v>1</v>
      </c>
      <c r="Y79" s="92"/>
      <c r="Z79" s="92"/>
      <c r="AA79" s="13" t="str">
        <f t="shared" si="9"/>
        <v>set/2025</v>
      </c>
    </row>
    <row r="80" spans="1:27" x14ac:dyDescent="0.25">
      <c r="A80" s="89">
        <v>79</v>
      </c>
      <c r="B80" s="68">
        <v>45754</v>
      </c>
      <c r="C80" s="40">
        <v>10</v>
      </c>
      <c r="D80" s="40">
        <f t="shared" si="5"/>
        <v>1</v>
      </c>
      <c r="E80" s="44" t="s">
        <v>116</v>
      </c>
      <c r="F80" s="17" t="s">
        <v>58</v>
      </c>
      <c r="G80" s="17" t="s">
        <v>86</v>
      </c>
      <c r="H80" s="42" t="s">
        <v>312</v>
      </c>
      <c r="I80" s="17" t="str">
        <f t="shared" si="6"/>
        <v>PN-79</v>
      </c>
      <c r="J80" s="18" t="s">
        <v>85</v>
      </c>
      <c r="K80" s="19" t="e">
        <f>IF(J80="","SEM #CH",VLOOKUP(J80,#REF!,2,0))</f>
        <v>#REF!</v>
      </c>
      <c r="L80" s="19" t="e">
        <f>IF(J80="","SEM #CH",VLOOKUP(J80,#REF!,3,0))</f>
        <v>#REF!</v>
      </c>
      <c r="M80" s="19" t="e">
        <f>IF(J80="","SEM #CH",VLOOKUP(J80,#REF!,4,0))</f>
        <v>#REF!</v>
      </c>
      <c r="N80" s="19" t="e">
        <f>IF(J80="","SEM #CH",VLOOKUP(J80,#REF!,5,0))</f>
        <v>#REF!</v>
      </c>
      <c r="O80" s="19" t="e">
        <f>IF(J80="","SEM #CH",VLOOKUP(J80,#REF!,6,0))</f>
        <v>#REF!</v>
      </c>
      <c r="P80" s="19" t="e">
        <f>IF(J80="","SEM #CH",VLOOKUP(J80,#REF!,7,0))</f>
        <v>#REF!</v>
      </c>
      <c r="Q80" s="77" t="str">
        <f>VLOOKUP(J80,'p1'!$B$2:$C$30,2,0)</f>
        <v>NÃO TEM CHAPA</v>
      </c>
      <c r="R80" s="94">
        <v>45929</v>
      </c>
      <c r="S80" s="90" t="s">
        <v>217</v>
      </c>
      <c r="T80" s="90">
        <f t="shared" si="8"/>
        <v>1</v>
      </c>
      <c r="U80" s="94">
        <v>45931</v>
      </c>
      <c r="V80" s="90" t="s">
        <v>86</v>
      </c>
      <c r="W80" s="92">
        <v>2555</v>
      </c>
      <c r="X80" s="93">
        <f t="shared" si="7"/>
        <v>1</v>
      </c>
      <c r="Y80" s="92"/>
      <c r="Z80" s="92"/>
      <c r="AA80" s="13" t="str">
        <f t="shared" si="9"/>
        <v>set/2025</v>
      </c>
    </row>
    <row r="81" spans="1:27" x14ac:dyDescent="0.25">
      <c r="A81" s="89">
        <v>80</v>
      </c>
      <c r="B81" s="68">
        <v>45754</v>
      </c>
      <c r="C81" s="40">
        <v>10</v>
      </c>
      <c r="D81" s="40">
        <f t="shared" si="5"/>
        <v>1</v>
      </c>
      <c r="E81" s="44" t="s">
        <v>116</v>
      </c>
      <c r="F81" s="17" t="s">
        <v>58</v>
      </c>
      <c r="G81" s="17" t="s">
        <v>86</v>
      </c>
      <c r="H81" s="42" t="s">
        <v>313</v>
      </c>
      <c r="I81" s="17" t="str">
        <f t="shared" si="6"/>
        <v>PN-80</v>
      </c>
      <c r="J81" s="18" t="s">
        <v>85</v>
      </c>
      <c r="K81" s="19" t="e">
        <f>IF(J81="","SEM #CH",VLOOKUP(J81,#REF!,2,0))</f>
        <v>#REF!</v>
      </c>
      <c r="L81" s="19" t="e">
        <f>IF(J81="","SEM #CH",VLOOKUP(J81,#REF!,3,0))</f>
        <v>#REF!</v>
      </c>
      <c r="M81" s="19" t="e">
        <f>IF(J81="","SEM #CH",VLOOKUP(J81,#REF!,4,0))</f>
        <v>#REF!</v>
      </c>
      <c r="N81" s="19" t="e">
        <f>IF(J81="","SEM #CH",VLOOKUP(J81,#REF!,5,0))</f>
        <v>#REF!</v>
      </c>
      <c r="O81" s="19" t="e">
        <f>IF(J81="","SEM #CH",VLOOKUP(J81,#REF!,6,0))</f>
        <v>#REF!</v>
      </c>
      <c r="P81" s="19" t="e">
        <f>IF(J81="","SEM #CH",VLOOKUP(J81,#REF!,7,0))</f>
        <v>#REF!</v>
      </c>
      <c r="Q81" s="77" t="str">
        <f>VLOOKUP(J81,'p1'!$B$2:$C$30,2,0)</f>
        <v>NÃO TEM CHAPA</v>
      </c>
      <c r="R81" s="94">
        <v>45930</v>
      </c>
      <c r="S81" s="90" t="s">
        <v>217</v>
      </c>
      <c r="T81" s="90">
        <f t="shared" si="8"/>
        <v>1</v>
      </c>
      <c r="U81" s="94">
        <v>45931</v>
      </c>
      <c r="V81" s="90" t="s">
        <v>86</v>
      </c>
      <c r="W81" s="92">
        <v>2554</v>
      </c>
      <c r="X81" s="93">
        <f t="shared" si="7"/>
        <v>1</v>
      </c>
      <c r="Y81" s="92"/>
      <c r="Z81" s="92"/>
      <c r="AA81" s="13" t="str">
        <f t="shared" si="9"/>
        <v>set/2025</v>
      </c>
    </row>
    <row r="82" spans="1:27" x14ac:dyDescent="0.25">
      <c r="A82" s="89">
        <v>81</v>
      </c>
      <c r="B82" s="68">
        <v>45754</v>
      </c>
      <c r="C82" s="40">
        <v>10</v>
      </c>
      <c r="D82" s="40">
        <f t="shared" si="5"/>
        <v>1</v>
      </c>
      <c r="E82" s="44" t="s">
        <v>116</v>
      </c>
      <c r="F82" s="17" t="s">
        <v>58</v>
      </c>
      <c r="G82" s="17" t="s">
        <v>86</v>
      </c>
      <c r="H82" s="42" t="s">
        <v>314</v>
      </c>
      <c r="I82" s="17" t="str">
        <f t="shared" si="6"/>
        <v>PN-81</v>
      </c>
      <c r="J82" s="18" t="s">
        <v>85</v>
      </c>
      <c r="K82" s="19" t="e">
        <f>IF(J82="","SEM #CH",VLOOKUP(J82,#REF!,2,0))</f>
        <v>#REF!</v>
      </c>
      <c r="L82" s="19" t="e">
        <f>IF(J82="","SEM #CH",VLOOKUP(J82,#REF!,3,0))</f>
        <v>#REF!</v>
      </c>
      <c r="M82" s="19" t="e">
        <f>IF(J82="","SEM #CH",VLOOKUP(J82,#REF!,4,0))</f>
        <v>#REF!</v>
      </c>
      <c r="N82" s="19" t="e">
        <f>IF(J82="","SEM #CH",VLOOKUP(J82,#REF!,5,0))</f>
        <v>#REF!</v>
      </c>
      <c r="O82" s="19" t="e">
        <f>IF(J82="","SEM #CH",VLOOKUP(J82,#REF!,6,0))</f>
        <v>#REF!</v>
      </c>
      <c r="P82" s="19" t="e">
        <f>IF(J82="","SEM #CH",VLOOKUP(J82,#REF!,7,0))</f>
        <v>#REF!</v>
      </c>
      <c r="Q82" s="77" t="str">
        <f>VLOOKUP(J82,'p1'!$B$2:$C$30,2,0)</f>
        <v>NÃO TEM CHAPA</v>
      </c>
      <c r="R82" s="94">
        <v>45911</v>
      </c>
      <c r="S82" s="90" t="s">
        <v>217</v>
      </c>
      <c r="T82" s="90">
        <f t="shared" si="8"/>
        <v>1</v>
      </c>
      <c r="U82" s="94">
        <v>45912</v>
      </c>
      <c r="V82" s="90" t="s">
        <v>86</v>
      </c>
      <c r="W82" s="92">
        <v>2520</v>
      </c>
      <c r="X82" s="93">
        <f t="shared" si="7"/>
        <v>1</v>
      </c>
      <c r="Y82" s="92"/>
      <c r="Z82" s="92"/>
      <c r="AA82" s="13" t="str">
        <f t="shared" si="9"/>
        <v>set/2025</v>
      </c>
    </row>
    <row r="83" spans="1:27" x14ac:dyDescent="0.25">
      <c r="A83" s="89">
        <v>82</v>
      </c>
      <c r="B83" s="68">
        <v>45754</v>
      </c>
      <c r="C83" s="40">
        <v>10</v>
      </c>
      <c r="D83" s="40">
        <f t="shared" si="5"/>
        <v>1</v>
      </c>
      <c r="E83" s="44" t="s">
        <v>116</v>
      </c>
      <c r="F83" s="17" t="s">
        <v>58</v>
      </c>
      <c r="G83" s="17" t="s">
        <v>86</v>
      </c>
      <c r="H83" s="42" t="s">
        <v>315</v>
      </c>
      <c r="I83" s="17" t="str">
        <f t="shared" si="6"/>
        <v>PN-82</v>
      </c>
      <c r="J83" s="18" t="s">
        <v>85</v>
      </c>
      <c r="K83" s="19" t="e">
        <f>IF(J83="","SEM #CH",VLOOKUP(J83,#REF!,2,0))</f>
        <v>#REF!</v>
      </c>
      <c r="L83" s="19" t="e">
        <f>IF(J83="","SEM #CH",VLOOKUP(J83,#REF!,3,0))</f>
        <v>#REF!</v>
      </c>
      <c r="M83" s="19" t="e">
        <f>IF(J83="","SEM #CH",VLOOKUP(J83,#REF!,4,0))</f>
        <v>#REF!</v>
      </c>
      <c r="N83" s="19" t="e">
        <f>IF(J83="","SEM #CH",VLOOKUP(J83,#REF!,5,0))</f>
        <v>#REF!</v>
      </c>
      <c r="O83" s="19" t="e">
        <f>IF(J83="","SEM #CH",VLOOKUP(J83,#REF!,6,0))</f>
        <v>#REF!</v>
      </c>
      <c r="P83" s="19" t="e">
        <f>IF(J83="","SEM #CH",VLOOKUP(J83,#REF!,7,0))</f>
        <v>#REF!</v>
      </c>
      <c r="Q83" s="77" t="str">
        <f>VLOOKUP(J83,'p1'!$B$2:$C$30,2,0)</f>
        <v>NÃO TEM CHAPA</v>
      </c>
      <c r="R83" s="94">
        <v>45776</v>
      </c>
      <c r="S83" s="90" t="s">
        <v>217</v>
      </c>
      <c r="T83" s="90">
        <f t="shared" si="8"/>
        <v>1</v>
      </c>
      <c r="U83" s="94">
        <v>45898</v>
      </c>
      <c r="V83" s="90" t="s">
        <v>86</v>
      </c>
      <c r="W83" s="92">
        <v>2501</v>
      </c>
      <c r="X83" s="93">
        <f t="shared" si="7"/>
        <v>1</v>
      </c>
      <c r="Y83" s="92"/>
      <c r="Z83" s="92"/>
      <c r="AA83" s="13" t="str">
        <f t="shared" si="9"/>
        <v>abr/2025</v>
      </c>
    </row>
    <row r="84" spans="1:27" x14ac:dyDescent="0.25">
      <c r="A84" s="89">
        <v>83</v>
      </c>
      <c r="B84" s="68">
        <v>45755</v>
      </c>
      <c r="C84" s="40">
        <v>11</v>
      </c>
      <c r="D84" s="40">
        <f t="shared" si="5"/>
        <v>1</v>
      </c>
      <c r="E84" s="44" t="s">
        <v>116</v>
      </c>
      <c r="F84" s="17" t="s">
        <v>58</v>
      </c>
      <c r="G84" s="17" t="s">
        <v>86</v>
      </c>
      <c r="H84" s="42" t="s">
        <v>316</v>
      </c>
      <c r="I84" s="17" t="str">
        <f t="shared" si="6"/>
        <v>PN-83</v>
      </c>
      <c r="J84" s="18" t="s">
        <v>85</v>
      </c>
      <c r="K84" s="19" t="e">
        <f>IF(J84="","SEM #CH",VLOOKUP(J84,#REF!,2,0))</f>
        <v>#REF!</v>
      </c>
      <c r="L84" s="19" t="e">
        <f>IF(J84="","SEM #CH",VLOOKUP(J84,#REF!,3,0))</f>
        <v>#REF!</v>
      </c>
      <c r="M84" s="19" t="e">
        <f>IF(J84="","SEM #CH",VLOOKUP(J84,#REF!,4,0))</f>
        <v>#REF!</v>
      </c>
      <c r="N84" s="19" t="e">
        <f>IF(J84="","SEM #CH",VLOOKUP(J84,#REF!,5,0))</f>
        <v>#REF!</v>
      </c>
      <c r="O84" s="19" t="e">
        <f>IF(J84="","SEM #CH",VLOOKUP(J84,#REF!,6,0))</f>
        <v>#REF!</v>
      </c>
      <c r="P84" s="19" t="e">
        <f>IF(J84="","SEM #CH",VLOOKUP(J84,#REF!,7,0))</f>
        <v>#REF!</v>
      </c>
      <c r="Q84" s="77" t="str">
        <f>VLOOKUP(J84,'p1'!$B$2:$C$30,2,0)</f>
        <v>NÃO TEM CHAPA</v>
      </c>
      <c r="R84" s="94">
        <v>45803</v>
      </c>
      <c r="S84" s="90" t="s">
        <v>218</v>
      </c>
      <c r="T84" s="90">
        <f t="shared" si="8"/>
        <v>1</v>
      </c>
      <c r="U84" s="94">
        <v>45828</v>
      </c>
      <c r="V84" s="90" t="s">
        <v>86</v>
      </c>
      <c r="W84" s="92">
        <v>2396</v>
      </c>
      <c r="X84" s="93">
        <f t="shared" si="7"/>
        <v>1</v>
      </c>
      <c r="Y84" s="92"/>
      <c r="Z84" s="92"/>
      <c r="AA84" s="13" t="str">
        <f t="shared" si="9"/>
        <v>mai/2025</v>
      </c>
    </row>
    <row r="85" spans="1:27" x14ac:dyDescent="0.25">
      <c r="A85" s="89">
        <v>84</v>
      </c>
      <c r="B85" s="68">
        <v>45755</v>
      </c>
      <c r="C85" s="40">
        <v>11</v>
      </c>
      <c r="D85" s="40">
        <f t="shared" si="5"/>
        <v>1</v>
      </c>
      <c r="E85" s="44" t="s">
        <v>116</v>
      </c>
      <c r="F85" s="17" t="s">
        <v>58</v>
      </c>
      <c r="G85" s="17" t="s">
        <v>86</v>
      </c>
      <c r="H85" s="42" t="s">
        <v>317</v>
      </c>
      <c r="I85" s="17" t="str">
        <f t="shared" si="6"/>
        <v>PN-84</v>
      </c>
      <c r="J85" s="18" t="s">
        <v>85</v>
      </c>
      <c r="K85" s="19" t="e">
        <f>IF(J85="","SEM #CH",VLOOKUP(J85,#REF!,2,0))</f>
        <v>#REF!</v>
      </c>
      <c r="L85" s="19" t="e">
        <f>IF(J85="","SEM #CH",VLOOKUP(J85,#REF!,3,0))</f>
        <v>#REF!</v>
      </c>
      <c r="M85" s="19" t="e">
        <f>IF(J85="","SEM #CH",VLOOKUP(J85,#REF!,4,0))</f>
        <v>#REF!</v>
      </c>
      <c r="N85" s="19" t="e">
        <f>IF(J85="","SEM #CH",VLOOKUP(J85,#REF!,5,0))</f>
        <v>#REF!</v>
      </c>
      <c r="O85" s="19" t="e">
        <f>IF(J85="","SEM #CH",VLOOKUP(J85,#REF!,6,0))</f>
        <v>#REF!</v>
      </c>
      <c r="P85" s="19" t="e">
        <f>IF(J85="","SEM #CH",VLOOKUP(J85,#REF!,7,0))</f>
        <v>#REF!</v>
      </c>
      <c r="Q85" s="77" t="str">
        <f>VLOOKUP(J85,'p1'!$B$2:$C$30,2,0)</f>
        <v>NÃO TEM CHAPA</v>
      </c>
      <c r="R85" s="94">
        <v>45804</v>
      </c>
      <c r="S85" s="90" t="s">
        <v>218</v>
      </c>
      <c r="T85" s="90">
        <f t="shared" si="8"/>
        <v>1</v>
      </c>
      <c r="U85" s="94">
        <v>45828</v>
      </c>
      <c r="V85" s="90" t="s">
        <v>86</v>
      </c>
      <c r="W85" s="92">
        <v>2396</v>
      </c>
      <c r="X85" s="93">
        <f t="shared" si="7"/>
        <v>1</v>
      </c>
      <c r="Y85" s="92"/>
      <c r="Z85" s="92"/>
      <c r="AA85" s="13" t="str">
        <f t="shared" si="9"/>
        <v>mai/2025</v>
      </c>
    </row>
    <row r="86" spans="1:27" x14ac:dyDescent="0.25">
      <c r="A86" s="89">
        <v>85</v>
      </c>
      <c r="B86" s="68">
        <v>45755</v>
      </c>
      <c r="C86" s="40">
        <v>11</v>
      </c>
      <c r="D86" s="40">
        <f t="shared" si="5"/>
        <v>1</v>
      </c>
      <c r="E86" s="44" t="s">
        <v>116</v>
      </c>
      <c r="F86" s="17" t="s">
        <v>58</v>
      </c>
      <c r="G86" s="17" t="s">
        <v>86</v>
      </c>
      <c r="H86" s="42" t="s">
        <v>318</v>
      </c>
      <c r="I86" s="17" t="str">
        <f t="shared" si="6"/>
        <v>PN-85</v>
      </c>
      <c r="J86" s="18" t="s">
        <v>85</v>
      </c>
      <c r="K86" s="19" t="e">
        <f>IF(J86="","SEM #CH",VLOOKUP(J86,#REF!,2,0))</f>
        <v>#REF!</v>
      </c>
      <c r="L86" s="19" t="e">
        <f>IF(J86="","SEM #CH",VLOOKUP(J86,#REF!,3,0))</f>
        <v>#REF!</v>
      </c>
      <c r="M86" s="19" t="e">
        <f>IF(J86="","SEM #CH",VLOOKUP(J86,#REF!,4,0))</f>
        <v>#REF!</v>
      </c>
      <c r="N86" s="19" t="e">
        <f>IF(J86="","SEM #CH",VLOOKUP(J86,#REF!,5,0))</f>
        <v>#REF!</v>
      </c>
      <c r="O86" s="19" t="e">
        <f>IF(J86="","SEM #CH",VLOOKUP(J86,#REF!,6,0))</f>
        <v>#REF!</v>
      </c>
      <c r="P86" s="19" t="e">
        <f>IF(J86="","SEM #CH",VLOOKUP(J86,#REF!,7,0))</f>
        <v>#REF!</v>
      </c>
      <c r="Q86" s="77" t="str">
        <f>VLOOKUP(J86,'p1'!$B$2:$C$30,2,0)</f>
        <v>NÃO TEM CHAPA</v>
      </c>
      <c r="R86" s="94">
        <v>45804</v>
      </c>
      <c r="S86" s="90" t="s">
        <v>218</v>
      </c>
      <c r="T86" s="90">
        <f t="shared" si="8"/>
        <v>1</v>
      </c>
      <c r="U86" s="94">
        <v>45828</v>
      </c>
      <c r="V86" s="90" t="s">
        <v>86</v>
      </c>
      <c r="W86" s="92">
        <v>2398</v>
      </c>
      <c r="X86" s="93">
        <f t="shared" si="7"/>
        <v>1</v>
      </c>
      <c r="Y86" s="92"/>
      <c r="Z86" s="92"/>
      <c r="AA86" s="13" t="str">
        <f t="shared" si="9"/>
        <v>mai/2025</v>
      </c>
    </row>
    <row r="87" spans="1:27" x14ac:dyDescent="0.25">
      <c r="A87" s="89">
        <v>86</v>
      </c>
      <c r="B87" s="68">
        <v>45812</v>
      </c>
      <c r="C87" s="40">
        <v>32</v>
      </c>
      <c r="D87" s="40">
        <f t="shared" si="5"/>
        <v>1</v>
      </c>
      <c r="E87" s="44" t="s">
        <v>116</v>
      </c>
      <c r="F87" s="17" t="s">
        <v>60</v>
      </c>
      <c r="G87" s="17" t="s">
        <v>86</v>
      </c>
      <c r="H87" s="42" t="s">
        <v>319</v>
      </c>
      <c r="I87" s="17" t="str">
        <f t="shared" si="6"/>
        <v>PE-86</v>
      </c>
      <c r="J87" s="18" t="s">
        <v>90</v>
      </c>
      <c r="K87" s="19" t="e">
        <f>IF(J87="","SEM #CH",VLOOKUP(J87,#REF!,2,0))</f>
        <v>#REF!</v>
      </c>
      <c r="L87" s="19" t="e">
        <f>IF(J87="","SEM #CH",VLOOKUP(J87,#REF!,3,0))</f>
        <v>#REF!</v>
      </c>
      <c r="M87" s="19" t="e">
        <f>IF(J87="","SEM #CH",VLOOKUP(J87,#REF!,4,0))</f>
        <v>#REF!</v>
      </c>
      <c r="N87" s="19" t="e">
        <f>IF(J87="","SEM #CH",VLOOKUP(J87,#REF!,5,0))</f>
        <v>#REF!</v>
      </c>
      <c r="O87" s="19" t="e">
        <f>IF(J87="","SEM #CH",VLOOKUP(J87,#REF!,6,0))</f>
        <v>#REF!</v>
      </c>
      <c r="P87" s="19" t="e">
        <f>IF(J87="","SEM #CH",VLOOKUP(J87,#REF!,7,0))</f>
        <v>#REF!</v>
      </c>
      <c r="Q87" s="77" t="str">
        <f>VLOOKUP(J87,'p1'!$B$2:$C$30,2,0)</f>
        <v>#3/8-530X530</v>
      </c>
      <c r="R87" s="94">
        <v>45815</v>
      </c>
      <c r="S87" s="90" t="s">
        <v>217</v>
      </c>
      <c r="T87" s="90">
        <f t="shared" si="8"/>
        <v>1</v>
      </c>
      <c r="U87" s="94">
        <v>45819</v>
      </c>
      <c r="V87" s="90" t="s">
        <v>86</v>
      </c>
      <c r="W87" s="92">
        <v>2378</v>
      </c>
      <c r="X87" s="93">
        <f t="shared" si="7"/>
        <v>1</v>
      </c>
      <c r="Y87" s="92"/>
      <c r="Z87" s="92"/>
      <c r="AA87" s="13" t="str">
        <f t="shared" si="9"/>
        <v>jun/2025</v>
      </c>
    </row>
    <row r="88" spans="1:27" x14ac:dyDescent="0.25">
      <c r="A88" s="89">
        <v>87</v>
      </c>
      <c r="B88" s="68">
        <v>45755</v>
      </c>
      <c r="C88" s="40">
        <v>11</v>
      </c>
      <c r="D88" s="40">
        <f t="shared" si="5"/>
        <v>1</v>
      </c>
      <c r="E88" s="44" t="s">
        <v>116</v>
      </c>
      <c r="F88" s="17" t="s">
        <v>58</v>
      </c>
      <c r="G88" s="17" t="s">
        <v>86</v>
      </c>
      <c r="H88" s="42" t="s">
        <v>320</v>
      </c>
      <c r="I88" s="17" t="str">
        <f t="shared" si="6"/>
        <v>PN-87</v>
      </c>
      <c r="J88" s="18" t="s">
        <v>85</v>
      </c>
      <c r="K88" s="19" t="e">
        <f>IF(J88="","SEM #CH",VLOOKUP(J88,#REF!,2,0))</f>
        <v>#REF!</v>
      </c>
      <c r="L88" s="19" t="e">
        <f>IF(J88="","SEM #CH",VLOOKUP(J88,#REF!,3,0))</f>
        <v>#REF!</v>
      </c>
      <c r="M88" s="19" t="e">
        <f>IF(J88="","SEM #CH",VLOOKUP(J88,#REF!,4,0))</f>
        <v>#REF!</v>
      </c>
      <c r="N88" s="19" t="e">
        <f>IF(J88="","SEM #CH",VLOOKUP(J88,#REF!,5,0))</f>
        <v>#REF!</v>
      </c>
      <c r="O88" s="19" t="e">
        <f>IF(J88="","SEM #CH",VLOOKUP(J88,#REF!,6,0))</f>
        <v>#REF!</v>
      </c>
      <c r="P88" s="19" t="e">
        <f>IF(J88="","SEM #CH",VLOOKUP(J88,#REF!,7,0))</f>
        <v>#REF!</v>
      </c>
      <c r="Q88" s="77" t="str">
        <f>VLOOKUP(J88,'p1'!$B$2:$C$30,2,0)</f>
        <v>NÃO TEM CHAPA</v>
      </c>
      <c r="R88" s="94">
        <v>45807</v>
      </c>
      <c r="S88" s="90" t="s">
        <v>218</v>
      </c>
      <c r="T88" s="90">
        <f t="shared" si="8"/>
        <v>1</v>
      </c>
      <c r="U88" s="94">
        <v>45828</v>
      </c>
      <c r="V88" s="90" t="s">
        <v>86</v>
      </c>
      <c r="W88" s="92">
        <v>2398</v>
      </c>
      <c r="X88" s="93">
        <f t="shared" si="7"/>
        <v>1</v>
      </c>
      <c r="Y88" s="92"/>
      <c r="Z88" s="92"/>
      <c r="AA88" s="13" t="str">
        <f t="shared" si="9"/>
        <v>mai/2025</v>
      </c>
    </row>
    <row r="89" spans="1:27" x14ac:dyDescent="0.25">
      <c r="A89" s="89">
        <v>88</v>
      </c>
      <c r="B89" s="68">
        <v>45755</v>
      </c>
      <c r="C89" s="40">
        <v>11</v>
      </c>
      <c r="D89" s="40">
        <f t="shared" si="5"/>
        <v>1</v>
      </c>
      <c r="E89" s="44" t="s">
        <v>116</v>
      </c>
      <c r="F89" s="17" t="s">
        <v>58</v>
      </c>
      <c r="G89" s="17" t="s">
        <v>86</v>
      </c>
      <c r="H89" s="42" t="s">
        <v>321</v>
      </c>
      <c r="I89" s="17" t="str">
        <f t="shared" si="6"/>
        <v>PN-88</v>
      </c>
      <c r="J89" s="18" t="s">
        <v>85</v>
      </c>
      <c r="K89" s="19" t="e">
        <f>IF(J89="","SEM #CH",VLOOKUP(J89,#REF!,2,0))</f>
        <v>#REF!</v>
      </c>
      <c r="L89" s="19" t="e">
        <f>IF(J89="","SEM #CH",VLOOKUP(J89,#REF!,3,0))</f>
        <v>#REF!</v>
      </c>
      <c r="M89" s="19" t="e">
        <f>IF(J89="","SEM #CH",VLOOKUP(J89,#REF!,4,0))</f>
        <v>#REF!</v>
      </c>
      <c r="N89" s="19" t="e">
        <f>IF(J89="","SEM #CH",VLOOKUP(J89,#REF!,5,0))</f>
        <v>#REF!</v>
      </c>
      <c r="O89" s="19" t="e">
        <f>IF(J89="","SEM #CH",VLOOKUP(J89,#REF!,6,0))</f>
        <v>#REF!</v>
      </c>
      <c r="P89" s="19" t="e">
        <f>IF(J89="","SEM #CH",VLOOKUP(J89,#REF!,7,0))</f>
        <v>#REF!</v>
      </c>
      <c r="Q89" s="77" t="str">
        <f>VLOOKUP(J89,'p1'!$B$2:$C$30,2,0)</f>
        <v>NÃO TEM CHAPA</v>
      </c>
      <c r="R89" s="94">
        <v>45807</v>
      </c>
      <c r="S89" s="90" t="s">
        <v>218</v>
      </c>
      <c r="T89" s="90">
        <f t="shared" si="8"/>
        <v>1</v>
      </c>
      <c r="U89" s="94">
        <v>45828</v>
      </c>
      <c r="V89" s="90" t="s">
        <v>86</v>
      </c>
      <c r="W89" s="92">
        <v>2396</v>
      </c>
      <c r="X89" s="93">
        <f t="shared" si="7"/>
        <v>1</v>
      </c>
      <c r="Y89" s="92"/>
      <c r="Z89" s="92"/>
      <c r="AA89" s="13" t="str">
        <f t="shared" si="9"/>
        <v>mai/2025</v>
      </c>
    </row>
    <row r="90" spans="1:27" x14ac:dyDescent="0.25">
      <c r="A90" s="89">
        <v>89</v>
      </c>
      <c r="B90" s="68">
        <v>45755</v>
      </c>
      <c r="C90" s="40">
        <v>11</v>
      </c>
      <c r="D90" s="40">
        <f t="shared" si="5"/>
        <v>1</v>
      </c>
      <c r="E90" s="44" t="s">
        <v>116</v>
      </c>
      <c r="F90" s="17" t="s">
        <v>58</v>
      </c>
      <c r="G90" s="17" t="s">
        <v>86</v>
      </c>
      <c r="H90" s="42" t="s">
        <v>322</v>
      </c>
      <c r="I90" s="17" t="str">
        <f t="shared" si="6"/>
        <v>PN-89</v>
      </c>
      <c r="J90" s="18" t="s">
        <v>85</v>
      </c>
      <c r="K90" s="19" t="e">
        <f>IF(J90="","SEM #CH",VLOOKUP(J90,#REF!,2,0))</f>
        <v>#REF!</v>
      </c>
      <c r="L90" s="19" t="e">
        <f>IF(J90="","SEM #CH",VLOOKUP(J90,#REF!,3,0))</f>
        <v>#REF!</v>
      </c>
      <c r="M90" s="19" t="e">
        <f>IF(J90="","SEM #CH",VLOOKUP(J90,#REF!,4,0))</f>
        <v>#REF!</v>
      </c>
      <c r="N90" s="19" t="e">
        <f>IF(J90="","SEM #CH",VLOOKUP(J90,#REF!,5,0))</f>
        <v>#REF!</v>
      </c>
      <c r="O90" s="19" t="e">
        <f>IF(J90="","SEM #CH",VLOOKUP(J90,#REF!,6,0))</f>
        <v>#REF!</v>
      </c>
      <c r="P90" s="19" t="e">
        <f>IF(J90="","SEM #CH",VLOOKUP(J90,#REF!,7,0))</f>
        <v>#REF!</v>
      </c>
      <c r="Q90" s="77" t="str">
        <f>VLOOKUP(J90,'p1'!$B$2:$C$30,2,0)</f>
        <v>NÃO TEM CHAPA</v>
      </c>
      <c r="R90" s="94">
        <v>45811</v>
      </c>
      <c r="S90" s="90" t="s">
        <v>218</v>
      </c>
      <c r="T90" s="90">
        <f t="shared" si="8"/>
        <v>1</v>
      </c>
      <c r="U90" s="94">
        <v>45831</v>
      </c>
      <c r="V90" s="90" t="s">
        <v>1036</v>
      </c>
      <c r="W90" s="92">
        <v>2404</v>
      </c>
      <c r="X90" s="93">
        <f t="shared" si="7"/>
        <v>1</v>
      </c>
      <c r="Y90" s="92"/>
      <c r="Z90" s="92"/>
      <c r="AA90" s="13" t="str">
        <f t="shared" si="9"/>
        <v>jun/2025</v>
      </c>
    </row>
    <row r="91" spans="1:27" x14ac:dyDescent="0.25">
      <c r="A91" s="89">
        <v>90</v>
      </c>
      <c r="B91" s="68">
        <v>45755</v>
      </c>
      <c r="C91" s="40">
        <v>11</v>
      </c>
      <c r="D91" s="40">
        <f t="shared" si="5"/>
        <v>1</v>
      </c>
      <c r="E91" s="44" t="s">
        <v>116</v>
      </c>
      <c r="F91" s="17" t="s">
        <v>58</v>
      </c>
      <c r="G91" s="17" t="s">
        <v>86</v>
      </c>
      <c r="H91" s="42" t="s">
        <v>323</v>
      </c>
      <c r="I91" s="17" t="str">
        <f t="shared" si="6"/>
        <v>PN-90</v>
      </c>
      <c r="J91" s="18" t="s">
        <v>85</v>
      </c>
      <c r="K91" s="19" t="e">
        <f>IF(J91="","SEM #CH",VLOOKUP(J91,#REF!,2,0))</f>
        <v>#REF!</v>
      </c>
      <c r="L91" s="19" t="e">
        <f>IF(J91="","SEM #CH",VLOOKUP(J91,#REF!,3,0))</f>
        <v>#REF!</v>
      </c>
      <c r="M91" s="19" t="e">
        <f>IF(J91="","SEM #CH",VLOOKUP(J91,#REF!,4,0))</f>
        <v>#REF!</v>
      </c>
      <c r="N91" s="19" t="e">
        <f>IF(J91="","SEM #CH",VLOOKUP(J91,#REF!,5,0))</f>
        <v>#REF!</v>
      </c>
      <c r="O91" s="19" t="e">
        <f>IF(J91="","SEM #CH",VLOOKUP(J91,#REF!,6,0))</f>
        <v>#REF!</v>
      </c>
      <c r="P91" s="19" t="e">
        <f>IF(J91="","SEM #CH",VLOOKUP(J91,#REF!,7,0))</f>
        <v>#REF!</v>
      </c>
      <c r="Q91" s="77" t="str">
        <f>VLOOKUP(J91,'p1'!$B$2:$C$30,2,0)</f>
        <v>NÃO TEM CHAPA</v>
      </c>
      <c r="R91" s="94">
        <v>45811</v>
      </c>
      <c r="S91" s="90" t="s">
        <v>218</v>
      </c>
      <c r="T91" s="90">
        <f t="shared" si="8"/>
        <v>1</v>
      </c>
      <c r="U91" s="94">
        <v>45831</v>
      </c>
      <c r="V91" s="90" t="s">
        <v>1036</v>
      </c>
      <c r="W91" s="92">
        <v>2404</v>
      </c>
      <c r="X91" s="93">
        <f t="shared" si="7"/>
        <v>1</v>
      </c>
      <c r="Y91" s="92"/>
      <c r="Z91" s="92"/>
      <c r="AA91" s="13" t="str">
        <f t="shared" si="9"/>
        <v>jun/2025</v>
      </c>
    </row>
    <row r="92" spans="1:27" x14ac:dyDescent="0.25">
      <c r="A92" s="89">
        <v>91</v>
      </c>
      <c r="B92" s="68">
        <v>45757</v>
      </c>
      <c r="C92" s="40">
        <v>12</v>
      </c>
      <c r="D92" s="40">
        <f t="shared" si="5"/>
        <v>1</v>
      </c>
      <c r="E92" s="44" t="s">
        <v>116</v>
      </c>
      <c r="F92" s="17" t="s">
        <v>58</v>
      </c>
      <c r="G92" s="17" t="s">
        <v>86</v>
      </c>
      <c r="H92" s="42" t="s">
        <v>324</v>
      </c>
      <c r="I92" s="17" t="str">
        <f t="shared" si="6"/>
        <v>PN-91</v>
      </c>
      <c r="J92" s="18" t="s">
        <v>85</v>
      </c>
      <c r="K92" s="19" t="e">
        <f>IF(J92="","SEM #CH",VLOOKUP(J92,#REF!,2,0))</f>
        <v>#REF!</v>
      </c>
      <c r="L92" s="19" t="e">
        <f>IF(J92="","SEM #CH",VLOOKUP(J92,#REF!,3,0))</f>
        <v>#REF!</v>
      </c>
      <c r="M92" s="19" t="e">
        <f>IF(J92="","SEM #CH",VLOOKUP(J92,#REF!,4,0))</f>
        <v>#REF!</v>
      </c>
      <c r="N92" s="19" t="e">
        <f>IF(J92="","SEM #CH",VLOOKUP(J92,#REF!,5,0))</f>
        <v>#REF!</v>
      </c>
      <c r="O92" s="19" t="e">
        <f>IF(J92="","SEM #CH",VLOOKUP(J92,#REF!,6,0))</f>
        <v>#REF!</v>
      </c>
      <c r="P92" s="19" t="e">
        <f>IF(J92="","SEM #CH",VLOOKUP(J92,#REF!,7,0))</f>
        <v>#REF!</v>
      </c>
      <c r="Q92" s="77" t="str">
        <f>VLOOKUP(J92,'p1'!$B$2:$C$30,2,0)</f>
        <v>NÃO TEM CHAPA</v>
      </c>
      <c r="R92" s="94">
        <v>45797</v>
      </c>
      <c r="S92" s="90" t="s">
        <v>217</v>
      </c>
      <c r="T92" s="90">
        <f t="shared" si="8"/>
        <v>1</v>
      </c>
      <c r="U92" s="94">
        <v>45833</v>
      </c>
      <c r="V92" s="90" t="s">
        <v>86</v>
      </c>
      <c r="W92" s="92">
        <v>2414</v>
      </c>
      <c r="X92" s="93">
        <f t="shared" si="7"/>
        <v>1</v>
      </c>
      <c r="Y92" s="92"/>
      <c r="Z92" s="92"/>
      <c r="AA92" s="13" t="str">
        <f t="shared" si="9"/>
        <v>mai/2025</v>
      </c>
    </row>
    <row r="93" spans="1:27" x14ac:dyDescent="0.25">
      <c r="A93" s="89">
        <v>92</v>
      </c>
      <c r="B93" s="68">
        <v>45757</v>
      </c>
      <c r="C93" s="40">
        <v>12</v>
      </c>
      <c r="D93" s="40">
        <f t="shared" si="5"/>
        <v>1</v>
      </c>
      <c r="E93" s="44" t="s">
        <v>116</v>
      </c>
      <c r="F93" s="17" t="s">
        <v>58</v>
      </c>
      <c r="G93" s="17" t="s">
        <v>86</v>
      </c>
      <c r="H93" s="42" t="s">
        <v>325</v>
      </c>
      <c r="I93" s="17" t="str">
        <f t="shared" si="6"/>
        <v>PN-92</v>
      </c>
      <c r="J93" s="18" t="s">
        <v>85</v>
      </c>
      <c r="K93" s="19" t="e">
        <f>IF(J93="","SEM #CH",VLOOKUP(J93,#REF!,2,0))</f>
        <v>#REF!</v>
      </c>
      <c r="L93" s="19" t="e">
        <f>IF(J93="","SEM #CH",VLOOKUP(J93,#REF!,3,0))</f>
        <v>#REF!</v>
      </c>
      <c r="M93" s="19" t="e">
        <f>IF(J93="","SEM #CH",VLOOKUP(J93,#REF!,4,0))</f>
        <v>#REF!</v>
      </c>
      <c r="N93" s="19" t="e">
        <f>IF(J93="","SEM #CH",VLOOKUP(J93,#REF!,5,0))</f>
        <v>#REF!</v>
      </c>
      <c r="O93" s="19" t="e">
        <f>IF(J93="","SEM #CH",VLOOKUP(J93,#REF!,6,0))</f>
        <v>#REF!</v>
      </c>
      <c r="P93" s="19" t="e">
        <f>IF(J93="","SEM #CH",VLOOKUP(J93,#REF!,7,0))</f>
        <v>#REF!</v>
      </c>
      <c r="Q93" s="77" t="str">
        <f>VLOOKUP(J93,'p1'!$B$2:$C$30,2,0)</f>
        <v>NÃO TEM CHAPA</v>
      </c>
      <c r="R93" s="94">
        <v>45791</v>
      </c>
      <c r="S93" s="90" t="s">
        <v>217</v>
      </c>
      <c r="T93" s="90">
        <f t="shared" si="8"/>
        <v>1</v>
      </c>
      <c r="U93" s="94">
        <v>45852</v>
      </c>
      <c r="V93" s="90" t="s">
        <v>86</v>
      </c>
      <c r="W93" s="92">
        <v>2444</v>
      </c>
      <c r="X93" s="93">
        <f t="shared" si="7"/>
        <v>1</v>
      </c>
      <c r="Y93" s="92"/>
      <c r="Z93" s="92"/>
      <c r="AA93" s="13" t="str">
        <f t="shared" si="9"/>
        <v>mai/2025</v>
      </c>
    </row>
    <row r="94" spans="1:27" x14ac:dyDescent="0.25">
      <c r="A94" s="89">
        <v>93</v>
      </c>
      <c r="B94" s="68">
        <v>45757</v>
      </c>
      <c r="C94" s="40">
        <v>12</v>
      </c>
      <c r="D94" s="40">
        <f t="shared" si="5"/>
        <v>1</v>
      </c>
      <c r="E94" s="44" t="s">
        <v>116</v>
      </c>
      <c r="F94" s="17" t="s">
        <v>58</v>
      </c>
      <c r="G94" s="17" t="s">
        <v>86</v>
      </c>
      <c r="H94" s="42" t="s">
        <v>326</v>
      </c>
      <c r="I94" s="17" t="str">
        <f t="shared" si="6"/>
        <v>PN-93</v>
      </c>
      <c r="J94" s="18" t="s">
        <v>85</v>
      </c>
      <c r="K94" s="19" t="e">
        <f>IF(J94="","SEM #CH",VLOOKUP(J94,#REF!,2,0))</f>
        <v>#REF!</v>
      </c>
      <c r="L94" s="19" t="e">
        <f>IF(J94="","SEM #CH",VLOOKUP(J94,#REF!,3,0))</f>
        <v>#REF!</v>
      </c>
      <c r="M94" s="19" t="e">
        <f>IF(J94="","SEM #CH",VLOOKUP(J94,#REF!,4,0))</f>
        <v>#REF!</v>
      </c>
      <c r="N94" s="19" t="e">
        <f>IF(J94="","SEM #CH",VLOOKUP(J94,#REF!,5,0))</f>
        <v>#REF!</v>
      </c>
      <c r="O94" s="19" t="e">
        <f>IF(J94="","SEM #CH",VLOOKUP(J94,#REF!,6,0))</f>
        <v>#REF!</v>
      </c>
      <c r="P94" s="19" t="e">
        <f>IF(J94="","SEM #CH",VLOOKUP(J94,#REF!,7,0))</f>
        <v>#REF!</v>
      </c>
      <c r="Q94" s="77" t="str">
        <f>VLOOKUP(J94,'p1'!$B$2:$C$30,2,0)</f>
        <v>NÃO TEM CHAPA</v>
      </c>
      <c r="R94" s="94">
        <v>45791</v>
      </c>
      <c r="S94" s="90" t="s">
        <v>217</v>
      </c>
      <c r="T94" s="90">
        <f t="shared" si="8"/>
        <v>1</v>
      </c>
      <c r="U94" s="94">
        <v>45846</v>
      </c>
      <c r="V94" s="90" t="s">
        <v>1043</v>
      </c>
      <c r="W94" s="92">
        <v>2431</v>
      </c>
      <c r="X94" s="93">
        <f t="shared" si="7"/>
        <v>1</v>
      </c>
      <c r="Y94" s="92"/>
      <c r="Z94" s="92"/>
      <c r="AA94" s="13" t="str">
        <f t="shared" si="9"/>
        <v>mai/2025</v>
      </c>
    </row>
    <row r="95" spans="1:27" x14ac:dyDescent="0.25">
      <c r="A95" s="89">
        <v>94</v>
      </c>
      <c r="B95" s="68">
        <v>45825</v>
      </c>
      <c r="C95" s="40">
        <v>36</v>
      </c>
      <c r="D95" s="40">
        <f t="shared" si="5"/>
        <v>1</v>
      </c>
      <c r="E95" s="44" t="s">
        <v>116</v>
      </c>
      <c r="F95" s="17" t="s">
        <v>61</v>
      </c>
      <c r="G95" s="17" t="s">
        <v>86</v>
      </c>
      <c r="H95" s="42" t="s">
        <v>327</v>
      </c>
      <c r="I95" s="17" t="str">
        <f t="shared" si="6"/>
        <v>PF-94</v>
      </c>
      <c r="J95" s="18" t="s">
        <v>61</v>
      </c>
      <c r="K95" s="19" t="e">
        <f>IF(J95="","SEM #CH",VLOOKUP(J95,#REF!,2,0))</f>
        <v>#REF!</v>
      </c>
      <c r="L95" s="19" t="e">
        <f>IF(J95="","SEM #CH",VLOOKUP(J95,#REF!,3,0))</f>
        <v>#REF!</v>
      </c>
      <c r="M95" s="19" t="e">
        <f>IF(J95="","SEM #CH",VLOOKUP(J95,#REF!,4,0))</f>
        <v>#REF!</v>
      </c>
      <c r="N95" s="19" t="e">
        <f>IF(J95="","SEM #CH",VLOOKUP(J95,#REF!,5,0))</f>
        <v>#REF!</v>
      </c>
      <c r="O95" s="19" t="e">
        <f>IF(J95="","SEM #CH",VLOOKUP(J95,#REF!,6,0))</f>
        <v>#REF!</v>
      </c>
      <c r="P95" s="19" t="e">
        <f>IF(J95="","SEM #CH",VLOOKUP(J95,#REF!,7,0))</f>
        <v>#REF!</v>
      </c>
      <c r="Q95" s="77" t="str">
        <f>VLOOKUP(J95,'p1'!$B$2:$C$30,2,0)</f>
        <v>SEM CHAPA</v>
      </c>
      <c r="R95" s="94">
        <v>45832</v>
      </c>
      <c r="S95" s="90" t="s">
        <v>217</v>
      </c>
      <c r="T95" s="90">
        <f t="shared" si="8"/>
        <v>1</v>
      </c>
      <c r="U95" s="94">
        <v>45833</v>
      </c>
      <c r="V95" s="90" t="s">
        <v>86</v>
      </c>
      <c r="W95" s="90">
        <v>2416</v>
      </c>
      <c r="X95" s="93">
        <f t="shared" si="7"/>
        <v>1</v>
      </c>
      <c r="Y95" s="92"/>
      <c r="Z95" s="92"/>
      <c r="AA95" s="13" t="str">
        <f t="shared" si="9"/>
        <v>jun/2025</v>
      </c>
    </row>
    <row r="96" spans="1:27" x14ac:dyDescent="0.25">
      <c r="A96" s="89">
        <v>95</v>
      </c>
      <c r="B96" s="68">
        <v>45757</v>
      </c>
      <c r="C96" s="40">
        <v>12</v>
      </c>
      <c r="D96" s="40">
        <f t="shared" si="5"/>
        <v>1</v>
      </c>
      <c r="E96" s="44" t="s">
        <v>116</v>
      </c>
      <c r="F96" s="17" t="s">
        <v>58</v>
      </c>
      <c r="G96" s="17" t="s">
        <v>86</v>
      </c>
      <c r="H96" s="42" t="s">
        <v>328</v>
      </c>
      <c r="I96" s="17" t="str">
        <f t="shared" si="6"/>
        <v>PN-95</v>
      </c>
      <c r="J96" s="18" t="s">
        <v>85</v>
      </c>
      <c r="K96" s="19" t="e">
        <f>IF(J96="","SEM #CH",VLOOKUP(J96,#REF!,2,0))</f>
        <v>#REF!</v>
      </c>
      <c r="L96" s="19" t="e">
        <f>IF(J96="","SEM #CH",VLOOKUP(J96,#REF!,3,0))</f>
        <v>#REF!</v>
      </c>
      <c r="M96" s="19" t="e">
        <f>IF(J96="","SEM #CH",VLOOKUP(J96,#REF!,4,0))</f>
        <v>#REF!</v>
      </c>
      <c r="N96" s="19" t="e">
        <f>IF(J96="","SEM #CH",VLOOKUP(J96,#REF!,5,0))</f>
        <v>#REF!</v>
      </c>
      <c r="O96" s="19" t="e">
        <f>IF(J96="","SEM #CH",VLOOKUP(J96,#REF!,6,0))</f>
        <v>#REF!</v>
      </c>
      <c r="P96" s="19" t="e">
        <f>IF(J96="","SEM #CH",VLOOKUP(J96,#REF!,7,0))</f>
        <v>#REF!</v>
      </c>
      <c r="Q96" s="77" t="str">
        <f>VLOOKUP(J96,'p1'!$B$2:$C$30,2,0)</f>
        <v>NÃO TEM CHAPA</v>
      </c>
      <c r="R96" s="94">
        <v>45786</v>
      </c>
      <c r="S96" s="90" t="s">
        <v>217</v>
      </c>
      <c r="T96" s="90">
        <f t="shared" si="8"/>
        <v>1</v>
      </c>
      <c r="U96" s="94">
        <v>45832</v>
      </c>
      <c r="V96" s="90" t="s">
        <v>1037</v>
      </c>
      <c r="W96" s="92">
        <v>2409</v>
      </c>
      <c r="X96" s="93">
        <f t="shared" si="7"/>
        <v>1</v>
      </c>
      <c r="Y96" s="92"/>
      <c r="Z96" s="92"/>
      <c r="AA96" s="13" t="str">
        <f t="shared" si="9"/>
        <v>mai/2025</v>
      </c>
    </row>
    <row r="97" spans="1:27" x14ac:dyDescent="0.25">
      <c r="A97" s="89">
        <v>96</v>
      </c>
      <c r="B97" s="68">
        <v>45757</v>
      </c>
      <c r="C97" s="40">
        <v>12</v>
      </c>
      <c r="D97" s="40">
        <f t="shared" si="5"/>
        <v>1</v>
      </c>
      <c r="E97" s="44" t="s">
        <v>116</v>
      </c>
      <c r="F97" s="17" t="s">
        <v>58</v>
      </c>
      <c r="G97" s="17" t="s">
        <v>86</v>
      </c>
      <c r="H97" s="42" t="s">
        <v>329</v>
      </c>
      <c r="I97" s="17" t="str">
        <f t="shared" si="6"/>
        <v>PN-96</v>
      </c>
      <c r="J97" s="18" t="s">
        <v>85</v>
      </c>
      <c r="K97" s="19" t="e">
        <f>IF(J97="","SEM #CH",VLOOKUP(J97,#REF!,2,0))</f>
        <v>#REF!</v>
      </c>
      <c r="L97" s="19" t="e">
        <f>IF(J97="","SEM #CH",VLOOKUP(J97,#REF!,3,0))</f>
        <v>#REF!</v>
      </c>
      <c r="M97" s="19" t="e">
        <f>IF(J97="","SEM #CH",VLOOKUP(J97,#REF!,4,0))</f>
        <v>#REF!</v>
      </c>
      <c r="N97" s="19" t="e">
        <f>IF(J97="","SEM #CH",VLOOKUP(J97,#REF!,5,0))</f>
        <v>#REF!</v>
      </c>
      <c r="O97" s="19" t="e">
        <f>IF(J97="","SEM #CH",VLOOKUP(J97,#REF!,6,0))</f>
        <v>#REF!</v>
      </c>
      <c r="P97" s="19" t="e">
        <f>IF(J97="","SEM #CH",VLOOKUP(J97,#REF!,7,0))</f>
        <v>#REF!</v>
      </c>
      <c r="Q97" s="77" t="str">
        <f>VLOOKUP(J97,'p1'!$B$2:$C$30,2,0)</f>
        <v>NÃO TEM CHAPA</v>
      </c>
      <c r="R97" s="94">
        <v>45786</v>
      </c>
      <c r="S97" s="90" t="s">
        <v>217</v>
      </c>
      <c r="T97" s="90">
        <f t="shared" si="8"/>
        <v>1</v>
      </c>
      <c r="U97" s="94">
        <v>45832</v>
      </c>
      <c r="V97" s="90" t="s">
        <v>1037</v>
      </c>
      <c r="W97" s="92">
        <v>2409</v>
      </c>
      <c r="X97" s="93">
        <f t="shared" si="7"/>
        <v>1</v>
      </c>
      <c r="Y97" s="92"/>
      <c r="Z97" s="92"/>
      <c r="AA97" s="13" t="str">
        <f t="shared" si="9"/>
        <v>mai/2025</v>
      </c>
    </row>
    <row r="98" spans="1:27" x14ac:dyDescent="0.25">
      <c r="A98" s="89">
        <v>97</v>
      </c>
      <c r="B98" s="68">
        <v>45757</v>
      </c>
      <c r="C98" s="40">
        <v>12</v>
      </c>
      <c r="D98" s="40">
        <f t="shared" si="5"/>
        <v>1</v>
      </c>
      <c r="E98" s="44" t="s">
        <v>116</v>
      </c>
      <c r="F98" s="17" t="s">
        <v>58</v>
      </c>
      <c r="G98" s="17" t="s">
        <v>86</v>
      </c>
      <c r="H98" s="42" t="s">
        <v>330</v>
      </c>
      <c r="I98" s="17" t="str">
        <f t="shared" si="6"/>
        <v>PN-97</v>
      </c>
      <c r="J98" s="18" t="s">
        <v>85</v>
      </c>
      <c r="K98" s="19" t="e">
        <f>IF(J98="","SEM #CH",VLOOKUP(J98,#REF!,2,0))</f>
        <v>#REF!</v>
      </c>
      <c r="L98" s="19" t="e">
        <f>IF(J98="","SEM #CH",VLOOKUP(J98,#REF!,3,0))</f>
        <v>#REF!</v>
      </c>
      <c r="M98" s="19" t="e">
        <f>IF(J98="","SEM #CH",VLOOKUP(J98,#REF!,4,0))</f>
        <v>#REF!</v>
      </c>
      <c r="N98" s="19" t="e">
        <f>IF(J98="","SEM #CH",VLOOKUP(J98,#REF!,5,0))</f>
        <v>#REF!</v>
      </c>
      <c r="O98" s="19" t="e">
        <f>IF(J98="","SEM #CH",VLOOKUP(J98,#REF!,6,0))</f>
        <v>#REF!</v>
      </c>
      <c r="P98" s="19" t="e">
        <f>IF(J98="","SEM #CH",VLOOKUP(J98,#REF!,7,0))</f>
        <v>#REF!</v>
      </c>
      <c r="Q98" s="77" t="str">
        <f>VLOOKUP(J98,'p1'!$B$2:$C$30,2,0)</f>
        <v>NÃO TEM CHAPA</v>
      </c>
      <c r="R98" s="94">
        <v>45784</v>
      </c>
      <c r="S98" s="90" t="s">
        <v>217</v>
      </c>
      <c r="T98" s="90">
        <f t="shared" si="8"/>
        <v>1</v>
      </c>
      <c r="U98" s="94">
        <v>45832</v>
      </c>
      <c r="V98" s="90" t="s">
        <v>86</v>
      </c>
      <c r="W98" s="92">
        <v>2410</v>
      </c>
      <c r="X98" s="93">
        <f t="shared" si="7"/>
        <v>1</v>
      </c>
      <c r="Y98" s="92"/>
      <c r="Z98" s="92"/>
      <c r="AA98" s="13" t="str">
        <f t="shared" si="9"/>
        <v>mai/2025</v>
      </c>
    </row>
    <row r="99" spans="1:27" x14ac:dyDescent="0.25">
      <c r="A99" s="89">
        <v>98</v>
      </c>
      <c r="B99" s="68">
        <v>45757</v>
      </c>
      <c r="C99" s="40">
        <v>12</v>
      </c>
      <c r="D99" s="40">
        <f t="shared" si="5"/>
        <v>1</v>
      </c>
      <c r="E99" s="44" t="s">
        <v>116</v>
      </c>
      <c r="F99" s="17" t="s">
        <v>58</v>
      </c>
      <c r="G99" s="17" t="s">
        <v>86</v>
      </c>
      <c r="H99" s="42" t="s">
        <v>331</v>
      </c>
      <c r="I99" s="17" t="str">
        <f t="shared" si="6"/>
        <v>PN-98</v>
      </c>
      <c r="J99" s="18" t="s">
        <v>85</v>
      </c>
      <c r="K99" s="19" t="e">
        <f>IF(J99="","SEM #CH",VLOOKUP(J99,#REF!,2,0))</f>
        <v>#REF!</v>
      </c>
      <c r="L99" s="19" t="e">
        <f>IF(J99="","SEM #CH",VLOOKUP(J99,#REF!,3,0))</f>
        <v>#REF!</v>
      </c>
      <c r="M99" s="19" t="e">
        <f>IF(J99="","SEM #CH",VLOOKUP(J99,#REF!,4,0))</f>
        <v>#REF!</v>
      </c>
      <c r="N99" s="19" t="e">
        <f>IF(J99="","SEM #CH",VLOOKUP(J99,#REF!,5,0))</f>
        <v>#REF!</v>
      </c>
      <c r="O99" s="19" t="e">
        <f>IF(J99="","SEM #CH",VLOOKUP(J99,#REF!,6,0))</f>
        <v>#REF!</v>
      </c>
      <c r="P99" s="19" t="e">
        <f>IF(J99="","SEM #CH",VLOOKUP(J99,#REF!,7,0))</f>
        <v>#REF!</v>
      </c>
      <c r="Q99" s="77" t="str">
        <f>VLOOKUP(J99,'p1'!$B$2:$C$30,2,0)</f>
        <v>NÃO TEM CHAPA</v>
      </c>
      <c r="R99" s="94">
        <v>45769</v>
      </c>
      <c r="S99" s="90" t="s">
        <v>217</v>
      </c>
      <c r="T99" s="90">
        <f t="shared" si="8"/>
        <v>1</v>
      </c>
      <c r="U99" s="94">
        <v>45820</v>
      </c>
      <c r="V99" s="90" t="s">
        <v>86</v>
      </c>
      <c r="W99" s="92">
        <v>2382</v>
      </c>
      <c r="X99" s="93">
        <f t="shared" si="7"/>
        <v>1</v>
      </c>
      <c r="Y99" s="92"/>
      <c r="Z99" s="92"/>
      <c r="AA99" s="13" t="str">
        <f t="shared" si="9"/>
        <v>abr/2025</v>
      </c>
    </row>
    <row r="100" spans="1:27" x14ac:dyDescent="0.25">
      <c r="A100" s="89">
        <v>99</v>
      </c>
      <c r="B100" s="68">
        <v>45758</v>
      </c>
      <c r="C100" s="40">
        <v>13</v>
      </c>
      <c r="D100" s="40">
        <f t="shared" si="5"/>
        <v>1</v>
      </c>
      <c r="E100" s="44" t="s">
        <v>116</v>
      </c>
      <c r="F100" s="17" t="s">
        <v>58</v>
      </c>
      <c r="G100" s="17" t="s">
        <v>86</v>
      </c>
      <c r="H100" s="42" t="s">
        <v>332</v>
      </c>
      <c r="I100" s="17" t="str">
        <f t="shared" si="6"/>
        <v>PN-99</v>
      </c>
      <c r="J100" s="18" t="s">
        <v>85</v>
      </c>
      <c r="K100" s="19" t="e">
        <f>IF(J100="","SEM #CH",VLOOKUP(J100,#REF!,2,0))</f>
        <v>#REF!</v>
      </c>
      <c r="L100" s="19" t="e">
        <f>IF(J100="","SEM #CH",VLOOKUP(J100,#REF!,3,0))</f>
        <v>#REF!</v>
      </c>
      <c r="M100" s="19" t="e">
        <f>IF(J100="","SEM #CH",VLOOKUP(J100,#REF!,4,0))</f>
        <v>#REF!</v>
      </c>
      <c r="N100" s="19" t="e">
        <f>IF(J100="","SEM #CH",VLOOKUP(J100,#REF!,5,0))</f>
        <v>#REF!</v>
      </c>
      <c r="O100" s="19" t="e">
        <f>IF(J100="","SEM #CH",VLOOKUP(J100,#REF!,6,0))</f>
        <v>#REF!</v>
      </c>
      <c r="P100" s="19" t="e">
        <f>IF(J100="","SEM #CH",VLOOKUP(J100,#REF!,7,0))</f>
        <v>#REF!</v>
      </c>
      <c r="Q100" s="77" t="str">
        <f>VLOOKUP(J100,'p1'!$B$2:$C$30,2,0)</f>
        <v>NÃO TEM CHAPA</v>
      </c>
      <c r="R100" s="94">
        <v>45887</v>
      </c>
      <c r="S100" s="90" t="s">
        <v>217</v>
      </c>
      <c r="T100" s="90">
        <f t="shared" si="8"/>
        <v>1</v>
      </c>
      <c r="U100" s="94">
        <v>45887</v>
      </c>
      <c r="V100" s="90"/>
      <c r="W100" s="92">
        <v>2480</v>
      </c>
      <c r="X100" s="93">
        <f t="shared" si="7"/>
        <v>1</v>
      </c>
      <c r="Y100" s="92"/>
      <c r="Z100" s="92"/>
      <c r="AA100" s="13" t="str">
        <f t="shared" si="9"/>
        <v>ago/2025</v>
      </c>
    </row>
    <row r="101" spans="1:27" x14ac:dyDescent="0.25">
      <c r="A101" s="89">
        <v>100</v>
      </c>
      <c r="B101" s="68">
        <v>45758</v>
      </c>
      <c r="C101" s="40">
        <v>13</v>
      </c>
      <c r="D101" s="40">
        <f t="shared" si="5"/>
        <v>1</v>
      </c>
      <c r="E101" s="44" t="s">
        <v>116</v>
      </c>
      <c r="F101" s="17" t="s">
        <v>58</v>
      </c>
      <c r="G101" s="17" t="s">
        <v>86</v>
      </c>
      <c r="H101" s="42" t="s">
        <v>333</v>
      </c>
      <c r="I101" s="17" t="str">
        <f t="shared" si="6"/>
        <v>PN-100</v>
      </c>
      <c r="J101" s="18" t="s">
        <v>85</v>
      </c>
      <c r="K101" s="19" t="e">
        <f>IF(J101="","SEM #CH",VLOOKUP(J101,#REF!,2,0))</f>
        <v>#REF!</v>
      </c>
      <c r="L101" s="19" t="e">
        <f>IF(J101="","SEM #CH",VLOOKUP(J101,#REF!,3,0))</f>
        <v>#REF!</v>
      </c>
      <c r="M101" s="19" t="e">
        <f>IF(J101="","SEM #CH",VLOOKUP(J101,#REF!,4,0))</f>
        <v>#REF!</v>
      </c>
      <c r="N101" s="19" t="e">
        <f>IF(J101="","SEM #CH",VLOOKUP(J101,#REF!,5,0))</f>
        <v>#REF!</v>
      </c>
      <c r="O101" s="19" t="e">
        <f>IF(J101="","SEM #CH",VLOOKUP(J101,#REF!,6,0))</f>
        <v>#REF!</v>
      </c>
      <c r="P101" s="19" t="e">
        <f>IF(J101="","SEM #CH",VLOOKUP(J101,#REF!,7,0))</f>
        <v>#REF!</v>
      </c>
      <c r="Q101" s="77" t="str">
        <f>VLOOKUP(J101,'p1'!$B$2:$C$30,2,0)</f>
        <v>NÃO TEM CHAPA</v>
      </c>
      <c r="R101" s="94">
        <v>45852</v>
      </c>
      <c r="S101" s="90" t="s">
        <v>217</v>
      </c>
      <c r="T101" s="90">
        <f t="shared" si="8"/>
        <v>1</v>
      </c>
      <c r="U101" s="94">
        <v>45852</v>
      </c>
      <c r="V101" s="90" t="s">
        <v>86</v>
      </c>
      <c r="W101" s="92">
        <v>2443</v>
      </c>
      <c r="X101" s="93">
        <f t="shared" si="7"/>
        <v>1</v>
      </c>
      <c r="Y101" s="92"/>
      <c r="Z101" s="92"/>
      <c r="AA101" s="13" t="str">
        <f t="shared" si="9"/>
        <v>jul/2025</v>
      </c>
    </row>
    <row r="102" spans="1:27" x14ac:dyDescent="0.25">
      <c r="A102" s="89">
        <v>101</v>
      </c>
      <c r="B102" s="68">
        <v>45812</v>
      </c>
      <c r="C102" s="40">
        <v>32</v>
      </c>
      <c r="D102" s="40">
        <f t="shared" si="5"/>
        <v>1</v>
      </c>
      <c r="E102" s="44" t="s">
        <v>116</v>
      </c>
      <c r="F102" s="17" t="s">
        <v>60</v>
      </c>
      <c r="G102" s="17" t="s">
        <v>86</v>
      </c>
      <c r="H102" s="42" t="s">
        <v>334</v>
      </c>
      <c r="I102" s="17" t="str">
        <f t="shared" si="6"/>
        <v>PE-101</v>
      </c>
      <c r="J102" s="18" t="s">
        <v>88</v>
      </c>
      <c r="K102" s="19" t="e">
        <f>IF(J102="","SEM #CH",VLOOKUP(J102,#REF!,2,0))</f>
        <v>#REF!</v>
      </c>
      <c r="L102" s="19" t="e">
        <f>IF(J102="","SEM #CH",VLOOKUP(J102,#REF!,3,0))</f>
        <v>#REF!</v>
      </c>
      <c r="M102" s="19" t="e">
        <f>IF(J102="","SEM #CH",VLOOKUP(J102,#REF!,4,0))</f>
        <v>#REF!</v>
      </c>
      <c r="N102" s="19" t="e">
        <f>IF(J102="","SEM #CH",VLOOKUP(J102,#REF!,5,0))</f>
        <v>#REF!</v>
      </c>
      <c r="O102" s="19" t="e">
        <f>IF(J102="","SEM #CH",VLOOKUP(J102,#REF!,6,0))</f>
        <v>#REF!</v>
      </c>
      <c r="P102" s="19" t="e">
        <f>IF(J102="","SEM #CH",VLOOKUP(J102,#REF!,7,0))</f>
        <v>#REF!</v>
      </c>
      <c r="Q102" s="77" t="str">
        <f>VLOOKUP(J102,'p1'!$B$2:$C$30,2,0)</f>
        <v>#3/8-1315X1315</v>
      </c>
      <c r="R102" s="94">
        <v>45821</v>
      </c>
      <c r="S102" s="90" t="s">
        <v>217</v>
      </c>
      <c r="T102" s="90">
        <f t="shared" si="8"/>
        <v>1</v>
      </c>
      <c r="U102" s="94">
        <v>45835</v>
      </c>
      <c r="V102" s="90" t="s">
        <v>86</v>
      </c>
      <c r="W102" s="92">
        <v>2422</v>
      </c>
      <c r="X102" s="93">
        <f t="shared" si="7"/>
        <v>1</v>
      </c>
      <c r="Y102" s="92"/>
      <c r="Z102" s="92"/>
      <c r="AA102" s="13" t="str">
        <f t="shared" si="9"/>
        <v>jun/2025</v>
      </c>
    </row>
    <row r="103" spans="1:27" x14ac:dyDescent="0.25">
      <c r="A103" s="89">
        <v>102</v>
      </c>
      <c r="B103" s="68">
        <v>45758</v>
      </c>
      <c r="C103" s="40">
        <v>13</v>
      </c>
      <c r="D103" s="40">
        <f t="shared" si="5"/>
        <v>1</v>
      </c>
      <c r="E103" s="44" t="s">
        <v>116</v>
      </c>
      <c r="F103" s="17" t="s">
        <v>58</v>
      </c>
      <c r="G103" s="17" t="s">
        <v>86</v>
      </c>
      <c r="H103" s="42" t="s">
        <v>335</v>
      </c>
      <c r="I103" s="17" t="str">
        <f t="shared" si="6"/>
        <v>PN-102</v>
      </c>
      <c r="J103" s="18" t="s">
        <v>85</v>
      </c>
      <c r="K103" s="19" t="e">
        <f>IF(J103="","SEM #CH",VLOOKUP(J103,#REF!,2,0))</f>
        <v>#REF!</v>
      </c>
      <c r="L103" s="19" t="e">
        <f>IF(J103="","SEM #CH",VLOOKUP(J103,#REF!,3,0))</f>
        <v>#REF!</v>
      </c>
      <c r="M103" s="19" t="e">
        <f>IF(J103="","SEM #CH",VLOOKUP(J103,#REF!,4,0))</f>
        <v>#REF!</v>
      </c>
      <c r="N103" s="19" t="e">
        <f>IF(J103="","SEM #CH",VLOOKUP(J103,#REF!,5,0))</f>
        <v>#REF!</v>
      </c>
      <c r="O103" s="19" t="e">
        <f>IF(J103="","SEM #CH",VLOOKUP(J103,#REF!,6,0))</f>
        <v>#REF!</v>
      </c>
      <c r="P103" s="19" t="e">
        <f>IF(J103="","SEM #CH",VLOOKUP(J103,#REF!,7,0))</f>
        <v>#REF!</v>
      </c>
      <c r="Q103" s="77" t="str">
        <f>VLOOKUP(J103,'p1'!$B$2:$C$30,2,0)</f>
        <v>NÃO TEM CHAPA</v>
      </c>
      <c r="R103" s="94">
        <v>45849</v>
      </c>
      <c r="S103" s="90" t="s">
        <v>217</v>
      </c>
      <c r="T103" s="90">
        <f t="shared" si="8"/>
        <v>1</v>
      </c>
      <c r="U103" s="94">
        <v>45852</v>
      </c>
      <c r="V103" s="90" t="s">
        <v>86</v>
      </c>
      <c r="W103" s="92">
        <v>2443</v>
      </c>
      <c r="X103" s="93">
        <f t="shared" si="7"/>
        <v>1</v>
      </c>
      <c r="Y103" s="92"/>
      <c r="Z103" s="92"/>
      <c r="AA103" s="13" t="str">
        <f t="shared" si="9"/>
        <v>jul/2025</v>
      </c>
    </row>
    <row r="104" spans="1:27" x14ac:dyDescent="0.25">
      <c r="A104" s="89">
        <v>103</v>
      </c>
      <c r="B104" s="68">
        <v>45758</v>
      </c>
      <c r="C104" s="40">
        <v>13</v>
      </c>
      <c r="D104" s="40">
        <f t="shared" si="5"/>
        <v>1</v>
      </c>
      <c r="E104" s="44" t="s">
        <v>116</v>
      </c>
      <c r="F104" s="17" t="s">
        <v>58</v>
      </c>
      <c r="G104" s="17" t="s">
        <v>86</v>
      </c>
      <c r="H104" s="42" t="s">
        <v>336</v>
      </c>
      <c r="I104" s="17" t="str">
        <f t="shared" si="6"/>
        <v>PN-103</v>
      </c>
      <c r="J104" s="18" t="s">
        <v>85</v>
      </c>
      <c r="K104" s="19" t="e">
        <f>IF(J104="","SEM #CH",VLOOKUP(J104,#REF!,2,0))</f>
        <v>#REF!</v>
      </c>
      <c r="L104" s="19" t="e">
        <f>IF(J104="","SEM #CH",VLOOKUP(J104,#REF!,3,0))</f>
        <v>#REF!</v>
      </c>
      <c r="M104" s="19" t="e">
        <f>IF(J104="","SEM #CH",VLOOKUP(J104,#REF!,4,0))</f>
        <v>#REF!</v>
      </c>
      <c r="N104" s="19" t="e">
        <f>IF(J104="","SEM #CH",VLOOKUP(J104,#REF!,5,0))</f>
        <v>#REF!</v>
      </c>
      <c r="O104" s="19" t="e">
        <f>IF(J104="","SEM #CH",VLOOKUP(J104,#REF!,6,0))</f>
        <v>#REF!</v>
      </c>
      <c r="P104" s="19" t="e">
        <f>IF(J104="","SEM #CH",VLOOKUP(J104,#REF!,7,0))</f>
        <v>#REF!</v>
      </c>
      <c r="Q104" s="77" t="str">
        <f>VLOOKUP(J104,'p1'!$B$2:$C$30,2,0)</f>
        <v>NÃO TEM CHAPA</v>
      </c>
      <c r="R104" s="94">
        <v>45827</v>
      </c>
      <c r="S104" s="90" t="s">
        <v>217</v>
      </c>
      <c r="T104" s="90">
        <f t="shared" si="8"/>
        <v>1</v>
      </c>
      <c r="U104" s="94">
        <v>45835</v>
      </c>
      <c r="V104" s="90" t="s">
        <v>86</v>
      </c>
      <c r="W104" s="92">
        <v>2422</v>
      </c>
      <c r="X104" s="93">
        <f t="shared" si="7"/>
        <v>1</v>
      </c>
      <c r="Y104" s="92"/>
      <c r="Z104" s="92"/>
      <c r="AA104" s="13" t="str">
        <f t="shared" si="9"/>
        <v>jun/2025</v>
      </c>
    </row>
    <row r="105" spans="1:27" x14ac:dyDescent="0.25">
      <c r="A105" s="89">
        <v>104</v>
      </c>
      <c r="B105" s="68">
        <v>45758</v>
      </c>
      <c r="C105" s="40">
        <v>13</v>
      </c>
      <c r="D105" s="40">
        <f t="shared" si="5"/>
        <v>1</v>
      </c>
      <c r="E105" s="44" t="s">
        <v>116</v>
      </c>
      <c r="F105" s="17" t="s">
        <v>58</v>
      </c>
      <c r="G105" s="17" t="s">
        <v>86</v>
      </c>
      <c r="H105" s="42" t="s">
        <v>337</v>
      </c>
      <c r="I105" s="17" t="str">
        <f t="shared" si="6"/>
        <v>PN-104</v>
      </c>
      <c r="J105" s="18" t="s">
        <v>85</v>
      </c>
      <c r="K105" s="19" t="e">
        <f>IF(J105="","SEM #CH",VLOOKUP(J105,#REF!,2,0))</f>
        <v>#REF!</v>
      </c>
      <c r="L105" s="19" t="e">
        <f>IF(J105="","SEM #CH",VLOOKUP(J105,#REF!,3,0))</f>
        <v>#REF!</v>
      </c>
      <c r="M105" s="19" t="e">
        <f>IF(J105="","SEM #CH",VLOOKUP(J105,#REF!,4,0))</f>
        <v>#REF!</v>
      </c>
      <c r="N105" s="19" t="e">
        <f>IF(J105="","SEM #CH",VLOOKUP(J105,#REF!,5,0))</f>
        <v>#REF!</v>
      </c>
      <c r="O105" s="19" t="e">
        <f>IF(J105="","SEM #CH",VLOOKUP(J105,#REF!,6,0))</f>
        <v>#REF!</v>
      </c>
      <c r="P105" s="19" t="e">
        <f>IF(J105="","SEM #CH",VLOOKUP(J105,#REF!,7,0))</f>
        <v>#REF!</v>
      </c>
      <c r="Q105" s="77" t="str">
        <f>VLOOKUP(J105,'p1'!$B$2:$C$30,2,0)</f>
        <v>NÃO TEM CHAPA</v>
      </c>
      <c r="R105" s="94">
        <v>45791</v>
      </c>
      <c r="S105" s="90" t="s">
        <v>217</v>
      </c>
      <c r="T105" s="90">
        <f t="shared" si="8"/>
        <v>1</v>
      </c>
      <c r="U105" s="94">
        <v>45854</v>
      </c>
      <c r="V105" s="90" t="s">
        <v>86</v>
      </c>
      <c r="W105" s="92">
        <v>2445</v>
      </c>
      <c r="X105" s="93">
        <f t="shared" si="7"/>
        <v>1</v>
      </c>
      <c r="Y105" s="92"/>
      <c r="Z105" s="92"/>
      <c r="AA105" s="13" t="str">
        <f t="shared" si="9"/>
        <v>mai/2025</v>
      </c>
    </row>
    <row r="106" spans="1:27" x14ac:dyDescent="0.25">
      <c r="A106" s="89">
        <v>105</v>
      </c>
      <c r="B106" s="68">
        <v>45758</v>
      </c>
      <c r="C106" s="40">
        <v>13</v>
      </c>
      <c r="D106" s="40">
        <f t="shared" si="5"/>
        <v>1</v>
      </c>
      <c r="E106" s="44" t="s">
        <v>116</v>
      </c>
      <c r="F106" s="17" t="s">
        <v>58</v>
      </c>
      <c r="G106" s="17" t="s">
        <v>86</v>
      </c>
      <c r="H106" s="42" t="s">
        <v>338</v>
      </c>
      <c r="I106" s="17" t="str">
        <f t="shared" si="6"/>
        <v>PN-105</v>
      </c>
      <c r="J106" s="18" t="s">
        <v>85</v>
      </c>
      <c r="K106" s="19" t="e">
        <f>IF(J106="","SEM #CH",VLOOKUP(J106,#REF!,2,0))</f>
        <v>#REF!</v>
      </c>
      <c r="L106" s="19" t="e">
        <f>IF(J106="","SEM #CH",VLOOKUP(J106,#REF!,3,0))</f>
        <v>#REF!</v>
      </c>
      <c r="M106" s="19" t="e">
        <f>IF(J106="","SEM #CH",VLOOKUP(J106,#REF!,4,0))</f>
        <v>#REF!</v>
      </c>
      <c r="N106" s="19" t="e">
        <f>IF(J106="","SEM #CH",VLOOKUP(J106,#REF!,5,0))</f>
        <v>#REF!</v>
      </c>
      <c r="O106" s="19" t="e">
        <f>IF(J106="","SEM #CH",VLOOKUP(J106,#REF!,6,0))</f>
        <v>#REF!</v>
      </c>
      <c r="P106" s="19" t="e">
        <f>IF(J106="","SEM #CH",VLOOKUP(J106,#REF!,7,0))</f>
        <v>#REF!</v>
      </c>
      <c r="Q106" s="77" t="str">
        <f>VLOOKUP(J106,'p1'!$B$2:$C$30,2,0)</f>
        <v>NÃO TEM CHAPA</v>
      </c>
      <c r="R106" s="94">
        <v>45769</v>
      </c>
      <c r="S106" s="90" t="s">
        <v>217</v>
      </c>
      <c r="T106" s="90">
        <f t="shared" si="8"/>
        <v>1</v>
      </c>
      <c r="U106" s="94">
        <v>45854</v>
      </c>
      <c r="V106" s="90" t="s">
        <v>86</v>
      </c>
      <c r="W106" s="92">
        <v>2448</v>
      </c>
      <c r="X106" s="93">
        <f t="shared" si="7"/>
        <v>1</v>
      </c>
      <c r="Y106" s="92"/>
      <c r="Z106" s="92"/>
      <c r="AA106" s="13" t="str">
        <f t="shared" si="9"/>
        <v>abr/2025</v>
      </c>
    </row>
    <row r="107" spans="1:27" x14ac:dyDescent="0.25">
      <c r="A107" s="89">
        <v>106</v>
      </c>
      <c r="B107" s="68">
        <v>45758</v>
      </c>
      <c r="C107" s="40">
        <v>13</v>
      </c>
      <c r="D107" s="40">
        <f t="shared" si="5"/>
        <v>1</v>
      </c>
      <c r="E107" s="44" t="s">
        <v>116</v>
      </c>
      <c r="F107" s="17" t="s">
        <v>58</v>
      </c>
      <c r="G107" s="17" t="s">
        <v>86</v>
      </c>
      <c r="H107" s="42" t="s">
        <v>339</v>
      </c>
      <c r="I107" s="17" t="str">
        <f t="shared" si="6"/>
        <v>PN-106</v>
      </c>
      <c r="J107" s="18" t="s">
        <v>85</v>
      </c>
      <c r="K107" s="19" t="e">
        <f>IF(J107="","SEM #CH",VLOOKUP(J107,#REF!,2,0))</f>
        <v>#REF!</v>
      </c>
      <c r="L107" s="19" t="e">
        <f>IF(J107="","SEM #CH",VLOOKUP(J107,#REF!,3,0))</f>
        <v>#REF!</v>
      </c>
      <c r="M107" s="19" t="e">
        <f>IF(J107="","SEM #CH",VLOOKUP(J107,#REF!,4,0))</f>
        <v>#REF!</v>
      </c>
      <c r="N107" s="19" t="e">
        <f>IF(J107="","SEM #CH",VLOOKUP(J107,#REF!,5,0))</f>
        <v>#REF!</v>
      </c>
      <c r="O107" s="19" t="e">
        <f>IF(J107="","SEM #CH",VLOOKUP(J107,#REF!,6,0))</f>
        <v>#REF!</v>
      </c>
      <c r="P107" s="19" t="e">
        <f>IF(J107="","SEM #CH",VLOOKUP(J107,#REF!,7,0))</f>
        <v>#REF!</v>
      </c>
      <c r="Q107" s="77" t="str">
        <f>VLOOKUP(J107,'p1'!$B$2:$C$30,2,0)</f>
        <v>NÃO TEM CHAPA</v>
      </c>
      <c r="R107" s="94">
        <v>45769</v>
      </c>
      <c r="S107" s="90" t="s">
        <v>217</v>
      </c>
      <c r="T107" s="90">
        <f t="shared" si="8"/>
        <v>1</v>
      </c>
      <c r="U107" s="94">
        <v>45856</v>
      </c>
      <c r="V107" s="90" t="s">
        <v>86</v>
      </c>
      <c r="W107" s="92">
        <v>2452</v>
      </c>
      <c r="X107" s="93">
        <f t="shared" si="7"/>
        <v>1</v>
      </c>
      <c r="Y107" s="92"/>
      <c r="Z107" s="92"/>
      <c r="AA107" s="13" t="str">
        <f t="shared" si="9"/>
        <v>abr/2025</v>
      </c>
    </row>
    <row r="108" spans="1:27" x14ac:dyDescent="0.25">
      <c r="A108" s="89">
        <v>107</v>
      </c>
      <c r="B108" s="68">
        <v>45762</v>
      </c>
      <c r="C108" s="40">
        <v>15</v>
      </c>
      <c r="D108" s="40">
        <f t="shared" si="5"/>
        <v>1</v>
      </c>
      <c r="E108" s="44" t="s">
        <v>116</v>
      </c>
      <c r="F108" s="17" t="s">
        <v>58</v>
      </c>
      <c r="G108" s="17" t="s">
        <v>86</v>
      </c>
      <c r="H108" s="42" t="s">
        <v>340</v>
      </c>
      <c r="I108" s="17" t="str">
        <f t="shared" si="6"/>
        <v>PN-107</v>
      </c>
      <c r="J108" s="18" t="s">
        <v>85</v>
      </c>
      <c r="K108" s="19" t="e">
        <f>IF(J108="","SEM #CH",VLOOKUP(J108,#REF!,2,0))</f>
        <v>#REF!</v>
      </c>
      <c r="L108" s="19" t="e">
        <f>IF(J108="","SEM #CH",VLOOKUP(J108,#REF!,3,0))</f>
        <v>#REF!</v>
      </c>
      <c r="M108" s="19" t="e">
        <f>IF(J108="","SEM #CH",VLOOKUP(J108,#REF!,4,0))</f>
        <v>#REF!</v>
      </c>
      <c r="N108" s="19" t="e">
        <f>IF(J108="","SEM #CH",VLOOKUP(J108,#REF!,5,0))</f>
        <v>#REF!</v>
      </c>
      <c r="O108" s="19" t="e">
        <f>IF(J108="","SEM #CH",VLOOKUP(J108,#REF!,6,0))</f>
        <v>#REF!</v>
      </c>
      <c r="P108" s="19" t="e">
        <f>IF(J108="","SEM #CH",VLOOKUP(J108,#REF!,7,0))</f>
        <v>#REF!</v>
      </c>
      <c r="Q108" s="77" t="str">
        <f>VLOOKUP(J108,'p1'!$B$2:$C$30,2,0)</f>
        <v>NÃO TEM CHAPA</v>
      </c>
      <c r="R108" s="94">
        <v>45803</v>
      </c>
      <c r="S108" s="90" t="s">
        <v>218</v>
      </c>
      <c r="T108" s="90">
        <f t="shared" si="8"/>
        <v>1</v>
      </c>
      <c r="U108" s="94">
        <v>45828</v>
      </c>
      <c r="V108" s="90" t="s">
        <v>86</v>
      </c>
      <c r="W108" s="92">
        <v>2398</v>
      </c>
      <c r="X108" s="93">
        <f t="shared" si="7"/>
        <v>1</v>
      </c>
      <c r="Y108" s="92"/>
      <c r="Z108" s="92"/>
      <c r="AA108" s="13" t="str">
        <f t="shared" si="9"/>
        <v>mai/2025</v>
      </c>
    </row>
    <row r="109" spans="1:27" x14ac:dyDescent="0.25">
      <c r="A109" s="89">
        <v>108</v>
      </c>
      <c r="B109" s="68">
        <v>45761</v>
      </c>
      <c r="C109" s="40">
        <v>14</v>
      </c>
      <c r="D109" s="40">
        <f t="shared" si="5"/>
        <v>1</v>
      </c>
      <c r="E109" s="44" t="s">
        <v>116</v>
      </c>
      <c r="F109" s="17" t="s">
        <v>58</v>
      </c>
      <c r="G109" s="17" t="s">
        <v>86</v>
      </c>
      <c r="H109" s="42" t="s">
        <v>341</v>
      </c>
      <c r="I109" s="17" t="str">
        <f t="shared" si="6"/>
        <v>PN-108</v>
      </c>
      <c r="J109" s="18" t="s">
        <v>85</v>
      </c>
      <c r="K109" s="19" t="e">
        <f>IF(J109="","SEM #CH",VLOOKUP(J109,#REF!,2,0))</f>
        <v>#REF!</v>
      </c>
      <c r="L109" s="19" t="e">
        <f>IF(J109="","SEM #CH",VLOOKUP(J109,#REF!,3,0))</f>
        <v>#REF!</v>
      </c>
      <c r="M109" s="19" t="e">
        <f>IF(J109="","SEM #CH",VLOOKUP(J109,#REF!,4,0))</f>
        <v>#REF!</v>
      </c>
      <c r="N109" s="19" t="e">
        <f>IF(J109="","SEM #CH",VLOOKUP(J109,#REF!,5,0))</f>
        <v>#REF!</v>
      </c>
      <c r="O109" s="19" t="e">
        <f>IF(J109="","SEM #CH",VLOOKUP(J109,#REF!,6,0))</f>
        <v>#REF!</v>
      </c>
      <c r="P109" s="19" t="e">
        <f>IF(J109="","SEM #CH",VLOOKUP(J109,#REF!,7,0))</f>
        <v>#REF!</v>
      </c>
      <c r="Q109" s="77" t="str">
        <f>VLOOKUP(J109,'p1'!$B$2:$C$30,2,0)</f>
        <v>NÃO TEM CHAPA</v>
      </c>
      <c r="R109" s="94">
        <v>45773</v>
      </c>
      <c r="S109" s="90" t="s">
        <v>217</v>
      </c>
      <c r="T109" s="90">
        <f t="shared" si="8"/>
        <v>1</v>
      </c>
      <c r="U109" s="94">
        <v>45848</v>
      </c>
      <c r="V109" s="90" t="s">
        <v>1047</v>
      </c>
      <c r="W109" s="92">
        <v>2440</v>
      </c>
      <c r="X109" s="93">
        <f t="shared" si="7"/>
        <v>1</v>
      </c>
      <c r="Y109" s="92"/>
      <c r="Z109" s="92"/>
      <c r="AA109" s="13" t="str">
        <f t="shared" si="9"/>
        <v>abr/2025</v>
      </c>
    </row>
    <row r="110" spans="1:27" x14ac:dyDescent="0.25">
      <c r="A110" s="89">
        <v>109</v>
      </c>
      <c r="B110" s="68">
        <v>45761</v>
      </c>
      <c r="C110" s="40">
        <v>14</v>
      </c>
      <c r="D110" s="40">
        <f t="shared" si="5"/>
        <v>1</v>
      </c>
      <c r="E110" s="44" t="s">
        <v>116</v>
      </c>
      <c r="F110" s="17" t="s">
        <v>58</v>
      </c>
      <c r="G110" s="17" t="s">
        <v>86</v>
      </c>
      <c r="H110" s="42" t="s">
        <v>342</v>
      </c>
      <c r="I110" s="17" t="str">
        <f t="shared" si="6"/>
        <v>PN-109</v>
      </c>
      <c r="J110" s="18" t="s">
        <v>85</v>
      </c>
      <c r="K110" s="19" t="e">
        <f>IF(J110="","SEM #CH",VLOOKUP(J110,#REF!,2,0))</f>
        <v>#REF!</v>
      </c>
      <c r="L110" s="19" t="e">
        <f>IF(J110="","SEM #CH",VLOOKUP(J110,#REF!,3,0))</f>
        <v>#REF!</v>
      </c>
      <c r="M110" s="19" t="e">
        <f>IF(J110="","SEM #CH",VLOOKUP(J110,#REF!,4,0))</f>
        <v>#REF!</v>
      </c>
      <c r="N110" s="19" t="e">
        <f>IF(J110="","SEM #CH",VLOOKUP(J110,#REF!,5,0))</f>
        <v>#REF!</v>
      </c>
      <c r="O110" s="19" t="e">
        <f>IF(J110="","SEM #CH",VLOOKUP(J110,#REF!,6,0))</f>
        <v>#REF!</v>
      </c>
      <c r="P110" s="19" t="e">
        <f>IF(J110="","SEM #CH",VLOOKUP(J110,#REF!,7,0))</f>
        <v>#REF!</v>
      </c>
      <c r="Q110" s="77" t="str">
        <f>VLOOKUP(J110,'p1'!$B$2:$C$30,2,0)</f>
        <v>NÃO TEM CHAPA</v>
      </c>
      <c r="R110" s="94">
        <v>45864</v>
      </c>
      <c r="S110" s="90" t="s">
        <v>217</v>
      </c>
      <c r="T110" s="90">
        <f t="shared" si="8"/>
        <v>1</v>
      </c>
      <c r="U110" s="94">
        <v>45881</v>
      </c>
      <c r="V110" s="90" t="s">
        <v>1092</v>
      </c>
      <c r="W110" s="92">
        <v>2467</v>
      </c>
      <c r="X110" s="93">
        <f t="shared" si="7"/>
        <v>1</v>
      </c>
      <c r="Y110" s="92"/>
      <c r="Z110" s="92"/>
      <c r="AA110" s="13" t="str">
        <f t="shared" si="9"/>
        <v>jul/2025</v>
      </c>
    </row>
    <row r="111" spans="1:27" x14ac:dyDescent="0.25">
      <c r="A111" s="89">
        <v>110</v>
      </c>
      <c r="B111" s="68">
        <v>45761</v>
      </c>
      <c r="C111" s="40">
        <v>14</v>
      </c>
      <c r="D111" s="40">
        <f t="shared" si="5"/>
        <v>1</v>
      </c>
      <c r="E111" s="44" t="s">
        <v>116</v>
      </c>
      <c r="F111" s="17" t="s">
        <v>58</v>
      </c>
      <c r="G111" s="17" t="s">
        <v>86</v>
      </c>
      <c r="H111" s="42" t="s">
        <v>343</v>
      </c>
      <c r="I111" s="17" t="str">
        <f t="shared" si="6"/>
        <v>PN-110</v>
      </c>
      <c r="J111" s="18" t="s">
        <v>85</v>
      </c>
      <c r="K111" s="19" t="e">
        <f>IF(J111="","SEM #CH",VLOOKUP(J111,#REF!,2,0))</f>
        <v>#REF!</v>
      </c>
      <c r="L111" s="19" t="e">
        <f>IF(J111="","SEM #CH",VLOOKUP(J111,#REF!,3,0))</f>
        <v>#REF!</v>
      </c>
      <c r="M111" s="19" t="e">
        <f>IF(J111="","SEM #CH",VLOOKUP(J111,#REF!,4,0))</f>
        <v>#REF!</v>
      </c>
      <c r="N111" s="19" t="e">
        <f>IF(J111="","SEM #CH",VLOOKUP(J111,#REF!,5,0))</f>
        <v>#REF!</v>
      </c>
      <c r="O111" s="19" t="e">
        <f>IF(J111="","SEM #CH",VLOOKUP(J111,#REF!,6,0))</f>
        <v>#REF!</v>
      </c>
      <c r="P111" s="19" t="e">
        <f>IF(J111="","SEM #CH",VLOOKUP(J111,#REF!,7,0))</f>
        <v>#REF!</v>
      </c>
      <c r="Q111" s="77" t="str">
        <f>VLOOKUP(J111,'p1'!$B$2:$C$30,2,0)</f>
        <v>NÃO TEM CHAPA</v>
      </c>
      <c r="R111" s="94">
        <v>45864</v>
      </c>
      <c r="S111" s="90" t="s">
        <v>217</v>
      </c>
      <c r="T111" s="90">
        <f t="shared" si="8"/>
        <v>1</v>
      </c>
      <c r="U111" s="94">
        <v>45881</v>
      </c>
      <c r="V111" s="90" t="s">
        <v>86</v>
      </c>
      <c r="W111" s="92">
        <v>2468</v>
      </c>
      <c r="X111" s="93">
        <f t="shared" si="7"/>
        <v>1</v>
      </c>
      <c r="Y111" s="92"/>
      <c r="Z111" s="92"/>
      <c r="AA111" s="13" t="str">
        <f t="shared" si="9"/>
        <v>jul/2025</v>
      </c>
    </row>
    <row r="112" spans="1:27" x14ac:dyDescent="0.25">
      <c r="A112" s="89">
        <v>111</v>
      </c>
      <c r="B112" s="68">
        <v>45761</v>
      </c>
      <c r="C112" s="40">
        <v>14</v>
      </c>
      <c r="D112" s="40">
        <f t="shared" si="5"/>
        <v>1</v>
      </c>
      <c r="E112" s="44" t="s">
        <v>116</v>
      </c>
      <c r="F112" s="17" t="s">
        <v>58</v>
      </c>
      <c r="G112" s="17" t="s">
        <v>86</v>
      </c>
      <c r="H112" s="42" t="s">
        <v>344</v>
      </c>
      <c r="I112" s="17" t="str">
        <f t="shared" si="6"/>
        <v>PN-111</v>
      </c>
      <c r="J112" s="18" t="s">
        <v>85</v>
      </c>
      <c r="K112" s="19" t="e">
        <f>IF(J112="","SEM #CH",VLOOKUP(J112,#REF!,2,0))</f>
        <v>#REF!</v>
      </c>
      <c r="L112" s="19" t="e">
        <f>IF(J112="","SEM #CH",VLOOKUP(J112,#REF!,3,0))</f>
        <v>#REF!</v>
      </c>
      <c r="M112" s="19" t="e">
        <f>IF(J112="","SEM #CH",VLOOKUP(J112,#REF!,4,0))</f>
        <v>#REF!</v>
      </c>
      <c r="N112" s="19" t="e">
        <f>IF(J112="","SEM #CH",VLOOKUP(J112,#REF!,5,0))</f>
        <v>#REF!</v>
      </c>
      <c r="O112" s="19" t="e">
        <f>IF(J112="","SEM #CH",VLOOKUP(J112,#REF!,6,0))</f>
        <v>#REF!</v>
      </c>
      <c r="P112" s="19" t="e">
        <f>IF(J112="","SEM #CH",VLOOKUP(J112,#REF!,7,0))</f>
        <v>#REF!</v>
      </c>
      <c r="Q112" s="77" t="str">
        <f>VLOOKUP(J112,'p1'!$B$2:$C$30,2,0)</f>
        <v>NÃO TEM CHAPA</v>
      </c>
      <c r="R112" s="94">
        <v>45910</v>
      </c>
      <c r="S112" s="90" t="s">
        <v>217</v>
      </c>
      <c r="T112" s="90">
        <f t="shared" si="8"/>
        <v>1</v>
      </c>
      <c r="U112" s="94">
        <v>45912</v>
      </c>
      <c r="V112" s="90" t="s">
        <v>86</v>
      </c>
      <c r="W112" s="92">
        <v>2520</v>
      </c>
      <c r="X112" s="93">
        <f t="shared" si="7"/>
        <v>1</v>
      </c>
      <c r="Y112" s="92"/>
      <c r="Z112" s="92"/>
      <c r="AA112" s="13" t="str">
        <f t="shared" si="9"/>
        <v>set/2025</v>
      </c>
    </row>
    <row r="113" spans="1:27" x14ac:dyDescent="0.25">
      <c r="A113" s="89">
        <v>112</v>
      </c>
      <c r="B113" s="68">
        <v>45761</v>
      </c>
      <c r="C113" s="40">
        <v>14</v>
      </c>
      <c r="D113" s="40">
        <f t="shared" si="5"/>
        <v>1</v>
      </c>
      <c r="E113" s="44" t="s">
        <v>116</v>
      </c>
      <c r="F113" s="17" t="s">
        <v>58</v>
      </c>
      <c r="G113" s="17" t="s">
        <v>86</v>
      </c>
      <c r="H113" s="42" t="s">
        <v>345</v>
      </c>
      <c r="I113" s="17" t="str">
        <f t="shared" si="6"/>
        <v>PN-112</v>
      </c>
      <c r="J113" s="18" t="s">
        <v>85</v>
      </c>
      <c r="K113" s="19" t="e">
        <f>IF(J113="","SEM #CH",VLOOKUP(J113,#REF!,2,0))</f>
        <v>#REF!</v>
      </c>
      <c r="L113" s="19" t="e">
        <f>IF(J113="","SEM #CH",VLOOKUP(J113,#REF!,3,0))</f>
        <v>#REF!</v>
      </c>
      <c r="M113" s="19" t="e">
        <f>IF(J113="","SEM #CH",VLOOKUP(J113,#REF!,4,0))</f>
        <v>#REF!</v>
      </c>
      <c r="N113" s="19" t="e">
        <f>IF(J113="","SEM #CH",VLOOKUP(J113,#REF!,5,0))</f>
        <v>#REF!</v>
      </c>
      <c r="O113" s="19" t="e">
        <f>IF(J113="","SEM #CH",VLOOKUP(J113,#REF!,6,0))</f>
        <v>#REF!</v>
      </c>
      <c r="P113" s="19" t="e">
        <f>IF(J113="","SEM #CH",VLOOKUP(J113,#REF!,7,0))</f>
        <v>#REF!</v>
      </c>
      <c r="Q113" s="77" t="str">
        <f>VLOOKUP(J113,'p1'!$B$2:$C$30,2,0)</f>
        <v>NÃO TEM CHAPA</v>
      </c>
      <c r="R113" s="94">
        <v>45779</v>
      </c>
      <c r="S113" s="90" t="s">
        <v>217</v>
      </c>
      <c r="T113" s="90">
        <f t="shared" si="8"/>
        <v>1</v>
      </c>
      <c r="U113" s="94">
        <v>45854</v>
      </c>
      <c r="V113" s="90" t="s">
        <v>86</v>
      </c>
      <c r="W113" s="92">
        <v>2446</v>
      </c>
      <c r="X113" s="93">
        <f t="shared" si="7"/>
        <v>1</v>
      </c>
      <c r="Y113" s="92"/>
      <c r="Z113" s="92"/>
      <c r="AA113" s="13" t="str">
        <f t="shared" si="9"/>
        <v>mai/2025</v>
      </c>
    </row>
    <row r="114" spans="1:27" x14ac:dyDescent="0.25">
      <c r="A114" s="89">
        <v>113</v>
      </c>
      <c r="B114" s="68">
        <v>45761</v>
      </c>
      <c r="C114" s="40">
        <v>14</v>
      </c>
      <c r="D114" s="40">
        <f t="shared" si="5"/>
        <v>1</v>
      </c>
      <c r="E114" s="44" t="s">
        <v>116</v>
      </c>
      <c r="F114" s="17" t="s">
        <v>58</v>
      </c>
      <c r="G114" s="17" t="s">
        <v>86</v>
      </c>
      <c r="H114" s="42" t="s">
        <v>346</v>
      </c>
      <c r="I114" s="17" t="str">
        <f t="shared" si="6"/>
        <v>PN-113</v>
      </c>
      <c r="J114" s="18" t="s">
        <v>85</v>
      </c>
      <c r="K114" s="19" t="e">
        <f>IF(J114="","SEM #CH",VLOOKUP(J114,#REF!,2,0))</f>
        <v>#REF!</v>
      </c>
      <c r="L114" s="19" t="e">
        <f>IF(J114="","SEM #CH",VLOOKUP(J114,#REF!,3,0))</f>
        <v>#REF!</v>
      </c>
      <c r="M114" s="19" t="e">
        <f>IF(J114="","SEM #CH",VLOOKUP(J114,#REF!,4,0))</f>
        <v>#REF!</v>
      </c>
      <c r="N114" s="19" t="e">
        <f>IF(J114="","SEM #CH",VLOOKUP(J114,#REF!,5,0))</f>
        <v>#REF!</v>
      </c>
      <c r="O114" s="19" t="e">
        <f>IF(J114="","SEM #CH",VLOOKUP(J114,#REF!,6,0))</f>
        <v>#REF!</v>
      </c>
      <c r="P114" s="19" t="e">
        <f>IF(J114="","SEM #CH",VLOOKUP(J114,#REF!,7,0))</f>
        <v>#REF!</v>
      </c>
      <c r="Q114" s="77" t="str">
        <f>VLOOKUP(J114,'p1'!$B$2:$C$30,2,0)</f>
        <v>NÃO TEM CHAPA</v>
      </c>
      <c r="R114" s="94">
        <v>45779</v>
      </c>
      <c r="S114" s="90" t="s">
        <v>217</v>
      </c>
      <c r="T114" s="90">
        <f t="shared" si="8"/>
        <v>1</v>
      </c>
      <c r="U114" s="94">
        <v>45898</v>
      </c>
      <c r="V114" s="90" t="s">
        <v>86</v>
      </c>
      <c r="W114" s="92">
        <v>2499</v>
      </c>
      <c r="X114" s="93">
        <f t="shared" si="7"/>
        <v>1</v>
      </c>
      <c r="Y114" s="92"/>
      <c r="Z114" s="92"/>
      <c r="AA114" s="13" t="str">
        <f t="shared" si="9"/>
        <v>mai/2025</v>
      </c>
    </row>
    <row r="115" spans="1:27" x14ac:dyDescent="0.25">
      <c r="A115" s="89">
        <v>114</v>
      </c>
      <c r="B115" s="68">
        <v>45762</v>
      </c>
      <c r="C115" s="40">
        <v>15</v>
      </c>
      <c r="D115" s="40">
        <f t="shared" si="5"/>
        <v>1</v>
      </c>
      <c r="E115" s="44" t="s">
        <v>116</v>
      </c>
      <c r="F115" s="17" t="s">
        <v>58</v>
      </c>
      <c r="G115" s="17" t="s">
        <v>86</v>
      </c>
      <c r="H115" s="42" t="s">
        <v>347</v>
      </c>
      <c r="I115" s="17" t="str">
        <f t="shared" si="6"/>
        <v>PN-114</v>
      </c>
      <c r="J115" s="18" t="s">
        <v>85</v>
      </c>
      <c r="K115" s="19" t="e">
        <f>IF(J115="","SEM #CH",VLOOKUP(J115,#REF!,2,0))</f>
        <v>#REF!</v>
      </c>
      <c r="L115" s="19" t="e">
        <f>IF(J115="","SEM #CH",VLOOKUP(J115,#REF!,3,0))</f>
        <v>#REF!</v>
      </c>
      <c r="M115" s="19" t="e">
        <f>IF(J115="","SEM #CH",VLOOKUP(J115,#REF!,4,0))</f>
        <v>#REF!</v>
      </c>
      <c r="N115" s="19" t="e">
        <f>IF(J115="","SEM #CH",VLOOKUP(J115,#REF!,5,0))</f>
        <v>#REF!</v>
      </c>
      <c r="O115" s="19" t="e">
        <f>IF(J115="","SEM #CH",VLOOKUP(J115,#REF!,6,0))</f>
        <v>#REF!</v>
      </c>
      <c r="P115" s="19" t="e">
        <f>IF(J115="","SEM #CH",VLOOKUP(J115,#REF!,7,0))</f>
        <v>#REF!</v>
      </c>
      <c r="Q115" s="77" t="str">
        <f>VLOOKUP(J115,'p1'!$B$2:$C$30,2,0)</f>
        <v>NÃO TEM CHAPA</v>
      </c>
      <c r="R115" s="94">
        <v>45800</v>
      </c>
      <c r="S115" s="90" t="s">
        <v>218</v>
      </c>
      <c r="T115" s="90">
        <f t="shared" si="8"/>
        <v>1</v>
      </c>
      <c r="U115" s="94">
        <v>45832</v>
      </c>
      <c r="V115" s="90" t="s">
        <v>1037</v>
      </c>
      <c r="W115" s="92">
        <v>2409</v>
      </c>
      <c r="X115" s="93">
        <f t="shared" si="7"/>
        <v>1</v>
      </c>
      <c r="Y115" s="92"/>
      <c r="Z115" s="92"/>
      <c r="AA115" s="13" t="str">
        <f t="shared" si="9"/>
        <v>mai/2025</v>
      </c>
    </row>
    <row r="116" spans="1:27" x14ac:dyDescent="0.25">
      <c r="A116" s="89">
        <v>115</v>
      </c>
      <c r="B116" s="68">
        <v>45762</v>
      </c>
      <c r="C116" s="40">
        <v>15</v>
      </c>
      <c r="D116" s="40">
        <f t="shared" si="5"/>
        <v>1</v>
      </c>
      <c r="E116" s="44" t="s">
        <v>116</v>
      </c>
      <c r="F116" s="17" t="s">
        <v>58</v>
      </c>
      <c r="G116" s="17" t="s">
        <v>86</v>
      </c>
      <c r="H116" s="42" t="s">
        <v>348</v>
      </c>
      <c r="I116" s="17" t="str">
        <f t="shared" si="6"/>
        <v>PN-115</v>
      </c>
      <c r="J116" s="18" t="s">
        <v>85</v>
      </c>
      <c r="K116" s="19" t="e">
        <f>IF(J116="","SEM #CH",VLOOKUP(J116,#REF!,2,0))</f>
        <v>#REF!</v>
      </c>
      <c r="L116" s="19" t="e">
        <f>IF(J116="","SEM #CH",VLOOKUP(J116,#REF!,3,0))</f>
        <v>#REF!</v>
      </c>
      <c r="M116" s="19" t="e">
        <f>IF(J116="","SEM #CH",VLOOKUP(J116,#REF!,4,0))</f>
        <v>#REF!</v>
      </c>
      <c r="N116" s="19" t="e">
        <f>IF(J116="","SEM #CH",VLOOKUP(J116,#REF!,5,0))</f>
        <v>#REF!</v>
      </c>
      <c r="O116" s="19" t="e">
        <f>IF(J116="","SEM #CH",VLOOKUP(J116,#REF!,6,0))</f>
        <v>#REF!</v>
      </c>
      <c r="P116" s="19" t="e">
        <f>IF(J116="","SEM #CH",VLOOKUP(J116,#REF!,7,0))</f>
        <v>#REF!</v>
      </c>
      <c r="Q116" s="77" t="str">
        <f>VLOOKUP(J116,'p1'!$B$2:$C$30,2,0)</f>
        <v>NÃO TEM CHAPA</v>
      </c>
      <c r="R116" s="94">
        <v>45800</v>
      </c>
      <c r="S116" s="90" t="s">
        <v>218</v>
      </c>
      <c r="T116" s="90">
        <f t="shared" si="8"/>
        <v>1</v>
      </c>
      <c r="U116" s="94">
        <v>45828</v>
      </c>
      <c r="V116" s="90" t="s">
        <v>86</v>
      </c>
      <c r="W116" s="92">
        <v>2396</v>
      </c>
      <c r="X116" s="93">
        <f t="shared" si="7"/>
        <v>1</v>
      </c>
      <c r="Y116" s="92"/>
      <c r="Z116" s="92"/>
      <c r="AA116" s="13" t="str">
        <f t="shared" si="9"/>
        <v>mai/2025</v>
      </c>
    </row>
    <row r="117" spans="1:27" x14ac:dyDescent="0.25">
      <c r="A117" s="89">
        <v>116</v>
      </c>
      <c r="B117" s="68">
        <v>45762</v>
      </c>
      <c r="C117" s="40">
        <v>15</v>
      </c>
      <c r="D117" s="40">
        <f t="shared" si="5"/>
        <v>1</v>
      </c>
      <c r="E117" s="44" t="s">
        <v>116</v>
      </c>
      <c r="F117" s="17" t="s">
        <v>58</v>
      </c>
      <c r="G117" s="17" t="s">
        <v>86</v>
      </c>
      <c r="H117" s="42" t="s">
        <v>349</v>
      </c>
      <c r="I117" s="17" t="str">
        <f t="shared" si="6"/>
        <v>PN-116</v>
      </c>
      <c r="J117" s="18" t="s">
        <v>85</v>
      </c>
      <c r="K117" s="19" t="e">
        <f>IF(J117="","SEM #CH",VLOOKUP(J117,#REF!,2,0))</f>
        <v>#REF!</v>
      </c>
      <c r="L117" s="19" t="e">
        <f>IF(J117="","SEM #CH",VLOOKUP(J117,#REF!,3,0))</f>
        <v>#REF!</v>
      </c>
      <c r="M117" s="19" t="e">
        <f>IF(J117="","SEM #CH",VLOOKUP(J117,#REF!,4,0))</f>
        <v>#REF!</v>
      </c>
      <c r="N117" s="19" t="e">
        <f>IF(J117="","SEM #CH",VLOOKUP(J117,#REF!,5,0))</f>
        <v>#REF!</v>
      </c>
      <c r="O117" s="19" t="e">
        <f>IF(J117="","SEM #CH",VLOOKUP(J117,#REF!,6,0))</f>
        <v>#REF!</v>
      </c>
      <c r="P117" s="19" t="e">
        <f>IF(J117="","SEM #CH",VLOOKUP(J117,#REF!,7,0))</f>
        <v>#REF!</v>
      </c>
      <c r="Q117" s="77" t="str">
        <f>VLOOKUP(J117,'p1'!$B$2:$C$30,2,0)</f>
        <v>NÃO TEM CHAPA</v>
      </c>
      <c r="R117" s="94">
        <v>45798</v>
      </c>
      <c r="S117" s="90" t="s">
        <v>218</v>
      </c>
      <c r="T117" s="90">
        <f t="shared" si="8"/>
        <v>1</v>
      </c>
      <c r="U117" s="94">
        <v>45833</v>
      </c>
      <c r="V117" s="90" t="s">
        <v>86</v>
      </c>
      <c r="W117" s="92">
        <v>2413</v>
      </c>
      <c r="X117" s="93">
        <f t="shared" si="7"/>
        <v>1</v>
      </c>
      <c r="Y117" s="92"/>
      <c r="Z117" s="92"/>
      <c r="AA117" s="13" t="str">
        <f t="shared" si="9"/>
        <v>mai/2025</v>
      </c>
    </row>
    <row r="118" spans="1:27" x14ac:dyDescent="0.25">
      <c r="A118" s="89">
        <v>117</v>
      </c>
      <c r="B118" s="68">
        <v>45812</v>
      </c>
      <c r="C118" s="40">
        <v>32</v>
      </c>
      <c r="D118" s="40">
        <f t="shared" si="5"/>
        <v>1</v>
      </c>
      <c r="E118" s="44" t="s">
        <v>116</v>
      </c>
      <c r="F118" s="17" t="s">
        <v>60</v>
      </c>
      <c r="G118" s="17" t="s">
        <v>86</v>
      </c>
      <c r="H118" s="42" t="s">
        <v>350</v>
      </c>
      <c r="I118" s="17" t="str">
        <f t="shared" si="6"/>
        <v>PE-117</v>
      </c>
      <c r="J118" s="18" t="s">
        <v>90</v>
      </c>
      <c r="K118" s="19" t="e">
        <f>IF(J118="","SEM #CH",VLOOKUP(J118,#REF!,2,0))</f>
        <v>#REF!</v>
      </c>
      <c r="L118" s="19" t="e">
        <f>IF(J118="","SEM #CH",VLOOKUP(J118,#REF!,3,0))</f>
        <v>#REF!</v>
      </c>
      <c r="M118" s="19" t="e">
        <f>IF(J118="","SEM #CH",VLOOKUP(J118,#REF!,4,0))</f>
        <v>#REF!</v>
      </c>
      <c r="N118" s="19" t="e">
        <f>IF(J118="","SEM #CH",VLOOKUP(J118,#REF!,5,0))</f>
        <v>#REF!</v>
      </c>
      <c r="O118" s="19" t="e">
        <f>IF(J118="","SEM #CH",VLOOKUP(J118,#REF!,6,0))</f>
        <v>#REF!</v>
      </c>
      <c r="P118" s="19" t="e">
        <f>IF(J118="","SEM #CH",VLOOKUP(J118,#REF!,7,0))</f>
        <v>#REF!</v>
      </c>
      <c r="Q118" s="77" t="str">
        <f>VLOOKUP(J118,'p1'!$B$2:$C$30,2,0)</f>
        <v>#3/8-530X530</v>
      </c>
      <c r="R118" s="94">
        <v>45822</v>
      </c>
      <c r="S118" s="90" t="s">
        <v>217</v>
      </c>
      <c r="T118" s="90">
        <f t="shared" si="8"/>
        <v>1</v>
      </c>
      <c r="U118" s="94">
        <v>45824</v>
      </c>
      <c r="V118" s="90" t="s">
        <v>86</v>
      </c>
      <c r="W118" s="92">
        <v>2387</v>
      </c>
      <c r="X118" s="93">
        <f t="shared" si="7"/>
        <v>1</v>
      </c>
      <c r="Y118" s="92"/>
      <c r="Z118" s="92"/>
      <c r="AA118" s="13" t="str">
        <f t="shared" si="9"/>
        <v>jun/2025</v>
      </c>
    </row>
    <row r="119" spans="1:27" x14ac:dyDescent="0.25">
      <c r="A119" s="89">
        <v>118</v>
      </c>
      <c r="B119" s="68">
        <v>45762</v>
      </c>
      <c r="C119" s="40">
        <v>15</v>
      </c>
      <c r="D119" s="40">
        <f t="shared" si="5"/>
        <v>1</v>
      </c>
      <c r="E119" s="44" t="s">
        <v>116</v>
      </c>
      <c r="F119" s="17" t="s">
        <v>58</v>
      </c>
      <c r="G119" s="17" t="s">
        <v>86</v>
      </c>
      <c r="H119" s="42" t="s">
        <v>351</v>
      </c>
      <c r="I119" s="17" t="str">
        <f t="shared" si="6"/>
        <v>PN-118</v>
      </c>
      <c r="J119" s="18" t="s">
        <v>85</v>
      </c>
      <c r="K119" s="19" t="e">
        <f>IF(J119="","SEM #CH",VLOOKUP(J119,#REF!,2,0))</f>
        <v>#REF!</v>
      </c>
      <c r="L119" s="19" t="e">
        <f>IF(J119="","SEM #CH",VLOOKUP(J119,#REF!,3,0))</f>
        <v>#REF!</v>
      </c>
      <c r="M119" s="19" t="e">
        <f>IF(J119="","SEM #CH",VLOOKUP(J119,#REF!,4,0))</f>
        <v>#REF!</v>
      </c>
      <c r="N119" s="19" t="e">
        <f>IF(J119="","SEM #CH",VLOOKUP(J119,#REF!,5,0))</f>
        <v>#REF!</v>
      </c>
      <c r="O119" s="19" t="e">
        <f>IF(J119="","SEM #CH",VLOOKUP(J119,#REF!,6,0))</f>
        <v>#REF!</v>
      </c>
      <c r="P119" s="19" t="e">
        <f>IF(J119="","SEM #CH",VLOOKUP(J119,#REF!,7,0))</f>
        <v>#REF!</v>
      </c>
      <c r="Q119" s="77" t="str">
        <f>VLOOKUP(J119,'p1'!$B$2:$C$30,2,0)</f>
        <v>NÃO TEM CHAPA</v>
      </c>
      <c r="R119" s="94">
        <v>45798</v>
      </c>
      <c r="S119" s="90" t="s">
        <v>218</v>
      </c>
      <c r="T119" s="90">
        <f t="shared" si="8"/>
        <v>1</v>
      </c>
      <c r="U119" s="94">
        <v>45833</v>
      </c>
      <c r="V119" s="90" t="s">
        <v>86</v>
      </c>
      <c r="W119" s="92">
        <v>2414</v>
      </c>
      <c r="X119" s="93">
        <f t="shared" si="7"/>
        <v>1</v>
      </c>
      <c r="Y119" s="92"/>
      <c r="Z119" s="92"/>
      <c r="AA119" s="13" t="str">
        <f t="shared" si="9"/>
        <v>mai/2025</v>
      </c>
    </row>
    <row r="120" spans="1:27" x14ac:dyDescent="0.25">
      <c r="A120" s="89">
        <v>119</v>
      </c>
      <c r="B120" s="68">
        <v>45762</v>
      </c>
      <c r="C120" s="40">
        <v>15</v>
      </c>
      <c r="D120" s="40">
        <f t="shared" si="5"/>
        <v>1</v>
      </c>
      <c r="E120" s="44" t="s">
        <v>116</v>
      </c>
      <c r="F120" s="17" t="s">
        <v>58</v>
      </c>
      <c r="G120" s="17" t="s">
        <v>86</v>
      </c>
      <c r="H120" s="42" t="s">
        <v>352</v>
      </c>
      <c r="I120" s="17" t="str">
        <f t="shared" si="6"/>
        <v>PN-119</v>
      </c>
      <c r="J120" s="18" t="s">
        <v>85</v>
      </c>
      <c r="K120" s="19" t="e">
        <f>IF(J120="","SEM #CH",VLOOKUP(J120,#REF!,2,0))</f>
        <v>#REF!</v>
      </c>
      <c r="L120" s="19" t="e">
        <f>IF(J120="","SEM #CH",VLOOKUP(J120,#REF!,3,0))</f>
        <v>#REF!</v>
      </c>
      <c r="M120" s="19" t="e">
        <f>IF(J120="","SEM #CH",VLOOKUP(J120,#REF!,4,0))</f>
        <v>#REF!</v>
      </c>
      <c r="N120" s="19" t="e">
        <f>IF(J120="","SEM #CH",VLOOKUP(J120,#REF!,5,0))</f>
        <v>#REF!</v>
      </c>
      <c r="O120" s="19" t="e">
        <f>IF(J120="","SEM #CH",VLOOKUP(J120,#REF!,6,0))</f>
        <v>#REF!</v>
      </c>
      <c r="P120" s="19" t="e">
        <f>IF(J120="","SEM #CH",VLOOKUP(J120,#REF!,7,0))</f>
        <v>#REF!</v>
      </c>
      <c r="Q120" s="77" t="str">
        <f>VLOOKUP(J120,'p1'!$B$2:$C$30,2,0)</f>
        <v>NÃO TEM CHAPA</v>
      </c>
      <c r="R120" s="94">
        <v>45793</v>
      </c>
      <c r="S120" s="90" t="s">
        <v>218</v>
      </c>
      <c r="T120" s="90">
        <f t="shared" si="8"/>
        <v>1</v>
      </c>
      <c r="U120" s="94">
        <v>45833</v>
      </c>
      <c r="V120" s="90" t="s">
        <v>86</v>
      </c>
      <c r="W120" s="92">
        <v>2418</v>
      </c>
      <c r="X120" s="93">
        <f t="shared" si="7"/>
        <v>1</v>
      </c>
      <c r="Y120" s="92"/>
      <c r="Z120" s="92"/>
      <c r="AA120" s="13" t="str">
        <f t="shared" si="9"/>
        <v>mai/2025</v>
      </c>
    </row>
    <row r="121" spans="1:27" x14ac:dyDescent="0.25">
      <c r="A121" s="89">
        <v>120</v>
      </c>
      <c r="B121" s="68">
        <v>45762</v>
      </c>
      <c r="C121" s="40">
        <v>15</v>
      </c>
      <c r="D121" s="40">
        <f t="shared" si="5"/>
        <v>1</v>
      </c>
      <c r="E121" s="44" t="s">
        <v>116</v>
      </c>
      <c r="F121" s="17" t="s">
        <v>58</v>
      </c>
      <c r="G121" s="17" t="s">
        <v>86</v>
      </c>
      <c r="H121" s="42" t="s">
        <v>353</v>
      </c>
      <c r="I121" s="17" t="str">
        <f t="shared" si="6"/>
        <v>PN-120</v>
      </c>
      <c r="J121" s="18" t="s">
        <v>85</v>
      </c>
      <c r="K121" s="19" t="e">
        <f>IF(J121="","SEM #CH",VLOOKUP(J121,#REF!,2,0))</f>
        <v>#REF!</v>
      </c>
      <c r="L121" s="19" t="e">
        <f>IF(J121="","SEM #CH",VLOOKUP(J121,#REF!,3,0))</f>
        <v>#REF!</v>
      </c>
      <c r="M121" s="19" t="e">
        <f>IF(J121="","SEM #CH",VLOOKUP(J121,#REF!,4,0))</f>
        <v>#REF!</v>
      </c>
      <c r="N121" s="19" t="e">
        <f>IF(J121="","SEM #CH",VLOOKUP(J121,#REF!,5,0))</f>
        <v>#REF!</v>
      </c>
      <c r="O121" s="19" t="e">
        <f>IF(J121="","SEM #CH",VLOOKUP(J121,#REF!,6,0))</f>
        <v>#REF!</v>
      </c>
      <c r="P121" s="19" t="e">
        <f>IF(J121="","SEM #CH",VLOOKUP(J121,#REF!,7,0))</f>
        <v>#REF!</v>
      </c>
      <c r="Q121" s="77" t="str">
        <f>VLOOKUP(J121,'p1'!$B$2:$C$30,2,0)</f>
        <v>NÃO TEM CHAPA</v>
      </c>
      <c r="R121" s="94">
        <v>45793</v>
      </c>
      <c r="S121" s="90" t="s">
        <v>218</v>
      </c>
      <c r="T121" s="90">
        <f t="shared" si="8"/>
        <v>1</v>
      </c>
      <c r="U121" s="94">
        <v>45846</v>
      </c>
      <c r="V121" s="90" t="s">
        <v>1043</v>
      </c>
      <c r="W121" s="92">
        <v>2431</v>
      </c>
      <c r="X121" s="93">
        <f t="shared" si="7"/>
        <v>1</v>
      </c>
      <c r="Y121" s="92"/>
      <c r="Z121" s="92"/>
      <c r="AA121" s="13" t="str">
        <f t="shared" si="9"/>
        <v>mai/2025</v>
      </c>
    </row>
    <row r="122" spans="1:27" x14ac:dyDescent="0.25">
      <c r="A122" s="89">
        <v>121</v>
      </c>
      <c r="B122" s="68">
        <v>45764</v>
      </c>
      <c r="C122" s="40">
        <v>16</v>
      </c>
      <c r="D122" s="40">
        <f t="shared" si="5"/>
        <v>1</v>
      </c>
      <c r="E122" s="44" t="s">
        <v>116</v>
      </c>
      <c r="F122" s="17" t="s">
        <v>58</v>
      </c>
      <c r="G122" s="17" t="s">
        <v>86</v>
      </c>
      <c r="H122" s="42" t="s">
        <v>354</v>
      </c>
      <c r="I122" s="17" t="str">
        <f t="shared" si="6"/>
        <v>PN-121</v>
      </c>
      <c r="J122" s="18" t="s">
        <v>85</v>
      </c>
      <c r="K122" s="19" t="e">
        <f>IF(J122="","SEM #CH",VLOOKUP(J122,#REF!,2,0))</f>
        <v>#REF!</v>
      </c>
      <c r="L122" s="19" t="e">
        <f>IF(J122="","SEM #CH",VLOOKUP(J122,#REF!,3,0))</f>
        <v>#REF!</v>
      </c>
      <c r="M122" s="19" t="e">
        <f>IF(J122="","SEM #CH",VLOOKUP(J122,#REF!,4,0))</f>
        <v>#REF!</v>
      </c>
      <c r="N122" s="19" t="e">
        <f>IF(J122="","SEM #CH",VLOOKUP(J122,#REF!,5,0))</f>
        <v>#REF!</v>
      </c>
      <c r="O122" s="19" t="e">
        <f>IF(J122="","SEM #CH",VLOOKUP(J122,#REF!,6,0))</f>
        <v>#REF!</v>
      </c>
      <c r="P122" s="19" t="e">
        <f>IF(J122="","SEM #CH",VLOOKUP(J122,#REF!,7,0))</f>
        <v>#REF!</v>
      </c>
      <c r="Q122" s="77" t="str">
        <f>VLOOKUP(J122,'p1'!$B$2:$C$30,2,0)</f>
        <v>NÃO TEM CHAPA</v>
      </c>
      <c r="R122" s="94">
        <v>45777</v>
      </c>
      <c r="S122" s="90" t="s">
        <v>217</v>
      </c>
      <c r="T122" s="90">
        <f t="shared" si="8"/>
        <v>1</v>
      </c>
      <c r="U122" s="94">
        <v>45898</v>
      </c>
      <c r="V122" s="90" t="s">
        <v>86</v>
      </c>
      <c r="W122" s="92">
        <v>2501</v>
      </c>
      <c r="X122" s="93">
        <f t="shared" si="7"/>
        <v>1</v>
      </c>
      <c r="Y122" s="92"/>
      <c r="Z122" s="92"/>
      <c r="AA122" s="13" t="str">
        <f t="shared" si="9"/>
        <v>abr/2025</v>
      </c>
    </row>
    <row r="123" spans="1:27" x14ac:dyDescent="0.25">
      <c r="A123" s="89">
        <v>122</v>
      </c>
      <c r="B123" s="68">
        <v>45764</v>
      </c>
      <c r="C123" s="40">
        <v>16</v>
      </c>
      <c r="D123" s="40">
        <f t="shared" si="5"/>
        <v>1</v>
      </c>
      <c r="E123" s="44" t="s">
        <v>116</v>
      </c>
      <c r="F123" s="17" t="s">
        <v>58</v>
      </c>
      <c r="G123" s="17" t="s">
        <v>86</v>
      </c>
      <c r="H123" s="42" t="s">
        <v>355</v>
      </c>
      <c r="I123" s="17" t="str">
        <f t="shared" si="6"/>
        <v>PN-122</v>
      </c>
      <c r="J123" s="18" t="s">
        <v>85</v>
      </c>
      <c r="K123" s="19" t="e">
        <f>IF(J123="","SEM #CH",VLOOKUP(J123,#REF!,2,0))</f>
        <v>#REF!</v>
      </c>
      <c r="L123" s="19" t="e">
        <f>IF(J123="","SEM #CH",VLOOKUP(J123,#REF!,3,0))</f>
        <v>#REF!</v>
      </c>
      <c r="M123" s="19" t="e">
        <f>IF(J123="","SEM #CH",VLOOKUP(J123,#REF!,4,0))</f>
        <v>#REF!</v>
      </c>
      <c r="N123" s="19" t="e">
        <f>IF(J123="","SEM #CH",VLOOKUP(J123,#REF!,5,0))</f>
        <v>#REF!</v>
      </c>
      <c r="O123" s="19" t="e">
        <f>IF(J123="","SEM #CH",VLOOKUP(J123,#REF!,6,0))</f>
        <v>#REF!</v>
      </c>
      <c r="P123" s="19" t="e">
        <f>IF(J123="","SEM #CH",VLOOKUP(J123,#REF!,7,0))</f>
        <v>#REF!</v>
      </c>
      <c r="Q123" s="77" t="str">
        <f>VLOOKUP(J123,'p1'!$B$2:$C$30,2,0)</f>
        <v>NÃO TEM CHAPA</v>
      </c>
      <c r="R123" s="94">
        <v>45776</v>
      </c>
      <c r="S123" s="90" t="s">
        <v>217</v>
      </c>
      <c r="T123" s="90">
        <f t="shared" si="8"/>
        <v>1</v>
      </c>
      <c r="U123" s="94">
        <v>45848</v>
      </c>
      <c r="V123" s="90" t="s">
        <v>1047</v>
      </c>
      <c r="W123" s="92">
        <v>2440</v>
      </c>
      <c r="X123" s="93">
        <f t="shared" si="7"/>
        <v>1</v>
      </c>
      <c r="Y123" s="92"/>
      <c r="Z123" s="92"/>
      <c r="AA123" s="13" t="str">
        <f t="shared" si="9"/>
        <v>abr/2025</v>
      </c>
    </row>
    <row r="124" spans="1:27" x14ac:dyDescent="0.25">
      <c r="A124" s="89">
        <v>123</v>
      </c>
      <c r="B124" s="68">
        <v>45764</v>
      </c>
      <c r="C124" s="40">
        <v>16</v>
      </c>
      <c r="D124" s="40">
        <f t="shared" si="5"/>
        <v>1</v>
      </c>
      <c r="E124" s="44" t="s">
        <v>116</v>
      </c>
      <c r="F124" s="17" t="s">
        <v>58</v>
      </c>
      <c r="G124" s="17" t="s">
        <v>86</v>
      </c>
      <c r="H124" s="42" t="s">
        <v>356</v>
      </c>
      <c r="I124" s="17" t="str">
        <f t="shared" si="6"/>
        <v>PN-123</v>
      </c>
      <c r="J124" s="18" t="s">
        <v>85</v>
      </c>
      <c r="K124" s="19" t="e">
        <f>IF(J124="","SEM #CH",VLOOKUP(J124,#REF!,2,0))</f>
        <v>#REF!</v>
      </c>
      <c r="L124" s="19" t="e">
        <f>IF(J124="","SEM #CH",VLOOKUP(J124,#REF!,3,0))</f>
        <v>#REF!</v>
      </c>
      <c r="M124" s="19" t="e">
        <f>IF(J124="","SEM #CH",VLOOKUP(J124,#REF!,4,0))</f>
        <v>#REF!</v>
      </c>
      <c r="N124" s="19" t="e">
        <f>IF(J124="","SEM #CH",VLOOKUP(J124,#REF!,5,0))</f>
        <v>#REF!</v>
      </c>
      <c r="O124" s="19" t="e">
        <f>IF(J124="","SEM #CH",VLOOKUP(J124,#REF!,6,0))</f>
        <v>#REF!</v>
      </c>
      <c r="P124" s="19" t="e">
        <f>IF(J124="","SEM #CH",VLOOKUP(J124,#REF!,7,0))</f>
        <v>#REF!</v>
      </c>
      <c r="Q124" s="77" t="str">
        <f>VLOOKUP(J124,'p1'!$B$2:$C$30,2,0)</f>
        <v>NÃO TEM CHAPA</v>
      </c>
      <c r="R124" s="94">
        <v>45789</v>
      </c>
      <c r="S124" s="90" t="s">
        <v>217</v>
      </c>
      <c r="T124" s="90">
        <f t="shared" si="8"/>
        <v>1</v>
      </c>
      <c r="U124" s="94">
        <v>45898</v>
      </c>
      <c r="V124" s="90" t="s">
        <v>86</v>
      </c>
      <c r="W124" s="92">
        <v>2500</v>
      </c>
      <c r="X124" s="93">
        <f t="shared" si="7"/>
        <v>1</v>
      </c>
      <c r="Y124" s="92"/>
      <c r="Z124" s="92"/>
      <c r="AA124" s="13" t="str">
        <f t="shared" si="9"/>
        <v>mai/2025</v>
      </c>
    </row>
    <row r="125" spans="1:27" x14ac:dyDescent="0.25">
      <c r="A125" s="89">
        <v>124</v>
      </c>
      <c r="B125" s="68">
        <v>45764</v>
      </c>
      <c r="C125" s="40">
        <v>16</v>
      </c>
      <c r="D125" s="40">
        <f t="shared" si="5"/>
        <v>1</v>
      </c>
      <c r="E125" s="44" t="s">
        <v>116</v>
      </c>
      <c r="F125" s="17" t="s">
        <v>58</v>
      </c>
      <c r="G125" s="17" t="s">
        <v>86</v>
      </c>
      <c r="H125" s="42" t="s">
        <v>357</v>
      </c>
      <c r="I125" s="17" t="str">
        <f t="shared" si="6"/>
        <v>PN-124</v>
      </c>
      <c r="J125" s="18" t="s">
        <v>85</v>
      </c>
      <c r="K125" s="19" t="e">
        <f>IF(J125="","SEM #CH",VLOOKUP(J125,#REF!,2,0))</f>
        <v>#REF!</v>
      </c>
      <c r="L125" s="19" t="e">
        <f>IF(J125="","SEM #CH",VLOOKUP(J125,#REF!,3,0))</f>
        <v>#REF!</v>
      </c>
      <c r="M125" s="19" t="e">
        <f>IF(J125="","SEM #CH",VLOOKUP(J125,#REF!,4,0))</f>
        <v>#REF!</v>
      </c>
      <c r="N125" s="19" t="e">
        <f>IF(J125="","SEM #CH",VLOOKUP(J125,#REF!,5,0))</f>
        <v>#REF!</v>
      </c>
      <c r="O125" s="19" t="e">
        <f>IF(J125="","SEM #CH",VLOOKUP(J125,#REF!,6,0))</f>
        <v>#REF!</v>
      </c>
      <c r="P125" s="19" t="e">
        <f>IF(J125="","SEM #CH",VLOOKUP(J125,#REF!,7,0))</f>
        <v>#REF!</v>
      </c>
      <c r="Q125" s="77" t="str">
        <f>VLOOKUP(J125,'p1'!$B$2:$C$30,2,0)</f>
        <v>NÃO TEM CHAPA</v>
      </c>
      <c r="R125" s="94">
        <v>45783</v>
      </c>
      <c r="S125" s="90" t="s">
        <v>217</v>
      </c>
      <c r="T125" s="90">
        <f t="shared" si="8"/>
        <v>1</v>
      </c>
      <c r="U125" s="94">
        <v>45859</v>
      </c>
      <c r="V125" s="90" t="s">
        <v>86</v>
      </c>
      <c r="W125" s="92">
        <v>2453</v>
      </c>
      <c r="X125" s="93">
        <f t="shared" si="7"/>
        <v>1</v>
      </c>
      <c r="Y125" s="92"/>
      <c r="Z125" s="92"/>
      <c r="AA125" s="13" t="str">
        <f t="shared" si="9"/>
        <v>mai/2025</v>
      </c>
    </row>
    <row r="126" spans="1:27" x14ac:dyDescent="0.25">
      <c r="A126" s="89">
        <v>125</v>
      </c>
      <c r="B126" s="68">
        <v>45835</v>
      </c>
      <c r="C126" s="40">
        <v>41</v>
      </c>
      <c r="D126" s="40">
        <f t="shared" si="5"/>
        <v>1</v>
      </c>
      <c r="E126" s="46" t="s">
        <v>127</v>
      </c>
      <c r="F126" s="17" t="s">
        <v>61</v>
      </c>
      <c r="G126" s="17" t="s">
        <v>86</v>
      </c>
      <c r="H126" s="42" t="s">
        <v>358</v>
      </c>
      <c r="I126" s="17" t="str">
        <f t="shared" si="6"/>
        <v>PF-125</v>
      </c>
      <c r="J126" s="18" t="s">
        <v>61</v>
      </c>
      <c r="K126" s="19" t="e">
        <f>IF(J126="","SEM #CH",VLOOKUP(J126,#REF!,2,0))</f>
        <v>#REF!</v>
      </c>
      <c r="L126" s="19" t="e">
        <f>IF(J126="","SEM #CH",VLOOKUP(J126,#REF!,3,0))</f>
        <v>#REF!</v>
      </c>
      <c r="M126" s="19" t="e">
        <f>IF(J126="","SEM #CH",VLOOKUP(J126,#REF!,4,0))</f>
        <v>#REF!</v>
      </c>
      <c r="N126" s="19" t="e">
        <f>IF(J126="","SEM #CH",VLOOKUP(J126,#REF!,5,0))</f>
        <v>#REF!</v>
      </c>
      <c r="O126" s="19" t="e">
        <f>IF(J126="","SEM #CH",VLOOKUP(J126,#REF!,6,0))</f>
        <v>#REF!</v>
      </c>
      <c r="P126" s="19" t="e">
        <f>IF(J126="","SEM #CH",VLOOKUP(J126,#REF!,7,0))</f>
        <v>#REF!</v>
      </c>
      <c r="Q126" s="77" t="str">
        <f>VLOOKUP(J126,'p1'!$B$2:$C$30,2,0)</f>
        <v>SEM CHAPA</v>
      </c>
      <c r="R126" s="94">
        <v>45839</v>
      </c>
      <c r="S126" s="90" t="s">
        <v>217</v>
      </c>
      <c r="T126" s="90">
        <f t="shared" si="8"/>
        <v>1</v>
      </c>
      <c r="U126" s="94">
        <v>45854</v>
      </c>
      <c r="V126" s="90" t="s">
        <v>86</v>
      </c>
      <c r="W126" s="92">
        <v>2448</v>
      </c>
      <c r="X126" s="93">
        <f t="shared" si="7"/>
        <v>1</v>
      </c>
      <c r="Y126" s="92"/>
      <c r="Z126" s="92"/>
      <c r="AA126" s="13" t="str">
        <f t="shared" si="9"/>
        <v>jul/2025</v>
      </c>
    </row>
    <row r="127" spans="1:27" x14ac:dyDescent="0.25">
      <c r="A127" s="89">
        <v>126</v>
      </c>
      <c r="B127" s="68">
        <v>45764</v>
      </c>
      <c r="C127" s="40">
        <v>16</v>
      </c>
      <c r="D127" s="40">
        <f t="shared" si="5"/>
        <v>1</v>
      </c>
      <c r="E127" s="46" t="s">
        <v>127</v>
      </c>
      <c r="F127" s="17" t="s">
        <v>58</v>
      </c>
      <c r="G127" s="17" t="s">
        <v>86</v>
      </c>
      <c r="H127" s="42" t="s">
        <v>359</v>
      </c>
      <c r="I127" s="17" t="str">
        <f t="shared" si="6"/>
        <v>PN-126</v>
      </c>
      <c r="J127" s="18" t="s">
        <v>85</v>
      </c>
      <c r="K127" s="19" t="e">
        <f>IF(J127="","SEM #CH",VLOOKUP(J127,#REF!,2,0))</f>
        <v>#REF!</v>
      </c>
      <c r="L127" s="19" t="e">
        <f>IF(J127="","SEM #CH",VLOOKUP(J127,#REF!,3,0))</f>
        <v>#REF!</v>
      </c>
      <c r="M127" s="19" t="e">
        <f>IF(J127="","SEM #CH",VLOOKUP(J127,#REF!,4,0))</f>
        <v>#REF!</v>
      </c>
      <c r="N127" s="19" t="e">
        <f>IF(J127="","SEM #CH",VLOOKUP(J127,#REF!,5,0))</f>
        <v>#REF!</v>
      </c>
      <c r="O127" s="19" t="e">
        <f>IF(J127="","SEM #CH",VLOOKUP(J127,#REF!,6,0))</f>
        <v>#REF!</v>
      </c>
      <c r="P127" s="19" t="e">
        <f>IF(J127="","SEM #CH",VLOOKUP(J127,#REF!,7,0))</f>
        <v>#REF!</v>
      </c>
      <c r="Q127" s="77" t="str">
        <f>VLOOKUP(J127,'p1'!$B$2:$C$30,2,0)</f>
        <v>NÃO TEM CHAPA</v>
      </c>
      <c r="R127" s="94">
        <v>45929</v>
      </c>
      <c r="S127" s="90" t="s">
        <v>217</v>
      </c>
      <c r="T127" s="90">
        <f t="shared" si="8"/>
        <v>1</v>
      </c>
      <c r="U127" s="94">
        <v>45929</v>
      </c>
      <c r="V127" s="90" t="s">
        <v>86</v>
      </c>
      <c r="W127" s="92">
        <v>2551</v>
      </c>
      <c r="X127" s="93">
        <f t="shared" si="7"/>
        <v>1</v>
      </c>
      <c r="Y127" s="92"/>
      <c r="Z127" s="92"/>
      <c r="AA127" s="13" t="str">
        <f t="shared" si="9"/>
        <v>set/2025</v>
      </c>
    </row>
    <row r="128" spans="1:27" x14ac:dyDescent="0.25">
      <c r="A128" s="89">
        <v>127</v>
      </c>
      <c r="B128" s="68">
        <v>45764</v>
      </c>
      <c r="C128" s="40">
        <v>16</v>
      </c>
      <c r="D128" s="40">
        <f t="shared" si="5"/>
        <v>1</v>
      </c>
      <c r="E128" s="46" t="s">
        <v>127</v>
      </c>
      <c r="F128" s="17" t="s">
        <v>58</v>
      </c>
      <c r="G128" s="17" t="s">
        <v>86</v>
      </c>
      <c r="H128" s="42" t="s">
        <v>360</v>
      </c>
      <c r="I128" s="17" t="str">
        <f t="shared" si="6"/>
        <v>PN-127</v>
      </c>
      <c r="J128" s="18" t="s">
        <v>85</v>
      </c>
      <c r="K128" s="19" t="e">
        <f>IF(J128="","SEM #CH",VLOOKUP(J128,#REF!,2,0))</f>
        <v>#REF!</v>
      </c>
      <c r="L128" s="19" t="e">
        <f>IF(J128="","SEM #CH",VLOOKUP(J128,#REF!,3,0))</f>
        <v>#REF!</v>
      </c>
      <c r="M128" s="19" t="e">
        <f>IF(J128="","SEM #CH",VLOOKUP(J128,#REF!,4,0))</f>
        <v>#REF!</v>
      </c>
      <c r="N128" s="19" t="e">
        <f>IF(J128="","SEM #CH",VLOOKUP(J128,#REF!,5,0))</f>
        <v>#REF!</v>
      </c>
      <c r="O128" s="19" t="e">
        <f>IF(J128="","SEM #CH",VLOOKUP(J128,#REF!,6,0))</f>
        <v>#REF!</v>
      </c>
      <c r="P128" s="19" t="e">
        <f>IF(J128="","SEM #CH",VLOOKUP(J128,#REF!,7,0))</f>
        <v>#REF!</v>
      </c>
      <c r="Q128" s="77" t="str">
        <f>VLOOKUP(J128,'p1'!$B$2:$C$30,2,0)</f>
        <v>NÃO TEM CHAPA</v>
      </c>
      <c r="R128" s="94">
        <v>45927</v>
      </c>
      <c r="S128" s="90" t="s">
        <v>217</v>
      </c>
      <c r="T128" s="90">
        <f t="shared" si="8"/>
        <v>1</v>
      </c>
      <c r="U128" s="94">
        <v>45937</v>
      </c>
      <c r="V128" s="90" t="s">
        <v>86</v>
      </c>
      <c r="W128" s="92">
        <v>2567</v>
      </c>
      <c r="X128" s="93">
        <f t="shared" si="7"/>
        <v>1</v>
      </c>
      <c r="Y128" s="92"/>
      <c r="Z128" s="92"/>
      <c r="AA128" s="13" t="str">
        <f t="shared" si="9"/>
        <v>set/2025</v>
      </c>
    </row>
    <row r="129" spans="1:27" x14ac:dyDescent="0.25">
      <c r="A129" s="89">
        <v>128</v>
      </c>
      <c r="B129" s="68">
        <v>45764</v>
      </c>
      <c r="C129" s="40">
        <v>16</v>
      </c>
      <c r="D129" s="40">
        <f t="shared" si="5"/>
        <v>1</v>
      </c>
      <c r="E129" s="46" t="s">
        <v>127</v>
      </c>
      <c r="F129" s="17" t="s">
        <v>58</v>
      </c>
      <c r="G129" s="17" t="s">
        <v>86</v>
      </c>
      <c r="H129" s="42" t="s">
        <v>361</v>
      </c>
      <c r="I129" s="17" t="str">
        <f t="shared" si="6"/>
        <v>PN-128</v>
      </c>
      <c r="J129" s="18" t="s">
        <v>85</v>
      </c>
      <c r="K129" s="19" t="e">
        <f>IF(J129="","SEM #CH",VLOOKUP(J129,#REF!,2,0))</f>
        <v>#REF!</v>
      </c>
      <c r="L129" s="19" t="e">
        <f>IF(J129="","SEM #CH",VLOOKUP(J129,#REF!,3,0))</f>
        <v>#REF!</v>
      </c>
      <c r="M129" s="19" t="e">
        <f>IF(J129="","SEM #CH",VLOOKUP(J129,#REF!,4,0))</f>
        <v>#REF!</v>
      </c>
      <c r="N129" s="19" t="e">
        <f>IF(J129="","SEM #CH",VLOOKUP(J129,#REF!,5,0))</f>
        <v>#REF!</v>
      </c>
      <c r="O129" s="19" t="e">
        <f>IF(J129="","SEM #CH",VLOOKUP(J129,#REF!,6,0))</f>
        <v>#REF!</v>
      </c>
      <c r="P129" s="19" t="e">
        <f>IF(J129="","SEM #CH",VLOOKUP(J129,#REF!,7,0))</f>
        <v>#REF!</v>
      </c>
      <c r="Q129" s="77" t="str">
        <f>VLOOKUP(J129,'p1'!$B$2:$C$30,2,0)</f>
        <v>NÃO TEM CHAPA</v>
      </c>
      <c r="R129" s="94">
        <v>45927</v>
      </c>
      <c r="S129" s="90" t="s">
        <v>217</v>
      </c>
      <c r="T129" s="90">
        <f t="shared" si="8"/>
        <v>1</v>
      </c>
      <c r="U129" s="94">
        <v>45929</v>
      </c>
      <c r="V129" s="90" t="s">
        <v>86</v>
      </c>
      <c r="W129" s="92">
        <v>2551</v>
      </c>
      <c r="X129" s="93">
        <f t="shared" si="7"/>
        <v>1</v>
      </c>
      <c r="Y129" s="92"/>
      <c r="Z129" s="92"/>
      <c r="AA129" s="13" t="str">
        <f t="shared" si="9"/>
        <v>set/2025</v>
      </c>
    </row>
    <row r="130" spans="1:27" x14ac:dyDescent="0.25">
      <c r="A130" s="89">
        <v>129</v>
      </c>
      <c r="B130" s="68">
        <v>45764</v>
      </c>
      <c r="C130" s="40">
        <v>17</v>
      </c>
      <c r="D130" s="40">
        <f t="shared" ref="D130:D193" si="10">IF(B130&gt;0,1,"")</f>
        <v>1</v>
      </c>
      <c r="E130" s="46" t="s">
        <v>127</v>
      </c>
      <c r="F130" s="17" t="s">
        <v>58</v>
      </c>
      <c r="G130" s="17" t="s">
        <v>86</v>
      </c>
      <c r="H130" s="42" t="s">
        <v>362</v>
      </c>
      <c r="I130" s="17" t="str">
        <f t="shared" ref="I130:I193" si="11">_xlfn.CONCAT(F130,G130,H130)</f>
        <v>PN-129</v>
      </c>
      <c r="J130" s="18" t="s">
        <v>85</v>
      </c>
      <c r="K130" s="19" t="e">
        <f>IF(J130="","SEM #CH",VLOOKUP(J130,#REF!,2,0))</f>
        <v>#REF!</v>
      </c>
      <c r="L130" s="19" t="e">
        <f>IF(J130="","SEM #CH",VLOOKUP(J130,#REF!,3,0))</f>
        <v>#REF!</v>
      </c>
      <c r="M130" s="19" t="e">
        <f>IF(J130="","SEM #CH",VLOOKUP(J130,#REF!,4,0))</f>
        <v>#REF!</v>
      </c>
      <c r="N130" s="19" t="e">
        <f>IF(J130="","SEM #CH",VLOOKUP(J130,#REF!,5,0))</f>
        <v>#REF!</v>
      </c>
      <c r="O130" s="19" t="e">
        <f>IF(J130="","SEM #CH",VLOOKUP(J130,#REF!,6,0))</f>
        <v>#REF!</v>
      </c>
      <c r="P130" s="19" t="e">
        <f>IF(J130="","SEM #CH",VLOOKUP(J130,#REF!,7,0))</f>
        <v>#REF!</v>
      </c>
      <c r="Q130" s="77" t="str">
        <f>VLOOKUP(J130,'p1'!$B$2:$C$30,2,0)</f>
        <v>NÃO TEM CHAPA</v>
      </c>
      <c r="R130" s="94">
        <v>45853</v>
      </c>
      <c r="S130" s="90" t="s">
        <v>218</v>
      </c>
      <c r="T130" s="90">
        <f t="shared" si="8"/>
        <v>1</v>
      </c>
      <c r="U130" s="94">
        <v>45854</v>
      </c>
      <c r="V130" s="90" t="s">
        <v>86</v>
      </c>
      <c r="W130" s="92">
        <v>2445</v>
      </c>
      <c r="X130" s="93">
        <f t="shared" ref="X130:X193" si="12">IF(U130&gt;0,1,"")</f>
        <v>1</v>
      </c>
      <c r="Y130" s="92"/>
      <c r="Z130" s="92"/>
      <c r="AA130" s="13" t="str">
        <f t="shared" si="9"/>
        <v>jul/2025</v>
      </c>
    </row>
    <row r="131" spans="1:27" x14ac:dyDescent="0.25">
      <c r="A131" s="89">
        <v>130</v>
      </c>
      <c r="B131" s="68">
        <v>45764</v>
      </c>
      <c r="C131" s="40">
        <v>17</v>
      </c>
      <c r="D131" s="40">
        <f t="shared" si="10"/>
        <v>1</v>
      </c>
      <c r="E131" s="46" t="s">
        <v>127</v>
      </c>
      <c r="F131" s="17" t="s">
        <v>58</v>
      </c>
      <c r="G131" s="17" t="s">
        <v>86</v>
      </c>
      <c r="H131" s="42" t="s">
        <v>363</v>
      </c>
      <c r="I131" s="17" t="str">
        <f t="shared" si="11"/>
        <v>PN-130</v>
      </c>
      <c r="J131" s="18" t="s">
        <v>85</v>
      </c>
      <c r="K131" s="19" t="e">
        <f>IF(J131="","SEM #CH",VLOOKUP(J131,#REF!,2,0))</f>
        <v>#REF!</v>
      </c>
      <c r="L131" s="19" t="e">
        <f>IF(J131="","SEM #CH",VLOOKUP(J131,#REF!,3,0))</f>
        <v>#REF!</v>
      </c>
      <c r="M131" s="19" t="e">
        <f>IF(J131="","SEM #CH",VLOOKUP(J131,#REF!,4,0))</f>
        <v>#REF!</v>
      </c>
      <c r="N131" s="19" t="e">
        <f>IF(J131="","SEM #CH",VLOOKUP(J131,#REF!,5,0))</f>
        <v>#REF!</v>
      </c>
      <c r="O131" s="19" t="e">
        <f>IF(J131="","SEM #CH",VLOOKUP(J131,#REF!,6,0))</f>
        <v>#REF!</v>
      </c>
      <c r="P131" s="19" t="e">
        <f>IF(J131="","SEM #CH",VLOOKUP(J131,#REF!,7,0))</f>
        <v>#REF!</v>
      </c>
      <c r="Q131" s="77" t="str">
        <f>VLOOKUP(J131,'p1'!$B$2:$C$30,2,0)</f>
        <v>NÃO TEM CHAPA</v>
      </c>
      <c r="R131" s="94">
        <v>45853</v>
      </c>
      <c r="S131" s="90" t="s">
        <v>218</v>
      </c>
      <c r="T131" s="90">
        <f t="shared" ref="T131:T194" si="13">IF(R131="",0,1)</f>
        <v>1</v>
      </c>
      <c r="U131" s="94">
        <v>45854</v>
      </c>
      <c r="V131" s="90" t="s">
        <v>86</v>
      </c>
      <c r="W131" s="92">
        <v>2445</v>
      </c>
      <c r="X131" s="93">
        <f t="shared" si="12"/>
        <v>1</v>
      </c>
      <c r="Y131" s="92"/>
      <c r="Z131" s="92"/>
      <c r="AA131" s="13" t="str">
        <f t="shared" ref="AA131:AA194" si="14">TEXT(R131,"mmm/aaaa")</f>
        <v>jul/2025</v>
      </c>
    </row>
    <row r="132" spans="1:27" x14ac:dyDescent="0.25">
      <c r="A132" s="89">
        <v>131</v>
      </c>
      <c r="B132" s="68">
        <v>45764</v>
      </c>
      <c r="C132" s="40">
        <v>17</v>
      </c>
      <c r="D132" s="40">
        <f t="shared" si="10"/>
        <v>1</v>
      </c>
      <c r="E132" s="46" t="s">
        <v>127</v>
      </c>
      <c r="F132" s="17" t="s">
        <v>58</v>
      </c>
      <c r="G132" s="17" t="s">
        <v>86</v>
      </c>
      <c r="H132" s="42" t="s">
        <v>364</v>
      </c>
      <c r="I132" s="17" t="str">
        <f t="shared" si="11"/>
        <v>PN-131</v>
      </c>
      <c r="J132" s="18" t="s">
        <v>85</v>
      </c>
      <c r="K132" s="19" t="e">
        <f>IF(J132="","SEM #CH",VLOOKUP(J132,#REF!,2,0))</f>
        <v>#REF!</v>
      </c>
      <c r="L132" s="19" t="e">
        <f>IF(J132="","SEM #CH",VLOOKUP(J132,#REF!,3,0))</f>
        <v>#REF!</v>
      </c>
      <c r="M132" s="19" t="e">
        <f>IF(J132="","SEM #CH",VLOOKUP(J132,#REF!,4,0))</f>
        <v>#REF!</v>
      </c>
      <c r="N132" s="19" t="e">
        <f>IF(J132="","SEM #CH",VLOOKUP(J132,#REF!,5,0))</f>
        <v>#REF!</v>
      </c>
      <c r="O132" s="19" t="e">
        <f>IF(J132="","SEM #CH",VLOOKUP(J132,#REF!,6,0))</f>
        <v>#REF!</v>
      </c>
      <c r="P132" s="19" t="e">
        <f>IF(J132="","SEM #CH",VLOOKUP(J132,#REF!,7,0))</f>
        <v>#REF!</v>
      </c>
      <c r="Q132" s="77" t="str">
        <f>VLOOKUP(J132,'p1'!$B$2:$C$30,2,0)</f>
        <v>NÃO TEM CHAPA</v>
      </c>
      <c r="R132" s="94">
        <v>45861</v>
      </c>
      <c r="S132" s="90" t="s">
        <v>218</v>
      </c>
      <c r="T132" s="90">
        <f t="shared" si="13"/>
        <v>1</v>
      </c>
      <c r="U132" s="94">
        <v>45896</v>
      </c>
      <c r="V132" s="90" t="s">
        <v>1100</v>
      </c>
      <c r="W132" s="92">
        <v>2498</v>
      </c>
      <c r="X132" s="93">
        <f t="shared" si="12"/>
        <v>1</v>
      </c>
      <c r="Y132" s="92"/>
      <c r="Z132" s="92"/>
      <c r="AA132" s="13" t="str">
        <f t="shared" si="14"/>
        <v>jul/2025</v>
      </c>
    </row>
    <row r="133" spans="1:27" x14ac:dyDescent="0.25">
      <c r="A133" s="89">
        <v>132</v>
      </c>
      <c r="B133" s="68">
        <v>45764</v>
      </c>
      <c r="C133" s="40">
        <v>17</v>
      </c>
      <c r="D133" s="40">
        <f t="shared" si="10"/>
        <v>1</v>
      </c>
      <c r="E133" s="46" t="s">
        <v>127</v>
      </c>
      <c r="F133" s="17" t="s">
        <v>58</v>
      </c>
      <c r="G133" s="17" t="s">
        <v>86</v>
      </c>
      <c r="H133" s="42" t="s">
        <v>365</v>
      </c>
      <c r="I133" s="17" t="str">
        <f t="shared" si="11"/>
        <v>PN-132</v>
      </c>
      <c r="J133" s="18" t="s">
        <v>85</v>
      </c>
      <c r="K133" s="19" t="e">
        <f>IF(J133="","SEM #CH",VLOOKUP(J133,#REF!,2,0))</f>
        <v>#REF!</v>
      </c>
      <c r="L133" s="19" t="e">
        <f>IF(J133="","SEM #CH",VLOOKUP(J133,#REF!,3,0))</f>
        <v>#REF!</v>
      </c>
      <c r="M133" s="19" t="e">
        <f>IF(J133="","SEM #CH",VLOOKUP(J133,#REF!,4,0))</f>
        <v>#REF!</v>
      </c>
      <c r="N133" s="19" t="e">
        <f>IF(J133="","SEM #CH",VLOOKUP(J133,#REF!,5,0))</f>
        <v>#REF!</v>
      </c>
      <c r="O133" s="19" t="e">
        <f>IF(J133="","SEM #CH",VLOOKUP(J133,#REF!,6,0))</f>
        <v>#REF!</v>
      </c>
      <c r="P133" s="19" t="e">
        <f>IF(J133="","SEM #CH",VLOOKUP(J133,#REF!,7,0))</f>
        <v>#REF!</v>
      </c>
      <c r="Q133" s="77" t="str">
        <f>VLOOKUP(J133,'p1'!$B$2:$C$30,2,0)</f>
        <v>NÃO TEM CHAPA</v>
      </c>
      <c r="R133" s="94">
        <v>45849</v>
      </c>
      <c r="S133" s="90" t="s">
        <v>218</v>
      </c>
      <c r="T133" s="90">
        <f t="shared" si="13"/>
        <v>1</v>
      </c>
      <c r="U133" s="94">
        <v>45852</v>
      </c>
      <c r="V133" s="90" t="s">
        <v>86</v>
      </c>
      <c r="W133" s="92">
        <v>2444</v>
      </c>
      <c r="X133" s="93">
        <f t="shared" si="12"/>
        <v>1</v>
      </c>
      <c r="Y133" s="92"/>
      <c r="Z133" s="92"/>
      <c r="AA133" s="13" t="str">
        <f t="shared" si="14"/>
        <v>jul/2025</v>
      </c>
    </row>
    <row r="134" spans="1:27" x14ac:dyDescent="0.25">
      <c r="A134" s="89">
        <v>133</v>
      </c>
      <c r="B134" s="68">
        <v>45818</v>
      </c>
      <c r="C134" s="40">
        <v>34</v>
      </c>
      <c r="D134" s="40">
        <f t="shared" si="10"/>
        <v>1</v>
      </c>
      <c r="E134" s="46" t="s">
        <v>127</v>
      </c>
      <c r="F134" s="17" t="s">
        <v>60</v>
      </c>
      <c r="G134" s="17" t="s">
        <v>86</v>
      </c>
      <c r="H134" s="42" t="s">
        <v>366</v>
      </c>
      <c r="I134" s="17" t="str">
        <f t="shared" si="11"/>
        <v>PE-133</v>
      </c>
      <c r="J134" s="18" t="s">
        <v>90</v>
      </c>
      <c r="K134" s="19" t="e">
        <f>IF(J134="","SEM #CH",VLOOKUP(J134,#REF!,2,0))</f>
        <v>#REF!</v>
      </c>
      <c r="L134" s="19" t="e">
        <f>IF(J134="","SEM #CH",VLOOKUP(J134,#REF!,3,0))</f>
        <v>#REF!</v>
      </c>
      <c r="M134" s="19" t="e">
        <f>IF(J134="","SEM #CH",VLOOKUP(J134,#REF!,4,0))</f>
        <v>#REF!</v>
      </c>
      <c r="N134" s="19" t="e">
        <f>IF(J134="","SEM #CH",VLOOKUP(J134,#REF!,5,0))</f>
        <v>#REF!</v>
      </c>
      <c r="O134" s="19" t="e">
        <f>IF(J134="","SEM #CH",VLOOKUP(J134,#REF!,6,0))</f>
        <v>#REF!</v>
      </c>
      <c r="P134" s="19" t="e">
        <f>IF(J134="","SEM #CH",VLOOKUP(J134,#REF!,7,0))</f>
        <v>#REF!</v>
      </c>
      <c r="Q134" s="77" t="str">
        <f>VLOOKUP(J134,'p1'!$B$2:$C$30,2,0)</f>
        <v>#3/8-530X530</v>
      </c>
      <c r="R134" s="94">
        <v>45874</v>
      </c>
      <c r="S134" s="90" t="s">
        <v>217</v>
      </c>
      <c r="T134" s="90">
        <f t="shared" si="13"/>
        <v>1</v>
      </c>
      <c r="U134" s="94">
        <v>45895</v>
      </c>
      <c r="V134" s="90" t="s">
        <v>86</v>
      </c>
      <c r="W134" s="92">
        <v>2493</v>
      </c>
      <c r="X134" s="93">
        <f t="shared" si="12"/>
        <v>1</v>
      </c>
      <c r="Y134" s="92"/>
      <c r="Z134" s="92"/>
      <c r="AA134" s="13" t="str">
        <f t="shared" si="14"/>
        <v>ago/2025</v>
      </c>
    </row>
    <row r="135" spans="1:27" x14ac:dyDescent="0.25">
      <c r="A135" s="89">
        <v>134</v>
      </c>
      <c r="B135" s="68">
        <v>45764</v>
      </c>
      <c r="C135" s="40">
        <v>17</v>
      </c>
      <c r="D135" s="40">
        <f t="shared" si="10"/>
        <v>1</v>
      </c>
      <c r="E135" s="46" t="s">
        <v>127</v>
      </c>
      <c r="F135" s="17" t="s">
        <v>58</v>
      </c>
      <c r="G135" s="17" t="s">
        <v>86</v>
      </c>
      <c r="H135" s="42" t="s">
        <v>367</v>
      </c>
      <c r="I135" s="17" t="str">
        <f t="shared" si="11"/>
        <v>PN-134</v>
      </c>
      <c r="J135" s="18" t="s">
        <v>85</v>
      </c>
      <c r="K135" s="19" t="e">
        <f>IF(J135="","SEM #CH",VLOOKUP(J135,#REF!,2,0))</f>
        <v>#REF!</v>
      </c>
      <c r="L135" s="19" t="e">
        <f>IF(J135="","SEM #CH",VLOOKUP(J135,#REF!,3,0))</f>
        <v>#REF!</v>
      </c>
      <c r="M135" s="19" t="e">
        <f>IF(J135="","SEM #CH",VLOOKUP(J135,#REF!,4,0))</f>
        <v>#REF!</v>
      </c>
      <c r="N135" s="19" t="e">
        <f>IF(J135="","SEM #CH",VLOOKUP(J135,#REF!,5,0))</f>
        <v>#REF!</v>
      </c>
      <c r="O135" s="19" t="e">
        <f>IF(J135="","SEM #CH",VLOOKUP(J135,#REF!,6,0))</f>
        <v>#REF!</v>
      </c>
      <c r="P135" s="19" t="e">
        <f>IF(J135="","SEM #CH",VLOOKUP(J135,#REF!,7,0))</f>
        <v>#REF!</v>
      </c>
      <c r="Q135" s="77" t="str">
        <f>VLOOKUP(J135,'p1'!$B$2:$C$30,2,0)</f>
        <v>NÃO TEM CHAPA</v>
      </c>
      <c r="R135" s="94">
        <v>45849</v>
      </c>
      <c r="S135" s="90" t="s">
        <v>218</v>
      </c>
      <c r="T135" s="90">
        <f t="shared" si="13"/>
        <v>1</v>
      </c>
      <c r="U135" s="94">
        <v>45852</v>
      </c>
      <c r="V135" s="90" t="s">
        <v>86</v>
      </c>
      <c r="W135" s="92">
        <v>2444</v>
      </c>
      <c r="X135" s="93">
        <f t="shared" si="12"/>
        <v>1</v>
      </c>
      <c r="Y135" s="92"/>
      <c r="Z135" s="92"/>
      <c r="AA135" s="13" t="str">
        <f t="shared" si="14"/>
        <v>jul/2025</v>
      </c>
    </row>
    <row r="136" spans="1:27" x14ac:dyDescent="0.25">
      <c r="A136" s="89">
        <v>135</v>
      </c>
      <c r="B136" s="68">
        <v>45764</v>
      </c>
      <c r="C136" s="40">
        <v>17</v>
      </c>
      <c r="D136" s="40">
        <f t="shared" si="10"/>
        <v>1</v>
      </c>
      <c r="E136" s="46" t="s">
        <v>127</v>
      </c>
      <c r="F136" s="17" t="s">
        <v>58</v>
      </c>
      <c r="G136" s="17" t="s">
        <v>86</v>
      </c>
      <c r="H136" s="42" t="s">
        <v>368</v>
      </c>
      <c r="I136" s="17" t="str">
        <f t="shared" si="11"/>
        <v>PN-135</v>
      </c>
      <c r="J136" s="18" t="s">
        <v>85</v>
      </c>
      <c r="K136" s="19" t="e">
        <f>IF(J136="","SEM #CH",VLOOKUP(J136,#REF!,2,0))</f>
        <v>#REF!</v>
      </c>
      <c r="L136" s="19" t="e">
        <f>IF(J136="","SEM #CH",VLOOKUP(J136,#REF!,3,0))</f>
        <v>#REF!</v>
      </c>
      <c r="M136" s="19" t="e">
        <f>IF(J136="","SEM #CH",VLOOKUP(J136,#REF!,4,0))</f>
        <v>#REF!</v>
      </c>
      <c r="N136" s="19" t="e">
        <f>IF(J136="","SEM #CH",VLOOKUP(J136,#REF!,5,0))</f>
        <v>#REF!</v>
      </c>
      <c r="O136" s="19" t="e">
        <f>IF(J136="","SEM #CH",VLOOKUP(J136,#REF!,6,0))</f>
        <v>#REF!</v>
      </c>
      <c r="P136" s="19" t="e">
        <f>IF(J136="","SEM #CH",VLOOKUP(J136,#REF!,7,0))</f>
        <v>#REF!</v>
      </c>
      <c r="Q136" s="77" t="str">
        <f>VLOOKUP(J136,'p1'!$B$2:$C$30,2,0)</f>
        <v>NÃO TEM CHAPA</v>
      </c>
      <c r="R136" s="94">
        <v>45849</v>
      </c>
      <c r="S136" s="90" t="s">
        <v>218</v>
      </c>
      <c r="T136" s="90">
        <f t="shared" si="13"/>
        <v>1</v>
      </c>
      <c r="U136" s="94">
        <v>45852</v>
      </c>
      <c r="V136" s="90" t="s">
        <v>86</v>
      </c>
      <c r="W136" s="92">
        <v>2444</v>
      </c>
      <c r="X136" s="93">
        <f t="shared" si="12"/>
        <v>1</v>
      </c>
      <c r="Y136" s="92"/>
      <c r="Z136" s="92"/>
      <c r="AA136" s="13" t="str">
        <f t="shared" si="14"/>
        <v>jul/2025</v>
      </c>
    </row>
    <row r="137" spans="1:27" x14ac:dyDescent="0.25">
      <c r="A137" s="89">
        <v>136</v>
      </c>
      <c r="B137" s="68">
        <v>45764</v>
      </c>
      <c r="C137" s="40">
        <v>17</v>
      </c>
      <c r="D137" s="40">
        <f t="shared" si="10"/>
        <v>1</v>
      </c>
      <c r="E137" s="46" t="s">
        <v>127</v>
      </c>
      <c r="F137" s="17" t="s">
        <v>58</v>
      </c>
      <c r="G137" s="17" t="s">
        <v>86</v>
      </c>
      <c r="H137" s="42" t="s">
        <v>369</v>
      </c>
      <c r="I137" s="17" t="str">
        <f t="shared" si="11"/>
        <v>PN-136</v>
      </c>
      <c r="J137" s="18" t="s">
        <v>85</v>
      </c>
      <c r="K137" s="19" t="e">
        <f>IF(J137="","SEM #CH",VLOOKUP(J137,#REF!,2,0))</f>
        <v>#REF!</v>
      </c>
      <c r="L137" s="19" t="e">
        <f>IF(J137="","SEM #CH",VLOOKUP(J137,#REF!,3,0))</f>
        <v>#REF!</v>
      </c>
      <c r="M137" s="19" t="e">
        <f>IF(J137="","SEM #CH",VLOOKUP(J137,#REF!,4,0))</f>
        <v>#REF!</v>
      </c>
      <c r="N137" s="19" t="e">
        <f>IF(J137="","SEM #CH",VLOOKUP(J137,#REF!,5,0))</f>
        <v>#REF!</v>
      </c>
      <c r="O137" s="19" t="e">
        <f>IF(J137="","SEM #CH",VLOOKUP(J137,#REF!,6,0))</f>
        <v>#REF!</v>
      </c>
      <c r="P137" s="19" t="e">
        <f>IF(J137="","SEM #CH",VLOOKUP(J137,#REF!,7,0))</f>
        <v>#REF!</v>
      </c>
      <c r="Q137" s="77" t="str">
        <f>VLOOKUP(J137,'p1'!$B$2:$C$30,2,0)</f>
        <v>NÃO TEM CHAPA</v>
      </c>
      <c r="R137" s="94">
        <v>45835</v>
      </c>
      <c r="S137" s="90" t="s">
        <v>218</v>
      </c>
      <c r="T137" s="90">
        <f t="shared" si="13"/>
        <v>1</v>
      </c>
      <c r="U137" s="94">
        <v>45842</v>
      </c>
      <c r="V137" s="90" t="s">
        <v>86</v>
      </c>
      <c r="W137" s="92">
        <v>2426</v>
      </c>
      <c r="X137" s="93">
        <f t="shared" si="12"/>
        <v>1</v>
      </c>
      <c r="Y137" s="92"/>
      <c r="Z137" s="92"/>
      <c r="AA137" s="13" t="str">
        <f t="shared" si="14"/>
        <v>jun/2025</v>
      </c>
    </row>
    <row r="138" spans="1:27" x14ac:dyDescent="0.25">
      <c r="A138" s="89">
        <v>137</v>
      </c>
      <c r="B138" s="68">
        <v>45770</v>
      </c>
      <c r="C138" s="40">
        <v>18</v>
      </c>
      <c r="D138" s="40">
        <f t="shared" si="10"/>
        <v>1</v>
      </c>
      <c r="E138" s="46" t="s">
        <v>127</v>
      </c>
      <c r="F138" s="17" t="s">
        <v>58</v>
      </c>
      <c r="G138" s="17" t="s">
        <v>86</v>
      </c>
      <c r="H138" s="42" t="s">
        <v>370</v>
      </c>
      <c r="I138" s="17" t="str">
        <f t="shared" si="11"/>
        <v>PN-137</v>
      </c>
      <c r="J138" s="18" t="s">
        <v>85</v>
      </c>
      <c r="K138" s="19" t="e">
        <f>IF(J138="","SEM #CH",VLOOKUP(J138,#REF!,2,0))</f>
        <v>#REF!</v>
      </c>
      <c r="L138" s="19" t="e">
        <f>IF(J138="","SEM #CH",VLOOKUP(J138,#REF!,3,0))</f>
        <v>#REF!</v>
      </c>
      <c r="M138" s="19" t="e">
        <f>IF(J138="","SEM #CH",VLOOKUP(J138,#REF!,4,0))</f>
        <v>#REF!</v>
      </c>
      <c r="N138" s="19" t="e">
        <f>IF(J138="","SEM #CH",VLOOKUP(J138,#REF!,5,0))</f>
        <v>#REF!</v>
      </c>
      <c r="O138" s="19" t="e">
        <f>IF(J138="","SEM #CH",VLOOKUP(J138,#REF!,6,0))</f>
        <v>#REF!</v>
      </c>
      <c r="P138" s="19" t="e">
        <f>IF(J138="","SEM #CH",VLOOKUP(J138,#REF!,7,0))</f>
        <v>#REF!</v>
      </c>
      <c r="Q138" s="77" t="str">
        <f>VLOOKUP(J138,'p1'!$B$2:$C$30,2,0)</f>
        <v>NÃO TEM CHAPA</v>
      </c>
      <c r="R138" s="94">
        <v>45864</v>
      </c>
      <c r="S138" s="90" t="s">
        <v>218</v>
      </c>
      <c r="T138" s="90">
        <f t="shared" si="13"/>
        <v>1</v>
      </c>
      <c r="U138" s="94">
        <v>45894</v>
      </c>
      <c r="V138" s="90" t="s">
        <v>86</v>
      </c>
      <c r="W138" s="92">
        <v>2492</v>
      </c>
      <c r="X138" s="93">
        <f t="shared" si="12"/>
        <v>1</v>
      </c>
      <c r="Y138" s="92"/>
      <c r="Z138" s="92"/>
      <c r="AA138" s="13" t="str">
        <f t="shared" si="14"/>
        <v>jul/2025</v>
      </c>
    </row>
    <row r="139" spans="1:27" x14ac:dyDescent="0.25">
      <c r="A139" s="89">
        <v>138</v>
      </c>
      <c r="B139" s="68">
        <v>45770</v>
      </c>
      <c r="C139" s="40">
        <v>18</v>
      </c>
      <c r="D139" s="40">
        <f t="shared" si="10"/>
        <v>1</v>
      </c>
      <c r="E139" s="46" t="s">
        <v>127</v>
      </c>
      <c r="F139" s="17" t="s">
        <v>58</v>
      </c>
      <c r="G139" s="17" t="s">
        <v>86</v>
      </c>
      <c r="H139" s="42" t="s">
        <v>371</v>
      </c>
      <c r="I139" s="17" t="str">
        <f t="shared" si="11"/>
        <v>PN-138</v>
      </c>
      <c r="J139" s="18" t="s">
        <v>85</v>
      </c>
      <c r="K139" s="19" t="e">
        <f>IF(J139="","SEM #CH",VLOOKUP(J139,#REF!,2,0))</f>
        <v>#REF!</v>
      </c>
      <c r="L139" s="19" t="e">
        <f>IF(J139="","SEM #CH",VLOOKUP(J139,#REF!,3,0))</f>
        <v>#REF!</v>
      </c>
      <c r="M139" s="19" t="e">
        <f>IF(J139="","SEM #CH",VLOOKUP(J139,#REF!,4,0))</f>
        <v>#REF!</v>
      </c>
      <c r="N139" s="19" t="e">
        <f>IF(J139="","SEM #CH",VLOOKUP(J139,#REF!,5,0))</f>
        <v>#REF!</v>
      </c>
      <c r="O139" s="19" t="e">
        <f>IF(J139="","SEM #CH",VLOOKUP(J139,#REF!,6,0))</f>
        <v>#REF!</v>
      </c>
      <c r="P139" s="19" t="e">
        <f>IF(J139="","SEM #CH",VLOOKUP(J139,#REF!,7,0))</f>
        <v>#REF!</v>
      </c>
      <c r="Q139" s="77" t="str">
        <f>VLOOKUP(J139,'p1'!$B$2:$C$30,2,0)</f>
        <v>NÃO TEM CHAPA</v>
      </c>
      <c r="R139" s="94">
        <v>45866</v>
      </c>
      <c r="S139" s="90" t="s">
        <v>218</v>
      </c>
      <c r="T139" s="90">
        <f t="shared" si="13"/>
        <v>1</v>
      </c>
      <c r="U139" s="94">
        <v>45894</v>
      </c>
      <c r="V139" s="90" t="s">
        <v>86</v>
      </c>
      <c r="W139" s="92">
        <v>2492</v>
      </c>
      <c r="X139" s="93">
        <f t="shared" si="12"/>
        <v>1</v>
      </c>
      <c r="Y139" s="92"/>
      <c r="Z139" s="92"/>
      <c r="AA139" s="13" t="str">
        <f t="shared" si="14"/>
        <v>jul/2025</v>
      </c>
    </row>
    <row r="140" spans="1:27" x14ac:dyDescent="0.25">
      <c r="A140" s="89">
        <v>139</v>
      </c>
      <c r="B140" s="68">
        <v>45770</v>
      </c>
      <c r="C140" s="40">
        <v>18</v>
      </c>
      <c r="D140" s="40">
        <f t="shared" si="10"/>
        <v>1</v>
      </c>
      <c r="E140" s="46" t="s">
        <v>127</v>
      </c>
      <c r="F140" s="17" t="s">
        <v>58</v>
      </c>
      <c r="G140" s="17" t="s">
        <v>86</v>
      </c>
      <c r="H140" s="42" t="s">
        <v>372</v>
      </c>
      <c r="I140" s="17" t="str">
        <f t="shared" si="11"/>
        <v>PN-139</v>
      </c>
      <c r="J140" s="18" t="s">
        <v>85</v>
      </c>
      <c r="K140" s="19" t="e">
        <f>IF(J140="","SEM #CH",VLOOKUP(J140,#REF!,2,0))</f>
        <v>#REF!</v>
      </c>
      <c r="L140" s="19" t="e">
        <f>IF(J140="","SEM #CH",VLOOKUP(J140,#REF!,3,0))</f>
        <v>#REF!</v>
      </c>
      <c r="M140" s="19" t="e">
        <f>IF(J140="","SEM #CH",VLOOKUP(J140,#REF!,4,0))</f>
        <v>#REF!</v>
      </c>
      <c r="N140" s="19" t="e">
        <f>IF(J140="","SEM #CH",VLOOKUP(J140,#REF!,5,0))</f>
        <v>#REF!</v>
      </c>
      <c r="O140" s="19" t="e">
        <f>IF(J140="","SEM #CH",VLOOKUP(J140,#REF!,6,0))</f>
        <v>#REF!</v>
      </c>
      <c r="P140" s="19" t="e">
        <f>IF(J140="","SEM #CH",VLOOKUP(J140,#REF!,7,0))</f>
        <v>#REF!</v>
      </c>
      <c r="Q140" s="77" t="str">
        <f>VLOOKUP(J140,'p1'!$B$2:$C$30,2,0)</f>
        <v>NÃO TEM CHAPA</v>
      </c>
      <c r="R140" s="94">
        <v>45862</v>
      </c>
      <c r="S140" s="90" t="s">
        <v>218</v>
      </c>
      <c r="T140" s="90">
        <f t="shared" si="13"/>
        <v>1</v>
      </c>
      <c r="U140" s="94">
        <v>45895</v>
      </c>
      <c r="V140" s="90" t="s">
        <v>86</v>
      </c>
      <c r="W140" s="154">
        <v>45895</v>
      </c>
      <c r="X140" s="93">
        <f t="shared" si="12"/>
        <v>1</v>
      </c>
      <c r="Y140" s="92"/>
      <c r="Z140" s="92"/>
      <c r="AA140" s="13" t="str">
        <f t="shared" si="14"/>
        <v>jul/2025</v>
      </c>
    </row>
    <row r="141" spans="1:27" x14ac:dyDescent="0.25">
      <c r="A141" s="89">
        <v>140</v>
      </c>
      <c r="B141" s="68">
        <v>45770</v>
      </c>
      <c r="C141" s="40">
        <v>18</v>
      </c>
      <c r="D141" s="40">
        <f t="shared" si="10"/>
        <v>1</v>
      </c>
      <c r="E141" s="46" t="s">
        <v>127</v>
      </c>
      <c r="F141" s="17" t="s">
        <v>58</v>
      </c>
      <c r="G141" s="17" t="s">
        <v>86</v>
      </c>
      <c r="H141" s="42" t="s">
        <v>373</v>
      </c>
      <c r="I141" s="17" t="str">
        <f t="shared" si="11"/>
        <v>PN-140</v>
      </c>
      <c r="J141" s="18" t="s">
        <v>85</v>
      </c>
      <c r="K141" s="19" t="e">
        <f>IF(J141="","SEM #CH",VLOOKUP(J141,#REF!,2,0))</f>
        <v>#REF!</v>
      </c>
      <c r="L141" s="19" t="e">
        <f>IF(J141="","SEM #CH",VLOOKUP(J141,#REF!,3,0))</f>
        <v>#REF!</v>
      </c>
      <c r="M141" s="19" t="e">
        <f>IF(J141="","SEM #CH",VLOOKUP(J141,#REF!,4,0))</f>
        <v>#REF!</v>
      </c>
      <c r="N141" s="19" t="e">
        <f>IF(J141="","SEM #CH",VLOOKUP(J141,#REF!,5,0))</f>
        <v>#REF!</v>
      </c>
      <c r="O141" s="19" t="e">
        <f>IF(J141="","SEM #CH",VLOOKUP(J141,#REF!,6,0))</f>
        <v>#REF!</v>
      </c>
      <c r="P141" s="19" t="e">
        <f>IF(J141="","SEM #CH",VLOOKUP(J141,#REF!,7,0))</f>
        <v>#REF!</v>
      </c>
      <c r="Q141" s="77" t="str">
        <f>VLOOKUP(J141,'p1'!$B$2:$C$30,2,0)</f>
        <v>NÃO TEM CHAPA</v>
      </c>
      <c r="R141" s="94">
        <v>45862</v>
      </c>
      <c r="S141" s="90" t="s">
        <v>218</v>
      </c>
      <c r="T141" s="90">
        <f t="shared" si="13"/>
        <v>1</v>
      </c>
      <c r="U141" s="94">
        <v>45895</v>
      </c>
      <c r="V141" s="90" t="s">
        <v>86</v>
      </c>
      <c r="W141" s="154">
        <v>45895</v>
      </c>
      <c r="X141" s="93">
        <f t="shared" si="12"/>
        <v>1</v>
      </c>
      <c r="Y141" s="92"/>
      <c r="Z141" s="92"/>
      <c r="AA141" s="13" t="str">
        <f t="shared" si="14"/>
        <v>jul/2025</v>
      </c>
    </row>
    <row r="142" spans="1:27" x14ac:dyDescent="0.25">
      <c r="A142" s="89">
        <v>141</v>
      </c>
      <c r="B142" s="68">
        <v>45770</v>
      </c>
      <c r="C142" s="40">
        <v>18</v>
      </c>
      <c r="D142" s="40">
        <f t="shared" si="10"/>
        <v>1</v>
      </c>
      <c r="E142" s="46" t="s">
        <v>127</v>
      </c>
      <c r="F142" s="17" t="s">
        <v>58</v>
      </c>
      <c r="G142" s="17" t="s">
        <v>86</v>
      </c>
      <c r="H142" s="42" t="s">
        <v>374</v>
      </c>
      <c r="I142" s="17" t="str">
        <f t="shared" si="11"/>
        <v>PN-141</v>
      </c>
      <c r="J142" s="18" t="s">
        <v>85</v>
      </c>
      <c r="K142" s="19" t="e">
        <f>IF(J142="","SEM #CH",VLOOKUP(J142,#REF!,2,0))</f>
        <v>#REF!</v>
      </c>
      <c r="L142" s="19" t="e">
        <f>IF(J142="","SEM #CH",VLOOKUP(J142,#REF!,3,0))</f>
        <v>#REF!</v>
      </c>
      <c r="M142" s="19" t="e">
        <f>IF(J142="","SEM #CH",VLOOKUP(J142,#REF!,4,0))</f>
        <v>#REF!</v>
      </c>
      <c r="N142" s="19" t="e">
        <f>IF(J142="","SEM #CH",VLOOKUP(J142,#REF!,5,0))</f>
        <v>#REF!</v>
      </c>
      <c r="O142" s="19" t="e">
        <f>IF(J142="","SEM #CH",VLOOKUP(J142,#REF!,6,0))</f>
        <v>#REF!</v>
      </c>
      <c r="P142" s="19" t="e">
        <f>IF(J142="","SEM #CH",VLOOKUP(J142,#REF!,7,0))</f>
        <v>#REF!</v>
      </c>
      <c r="Q142" s="77" t="str">
        <f>VLOOKUP(J142,'p1'!$B$2:$C$30,2,0)</f>
        <v>NÃO TEM CHAPA</v>
      </c>
      <c r="R142" s="94">
        <v>45861</v>
      </c>
      <c r="S142" s="90" t="s">
        <v>218</v>
      </c>
      <c r="T142" s="90">
        <f t="shared" si="13"/>
        <v>1</v>
      </c>
      <c r="U142" s="94">
        <v>45896</v>
      </c>
      <c r="V142" s="90" t="s">
        <v>1099</v>
      </c>
      <c r="W142" s="92">
        <v>2497</v>
      </c>
      <c r="X142" s="93">
        <f t="shared" si="12"/>
        <v>1</v>
      </c>
      <c r="Y142" s="92"/>
      <c r="Z142" s="92"/>
      <c r="AA142" s="13" t="str">
        <f t="shared" si="14"/>
        <v>jul/2025</v>
      </c>
    </row>
    <row r="143" spans="1:27" x14ac:dyDescent="0.25">
      <c r="A143" s="89">
        <v>142</v>
      </c>
      <c r="B143" s="68">
        <v>45770</v>
      </c>
      <c r="C143" s="40">
        <v>18</v>
      </c>
      <c r="D143" s="40">
        <f t="shared" si="10"/>
        <v>1</v>
      </c>
      <c r="E143" s="46" t="s">
        <v>127</v>
      </c>
      <c r="F143" s="17" t="s">
        <v>58</v>
      </c>
      <c r="G143" s="17" t="s">
        <v>86</v>
      </c>
      <c r="H143" s="42" t="s">
        <v>375</v>
      </c>
      <c r="I143" s="17" t="str">
        <f t="shared" si="11"/>
        <v>PN-142</v>
      </c>
      <c r="J143" s="18" t="s">
        <v>85</v>
      </c>
      <c r="K143" s="19" t="e">
        <f>IF(J143="","SEM #CH",VLOOKUP(J143,#REF!,2,0))</f>
        <v>#REF!</v>
      </c>
      <c r="L143" s="19" t="e">
        <f>IF(J143="","SEM #CH",VLOOKUP(J143,#REF!,3,0))</f>
        <v>#REF!</v>
      </c>
      <c r="M143" s="19" t="e">
        <f>IF(J143="","SEM #CH",VLOOKUP(J143,#REF!,4,0))</f>
        <v>#REF!</v>
      </c>
      <c r="N143" s="19" t="e">
        <f>IF(J143="","SEM #CH",VLOOKUP(J143,#REF!,5,0))</f>
        <v>#REF!</v>
      </c>
      <c r="O143" s="19" t="e">
        <f>IF(J143="","SEM #CH",VLOOKUP(J143,#REF!,6,0))</f>
        <v>#REF!</v>
      </c>
      <c r="P143" s="19" t="e">
        <f>IF(J143="","SEM #CH",VLOOKUP(J143,#REF!,7,0))</f>
        <v>#REF!</v>
      </c>
      <c r="Q143" s="77" t="str">
        <f>VLOOKUP(J143,'p1'!$B$2:$C$30,2,0)</f>
        <v>NÃO TEM CHAPA</v>
      </c>
      <c r="R143" s="94">
        <v>45836</v>
      </c>
      <c r="S143" s="90" t="s">
        <v>218</v>
      </c>
      <c r="T143" s="90">
        <f t="shared" si="13"/>
        <v>1</v>
      </c>
      <c r="U143" s="94">
        <v>45846</v>
      </c>
      <c r="V143" s="90" t="s">
        <v>1044</v>
      </c>
      <c r="W143" s="154">
        <v>45846</v>
      </c>
      <c r="X143" s="93">
        <f t="shared" si="12"/>
        <v>1</v>
      </c>
      <c r="Y143" s="92"/>
      <c r="Z143" s="92"/>
      <c r="AA143" s="13" t="str">
        <f t="shared" si="14"/>
        <v>jun/2025</v>
      </c>
    </row>
    <row r="144" spans="1:27" x14ac:dyDescent="0.25">
      <c r="A144" s="89">
        <v>143</v>
      </c>
      <c r="B144" s="68">
        <v>45770</v>
      </c>
      <c r="C144" s="40">
        <v>18</v>
      </c>
      <c r="D144" s="40">
        <f t="shared" si="10"/>
        <v>1</v>
      </c>
      <c r="E144" s="46" t="s">
        <v>127</v>
      </c>
      <c r="F144" s="17" t="s">
        <v>58</v>
      </c>
      <c r="G144" s="17" t="s">
        <v>86</v>
      </c>
      <c r="H144" s="42" t="s">
        <v>376</v>
      </c>
      <c r="I144" s="17" t="str">
        <f t="shared" si="11"/>
        <v>PN-143</v>
      </c>
      <c r="J144" s="18" t="s">
        <v>85</v>
      </c>
      <c r="K144" s="19" t="e">
        <f>IF(J144="","SEM #CH",VLOOKUP(J144,#REF!,2,0))</f>
        <v>#REF!</v>
      </c>
      <c r="L144" s="19" t="e">
        <f>IF(J144="","SEM #CH",VLOOKUP(J144,#REF!,3,0))</f>
        <v>#REF!</v>
      </c>
      <c r="M144" s="19" t="e">
        <f>IF(J144="","SEM #CH",VLOOKUP(J144,#REF!,4,0))</f>
        <v>#REF!</v>
      </c>
      <c r="N144" s="19" t="e">
        <f>IF(J144="","SEM #CH",VLOOKUP(J144,#REF!,5,0))</f>
        <v>#REF!</v>
      </c>
      <c r="O144" s="19" t="e">
        <f>IF(J144="","SEM #CH",VLOOKUP(J144,#REF!,6,0))</f>
        <v>#REF!</v>
      </c>
      <c r="P144" s="19" t="e">
        <f>IF(J144="","SEM #CH",VLOOKUP(J144,#REF!,7,0))</f>
        <v>#REF!</v>
      </c>
      <c r="Q144" s="77" t="str">
        <f>VLOOKUP(J144,'p1'!$B$2:$C$30,2,0)</f>
        <v>NÃO TEM CHAPA</v>
      </c>
      <c r="R144" s="94">
        <v>45832</v>
      </c>
      <c r="S144" s="90" t="s">
        <v>218</v>
      </c>
      <c r="T144" s="90">
        <f t="shared" si="13"/>
        <v>1</v>
      </c>
      <c r="U144" s="94">
        <v>45846</v>
      </c>
      <c r="V144" s="90" t="s">
        <v>1044</v>
      </c>
      <c r="W144" s="154">
        <v>45846</v>
      </c>
      <c r="X144" s="93">
        <f t="shared" si="12"/>
        <v>1</v>
      </c>
      <c r="Y144" s="92"/>
      <c r="Z144" s="92"/>
      <c r="AA144" s="13" t="str">
        <f t="shared" si="14"/>
        <v>jun/2025</v>
      </c>
    </row>
    <row r="145" spans="1:27" x14ac:dyDescent="0.25">
      <c r="A145" s="89">
        <v>144</v>
      </c>
      <c r="B145" s="68">
        <v>45771</v>
      </c>
      <c r="C145" s="40">
        <v>19</v>
      </c>
      <c r="D145" s="40">
        <f t="shared" si="10"/>
        <v>1</v>
      </c>
      <c r="E145" s="46" t="s">
        <v>127</v>
      </c>
      <c r="F145" s="17" t="s">
        <v>58</v>
      </c>
      <c r="G145" s="17" t="s">
        <v>86</v>
      </c>
      <c r="H145" s="42" t="s">
        <v>377</v>
      </c>
      <c r="I145" s="17" t="str">
        <f t="shared" si="11"/>
        <v>PN-144</v>
      </c>
      <c r="J145" s="18" t="s">
        <v>85</v>
      </c>
      <c r="K145" s="19" t="e">
        <f>IF(J145="","SEM #CH",VLOOKUP(J145,#REF!,2,0))</f>
        <v>#REF!</v>
      </c>
      <c r="L145" s="19" t="e">
        <f>IF(J145="","SEM #CH",VLOOKUP(J145,#REF!,3,0))</f>
        <v>#REF!</v>
      </c>
      <c r="M145" s="19" t="e">
        <f>IF(J145="","SEM #CH",VLOOKUP(J145,#REF!,4,0))</f>
        <v>#REF!</v>
      </c>
      <c r="N145" s="19" t="e">
        <f>IF(J145="","SEM #CH",VLOOKUP(J145,#REF!,5,0))</f>
        <v>#REF!</v>
      </c>
      <c r="O145" s="19" t="e">
        <f>IF(J145="","SEM #CH",VLOOKUP(J145,#REF!,6,0))</f>
        <v>#REF!</v>
      </c>
      <c r="P145" s="19" t="e">
        <f>IF(J145="","SEM #CH",VLOOKUP(J145,#REF!,7,0))</f>
        <v>#REF!</v>
      </c>
      <c r="Q145" s="77" t="str">
        <f>VLOOKUP(J145,'p1'!$B$2:$C$30,2,0)</f>
        <v>NÃO TEM CHAPA</v>
      </c>
      <c r="R145" s="94">
        <v>45929</v>
      </c>
      <c r="S145" s="90" t="s">
        <v>217</v>
      </c>
      <c r="T145" s="90">
        <f t="shared" si="13"/>
        <v>1</v>
      </c>
      <c r="U145" s="94">
        <v>45931</v>
      </c>
      <c r="V145" s="90" t="s">
        <v>86</v>
      </c>
      <c r="W145" s="92">
        <v>2554</v>
      </c>
      <c r="X145" s="93">
        <f t="shared" si="12"/>
        <v>1</v>
      </c>
      <c r="Y145" s="92"/>
      <c r="Z145" s="92"/>
      <c r="AA145" s="13" t="str">
        <f t="shared" si="14"/>
        <v>set/2025</v>
      </c>
    </row>
    <row r="146" spans="1:27" x14ac:dyDescent="0.25">
      <c r="A146" s="89">
        <v>145</v>
      </c>
      <c r="B146" s="68">
        <v>45771</v>
      </c>
      <c r="C146" s="40">
        <v>19</v>
      </c>
      <c r="D146" s="40">
        <f t="shared" si="10"/>
        <v>1</v>
      </c>
      <c r="E146" s="46" t="s">
        <v>127</v>
      </c>
      <c r="F146" s="17" t="s">
        <v>58</v>
      </c>
      <c r="G146" s="17" t="s">
        <v>86</v>
      </c>
      <c r="H146" s="42" t="s">
        <v>378</v>
      </c>
      <c r="I146" s="17" t="str">
        <f t="shared" si="11"/>
        <v>PN-145</v>
      </c>
      <c r="J146" s="18" t="s">
        <v>85</v>
      </c>
      <c r="K146" s="19" t="e">
        <f>IF(J146="","SEM #CH",VLOOKUP(J146,#REF!,2,0))</f>
        <v>#REF!</v>
      </c>
      <c r="L146" s="19" t="e">
        <f>IF(J146="","SEM #CH",VLOOKUP(J146,#REF!,3,0))</f>
        <v>#REF!</v>
      </c>
      <c r="M146" s="19" t="e">
        <f>IF(J146="","SEM #CH",VLOOKUP(J146,#REF!,4,0))</f>
        <v>#REF!</v>
      </c>
      <c r="N146" s="19" t="e">
        <f>IF(J146="","SEM #CH",VLOOKUP(J146,#REF!,5,0))</f>
        <v>#REF!</v>
      </c>
      <c r="O146" s="19" t="e">
        <f>IF(J146="","SEM #CH",VLOOKUP(J146,#REF!,6,0))</f>
        <v>#REF!</v>
      </c>
      <c r="P146" s="19" t="e">
        <f>IF(J146="","SEM #CH",VLOOKUP(J146,#REF!,7,0))</f>
        <v>#REF!</v>
      </c>
      <c r="Q146" s="77" t="str">
        <f>VLOOKUP(J146,'p1'!$B$2:$C$30,2,0)</f>
        <v>NÃO TEM CHAPA</v>
      </c>
      <c r="R146" s="94">
        <v>45920</v>
      </c>
      <c r="S146" s="90" t="s">
        <v>217</v>
      </c>
      <c r="T146" s="90">
        <f t="shared" si="13"/>
        <v>1</v>
      </c>
      <c r="U146" s="94">
        <v>45922</v>
      </c>
      <c r="V146" s="90" t="s">
        <v>86</v>
      </c>
      <c r="W146" s="92">
        <v>2537</v>
      </c>
      <c r="X146" s="93">
        <f t="shared" si="12"/>
        <v>1</v>
      </c>
      <c r="Y146" s="92"/>
      <c r="Z146" s="92"/>
      <c r="AA146" s="13" t="str">
        <f t="shared" si="14"/>
        <v>set/2025</v>
      </c>
    </row>
    <row r="147" spans="1:27" x14ac:dyDescent="0.25">
      <c r="A147" s="89">
        <v>146</v>
      </c>
      <c r="B147" s="68">
        <v>45771</v>
      </c>
      <c r="C147" s="40">
        <v>19</v>
      </c>
      <c r="D147" s="40">
        <f t="shared" si="10"/>
        <v>1</v>
      </c>
      <c r="E147" s="46" t="s">
        <v>127</v>
      </c>
      <c r="F147" s="17" t="s">
        <v>58</v>
      </c>
      <c r="G147" s="17" t="s">
        <v>86</v>
      </c>
      <c r="H147" s="42" t="s">
        <v>379</v>
      </c>
      <c r="I147" s="17" t="str">
        <f t="shared" si="11"/>
        <v>PN-146</v>
      </c>
      <c r="J147" s="18" t="s">
        <v>85</v>
      </c>
      <c r="K147" s="19" t="e">
        <f>IF(J147="","SEM #CH",VLOOKUP(J147,#REF!,2,0))</f>
        <v>#REF!</v>
      </c>
      <c r="L147" s="19" t="e">
        <f>IF(J147="","SEM #CH",VLOOKUP(J147,#REF!,3,0))</f>
        <v>#REF!</v>
      </c>
      <c r="M147" s="19" t="e">
        <f>IF(J147="","SEM #CH",VLOOKUP(J147,#REF!,4,0))</f>
        <v>#REF!</v>
      </c>
      <c r="N147" s="19" t="e">
        <f>IF(J147="","SEM #CH",VLOOKUP(J147,#REF!,5,0))</f>
        <v>#REF!</v>
      </c>
      <c r="O147" s="19" t="e">
        <f>IF(J147="","SEM #CH",VLOOKUP(J147,#REF!,6,0))</f>
        <v>#REF!</v>
      </c>
      <c r="P147" s="19" t="e">
        <f>IF(J147="","SEM #CH",VLOOKUP(J147,#REF!,7,0))</f>
        <v>#REF!</v>
      </c>
      <c r="Q147" s="77" t="str">
        <f>VLOOKUP(J147,'p1'!$B$2:$C$30,2,0)</f>
        <v>NÃO TEM CHAPA</v>
      </c>
      <c r="R147" s="94">
        <v>45918</v>
      </c>
      <c r="S147" s="90" t="s">
        <v>217</v>
      </c>
      <c r="T147" s="90">
        <f t="shared" si="13"/>
        <v>1</v>
      </c>
      <c r="U147" s="94">
        <v>45919</v>
      </c>
      <c r="V147" s="90" t="s">
        <v>86</v>
      </c>
      <c r="W147" s="92">
        <v>2534</v>
      </c>
      <c r="X147" s="93">
        <f t="shared" si="12"/>
        <v>1</v>
      </c>
      <c r="Y147" s="92"/>
      <c r="Z147" s="92"/>
      <c r="AA147" s="13" t="str">
        <f t="shared" si="14"/>
        <v>set/2025</v>
      </c>
    </row>
    <row r="148" spans="1:27" x14ac:dyDescent="0.25">
      <c r="A148" s="89">
        <v>147</v>
      </c>
      <c r="B148" s="68">
        <v>45771</v>
      </c>
      <c r="C148" s="40">
        <v>19</v>
      </c>
      <c r="D148" s="40">
        <f t="shared" si="10"/>
        <v>1</v>
      </c>
      <c r="E148" s="46" t="s">
        <v>127</v>
      </c>
      <c r="F148" s="17" t="s">
        <v>58</v>
      </c>
      <c r="G148" s="17" t="s">
        <v>86</v>
      </c>
      <c r="H148" s="42" t="s">
        <v>380</v>
      </c>
      <c r="I148" s="17" t="str">
        <f t="shared" si="11"/>
        <v>PN-147</v>
      </c>
      <c r="J148" s="18" t="s">
        <v>85</v>
      </c>
      <c r="K148" s="19" t="e">
        <f>IF(J148="","SEM #CH",VLOOKUP(J148,#REF!,2,0))</f>
        <v>#REF!</v>
      </c>
      <c r="L148" s="19" t="e">
        <f>IF(J148="","SEM #CH",VLOOKUP(J148,#REF!,3,0))</f>
        <v>#REF!</v>
      </c>
      <c r="M148" s="19" t="e">
        <f>IF(J148="","SEM #CH",VLOOKUP(J148,#REF!,4,0))</f>
        <v>#REF!</v>
      </c>
      <c r="N148" s="19" t="e">
        <f>IF(J148="","SEM #CH",VLOOKUP(J148,#REF!,5,0))</f>
        <v>#REF!</v>
      </c>
      <c r="O148" s="19" t="e">
        <f>IF(J148="","SEM #CH",VLOOKUP(J148,#REF!,6,0))</f>
        <v>#REF!</v>
      </c>
      <c r="P148" s="19" t="e">
        <f>IF(J148="","SEM #CH",VLOOKUP(J148,#REF!,7,0))</f>
        <v>#REF!</v>
      </c>
      <c r="Q148" s="77" t="str">
        <f>VLOOKUP(J148,'p1'!$B$2:$C$30,2,0)</f>
        <v>NÃO TEM CHAPA</v>
      </c>
      <c r="R148" s="94">
        <v>45922</v>
      </c>
      <c r="S148" s="90" t="s">
        <v>217</v>
      </c>
      <c r="T148" s="90">
        <f t="shared" si="13"/>
        <v>1</v>
      </c>
      <c r="U148" s="94">
        <v>45924</v>
      </c>
      <c r="V148" s="90" t="s">
        <v>86</v>
      </c>
      <c r="W148" s="92">
        <v>2541</v>
      </c>
      <c r="X148" s="93">
        <f t="shared" si="12"/>
        <v>1</v>
      </c>
      <c r="Y148" s="92"/>
      <c r="Z148" s="92"/>
      <c r="AA148" s="13" t="str">
        <f t="shared" si="14"/>
        <v>set/2025</v>
      </c>
    </row>
    <row r="149" spans="1:27" x14ac:dyDescent="0.25">
      <c r="A149" s="89">
        <v>148</v>
      </c>
      <c r="B149" s="68">
        <v>45818</v>
      </c>
      <c r="C149" s="40">
        <v>34</v>
      </c>
      <c r="D149" s="40">
        <f t="shared" si="10"/>
        <v>1</v>
      </c>
      <c r="E149" s="46" t="s">
        <v>127</v>
      </c>
      <c r="F149" s="17" t="s">
        <v>60</v>
      </c>
      <c r="G149" s="17" t="s">
        <v>86</v>
      </c>
      <c r="H149" s="42" t="s">
        <v>381</v>
      </c>
      <c r="I149" s="17" t="str">
        <f t="shared" si="11"/>
        <v>PE-148</v>
      </c>
      <c r="J149" s="18" t="s">
        <v>89</v>
      </c>
      <c r="K149" s="19" t="e">
        <f>IF(J149="","SEM #CH",VLOOKUP(J149,#REF!,2,0))</f>
        <v>#REF!</v>
      </c>
      <c r="L149" s="19" t="e">
        <f>IF(J149="","SEM #CH",VLOOKUP(J149,#REF!,3,0))</f>
        <v>#REF!</v>
      </c>
      <c r="M149" s="19" t="e">
        <f>IF(J149="","SEM #CH",VLOOKUP(J149,#REF!,4,0))</f>
        <v>#REF!</v>
      </c>
      <c r="N149" s="19" t="e">
        <f>IF(J149="","SEM #CH",VLOOKUP(J149,#REF!,5,0))</f>
        <v>#REF!</v>
      </c>
      <c r="O149" s="19" t="e">
        <f>IF(J149="","SEM #CH",VLOOKUP(J149,#REF!,6,0))</f>
        <v>#REF!</v>
      </c>
      <c r="P149" s="19" t="e">
        <f>IF(J149="","SEM #CH",VLOOKUP(J149,#REF!,7,0))</f>
        <v>#REF!</v>
      </c>
      <c r="Q149" s="77" t="str">
        <f>VLOOKUP(J149,'p1'!$B$2:$C$30,2,0)</f>
        <v>#3/8-1200X1200</v>
      </c>
      <c r="R149" s="94">
        <v>45878</v>
      </c>
      <c r="S149" s="90" t="s">
        <v>217</v>
      </c>
      <c r="T149" s="90">
        <f t="shared" si="13"/>
        <v>1</v>
      </c>
      <c r="U149" s="94">
        <v>45887</v>
      </c>
      <c r="V149" s="90"/>
      <c r="W149" s="92">
        <v>2480</v>
      </c>
      <c r="X149" s="93">
        <f t="shared" si="12"/>
        <v>1</v>
      </c>
      <c r="Y149" s="92"/>
      <c r="Z149" s="92"/>
      <c r="AA149" s="13" t="str">
        <f t="shared" si="14"/>
        <v>ago/2025</v>
      </c>
    </row>
    <row r="150" spans="1:27" x14ac:dyDescent="0.25">
      <c r="A150" s="89">
        <v>149</v>
      </c>
      <c r="B150" s="68">
        <v>45818</v>
      </c>
      <c r="C150" s="40">
        <v>34</v>
      </c>
      <c r="D150" s="40">
        <f t="shared" si="10"/>
        <v>1</v>
      </c>
      <c r="E150" s="46" t="s">
        <v>127</v>
      </c>
      <c r="F150" s="17" t="s">
        <v>60</v>
      </c>
      <c r="G150" s="17" t="s">
        <v>86</v>
      </c>
      <c r="H150" s="42" t="s">
        <v>382</v>
      </c>
      <c r="I150" s="17" t="str">
        <f t="shared" si="11"/>
        <v>PE-149</v>
      </c>
      <c r="J150" s="18" t="s">
        <v>87</v>
      </c>
      <c r="K150" s="19" t="e">
        <f>IF(J150="","SEM #CH",VLOOKUP(J150,#REF!,2,0))</f>
        <v>#REF!</v>
      </c>
      <c r="L150" s="19" t="e">
        <f>IF(J150="","SEM #CH",VLOOKUP(J150,#REF!,3,0))</f>
        <v>#REF!</v>
      </c>
      <c r="M150" s="19" t="e">
        <f>IF(J150="","SEM #CH",VLOOKUP(J150,#REF!,4,0))</f>
        <v>#REF!</v>
      </c>
      <c r="N150" s="19" t="e">
        <f>IF(J150="","SEM #CH",VLOOKUP(J150,#REF!,5,0))</f>
        <v>#REF!</v>
      </c>
      <c r="O150" s="19" t="e">
        <f>IF(J150="","SEM #CH",VLOOKUP(J150,#REF!,6,0))</f>
        <v>#REF!</v>
      </c>
      <c r="P150" s="19" t="e">
        <f>IF(J150="","SEM #CH",VLOOKUP(J150,#REF!,7,0))</f>
        <v>#REF!</v>
      </c>
      <c r="Q150" s="77" t="str">
        <f>VLOOKUP(J150,'p1'!$B$2:$C$30,2,0)</f>
        <v>#3/8-1620X1620</v>
      </c>
      <c r="R150" s="94">
        <v>45875</v>
      </c>
      <c r="S150" s="90" t="s">
        <v>217</v>
      </c>
      <c r="T150" s="90">
        <f t="shared" si="13"/>
        <v>1</v>
      </c>
      <c r="U150" s="94">
        <v>45887</v>
      </c>
      <c r="V150" s="90" t="s">
        <v>1097</v>
      </c>
      <c r="W150" s="92">
        <v>2481</v>
      </c>
      <c r="X150" s="93">
        <f t="shared" si="12"/>
        <v>1</v>
      </c>
      <c r="Y150" s="92"/>
      <c r="Z150" s="92"/>
      <c r="AA150" s="13" t="str">
        <f t="shared" si="14"/>
        <v>ago/2025</v>
      </c>
    </row>
    <row r="151" spans="1:27" x14ac:dyDescent="0.25">
      <c r="A151" s="89">
        <v>150</v>
      </c>
      <c r="B151" s="68">
        <v>45818</v>
      </c>
      <c r="C151" s="40">
        <v>34</v>
      </c>
      <c r="D151" s="40">
        <f t="shared" si="10"/>
        <v>1</v>
      </c>
      <c r="E151" s="46" t="s">
        <v>127</v>
      </c>
      <c r="F151" s="17" t="s">
        <v>60</v>
      </c>
      <c r="G151" s="17" t="s">
        <v>86</v>
      </c>
      <c r="H151" s="42" t="s">
        <v>383</v>
      </c>
      <c r="I151" s="17" t="str">
        <f t="shared" si="11"/>
        <v>PE-150</v>
      </c>
      <c r="J151" s="18" t="s">
        <v>88</v>
      </c>
      <c r="K151" s="19" t="e">
        <f>IF(J151="","SEM #CH",VLOOKUP(J151,#REF!,2,0))</f>
        <v>#REF!</v>
      </c>
      <c r="L151" s="19" t="e">
        <f>IF(J151="","SEM #CH",VLOOKUP(J151,#REF!,3,0))</f>
        <v>#REF!</v>
      </c>
      <c r="M151" s="19" t="e">
        <f>IF(J151="","SEM #CH",VLOOKUP(J151,#REF!,4,0))</f>
        <v>#REF!</v>
      </c>
      <c r="N151" s="19" t="e">
        <f>IF(J151="","SEM #CH",VLOOKUP(J151,#REF!,5,0))</f>
        <v>#REF!</v>
      </c>
      <c r="O151" s="19" t="e">
        <f>IF(J151="","SEM #CH",VLOOKUP(J151,#REF!,6,0))</f>
        <v>#REF!</v>
      </c>
      <c r="P151" s="19" t="e">
        <f>IF(J151="","SEM #CH",VLOOKUP(J151,#REF!,7,0))</f>
        <v>#REF!</v>
      </c>
      <c r="Q151" s="77" t="str">
        <f>VLOOKUP(J151,'p1'!$B$2:$C$30,2,0)</f>
        <v>#3/8-1315X1315</v>
      </c>
      <c r="R151" s="94">
        <v>45873</v>
      </c>
      <c r="S151" s="90" t="s">
        <v>217</v>
      </c>
      <c r="T151" s="90">
        <f t="shared" si="13"/>
        <v>1</v>
      </c>
      <c r="U151" s="94">
        <v>45887</v>
      </c>
      <c r="V151" s="90"/>
      <c r="W151" s="92">
        <v>2480</v>
      </c>
      <c r="X151" s="93">
        <f t="shared" si="12"/>
        <v>1</v>
      </c>
      <c r="Y151" s="92"/>
      <c r="Z151" s="92"/>
      <c r="AA151" s="13" t="str">
        <f t="shared" si="14"/>
        <v>ago/2025</v>
      </c>
    </row>
    <row r="152" spans="1:27" x14ac:dyDescent="0.25">
      <c r="A152" s="89">
        <v>151</v>
      </c>
      <c r="B152" s="68">
        <v>45771</v>
      </c>
      <c r="C152" s="40">
        <v>19</v>
      </c>
      <c r="D152" s="40">
        <f t="shared" si="10"/>
        <v>1</v>
      </c>
      <c r="E152" s="46" t="s">
        <v>127</v>
      </c>
      <c r="F152" s="17" t="s">
        <v>58</v>
      </c>
      <c r="G152" s="17" t="s">
        <v>86</v>
      </c>
      <c r="H152" s="42" t="s">
        <v>384</v>
      </c>
      <c r="I152" s="17" t="str">
        <f t="shared" si="11"/>
        <v>PN-151</v>
      </c>
      <c r="J152" s="18" t="s">
        <v>85</v>
      </c>
      <c r="K152" s="19" t="e">
        <f>IF(J152="","SEM #CH",VLOOKUP(J152,#REF!,2,0))</f>
        <v>#REF!</v>
      </c>
      <c r="L152" s="19" t="e">
        <f>IF(J152="","SEM #CH",VLOOKUP(J152,#REF!,3,0))</f>
        <v>#REF!</v>
      </c>
      <c r="M152" s="19" t="e">
        <f>IF(J152="","SEM #CH",VLOOKUP(J152,#REF!,4,0))</f>
        <v>#REF!</v>
      </c>
      <c r="N152" s="19" t="e">
        <f>IF(J152="","SEM #CH",VLOOKUP(J152,#REF!,5,0))</f>
        <v>#REF!</v>
      </c>
      <c r="O152" s="19" t="e">
        <f>IF(J152="","SEM #CH",VLOOKUP(J152,#REF!,6,0))</f>
        <v>#REF!</v>
      </c>
      <c r="P152" s="19" t="e">
        <f>IF(J152="","SEM #CH",VLOOKUP(J152,#REF!,7,0))</f>
        <v>#REF!</v>
      </c>
      <c r="Q152" s="77" t="str">
        <f>VLOOKUP(J152,'p1'!$B$2:$C$30,2,0)</f>
        <v>NÃO TEM CHAPA</v>
      </c>
      <c r="R152" s="94">
        <v>45905</v>
      </c>
      <c r="S152" s="90" t="s">
        <v>217</v>
      </c>
      <c r="T152" s="90">
        <f t="shared" si="13"/>
        <v>1</v>
      </c>
      <c r="U152" s="94">
        <v>45905</v>
      </c>
      <c r="V152" s="90" t="s">
        <v>86</v>
      </c>
      <c r="W152" s="92">
        <v>2506</v>
      </c>
      <c r="X152" s="93">
        <f t="shared" si="12"/>
        <v>1</v>
      </c>
      <c r="Y152" s="92"/>
      <c r="Z152" s="92"/>
      <c r="AA152" s="13" t="str">
        <f t="shared" si="14"/>
        <v>set/2025</v>
      </c>
    </row>
    <row r="153" spans="1:27" x14ac:dyDescent="0.25">
      <c r="A153" s="89">
        <v>152</v>
      </c>
      <c r="B153" s="68">
        <v>45771</v>
      </c>
      <c r="C153" s="40">
        <v>19</v>
      </c>
      <c r="D153" s="40">
        <f t="shared" si="10"/>
        <v>1</v>
      </c>
      <c r="E153" s="46" t="s">
        <v>127</v>
      </c>
      <c r="F153" s="17" t="s">
        <v>58</v>
      </c>
      <c r="G153" s="17" t="s">
        <v>86</v>
      </c>
      <c r="H153" s="42" t="s">
        <v>385</v>
      </c>
      <c r="I153" s="17" t="str">
        <f t="shared" si="11"/>
        <v>PN-152</v>
      </c>
      <c r="J153" s="18" t="s">
        <v>85</v>
      </c>
      <c r="K153" s="19" t="e">
        <f>IF(J153="","SEM #CH",VLOOKUP(J153,#REF!,2,0))</f>
        <v>#REF!</v>
      </c>
      <c r="L153" s="19" t="e">
        <f>IF(J153="","SEM #CH",VLOOKUP(J153,#REF!,3,0))</f>
        <v>#REF!</v>
      </c>
      <c r="M153" s="19" t="e">
        <f>IF(J153="","SEM #CH",VLOOKUP(J153,#REF!,4,0))</f>
        <v>#REF!</v>
      </c>
      <c r="N153" s="19" t="e">
        <f>IF(J153="","SEM #CH",VLOOKUP(J153,#REF!,5,0))</f>
        <v>#REF!</v>
      </c>
      <c r="O153" s="19" t="e">
        <f>IF(J153="","SEM #CH",VLOOKUP(J153,#REF!,6,0))</f>
        <v>#REF!</v>
      </c>
      <c r="P153" s="19" t="e">
        <f>IF(J153="","SEM #CH",VLOOKUP(J153,#REF!,7,0))</f>
        <v>#REF!</v>
      </c>
      <c r="Q153" s="77" t="str">
        <f>VLOOKUP(J153,'p1'!$B$2:$C$30,2,0)</f>
        <v>NÃO TEM CHAPA</v>
      </c>
      <c r="R153" s="94">
        <v>45904</v>
      </c>
      <c r="S153" s="90" t="s">
        <v>217</v>
      </c>
      <c r="T153" s="90">
        <f t="shared" si="13"/>
        <v>1</v>
      </c>
      <c r="U153" s="94">
        <v>45916</v>
      </c>
      <c r="V153" s="90" t="s">
        <v>86</v>
      </c>
      <c r="W153" s="92">
        <v>2525</v>
      </c>
      <c r="X153" s="93">
        <f t="shared" si="12"/>
        <v>1</v>
      </c>
      <c r="Y153" s="92"/>
      <c r="Z153" s="92"/>
      <c r="AA153" s="13" t="str">
        <f t="shared" si="14"/>
        <v>set/2025</v>
      </c>
    </row>
    <row r="154" spans="1:27" x14ac:dyDescent="0.25">
      <c r="A154" s="89">
        <v>153</v>
      </c>
      <c r="B154" s="68">
        <v>45771</v>
      </c>
      <c r="C154" s="40">
        <v>19</v>
      </c>
      <c r="D154" s="40">
        <f t="shared" si="10"/>
        <v>1</v>
      </c>
      <c r="E154" s="46" t="s">
        <v>127</v>
      </c>
      <c r="F154" s="17" t="s">
        <v>58</v>
      </c>
      <c r="G154" s="17" t="s">
        <v>86</v>
      </c>
      <c r="H154" s="42" t="s">
        <v>386</v>
      </c>
      <c r="I154" s="17" t="str">
        <f t="shared" si="11"/>
        <v>PN-153</v>
      </c>
      <c r="J154" s="18" t="s">
        <v>85</v>
      </c>
      <c r="K154" s="19" t="e">
        <f>IF(J154="","SEM #CH",VLOOKUP(J154,#REF!,2,0))</f>
        <v>#REF!</v>
      </c>
      <c r="L154" s="19" t="e">
        <f>IF(J154="","SEM #CH",VLOOKUP(J154,#REF!,3,0))</f>
        <v>#REF!</v>
      </c>
      <c r="M154" s="19" t="e">
        <f>IF(J154="","SEM #CH",VLOOKUP(J154,#REF!,4,0))</f>
        <v>#REF!</v>
      </c>
      <c r="N154" s="19" t="e">
        <f>IF(J154="","SEM #CH",VLOOKUP(J154,#REF!,5,0))</f>
        <v>#REF!</v>
      </c>
      <c r="O154" s="19" t="e">
        <f>IF(J154="","SEM #CH",VLOOKUP(J154,#REF!,6,0))</f>
        <v>#REF!</v>
      </c>
      <c r="P154" s="19" t="e">
        <f>IF(J154="","SEM #CH",VLOOKUP(J154,#REF!,7,0))</f>
        <v>#REF!</v>
      </c>
      <c r="Q154" s="77" t="str">
        <f>VLOOKUP(J154,'p1'!$B$2:$C$30,2,0)</f>
        <v>NÃO TEM CHAPA</v>
      </c>
      <c r="R154" s="94">
        <v>45911</v>
      </c>
      <c r="S154" s="90" t="s">
        <v>217</v>
      </c>
      <c r="T154" s="90">
        <f t="shared" si="13"/>
        <v>1</v>
      </c>
      <c r="U154" s="94">
        <v>45912</v>
      </c>
      <c r="V154" s="90" t="s">
        <v>86</v>
      </c>
      <c r="W154" s="92">
        <v>2521</v>
      </c>
      <c r="X154" s="93">
        <f t="shared" si="12"/>
        <v>1</v>
      </c>
      <c r="Y154" s="92"/>
      <c r="Z154" s="92"/>
      <c r="AA154" s="13" t="str">
        <f t="shared" si="14"/>
        <v>set/2025</v>
      </c>
    </row>
    <row r="155" spans="1:27" x14ac:dyDescent="0.25">
      <c r="A155" s="89">
        <v>154</v>
      </c>
      <c r="B155" s="68">
        <v>45773</v>
      </c>
      <c r="C155" s="40">
        <v>20</v>
      </c>
      <c r="D155" s="40">
        <f t="shared" si="10"/>
        <v>1</v>
      </c>
      <c r="E155" s="46" t="s">
        <v>127</v>
      </c>
      <c r="F155" s="17" t="s">
        <v>58</v>
      </c>
      <c r="G155" s="17" t="s">
        <v>86</v>
      </c>
      <c r="H155" s="42" t="s">
        <v>387</v>
      </c>
      <c r="I155" s="17" t="str">
        <f t="shared" si="11"/>
        <v>PN-154</v>
      </c>
      <c r="J155" s="18" t="s">
        <v>85</v>
      </c>
      <c r="K155" s="19" t="e">
        <f>IF(J155="","SEM #CH",VLOOKUP(J155,#REF!,2,0))</f>
        <v>#REF!</v>
      </c>
      <c r="L155" s="19" t="e">
        <f>IF(J155="","SEM #CH",VLOOKUP(J155,#REF!,3,0))</f>
        <v>#REF!</v>
      </c>
      <c r="M155" s="19" t="e">
        <f>IF(J155="","SEM #CH",VLOOKUP(J155,#REF!,4,0))</f>
        <v>#REF!</v>
      </c>
      <c r="N155" s="19" t="e">
        <f>IF(J155="","SEM #CH",VLOOKUP(J155,#REF!,5,0))</f>
        <v>#REF!</v>
      </c>
      <c r="O155" s="19" t="e">
        <f>IF(J155="","SEM #CH",VLOOKUP(J155,#REF!,6,0))</f>
        <v>#REF!</v>
      </c>
      <c r="P155" s="19" t="e">
        <f>IF(J155="","SEM #CH",VLOOKUP(J155,#REF!,7,0))</f>
        <v>#REF!</v>
      </c>
      <c r="Q155" s="77" t="str">
        <f>VLOOKUP(J155,'p1'!$B$2:$C$30,2,0)</f>
        <v>NÃO TEM CHAPA</v>
      </c>
      <c r="R155" s="94">
        <v>45822</v>
      </c>
      <c r="S155" s="90" t="s">
        <v>218</v>
      </c>
      <c r="T155" s="90">
        <f t="shared" si="13"/>
        <v>1</v>
      </c>
      <c r="U155" s="94">
        <v>45824</v>
      </c>
      <c r="V155" s="90" t="s">
        <v>86</v>
      </c>
      <c r="W155" s="92">
        <v>2389</v>
      </c>
      <c r="X155" s="93">
        <f t="shared" si="12"/>
        <v>1</v>
      </c>
      <c r="Y155" s="92"/>
      <c r="Z155" s="92"/>
      <c r="AA155" s="13" t="str">
        <f t="shared" si="14"/>
        <v>jun/2025</v>
      </c>
    </row>
    <row r="156" spans="1:27" x14ac:dyDescent="0.25">
      <c r="A156" s="89">
        <v>155</v>
      </c>
      <c r="B156" s="68">
        <v>45773</v>
      </c>
      <c r="C156" s="40">
        <v>20</v>
      </c>
      <c r="D156" s="40">
        <f t="shared" si="10"/>
        <v>1</v>
      </c>
      <c r="E156" s="46" t="s">
        <v>127</v>
      </c>
      <c r="F156" s="17" t="s">
        <v>58</v>
      </c>
      <c r="G156" s="17" t="s">
        <v>86</v>
      </c>
      <c r="H156" s="42" t="s">
        <v>388</v>
      </c>
      <c r="I156" s="17" t="str">
        <f t="shared" si="11"/>
        <v>PN-155</v>
      </c>
      <c r="J156" s="18" t="s">
        <v>85</v>
      </c>
      <c r="K156" s="19" t="e">
        <f>IF(J156="","SEM #CH",VLOOKUP(J156,#REF!,2,0))</f>
        <v>#REF!</v>
      </c>
      <c r="L156" s="19" t="e">
        <f>IF(J156="","SEM #CH",VLOOKUP(J156,#REF!,3,0))</f>
        <v>#REF!</v>
      </c>
      <c r="M156" s="19" t="e">
        <f>IF(J156="","SEM #CH",VLOOKUP(J156,#REF!,4,0))</f>
        <v>#REF!</v>
      </c>
      <c r="N156" s="19" t="e">
        <f>IF(J156="","SEM #CH",VLOOKUP(J156,#REF!,5,0))</f>
        <v>#REF!</v>
      </c>
      <c r="O156" s="19" t="e">
        <f>IF(J156="","SEM #CH",VLOOKUP(J156,#REF!,6,0))</f>
        <v>#REF!</v>
      </c>
      <c r="P156" s="19" t="e">
        <f>IF(J156="","SEM #CH",VLOOKUP(J156,#REF!,7,0))</f>
        <v>#REF!</v>
      </c>
      <c r="Q156" s="77" t="str">
        <f>VLOOKUP(J156,'p1'!$B$2:$C$30,2,0)</f>
        <v>NÃO TEM CHAPA</v>
      </c>
      <c r="R156" s="94">
        <v>45822</v>
      </c>
      <c r="S156" s="90" t="s">
        <v>218</v>
      </c>
      <c r="T156" s="90">
        <f t="shared" si="13"/>
        <v>1</v>
      </c>
      <c r="U156" s="94">
        <v>45824</v>
      </c>
      <c r="V156" s="90" t="s">
        <v>86</v>
      </c>
      <c r="W156" s="92">
        <v>2389</v>
      </c>
      <c r="X156" s="93">
        <f t="shared" si="12"/>
        <v>1</v>
      </c>
      <c r="Y156" s="92"/>
      <c r="Z156" s="92"/>
      <c r="AA156" s="13" t="str">
        <f t="shared" si="14"/>
        <v>jun/2025</v>
      </c>
    </row>
    <row r="157" spans="1:27" x14ac:dyDescent="0.25">
      <c r="A157" s="89">
        <v>156</v>
      </c>
      <c r="B157" s="68">
        <v>45839</v>
      </c>
      <c r="C157" s="40">
        <v>43</v>
      </c>
      <c r="D157" s="40">
        <f t="shared" si="10"/>
        <v>1</v>
      </c>
      <c r="E157" s="46" t="s">
        <v>127</v>
      </c>
      <c r="F157" s="17" t="s">
        <v>61</v>
      </c>
      <c r="G157" s="17" t="s">
        <v>86</v>
      </c>
      <c r="H157" s="42" t="s">
        <v>389</v>
      </c>
      <c r="I157" s="17" t="str">
        <f t="shared" si="11"/>
        <v>PF-156</v>
      </c>
      <c r="J157" s="18" t="s">
        <v>61</v>
      </c>
      <c r="K157" s="19" t="e">
        <f>IF(J157="","SEM #CH",VLOOKUP(J157,#REF!,2,0))</f>
        <v>#REF!</v>
      </c>
      <c r="L157" s="19" t="e">
        <f>IF(J157="","SEM #CH",VLOOKUP(J157,#REF!,3,0))</f>
        <v>#REF!</v>
      </c>
      <c r="M157" s="19" t="e">
        <f>IF(J157="","SEM #CH",VLOOKUP(J157,#REF!,4,0))</f>
        <v>#REF!</v>
      </c>
      <c r="N157" s="19" t="e">
        <f>IF(J157="","SEM #CH",VLOOKUP(J157,#REF!,5,0))</f>
        <v>#REF!</v>
      </c>
      <c r="O157" s="19" t="e">
        <f>IF(J157="","SEM #CH",VLOOKUP(J157,#REF!,6,0))</f>
        <v>#REF!</v>
      </c>
      <c r="P157" s="19" t="e">
        <f>IF(J157="","SEM #CH",VLOOKUP(J157,#REF!,7,0))</f>
        <v>#REF!</v>
      </c>
      <c r="Q157" s="77" t="str">
        <f>VLOOKUP(J157,'p1'!$B$2:$C$30,2,0)</f>
        <v>SEM CHAPA</v>
      </c>
      <c r="R157" s="94">
        <v>45845</v>
      </c>
      <c r="S157" s="90" t="s">
        <v>217</v>
      </c>
      <c r="T157" s="90">
        <f t="shared" si="13"/>
        <v>1</v>
      </c>
      <c r="U157" s="94">
        <v>45852</v>
      </c>
      <c r="V157" s="90" t="s">
        <v>86</v>
      </c>
      <c r="W157" s="92">
        <v>2441</v>
      </c>
      <c r="X157" s="93">
        <f t="shared" si="12"/>
        <v>1</v>
      </c>
      <c r="Y157" s="92"/>
      <c r="Z157" s="92"/>
      <c r="AA157" s="13" t="str">
        <f t="shared" si="14"/>
        <v>jul/2025</v>
      </c>
    </row>
    <row r="158" spans="1:27" x14ac:dyDescent="0.25">
      <c r="A158" s="89">
        <v>157</v>
      </c>
      <c r="B158" s="68">
        <v>45773</v>
      </c>
      <c r="C158" s="40">
        <v>20</v>
      </c>
      <c r="D158" s="40">
        <f t="shared" si="10"/>
        <v>1</v>
      </c>
      <c r="E158" s="46" t="s">
        <v>127</v>
      </c>
      <c r="F158" s="17" t="s">
        <v>58</v>
      </c>
      <c r="G158" s="17" t="s">
        <v>86</v>
      </c>
      <c r="H158" s="42" t="s">
        <v>390</v>
      </c>
      <c r="I158" s="17" t="str">
        <f t="shared" si="11"/>
        <v>PN-157</v>
      </c>
      <c r="J158" s="18" t="s">
        <v>85</v>
      </c>
      <c r="K158" s="19" t="e">
        <f>IF(J158="","SEM #CH",VLOOKUP(J158,#REF!,2,0))</f>
        <v>#REF!</v>
      </c>
      <c r="L158" s="19" t="e">
        <f>IF(J158="","SEM #CH",VLOOKUP(J158,#REF!,3,0))</f>
        <v>#REF!</v>
      </c>
      <c r="M158" s="19" t="e">
        <f>IF(J158="","SEM #CH",VLOOKUP(J158,#REF!,4,0))</f>
        <v>#REF!</v>
      </c>
      <c r="N158" s="19" t="e">
        <f>IF(J158="","SEM #CH",VLOOKUP(J158,#REF!,5,0))</f>
        <v>#REF!</v>
      </c>
      <c r="O158" s="19" t="e">
        <f>IF(J158="","SEM #CH",VLOOKUP(J158,#REF!,6,0))</f>
        <v>#REF!</v>
      </c>
      <c r="P158" s="19" t="e">
        <f>IF(J158="","SEM #CH",VLOOKUP(J158,#REF!,7,0))</f>
        <v>#REF!</v>
      </c>
      <c r="Q158" s="77" t="str">
        <f>VLOOKUP(J158,'p1'!$B$2:$C$30,2,0)</f>
        <v>NÃO TEM CHAPA</v>
      </c>
      <c r="R158" s="94">
        <v>45822</v>
      </c>
      <c r="S158" s="90" t="s">
        <v>218</v>
      </c>
      <c r="T158" s="90">
        <f t="shared" si="13"/>
        <v>1</v>
      </c>
      <c r="U158" s="94">
        <v>45824</v>
      </c>
      <c r="V158" s="90" t="s">
        <v>86</v>
      </c>
      <c r="W158" s="92">
        <v>2389</v>
      </c>
      <c r="X158" s="93">
        <f t="shared" si="12"/>
        <v>1</v>
      </c>
      <c r="Y158" s="92"/>
      <c r="Z158" s="92"/>
      <c r="AA158" s="13" t="str">
        <f t="shared" si="14"/>
        <v>jun/2025</v>
      </c>
    </row>
    <row r="159" spans="1:27" x14ac:dyDescent="0.25">
      <c r="A159" s="89">
        <v>158</v>
      </c>
      <c r="B159" s="68">
        <v>45773</v>
      </c>
      <c r="C159" s="40">
        <v>20</v>
      </c>
      <c r="D159" s="40">
        <f t="shared" si="10"/>
        <v>1</v>
      </c>
      <c r="E159" s="46" t="s">
        <v>127</v>
      </c>
      <c r="F159" s="17" t="s">
        <v>58</v>
      </c>
      <c r="G159" s="17" t="s">
        <v>86</v>
      </c>
      <c r="H159" s="42" t="s">
        <v>391</v>
      </c>
      <c r="I159" s="17" t="str">
        <f t="shared" si="11"/>
        <v>PN-158</v>
      </c>
      <c r="J159" s="18" t="s">
        <v>85</v>
      </c>
      <c r="K159" s="19" t="e">
        <f>IF(J159="","SEM #CH",VLOOKUP(J159,#REF!,2,0))</f>
        <v>#REF!</v>
      </c>
      <c r="L159" s="19" t="e">
        <f>IF(J159="","SEM #CH",VLOOKUP(J159,#REF!,3,0))</f>
        <v>#REF!</v>
      </c>
      <c r="M159" s="19" t="e">
        <f>IF(J159="","SEM #CH",VLOOKUP(J159,#REF!,4,0))</f>
        <v>#REF!</v>
      </c>
      <c r="N159" s="19" t="e">
        <f>IF(J159="","SEM #CH",VLOOKUP(J159,#REF!,5,0))</f>
        <v>#REF!</v>
      </c>
      <c r="O159" s="19" t="e">
        <f>IF(J159="","SEM #CH",VLOOKUP(J159,#REF!,6,0))</f>
        <v>#REF!</v>
      </c>
      <c r="P159" s="19" t="e">
        <f>IF(J159="","SEM #CH",VLOOKUP(J159,#REF!,7,0))</f>
        <v>#REF!</v>
      </c>
      <c r="Q159" s="77" t="str">
        <f>VLOOKUP(J159,'p1'!$B$2:$C$30,2,0)</f>
        <v>NÃO TEM CHAPA</v>
      </c>
      <c r="R159" s="94">
        <v>45824</v>
      </c>
      <c r="S159" s="90" t="s">
        <v>218</v>
      </c>
      <c r="T159" s="90">
        <f t="shared" si="13"/>
        <v>1</v>
      </c>
      <c r="U159" s="94">
        <v>45828</v>
      </c>
      <c r="V159" s="90" t="s">
        <v>86</v>
      </c>
      <c r="W159" s="92">
        <v>2402</v>
      </c>
      <c r="X159" s="93">
        <f t="shared" si="12"/>
        <v>1</v>
      </c>
      <c r="Y159" s="92"/>
      <c r="Z159" s="92"/>
      <c r="AA159" s="13" t="str">
        <f t="shared" si="14"/>
        <v>jun/2025</v>
      </c>
    </row>
    <row r="160" spans="1:27" x14ac:dyDescent="0.25">
      <c r="A160" s="89">
        <v>159</v>
      </c>
      <c r="B160" s="68">
        <v>45773</v>
      </c>
      <c r="C160" s="40">
        <v>20</v>
      </c>
      <c r="D160" s="40">
        <f t="shared" si="10"/>
        <v>1</v>
      </c>
      <c r="E160" s="46" t="s">
        <v>127</v>
      </c>
      <c r="F160" s="17" t="s">
        <v>58</v>
      </c>
      <c r="G160" s="17" t="s">
        <v>86</v>
      </c>
      <c r="H160" s="42" t="s">
        <v>392</v>
      </c>
      <c r="I160" s="17" t="str">
        <f t="shared" si="11"/>
        <v>PN-159</v>
      </c>
      <c r="J160" s="18" t="s">
        <v>85</v>
      </c>
      <c r="K160" s="19" t="e">
        <f>IF(J160="","SEM #CH",VLOOKUP(J160,#REF!,2,0))</f>
        <v>#REF!</v>
      </c>
      <c r="L160" s="19" t="e">
        <f>IF(J160="","SEM #CH",VLOOKUP(J160,#REF!,3,0))</f>
        <v>#REF!</v>
      </c>
      <c r="M160" s="19" t="e">
        <f>IF(J160="","SEM #CH",VLOOKUP(J160,#REF!,4,0))</f>
        <v>#REF!</v>
      </c>
      <c r="N160" s="19" t="e">
        <f>IF(J160="","SEM #CH",VLOOKUP(J160,#REF!,5,0))</f>
        <v>#REF!</v>
      </c>
      <c r="O160" s="19" t="e">
        <f>IF(J160="","SEM #CH",VLOOKUP(J160,#REF!,6,0))</f>
        <v>#REF!</v>
      </c>
      <c r="P160" s="19" t="e">
        <f>IF(J160="","SEM #CH",VLOOKUP(J160,#REF!,7,0))</f>
        <v>#REF!</v>
      </c>
      <c r="Q160" s="77" t="str">
        <f>VLOOKUP(J160,'p1'!$B$2:$C$30,2,0)</f>
        <v>NÃO TEM CHAPA</v>
      </c>
      <c r="R160" s="94">
        <v>45824</v>
      </c>
      <c r="S160" s="90" t="s">
        <v>218</v>
      </c>
      <c r="T160" s="90">
        <f t="shared" si="13"/>
        <v>1</v>
      </c>
      <c r="U160" s="94">
        <v>45828</v>
      </c>
      <c r="V160" s="90" t="s">
        <v>86</v>
      </c>
      <c r="W160" s="92">
        <v>2402</v>
      </c>
      <c r="X160" s="93">
        <f t="shared" si="12"/>
        <v>1</v>
      </c>
      <c r="Y160" s="92"/>
      <c r="Z160" s="92"/>
      <c r="AA160" s="13" t="str">
        <f t="shared" si="14"/>
        <v>jun/2025</v>
      </c>
    </row>
    <row r="161" spans="1:27" x14ac:dyDescent="0.25">
      <c r="A161" s="89">
        <v>160</v>
      </c>
      <c r="B161" s="68">
        <v>45773</v>
      </c>
      <c r="C161" s="40">
        <v>20</v>
      </c>
      <c r="D161" s="40">
        <f t="shared" si="10"/>
        <v>1</v>
      </c>
      <c r="E161" s="46" t="s">
        <v>127</v>
      </c>
      <c r="F161" s="17" t="s">
        <v>58</v>
      </c>
      <c r="G161" s="17" t="s">
        <v>86</v>
      </c>
      <c r="H161" s="42" t="s">
        <v>393</v>
      </c>
      <c r="I161" s="17" t="str">
        <f t="shared" si="11"/>
        <v>PN-160</v>
      </c>
      <c r="J161" s="18" t="s">
        <v>85</v>
      </c>
      <c r="K161" s="19" t="e">
        <f>IF(J161="","SEM #CH",VLOOKUP(J161,#REF!,2,0))</f>
        <v>#REF!</v>
      </c>
      <c r="L161" s="19" t="e">
        <f>IF(J161="","SEM #CH",VLOOKUP(J161,#REF!,3,0))</f>
        <v>#REF!</v>
      </c>
      <c r="M161" s="19" t="e">
        <f>IF(J161="","SEM #CH",VLOOKUP(J161,#REF!,4,0))</f>
        <v>#REF!</v>
      </c>
      <c r="N161" s="19" t="e">
        <f>IF(J161="","SEM #CH",VLOOKUP(J161,#REF!,5,0))</f>
        <v>#REF!</v>
      </c>
      <c r="O161" s="19" t="e">
        <f>IF(J161="","SEM #CH",VLOOKUP(J161,#REF!,6,0))</f>
        <v>#REF!</v>
      </c>
      <c r="P161" s="19" t="e">
        <f>IF(J161="","SEM #CH",VLOOKUP(J161,#REF!,7,0))</f>
        <v>#REF!</v>
      </c>
      <c r="Q161" s="77" t="str">
        <f>VLOOKUP(J161,'p1'!$B$2:$C$30,2,0)</f>
        <v>NÃO TEM CHAPA</v>
      </c>
      <c r="R161" s="94">
        <v>45824</v>
      </c>
      <c r="S161" s="90" t="s">
        <v>218</v>
      </c>
      <c r="T161" s="90">
        <f t="shared" si="13"/>
        <v>1</v>
      </c>
      <c r="U161" s="94">
        <v>45824</v>
      </c>
      <c r="V161" s="90" t="s">
        <v>86</v>
      </c>
      <c r="W161" s="92">
        <v>2389</v>
      </c>
      <c r="X161" s="93">
        <f t="shared" si="12"/>
        <v>1</v>
      </c>
      <c r="Y161" s="92"/>
      <c r="Z161" s="92"/>
      <c r="AA161" s="13" t="str">
        <f t="shared" si="14"/>
        <v>jun/2025</v>
      </c>
    </row>
    <row r="162" spans="1:27" x14ac:dyDescent="0.25">
      <c r="A162" s="89">
        <v>161</v>
      </c>
      <c r="B162" s="68">
        <v>45773</v>
      </c>
      <c r="C162" s="40">
        <v>20</v>
      </c>
      <c r="D162" s="40">
        <f t="shared" si="10"/>
        <v>1</v>
      </c>
      <c r="E162" s="46" t="s">
        <v>127</v>
      </c>
      <c r="F162" s="17" t="s">
        <v>58</v>
      </c>
      <c r="G162" s="17" t="s">
        <v>86</v>
      </c>
      <c r="H162" s="42" t="s">
        <v>394</v>
      </c>
      <c r="I162" s="17" t="str">
        <f t="shared" si="11"/>
        <v>PN-161</v>
      </c>
      <c r="J162" s="18" t="s">
        <v>85</v>
      </c>
      <c r="K162" s="19" t="e">
        <f>IF(J162="","SEM #CH",VLOOKUP(J162,#REF!,2,0))</f>
        <v>#REF!</v>
      </c>
      <c r="L162" s="19" t="e">
        <f>IF(J162="","SEM #CH",VLOOKUP(J162,#REF!,3,0))</f>
        <v>#REF!</v>
      </c>
      <c r="M162" s="19" t="e">
        <f>IF(J162="","SEM #CH",VLOOKUP(J162,#REF!,4,0))</f>
        <v>#REF!</v>
      </c>
      <c r="N162" s="19" t="e">
        <f>IF(J162="","SEM #CH",VLOOKUP(J162,#REF!,5,0))</f>
        <v>#REF!</v>
      </c>
      <c r="O162" s="19" t="e">
        <f>IF(J162="","SEM #CH",VLOOKUP(J162,#REF!,6,0))</f>
        <v>#REF!</v>
      </c>
      <c r="P162" s="19" t="e">
        <f>IF(J162="","SEM #CH",VLOOKUP(J162,#REF!,7,0))</f>
        <v>#REF!</v>
      </c>
      <c r="Q162" s="77" t="str">
        <f>VLOOKUP(J162,'p1'!$B$2:$C$30,2,0)</f>
        <v>NÃO TEM CHAPA</v>
      </c>
      <c r="R162" s="94">
        <v>45825</v>
      </c>
      <c r="S162" s="90" t="s">
        <v>218</v>
      </c>
      <c r="T162" s="90">
        <f t="shared" si="13"/>
        <v>1</v>
      </c>
      <c r="U162" s="94">
        <v>45846</v>
      </c>
      <c r="V162" s="90" t="s">
        <v>1045</v>
      </c>
      <c r="W162" s="92">
        <v>2433</v>
      </c>
      <c r="X162" s="93">
        <f t="shared" si="12"/>
        <v>1</v>
      </c>
      <c r="Y162" s="92"/>
      <c r="Z162" s="92"/>
      <c r="AA162" s="13" t="str">
        <f t="shared" si="14"/>
        <v>jun/2025</v>
      </c>
    </row>
    <row r="163" spans="1:27" x14ac:dyDescent="0.25">
      <c r="A163" s="89">
        <v>162</v>
      </c>
      <c r="B163" s="68">
        <v>45776</v>
      </c>
      <c r="C163" s="40">
        <v>21</v>
      </c>
      <c r="D163" s="40">
        <f t="shared" si="10"/>
        <v>1</v>
      </c>
      <c r="E163" s="46" t="s">
        <v>127</v>
      </c>
      <c r="F163" s="17" t="s">
        <v>58</v>
      </c>
      <c r="G163" s="17" t="s">
        <v>86</v>
      </c>
      <c r="H163" s="42" t="s">
        <v>395</v>
      </c>
      <c r="I163" s="17" t="str">
        <f t="shared" si="11"/>
        <v>PN-162</v>
      </c>
      <c r="J163" s="18" t="s">
        <v>85</v>
      </c>
      <c r="K163" s="19" t="e">
        <f>IF(J163="","SEM #CH",VLOOKUP(J163,#REF!,2,0))</f>
        <v>#REF!</v>
      </c>
      <c r="L163" s="19" t="e">
        <f>IF(J163="","SEM #CH",VLOOKUP(J163,#REF!,3,0))</f>
        <v>#REF!</v>
      </c>
      <c r="M163" s="19" t="e">
        <f>IF(J163="","SEM #CH",VLOOKUP(J163,#REF!,4,0))</f>
        <v>#REF!</v>
      </c>
      <c r="N163" s="19" t="e">
        <f>IF(J163="","SEM #CH",VLOOKUP(J163,#REF!,5,0))</f>
        <v>#REF!</v>
      </c>
      <c r="O163" s="19" t="e">
        <f>IF(J163="","SEM #CH",VLOOKUP(J163,#REF!,6,0))</f>
        <v>#REF!</v>
      </c>
      <c r="P163" s="19" t="e">
        <f>IF(J163="","SEM #CH",VLOOKUP(J163,#REF!,7,0))</f>
        <v>#REF!</v>
      </c>
      <c r="Q163" s="77" t="str">
        <f>VLOOKUP(J163,'p1'!$B$2:$C$30,2,0)</f>
        <v>NÃO TEM CHAPA</v>
      </c>
      <c r="R163" s="94">
        <v>45807</v>
      </c>
      <c r="S163" s="90" t="s">
        <v>217</v>
      </c>
      <c r="T163" s="90">
        <f t="shared" si="13"/>
        <v>1</v>
      </c>
      <c r="U163" s="94">
        <v>45854</v>
      </c>
      <c r="V163" s="90" t="s">
        <v>86</v>
      </c>
      <c r="W163" s="90">
        <v>2447</v>
      </c>
      <c r="X163" s="93">
        <f t="shared" si="12"/>
        <v>1</v>
      </c>
      <c r="Y163" s="92"/>
      <c r="Z163" s="92"/>
      <c r="AA163" s="13" t="str">
        <f t="shared" si="14"/>
        <v>mai/2025</v>
      </c>
    </row>
    <row r="164" spans="1:27" x14ac:dyDescent="0.25">
      <c r="A164" s="89">
        <v>163</v>
      </c>
      <c r="B164" s="68">
        <v>45776</v>
      </c>
      <c r="C164" s="40">
        <v>21</v>
      </c>
      <c r="D164" s="40">
        <f t="shared" si="10"/>
        <v>1</v>
      </c>
      <c r="E164" s="46" t="s">
        <v>127</v>
      </c>
      <c r="F164" s="17" t="s">
        <v>58</v>
      </c>
      <c r="G164" s="17" t="s">
        <v>86</v>
      </c>
      <c r="H164" s="42" t="s">
        <v>396</v>
      </c>
      <c r="I164" s="17" t="str">
        <f t="shared" si="11"/>
        <v>PN-163</v>
      </c>
      <c r="J164" s="18" t="s">
        <v>85</v>
      </c>
      <c r="K164" s="19" t="e">
        <f>IF(J164="","SEM #CH",VLOOKUP(J164,#REF!,2,0))</f>
        <v>#REF!</v>
      </c>
      <c r="L164" s="19" t="e">
        <f>IF(J164="","SEM #CH",VLOOKUP(J164,#REF!,3,0))</f>
        <v>#REF!</v>
      </c>
      <c r="M164" s="19" t="e">
        <f>IF(J164="","SEM #CH",VLOOKUP(J164,#REF!,4,0))</f>
        <v>#REF!</v>
      </c>
      <c r="N164" s="19" t="e">
        <f>IF(J164="","SEM #CH",VLOOKUP(J164,#REF!,5,0))</f>
        <v>#REF!</v>
      </c>
      <c r="O164" s="19" t="e">
        <f>IF(J164="","SEM #CH",VLOOKUP(J164,#REF!,6,0))</f>
        <v>#REF!</v>
      </c>
      <c r="P164" s="19" t="e">
        <f>IF(J164="","SEM #CH",VLOOKUP(J164,#REF!,7,0))</f>
        <v>#REF!</v>
      </c>
      <c r="Q164" s="77" t="str">
        <f>VLOOKUP(J164,'p1'!$B$2:$C$30,2,0)</f>
        <v>NÃO TEM CHAPA</v>
      </c>
      <c r="R164" s="94">
        <v>45806</v>
      </c>
      <c r="S164" s="90" t="s">
        <v>217</v>
      </c>
      <c r="T164" s="90">
        <f t="shared" si="13"/>
        <v>1</v>
      </c>
      <c r="U164" s="94">
        <v>45859</v>
      </c>
      <c r="V164" s="90" t="s">
        <v>86</v>
      </c>
      <c r="W164" s="92">
        <v>2453</v>
      </c>
      <c r="X164" s="93">
        <f t="shared" si="12"/>
        <v>1</v>
      </c>
      <c r="Y164" s="92"/>
      <c r="Z164" s="92"/>
      <c r="AA164" s="13" t="str">
        <f t="shared" si="14"/>
        <v>mai/2025</v>
      </c>
    </row>
    <row r="165" spans="1:27" x14ac:dyDescent="0.25">
      <c r="A165" s="89">
        <v>164</v>
      </c>
      <c r="B165" s="68">
        <v>45818</v>
      </c>
      <c r="C165" s="40">
        <v>34</v>
      </c>
      <c r="D165" s="40">
        <f t="shared" si="10"/>
        <v>1</v>
      </c>
      <c r="E165" s="46" t="s">
        <v>127</v>
      </c>
      <c r="F165" s="17" t="s">
        <v>60</v>
      </c>
      <c r="G165" s="17" t="s">
        <v>86</v>
      </c>
      <c r="H165" s="42" t="s">
        <v>397</v>
      </c>
      <c r="I165" s="17" t="str">
        <f t="shared" si="11"/>
        <v>PE-164</v>
      </c>
      <c r="J165" s="18" t="s">
        <v>90</v>
      </c>
      <c r="K165" s="19" t="e">
        <f>IF(J165="","SEM #CH",VLOOKUP(J165,#REF!,2,0))</f>
        <v>#REF!</v>
      </c>
      <c r="L165" s="19" t="e">
        <f>IF(J165="","SEM #CH",VLOOKUP(J165,#REF!,3,0))</f>
        <v>#REF!</v>
      </c>
      <c r="M165" s="19" t="e">
        <f>IF(J165="","SEM #CH",VLOOKUP(J165,#REF!,4,0))</f>
        <v>#REF!</v>
      </c>
      <c r="N165" s="19" t="e">
        <f>IF(J165="","SEM #CH",VLOOKUP(J165,#REF!,5,0))</f>
        <v>#REF!</v>
      </c>
      <c r="O165" s="19" t="e">
        <f>IF(J165="","SEM #CH",VLOOKUP(J165,#REF!,6,0))</f>
        <v>#REF!</v>
      </c>
      <c r="P165" s="19" t="e">
        <f>IF(J165="","SEM #CH",VLOOKUP(J165,#REF!,7,0))</f>
        <v>#REF!</v>
      </c>
      <c r="Q165" s="77" t="str">
        <f>VLOOKUP(J165,'p1'!$B$2:$C$30,2,0)</f>
        <v>#3/8-530X530</v>
      </c>
      <c r="R165" s="94">
        <v>45874</v>
      </c>
      <c r="S165" s="90" t="s">
        <v>217</v>
      </c>
      <c r="T165" s="90">
        <f t="shared" si="13"/>
        <v>1</v>
      </c>
      <c r="U165" s="94">
        <v>45887</v>
      </c>
      <c r="V165" s="90" t="s">
        <v>1097</v>
      </c>
      <c r="W165" s="92">
        <v>2481</v>
      </c>
      <c r="X165" s="93">
        <f t="shared" si="12"/>
        <v>1</v>
      </c>
      <c r="Y165" s="92"/>
      <c r="Z165" s="92"/>
      <c r="AA165" s="13" t="str">
        <f t="shared" si="14"/>
        <v>ago/2025</v>
      </c>
    </row>
    <row r="166" spans="1:27" x14ac:dyDescent="0.25">
      <c r="A166" s="89">
        <v>165</v>
      </c>
      <c r="B166" s="68">
        <v>45776</v>
      </c>
      <c r="C166" s="40">
        <v>21</v>
      </c>
      <c r="D166" s="40">
        <f t="shared" si="10"/>
        <v>1</v>
      </c>
      <c r="E166" s="46" t="s">
        <v>127</v>
      </c>
      <c r="F166" s="17" t="s">
        <v>58</v>
      </c>
      <c r="G166" s="17" t="s">
        <v>86</v>
      </c>
      <c r="H166" s="42" t="s">
        <v>398</v>
      </c>
      <c r="I166" s="17" t="str">
        <f t="shared" si="11"/>
        <v>PN-165</v>
      </c>
      <c r="J166" s="18" t="s">
        <v>85</v>
      </c>
      <c r="K166" s="19" t="e">
        <f>IF(J166="","SEM #CH",VLOOKUP(J166,#REF!,2,0))</f>
        <v>#REF!</v>
      </c>
      <c r="L166" s="19" t="e">
        <f>IF(J166="","SEM #CH",VLOOKUP(J166,#REF!,3,0))</f>
        <v>#REF!</v>
      </c>
      <c r="M166" s="19" t="e">
        <f>IF(J166="","SEM #CH",VLOOKUP(J166,#REF!,4,0))</f>
        <v>#REF!</v>
      </c>
      <c r="N166" s="19" t="e">
        <f>IF(J166="","SEM #CH",VLOOKUP(J166,#REF!,5,0))</f>
        <v>#REF!</v>
      </c>
      <c r="O166" s="19" t="e">
        <f>IF(J166="","SEM #CH",VLOOKUP(J166,#REF!,6,0))</f>
        <v>#REF!</v>
      </c>
      <c r="P166" s="19" t="e">
        <f>IF(J166="","SEM #CH",VLOOKUP(J166,#REF!,7,0))</f>
        <v>#REF!</v>
      </c>
      <c r="Q166" s="77" t="str">
        <f>VLOOKUP(J166,'p1'!$B$2:$C$30,2,0)</f>
        <v>NÃO TEM CHAPA</v>
      </c>
      <c r="R166" s="94">
        <v>45803</v>
      </c>
      <c r="S166" s="90" t="s">
        <v>217</v>
      </c>
      <c r="T166" s="90">
        <f t="shared" si="13"/>
        <v>1</v>
      </c>
      <c r="U166" s="94">
        <v>45819</v>
      </c>
      <c r="V166" s="90" t="s">
        <v>86</v>
      </c>
      <c r="W166" s="92">
        <v>2378</v>
      </c>
      <c r="X166" s="93">
        <f t="shared" si="12"/>
        <v>1</v>
      </c>
      <c r="Y166" s="92"/>
      <c r="Z166" s="92"/>
      <c r="AA166" s="13" t="str">
        <f t="shared" si="14"/>
        <v>mai/2025</v>
      </c>
    </row>
    <row r="167" spans="1:27" x14ac:dyDescent="0.25">
      <c r="A167" s="89">
        <v>166</v>
      </c>
      <c r="B167" s="68">
        <v>45776</v>
      </c>
      <c r="C167" s="40">
        <v>21</v>
      </c>
      <c r="D167" s="40">
        <f t="shared" si="10"/>
        <v>1</v>
      </c>
      <c r="E167" s="46" t="s">
        <v>127</v>
      </c>
      <c r="F167" s="17" t="s">
        <v>58</v>
      </c>
      <c r="G167" s="17" t="s">
        <v>86</v>
      </c>
      <c r="H167" s="42" t="s">
        <v>399</v>
      </c>
      <c r="I167" s="17" t="str">
        <f t="shared" si="11"/>
        <v>PN-166</v>
      </c>
      <c r="J167" s="18" t="s">
        <v>85</v>
      </c>
      <c r="K167" s="19" t="e">
        <f>IF(J167="","SEM #CH",VLOOKUP(J167,#REF!,2,0))</f>
        <v>#REF!</v>
      </c>
      <c r="L167" s="19" t="e">
        <f>IF(J167="","SEM #CH",VLOOKUP(J167,#REF!,3,0))</f>
        <v>#REF!</v>
      </c>
      <c r="M167" s="19" t="e">
        <f>IF(J167="","SEM #CH",VLOOKUP(J167,#REF!,4,0))</f>
        <v>#REF!</v>
      </c>
      <c r="N167" s="19" t="e">
        <f>IF(J167="","SEM #CH",VLOOKUP(J167,#REF!,5,0))</f>
        <v>#REF!</v>
      </c>
      <c r="O167" s="19" t="e">
        <f>IF(J167="","SEM #CH",VLOOKUP(J167,#REF!,6,0))</f>
        <v>#REF!</v>
      </c>
      <c r="P167" s="19" t="e">
        <f>IF(J167="","SEM #CH",VLOOKUP(J167,#REF!,7,0))</f>
        <v>#REF!</v>
      </c>
      <c r="Q167" s="77" t="str">
        <f>VLOOKUP(J167,'p1'!$B$2:$C$30,2,0)</f>
        <v>NÃO TEM CHAPA</v>
      </c>
      <c r="R167" s="94">
        <v>45803</v>
      </c>
      <c r="S167" s="90" t="s">
        <v>217</v>
      </c>
      <c r="T167" s="90">
        <f t="shared" si="13"/>
        <v>1</v>
      </c>
      <c r="U167" s="94">
        <v>45819</v>
      </c>
      <c r="V167" s="90" t="s">
        <v>86</v>
      </c>
      <c r="W167" s="92">
        <v>2378</v>
      </c>
      <c r="X167" s="93">
        <f t="shared" si="12"/>
        <v>1</v>
      </c>
      <c r="Y167" s="92"/>
      <c r="Z167" s="92"/>
      <c r="AA167" s="13" t="str">
        <f t="shared" si="14"/>
        <v>mai/2025</v>
      </c>
    </row>
    <row r="168" spans="1:27" x14ac:dyDescent="0.25">
      <c r="A168" s="89">
        <v>167</v>
      </c>
      <c r="B168" s="68">
        <v>45776</v>
      </c>
      <c r="C168" s="40">
        <v>21</v>
      </c>
      <c r="D168" s="40">
        <f t="shared" si="10"/>
        <v>1</v>
      </c>
      <c r="E168" s="46" t="s">
        <v>127</v>
      </c>
      <c r="F168" s="17" t="s">
        <v>58</v>
      </c>
      <c r="G168" s="17" t="s">
        <v>86</v>
      </c>
      <c r="H168" s="42" t="s">
        <v>400</v>
      </c>
      <c r="I168" s="17" t="str">
        <f t="shared" si="11"/>
        <v>PN-167</v>
      </c>
      <c r="J168" s="18" t="s">
        <v>85</v>
      </c>
      <c r="K168" s="19" t="e">
        <f>IF(J168="","SEM #CH",VLOOKUP(J168,#REF!,2,0))</f>
        <v>#REF!</v>
      </c>
      <c r="L168" s="19" t="e">
        <f>IF(J168="","SEM #CH",VLOOKUP(J168,#REF!,3,0))</f>
        <v>#REF!</v>
      </c>
      <c r="M168" s="19" t="e">
        <f>IF(J168="","SEM #CH",VLOOKUP(J168,#REF!,4,0))</f>
        <v>#REF!</v>
      </c>
      <c r="N168" s="19" t="e">
        <f>IF(J168="","SEM #CH",VLOOKUP(J168,#REF!,5,0))</f>
        <v>#REF!</v>
      </c>
      <c r="O168" s="19" t="e">
        <f>IF(J168="","SEM #CH",VLOOKUP(J168,#REF!,6,0))</f>
        <v>#REF!</v>
      </c>
      <c r="P168" s="19" t="e">
        <f>IF(J168="","SEM #CH",VLOOKUP(J168,#REF!,7,0))</f>
        <v>#REF!</v>
      </c>
      <c r="Q168" s="77" t="str">
        <f>VLOOKUP(J168,'p1'!$B$2:$C$30,2,0)</f>
        <v>NÃO TEM CHAPA</v>
      </c>
      <c r="R168" s="94">
        <v>45826</v>
      </c>
      <c r="S168" s="90" t="s">
        <v>217</v>
      </c>
      <c r="T168" s="90">
        <f t="shared" si="13"/>
        <v>1</v>
      </c>
      <c r="U168" s="94">
        <v>45831</v>
      </c>
      <c r="V168" s="90" t="s">
        <v>86</v>
      </c>
      <c r="W168" s="92">
        <v>2405</v>
      </c>
      <c r="X168" s="93">
        <f t="shared" si="12"/>
        <v>1</v>
      </c>
      <c r="Y168" s="92"/>
      <c r="Z168" s="92"/>
      <c r="AA168" s="13" t="str">
        <f t="shared" si="14"/>
        <v>jun/2025</v>
      </c>
    </row>
    <row r="169" spans="1:27" x14ac:dyDescent="0.25">
      <c r="A169" s="89">
        <v>168</v>
      </c>
      <c r="B169" s="68">
        <v>45776</v>
      </c>
      <c r="C169" s="40">
        <v>21</v>
      </c>
      <c r="D169" s="40">
        <f t="shared" si="10"/>
        <v>1</v>
      </c>
      <c r="E169" s="46" t="s">
        <v>127</v>
      </c>
      <c r="F169" s="17" t="s">
        <v>58</v>
      </c>
      <c r="G169" s="17" t="s">
        <v>86</v>
      </c>
      <c r="H169" s="42" t="s">
        <v>401</v>
      </c>
      <c r="I169" s="17" t="str">
        <f t="shared" si="11"/>
        <v>PN-168</v>
      </c>
      <c r="J169" s="18" t="s">
        <v>85</v>
      </c>
      <c r="K169" s="19" t="e">
        <f>IF(J169="","SEM #CH",VLOOKUP(J169,#REF!,2,0))</f>
        <v>#REF!</v>
      </c>
      <c r="L169" s="19" t="e">
        <f>IF(J169="","SEM #CH",VLOOKUP(J169,#REF!,3,0))</f>
        <v>#REF!</v>
      </c>
      <c r="M169" s="19" t="e">
        <f>IF(J169="","SEM #CH",VLOOKUP(J169,#REF!,4,0))</f>
        <v>#REF!</v>
      </c>
      <c r="N169" s="19" t="e">
        <f>IF(J169="","SEM #CH",VLOOKUP(J169,#REF!,5,0))</f>
        <v>#REF!</v>
      </c>
      <c r="O169" s="19" t="e">
        <f>IF(J169="","SEM #CH",VLOOKUP(J169,#REF!,6,0))</f>
        <v>#REF!</v>
      </c>
      <c r="P169" s="19" t="e">
        <f>IF(J169="","SEM #CH",VLOOKUP(J169,#REF!,7,0))</f>
        <v>#REF!</v>
      </c>
      <c r="Q169" s="77" t="str">
        <f>VLOOKUP(J169,'p1'!$B$2:$C$30,2,0)</f>
        <v>NÃO TEM CHAPA</v>
      </c>
      <c r="R169" s="94">
        <v>45910</v>
      </c>
      <c r="S169" s="90" t="s">
        <v>217</v>
      </c>
      <c r="T169" s="90">
        <f t="shared" si="13"/>
        <v>1</v>
      </c>
      <c r="U169" s="94">
        <v>45912</v>
      </c>
      <c r="V169" s="90" t="s">
        <v>86</v>
      </c>
      <c r="W169" s="92">
        <v>2520</v>
      </c>
      <c r="X169" s="93">
        <f t="shared" si="12"/>
        <v>1</v>
      </c>
      <c r="Y169" s="92"/>
      <c r="Z169" s="92"/>
      <c r="AA169" s="13" t="str">
        <f t="shared" si="14"/>
        <v>set/2025</v>
      </c>
    </row>
    <row r="170" spans="1:27" x14ac:dyDescent="0.25">
      <c r="A170" s="89">
        <v>169</v>
      </c>
      <c r="B170" s="68">
        <v>45776</v>
      </c>
      <c r="C170" s="40">
        <v>21</v>
      </c>
      <c r="D170" s="40">
        <f t="shared" si="10"/>
        <v>1</v>
      </c>
      <c r="E170" s="46" t="s">
        <v>127</v>
      </c>
      <c r="F170" s="17" t="s">
        <v>58</v>
      </c>
      <c r="G170" s="17" t="s">
        <v>86</v>
      </c>
      <c r="H170" s="42" t="s">
        <v>402</v>
      </c>
      <c r="I170" s="17" t="str">
        <f t="shared" si="11"/>
        <v>PN-169</v>
      </c>
      <c r="J170" s="18" t="s">
        <v>85</v>
      </c>
      <c r="K170" s="19" t="e">
        <f>IF(J170="","SEM #CH",VLOOKUP(J170,#REF!,2,0))</f>
        <v>#REF!</v>
      </c>
      <c r="L170" s="19" t="e">
        <f>IF(J170="","SEM #CH",VLOOKUP(J170,#REF!,3,0))</f>
        <v>#REF!</v>
      </c>
      <c r="M170" s="19" t="e">
        <f>IF(J170="","SEM #CH",VLOOKUP(J170,#REF!,4,0))</f>
        <v>#REF!</v>
      </c>
      <c r="N170" s="19" t="e">
        <f>IF(J170="","SEM #CH",VLOOKUP(J170,#REF!,5,0))</f>
        <v>#REF!</v>
      </c>
      <c r="O170" s="19" t="e">
        <f>IF(J170="","SEM #CH",VLOOKUP(J170,#REF!,6,0))</f>
        <v>#REF!</v>
      </c>
      <c r="P170" s="19" t="e">
        <f>IF(J170="","SEM #CH",VLOOKUP(J170,#REF!,7,0))</f>
        <v>#REF!</v>
      </c>
      <c r="Q170" s="77" t="str">
        <f>VLOOKUP(J170,'p1'!$B$2:$C$30,2,0)</f>
        <v>NÃO TEM CHAPA</v>
      </c>
      <c r="R170" s="94">
        <v>45923</v>
      </c>
      <c r="S170" s="90" t="s">
        <v>217</v>
      </c>
      <c r="T170" s="90">
        <f t="shared" si="13"/>
        <v>1</v>
      </c>
      <c r="U170" s="94">
        <v>45924</v>
      </c>
      <c r="V170" s="90" t="s">
        <v>86</v>
      </c>
      <c r="W170" s="90">
        <v>2540</v>
      </c>
      <c r="X170" s="93">
        <f t="shared" si="12"/>
        <v>1</v>
      </c>
      <c r="Y170" s="92"/>
      <c r="Z170" s="92"/>
      <c r="AA170" s="13" t="str">
        <f t="shared" si="14"/>
        <v>set/2025</v>
      </c>
    </row>
    <row r="171" spans="1:27" x14ac:dyDescent="0.25">
      <c r="A171" s="89">
        <v>170</v>
      </c>
      <c r="B171" s="68">
        <v>45777</v>
      </c>
      <c r="C171" s="40">
        <v>22</v>
      </c>
      <c r="D171" s="40">
        <f t="shared" si="10"/>
        <v>1</v>
      </c>
      <c r="E171" s="46" t="s">
        <v>127</v>
      </c>
      <c r="F171" s="17" t="s">
        <v>58</v>
      </c>
      <c r="G171" s="17" t="s">
        <v>86</v>
      </c>
      <c r="H171" s="42" t="s">
        <v>403</v>
      </c>
      <c r="I171" s="17" t="str">
        <f t="shared" si="11"/>
        <v>PN-170</v>
      </c>
      <c r="J171" s="18" t="s">
        <v>85</v>
      </c>
      <c r="K171" s="19" t="e">
        <f>IF(J171="","SEM #CH",VLOOKUP(J171,#REF!,2,0))</f>
        <v>#REF!</v>
      </c>
      <c r="L171" s="19" t="e">
        <f>IF(J171="","SEM #CH",VLOOKUP(J171,#REF!,3,0))</f>
        <v>#REF!</v>
      </c>
      <c r="M171" s="19" t="e">
        <f>IF(J171="","SEM #CH",VLOOKUP(J171,#REF!,4,0))</f>
        <v>#REF!</v>
      </c>
      <c r="N171" s="19" t="e">
        <f>IF(J171="","SEM #CH",VLOOKUP(J171,#REF!,5,0))</f>
        <v>#REF!</v>
      </c>
      <c r="O171" s="19" t="e">
        <f>IF(J171="","SEM #CH",VLOOKUP(J171,#REF!,6,0))</f>
        <v>#REF!</v>
      </c>
      <c r="P171" s="19" t="e">
        <f>IF(J171="","SEM #CH",VLOOKUP(J171,#REF!,7,0))</f>
        <v>#REF!</v>
      </c>
      <c r="Q171" s="77" t="str">
        <f>VLOOKUP(J171,'p1'!$B$2:$C$30,2,0)</f>
        <v>NÃO TEM CHAPA</v>
      </c>
      <c r="R171" s="94">
        <v>45838</v>
      </c>
      <c r="S171" s="90" t="s">
        <v>218</v>
      </c>
      <c r="T171" s="90">
        <f t="shared" si="13"/>
        <v>1</v>
      </c>
      <c r="U171" s="94">
        <v>45846</v>
      </c>
      <c r="V171" s="90" t="s">
        <v>1044</v>
      </c>
      <c r="W171" s="154">
        <v>45846</v>
      </c>
      <c r="X171" s="93">
        <f t="shared" si="12"/>
        <v>1</v>
      </c>
      <c r="Y171" s="92"/>
      <c r="Z171" s="92"/>
      <c r="AA171" s="13" t="str">
        <f t="shared" si="14"/>
        <v>jun/2025</v>
      </c>
    </row>
    <row r="172" spans="1:27" x14ac:dyDescent="0.25">
      <c r="A172" s="89">
        <v>171</v>
      </c>
      <c r="B172" s="68">
        <v>45777</v>
      </c>
      <c r="C172" s="40">
        <v>22</v>
      </c>
      <c r="D172" s="40">
        <f t="shared" si="10"/>
        <v>1</v>
      </c>
      <c r="E172" s="46" t="s">
        <v>127</v>
      </c>
      <c r="F172" s="17" t="s">
        <v>58</v>
      </c>
      <c r="G172" s="17" t="s">
        <v>86</v>
      </c>
      <c r="H172" s="42" t="s">
        <v>404</v>
      </c>
      <c r="I172" s="17" t="str">
        <f t="shared" si="11"/>
        <v>PN-171</v>
      </c>
      <c r="J172" s="18" t="s">
        <v>85</v>
      </c>
      <c r="K172" s="19" t="e">
        <f>IF(J172="","SEM #CH",VLOOKUP(J172,#REF!,2,0))</f>
        <v>#REF!</v>
      </c>
      <c r="L172" s="19" t="e">
        <f>IF(J172="","SEM #CH",VLOOKUP(J172,#REF!,3,0))</f>
        <v>#REF!</v>
      </c>
      <c r="M172" s="19" t="e">
        <f>IF(J172="","SEM #CH",VLOOKUP(J172,#REF!,4,0))</f>
        <v>#REF!</v>
      </c>
      <c r="N172" s="19" t="e">
        <f>IF(J172="","SEM #CH",VLOOKUP(J172,#REF!,5,0))</f>
        <v>#REF!</v>
      </c>
      <c r="O172" s="19" t="e">
        <f>IF(J172="","SEM #CH",VLOOKUP(J172,#REF!,6,0))</f>
        <v>#REF!</v>
      </c>
      <c r="P172" s="19" t="e">
        <f>IF(J172="","SEM #CH",VLOOKUP(J172,#REF!,7,0))</f>
        <v>#REF!</v>
      </c>
      <c r="Q172" s="77" t="str">
        <f>VLOOKUP(J172,'p1'!$B$2:$C$30,2,0)</f>
        <v>NÃO TEM CHAPA</v>
      </c>
      <c r="R172" s="94">
        <v>45835</v>
      </c>
      <c r="S172" s="90" t="s">
        <v>218</v>
      </c>
      <c r="T172" s="90">
        <f t="shared" si="13"/>
        <v>1</v>
      </c>
      <c r="U172" s="94">
        <v>45842</v>
      </c>
      <c r="V172" s="90" t="s">
        <v>86</v>
      </c>
      <c r="W172" s="92">
        <v>2426</v>
      </c>
      <c r="X172" s="93">
        <f t="shared" si="12"/>
        <v>1</v>
      </c>
      <c r="Y172" s="92"/>
      <c r="Z172" s="92"/>
      <c r="AA172" s="13" t="str">
        <f t="shared" si="14"/>
        <v>jun/2025</v>
      </c>
    </row>
    <row r="173" spans="1:27" x14ac:dyDescent="0.25">
      <c r="A173" s="89">
        <v>172</v>
      </c>
      <c r="B173" s="68">
        <v>45777</v>
      </c>
      <c r="C173" s="40">
        <v>22</v>
      </c>
      <c r="D173" s="40">
        <f t="shared" si="10"/>
        <v>1</v>
      </c>
      <c r="E173" s="46" t="s">
        <v>127</v>
      </c>
      <c r="F173" s="17" t="s">
        <v>58</v>
      </c>
      <c r="G173" s="17" t="s">
        <v>86</v>
      </c>
      <c r="H173" s="42" t="s">
        <v>405</v>
      </c>
      <c r="I173" s="17" t="str">
        <f t="shared" si="11"/>
        <v>PN-172</v>
      </c>
      <c r="J173" s="18" t="s">
        <v>85</v>
      </c>
      <c r="K173" s="19" t="e">
        <f>IF(J173="","SEM #CH",VLOOKUP(J173,#REF!,2,0))</f>
        <v>#REF!</v>
      </c>
      <c r="L173" s="19" t="e">
        <f>IF(J173="","SEM #CH",VLOOKUP(J173,#REF!,3,0))</f>
        <v>#REF!</v>
      </c>
      <c r="M173" s="19" t="e">
        <f>IF(J173="","SEM #CH",VLOOKUP(J173,#REF!,4,0))</f>
        <v>#REF!</v>
      </c>
      <c r="N173" s="19" t="e">
        <f>IF(J173="","SEM #CH",VLOOKUP(J173,#REF!,5,0))</f>
        <v>#REF!</v>
      </c>
      <c r="O173" s="19" t="e">
        <f>IF(J173="","SEM #CH",VLOOKUP(J173,#REF!,6,0))</f>
        <v>#REF!</v>
      </c>
      <c r="P173" s="19" t="e">
        <f>IF(J173="","SEM #CH",VLOOKUP(J173,#REF!,7,0))</f>
        <v>#REF!</v>
      </c>
      <c r="Q173" s="77" t="str">
        <f>VLOOKUP(J173,'p1'!$B$2:$C$30,2,0)</f>
        <v>NÃO TEM CHAPA</v>
      </c>
      <c r="R173" s="94">
        <v>45834</v>
      </c>
      <c r="S173" s="90" t="s">
        <v>218</v>
      </c>
      <c r="T173" s="90">
        <f t="shared" si="13"/>
        <v>1</v>
      </c>
      <c r="U173" s="94">
        <v>45842</v>
      </c>
      <c r="V173" s="90" t="s">
        <v>86</v>
      </c>
      <c r="W173" s="92">
        <v>2426</v>
      </c>
      <c r="X173" s="93">
        <f t="shared" si="12"/>
        <v>1</v>
      </c>
      <c r="Y173" s="92"/>
      <c r="Z173" s="92"/>
      <c r="AA173" s="13" t="str">
        <f t="shared" si="14"/>
        <v>jun/2025</v>
      </c>
    </row>
    <row r="174" spans="1:27" x14ac:dyDescent="0.25">
      <c r="A174" s="89">
        <v>173</v>
      </c>
      <c r="B174" s="68">
        <v>45777</v>
      </c>
      <c r="C174" s="40">
        <v>22</v>
      </c>
      <c r="D174" s="40">
        <f t="shared" si="10"/>
        <v>1</v>
      </c>
      <c r="E174" s="46" t="s">
        <v>127</v>
      </c>
      <c r="F174" s="17" t="s">
        <v>58</v>
      </c>
      <c r="G174" s="17" t="s">
        <v>86</v>
      </c>
      <c r="H174" s="42" t="s">
        <v>406</v>
      </c>
      <c r="I174" s="17" t="str">
        <f t="shared" si="11"/>
        <v>PN-173</v>
      </c>
      <c r="J174" s="18" t="s">
        <v>85</v>
      </c>
      <c r="K174" s="19" t="e">
        <f>IF(J174="","SEM #CH",VLOOKUP(J174,#REF!,2,0))</f>
        <v>#REF!</v>
      </c>
      <c r="L174" s="19" t="e">
        <f>IF(J174="","SEM #CH",VLOOKUP(J174,#REF!,3,0))</f>
        <v>#REF!</v>
      </c>
      <c r="M174" s="19" t="e">
        <f>IF(J174="","SEM #CH",VLOOKUP(J174,#REF!,4,0))</f>
        <v>#REF!</v>
      </c>
      <c r="N174" s="19" t="e">
        <f>IF(J174="","SEM #CH",VLOOKUP(J174,#REF!,5,0))</f>
        <v>#REF!</v>
      </c>
      <c r="O174" s="19" t="e">
        <f>IF(J174="","SEM #CH",VLOOKUP(J174,#REF!,6,0))</f>
        <v>#REF!</v>
      </c>
      <c r="P174" s="19" t="e">
        <f>IF(J174="","SEM #CH",VLOOKUP(J174,#REF!,7,0))</f>
        <v>#REF!</v>
      </c>
      <c r="Q174" s="77" t="str">
        <f>VLOOKUP(J174,'p1'!$B$2:$C$30,2,0)</f>
        <v>NÃO TEM CHAPA</v>
      </c>
      <c r="R174" s="94">
        <v>45835</v>
      </c>
      <c r="S174" s="90" t="s">
        <v>218</v>
      </c>
      <c r="T174" s="90">
        <f t="shared" si="13"/>
        <v>1</v>
      </c>
      <c r="U174" s="94">
        <v>45846</v>
      </c>
      <c r="V174" s="90" t="s">
        <v>1045</v>
      </c>
      <c r="W174" s="92">
        <v>2433</v>
      </c>
      <c r="X174" s="93">
        <f t="shared" si="12"/>
        <v>1</v>
      </c>
      <c r="Y174" s="92"/>
      <c r="Z174" s="92"/>
      <c r="AA174" s="13" t="str">
        <f t="shared" si="14"/>
        <v>jun/2025</v>
      </c>
    </row>
    <row r="175" spans="1:27" x14ac:dyDescent="0.25">
      <c r="A175" s="89">
        <v>174</v>
      </c>
      <c r="B175" s="68">
        <v>45777</v>
      </c>
      <c r="C175" s="40">
        <v>22</v>
      </c>
      <c r="D175" s="40">
        <f t="shared" si="10"/>
        <v>1</v>
      </c>
      <c r="E175" s="46" t="s">
        <v>127</v>
      </c>
      <c r="F175" s="17" t="s">
        <v>58</v>
      </c>
      <c r="G175" s="17" t="s">
        <v>86</v>
      </c>
      <c r="H175" s="42" t="s">
        <v>407</v>
      </c>
      <c r="I175" s="17" t="str">
        <f t="shared" si="11"/>
        <v>PN-174</v>
      </c>
      <c r="J175" s="18" t="s">
        <v>85</v>
      </c>
      <c r="K175" s="19" t="e">
        <f>IF(J175="","SEM #CH",VLOOKUP(J175,#REF!,2,0))</f>
        <v>#REF!</v>
      </c>
      <c r="L175" s="19" t="e">
        <f>IF(J175="","SEM #CH",VLOOKUP(J175,#REF!,3,0))</f>
        <v>#REF!</v>
      </c>
      <c r="M175" s="19" t="e">
        <f>IF(J175="","SEM #CH",VLOOKUP(J175,#REF!,4,0))</f>
        <v>#REF!</v>
      </c>
      <c r="N175" s="19" t="e">
        <f>IF(J175="","SEM #CH",VLOOKUP(J175,#REF!,5,0))</f>
        <v>#REF!</v>
      </c>
      <c r="O175" s="19" t="e">
        <f>IF(J175="","SEM #CH",VLOOKUP(J175,#REF!,6,0))</f>
        <v>#REF!</v>
      </c>
      <c r="P175" s="19" t="e">
        <f>IF(J175="","SEM #CH",VLOOKUP(J175,#REF!,7,0))</f>
        <v>#REF!</v>
      </c>
      <c r="Q175" s="77" t="str">
        <f>VLOOKUP(J175,'p1'!$B$2:$C$30,2,0)</f>
        <v>NÃO TEM CHAPA</v>
      </c>
      <c r="R175" s="94">
        <v>45834</v>
      </c>
      <c r="S175" s="90" t="s">
        <v>218</v>
      </c>
      <c r="T175" s="90">
        <f t="shared" si="13"/>
        <v>1</v>
      </c>
      <c r="U175" s="94">
        <v>45846</v>
      </c>
      <c r="V175" s="90" t="s">
        <v>1044</v>
      </c>
      <c r="W175" s="154">
        <v>45846</v>
      </c>
      <c r="X175" s="93">
        <f t="shared" si="12"/>
        <v>1</v>
      </c>
      <c r="Y175" s="92"/>
      <c r="Z175" s="92"/>
      <c r="AA175" s="13" t="str">
        <f t="shared" si="14"/>
        <v>jun/2025</v>
      </c>
    </row>
    <row r="176" spans="1:27" x14ac:dyDescent="0.25">
      <c r="A176" s="89">
        <v>175</v>
      </c>
      <c r="B176" s="68">
        <v>45777</v>
      </c>
      <c r="C176" s="40">
        <v>22</v>
      </c>
      <c r="D176" s="40">
        <f t="shared" si="10"/>
        <v>1</v>
      </c>
      <c r="E176" s="46" t="s">
        <v>127</v>
      </c>
      <c r="F176" s="17" t="s">
        <v>58</v>
      </c>
      <c r="G176" s="17" t="s">
        <v>86</v>
      </c>
      <c r="H176" s="42" t="s">
        <v>408</v>
      </c>
      <c r="I176" s="17" t="str">
        <f t="shared" si="11"/>
        <v>PN-175</v>
      </c>
      <c r="J176" s="18" t="s">
        <v>85</v>
      </c>
      <c r="K176" s="19" t="e">
        <f>IF(J176="","SEM #CH",VLOOKUP(J176,#REF!,2,0))</f>
        <v>#REF!</v>
      </c>
      <c r="L176" s="19" t="e">
        <f>IF(J176="","SEM #CH",VLOOKUP(J176,#REF!,3,0))</f>
        <v>#REF!</v>
      </c>
      <c r="M176" s="19" t="e">
        <f>IF(J176="","SEM #CH",VLOOKUP(J176,#REF!,4,0))</f>
        <v>#REF!</v>
      </c>
      <c r="N176" s="19" t="e">
        <f>IF(J176="","SEM #CH",VLOOKUP(J176,#REF!,5,0))</f>
        <v>#REF!</v>
      </c>
      <c r="O176" s="19" t="e">
        <f>IF(J176="","SEM #CH",VLOOKUP(J176,#REF!,6,0))</f>
        <v>#REF!</v>
      </c>
      <c r="P176" s="19" t="e">
        <f>IF(J176="","SEM #CH",VLOOKUP(J176,#REF!,7,0))</f>
        <v>#REF!</v>
      </c>
      <c r="Q176" s="77" t="str">
        <f>VLOOKUP(J176,'p1'!$B$2:$C$30,2,0)</f>
        <v>NÃO TEM CHAPA</v>
      </c>
      <c r="R176" s="94">
        <v>45833</v>
      </c>
      <c r="S176" s="90" t="s">
        <v>218</v>
      </c>
      <c r="T176" s="90">
        <f t="shared" si="13"/>
        <v>1</v>
      </c>
      <c r="U176" s="94">
        <v>45833</v>
      </c>
      <c r="V176" s="90" t="s">
        <v>86</v>
      </c>
      <c r="W176" s="92">
        <v>2418</v>
      </c>
      <c r="X176" s="93">
        <f t="shared" si="12"/>
        <v>1</v>
      </c>
      <c r="Y176" s="92"/>
      <c r="Z176" s="92"/>
      <c r="AA176" s="13" t="str">
        <f t="shared" si="14"/>
        <v>jun/2025</v>
      </c>
    </row>
    <row r="177" spans="1:27" x14ac:dyDescent="0.25">
      <c r="A177" s="89">
        <v>176</v>
      </c>
      <c r="B177" s="68">
        <v>45777</v>
      </c>
      <c r="C177" s="40">
        <v>22</v>
      </c>
      <c r="D177" s="40">
        <f t="shared" si="10"/>
        <v>1</v>
      </c>
      <c r="E177" s="46" t="s">
        <v>127</v>
      </c>
      <c r="F177" s="17" t="s">
        <v>58</v>
      </c>
      <c r="G177" s="17" t="s">
        <v>86</v>
      </c>
      <c r="H177" s="42" t="s">
        <v>409</v>
      </c>
      <c r="I177" s="17" t="str">
        <f t="shared" si="11"/>
        <v>PN-176</v>
      </c>
      <c r="J177" s="18" t="s">
        <v>85</v>
      </c>
      <c r="K177" s="19" t="e">
        <f>IF(J177="","SEM #CH",VLOOKUP(J177,#REF!,2,0))</f>
        <v>#REF!</v>
      </c>
      <c r="L177" s="19" t="e">
        <f>IF(J177="","SEM #CH",VLOOKUP(J177,#REF!,3,0))</f>
        <v>#REF!</v>
      </c>
      <c r="M177" s="19" t="e">
        <f>IF(J177="","SEM #CH",VLOOKUP(J177,#REF!,4,0))</f>
        <v>#REF!</v>
      </c>
      <c r="N177" s="19" t="e">
        <f>IF(J177="","SEM #CH",VLOOKUP(J177,#REF!,5,0))</f>
        <v>#REF!</v>
      </c>
      <c r="O177" s="19" t="e">
        <f>IF(J177="","SEM #CH",VLOOKUP(J177,#REF!,6,0))</f>
        <v>#REF!</v>
      </c>
      <c r="P177" s="19" t="e">
        <f>IF(J177="","SEM #CH",VLOOKUP(J177,#REF!,7,0))</f>
        <v>#REF!</v>
      </c>
      <c r="Q177" s="77" t="str">
        <f>VLOOKUP(J177,'p1'!$B$2:$C$30,2,0)</f>
        <v>NÃO TEM CHAPA</v>
      </c>
      <c r="R177" s="94">
        <v>45833</v>
      </c>
      <c r="S177" s="90" t="s">
        <v>218</v>
      </c>
      <c r="T177" s="90">
        <f t="shared" si="13"/>
        <v>1</v>
      </c>
      <c r="U177" s="94">
        <v>45833</v>
      </c>
      <c r="V177" s="90" t="s">
        <v>86</v>
      </c>
      <c r="W177" s="92">
        <v>2418</v>
      </c>
      <c r="X177" s="93">
        <f t="shared" si="12"/>
        <v>1</v>
      </c>
      <c r="Y177" s="92"/>
      <c r="Z177" s="92"/>
      <c r="AA177" s="13" t="str">
        <f t="shared" si="14"/>
        <v>jun/2025</v>
      </c>
    </row>
    <row r="178" spans="1:27" x14ac:dyDescent="0.25">
      <c r="A178" s="89">
        <v>177</v>
      </c>
      <c r="B178" s="68">
        <v>45780</v>
      </c>
      <c r="C178" s="40">
        <v>23</v>
      </c>
      <c r="D178" s="40">
        <f t="shared" si="10"/>
        <v>1</v>
      </c>
      <c r="E178" s="46" t="s">
        <v>127</v>
      </c>
      <c r="F178" s="17" t="s">
        <v>58</v>
      </c>
      <c r="G178" s="17" t="s">
        <v>86</v>
      </c>
      <c r="H178" s="42" t="s">
        <v>410</v>
      </c>
      <c r="I178" s="17" t="str">
        <f t="shared" si="11"/>
        <v>PN-177</v>
      </c>
      <c r="J178" s="18" t="s">
        <v>85</v>
      </c>
      <c r="K178" s="19" t="e">
        <f>IF(J178="","SEM #CH",VLOOKUP(J178,#REF!,2,0))</f>
        <v>#REF!</v>
      </c>
      <c r="L178" s="19" t="e">
        <f>IF(J178="","SEM #CH",VLOOKUP(J178,#REF!,3,0))</f>
        <v>#REF!</v>
      </c>
      <c r="M178" s="19" t="e">
        <f>IF(J178="","SEM #CH",VLOOKUP(J178,#REF!,4,0))</f>
        <v>#REF!</v>
      </c>
      <c r="N178" s="19" t="e">
        <f>IF(J178="","SEM #CH",VLOOKUP(J178,#REF!,5,0))</f>
        <v>#REF!</v>
      </c>
      <c r="O178" s="19" t="e">
        <f>IF(J178="","SEM #CH",VLOOKUP(J178,#REF!,6,0))</f>
        <v>#REF!</v>
      </c>
      <c r="P178" s="19" t="e">
        <f>IF(J178="","SEM #CH",VLOOKUP(J178,#REF!,7,0))</f>
        <v>#REF!</v>
      </c>
      <c r="Q178" s="77" t="str">
        <f>VLOOKUP(J178,'p1'!$B$2:$C$30,2,0)</f>
        <v>NÃO TEM CHAPA</v>
      </c>
      <c r="R178" s="94">
        <v>45797</v>
      </c>
      <c r="S178" s="90" t="s">
        <v>217</v>
      </c>
      <c r="T178" s="90">
        <f t="shared" si="13"/>
        <v>1</v>
      </c>
      <c r="U178" s="94">
        <v>45852</v>
      </c>
      <c r="V178" s="90" t="s">
        <v>86</v>
      </c>
      <c r="W178" s="92">
        <v>2442</v>
      </c>
      <c r="X178" s="93">
        <f t="shared" si="12"/>
        <v>1</v>
      </c>
      <c r="Y178" s="92"/>
      <c r="Z178" s="92"/>
      <c r="AA178" s="13" t="str">
        <f t="shared" si="14"/>
        <v>mai/2025</v>
      </c>
    </row>
    <row r="179" spans="1:27" x14ac:dyDescent="0.25">
      <c r="A179" s="89">
        <v>178</v>
      </c>
      <c r="B179" s="68">
        <v>45780</v>
      </c>
      <c r="C179" s="40">
        <v>23</v>
      </c>
      <c r="D179" s="40">
        <f t="shared" si="10"/>
        <v>1</v>
      </c>
      <c r="E179" s="46" t="s">
        <v>127</v>
      </c>
      <c r="F179" s="17" t="s">
        <v>58</v>
      </c>
      <c r="G179" s="17" t="s">
        <v>86</v>
      </c>
      <c r="H179" s="42" t="s">
        <v>411</v>
      </c>
      <c r="I179" s="17" t="str">
        <f t="shared" si="11"/>
        <v>PN-178</v>
      </c>
      <c r="J179" s="18" t="s">
        <v>85</v>
      </c>
      <c r="K179" s="19" t="e">
        <f>IF(J179="","SEM #CH",VLOOKUP(J179,#REF!,2,0))</f>
        <v>#REF!</v>
      </c>
      <c r="L179" s="19" t="e">
        <f>IF(J179="","SEM #CH",VLOOKUP(J179,#REF!,3,0))</f>
        <v>#REF!</v>
      </c>
      <c r="M179" s="19" t="e">
        <f>IF(J179="","SEM #CH",VLOOKUP(J179,#REF!,4,0))</f>
        <v>#REF!</v>
      </c>
      <c r="N179" s="19" t="e">
        <f>IF(J179="","SEM #CH",VLOOKUP(J179,#REF!,5,0))</f>
        <v>#REF!</v>
      </c>
      <c r="O179" s="19" t="e">
        <f>IF(J179="","SEM #CH",VLOOKUP(J179,#REF!,6,0))</f>
        <v>#REF!</v>
      </c>
      <c r="P179" s="19" t="e">
        <f>IF(J179="","SEM #CH",VLOOKUP(J179,#REF!,7,0))</f>
        <v>#REF!</v>
      </c>
      <c r="Q179" s="77" t="str">
        <f>VLOOKUP(J179,'p1'!$B$2:$C$30,2,0)</f>
        <v>NÃO TEM CHAPA</v>
      </c>
      <c r="R179" s="94">
        <v>45797</v>
      </c>
      <c r="S179" s="90" t="s">
        <v>217</v>
      </c>
      <c r="T179" s="90">
        <f t="shared" si="13"/>
        <v>1</v>
      </c>
      <c r="U179" s="94">
        <v>45852</v>
      </c>
      <c r="V179" s="90" t="s">
        <v>86</v>
      </c>
      <c r="W179" s="92">
        <v>2442</v>
      </c>
      <c r="X179" s="93">
        <f t="shared" si="12"/>
        <v>1</v>
      </c>
      <c r="Y179" s="92"/>
      <c r="Z179" s="92"/>
      <c r="AA179" s="13" t="str">
        <f t="shared" si="14"/>
        <v>mai/2025</v>
      </c>
    </row>
    <row r="180" spans="1:27" x14ac:dyDescent="0.25">
      <c r="A180" s="89">
        <v>179</v>
      </c>
      <c r="B180" s="68">
        <v>45780</v>
      </c>
      <c r="C180" s="40">
        <v>23</v>
      </c>
      <c r="D180" s="40">
        <f t="shared" si="10"/>
        <v>1</v>
      </c>
      <c r="E180" s="46" t="s">
        <v>127</v>
      </c>
      <c r="F180" s="17" t="s">
        <v>58</v>
      </c>
      <c r="G180" s="17" t="s">
        <v>86</v>
      </c>
      <c r="H180" s="42" t="s">
        <v>412</v>
      </c>
      <c r="I180" s="17" t="str">
        <f t="shared" si="11"/>
        <v>PN-179</v>
      </c>
      <c r="J180" s="18" t="s">
        <v>85</v>
      </c>
      <c r="K180" s="19" t="e">
        <f>IF(J180="","SEM #CH",VLOOKUP(J180,#REF!,2,0))</f>
        <v>#REF!</v>
      </c>
      <c r="L180" s="19" t="e">
        <f>IF(J180="","SEM #CH",VLOOKUP(J180,#REF!,3,0))</f>
        <v>#REF!</v>
      </c>
      <c r="M180" s="19" t="e">
        <f>IF(J180="","SEM #CH",VLOOKUP(J180,#REF!,4,0))</f>
        <v>#REF!</v>
      </c>
      <c r="N180" s="19" t="e">
        <f>IF(J180="","SEM #CH",VLOOKUP(J180,#REF!,5,0))</f>
        <v>#REF!</v>
      </c>
      <c r="O180" s="19" t="e">
        <f>IF(J180="","SEM #CH",VLOOKUP(J180,#REF!,6,0))</f>
        <v>#REF!</v>
      </c>
      <c r="P180" s="19" t="e">
        <f>IF(J180="","SEM #CH",VLOOKUP(J180,#REF!,7,0))</f>
        <v>#REF!</v>
      </c>
      <c r="Q180" s="77" t="str">
        <f>VLOOKUP(J180,'p1'!$B$2:$C$30,2,0)</f>
        <v>NÃO TEM CHAPA</v>
      </c>
      <c r="R180" s="94">
        <v>45798</v>
      </c>
      <c r="S180" s="90" t="s">
        <v>217</v>
      </c>
      <c r="T180" s="90">
        <f t="shared" si="13"/>
        <v>1</v>
      </c>
      <c r="U180" s="94">
        <v>45852</v>
      </c>
      <c r="V180" s="90" t="s">
        <v>86</v>
      </c>
      <c r="W180" s="92">
        <v>2441</v>
      </c>
      <c r="X180" s="93">
        <f t="shared" si="12"/>
        <v>1</v>
      </c>
      <c r="Y180" s="92"/>
      <c r="Z180" s="92"/>
      <c r="AA180" s="13" t="str">
        <f t="shared" si="14"/>
        <v>mai/2025</v>
      </c>
    </row>
    <row r="181" spans="1:27" x14ac:dyDescent="0.25">
      <c r="A181" s="89">
        <v>180</v>
      </c>
      <c r="B181" s="68">
        <v>45818</v>
      </c>
      <c r="C181" s="40">
        <v>34</v>
      </c>
      <c r="D181" s="40">
        <f t="shared" si="10"/>
        <v>1</v>
      </c>
      <c r="E181" s="46" t="s">
        <v>127</v>
      </c>
      <c r="F181" s="17" t="s">
        <v>60</v>
      </c>
      <c r="G181" s="17" t="s">
        <v>86</v>
      </c>
      <c r="H181" s="42" t="s">
        <v>413</v>
      </c>
      <c r="I181" s="17" t="str">
        <f t="shared" si="11"/>
        <v>PE-180</v>
      </c>
      <c r="J181" s="18" t="s">
        <v>88</v>
      </c>
      <c r="K181" s="19" t="e">
        <f>IF(J181="","SEM #CH",VLOOKUP(J181,#REF!,2,0))</f>
        <v>#REF!</v>
      </c>
      <c r="L181" s="19" t="e">
        <f>IF(J181="","SEM #CH",VLOOKUP(J181,#REF!,3,0))</f>
        <v>#REF!</v>
      </c>
      <c r="M181" s="19" t="e">
        <f>IF(J181="","SEM #CH",VLOOKUP(J181,#REF!,4,0))</f>
        <v>#REF!</v>
      </c>
      <c r="N181" s="19" t="e">
        <f>IF(J181="","SEM #CH",VLOOKUP(J181,#REF!,5,0))</f>
        <v>#REF!</v>
      </c>
      <c r="O181" s="19" t="e">
        <f>IF(J181="","SEM #CH",VLOOKUP(J181,#REF!,6,0))</f>
        <v>#REF!</v>
      </c>
      <c r="P181" s="19" t="e">
        <f>IF(J181="","SEM #CH",VLOOKUP(J181,#REF!,7,0))</f>
        <v>#REF!</v>
      </c>
      <c r="Q181" s="77" t="str">
        <f>VLOOKUP(J181,'p1'!$B$2:$C$30,2,0)</f>
        <v>#3/8-1315X1315</v>
      </c>
      <c r="R181" s="94">
        <v>45849</v>
      </c>
      <c r="S181" s="90" t="s">
        <v>217</v>
      </c>
      <c r="T181" s="90">
        <f t="shared" si="13"/>
        <v>1</v>
      </c>
      <c r="U181" s="94">
        <v>45852</v>
      </c>
      <c r="V181" s="90" t="s">
        <v>86</v>
      </c>
      <c r="W181" s="92">
        <v>2443</v>
      </c>
      <c r="X181" s="93">
        <f t="shared" si="12"/>
        <v>1</v>
      </c>
      <c r="Y181" s="92"/>
      <c r="Z181" s="92"/>
      <c r="AA181" s="13" t="str">
        <f t="shared" si="14"/>
        <v>jul/2025</v>
      </c>
    </row>
    <row r="182" spans="1:27" x14ac:dyDescent="0.25">
      <c r="A182" s="89">
        <v>181</v>
      </c>
      <c r="B182" s="68">
        <v>45780</v>
      </c>
      <c r="C182" s="40">
        <v>23</v>
      </c>
      <c r="D182" s="40">
        <f t="shared" si="10"/>
        <v>1</v>
      </c>
      <c r="E182" s="46" t="s">
        <v>127</v>
      </c>
      <c r="F182" s="17" t="s">
        <v>58</v>
      </c>
      <c r="G182" s="17" t="s">
        <v>86</v>
      </c>
      <c r="H182" s="42" t="s">
        <v>414</v>
      </c>
      <c r="I182" s="17" t="str">
        <f t="shared" si="11"/>
        <v>PN-181</v>
      </c>
      <c r="J182" s="18" t="s">
        <v>85</v>
      </c>
      <c r="K182" s="19" t="e">
        <f>IF(J182="","SEM #CH",VLOOKUP(J182,#REF!,2,0))</f>
        <v>#REF!</v>
      </c>
      <c r="L182" s="19" t="e">
        <f>IF(J182="","SEM #CH",VLOOKUP(J182,#REF!,3,0))</f>
        <v>#REF!</v>
      </c>
      <c r="M182" s="19" t="e">
        <f>IF(J182="","SEM #CH",VLOOKUP(J182,#REF!,4,0))</f>
        <v>#REF!</v>
      </c>
      <c r="N182" s="19" t="e">
        <f>IF(J182="","SEM #CH",VLOOKUP(J182,#REF!,5,0))</f>
        <v>#REF!</v>
      </c>
      <c r="O182" s="19" t="e">
        <f>IF(J182="","SEM #CH",VLOOKUP(J182,#REF!,6,0))</f>
        <v>#REF!</v>
      </c>
      <c r="P182" s="19" t="e">
        <f>IF(J182="","SEM #CH",VLOOKUP(J182,#REF!,7,0))</f>
        <v>#REF!</v>
      </c>
      <c r="Q182" s="77" t="str">
        <f>VLOOKUP(J182,'p1'!$B$2:$C$30,2,0)</f>
        <v>NÃO TEM CHAPA</v>
      </c>
      <c r="R182" s="94">
        <v>45798</v>
      </c>
      <c r="S182" s="90" t="s">
        <v>217</v>
      </c>
      <c r="T182" s="90">
        <f t="shared" si="13"/>
        <v>1</v>
      </c>
      <c r="U182" s="94">
        <v>45852</v>
      </c>
      <c r="V182" s="90" t="s">
        <v>86</v>
      </c>
      <c r="W182" s="92">
        <v>2442</v>
      </c>
      <c r="X182" s="93">
        <f t="shared" si="12"/>
        <v>1</v>
      </c>
      <c r="Y182" s="92"/>
      <c r="Z182" s="92"/>
      <c r="AA182" s="13" t="str">
        <f t="shared" si="14"/>
        <v>mai/2025</v>
      </c>
    </row>
    <row r="183" spans="1:27" x14ac:dyDescent="0.25">
      <c r="A183" s="89">
        <v>182</v>
      </c>
      <c r="B183" s="68">
        <v>45780</v>
      </c>
      <c r="C183" s="40">
        <v>23</v>
      </c>
      <c r="D183" s="40">
        <f t="shared" si="10"/>
        <v>1</v>
      </c>
      <c r="E183" s="46" t="s">
        <v>127</v>
      </c>
      <c r="F183" s="17" t="s">
        <v>58</v>
      </c>
      <c r="G183" s="17" t="s">
        <v>86</v>
      </c>
      <c r="H183" s="42" t="s">
        <v>415</v>
      </c>
      <c r="I183" s="17" t="str">
        <f t="shared" si="11"/>
        <v>PN-182</v>
      </c>
      <c r="J183" s="18" t="s">
        <v>85</v>
      </c>
      <c r="K183" s="19" t="e">
        <f>IF(J183="","SEM #CH",VLOOKUP(J183,#REF!,2,0))</f>
        <v>#REF!</v>
      </c>
      <c r="L183" s="19" t="e">
        <f>IF(J183="","SEM #CH",VLOOKUP(J183,#REF!,3,0))</f>
        <v>#REF!</v>
      </c>
      <c r="M183" s="19" t="e">
        <f>IF(J183="","SEM #CH",VLOOKUP(J183,#REF!,4,0))</f>
        <v>#REF!</v>
      </c>
      <c r="N183" s="19" t="e">
        <f>IF(J183="","SEM #CH",VLOOKUP(J183,#REF!,5,0))</f>
        <v>#REF!</v>
      </c>
      <c r="O183" s="19" t="e">
        <f>IF(J183="","SEM #CH",VLOOKUP(J183,#REF!,6,0))</f>
        <v>#REF!</v>
      </c>
      <c r="P183" s="19" t="e">
        <f>IF(J183="","SEM #CH",VLOOKUP(J183,#REF!,7,0))</f>
        <v>#REF!</v>
      </c>
      <c r="Q183" s="77" t="str">
        <f>VLOOKUP(J183,'p1'!$B$2:$C$30,2,0)</f>
        <v>NÃO TEM CHAPA</v>
      </c>
      <c r="R183" s="94">
        <v>45801</v>
      </c>
      <c r="S183" s="90" t="s">
        <v>217</v>
      </c>
      <c r="T183" s="90">
        <f t="shared" si="13"/>
        <v>1</v>
      </c>
      <c r="U183" s="94">
        <v>45852</v>
      </c>
      <c r="V183" s="90" t="s">
        <v>86</v>
      </c>
      <c r="W183" s="92">
        <v>2442</v>
      </c>
      <c r="X183" s="93">
        <f t="shared" si="12"/>
        <v>1</v>
      </c>
      <c r="Y183" s="92"/>
      <c r="Z183" s="92"/>
      <c r="AA183" s="13" t="str">
        <f t="shared" si="14"/>
        <v>mai/2025</v>
      </c>
    </row>
    <row r="184" spans="1:27" x14ac:dyDescent="0.25">
      <c r="A184" s="89">
        <v>183</v>
      </c>
      <c r="B184" s="68">
        <v>45780</v>
      </c>
      <c r="C184" s="40">
        <v>23</v>
      </c>
      <c r="D184" s="40">
        <f t="shared" si="10"/>
        <v>1</v>
      </c>
      <c r="E184" s="46" t="s">
        <v>127</v>
      </c>
      <c r="F184" s="17" t="s">
        <v>58</v>
      </c>
      <c r="G184" s="17" t="s">
        <v>86</v>
      </c>
      <c r="H184" s="42" t="s">
        <v>416</v>
      </c>
      <c r="I184" s="17" t="str">
        <f t="shared" si="11"/>
        <v>PN-183</v>
      </c>
      <c r="J184" s="18" t="s">
        <v>85</v>
      </c>
      <c r="K184" s="19" t="e">
        <f>IF(J184="","SEM #CH",VLOOKUP(J184,#REF!,2,0))</f>
        <v>#REF!</v>
      </c>
      <c r="L184" s="19" t="e">
        <f>IF(J184="","SEM #CH",VLOOKUP(J184,#REF!,3,0))</f>
        <v>#REF!</v>
      </c>
      <c r="M184" s="19" t="e">
        <f>IF(J184="","SEM #CH",VLOOKUP(J184,#REF!,4,0))</f>
        <v>#REF!</v>
      </c>
      <c r="N184" s="19" t="e">
        <f>IF(J184="","SEM #CH",VLOOKUP(J184,#REF!,5,0))</f>
        <v>#REF!</v>
      </c>
      <c r="O184" s="19" t="e">
        <f>IF(J184="","SEM #CH",VLOOKUP(J184,#REF!,6,0))</f>
        <v>#REF!</v>
      </c>
      <c r="P184" s="19" t="e">
        <f>IF(J184="","SEM #CH",VLOOKUP(J184,#REF!,7,0))</f>
        <v>#REF!</v>
      </c>
      <c r="Q184" s="77" t="str">
        <f>VLOOKUP(J184,'p1'!$B$2:$C$30,2,0)</f>
        <v>NÃO TEM CHAPA</v>
      </c>
      <c r="R184" s="94">
        <v>45801</v>
      </c>
      <c r="S184" s="90" t="s">
        <v>217</v>
      </c>
      <c r="T184" s="90">
        <f t="shared" si="13"/>
        <v>1</v>
      </c>
      <c r="U184" s="94">
        <v>45852</v>
      </c>
      <c r="V184" s="90" t="s">
        <v>86</v>
      </c>
      <c r="W184" s="92">
        <v>2441</v>
      </c>
      <c r="X184" s="93">
        <f t="shared" si="12"/>
        <v>1</v>
      </c>
      <c r="Y184" s="92"/>
      <c r="Z184" s="92"/>
      <c r="AA184" s="13" t="str">
        <f t="shared" si="14"/>
        <v>mai/2025</v>
      </c>
    </row>
    <row r="185" spans="1:27" x14ac:dyDescent="0.25">
      <c r="A185" s="89">
        <v>184</v>
      </c>
      <c r="B185" s="68">
        <v>45780</v>
      </c>
      <c r="C185" s="40">
        <v>23</v>
      </c>
      <c r="D185" s="40">
        <f t="shared" si="10"/>
        <v>1</v>
      </c>
      <c r="E185" s="46" t="s">
        <v>127</v>
      </c>
      <c r="F185" s="17" t="s">
        <v>58</v>
      </c>
      <c r="G185" s="17" t="s">
        <v>86</v>
      </c>
      <c r="H185" s="42" t="s">
        <v>417</v>
      </c>
      <c r="I185" s="17" t="str">
        <f t="shared" si="11"/>
        <v>PN-184</v>
      </c>
      <c r="J185" s="18" t="s">
        <v>85</v>
      </c>
      <c r="K185" s="19" t="e">
        <f>IF(J185="","SEM #CH",VLOOKUP(J185,#REF!,2,0))</f>
        <v>#REF!</v>
      </c>
      <c r="L185" s="19" t="e">
        <f>IF(J185="","SEM #CH",VLOOKUP(J185,#REF!,3,0))</f>
        <v>#REF!</v>
      </c>
      <c r="M185" s="19" t="e">
        <f>IF(J185="","SEM #CH",VLOOKUP(J185,#REF!,4,0))</f>
        <v>#REF!</v>
      </c>
      <c r="N185" s="19" t="e">
        <f>IF(J185="","SEM #CH",VLOOKUP(J185,#REF!,5,0))</f>
        <v>#REF!</v>
      </c>
      <c r="O185" s="19" t="e">
        <f>IF(J185="","SEM #CH",VLOOKUP(J185,#REF!,6,0))</f>
        <v>#REF!</v>
      </c>
      <c r="P185" s="19" t="e">
        <f>IF(J185="","SEM #CH",VLOOKUP(J185,#REF!,7,0))</f>
        <v>#REF!</v>
      </c>
      <c r="Q185" s="77" t="str">
        <f>VLOOKUP(J185,'p1'!$B$2:$C$30,2,0)</f>
        <v>NÃO TEM CHAPA</v>
      </c>
      <c r="R185" s="94">
        <v>45784</v>
      </c>
      <c r="S185" s="90" t="s">
        <v>217</v>
      </c>
      <c r="T185" s="90">
        <f t="shared" si="13"/>
        <v>1</v>
      </c>
      <c r="U185" s="94">
        <v>45854</v>
      </c>
      <c r="V185" s="90" t="s">
        <v>86</v>
      </c>
      <c r="W185" s="92">
        <v>2446</v>
      </c>
      <c r="X185" s="93">
        <f t="shared" si="12"/>
        <v>1</v>
      </c>
      <c r="Y185" s="92"/>
      <c r="Z185" s="92"/>
      <c r="AA185" s="13" t="str">
        <f t="shared" si="14"/>
        <v>mai/2025</v>
      </c>
    </row>
    <row r="186" spans="1:27" x14ac:dyDescent="0.25">
      <c r="A186" s="89">
        <v>185</v>
      </c>
      <c r="B186" s="68">
        <v>45782</v>
      </c>
      <c r="C186" s="40">
        <v>24</v>
      </c>
      <c r="D186" s="40">
        <f t="shared" si="10"/>
        <v>1</v>
      </c>
      <c r="E186" s="46" t="s">
        <v>127</v>
      </c>
      <c r="F186" s="17" t="s">
        <v>58</v>
      </c>
      <c r="G186" s="17" t="s">
        <v>86</v>
      </c>
      <c r="H186" s="42" t="s">
        <v>418</v>
      </c>
      <c r="I186" s="17" t="str">
        <f t="shared" si="11"/>
        <v>PN-185</v>
      </c>
      <c r="J186" s="18" t="s">
        <v>85</v>
      </c>
      <c r="K186" s="19" t="e">
        <f>IF(J186="","SEM #CH",VLOOKUP(J186,#REF!,2,0))</f>
        <v>#REF!</v>
      </c>
      <c r="L186" s="19" t="e">
        <f>IF(J186="","SEM #CH",VLOOKUP(J186,#REF!,3,0))</f>
        <v>#REF!</v>
      </c>
      <c r="M186" s="19" t="e">
        <f>IF(J186="","SEM #CH",VLOOKUP(J186,#REF!,4,0))</f>
        <v>#REF!</v>
      </c>
      <c r="N186" s="19" t="e">
        <f>IF(J186="","SEM #CH",VLOOKUP(J186,#REF!,5,0))</f>
        <v>#REF!</v>
      </c>
      <c r="O186" s="19" t="e">
        <f>IF(J186="","SEM #CH",VLOOKUP(J186,#REF!,6,0))</f>
        <v>#REF!</v>
      </c>
      <c r="P186" s="19" t="e">
        <f>IF(J186="","SEM #CH",VLOOKUP(J186,#REF!,7,0))</f>
        <v>#REF!</v>
      </c>
      <c r="Q186" s="77" t="str">
        <f>VLOOKUP(J186,'p1'!$B$2:$C$30,2,0)</f>
        <v>NÃO TEM CHAPA</v>
      </c>
      <c r="R186" s="94">
        <v>45815</v>
      </c>
      <c r="S186" s="90" t="s">
        <v>218</v>
      </c>
      <c r="T186" s="90">
        <f t="shared" si="13"/>
        <v>1</v>
      </c>
      <c r="U186" s="94">
        <v>45821</v>
      </c>
      <c r="V186" s="90" t="s">
        <v>86</v>
      </c>
      <c r="W186" s="92">
        <v>2386</v>
      </c>
      <c r="X186" s="93">
        <f t="shared" si="12"/>
        <v>1</v>
      </c>
      <c r="Y186" s="92"/>
      <c r="Z186" s="92"/>
      <c r="AA186" s="13" t="str">
        <f t="shared" si="14"/>
        <v>jun/2025</v>
      </c>
    </row>
    <row r="187" spans="1:27" x14ac:dyDescent="0.25">
      <c r="A187" s="89">
        <v>186</v>
      </c>
      <c r="B187" s="68">
        <v>45782</v>
      </c>
      <c r="C187" s="40">
        <v>24</v>
      </c>
      <c r="D187" s="40">
        <f t="shared" si="10"/>
        <v>1</v>
      </c>
      <c r="E187" s="46" t="s">
        <v>127</v>
      </c>
      <c r="F187" s="17" t="s">
        <v>58</v>
      </c>
      <c r="G187" s="17" t="s">
        <v>86</v>
      </c>
      <c r="H187" s="42" t="s">
        <v>419</v>
      </c>
      <c r="I187" s="17" t="str">
        <f t="shared" si="11"/>
        <v>PN-186</v>
      </c>
      <c r="J187" s="18" t="s">
        <v>85</v>
      </c>
      <c r="K187" s="19" t="e">
        <f>IF(J187="","SEM #CH",VLOOKUP(J187,#REF!,2,0))</f>
        <v>#REF!</v>
      </c>
      <c r="L187" s="19" t="e">
        <f>IF(J187="","SEM #CH",VLOOKUP(J187,#REF!,3,0))</f>
        <v>#REF!</v>
      </c>
      <c r="M187" s="19" t="e">
        <f>IF(J187="","SEM #CH",VLOOKUP(J187,#REF!,4,0))</f>
        <v>#REF!</v>
      </c>
      <c r="N187" s="19" t="e">
        <f>IF(J187="","SEM #CH",VLOOKUP(J187,#REF!,5,0))</f>
        <v>#REF!</v>
      </c>
      <c r="O187" s="19" t="e">
        <f>IF(J187="","SEM #CH",VLOOKUP(J187,#REF!,6,0))</f>
        <v>#REF!</v>
      </c>
      <c r="P187" s="19" t="e">
        <f>IF(J187="","SEM #CH",VLOOKUP(J187,#REF!,7,0))</f>
        <v>#REF!</v>
      </c>
      <c r="Q187" s="77" t="str">
        <f>VLOOKUP(J187,'p1'!$B$2:$C$30,2,0)</f>
        <v>NÃO TEM CHAPA</v>
      </c>
      <c r="R187" s="94">
        <v>45817</v>
      </c>
      <c r="S187" s="90" t="s">
        <v>218</v>
      </c>
      <c r="T187" s="90">
        <f t="shared" si="13"/>
        <v>1</v>
      </c>
      <c r="U187" s="94">
        <v>45832</v>
      </c>
      <c r="V187" s="90" t="s">
        <v>86</v>
      </c>
      <c r="W187" s="92">
        <v>2408</v>
      </c>
      <c r="X187" s="93">
        <f t="shared" si="12"/>
        <v>1</v>
      </c>
      <c r="Y187" s="92"/>
      <c r="Z187" s="92"/>
      <c r="AA187" s="13" t="str">
        <f t="shared" si="14"/>
        <v>jun/2025</v>
      </c>
    </row>
    <row r="188" spans="1:27" x14ac:dyDescent="0.25">
      <c r="A188" s="89">
        <v>187</v>
      </c>
      <c r="B188" s="68">
        <v>45859</v>
      </c>
      <c r="C188" s="40">
        <v>53</v>
      </c>
      <c r="D188" s="40">
        <f t="shared" si="10"/>
        <v>1</v>
      </c>
      <c r="E188" s="47" t="s">
        <v>128</v>
      </c>
      <c r="F188" s="17" t="s">
        <v>61</v>
      </c>
      <c r="G188" s="17" t="s">
        <v>86</v>
      </c>
      <c r="H188" s="42" t="s">
        <v>420</v>
      </c>
      <c r="I188" s="17" t="str">
        <f t="shared" si="11"/>
        <v>PF-187</v>
      </c>
      <c r="J188" s="18" t="s">
        <v>61</v>
      </c>
      <c r="K188" s="19" t="e">
        <f>IF(J188="","SEM #CH",VLOOKUP(J188,#REF!,2,0))</f>
        <v>#REF!</v>
      </c>
      <c r="L188" s="19" t="e">
        <f>IF(J188="","SEM #CH",VLOOKUP(J188,#REF!,3,0))</f>
        <v>#REF!</v>
      </c>
      <c r="M188" s="19" t="e">
        <f>IF(J188="","SEM #CH",VLOOKUP(J188,#REF!,4,0))</f>
        <v>#REF!</v>
      </c>
      <c r="N188" s="19" t="e">
        <f>IF(J188="","SEM #CH",VLOOKUP(J188,#REF!,5,0))</f>
        <v>#REF!</v>
      </c>
      <c r="O188" s="19" t="e">
        <f>IF(J188="","SEM #CH",VLOOKUP(J188,#REF!,6,0))</f>
        <v>#REF!</v>
      </c>
      <c r="P188" s="19" t="e">
        <f>IF(J188="","SEM #CH",VLOOKUP(J188,#REF!,7,0))</f>
        <v>#REF!</v>
      </c>
      <c r="Q188" s="77" t="str">
        <f>VLOOKUP(J188,'p1'!$B$2:$C$30,2,0)</f>
        <v>SEM CHAPA</v>
      </c>
      <c r="R188" s="94">
        <v>45875</v>
      </c>
      <c r="S188" s="90" t="s">
        <v>217</v>
      </c>
      <c r="T188" s="90">
        <f t="shared" si="13"/>
        <v>1</v>
      </c>
      <c r="U188" s="94">
        <v>45882</v>
      </c>
      <c r="V188" s="90" t="s">
        <v>86</v>
      </c>
      <c r="W188" s="92">
        <v>2472</v>
      </c>
      <c r="X188" s="93">
        <f t="shared" si="12"/>
        <v>1</v>
      </c>
      <c r="Y188" s="92"/>
      <c r="Z188" s="92"/>
      <c r="AA188" s="13" t="str">
        <f t="shared" si="14"/>
        <v>ago/2025</v>
      </c>
    </row>
    <row r="189" spans="1:27" x14ac:dyDescent="0.25">
      <c r="A189" s="89">
        <v>188</v>
      </c>
      <c r="B189" s="68">
        <v>45782</v>
      </c>
      <c r="C189" s="40">
        <v>24</v>
      </c>
      <c r="D189" s="40">
        <f t="shared" si="10"/>
        <v>1</v>
      </c>
      <c r="E189" s="47" t="s">
        <v>128</v>
      </c>
      <c r="F189" s="17" t="s">
        <v>58</v>
      </c>
      <c r="G189" s="17" t="s">
        <v>86</v>
      </c>
      <c r="H189" s="42" t="s">
        <v>421</v>
      </c>
      <c r="I189" s="17" t="str">
        <f t="shared" si="11"/>
        <v>PN-188</v>
      </c>
      <c r="J189" s="18" t="s">
        <v>85</v>
      </c>
      <c r="K189" s="19" t="e">
        <f>IF(J189="","SEM #CH",VLOOKUP(J189,#REF!,2,0))</f>
        <v>#REF!</v>
      </c>
      <c r="L189" s="19" t="e">
        <f>IF(J189="","SEM #CH",VLOOKUP(J189,#REF!,3,0))</f>
        <v>#REF!</v>
      </c>
      <c r="M189" s="19" t="e">
        <f>IF(J189="","SEM #CH",VLOOKUP(J189,#REF!,4,0))</f>
        <v>#REF!</v>
      </c>
      <c r="N189" s="19" t="e">
        <f>IF(J189="","SEM #CH",VLOOKUP(J189,#REF!,5,0))</f>
        <v>#REF!</v>
      </c>
      <c r="O189" s="19" t="e">
        <f>IF(J189="","SEM #CH",VLOOKUP(J189,#REF!,6,0))</f>
        <v>#REF!</v>
      </c>
      <c r="P189" s="19" t="e">
        <f>IF(J189="","SEM #CH",VLOOKUP(J189,#REF!,7,0))</f>
        <v>#REF!</v>
      </c>
      <c r="Q189" s="77" t="str">
        <f>VLOOKUP(J189,'p1'!$B$2:$C$30,2,0)</f>
        <v>NÃO TEM CHAPA</v>
      </c>
      <c r="R189" s="94">
        <v>45815</v>
      </c>
      <c r="S189" s="90" t="s">
        <v>218</v>
      </c>
      <c r="T189" s="90">
        <f t="shared" si="13"/>
        <v>1</v>
      </c>
      <c r="U189" s="94">
        <v>45821</v>
      </c>
      <c r="V189" s="90" t="s">
        <v>86</v>
      </c>
      <c r="W189" s="92">
        <v>2383</v>
      </c>
      <c r="X189" s="93">
        <f t="shared" si="12"/>
        <v>1</v>
      </c>
      <c r="Y189" s="92"/>
      <c r="Z189" s="92"/>
      <c r="AA189" s="13" t="str">
        <f t="shared" si="14"/>
        <v>jun/2025</v>
      </c>
    </row>
    <row r="190" spans="1:27" x14ac:dyDescent="0.25">
      <c r="A190" s="89">
        <v>189</v>
      </c>
      <c r="B190" s="68">
        <v>45782</v>
      </c>
      <c r="C190" s="40">
        <v>24</v>
      </c>
      <c r="D190" s="40">
        <f t="shared" si="10"/>
        <v>1</v>
      </c>
      <c r="E190" s="47" t="s">
        <v>128</v>
      </c>
      <c r="F190" s="17" t="s">
        <v>58</v>
      </c>
      <c r="G190" s="17" t="s">
        <v>86</v>
      </c>
      <c r="H190" s="42" t="s">
        <v>422</v>
      </c>
      <c r="I190" s="17" t="str">
        <f t="shared" si="11"/>
        <v>PN-189</v>
      </c>
      <c r="J190" s="18" t="s">
        <v>85</v>
      </c>
      <c r="K190" s="19" t="e">
        <f>IF(J190="","SEM #CH",VLOOKUP(J190,#REF!,2,0))</f>
        <v>#REF!</v>
      </c>
      <c r="L190" s="19" t="e">
        <f>IF(J190="","SEM #CH",VLOOKUP(J190,#REF!,3,0))</f>
        <v>#REF!</v>
      </c>
      <c r="M190" s="19" t="e">
        <f>IF(J190="","SEM #CH",VLOOKUP(J190,#REF!,4,0))</f>
        <v>#REF!</v>
      </c>
      <c r="N190" s="19" t="e">
        <f>IF(J190="","SEM #CH",VLOOKUP(J190,#REF!,5,0))</f>
        <v>#REF!</v>
      </c>
      <c r="O190" s="19" t="e">
        <f>IF(J190="","SEM #CH",VLOOKUP(J190,#REF!,6,0))</f>
        <v>#REF!</v>
      </c>
      <c r="P190" s="19" t="e">
        <f>IF(J190="","SEM #CH",VLOOKUP(J190,#REF!,7,0))</f>
        <v>#REF!</v>
      </c>
      <c r="Q190" s="77" t="str">
        <f>VLOOKUP(J190,'p1'!$B$2:$C$30,2,0)</f>
        <v>NÃO TEM CHAPA</v>
      </c>
      <c r="R190" s="94">
        <v>45812</v>
      </c>
      <c r="S190" s="90" t="s">
        <v>218</v>
      </c>
      <c r="T190" s="90">
        <f t="shared" si="13"/>
        <v>1</v>
      </c>
      <c r="U190" s="94">
        <v>45831</v>
      </c>
      <c r="V190" s="90" t="s">
        <v>1036</v>
      </c>
      <c r="W190" s="92">
        <v>2404</v>
      </c>
      <c r="X190" s="93">
        <f t="shared" si="12"/>
        <v>1</v>
      </c>
      <c r="Y190" s="92"/>
      <c r="Z190" s="92"/>
      <c r="AA190" s="13" t="str">
        <f t="shared" si="14"/>
        <v>jun/2025</v>
      </c>
    </row>
    <row r="191" spans="1:27" x14ac:dyDescent="0.25">
      <c r="A191" s="89">
        <v>190</v>
      </c>
      <c r="B191" s="68">
        <v>45782</v>
      </c>
      <c r="C191" s="40">
        <v>24</v>
      </c>
      <c r="D191" s="40">
        <f t="shared" si="10"/>
        <v>1</v>
      </c>
      <c r="E191" s="47" t="s">
        <v>128</v>
      </c>
      <c r="F191" s="17" t="s">
        <v>58</v>
      </c>
      <c r="G191" s="17" t="s">
        <v>86</v>
      </c>
      <c r="H191" s="42" t="s">
        <v>423</v>
      </c>
      <c r="I191" s="17" t="str">
        <f t="shared" si="11"/>
        <v>PN-190</v>
      </c>
      <c r="J191" s="18" t="s">
        <v>85</v>
      </c>
      <c r="K191" s="19" t="e">
        <f>IF(J191="","SEM #CH",VLOOKUP(J191,#REF!,2,0))</f>
        <v>#REF!</v>
      </c>
      <c r="L191" s="19" t="e">
        <f>IF(J191="","SEM #CH",VLOOKUP(J191,#REF!,3,0))</f>
        <v>#REF!</v>
      </c>
      <c r="M191" s="19" t="e">
        <f>IF(J191="","SEM #CH",VLOOKUP(J191,#REF!,4,0))</f>
        <v>#REF!</v>
      </c>
      <c r="N191" s="19" t="e">
        <f>IF(J191="","SEM #CH",VLOOKUP(J191,#REF!,5,0))</f>
        <v>#REF!</v>
      </c>
      <c r="O191" s="19" t="e">
        <f>IF(J191="","SEM #CH",VLOOKUP(J191,#REF!,6,0))</f>
        <v>#REF!</v>
      </c>
      <c r="P191" s="19" t="e">
        <f>IF(J191="","SEM #CH",VLOOKUP(J191,#REF!,7,0))</f>
        <v>#REF!</v>
      </c>
      <c r="Q191" s="77" t="str">
        <f>VLOOKUP(J191,'p1'!$B$2:$C$30,2,0)</f>
        <v>NÃO TEM CHAPA</v>
      </c>
      <c r="R191" s="94">
        <v>45812</v>
      </c>
      <c r="S191" s="90" t="s">
        <v>218</v>
      </c>
      <c r="T191" s="90">
        <f t="shared" si="13"/>
        <v>1</v>
      </c>
      <c r="U191" s="94">
        <v>45821</v>
      </c>
      <c r="V191" s="90" t="s">
        <v>86</v>
      </c>
      <c r="W191" s="92">
        <v>2386</v>
      </c>
      <c r="X191" s="93">
        <f t="shared" si="12"/>
        <v>1</v>
      </c>
      <c r="Y191" s="92"/>
      <c r="Z191" s="92"/>
      <c r="AA191" s="13" t="str">
        <f t="shared" si="14"/>
        <v>jun/2025</v>
      </c>
    </row>
    <row r="192" spans="1:27" x14ac:dyDescent="0.25">
      <c r="A192" s="89">
        <v>191</v>
      </c>
      <c r="B192" s="68">
        <v>45782</v>
      </c>
      <c r="C192" s="40">
        <v>24</v>
      </c>
      <c r="D192" s="40">
        <f t="shared" si="10"/>
        <v>1</v>
      </c>
      <c r="E192" s="47" t="s">
        <v>128</v>
      </c>
      <c r="F192" s="17" t="s">
        <v>58</v>
      </c>
      <c r="G192" s="17" t="s">
        <v>86</v>
      </c>
      <c r="H192" s="42" t="s">
        <v>424</v>
      </c>
      <c r="I192" s="17" t="str">
        <f t="shared" si="11"/>
        <v>PN-191</v>
      </c>
      <c r="J192" s="18" t="s">
        <v>85</v>
      </c>
      <c r="K192" s="19" t="e">
        <f>IF(J192="","SEM #CH",VLOOKUP(J192,#REF!,2,0))</f>
        <v>#REF!</v>
      </c>
      <c r="L192" s="19" t="e">
        <f>IF(J192="","SEM #CH",VLOOKUP(J192,#REF!,3,0))</f>
        <v>#REF!</v>
      </c>
      <c r="M192" s="19" t="e">
        <f>IF(J192="","SEM #CH",VLOOKUP(J192,#REF!,4,0))</f>
        <v>#REF!</v>
      </c>
      <c r="N192" s="19" t="e">
        <f>IF(J192="","SEM #CH",VLOOKUP(J192,#REF!,5,0))</f>
        <v>#REF!</v>
      </c>
      <c r="O192" s="19" t="e">
        <f>IF(J192="","SEM #CH",VLOOKUP(J192,#REF!,6,0))</f>
        <v>#REF!</v>
      </c>
      <c r="P192" s="19" t="e">
        <f>IF(J192="","SEM #CH",VLOOKUP(J192,#REF!,7,0))</f>
        <v>#REF!</v>
      </c>
      <c r="Q192" s="77" t="str">
        <f>VLOOKUP(J192,'p1'!$B$2:$C$30,2,0)</f>
        <v>NÃO TEM CHAPA</v>
      </c>
      <c r="R192" s="94">
        <v>45812</v>
      </c>
      <c r="S192" s="90" t="s">
        <v>218</v>
      </c>
      <c r="T192" s="90">
        <f t="shared" si="13"/>
        <v>1</v>
      </c>
      <c r="U192" s="94">
        <v>45821</v>
      </c>
      <c r="V192" s="90" t="s">
        <v>86</v>
      </c>
      <c r="W192" s="92">
        <v>2386</v>
      </c>
      <c r="X192" s="93">
        <f t="shared" si="12"/>
        <v>1</v>
      </c>
      <c r="Y192" s="92"/>
      <c r="Z192" s="92"/>
      <c r="AA192" s="13" t="str">
        <f t="shared" si="14"/>
        <v>jun/2025</v>
      </c>
    </row>
    <row r="193" spans="1:27" x14ac:dyDescent="0.25">
      <c r="A193" s="89">
        <v>192</v>
      </c>
      <c r="B193" s="68">
        <v>45782</v>
      </c>
      <c r="C193" s="40">
        <v>24</v>
      </c>
      <c r="D193" s="40">
        <f t="shared" si="10"/>
        <v>1</v>
      </c>
      <c r="E193" s="47" t="s">
        <v>128</v>
      </c>
      <c r="F193" s="17" t="s">
        <v>58</v>
      </c>
      <c r="G193" s="17" t="s">
        <v>86</v>
      </c>
      <c r="H193" s="42" t="s">
        <v>425</v>
      </c>
      <c r="I193" s="17" t="str">
        <f t="shared" si="11"/>
        <v>PN-192</v>
      </c>
      <c r="J193" s="18" t="s">
        <v>85</v>
      </c>
      <c r="K193" s="19" t="e">
        <f>IF(J193="","SEM #CH",VLOOKUP(J193,#REF!,2,0))</f>
        <v>#REF!</v>
      </c>
      <c r="L193" s="19" t="e">
        <f>IF(J193="","SEM #CH",VLOOKUP(J193,#REF!,3,0))</f>
        <v>#REF!</v>
      </c>
      <c r="M193" s="19" t="e">
        <f>IF(J193="","SEM #CH",VLOOKUP(J193,#REF!,4,0))</f>
        <v>#REF!</v>
      </c>
      <c r="N193" s="19" t="e">
        <f>IF(J193="","SEM #CH",VLOOKUP(J193,#REF!,5,0))</f>
        <v>#REF!</v>
      </c>
      <c r="O193" s="19" t="e">
        <f>IF(J193="","SEM #CH",VLOOKUP(J193,#REF!,6,0))</f>
        <v>#REF!</v>
      </c>
      <c r="P193" s="19" t="e">
        <f>IF(J193="","SEM #CH",VLOOKUP(J193,#REF!,7,0))</f>
        <v>#REF!</v>
      </c>
      <c r="Q193" s="77" t="str">
        <f>VLOOKUP(J193,'p1'!$B$2:$C$30,2,0)</f>
        <v>NÃO TEM CHAPA</v>
      </c>
      <c r="R193" s="94">
        <v>45811</v>
      </c>
      <c r="S193" s="90" t="s">
        <v>218</v>
      </c>
      <c r="T193" s="90">
        <f t="shared" si="13"/>
        <v>1</v>
      </c>
      <c r="U193" s="94">
        <v>45831</v>
      </c>
      <c r="V193" s="90" t="s">
        <v>1036</v>
      </c>
      <c r="W193" s="92">
        <v>2404</v>
      </c>
      <c r="X193" s="93">
        <f t="shared" si="12"/>
        <v>1</v>
      </c>
      <c r="Y193" s="92"/>
      <c r="Z193" s="92"/>
      <c r="AA193" s="13" t="str">
        <f t="shared" si="14"/>
        <v>jun/2025</v>
      </c>
    </row>
    <row r="194" spans="1:27" x14ac:dyDescent="0.25">
      <c r="A194" s="89">
        <v>193</v>
      </c>
      <c r="B194" s="68">
        <v>45783</v>
      </c>
      <c r="C194" s="40">
        <v>25</v>
      </c>
      <c r="D194" s="40">
        <f t="shared" ref="D194:D257" si="15">IF(B194&gt;0,1,"")</f>
        <v>1</v>
      </c>
      <c r="E194" s="47" t="s">
        <v>128</v>
      </c>
      <c r="F194" s="17" t="s">
        <v>58</v>
      </c>
      <c r="G194" s="17" t="s">
        <v>86</v>
      </c>
      <c r="H194" s="42" t="s">
        <v>426</v>
      </c>
      <c r="I194" s="17" t="str">
        <f t="shared" ref="I194:I257" si="16">_xlfn.CONCAT(F194,G194,H194)</f>
        <v>PN-193</v>
      </c>
      <c r="J194" s="18" t="s">
        <v>85</v>
      </c>
      <c r="K194" s="19" t="e">
        <f>IF(J194="","SEM #CH",VLOOKUP(J194,#REF!,2,0))</f>
        <v>#REF!</v>
      </c>
      <c r="L194" s="19" t="e">
        <f>IF(J194="","SEM #CH",VLOOKUP(J194,#REF!,3,0))</f>
        <v>#REF!</v>
      </c>
      <c r="M194" s="19" t="e">
        <f>IF(J194="","SEM #CH",VLOOKUP(J194,#REF!,4,0))</f>
        <v>#REF!</v>
      </c>
      <c r="N194" s="19" t="e">
        <f>IF(J194="","SEM #CH",VLOOKUP(J194,#REF!,5,0))</f>
        <v>#REF!</v>
      </c>
      <c r="O194" s="19" t="e">
        <f>IF(J194="","SEM #CH",VLOOKUP(J194,#REF!,6,0))</f>
        <v>#REF!</v>
      </c>
      <c r="P194" s="19" t="e">
        <f>IF(J194="","SEM #CH",VLOOKUP(J194,#REF!,7,0))</f>
        <v>#REF!</v>
      </c>
      <c r="Q194" s="77" t="str">
        <f>VLOOKUP(J194,'p1'!$B$2:$C$30,2,0)</f>
        <v>NÃO TEM CHAPA</v>
      </c>
      <c r="R194" s="94">
        <v>45932</v>
      </c>
      <c r="S194" s="90" t="s">
        <v>217</v>
      </c>
      <c r="T194" s="90">
        <f t="shared" si="13"/>
        <v>1</v>
      </c>
      <c r="U194" s="94">
        <v>45933</v>
      </c>
      <c r="V194" s="90" t="s">
        <v>86</v>
      </c>
      <c r="W194" s="92">
        <v>2559</v>
      </c>
      <c r="X194" s="93">
        <f t="shared" ref="X194:X257" si="17">IF(U194&gt;0,1,"")</f>
        <v>1</v>
      </c>
      <c r="Y194" s="92"/>
      <c r="Z194" s="92"/>
      <c r="AA194" s="13" t="str">
        <f t="shared" si="14"/>
        <v>out/2025</v>
      </c>
    </row>
    <row r="195" spans="1:27" x14ac:dyDescent="0.25">
      <c r="A195" s="89">
        <v>194</v>
      </c>
      <c r="B195" s="68">
        <v>45783</v>
      </c>
      <c r="C195" s="40">
        <v>25</v>
      </c>
      <c r="D195" s="40">
        <f t="shared" si="15"/>
        <v>1</v>
      </c>
      <c r="E195" s="47" t="s">
        <v>128</v>
      </c>
      <c r="F195" s="17" t="s">
        <v>58</v>
      </c>
      <c r="G195" s="17" t="s">
        <v>86</v>
      </c>
      <c r="H195" s="42" t="s">
        <v>427</v>
      </c>
      <c r="I195" s="17" t="str">
        <f t="shared" si="16"/>
        <v>PN-194</v>
      </c>
      <c r="J195" s="18" t="s">
        <v>85</v>
      </c>
      <c r="K195" s="19" t="e">
        <f>IF(J195="","SEM #CH",VLOOKUP(J195,#REF!,2,0))</f>
        <v>#REF!</v>
      </c>
      <c r="L195" s="19" t="e">
        <f>IF(J195="","SEM #CH",VLOOKUP(J195,#REF!,3,0))</f>
        <v>#REF!</v>
      </c>
      <c r="M195" s="19" t="e">
        <f>IF(J195="","SEM #CH",VLOOKUP(J195,#REF!,4,0))</f>
        <v>#REF!</v>
      </c>
      <c r="N195" s="19" t="e">
        <f>IF(J195="","SEM #CH",VLOOKUP(J195,#REF!,5,0))</f>
        <v>#REF!</v>
      </c>
      <c r="O195" s="19" t="e">
        <f>IF(J195="","SEM #CH",VLOOKUP(J195,#REF!,6,0))</f>
        <v>#REF!</v>
      </c>
      <c r="P195" s="19" t="e">
        <f>IF(J195="","SEM #CH",VLOOKUP(J195,#REF!,7,0))</f>
        <v>#REF!</v>
      </c>
      <c r="Q195" s="77" t="str">
        <f>VLOOKUP(J195,'p1'!$B$2:$C$30,2,0)</f>
        <v>NÃO TEM CHAPA</v>
      </c>
      <c r="R195" s="94">
        <v>45897</v>
      </c>
      <c r="S195" s="90" t="s">
        <v>217</v>
      </c>
      <c r="T195" s="90">
        <f t="shared" ref="T195:T258" si="18">IF(R195="",0,1)</f>
        <v>1</v>
      </c>
      <c r="U195" s="94">
        <v>45898</v>
      </c>
      <c r="V195" s="90" t="s">
        <v>86</v>
      </c>
      <c r="W195" s="92">
        <v>2499</v>
      </c>
      <c r="X195" s="93">
        <f t="shared" si="17"/>
        <v>1</v>
      </c>
      <c r="Y195" s="92"/>
      <c r="Z195" s="92"/>
      <c r="AA195" s="13" t="str">
        <f t="shared" ref="AA195:AA258" si="19">TEXT(R195,"mmm/aaaa")</f>
        <v>ago/2025</v>
      </c>
    </row>
    <row r="196" spans="1:27" x14ac:dyDescent="0.25">
      <c r="A196" s="89">
        <v>195</v>
      </c>
      <c r="B196" s="68">
        <v>45821</v>
      </c>
      <c r="C196" s="40">
        <v>35</v>
      </c>
      <c r="D196" s="40">
        <f t="shared" si="15"/>
        <v>1</v>
      </c>
      <c r="E196" s="47" t="s">
        <v>128</v>
      </c>
      <c r="F196" s="17" t="s">
        <v>60</v>
      </c>
      <c r="G196" s="17" t="s">
        <v>86</v>
      </c>
      <c r="H196" s="42" t="s">
        <v>428</v>
      </c>
      <c r="I196" s="17" t="str">
        <f t="shared" si="16"/>
        <v>PE-195</v>
      </c>
      <c r="J196" s="18" t="s">
        <v>90</v>
      </c>
      <c r="K196" s="19" t="e">
        <f>IF(J196="","SEM #CH",VLOOKUP(J196,#REF!,2,0))</f>
        <v>#REF!</v>
      </c>
      <c r="L196" s="19" t="e">
        <f>IF(J196="","SEM #CH",VLOOKUP(J196,#REF!,3,0))</f>
        <v>#REF!</v>
      </c>
      <c r="M196" s="19" t="e">
        <f>IF(J196="","SEM #CH",VLOOKUP(J196,#REF!,4,0))</f>
        <v>#REF!</v>
      </c>
      <c r="N196" s="19" t="e">
        <f>IF(J196="","SEM #CH",VLOOKUP(J196,#REF!,5,0))</f>
        <v>#REF!</v>
      </c>
      <c r="O196" s="19" t="e">
        <f>IF(J196="","SEM #CH",VLOOKUP(J196,#REF!,6,0))</f>
        <v>#REF!</v>
      </c>
      <c r="P196" s="19" t="e">
        <f>IF(J196="","SEM #CH",VLOOKUP(J196,#REF!,7,0))</f>
        <v>#REF!</v>
      </c>
      <c r="Q196" s="77" t="str">
        <f>VLOOKUP(J196,'p1'!$B$2:$C$30,2,0)</f>
        <v>#3/8-530X530</v>
      </c>
      <c r="R196" s="94">
        <v>45833</v>
      </c>
      <c r="S196" s="90" t="s">
        <v>217</v>
      </c>
      <c r="T196" s="90">
        <f t="shared" si="18"/>
        <v>1</v>
      </c>
      <c r="U196" s="94">
        <v>45833</v>
      </c>
      <c r="V196" s="90" t="s">
        <v>86</v>
      </c>
      <c r="W196" s="92">
        <v>2416</v>
      </c>
      <c r="X196" s="93">
        <f t="shared" si="17"/>
        <v>1</v>
      </c>
      <c r="Y196" s="92"/>
      <c r="Z196" s="92"/>
      <c r="AA196" s="13" t="str">
        <f t="shared" si="19"/>
        <v>jun/2025</v>
      </c>
    </row>
    <row r="197" spans="1:27" x14ac:dyDescent="0.25">
      <c r="A197" s="89">
        <v>196</v>
      </c>
      <c r="B197" s="68">
        <v>45783</v>
      </c>
      <c r="C197" s="40">
        <v>25</v>
      </c>
      <c r="D197" s="40">
        <f t="shared" si="15"/>
        <v>1</v>
      </c>
      <c r="E197" s="47" t="s">
        <v>128</v>
      </c>
      <c r="F197" s="17" t="s">
        <v>58</v>
      </c>
      <c r="G197" s="17" t="s">
        <v>86</v>
      </c>
      <c r="H197" s="42" t="s">
        <v>429</v>
      </c>
      <c r="I197" s="17" t="str">
        <f t="shared" si="16"/>
        <v>PN-196</v>
      </c>
      <c r="J197" s="18" t="s">
        <v>85</v>
      </c>
      <c r="K197" s="19" t="e">
        <f>IF(J197="","SEM #CH",VLOOKUP(J197,#REF!,2,0))</f>
        <v>#REF!</v>
      </c>
      <c r="L197" s="19" t="e">
        <f>IF(J197="","SEM #CH",VLOOKUP(J197,#REF!,3,0))</f>
        <v>#REF!</v>
      </c>
      <c r="M197" s="19" t="e">
        <f>IF(J197="","SEM #CH",VLOOKUP(J197,#REF!,4,0))</f>
        <v>#REF!</v>
      </c>
      <c r="N197" s="19" t="e">
        <f>IF(J197="","SEM #CH",VLOOKUP(J197,#REF!,5,0))</f>
        <v>#REF!</v>
      </c>
      <c r="O197" s="19" t="e">
        <f>IF(J197="","SEM #CH",VLOOKUP(J197,#REF!,6,0))</f>
        <v>#REF!</v>
      </c>
      <c r="P197" s="19" t="e">
        <f>IF(J197="","SEM #CH",VLOOKUP(J197,#REF!,7,0))</f>
        <v>#REF!</v>
      </c>
      <c r="Q197" s="77" t="str">
        <f>VLOOKUP(J197,'p1'!$B$2:$C$30,2,0)</f>
        <v>NÃO TEM CHAPA</v>
      </c>
      <c r="R197" s="94">
        <v>45916</v>
      </c>
      <c r="S197" s="90" t="s">
        <v>217</v>
      </c>
      <c r="T197" s="90">
        <f t="shared" si="18"/>
        <v>1</v>
      </c>
      <c r="U197" s="94">
        <v>45917</v>
      </c>
      <c r="V197" s="90" t="s">
        <v>86</v>
      </c>
      <c r="W197" s="92">
        <v>2532</v>
      </c>
      <c r="X197" s="93">
        <f t="shared" si="17"/>
        <v>1</v>
      </c>
      <c r="Y197" s="92"/>
      <c r="Z197" s="92"/>
      <c r="AA197" s="13" t="str">
        <f t="shared" si="19"/>
        <v>set/2025</v>
      </c>
    </row>
    <row r="198" spans="1:27" x14ac:dyDescent="0.25">
      <c r="A198" s="89">
        <v>197</v>
      </c>
      <c r="B198" s="68">
        <v>45783</v>
      </c>
      <c r="C198" s="40">
        <v>25</v>
      </c>
      <c r="D198" s="40">
        <f t="shared" si="15"/>
        <v>1</v>
      </c>
      <c r="E198" s="47" t="s">
        <v>128</v>
      </c>
      <c r="F198" s="17" t="s">
        <v>58</v>
      </c>
      <c r="G198" s="17" t="s">
        <v>86</v>
      </c>
      <c r="H198" s="42" t="s">
        <v>430</v>
      </c>
      <c r="I198" s="17" t="str">
        <f t="shared" si="16"/>
        <v>PN-197</v>
      </c>
      <c r="J198" s="18" t="s">
        <v>85</v>
      </c>
      <c r="K198" s="19" t="e">
        <f>IF(J198="","SEM #CH",VLOOKUP(J198,#REF!,2,0))</f>
        <v>#REF!</v>
      </c>
      <c r="L198" s="19" t="e">
        <f>IF(J198="","SEM #CH",VLOOKUP(J198,#REF!,3,0))</f>
        <v>#REF!</v>
      </c>
      <c r="M198" s="19" t="e">
        <f>IF(J198="","SEM #CH",VLOOKUP(J198,#REF!,4,0))</f>
        <v>#REF!</v>
      </c>
      <c r="N198" s="19" t="e">
        <f>IF(J198="","SEM #CH",VLOOKUP(J198,#REF!,5,0))</f>
        <v>#REF!</v>
      </c>
      <c r="O198" s="19" t="e">
        <f>IF(J198="","SEM #CH",VLOOKUP(J198,#REF!,6,0))</f>
        <v>#REF!</v>
      </c>
      <c r="P198" s="19" t="e">
        <f>IF(J198="","SEM #CH",VLOOKUP(J198,#REF!,7,0))</f>
        <v>#REF!</v>
      </c>
      <c r="Q198" s="77" t="str">
        <f>VLOOKUP(J198,'p1'!$B$2:$C$30,2,0)</f>
        <v>NÃO TEM CHAPA</v>
      </c>
      <c r="R198" s="94">
        <v>45890</v>
      </c>
      <c r="S198" s="90" t="s">
        <v>217</v>
      </c>
      <c r="T198" s="90">
        <f t="shared" si="18"/>
        <v>1</v>
      </c>
      <c r="U198" s="94">
        <v>45895</v>
      </c>
      <c r="V198" s="90" t="s">
        <v>86</v>
      </c>
      <c r="W198" s="92">
        <v>2493</v>
      </c>
      <c r="X198" s="93">
        <f t="shared" si="17"/>
        <v>1</v>
      </c>
      <c r="Y198" s="92"/>
      <c r="Z198" s="92"/>
      <c r="AA198" s="13" t="str">
        <f t="shared" si="19"/>
        <v>ago/2025</v>
      </c>
    </row>
    <row r="199" spans="1:27" x14ac:dyDescent="0.25">
      <c r="A199" s="89">
        <v>198</v>
      </c>
      <c r="B199" s="68">
        <v>45783</v>
      </c>
      <c r="C199" s="40">
        <v>25</v>
      </c>
      <c r="D199" s="40">
        <f t="shared" si="15"/>
        <v>1</v>
      </c>
      <c r="E199" s="47" t="s">
        <v>128</v>
      </c>
      <c r="F199" s="17" t="s">
        <v>58</v>
      </c>
      <c r="G199" s="17" t="s">
        <v>86</v>
      </c>
      <c r="H199" s="42" t="s">
        <v>431</v>
      </c>
      <c r="I199" s="17" t="str">
        <f t="shared" si="16"/>
        <v>PN-198</v>
      </c>
      <c r="J199" s="18" t="s">
        <v>85</v>
      </c>
      <c r="K199" s="19" t="e">
        <f>IF(J199="","SEM #CH",VLOOKUP(J199,#REF!,2,0))</f>
        <v>#REF!</v>
      </c>
      <c r="L199" s="19" t="e">
        <f>IF(J199="","SEM #CH",VLOOKUP(J199,#REF!,3,0))</f>
        <v>#REF!</v>
      </c>
      <c r="M199" s="19" t="e">
        <f>IF(J199="","SEM #CH",VLOOKUP(J199,#REF!,4,0))</f>
        <v>#REF!</v>
      </c>
      <c r="N199" s="19" t="e">
        <f>IF(J199="","SEM #CH",VLOOKUP(J199,#REF!,5,0))</f>
        <v>#REF!</v>
      </c>
      <c r="O199" s="19" t="e">
        <f>IF(J199="","SEM #CH",VLOOKUP(J199,#REF!,6,0))</f>
        <v>#REF!</v>
      </c>
      <c r="P199" s="19" t="e">
        <f>IF(J199="","SEM #CH",VLOOKUP(J199,#REF!,7,0))</f>
        <v>#REF!</v>
      </c>
      <c r="Q199" s="77" t="str">
        <f>VLOOKUP(J199,'p1'!$B$2:$C$30,2,0)</f>
        <v>NÃO TEM CHAPA</v>
      </c>
      <c r="R199" s="94">
        <v>45889</v>
      </c>
      <c r="S199" s="90" t="s">
        <v>217</v>
      </c>
      <c r="T199" s="90">
        <f t="shared" si="18"/>
        <v>1</v>
      </c>
      <c r="U199" s="94">
        <v>45895</v>
      </c>
      <c r="V199" s="90" t="s">
        <v>86</v>
      </c>
      <c r="W199" s="92">
        <v>2494</v>
      </c>
      <c r="X199" s="93">
        <f t="shared" si="17"/>
        <v>1</v>
      </c>
      <c r="Y199" s="92"/>
      <c r="Z199" s="92"/>
      <c r="AA199" s="13" t="str">
        <f t="shared" si="19"/>
        <v>ago/2025</v>
      </c>
    </row>
    <row r="200" spans="1:27" x14ac:dyDescent="0.25">
      <c r="A200" s="89">
        <v>199</v>
      </c>
      <c r="B200" s="68">
        <v>45783</v>
      </c>
      <c r="C200" s="40">
        <v>25</v>
      </c>
      <c r="D200" s="40">
        <f t="shared" si="15"/>
        <v>1</v>
      </c>
      <c r="E200" s="47" t="s">
        <v>128</v>
      </c>
      <c r="F200" s="17" t="s">
        <v>58</v>
      </c>
      <c r="G200" s="17" t="s">
        <v>86</v>
      </c>
      <c r="H200" s="42" t="s">
        <v>432</v>
      </c>
      <c r="I200" s="17" t="str">
        <f t="shared" si="16"/>
        <v>PN-199</v>
      </c>
      <c r="J200" s="18" t="s">
        <v>85</v>
      </c>
      <c r="K200" s="19" t="e">
        <f>IF(J200="","SEM #CH",VLOOKUP(J200,#REF!,2,0))</f>
        <v>#REF!</v>
      </c>
      <c r="L200" s="19" t="e">
        <f>IF(J200="","SEM #CH",VLOOKUP(J200,#REF!,3,0))</f>
        <v>#REF!</v>
      </c>
      <c r="M200" s="19" t="e">
        <f>IF(J200="","SEM #CH",VLOOKUP(J200,#REF!,4,0))</f>
        <v>#REF!</v>
      </c>
      <c r="N200" s="19" t="e">
        <f>IF(J200="","SEM #CH",VLOOKUP(J200,#REF!,5,0))</f>
        <v>#REF!</v>
      </c>
      <c r="O200" s="19" t="e">
        <f>IF(J200="","SEM #CH",VLOOKUP(J200,#REF!,6,0))</f>
        <v>#REF!</v>
      </c>
      <c r="P200" s="19" t="e">
        <f>IF(J200="","SEM #CH",VLOOKUP(J200,#REF!,7,0))</f>
        <v>#REF!</v>
      </c>
      <c r="Q200" s="77" t="str">
        <f>VLOOKUP(J200,'p1'!$B$2:$C$30,2,0)</f>
        <v>NÃO TEM CHAPA</v>
      </c>
      <c r="R200" s="94">
        <v>45838</v>
      </c>
      <c r="S200" s="90" t="s">
        <v>217</v>
      </c>
      <c r="T200" s="90">
        <f t="shared" si="18"/>
        <v>1</v>
      </c>
      <c r="U200" s="94">
        <v>45854</v>
      </c>
      <c r="V200" s="90" t="s">
        <v>86</v>
      </c>
      <c r="W200" s="92">
        <v>2446</v>
      </c>
      <c r="X200" s="93">
        <f t="shared" si="17"/>
        <v>1</v>
      </c>
      <c r="Y200" s="92"/>
      <c r="Z200" s="92"/>
      <c r="AA200" s="13" t="str">
        <f t="shared" si="19"/>
        <v>jun/2025</v>
      </c>
    </row>
    <row r="201" spans="1:27" x14ac:dyDescent="0.25">
      <c r="A201" s="89">
        <v>200</v>
      </c>
      <c r="B201" s="68">
        <v>45783</v>
      </c>
      <c r="C201" s="40">
        <v>25</v>
      </c>
      <c r="D201" s="40">
        <f t="shared" si="15"/>
        <v>1</v>
      </c>
      <c r="E201" s="47" t="s">
        <v>128</v>
      </c>
      <c r="F201" s="17" t="s">
        <v>58</v>
      </c>
      <c r="G201" s="17" t="s">
        <v>86</v>
      </c>
      <c r="H201" s="42" t="s">
        <v>433</v>
      </c>
      <c r="I201" s="17" t="str">
        <f t="shared" si="16"/>
        <v>PN-200</v>
      </c>
      <c r="J201" s="18" t="s">
        <v>85</v>
      </c>
      <c r="K201" s="19" t="e">
        <f>IF(J201="","SEM #CH",VLOOKUP(J201,#REF!,2,0))</f>
        <v>#REF!</v>
      </c>
      <c r="L201" s="19" t="e">
        <f>IF(J201="","SEM #CH",VLOOKUP(J201,#REF!,3,0))</f>
        <v>#REF!</v>
      </c>
      <c r="M201" s="19" t="e">
        <f>IF(J201="","SEM #CH",VLOOKUP(J201,#REF!,4,0))</f>
        <v>#REF!</v>
      </c>
      <c r="N201" s="19" t="e">
        <f>IF(J201="","SEM #CH",VLOOKUP(J201,#REF!,5,0))</f>
        <v>#REF!</v>
      </c>
      <c r="O201" s="19" t="e">
        <f>IF(J201="","SEM #CH",VLOOKUP(J201,#REF!,6,0))</f>
        <v>#REF!</v>
      </c>
      <c r="P201" s="19" t="e">
        <f>IF(J201="","SEM #CH",VLOOKUP(J201,#REF!,7,0))</f>
        <v>#REF!</v>
      </c>
      <c r="Q201" s="77" t="str">
        <f>VLOOKUP(J201,'p1'!$B$2:$C$30,2,0)</f>
        <v>NÃO TEM CHAPA</v>
      </c>
      <c r="R201" s="94">
        <v>45835</v>
      </c>
      <c r="S201" s="90" t="s">
        <v>217</v>
      </c>
      <c r="T201" s="90">
        <f t="shared" si="18"/>
        <v>1</v>
      </c>
      <c r="U201" s="94">
        <v>45854</v>
      </c>
      <c r="V201" s="90" t="s">
        <v>86</v>
      </c>
      <c r="W201" s="92">
        <v>2446</v>
      </c>
      <c r="X201" s="93">
        <f t="shared" si="17"/>
        <v>1</v>
      </c>
      <c r="Y201" s="92"/>
      <c r="Z201" s="92"/>
      <c r="AA201" s="13" t="str">
        <f t="shared" si="19"/>
        <v>jun/2025</v>
      </c>
    </row>
    <row r="202" spans="1:27" x14ac:dyDescent="0.25">
      <c r="A202" s="89">
        <v>201</v>
      </c>
      <c r="B202" s="68">
        <v>45785</v>
      </c>
      <c r="C202" s="40">
        <v>26</v>
      </c>
      <c r="D202" s="40">
        <f t="shared" si="15"/>
        <v>1</v>
      </c>
      <c r="E202" s="47" t="s">
        <v>128</v>
      </c>
      <c r="F202" s="17" t="s">
        <v>58</v>
      </c>
      <c r="G202" s="17" t="s">
        <v>86</v>
      </c>
      <c r="H202" s="42" t="s">
        <v>434</v>
      </c>
      <c r="I202" s="17" t="str">
        <f t="shared" si="16"/>
        <v>PN-201</v>
      </c>
      <c r="J202" s="18" t="s">
        <v>85</v>
      </c>
      <c r="K202" s="19" t="e">
        <f>IF(J202="","SEM #CH",VLOOKUP(J202,#REF!,2,0))</f>
        <v>#REF!</v>
      </c>
      <c r="L202" s="19" t="e">
        <f>IF(J202="","SEM #CH",VLOOKUP(J202,#REF!,3,0))</f>
        <v>#REF!</v>
      </c>
      <c r="M202" s="19" t="e">
        <f>IF(J202="","SEM #CH",VLOOKUP(J202,#REF!,4,0))</f>
        <v>#REF!</v>
      </c>
      <c r="N202" s="19" t="e">
        <f>IF(J202="","SEM #CH",VLOOKUP(J202,#REF!,5,0))</f>
        <v>#REF!</v>
      </c>
      <c r="O202" s="19" t="e">
        <f>IF(J202="","SEM #CH",VLOOKUP(J202,#REF!,6,0))</f>
        <v>#REF!</v>
      </c>
      <c r="P202" s="19" t="e">
        <f>IF(J202="","SEM #CH",VLOOKUP(J202,#REF!,7,0))</f>
        <v>#REF!</v>
      </c>
      <c r="Q202" s="77" t="str">
        <f>VLOOKUP(J202,'p1'!$B$2:$C$30,2,0)</f>
        <v>NÃO TEM CHAPA</v>
      </c>
      <c r="R202" s="94">
        <v>45828</v>
      </c>
      <c r="S202" s="90" t="s">
        <v>218</v>
      </c>
      <c r="T202" s="90">
        <f t="shared" si="18"/>
        <v>1</v>
      </c>
      <c r="U202" s="94">
        <v>45832</v>
      </c>
      <c r="V202" s="90" t="s">
        <v>86</v>
      </c>
      <c r="W202" s="92">
        <v>2408</v>
      </c>
      <c r="X202" s="93">
        <f t="shared" si="17"/>
        <v>1</v>
      </c>
      <c r="Y202" s="92"/>
      <c r="Z202" s="92"/>
      <c r="AA202" s="13" t="str">
        <f t="shared" si="19"/>
        <v>jun/2025</v>
      </c>
    </row>
    <row r="203" spans="1:27" x14ac:dyDescent="0.25">
      <c r="A203" s="89">
        <v>202</v>
      </c>
      <c r="B203" s="68">
        <v>45785</v>
      </c>
      <c r="C203" s="40">
        <v>26</v>
      </c>
      <c r="D203" s="40">
        <f t="shared" si="15"/>
        <v>1</v>
      </c>
      <c r="E203" s="47" t="s">
        <v>128</v>
      </c>
      <c r="F203" s="17" t="s">
        <v>58</v>
      </c>
      <c r="G203" s="17" t="s">
        <v>86</v>
      </c>
      <c r="H203" s="42" t="s">
        <v>435</v>
      </c>
      <c r="I203" s="17" t="str">
        <f t="shared" si="16"/>
        <v>PN-202</v>
      </c>
      <c r="J203" s="18" t="s">
        <v>85</v>
      </c>
      <c r="K203" s="19" t="e">
        <f>IF(J203="","SEM #CH",VLOOKUP(J203,#REF!,2,0))</f>
        <v>#REF!</v>
      </c>
      <c r="L203" s="19" t="e">
        <f>IF(J203="","SEM #CH",VLOOKUP(J203,#REF!,3,0))</f>
        <v>#REF!</v>
      </c>
      <c r="M203" s="19" t="e">
        <f>IF(J203="","SEM #CH",VLOOKUP(J203,#REF!,4,0))</f>
        <v>#REF!</v>
      </c>
      <c r="N203" s="19" t="e">
        <f>IF(J203="","SEM #CH",VLOOKUP(J203,#REF!,5,0))</f>
        <v>#REF!</v>
      </c>
      <c r="O203" s="19" t="e">
        <f>IF(J203="","SEM #CH",VLOOKUP(J203,#REF!,6,0))</f>
        <v>#REF!</v>
      </c>
      <c r="P203" s="19" t="e">
        <f>IF(J203="","SEM #CH",VLOOKUP(J203,#REF!,7,0))</f>
        <v>#REF!</v>
      </c>
      <c r="Q203" s="77" t="str">
        <f>VLOOKUP(J203,'p1'!$B$2:$C$30,2,0)</f>
        <v>NÃO TEM CHAPA</v>
      </c>
      <c r="R203" s="94">
        <v>45828</v>
      </c>
      <c r="S203" s="90" t="s">
        <v>218</v>
      </c>
      <c r="T203" s="90">
        <f t="shared" si="18"/>
        <v>1</v>
      </c>
      <c r="U203" s="94">
        <v>45832</v>
      </c>
      <c r="V203" s="90" t="s">
        <v>86</v>
      </c>
      <c r="W203" s="92">
        <v>2408</v>
      </c>
      <c r="X203" s="93">
        <f t="shared" si="17"/>
        <v>1</v>
      </c>
      <c r="Y203" s="92"/>
      <c r="Z203" s="92"/>
      <c r="AA203" s="13" t="str">
        <f t="shared" si="19"/>
        <v>jun/2025</v>
      </c>
    </row>
    <row r="204" spans="1:27" x14ac:dyDescent="0.25">
      <c r="A204" s="89">
        <v>203</v>
      </c>
      <c r="B204" s="68">
        <v>45785</v>
      </c>
      <c r="C204" s="40">
        <v>26</v>
      </c>
      <c r="D204" s="40">
        <f t="shared" si="15"/>
        <v>1</v>
      </c>
      <c r="E204" s="47" t="s">
        <v>128</v>
      </c>
      <c r="F204" s="17" t="s">
        <v>58</v>
      </c>
      <c r="G204" s="17" t="s">
        <v>86</v>
      </c>
      <c r="H204" s="42" t="s">
        <v>436</v>
      </c>
      <c r="I204" s="17" t="str">
        <f t="shared" si="16"/>
        <v>PN-203</v>
      </c>
      <c r="J204" s="18" t="s">
        <v>85</v>
      </c>
      <c r="K204" s="19" t="e">
        <f>IF(J204="","SEM #CH",VLOOKUP(J204,#REF!,2,0))</f>
        <v>#REF!</v>
      </c>
      <c r="L204" s="19" t="e">
        <f>IF(J204="","SEM #CH",VLOOKUP(J204,#REF!,3,0))</f>
        <v>#REF!</v>
      </c>
      <c r="M204" s="19" t="e">
        <f>IF(J204="","SEM #CH",VLOOKUP(J204,#REF!,4,0))</f>
        <v>#REF!</v>
      </c>
      <c r="N204" s="19" t="e">
        <f>IF(J204="","SEM #CH",VLOOKUP(J204,#REF!,5,0))</f>
        <v>#REF!</v>
      </c>
      <c r="O204" s="19" t="e">
        <f>IF(J204="","SEM #CH",VLOOKUP(J204,#REF!,6,0))</f>
        <v>#REF!</v>
      </c>
      <c r="P204" s="19" t="e">
        <f>IF(J204="","SEM #CH",VLOOKUP(J204,#REF!,7,0))</f>
        <v>#REF!</v>
      </c>
      <c r="Q204" s="77" t="str">
        <f>VLOOKUP(J204,'p1'!$B$2:$C$30,2,0)</f>
        <v>NÃO TEM CHAPA</v>
      </c>
      <c r="R204" s="94">
        <v>45827</v>
      </c>
      <c r="S204" s="90" t="s">
        <v>218</v>
      </c>
      <c r="T204" s="90">
        <f t="shared" si="18"/>
        <v>1</v>
      </c>
      <c r="U204" s="94">
        <v>45828</v>
      </c>
      <c r="V204" s="90" t="s">
        <v>86</v>
      </c>
      <c r="W204" s="92">
        <v>2393</v>
      </c>
      <c r="X204" s="93">
        <f t="shared" si="17"/>
        <v>1</v>
      </c>
      <c r="Y204" s="92"/>
      <c r="Z204" s="92"/>
      <c r="AA204" s="13" t="str">
        <f t="shared" si="19"/>
        <v>jun/2025</v>
      </c>
    </row>
    <row r="205" spans="1:27" x14ac:dyDescent="0.25">
      <c r="A205" s="89">
        <v>204</v>
      </c>
      <c r="B205" s="68">
        <v>45785</v>
      </c>
      <c r="C205" s="40">
        <v>26</v>
      </c>
      <c r="D205" s="40">
        <f t="shared" si="15"/>
        <v>1</v>
      </c>
      <c r="E205" s="47" t="s">
        <v>128</v>
      </c>
      <c r="F205" s="17" t="s">
        <v>58</v>
      </c>
      <c r="G205" s="17" t="s">
        <v>86</v>
      </c>
      <c r="H205" s="42" t="s">
        <v>437</v>
      </c>
      <c r="I205" s="17" t="str">
        <f t="shared" si="16"/>
        <v>PN-204</v>
      </c>
      <c r="J205" s="18" t="s">
        <v>85</v>
      </c>
      <c r="K205" s="19" t="e">
        <f>IF(J205="","SEM #CH",VLOOKUP(J205,#REF!,2,0))</f>
        <v>#REF!</v>
      </c>
      <c r="L205" s="19" t="e">
        <f>IF(J205="","SEM #CH",VLOOKUP(J205,#REF!,3,0))</f>
        <v>#REF!</v>
      </c>
      <c r="M205" s="19" t="e">
        <f>IF(J205="","SEM #CH",VLOOKUP(J205,#REF!,4,0))</f>
        <v>#REF!</v>
      </c>
      <c r="N205" s="19" t="e">
        <f>IF(J205="","SEM #CH",VLOOKUP(J205,#REF!,5,0))</f>
        <v>#REF!</v>
      </c>
      <c r="O205" s="19" t="e">
        <f>IF(J205="","SEM #CH",VLOOKUP(J205,#REF!,6,0))</f>
        <v>#REF!</v>
      </c>
      <c r="P205" s="19" t="e">
        <f>IF(J205="","SEM #CH",VLOOKUP(J205,#REF!,7,0))</f>
        <v>#REF!</v>
      </c>
      <c r="Q205" s="77" t="str">
        <f>VLOOKUP(J205,'p1'!$B$2:$C$30,2,0)</f>
        <v>NÃO TEM CHAPA</v>
      </c>
      <c r="R205" s="94">
        <v>45827</v>
      </c>
      <c r="S205" s="90" t="s">
        <v>218</v>
      </c>
      <c r="T205" s="90">
        <f t="shared" si="18"/>
        <v>1</v>
      </c>
      <c r="U205" s="94">
        <v>45828</v>
      </c>
      <c r="V205" s="90" t="s">
        <v>86</v>
      </c>
      <c r="W205" s="92">
        <v>2393</v>
      </c>
      <c r="X205" s="93">
        <f t="shared" si="17"/>
        <v>1</v>
      </c>
      <c r="Y205" s="92"/>
      <c r="Z205" s="92"/>
      <c r="AA205" s="13" t="str">
        <f t="shared" si="19"/>
        <v>jun/2025</v>
      </c>
    </row>
    <row r="206" spans="1:27" x14ac:dyDescent="0.25">
      <c r="A206" s="89">
        <v>205</v>
      </c>
      <c r="B206" s="68">
        <v>45785</v>
      </c>
      <c r="C206" s="40">
        <v>26</v>
      </c>
      <c r="D206" s="40">
        <f t="shared" si="15"/>
        <v>1</v>
      </c>
      <c r="E206" s="47" t="s">
        <v>128</v>
      </c>
      <c r="F206" s="17" t="s">
        <v>58</v>
      </c>
      <c r="G206" s="17" t="s">
        <v>86</v>
      </c>
      <c r="H206" s="42" t="s">
        <v>438</v>
      </c>
      <c r="I206" s="17" t="str">
        <f t="shared" si="16"/>
        <v>PN-205</v>
      </c>
      <c r="J206" s="18" t="s">
        <v>85</v>
      </c>
      <c r="K206" s="19" t="e">
        <f>IF(J206="","SEM #CH",VLOOKUP(J206,#REF!,2,0))</f>
        <v>#REF!</v>
      </c>
      <c r="L206" s="19" t="e">
        <f>IF(J206="","SEM #CH",VLOOKUP(J206,#REF!,3,0))</f>
        <v>#REF!</v>
      </c>
      <c r="M206" s="19" t="e">
        <f>IF(J206="","SEM #CH",VLOOKUP(J206,#REF!,4,0))</f>
        <v>#REF!</v>
      </c>
      <c r="N206" s="19" t="e">
        <f>IF(J206="","SEM #CH",VLOOKUP(J206,#REF!,5,0))</f>
        <v>#REF!</v>
      </c>
      <c r="O206" s="19" t="e">
        <f>IF(J206="","SEM #CH",VLOOKUP(J206,#REF!,6,0))</f>
        <v>#REF!</v>
      </c>
      <c r="P206" s="19" t="e">
        <f>IF(J206="","SEM #CH",VLOOKUP(J206,#REF!,7,0))</f>
        <v>#REF!</v>
      </c>
      <c r="Q206" s="77" t="str">
        <f>VLOOKUP(J206,'p1'!$B$2:$C$30,2,0)</f>
        <v>NÃO TEM CHAPA</v>
      </c>
      <c r="R206" s="94">
        <v>45827</v>
      </c>
      <c r="S206" s="90" t="s">
        <v>218</v>
      </c>
      <c r="T206" s="90">
        <f t="shared" si="18"/>
        <v>1</v>
      </c>
      <c r="U206" s="94">
        <v>45828</v>
      </c>
      <c r="V206" s="90" t="s">
        <v>86</v>
      </c>
      <c r="W206" s="92">
        <v>2402</v>
      </c>
      <c r="X206" s="93">
        <f t="shared" si="17"/>
        <v>1</v>
      </c>
      <c r="Y206" s="92"/>
      <c r="Z206" s="92"/>
      <c r="AA206" s="13" t="str">
        <f t="shared" si="19"/>
        <v>jun/2025</v>
      </c>
    </row>
    <row r="207" spans="1:27" x14ac:dyDescent="0.25">
      <c r="A207" s="89">
        <v>206</v>
      </c>
      <c r="B207" s="68">
        <v>45785</v>
      </c>
      <c r="C207" s="40">
        <v>26</v>
      </c>
      <c r="D207" s="40">
        <f t="shared" si="15"/>
        <v>1</v>
      </c>
      <c r="E207" s="47" t="s">
        <v>128</v>
      </c>
      <c r="F207" s="17" t="s">
        <v>58</v>
      </c>
      <c r="G207" s="17" t="s">
        <v>86</v>
      </c>
      <c r="H207" s="42" t="s">
        <v>439</v>
      </c>
      <c r="I207" s="17" t="str">
        <f t="shared" si="16"/>
        <v>PN-206</v>
      </c>
      <c r="J207" s="18" t="s">
        <v>85</v>
      </c>
      <c r="K207" s="19" t="e">
        <f>IF(J207="","SEM #CH",VLOOKUP(J207,#REF!,2,0))</f>
        <v>#REF!</v>
      </c>
      <c r="L207" s="19" t="e">
        <f>IF(J207="","SEM #CH",VLOOKUP(J207,#REF!,3,0))</f>
        <v>#REF!</v>
      </c>
      <c r="M207" s="19" t="e">
        <f>IF(J207="","SEM #CH",VLOOKUP(J207,#REF!,4,0))</f>
        <v>#REF!</v>
      </c>
      <c r="N207" s="19" t="e">
        <f>IF(J207="","SEM #CH",VLOOKUP(J207,#REF!,5,0))</f>
        <v>#REF!</v>
      </c>
      <c r="O207" s="19" t="e">
        <f>IF(J207="","SEM #CH",VLOOKUP(J207,#REF!,6,0))</f>
        <v>#REF!</v>
      </c>
      <c r="P207" s="19" t="e">
        <f>IF(J207="","SEM #CH",VLOOKUP(J207,#REF!,7,0))</f>
        <v>#REF!</v>
      </c>
      <c r="Q207" s="77" t="str">
        <f>VLOOKUP(J207,'p1'!$B$2:$C$30,2,0)</f>
        <v>NÃO TEM CHAPA</v>
      </c>
      <c r="R207" s="94">
        <v>45825</v>
      </c>
      <c r="S207" s="90" t="s">
        <v>218</v>
      </c>
      <c r="T207" s="90">
        <f t="shared" si="18"/>
        <v>1</v>
      </c>
      <c r="U207" s="94">
        <v>45828</v>
      </c>
      <c r="V207" s="90" t="s">
        <v>86</v>
      </c>
      <c r="W207" s="92">
        <v>2402</v>
      </c>
      <c r="X207" s="93">
        <f t="shared" si="17"/>
        <v>1</v>
      </c>
      <c r="Y207" s="92"/>
      <c r="Z207" s="92"/>
      <c r="AA207" s="13" t="str">
        <f t="shared" si="19"/>
        <v>jun/2025</v>
      </c>
    </row>
    <row r="208" spans="1:27" x14ac:dyDescent="0.25">
      <c r="A208" s="89">
        <v>207</v>
      </c>
      <c r="B208" s="68">
        <v>45785</v>
      </c>
      <c r="C208" s="40">
        <v>26</v>
      </c>
      <c r="D208" s="40">
        <f t="shared" si="15"/>
        <v>1</v>
      </c>
      <c r="E208" s="47" t="s">
        <v>128</v>
      </c>
      <c r="F208" s="17" t="s">
        <v>58</v>
      </c>
      <c r="G208" s="17" t="s">
        <v>86</v>
      </c>
      <c r="H208" s="42" t="s">
        <v>440</v>
      </c>
      <c r="I208" s="17" t="str">
        <f t="shared" si="16"/>
        <v>PN-207</v>
      </c>
      <c r="J208" s="18" t="s">
        <v>85</v>
      </c>
      <c r="K208" s="19" t="e">
        <f>IF(J208="","SEM #CH",VLOOKUP(J208,#REF!,2,0))</f>
        <v>#REF!</v>
      </c>
      <c r="L208" s="19" t="e">
        <f>IF(J208="","SEM #CH",VLOOKUP(J208,#REF!,3,0))</f>
        <v>#REF!</v>
      </c>
      <c r="M208" s="19" t="e">
        <f>IF(J208="","SEM #CH",VLOOKUP(J208,#REF!,4,0))</f>
        <v>#REF!</v>
      </c>
      <c r="N208" s="19" t="e">
        <f>IF(J208="","SEM #CH",VLOOKUP(J208,#REF!,5,0))</f>
        <v>#REF!</v>
      </c>
      <c r="O208" s="19" t="e">
        <f>IF(J208="","SEM #CH",VLOOKUP(J208,#REF!,6,0))</f>
        <v>#REF!</v>
      </c>
      <c r="P208" s="19" t="e">
        <f>IF(J208="","SEM #CH",VLOOKUP(J208,#REF!,7,0))</f>
        <v>#REF!</v>
      </c>
      <c r="Q208" s="77" t="str">
        <f>VLOOKUP(J208,'p1'!$B$2:$C$30,2,0)</f>
        <v>NÃO TEM CHAPA</v>
      </c>
      <c r="R208" s="94">
        <v>45825</v>
      </c>
      <c r="S208" s="90" t="s">
        <v>218</v>
      </c>
      <c r="T208" s="90">
        <f t="shared" si="18"/>
        <v>1</v>
      </c>
      <c r="U208" s="94">
        <v>45828</v>
      </c>
      <c r="V208" s="90" t="s">
        <v>86</v>
      </c>
      <c r="W208" s="92">
        <v>2393</v>
      </c>
      <c r="X208" s="93">
        <f t="shared" si="17"/>
        <v>1</v>
      </c>
      <c r="Y208" s="92"/>
      <c r="Z208" s="92"/>
      <c r="AA208" s="13" t="str">
        <f t="shared" si="19"/>
        <v>jun/2025</v>
      </c>
    </row>
    <row r="209" spans="1:27" x14ac:dyDescent="0.25">
      <c r="A209" s="89">
        <v>208</v>
      </c>
      <c r="B209" s="68">
        <v>45786</v>
      </c>
      <c r="C209" s="40">
        <v>27</v>
      </c>
      <c r="D209" s="40">
        <f t="shared" si="15"/>
        <v>1</v>
      </c>
      <c r="E209" s="47" t="s">
        <v>128</v>
      </c>
      <c r="F209" s="17" t="s">
        <v>58</v>
      </c>
      <c r="G209" s="17" t="s">
        <v>86</v>
      </c>
      <c r="H209" s="42" t="s">
        <v>441</v>
      </c>
      <c r="I209" s="17" t="str">
        <f t="shared" si="16"/>
        <v>PN-208</v>
      </c>
      <c r="J209" s="18" t="s">
        <v>85</v>
      </c>
      <c r="K209" s="19" t="e">
        <f>IF(J209="","SEM #CH",VLOOKUP(J209,#REF!,2,0))</f>
        <v>#REF!</v>
      </c>
      <c r="L209" s="19" t="e">
        <f>IF(J209="","SEM #CH",VLOOKUP(J209,#REF!,3,0))</f>
        <v>#REF!</v>
      </c>
      <c r="M209" s="19" t="e">
        <f>IF(J209="","SEM #CH",VLOOKUP(J209,#REF!,4,0))</f>
        <v>#REF!</v>
      </c>
      <c r="N209" s="19" t="e">
        <f>IF(J209="","SEM #CH",VLOOKUP(J209,#REF!,5,0))</f>
        <v>#REF!</v>
      </c>
      <c r="O209" s="19" t="e">
        <f>IF(J209="","SEM #CH",VLOOKUP(J209,#REF!,6,0))</f>
        <v>#REF!</v>
      </c>
      <c r="P209" s="19" t="e">
        <f>IF(J209="","SEM #CH",VLOOKUP(J209,#REF!,7,0))</f>
        <v>#REF!</v>
      </c>
      <c r="Q209" s="77" t="str">
        <f>VLOOKUP(J209,'p1'!$B$2:$C$30,2,0)</f>
        <v>NÃO TEM CHAPA</v>
      </c>
      <c r="R209" s="94">
        <v>45826</v>
      </c>
      <c r="S209" s="90" t="s">
        <v>217</v>
      </c>
      <c r="T209" s="90">
        <f t="shared" si="18"/>
        <v>1</v>
      </c>
      <c r="U209" s="94">
        <v>45828</v>
      </c>
      <c r="V209" s="90" t="s">
        <v>86</v>
      </c>
      <c r="W209" s="92">
        <v>2403</v>
      </c>
      <c r="X209" s="93">
        <f t="shared" si="17"/>
        <v>1</v>
      </c>
      <c r="Y209" s="92"/>
      <c r="Z209" s="92"/>
      <c r="AA209" s="13" t="str">
        <f t="shared" si="19"/>
        <v>jun/2025</v>
      </c>
    </row>
    <row r="210" spans="1:27" x14ac:dyDescent="0.25">
      <c r="A210" s="89">
        <v>209</v>
      </c>
      <c r="B210" s="68">
        <v>45786</v>
      </c>
      <c r="C210" s="40">
        <v>27</v>
      </c>
      <c r="D210" s="40">
        <f t="shared" si="15"/>
        <v>1</v>
      </c>
      <c r="E210" s="47" t="s">
        <v>128</v>
      </c>
      <c r="F210" s="17" t="s">
        <v>58</v>
      </c>
      <c r="G210" s="17" t="s">
        <v>86</v>
      </c>
      <c r="H210" s="42" t="s">
        <v>442</v>
      </c>
      <c r="I210" s="17" t="str">
        <f t="shared" si="16"/>
        <v>PN-209</v>
      </c>
      <c r="J210" s="18" t="s">
        <v>85</v>
      </c>
      <c r="K210" s="19" t="e">
        <f>IF(J210="","SEM #CH",VLOOKUP(J210,#REF!,2,0))</f>
        <v>#REF!</v>
      </c>
      <c r="L210" s="19" t="e">
        <f>IF(J210="","SEM #CH",VLOOKUP(J210,#REF!,3,0))</f>
        <v>#REF!</v>
      </c>
      <c r="M210" s="19" t="e">
        <f>IF(J210="","SEM #CH",VLOOKUP(J210,#REF!,4,0))</f>
        <v>#REF!</v>
      </c>
      <c r="N210" s="19" t="e">
        <f>IF(J210="","SEM #CH",VLOOKUP(J210,#REF!,5,0))</f>
        <v>#REF!</v>
      </c>
      <c r="O210" s="19" t="e">
        <f>IF(J210="","SEM #CH",VLOOKUP(J210,#REF!,6,0))</f>
        <v>#REF!</v>
      </c>
      <c r="P210" s="19" t="e">
        <f>IF(J210="","SEM #CH",VLOOKUP(J210,#REF!,7,0))</f>
        <v>#REF!</v>
      </c>
      <c r="Q210" s="77" t="str">
        <f>VLOOKUP(J210,'p1'!$B$2:$C$30,2,0)</f>
        <v>NÃO TEM CHAPA</v>
      </c>
      <c r="R210" s="94">
        <v>45827</v>
      </c>
      <c r="S210" s="90" t="s">
        <v>217</v>
      </c>
      <c r="T210" s="90">
        <f t="shared" si="18"/>
        <v>1</v>
      </c>
      <c r="U210" s="94">
        <v>45835</v>
      </c>
      <c r="V210" s="90" t="s">
        <v>86</v>
      </c>
      <c r="W210" s="92">
        <v>2422</v>
      </c>
      <c r="X210" s="93">
        <f t="shared" si="17"/>
        <v>1</v>
      </c>
      <c r="Y210" s="92"/>
      <c r="Z210" s="92"/>
      <c r="AA210" s="13" t="str">
        <f t="shared" si="19"/>
        <v>jun/2025</v>
      </c>
    </row>
    <row r="211" spans="1:27" x14ac:dyDescent="0.25">
      <c r="A211" s="89">
        <v>210</v>
      </c>
      <c r="B211" s="68">
        <v>45786</v>
      </c>
      <c r="C211" s="40">
        <v>27</v>
      </c>
      <c r="D211" s="40">
        <f t="shared" si="15"/>
        <v>1</v>
      </c>
      <c r="E211" s="47" t="s">
        <v>128</v>
      </c>
      <c r="F211" s="17" t="s">
        <v>58</v>
      </c>
      <c r="G211" s="17" t="s">
        <v>86</v>
      </c>
      <c r="H211" s="42" t="s">
        <v>443</v>
      </c>
      <c r="I211" s="17" t="str">
        <f t="shared" si="16"/>
        <v>PN-210</v>
      </c>
      <c r="J211" s="18" t="s">
        <v>85</v>
      </c>
      <c r="K211" s="19" t="e">
        <f>IF(J211="","SEM #CH",VLOOKUP(J211,#REF!,2,0))</f>
        <v>#REF!</v>
      </c>
      <c r="L211" s="19" t="e">
        <f>IF(J211="","SEM #CH",VLOOKUP(J211,#REF!,3,0))</f>
        <v>#REF!</v>
      </c>
      <c r="M211" s="19" t="e">
        <f>IF(J211="","SEM #CH",VLOOKUP(J211,#REF!,4,0))</f>
        <v>#REF!</v>
      </c>
      <c r="N211" s="19" t="e">
        <f>IF(J211="","SEM #CH",VLOOKUP(J211,#REF!,5,0))</f>
        <v>#REF!</v>
      </c>
      <c r="O211" s="19" t="e">
        <f>IF(J211="","SEM #CH",VLOOKUP(J211,#REF!,6,0))</f>
        <v>#REF!</v>
      </c>
      <c r="P211" s="19" t="e">
        <f>IF(J211="","SEM #CH",VLOOKUP(J211,#REF!,7,0))</f>
        <v>#REF!</v>
      </c>
      <c r="Q211" s="77" t="str">
        <f>VLOOKUP(J211,'p1'!$B$2:$C$30,2,0)</f>
        <v>NÃO TEM CHAPA</v>
      </c>
      <c r="R211" s="94">
        <v>45797</v>
      </c>
      <c r="S211" s="90" t="s">
        <v>217</v>
      </c>
      <c r="T211" s="90">
        <f t="shared" si="18"/>
        <v>1</v>
      </c>
      <c r="U211" s="94">
        <v>45835</v>
      </c>
      <c r="V211" s="90" t="s">
        <v>86</v>
      </c>
      <c r="W211" s="92">
        <v>2419</v>
      </c>
      <c r="X211" s="93">
        <f t="shared" si="17"/>
        <v>1</v>
      </c>
      <c r="Y211" s="92"/>
      <c r="Z211" s="92"/>
      <c r="AA211" s="13" t="str">
        <f t="shared" si="19"/>
        <v>mai/2025</v>
      </c>
    </row>
    <row r="212" spans="1:27" x14ac:dyDescent="0.25">
      <c r="A212" s="89">
        <v>211</v>
      </c>
      <c r="B212" s="68">
        <v>45821</v>
      </c>
      <c r="C212" s="40">
        <v>35</v>
      </c>
      <c r="D212" s="40">
        <f t="shared" si="15"/>
        <v>1</v>
      </c>
      <c r="E212" s="47" t="s">
        <v>128</v>
      </c>
      <c r="F212" s="17" t="s">
        <v>60</v>
      </c>
      <c r="G212" s="17" t="s">
        <v>86</v>
      </c>
      <c r="H212" s="42" t="s">
        <v>444</v>
      </c>
      <c r="I212" s="17" t="str">
        <f t="shared" si="16"/>
        <v>PE-211</v>
      </c>
      <c r="J212" s="18" t="s">
        <v>88</v>
      </c>
      <c r="K212" s="19" t="e">
        <f>IF(J212="","SEM #CH",VLOOKUP(J212,#REF!,2,0))</f>
        <v>#REF!</v>
      </c>
      <c r="L212" s="19" t="e">
        <f>IF(J212="","SEM #CH",VLOOKUP(J212,#REF!,3,0))</f>
        <v>#REF!</v>
      </c>
      <c r="M212" s="19" t="e">
        <f>IF(J212="","SEM #CH",VLOOKUP(J212,#REF!,4,0))</f>
        <v>#REF!</v>
      </c>
      <c r="N212" s="19" t="e">
        <f>IF(J212="","SEM #CH",VLOOKUP(J212,#REF!,5,0))</f>
        <v>#REF!</v>
      </c>
      <c r="O212" s="19" t="e">
        <f>IF(J212="","SEM #CH",VLOOKUP(J212,#REF!,6,0))</f>
        <v>#REF!</v>
      </c>
      <c r="P212" s="19" t="e">
        <f>IF(J212="","SEM #CH",VLOOKUP(J212,#REF!,7,0))</f>
        <v>#REF!</v>
      </c>
      <c r="Q212" s="77" t="str">
        <f>VLOOKUP(J212,'p1'!$B$2:$C$30,2,0)</f>
        <v>#3/8-1315X1315</v>
      </c>
      <c r="R212" s="94">
        <v>45847</v>
      </c>
      <c r="S212" s="90" t="s">
        <v>217</v>
      </c>
      <c r="T212" s="90">
        <f t="shared" si="18"/>
        <v>1</v>
      </c>
      <c r="U212" s="94">
        <v>45859</v>
      </c>
      <c r="V212" s="90" t="s">
        <v>86</v>
      </c>
      <c r="W212" s="92">
        <v>2454</v>
      </c>
      <c r="X212" s="93">
        <f t="shared" si="17"/>
        <v>1</v>
      </c>
      <c r="Y212" s="92"/>
      <c r="Z212" s="92"/>
      <c r="AA212" s="13" t="str">
        <f t="shared" si="19"/>
        <v>jul/2025</v>
      </c>
    </row>
    <row r="213" spans="1:27" x14ac:dyDescent="0.25">
      <c r="A213" s="89">
        <v>212</v>
      </c>
      <c r="B213" s="68">
        <v>45786</v>
      </c>
      <c r="C213" s="40">
        <v>27</v>
      </c>
      <c r="D213" s="40">
        <f t="shared" si="15"/>
        <v>1</v>
      </c>
      <c r="E213" s="47" t="s">
        <v>128</v>
      </c>
      <c r="F213" s="17" t="s">
        <v>58</v>
      </c>
      <c r="G213" s="17" t="s">
        <v>86</v>
      </c>
      <c r="H213" s="42" t="s">
        <v>445</v>
      </c>
      <c r="I213" s="17" t="str">
        <f t="shared" si="16"/>
        <v>PN-212</v>
      </c>
      <c r="J213" s="18" t="s">
        <v>85</v>
      </c>
      <c r="K213" s="19" t="e">
        <f>IF(J213="","SEM #CH",VLOOKUP(J213,#REF!,2,0))</f>
        <v>#REF!</v>
      </c>
      <c r="L213" s="19" t="e">
        <f>IF(J213="","SEM #CH",VLOOKUP(J213,#REF!,3,0))</f>
        <v>#REF!</v>
      </c>
      <c r="M213" s="19" t="e">
        <f>IF(J213="","SEM #CH",VLOOKUP(J213,#REF!,4,0))</f>
        <v>#REF!</v>
      </c>
      <c r="N213" s="19" t="e">
        <f>IF(J213="","SEM #CH",VLOOKUP(J213,#REF!,5,0))</f>
        <v>#REF!</v>
      </c>
      <c r="O213" s="19" t="e">
        <f>IF(J213="","SEM #CH",VLOOKUP(J213,#REF!,6,0))</f>
        <v>#REF!</v>
      </c>
      <c r="P213" s="19" t="e">
        <f>IF(J213="","SEM #CH",VLOOKUP(J213,#REF!,7,0))</f>
        <v>#REF!</v>
      </c>
      <c r="Q213" s="77" t="str">
        <f>VLOOKUP(J213,'p1'!$B$2:$C$30,2,0)</f>
        <v>NÃO TEM CHAPA</v>
      </c>
      <c r="R213" s="94">
        <v>45797</v>
      </c>
      <c r="S213" s="90" t="s">
        <v>217</v>
      </c>
      <c r="T213" s="90">
        <f t="shared" si="18"/>
        <v>1</v>
      </c>
      <c r="U213" s="94">
        <v>45905</v>
      </c>
      <c r="V213" s="90" t="s">
        <v>1156</v>
      </c>
      <c r="W213" s="92">
        <v>2505</v>
      </c>
      <c r="X213" s="93">
        <f t="shared" si="17"/>
        <v>1</v>
      </c>
      <c r="Y213" s="92"/>
      <c r="Z213" s="92"/>
      <c r="AA213" s="13" t="str">
        <f t="shared" si="19"/>
        <v>mai/2025</v>
      </c>
    </row>
    <row r="214" spans="1:27" x14ac:dyDescent="0.25">
      <c r="A214" s="89">
        <v>213</v>
      </c>
      <c r="B214" s="68">
        <v>45786</v>
      </c>
      <c r="C214" s="40">
        <v>27</v>
      </c>
      <c r="D214" s="40">
        <f t="shared" si="15"/>
        <v>1</v>
      </c>
      <c r="E214" s="47" t="s">
        <v>128</v>
      </c>
      <c r="F214" s="17" t="s">
        <v>58</v>
      </c>
      <c r="G214" s="17" t="s">
        <v>86</v>
      </c>
      <c r="H214" s="42" t="s">
        <v>446</v>
      </c>
      <c r="I214" s="17" t="str">
        <f t="shared" si="16"/>
        <v>PN-213</v>
      </c>
      <c r="J214" s="18" t="s">
        <v>85</v>
      </c>
      <c r="K214" s="19" t="e">
        <f>IF(J214="","SEM #CH",VLOOKUP(J214,#REF!,2,0))</f>
        <v>#REF!</v>
      </c>
      <c r="L214" s="19" t="e">
        <f>IF(J214="","SEM #CH",VLOOKUP(J214,#REF!,3,0))</f>
        <v>#REF!</v>
      </c>
      <c r="M214" s="19" t="e">
        <f>IF(J214="","SEM #CH",VLOOKUP(J214,#REF!,4,0))</f>
        <v>#REF!</v>
      </c>
      <c r="N214" s="19" t="e">
        <f>IF(J214="","SEM #CH",VLOOKUP(J214,#REF!,5,0))</f>
        <v>#REF!</v>
      </c>
      <c r="O214" s="19" t="e">
        <f>IF(J214="","SEM #CH",VLOOKUP(J214,#REF!,6,0))</f>
        <v>#REF!</v>
      </c>
      <c r="P214" s="19" t="e">
        <f>IF(J214="","SEM #CH",VLOOKUP(J214,#REF!,7,0))</f>
        <v>#REF!</v>
      </c>
      <c r="Q214" s="77" t="str">
        <f>VLOOKUP(J214,'p1'!$B$2:$C$30,2,0)</f>
        <v>NÃO TEM CHAPA</v>
      </c>
      <c r="R214" s="94">
        <v>45796</v>
      </c>
      <c r="S214" s="90" t="s">
        <v>217</v>
      </c>
      <c r="T214" s="90">
        <f t="shared" si="18"/>
        <v>1</v>
      </c>
      <c r="U214" s="94">
        <v>45902</v>
      </c>
      <c r="V214" s="90" t="s">
        <v>86</v>
      </c>
      <c r="W214" s="92">
        <v>2503</v>
      </c>
      <c r="X214" s="93">
        <f t="shared" si="17"/>
        <v>1</v>
      </c>
      <c r="Y214" s="92"/>
      <c r="Z214" s="92"/>
      <c r="AA214" s="13" t="str">
        <f t="shared" si="19"/>
        <v>mai/2025</v>
      </c>
    </row>
    <row r="215" spans="1:27" x14ac:dyDescent="0.25">
      <c r="A215" s="89">
        <v>214</v>
      </c>
      <c r="B215" s="68">
        <v>45786</v>
      </c>
      <c r="C215" s="40">
        <v>27</v>
      </c>
      <c r="D215" s="40">
        <f t="shared" si="15"/>
        <v>1</v>
      </c>
      <c r="E215" s="47" t="s">
        <v>128</v>
      </c>
      <c r="F215" s="17" t="s">
        <v>58</v>
      </c>
      <c r="G215" s="17" t="s">
        <v>86</v>
      </c>
      <c r="H215" s="42" t="s">
        <v>447</v>
      </c>
      <c r="I215" s="17" t="str">
        <f t="shared" si="16"/>
        <v>PN-214</v>
      </c>
      <c r="J215" s="18" t="s">
        <v>85</v>
      </c>
      <c r="K215" s="19" t="e">
        <f>IF(J215="","SEM #CH",VLOOKUP(J215,#REF!,2,0))</f>
        <v>#REF!</v>
      </c>
      <c r="L215" s="19" t="e">
        <f>IF(J215="","SEM #CH",VLOOKUP(J215,#REF!,3,0))</f>
        <v>#REF!</v>
      </c>
      <c r="M215" s="19" t="e">
        <f>IF(J215="","SEM #CH",VLOOKUP(J215,#REF!,4,0))</f>
        <v>#REF!</v>
      </c>
      <c r="N215" s="19" t="e">
        <f>IF(J215="","SEM #CH",VLOOKUP(J215,#REF!,5,0))</f>
        <v>#REF!</v>
      </c>
      <c r="O215" s="19" t="e">
        <f>IF(J215="","SEM #CH",VLOOKUP(J215,#REF!,6,0))</f>
        <v>#REF!</v>
      </c>
      <c r="P215" s="19" t="e">
        <f>IF(J215="","SEM #CH",VLOOKUP(J215,#REF!,7,0))</f>
        <v>#REF!</v>
      </c>
      <c r="Q215" s="77" t="str">
        <f>VLOOKUP(J215,'p1'!$B$2:$C$30,2,0)</f>
        <v>NÃO TEM CHAPA</v>
      </c>
      <c r="R215" s="94">
        <v>45796</v>
      </c>
      <c r="S215" s="90" t="s">
        <v>217</v>
      </c>
      <c r="T215" s="90">
        <f t="shared" si="18"/>
        <v>1</v>
      </c>
      <c r="U215" s="94">
        <v>45898</v>
      </c>
      <c r="V215" s="90" t="s">
        <v>86</v>
      </c>
      <c r="W215" s="92">
        <v>2500</v>
      </c>
      <c r="X215" s="93">
        <f t="shared" si="17"/>
        <v>1</v>
      </c>
      <c r="Y215" s="92"/>
      <c r="Z215" s="92"/>
      <c r="AA215" s="13" t="str">
        <f t="shared" si="19"/>
        <v>mai/2025</v>
      </c>
    </row>
    <row r="216" spans="1:27" x14ac:dyDescent="0.25">
      <c r="A216" s="89">
        <v>215</v>
      </c>
      <c r="B216" s="68">
        <v>45786</v>
      </c>
      <c r="C216" s="40">
        <v>27</v>
      </c>
      <c r="D216" s="40">
        <f t="shared" si="15"/>
        <v>1</v>
      </c>
      <c r="E216" s="47" t="s">
        <v>128</v>
      </c>
      <c r="F216" s="17" t="s">
        <v>58</v>
      </c>
      <c r="G216" s="17" t="s">
        <v>86</v>
      </c>
      <c r="H216" s="42" t="s">
        <v>448</v>
      </c>
      <c r="I216" s="17" t="str">
        <f t="shared" si="16"/>
        <v>PN-215</v>
      </c>
      <c r="J216" s="18" t="s">
        <v>85</v>
      </c>
      <c r="K216" s="19" t="e">
        <f>IF(J216="","SEM #CH",VLOOKUP(J216,#REF!,2,0))</f>
        <v>#REF!</v>
      </c>
      <c r="L216" s="19" t="e">
        <f>IF(J216="","SEM #CH",VLOOKUP(J216,#REF!,3,0))</f>
        <v>#REF!</v>
      </c>
      <c r="M216" s="19" t="e">
        <f>IF(J216="","SEM #CH",VLOOKUP(J216,#REF!,4,0))</f>
        <v>#REF!</v>
      </c>
      <c r="N216" s="19" t="e">
        <f>IF(J216="","SEM #CH",VLOOKUP(J216,#REF!,5,0))</f>
        <v>#REF!</v>
      </c>
      <c r="O216" s="19" t="e">
        <f>IF(J216="","SEM #CH",VLOOKUP(J216,#REF!,6,0))</f>
        <v>#REF!</v>
      </c>
      <c r="P216" s="19" t="e">
        <f>IF(J216="","SEM #CH",VLOOKUP(J216,#REF!,7,0))</f>
        <v>#REF!</v>
      </c>
      <c r="Q216" s="77" t="str">
        <f>VLOOKUP(J216,'p1'!$B$2:$C$30,2,0)</f>
        <v>NÃO TEM CHAPA</v>
      </c>
      <c r="R216" s="94">
        <v>45793</v>
      </c>
      <c r="S216" s="90" t="s">
        <v>217</v>
      </c>
      <c r="T216" s="90">
        <f t="shared" si="18"/>
        <v>1</v>
      </c>
      <c r="U216" s="94">
        <v>45898</v>
      </c>
      <c r="V216" s="90" t="s">
        <v>86</v>
      </c>
      <c r="W216" s="92">
        <v>2500</v>
      </c>
      <c r="X216" s="93">
        <f t="shared" si="17"/>
        <v>1</v>
      </c>
      <c r="Y216" s="92"/>
      <c r="Z216" s="92"/>
      <c r="AA216" s="13" t="str">
        <f t="shared" si="19"/>
        <v>mai/2025</v>
      </c>
    </row>
    <row r="217" spans="1:27" x14ac:dyDescent="0.25">
      <c r="A217" s="89">
        <v>216</v>
      </c>
      <c r="B217" s="68">
        <v>45789</v>
      </c>
      <c r="C217" s="40">
        <v>28</v>
      </c>
      <c r="D217" s="40">
        <f t="shared" si="15"/>
        <v>1</v>
      </c>
      <c r="E217" s="47" t="s">
        <v>128</v>
      </c>
      <c r="F217" s="17" t="s">
        <v>58</v>
      </c>
      <c r="G217" s="17" t="s">
        <v>86</v>
      </c>
      <c r="H217" s="42" t="s">
        <v>449</v>
      </c>
      <c r="I217" s="17" t="str">
        <f t="shared" si="16"/>
        <v>PN-216</v>
      </c>
      <c r="J217" s="18" t="s">
        <v>85</v>
      </c>
      <c r="K217" s="19" t="e">
        <f>IF(J217="","SEM #CH",VLOOKUP(J217,#REF!,2,0))</f>
        <v>#REF!</v>
      </c>
      <c r="L217" s="19" t="e">
        <f>IF(J217="","SEM #CH",VLOOKUP(J217,#REF!,3,0))</f>
        <v>#REF!</v>
      </c>
      <c r="M217" s="19" t="e">
        <f>IF(J217="","SEM #CH",VLOOKUP(J217,#REF!,4,0))</f>
        <v>#REF!</v>
      </c>
      <c r="N217" s="19" t="e">
        <f>IF(J217="","SEM #CH",VLOOKUP(J217,#REF!,5,0))</f>
        <v>#REF!</v>
      </c>
      <c r="O217" s="19" t="e">
        <f>IF(J217="","SEM #CH",VLOOKUP(J217,#REF!,6,0))</f>
        <v>#REF!</v>
      </c>
      <c r="P217" s="19" t="e">
        <f>IF(J217="","SEM #CH",VLOOKUP(J217,#REF!,7,0))</f>
        <v>#REF!</v>
      </c>
      <c r="Q217" s="77" t="str">
        <f>VLOOKUP(J217,'p1'!$B$2:$C$30,2,0)</f>
        <v>NÃO TEM CHAPA</v>
      </c>
      <c r="R217" s="94">
        <v>45820</v>
      </c>
      <c r="S217" s="90" t="s">
        <v>218</v>
      </c>
      <c r="T217" s="90">
        <f t="shared" si="18"/>
        <v>1</v>
      </c>
      <c r="U217" s="94">
        <v>45831</v>
      </c>
      <c r="V217" s="90" t="s">
        <v>86</v>
      </c>
      <c r="W217" s="92">
        <v>2407</v>
      </c>
      <c r="X217" s="93">
        <f t="shared" si="17"/>
        <v>1</v>
      </c>
      <c r="Y217" s="92"/>
      <c r="Z217" s="92"/>
      <c r="AA217" s="13" t="str">
        <f t="shared" si="19"/>
        <v>jun/2025</v>
      </c>
    </row>
    <row r="218" spans="1:27" x14ac:dyDescent="0.25">
      <c r="A218" s="89">
        <v>217</v>
      </c>
      <c r="B218" s="68">
        <v>45789</v>
      </c>
      <c r="C218" s="40">
        <v>28</v>
      </c>
      <c r="D218" s="40">
        <f t="shared" si="15"/>
        <v>1</v>
      </c>
      <c r="E218" s="47" t="s">
        <v>128</v>
      </c>
      <c r="F218" s="17" t="s">
        <v>58</v>
      </c>
      <c r="G218" s="17" t="s">
        <v>86</v>
      </c>
      <c r="H218" s="42" t="s">
        <v>450</v>
      </c>
      <c r="I218" s="17" t="str">
        <f t="shared" si="16"/>
        <v>PN-217</v>
      </c>
      <c r="J218" s="18" t="s">
        <v>85</v>
      </c>
      <c r="K218" s="19" t="e">
        <f>IF(J218="","SEM #CH",VLOOKUP(J218,#REF!,2,0))</f>
        <v>#REF!</v>
      </c>
      <c r="L218" s="19" t="e">
        <f>IF(J218="","SEM #CH",VLOOKUP(J218,#REF!,3,0))</f>
        <v>#REF!</v>
      </c>
      <c r="M218" s="19" t="e">
        <f>IF(J218="","SEM #CH",VLOOKUP(J218,#REF!,4,0))</f>
        <v>#REF!</v>
      </c>
      <c r="N218" s="19" t="e">
        <f>IF(J218="","SEM #CH",VLOOKUP(J218,#REF!,5,0))</f>
        <v>#REF!</v>
      </c>
      <c r="O218" s="19" t="e">
        <f>IF(J218="","SEM #CH",VLOOKUP(J218,#REF!,6,0))</f>
        <v>#REF!</v>
      </c>
      <c r="P218" s="19" t="e">
        <f>IF(J218="","SEM #CH",VLOOKUP(J218,#REF!,7,0))</f>
        <v>#REF!</v>
      </c>
      <c r="Q218" s="77" t="str">
        <f>VLOOKUP(J218,'p1'!$B$2:$C$30,2,0)</f>
        <v>NÃO TEM CHAPA</v>
      </c>
      <c r="R218" s="94">
        <v>45820</v>
      </c>
      <c r="S218" s="90" t="s">
        <v>218</v>
      </c>
      <c r="T218" s="90">
        <f t="shared" si="18"/>
        <v>1</v>
      </c>
      <c r="U218" s="94">
        <v>45831</v>
      </c>
      <c r="V218" s="90" t="s">
        <v>86</v>
      </c>
      <c r="W218" s="92">
        <v>2407</v>
      </c>
      <c r="X218" s="93">
        <f t="shared" si="17"/>
        <v>1</v>
      </c>
      <c r="Y218" s="92"/>
      <c r="Z218" s="92"/>
      <c r="AA218" s="13" t="str">
        <f t="shared" si="19"/>
        <v>jun/2025</v>
      </c>
    </row>
    <row r="219" spans="1:27" x14ac:dyDescent="0.25">
      <c r="A219" s="89">
        <v>218</v>
      </c>
      <c r="B219" s="68">
        <v>45881</v>
      </c>
      <c r="C219" s="40">
        <v>68</v>
      </c>
      <c r="D219" s="40">
        <f t="shared" si="15"/>
        <v>1</v>
      </c>
      <c r="E219" s="47" t="s">
        <v>128</v>
      </c>
      <c r="F219" s="17" t="s">
        <v>61</v>
      </c>
      <c r="G219" s="17" t="s">
        <v>86</v>
      </c>
      <c r="H219" s="42" t="s">
        <v>451</v>
      </c>
      <c r="I219" s="17" t="str">
        <f t="shared" si="16"/>
        <v>PF-218</v>
      </c>
      <c r="J219" s="18" t="s">
        <v>61</v>
      </c>
      <c r="K219" s="19" t="e">
        <f>IF(J219="","SEM #CH",VLOOKUP(J219,#REF!,2,0))</f>
        <v>#REF!</v>
      </c>
      <c r="L219" s="19" t="e">
        <f>IF(J219="","SEM #CH",VLOOKUP(J219,#REF!,3,0))</f>
        <v>#REF!</v>
      </c>
      <c r="M219" s="19" t="e">
        <f>IF(J219="","SEM #CH",VLOOKUP(J219,#REF!,4,0))</f>
        <v>#REF!</v>
      </c>
      <c r="N219" s="19" t="e">
        <f>IF(J219="","SEM #CH",VLOOKUP(J219,#REF!,5,0))</f>
        <v>#REF!</v>
      </c>
      <c r="O219" s="19" t="e">
        <f>IF(J219="","SEM #CH",VLOOKUP(J219,#REF!,6,0))</f>
        <v>#REF!</v>
      </c>
      <c r="P219" s="19" t="e">
        <f>IF(J219="","SEM #CH",VLOOKUP(J219,#REF!,7,0))</f>
        <v>#REF!</v>
      </c>
      <c r="Q219" s="77" t="str">
        <f>VLOOKUP(J219,'p1'!$B$2:$C$30,2,0)</f>
        <v>SEM CHAPA</v>
      </c>
      <c r="R219" s="94">
        <v>45883</v>
      </c>
      <c r="S219" s="90" t="s">
        <v>217</v>
      </c>
      <c r="T219" s="90">
        <f t="shared" si="18"/>
        <v>1</v>
      </c>
      <c r="U219" s="94">
        <v>45889</v>
      </c>
      <c r="V219" s="90" t="s">
        <v>1098</v>
      </c>
      <c r="W219" s="92">
        <v>2484</v>
      </c>
      <c r="X219" s="93">
        <f t="shared" si="17"/>
        <v>1</v>
      </c>
      <c r="Y219" s="92"/>
      <c r="Z219" s="92"/>
      <c r="AA219" s="13" t="str">
        <f t="shared" si="19"/>
        <v>ago/2025</v>
      </c>
    </row>
    <row r="220" spans="1:27" x14ac:dyDescent="0.25">
      <c r="A220" s="89">
        <v>219</v>
      </c>
      <c r="B220" s="68">
        <v>45789</v>
      </c>
      <c r="C220" s="40">
        <v>28</v>
      </c>
      <c r="D220" s="40">
        <f t="shared" si="15"/>
        <v>1</v>
      </c>
      <c r="E220" s="47" t="s">
        <v>128</v>
      </c>
      <c r="F220" s="17" t="s">
        <v>58</v>
      </c>
      <c r="G220" s="17" t="s">
        <v>86</v>
      </c>
      <c r="H220" s="42" t="s">
        <v>452</v>
      </c>
      <c r="I220" s="17" t="str">
        <f t="shared" si="16"/>
        <v>PN-219</v>
      </c>
      <c r="J220" s="18" t="s">
        <v>85</v>
      </c>
      <c r="K220" s="19" t="e">
        <f>IF(J220="","SEM #CH",VLOOKUP(J220,#REF!,2,0))</f>
        <v>#REF!</v>
      </c>
      <c r="L220" s="19" t="e">
        <f>IF(J220="","SEM #CH",VLOOKUP(J220,#REF!,3,0))</f>
        <v>#REF!</v>
      </c>
      <c r="M220" s="19" t="e">
        <f>IF(J220="","SEM #CH",VLOOKUP(J220,#REF!,4,0))</f>
        <v>#REF!</v>
      </c>
      <c r="N220" s="19" t="e">
        <f>IF(J220="","SEM #CH",VLOOKUP(J220,#REF!,5,0))</f>
        <v>#REF!</v>
      </c>
      <c r="O220" s="19" t="e">
        <f>IF(J220="","SEM #CH",VLOOKUP(J220,#REF!,6,0))</f>
        <v>#REF!</v>
      </c>
      <c r="P220" s="19" t="e">
        <f>IF(J220="","SEM #CH",VLOOKUP(J220,#REF!,7,0))</f>
        <v>#REF!</v>
      </c>
      <c r="Q220" s="77" t="str">
        <f>VLOOKUP(J220,'p1'!$B$2:$C$30,2,0)</f>
        <v>NÃO TEM CHAPA</v>
      </c>
      <c r="R220" s="94">
        <v>45820</v>
      </c>
      <c r="S220" s="90" t="s">
        <v>218</v>
      </c>
      <c r="T220" s="90">
        <f t="shared" si="18"/>
        <v>1</v>
      </c>
      <c r="U220" s="94">
        <v>45821</v>
      </c>
      <c r="V220" s="90" t="s">
        <v>86</v>
      </c>
      <c r="W220" s="92">
        <v>2384</v>
      </c>
      <c r="X220" s="93">
        <f t="shared" si="17"/>
        <v>1</v>
      </c>
      <c r="Y220" s="92"/>
      <c r="Z220" s="92"/>
      <c r="AA220" s="13" t="str">
        <f t="shared" si="19"/>
        <v>jun/2025</v>
      </c>
    </row>
    <row r="221" spans="1:27" x14ac:dyDescent="0.25">
      <c r="A221" s="89">
        <v>220</v>
      </c>
      <c r="B221" s="68">
        <v>45789</v>
      </c>
      <c r="C221" s="40">
        <v>28</v>
      </c>
      <c r="D221" s="40">
        <f t="shared" si="15"/>
        <v>1</v>
      </c>
      <c r="E221" s="47" t="s">
        <v>128</v>
      </c>
      <c r="F221" s="17" t="s">
        <v>58</v>
      </c>
      <c r="G221" s="17" t="s">
        <v>86</v>
      </c>
      <c r="H221" s="42" t="s">
        <v>453</v>
      </c>
      <c r="I221" s="17" t="str">
        <f t="shared" si="16"/>
        <v>PN-220</v>
      </c>
      <c r="J221" s="18" t="s">
        <v>85</v>
      </c>
      <c r="K221" s="19" t="e">
        <f>IF(J221="","SEM #CH",VLOOKUP(J221,#REF!,2,0))</f>
        <v>#REF!</v>
      </c>
      <c r="L221" s="19" t="e">
        <f>IF(J221="","SEM #CH",VLOOKUP(J221,#REF!,3,0))</f>
        <v>#REF!</v>
      </c>
      <c r="M221" s="19" t="e">
        <f>IF(J221="","SEM #CH",VLOOKUP(J221,#REF!,4,0))</f>
        <v>#REF!</v>
      </c>
      <c r="N221" s="19" t="e">
        <f>IF(J221="","SEM #CH",VLOOKUP(J221,#REF!,5,0))</f>
        <v>#REF!</v>
      </c>
      <c r="O221" s="19" t="e">
        <f>IF(J221="","SEM #CH",VLOOKUP(J221,#REF!,6,0))</f>
        <v>#REF!</v>
      </c>
      <c r="P221" s="19" t="e">
        <f>IF(J221="","SEM #CH",VLOOKUP(J221,#REF!,7,0))</f>
        <v>#REF!</v>
      </c>
      <c r="Q221" s="77" t="str">
        <f>VLOOKUP(J221,'p1'!$B$2:$C$30,2,0)</f>
        <v>NÃO TEM CHAPA</v>
      </c>
      <c r="R221" s="94">
        <v>45819</v>
      </c>
      <c r="S221" s="90" t="s">
        <v>218</v>
      </c>
      <c r="T221" s="90">
        <f t="shared" si="18"/>
        <v>1</v>
      </c>
      <c r="U221" s="94">
        <v>45831</v>
      </c>
      <c r="V221" s="90" t="s">
        <v>86</v>
      </c>
      <c r="W221" s="92">
        <v>2407</v>
      </c>
      <c r="X221" s="93">
        <f t="shared" si="17"/>
        <v>1</v>
      </c>
      <c r="Y221" s="92"/>
      <c r="Z221" s="92"/>
      <c r="AA221" s="13" t="str">
        <f t="shared" si="19"/>
        <v>jun/2025</v>
      </c>
    </row>
    <row r="222" spans="1:27" x14ac:dyDescent="0.25">
      <c r="A222" s="89">
        <v>221</v>
      </c>
      <c r="B222" s="68">
        <v>45789</v>
      </c>
      <c r="C222" s="40">
        <v>28</v>
      </c>
      <c r="D222" s="40">
        <f t="shared" si="15"/>
        <v>1</v>
      </c>
      <c r="E222" s="47" t="s">
        <v>128</v>
      </c>
      <c r="F222" s="17" t="s">
        <v>58</v>
      </c>
      <c r="G222" s="17" t="s">
        <v>86</v>
      </c>
      <c r="H222" s="42" t="s">
        <v>454</v>
      </c>
      <c r="I222" s="17" t="str">
        <f t="shared" si="16"/>
        <v>PN-221</v>
      </c>
      <c r="J222" s="18" t="s">
        <v>85</v>
      </c>
      <c r="K222" s="19" t="e">
        <f>IF(J222="","SEM #CH",VLOOKUP(J222,#REF!,2,0))</f>
        <v>#REF!</v>
      </c>
      <c r="L222" s="19" t="e">
        <f>IF(J222="","SEM #CH",VLOOKUP(J222,#REF!,3,0))</f>
        <v>#REF!</v>
      </c>
      <c r="M222" s="19" t="e">
        <f>IF(J222="","SEM #CH",VLOOKUP(J222,#REF!,4,0))</f>
        <v>#REF!</v>
      </c>
      <c r="N222" s="19" t="e">
        <f>IF(J222="","SEM #CH",VLOOKUP(J222,#REF!,5,0))</f>
        <v>#REF!</v>
      </c>
      <c r="O222" s="19" t="e">
        <f>IF(J222="","SEM #CH",VLOOKUP(J222,#REF!,6,0))</f>
        <v>#REF!</v>
      </c>
      <c r="P222" s="19" t="e">
        <f>IF(J222="","SEM #CH",VLOOKUP(J222,#REF!,7,0))</f>
        <v>#REF!</v>
      </c>
      <c r="Q222" s="77" t="str">
        <f>VLOOKUP(J222,'p1'!$B$2:$C$30,2,0)</f>
        <v>NÃO TEM CHAPA</v>
      </c>
      <c r="R222" s="94">
        <v>45819</v>
      </c>
      <c r="S222" s="90" t="s">
        <v>218</v>
      </c>
      <c r="T222" s="90">
        <f t="shared" si="18"/>
        <v>1</v>
      </c>
      <c r="U222" s="94">
        <v>45831</v>
      </c>
      <c r="V222" s="90" t="s">
        <v>86</v>
      </c>
      <c r="W222" s="92">
        <v>2407</v>
      </c>
      <c r="X222" s="93">
        <f t="shared" si="17"/>
        <v>1</v>
      </c>
      <c r="Y222" s="92"/>
      <c r="Z222" s="92"/>
      <c r="AA222" s="13" t="str">
        <f t="shared" si="19"/>
        <v>jun/2025</v>
      </c>
    </row>
    <row r="223" spans="1:27" x14ac:dyDescent="0.25">
      <c r="A223" s="89">
        <v>222</v>
      </c>
      <c r="B223" s="68">
        <v>45789</v>
      </c>
      <c r="C223" s="40">
        <v>28</v>
      </c>
      <c r="D223" s="40">
        <f t="shared" si="15"/>
        <v>1</v>
      </c>
      <c r="E223" s="47" t="s">
        <v>128</v>
      </c>
      <c r="F223" s="17" t="s">
        <v>58</v>
      </c>
      <c r="G223" s="17" t="s">
        <v>86</v>
      </c>
      <c r="H223" s="42" t="s">
        <v>455</v>
      </c>
      <c r="I223" s="17" t="str">
        <f t="shared" si="16"/>
        <v>PN-222</v>
      </c>
      <c r="J223" s="18" t="s">
        <v>85</v>
      </c>
      <c r="K223" s="19" t="e">
        <f>IF(J223="","SEM #CH",VLOOKUP(J223,#REF!,2,0))</f>
        <v>#REF!</v>
      </c>
      <c r="L223" s="19" t="e">
        <f>IF(J223="","SEM #CH",VLOOKUP(J223,#REF!,3,0))</f>
        <v>#REF!</v>
      </c>
      <c r="M223" s="19" t="e">
        <f>IF(J223="","SEM #CH",VLOOKUP(J223,#REF!,4,0))</f>
        <v>#REF!</v>
      </c>
      <c r="N223" s="19" t="e">
        <f>IF(J223="","SEM #CH",VLOOKUP(J223,#REF!,5,0))</f>
        <v>#REF!</v>
      </c>
      <c r="O223" s="19" t="e">
        <f>IF(J223="","SEM #CH",VLOOKUP(J223,#REF!,6,0))</f>
        <v>#REF!</v>
      </c>
      <c r="P223" s="19" t="e">
        <f>IF(J223="","SEM #CH",VLOOKUP(J223,#REF!,7,0))</f>
        <v>#REF!</v>
      </c>
      <c r="Q223" s="77" t="str">
        <f>VLOOKUP(J223,'p1'!$B$2:$C$30,2,0)</f>
        <v>NÃO TEM CHAPA</v>
      </c>
      <c r="R223" s="94">
        <v>45818</v>
      </c>
      <c r="S223" s="90" t="s">
        <v>218</v>
      </c>
      <c r="T223" s="90">
        <f t="shared" si="18"/>
        <v>1</v>
      </c>
      <c r="U223" s="94">
        <v>45832</v>
      </c>
      <c r="V223" s="90" t="s">
        <v>86</v>
      </c>
      <c r="W223" s="92">
        <v>2408</v>
      </c>
      <c r="X223" s="93">
        <f t="shared" si="17"/>
        <v>1</v>
      </c>
      <c r="Y223" s="92"/>
      <c r="Z223" s="92"/>
      <c r="AA223" s="13" t="str">
        <f t="shared" si="19"/>
        <v>jun/2025</v>
      </c>
    </row>
    <row r="224" spans="1:27" x14ac:dyDescent="0.25">
      <c r="A224" s="89">
        <v>223</v>
      </c>
      <c r="B224" s="68">
        <v>45789</v>
      </c>
      <c r="C224" s="40">
        <v>28</v>
      </c>
      <c r="D224" s="40">
        <f t="shared" si="15"/>
        <v>1</v>
      </c>
      <c r="E224" s="47" t="s">
        <v>128</v>
      </c>
      <c r="F224" s="17" t="s">
        <v>58</v>
      </c>
      <c r="G224" s="17" t="s">
        <v>86</v>
      </c>
      <c r="H224" s="42" t="s">
        <v>456</v>
      </c>
      <c r="I224" s="17" t="str">
        <f t="shared" si="16"/>
        <v>PN-223</v>
      </c>
      <c r="J224" s="18" t="s">
        <v>85</v>
      </c>
      <c r="K224" s="19" t="e">
        <f>IF(J224="","SEM #CH",VLOOKUP(J224,#REF!,2,0))</f>
        <v>#REF!</v>
      </c>
      <c r="L224" s="19" t="e">
        <f>IF(J224="","SEM #CH",VLOOKUP(J224,#REF!,3,0))</f>
        <v>#REF!</v>
      </c>
      <c r="M224" s="19" t="e">
        <f>IF(J224="","SEM #CH",VLOOKUP(J224,#REF!,4,0))</f>
        <v>#REF!</v>
      </c>
      <c r="N224" s="19" t="e">
        <f>IF(J224="","SEM #CH",VLOOKUP(J224,#REF!,5,0))</f>
        <v>#REF!</v>
      </c>
      <c r="O224" s="19" t="e">
        <f>IF(J224="","SEM #CH",VLOOKUP(J224,#REF!,6,0))</f>
        <v>#REF!</v>
      </c>
      <c r="P224" s="19" t="e">
        <f>IF(J224="","SEM #CH",VLOOKUP(J224,#REF!,7,0))</f>
        <v>#REF!</v>
      </c>
      <c r="Q224" s="77" t="str">
        <f>VLOOKUP(J224,'p1'!$B$2:$C$30,2,0)</f>
        <v>NÃO TEM CHAPA</v>
      </c>
      <c r="R224" s="94">
        <v>45817</v>
      </c>
      <c r="S224" s="90" t="s">
        <v>218</v>
      </c>
      <c r="T224" s="90">
        <f t="shared" si="18"/>
        <v>1</v>
      </c>
      <c r="U224" s="94">
        <v>45832</v>
      </c>
      <c r="V224" s="90" t="s">
        <v>1037</v>
      </c>
      <c r="W224" s="92">
        <v>2409</v>
      </c>
      <c r="X224" s="93">
        <f t="shared" si="17"/>
        <v>1</v>
      </c>
      <c r="Y224" s="92"/>
      <c r="Z224" s="92"/>
      <c r="AA224" s="13" t="str">
        <f t="shared" si="19"/>
        <v>jun/2025</v>
      </c>
    </row>
    <row r="225" spans="1:27" x14ac:dyDescent="0.25">
      <c r="A225" s="89">
        <v>224</v>
      </c>
      <c r="B225" s="68">
        <v>45806</v>
      </c>
      <c r="C225" s="40">
        <v>31</v>
      </c>
      <c r="D225" s="40">
        <f t="shared" si="15"/>
        <v>1</v>
      </c>
      <c r="E225" s="47" t="s">
        <v>128</v>
      </c>
      <c r="F225" s="17" t="s">
        <v>58</v>
      </c>
      <c r="G225" s="17" t="s">
        <v>86</v>
      </c>
      <c r="H225" s="42" t="s">
        <v>457</v>
      </c>
      <c r="I225" s="17" t="str">
        <f t="shared" si="16"/>
        <v>PN-224</v>
      </c>
      <c r="J225" s="18" t="s">
        <v>85</v>
      </c>
      <c r="K225" s="19" t="e">
        <f>IF(J225="","SEM #CH",VLOOKUP(J225,#REF!,2,0))</f>
        <v>#REF!</v>
      </c>
      <c r="L225" s="19" t="e">
        <f>IF(J225="","SEM #CH",VLOOKUP(J225,#REF!,3,0))</f>
        <v>#REF!</v>
      </c>
      <c r="M225" s="19" t="e">
        <f>IF(J225="","SEM #CH",VLOOKUP(J225,#REF!,4,0))</f>
        <v>#REF!</v>
      </c>
      <c r="N225" s="19" t="e">
        <f>IF(J225="","SEM #CH",VLOOKUP(J225,#REF!,5,0))</f>
        <v>#REF!</v>
      </c>
      <c r="O225" s="19" t="e">
        <f>IF(J225="","SEM #CH",VLOOKUP(J225,#REF!,6,0))</f>
        <v>#REF!</v>
      </c>
      <c r="P225" s="19" t="e">
        <f>IF(J225="","SEM #CH",VLOOKUP(J225,#REF!,7,0))</f>
        <v>#REF!</v>
      </c>
      <c r="Q225" s="77" t="str">
        <f>VLOOKUP(J225,'p1'!$B$2:$C$30,2,0)</f>
        <v>NÃO TEM CHAPA</v>
      </c>
      <c r="R225" s="94">
        <v>45820</v>
      </c>
      <c r="S225" s="90" t="s">
        <v>217</v>
      </c>
      <c r="T225" s="90">
        <f t="shared" si="18"/>
        <v>1</v>
      </c>
      <c r="U225" s="94">
        <v>45924</v>
      </c>
      <c r="V225" s="90" t="s">
        <v>86</v>
      </c>
      <c r="W225" s="90">
        <v>2540</v>
      </c>
      <c r="X225" s="93">
        <f t="shared" si="17"/>
        <v>1</v>
      </c>
      <c r="Y225" s="92"/>
      <c r="Z225" s="92"/>
      <c r="AA225" s="13" t="str">
        <f t="shared" si="19"/>
        <v>jun/2025</v>
      </c>
    </row>
    <row r="226" spans="1:27" x14ac:dyDescent="0.25">
      <c r="A226" s="89">
        <v>225</v>
      </c>
      <c r="B226" s="68">
        <v>45812</v>
      </c>
      <c r="C226" s="40">
        <v>32</v>
      </c>
      <c r="D226" s="40">
        <f t="shared" si="15"/>
        <v>1</v>
      </c>
      <c r="E226" s="47" t="s">
        <v>128</v>
      </c>
      <c r="F226" s="17" t="s">
        <v>58</v>
      </c>
      <c r="G226" s="17" t="s">
        <v>86</v>
      </c>
      <c r="H226" s="42" t="s">
        <v>458</v>
      </c>
      <c r="I226" s="17" t="str">
        <f t="shared" si="16"/>
        <v>PN-225</v>
      </c>
      <c r="J226" s="18" t="s">
        <v>85</v>
      </c>
      <c r="K226" s="19" t="e">
        <f>IF(J226="","SEM #CH",VLOOKUP(J226,#REF!,2,0))</f>
        <v>#REF!</v>
      </c>
      <c r="L226" s="19" t="e">
        <f>IF(J226="","SEM #CH",VLOOKUP(J226,#REF!,3,0))</f>
        <v>#REF!</v>
      </c>
      <c r="M226" s="19" t="e">
        <f>IF(J226="","SEM #CH",VLOOKUP(J226,#REF!,4,0))</f>
        <v>#REF!</v>
      </c>
      <c r="N226" s="19" t="e">
        <f>IF(J226="","SEM #CH",VLOOKUP(J226,#REF!,5,0))</f>
        <v>#REF!</v>
      </c>
      <c r="O226" s="19" t="e">
        <f>IF(J226="","SEM #CH",VLOOKUP(J226,#REF!,6,0))</f>
        <v>#REF!</v>
      </c>
      <c r="P226" s="19" t="e">
        <f>IF(J226="","SEM #CH",VLOOKUP(J226,#REF!,7,0))</f>
        <v>#REF!</v>
      </c>
      <c r="Q226" s="77" t="str">
        <f>VLOOKUP(J226,'p1'!$B$2:$C$30,2,0)</f>
        <v>NÃO TEM CHAPA</v>
      </c>
      <c r="R226" s="94">
        <v>45950</v>
      </c>
      <c r="S226" s="90" t="s">
        <v>217</v>
      </c>
      <c r="T226" s="90">
        <f t="shared" si="18"/>
        <v>1</v>
      </c>
      <c r="U226" s="94">
        <v>45950</v>
      </c>
      <c r="V226" s="90" t="s">
        <v>86</v>
      </c>
      <c r="W226" s="92">
        <v>2582</v>
      </c>
      <c r="X226" s="93">
        <f t="shared" si="17"/>
        <v>1</v>
      </c>
      <c r="Y226" s="92"/>
      <c r="Z226" s="92"/>
      <c r="AA226" s="13" t="str">
        <f t="shared" si="19"/>
        <v>out/2025</v>
      </c>
    </row>
    <row r="227" spans="1:27" x14ac:dyDescent="0.25">
      <c r="A227" s="89">
        <v>226</v>
      </c>
      <c r="B227" s="68">
        <v>45821</v>
      </c>
      <c r="C227" s="40">
        <v>35</v>
      </c>
      <c r="D227" s="40">
        <f t="shared" si="15"/>
        <v>1</v>
      </c>
      <c r="E227" s="47" t="s">
        <v>128</v>
      </c>
      <c r="F227" s="17" t="s">
        <v>60</v>
      </c>
      <c r="G227" s="17" t="s">
        <v>86</v>
      </c>
      <c r="H227" s="42" t="s">
        <v>459</v>
      </c>
      <c r="I227" s="17" t="str">
        <f t="shared" si="16"/>
        <v>PE-226</v>
      </c>
      <c r="J227" s="18" t="s">
        <v>90</v>
      </c>
      <c r="K227" s="19" t="e">
        <f>IF(J227="","SEM #CH",VLOOKUP(J227,#REF!,2,0))</f>
        <v>#REF!</v>
      </c>
      <c r="L227" s="19" t="e">
        <f>IF(J227="","SEM #CH",VLOOKUP(J227,#REF!,3,0))</f>
        <v>#REF!</v>
      </c>
      <c r="M227" s="19" t="e">
        <f>IF(J227="","SEM #CH",VLOOKUP(J227,#REF!,4,0))</f>
        <v>#REF!</v>
      </c>
      <c r="N227" s="19" t="e">
        <f>IF(J227="","SEM #CH",VLOOKUP(J227,#REF!,5,0))</f>
        <v>#REF!</v>
      </c>
      <c r="O227" s="19" t="e">
        <f>IF(J227="","SEM #CH",VLOOKUP(J227,#REF!,6,0))</f>
        <v>#REF!</v>
      </c>
      <c r="P227" s="19" t="e">
        <f>IF(J227="","SEM #CH",VLOOKUP(J227,#REF!,7,0))</f>
        <v>#REF!</v>
      </c>
      <c r="Q227" s="77" t="str">
        <f>VLOOKUP(J227,'p1'!$B$2:$C$30,2,0)</f>
        <v>#3/8-530X530</v>
      </c>
      <c r="R227" s="94">
        <v>45834</v>
      </c>
      <c r="S227" s="90" t="s">
        <v>217</v>
      </c>
      <c r="T227" s="90">
        <f t="shared" si="18"/>
        <v>1</v>
      </c>
      <c r="U227" s="94">
        <v>45835</v>
      </c>
      <c r="V227" s="90" t="s">
        <v>86</v>
      </c>
      <c r="W227" s="92">
        <v>2419</v>
      </c>
      <c r="X227" s="93">
        <f t="shared" si="17"/>
        <v>1</v>
      </c>
      <c r="Y227" s="92"/>
      <c r="Z227" s="92"/>
      <c r="AA227" s="13" t="str">
        <f t="shared" si="19"/>
        <v>jun/2025</v>
      </c>
    </row>
    <row r="228" spans="1:27" x14ac:dyDescent="0.25">
      <c r="A228" s="89">
        <v>227</v>
      </c>
      <c r="B228" s="68">
        <v>45818</v>
      </c>
      <c r="C228" s="40">
        <v>34</v>
      </c>
      <c r="D228" s="40">
        <f t="shared" si="15"/>
        <v>1</v>
      </c>
      <c r="E228" s="47" t="s">
        <v>128</v>
      </c>
      <c r="F228" s="17" t="s">
        <v>58</v>
      </c>
      <c r="G228" s="17" t="s">
        <v>86</v>
      </c>
      <c r="H228" s="42" t="s">
        <v>460</v>
      </c>
      <c r="I228" s="17" t="str">
        <f t="shared" si="16"/>
        <v>PN-227</v>
      </c>
      <c r="J228" s="18" t="s">
        <v>85</v>
      </c>
      <c r="K228" s="19" t="e">
        <f>IF(J228="","SEM #CH",VLOOKUP(J228,#REF!,2,0))</f>
        <v>#REF!</v>
      </c>
      <c r="L228" s="19" t="e">
        <f>IF(J228="","SEM #CH",VLOOKUP(J228,#REF!,3,0))</f>
        <v>#REF!</v>
      </c>
      <c r="M228" s="19" t="e">
        <f>IF(J228="","SEM #CH",VLOOKUP(J228,#REF!,4,0))</f>
        <v>#REF!</v>
      </c>
      <c r="N228" s="19" t="e">
        <f>IF(J228="","SEM #CH",VLOOKUP(J228,#REF!,5,0))</f>
        <v>#REF!</v>
      </c>
      <c r="O228" s="19" t="e">
        <f>IF(J228="","SEM #CH",VLOOKUP(J228,#REF!,6,0))</f>
        <v>#REF!</v>
      </c>
      <c r="P228" s="19" t="e">
        <f>IF(J228="","SEM #CH",VLOOKUP(J228,#REF!,7,0))</f>
        <v>#REF!</v>
      </c>
      <c r="Q228" s="77" t="str">
        <f>VLOOKUP(J228,'p1'!$B$2:$C$30,2,0)</f>
        <v>NÃO TEM CHAPA</v>
      </c>
      <c r="R228" s="94">
        <v>45847</v>
      </c>
      <c r="S228" s="90" t="s">
        <v>217</v>
      </c>
      <c r="T228" s="90">
        <f t="shared" si="18"/>
        <v>1</v>
      </c>
      <c r="U228" s="94">
        <v>45848</v>
      </c>
      <c r="V228" s="90" t="s">
        <v>1047</v>
      </c>
      <c r="W228" s="92">
        <v>2440</v>
      </c>
      <c r="X228" s="93">
        <f t="shared" si="17"/>
        <v>1</v>
      </c>
      <c r="Y228" s="92"/>
      <c r="Z228" s="92"/>
      <c r="AA228" s="13" t="str">
        <f t="shared" si="19"/>
        <v>jul/2025</v>
      </c>
    </row>
    <row r="229" spans="1:27" x14ac:dyDescent="0.25">
      <c r="A229" s="89">
        <v>228</v>
      </c>
      <c r="B229" s="68">
        <v>45821</v>
      </c>
      <c r="C229" s="40">
        <v>35</v>
      </c>
      <c r="D229" s="40">
        <f t="shared" si="15"/>
        <v>1</v>
      </c>
      <c r="E229" s="47" t="s">
        <v>128</v>
      </c>
      <c r="F229" s="17" t="s">
        <v>58</v>
      </c>
      <c r="G229" s="17" t="s">
        <v>86</v>
      </c>
      <c r="H229" s="42" t="s">
        <v>461</v>
      </c>
      <c r="I229" s="17" t="str">
        <f t="shared" si="16"/>
        <v>PN-228</v>
      </c>
      <c r="J229" s="18" t="s">
        <v>85</v>
      </c>
      <c r="K229" s="19" t="e">
        <f>IF(J229="","SEM #CH",VLOOKUP(J229,#REF!,2,0))</f>
        <v>#REF!</v>
      </c>
      <c r="L229" s="19" t="e">
        <f>IF(J229="","SEM #CH",VLOOKUP(J229,#REF!,3,0))</f>
        <v>#REF!</v>
      </c>
      <c r="M229" s="19" t="e">
        <f>IF(J229="","SEM #CH",VLOOKUP(J229,#REF!,4,0))</f>
        <v>#REF!</v>
      </c>
      <c r="N229" s="19" t="e">
        <f>IF(J229="","SEM #CH",VLOOKUP(J229,#REF!,5,0))</f>
        <v>#REF!</v>
      </c>
      <c r="O229" s="19" t="e">
        <f>IF(J229="","SEM #CH",VLOOKUP(J229,#REF!,6,0))</f>
        <v>#REF!</v>
      </c>
      <c r="P229" s="19" t="e">
        <f>IF(J229="","SEM #CH",VLOOKUP(J229,#REF!,7,0))</f>
        <v>#REF!</v>
      </c>
      <c r="Q229" s="77" t="str">
        <f>VLOOKUP(J229,'p1'!$B$2:$C$30,2,0)</f>
        <v>NÃO TEM CHAPA</v>
      </c>
      <c r="R229" s="94">
        <v>45905</v>
      </c>
      <c r="S229" s="90" t="s">
        <v>217</v>
      </c>
      <c r="T229" s="90">
        <f t="shared" si="18"/>
        <v>1</v>
      </c>
      <c r="U229" s="94">
        <v>45916</v>
      </c>
      <c r="V229" s="90" t="s">
        <v>86</v>
      </c>
      <c r="W229" s="92">
        <v>2525</v>
      </c>
      <c r="X229" s="93">
        <f t="shared" si="17"/>
        <v>1</v>
      </c>
      <c r="Y229" s="92"/>
      <c r="Z229" s="92"/>
      <c r="AA229" s="13" t="str">
        <f t="shared" si="19"/>
        <v>set/2025</v>
      </c>
    </row>
    <row r="230" spans="1:27" x14ac:dyDescent="0.25">
      <c r="A230" s="89">
        <v>229</v>
      </c>
      <c r="B230" s="68">
        <v>45827</v>
      </c>
      <c r="C230" s="40">
        <v>37</v>
      </c>
      <c r="D230" s="40">
        <f t="shared" si="15"/>
        <v>1</v>
      </c>
      <c r="E230" s="47" t="s">
        <v>128</v>
      </c>
      <c r="F230" s="17" t="s">
        <v>58</v>
      </c>
      <c r="G230" s="17" t="s">
        <v>86</v>
      </c>
      <c r="H230" s="42" t="s">
        <v>462</v>
      </c>
      <c r="I230" s="17" t="str">
        <f t="shared" si="16"/>
        <v>PN-229</v>
      </c>
      <c r="J230" s="18" t="s">
        <v>85</v>
      </c>
      <c r="K230" s="19" t="e">
        <f>IF(J230="","SEM #CH",VLOOKUP(J230,#REF!,2,0))</f>
        <v>#REF!</v>
      </c>
      <c r="L230" s="19" t="e">
        <f>IF(J230="","SEM #CH",VLOOKUP(J230,#REF!,3,0))</f>
        <v>#REF!</v>
      </c>
      <c r="M230" s="19" t="e">
        <f>IF(J230="","SEM #CH",VLOOKUP(J230,#REF!,4,0))</f>
        <v>#REF!</v>
      </c>
      <c r="N230" s="19" t="e">
        <f>IF(J230="","SEM #CH",VLOOKUP(J230,#REF!,5,0))</f>
        <v>#REF!</v>
      </c>
      <c r="O230" s="19" t="e">
        <f>IF(J230="","SEM #CH",VLOOKUP(J230,#REF!,6,0))</f>
        <v>#REF!</v>
      </c>
      <c r="P230" s="19" t="e">
        <f>IF(J230="","SEM #CH",VLOOKUP(J230,#REF!,7,0))</f>
        <v>#REF!</v>
      </c>
      <c r="Q230" s="77" t="str">
        <f>VLOOKUP(J230,'p1'!$B$2:$C$30,2,0)</f>
        <v>NÃO TEM CHAPA</v>
      </c>
      <c r="R230" s="94">
        <v>45849</v>
      </c>
      <c r="S230" s="90" t="s">
        <v>217</v>
      </c>
      <c r="T230" s="90">
        <f t="shared" si="18"/>
        <v>1</v>
      </c>
      <c r="U230" s="94">
        <v>45852</v>
      </c>
      <c r="V230" s="90" t="s">
        <v>86</v>
      </c>
      <c r="W230" s="92">
        <v>2443</v>
      </c>
      <c r="X230" s="93">
        <f t="shared" si="17"/>
        <v>1</v>
      </c>
      <c r="Y230" s="92"/>
      <c r="Z230" s="92"/>
      <c r="AA230" s="13" t="str">
        <f t="shared" si="19"/>
        <v>jul/2025</v>
      </c>
    </row>
    <row r="231" spans="1:27" x14ac:dyDescent="0.25">
      <c r="A231" s="89">
        <v>230</v>
      </c>
      <c r="B231" s="68">
        <v>45827</v>
      </c>
      <c r="C231" s="40">
        <v>37</v>
      </c>
      <c r="D231" s="40">
        <f t="shared" si="15"/>
        <v>1</v>
      </c>
      <c r="E231" s="47" t="s">
        <v>128</v>
      </c>
      <c r="F231" s="17" t="s">
        <v>58</v>
      </c>
      <c r="G231" s="17" t="s">
        <v>86</v>
      </c>
      <c r="H231" s="42" t="s">
        <v>463</v>
      </c>
      <c r="I231" s="17" t="str">
        <f t="shared" si="16"/>
        <v>PN-230</v>
      </c>
      <c r="J231" s="18" t="s">
        <v>85</v>
      </c>
      <c r="K231" s="19" t="e">
        <f>IF(J231="","SEM #CH",VLOOKUP(J231,#REF!,2,0))</f>
        <v>#REF!</v>
      </c>
      <c r="L231" s="19" t="e">
        <f>IF(J231="","SEM #CH",VLOOKUP(J231,#REF!,3,0))</f>
        <v>#REF!</v>
      </c>
      <c r="M231" s="19" t="e">
        <f>IF(J231="","SEM #CH",VLOOKUP(J231,#REF!,4,0))</f>
        <v>#REF!</v>
      </c>
      <c r="N231" s="19" t="e">
        <f>IF(J231="","SEM #CH",VLOOKUP(J231,#REF!,5,0))</f>
        <v>#REF!</v>
      </c>
      <c r="O231" s="19" t="e">
        <f>IF(J231="","SEM #CH",VLOOKUP(J231,#REF!,6,0))</f>
        <v>#REF!</v>
      </c>
      <c r="P231" s="19" t="e">
        <f>IF(J231="","SEM #CH",VLOOKUP(J231,#REF!,7,0))</f>
        <v>#REF!</v>
      </c>
      <c r="Q231" s="77" t="str">
        <f>VLOOKUP(J231,'p1'!$B$2:$C$30,2,0)</f>
        <v>NÃO TEM CHAPA</v>
      </c>
      <c r="R231" s="94">
        <v>45880</v>
      </c>
      <c r="S231" s="90" t="s">
        <v>217</v>
      </c>
      <c r="T231" s="90">
        <f t="shared" si="18"/>
        <v>1</v>
      </c>
      <c r="U231" s="94">
        <v>45880</v>
      </c>
      <c r="V231" s="90" t="s">
        <v>1091</v>
      </c>
      <c r="W231" s="92">
        <v>2466</v>
      </c>
      <c r="X231" s="93">
        <f t="shared" si="17"/>
        <v>1</v>
      </c>
      <c r="Y231" s="92"/>
      <c r="Z231" s="92"/>
      <c r="AA231" s="13" t="str">
        <f t="shared" si="19"/>
        <v>ago/2025</v>
      </c>
    </row>
    <row r="232" spans="1:27" x14ac:dyDescent="0.25">
      <c r="A232" s="89">
        <v>231</v>
      </c>
      <c r="B232" s="68">
        <v>45827</v>
      </c>
      <c r="C232" s="40">
        <v>37</v>
      </c>
      <c r="D232" s="40">
        <f t="shared" si="15"/>
        <v>1</v>
      </c>
      <c r="E232" s="47" t="s">
        <v>128</v>
      </c>
      <c r="F232" s="17" t="s">
        <v>58</v>
      </c>
      <c r="G232" s="17" t="s">
        <v>86</v>
      </c>
      <c r="H232" s="42" t="s">
        <v>464</v>
      </c>
      <c r="I232" s="17" t="str">
        <f t="shared" si="16"/>
        <v>PN-231</v>
      </c>
      <c r="J232" s="18" t="s">
        <v>85</v>
      </c>
      <c r="K232" s="19" t="e">
        <f>IF(J232="","SEM #CH",VLOOKUP(J232,#REF!,2,0))</f>
        <v>#REF!</v>
      </c>
      <c r="L232" s="19" t="e">
        <f>IF(J232="","SEM #CH",VLOOKUP(J232,#REF!,3,0))</f>
        <v>#REF!</v>
      </c>
      <c r="M232" s="19" t="e">
        <f>IF(J232="","SEM #CH",VLOOKUP(J232,#REF!,4,0))</f>
        <v>#REF!</v>
      </c>
      <c r="N232" s="19" t="e">
        <f>IF(J232="","SEM #CH",VLOOKUP(J232,#REF!,5,0))</f>
        <v>#REF!</v>
      </c>
      <c r="O232" s="19" t="e">
        <f>IF(J232="","SEM #CH",VLOOKUP(J232,#REF!,6,0))</f>
        <v>#REF!</v>
      </c>
      <c r="P232" s="19" t="e">
        <f>IF(J232="","SEM #CH",VLOOKUP(J232,#REF!,7,0))</f>
        <v>#REF!</v>
      </c>
      <c r="Q232" s="77" t="str">
        <f>VLOOKUP(J232,'p1'!$B$2:$C$30,2,0)</f>
        <v>NÃO TEM CHAPA</v>
      </c>
      <c r="R232" s="94">
        <v>45845</v>
      </c>
      <c r="S232" s="90" t="s">
        <v>217</v>
      </c>
      <c r="T232" s="90">
        <f t="shared" si="18"/>
        <v>1</v>
      </c>
      <c r="U232" s="94">
        <v>45846</v>
      </c>
      <c r="V232" s="90" t="s">
        <v>1046</v>
      </c>
      <c r="W232" s="92">
        <v>2435</v>
      </c>
      <c r="X232" s="93">
        <f t="shared" si="17"/>
        <v>1</v>
      </c>
      <c r="Y232" s="92"/>
      <c r="Z232" s="92"/>
      <c r="AA232" s="13" t="str">
        <f t="shared" si="19"/>
        <v>jul/2025</v>
      </c>
    </row>
    <row r="233" spans="1:27" x14ac:dyDescent="0.25">
      <c r="A233" s="89">
        <v>232</v>
      </c>
      <c r="B233" s="68">
        <v>45827</v>
      </c>
      <c r="C233" s="40">
        <v>37</v>
      </c>
      <c r="D233" s="40">
        <f t="shared" si="15"/>
        <v>1</v>
      </c>
      <c r="E233" s="47" t="s">
        <v>128</v>
      </c>
      <c r="F233" s="17" t="s">
        <v>58</v>
      </c>
      <c r="G233" s="17" t="s">
        <v>86</v>
      </c>
      <c r="H233" s="42" t="s">
        <v>465</v>
      </c>
      <c r="I233" s="17" t="str">
        <f t="shared" si="16"/>
        <v>PN-232</v>
      </c>
      <c r="J233" s="18" t="s">
        <v>85</v>
      </c>
      <c r="K233" s="19" t="e">
        <f>IF(J233="","SEM #CH",VLOOKUP(J233,#REF!,2,0))</f>
        <v>#REF!</v>
      </c>
      <c r="L233" s="19" t="e">
        <f>IF(J233="","SEM #CH",VLOOKUP(J233,#REF!,3,0))</f>
        <v>#REF!</v>
      </c>
      <c r="M233" s="19" t="e">
        <f>IF(J233="","SEM #CH",VLOOKUP(J233,#REF!,4,0))</f>
        <v>#REF!</v>
      </c>
      <c r="N233" s="19" t="e">
        <f>IF(J233="","SEM #CH",VLOOKUP(J233,#REF!,5,0))</f>
        <v>#REF!</v>
      </c>
      <c r="O233" s="19" t="e">
        <f>IF(J233="","SEM #CH",VLOOKUP(J233,#REF!,6,0))</f>
        <v>#REF!</v>
      </c>
      <c r="P233" s="19" t="e">
        <f>IF(J233="","SEM #CH",VLOOKUP(J233,#REF!,7,0))</f>
        <v>#REF!</v>
      </c>
      <c r="Q233" s="77" t="str">
        <f>VLOOKUP(J233,'p1'!$B$2:$C$30,2,0)</f>
        <v>NÃO TEM CHAPA</v>
      </c>
      <c r="R233" s="94">
        <v>45845</v>
      </c>
      <c r="S233" s="90" t="s">
        <v>217</v>
      </c>
      <c r="T233" s="90">
        <f t="shared" si="18"/>
        <v>1</v>
      </c>
      <c r="U233" s="94">
        <v>45848</v>
      </c>
      <c r="V233" s="90" t="s">
        <v>1047</v>
      </c>
      <c r="W233" s="92">
        <v>2440</v>
      </c>
      <c r="X233" s="93">
        <f t="shared" si="17"/>
        <v>1</v>
      </c>
      <c r="Y233" s="92"/>
      <c r="Z233" s="92"/>
      <c r="AA233" s="13" t="str">
        <f t="shared" si="19"/>
        <v>jul/2025</v>
      </c>
    </row>
    <row r="234" spans="1:27" x14ac:dyDescent="0.25">
      <c r="A234" s="89">
        <v>233</v>
      </c>
      <c r="B234" s="68">
        <v>45827</v>
      </c>
      <c r="C234" s="40">
        <v>37</v>
      </c>
      <c r="D234" s="40">
        <f t="shared" si="15"/>
        <v>1</v>
      </c>
      <c r="E234" s="47" t="s">
        <v>128</v>
      </c>
      <c r="F234" s="17" t="s">
        <v>58</v>
      </c>
      <c r="G234" s="17" t="s">
        <v>86</v>
      </c>
      <c r="H234" s="42" t="s">
        <v>466</v>
      </c>
      <c r="I234" s="17" t="str">
        <f t="shared" si="16"/>
        <v>PN-233</v>
      </c>
      <c r="J234" s="18" t="s">
        <v>85</v>
      </c>
      <c r="K234" s="19" t="e">
        <f>IF(J234="","SEM #CH",VLOOKUP(J234,#REF!,2,0))</f>
        <v>#REF!</v>
      </c>
      <c r="L234" s="19" t="e">
        <f>IF(J234="","SEM #CH",VLOOKUP(J234,#REF!,3,0))</f>
        <v>#REF!</v>
      </c>
      <c r="M234" s="19" t="e">
        <f>IF(J234="","SEM #CH",VLOOKUP(J234,#REF!,4,0))</f>
        <v>#REF!</v>
      </c>
      <c r="N234" s="19" t="e">
        <f>IF(J234="","SEM #CH",VLOOKUP(J234,#REF!,5,0))</f>
        <v>#REF!</v>
      </c>
      <c r="O234" s="19" t="e">
        <f>IF(J234="","SEM #CH",VLOOKUP(J234,#REF!,6,0))</f>
        <v>#REF!</v>
      </c>
      <c r="P234" s="19" t="e">
        <f>IF(J234="","SEM #CH",VLOOKUP(J234,#REF!,7,0))</f>
        <v>#REF!</v>
      </c>
      <c r="Q234" s="77" t="str">
        <f>VLOOKUP(J234,'p1'!$B$2:$C$30,2,0)</f>
        <v>NÃO TEM CHAPA</v>
      </c>
      <c r="R234" s="94">
        <v>45842</v>
      </c>
      <c r="S234" s="90" t="s">
        <v>217</v>
      </c>
      <c r="T234" s="90">
        <f t="shared" si="18"/>
        <v>1</v>
      </c>
      <c r="U234" s="94">
        <v>45846</v>
      </c>
      <c r="V234" s="90" t="s">
        <v>1046</v>
      </c>
      <c r="W234" s="92">
        <v>2435</v>
      </c>
      <c r="X234" s="93">
        <f t="shared" si="17"/>
        <v>1</v>
      </c>
      <c r="Y234" s="92"/>
      <c r="Z234" s="92"/>
      <c r="AA234" s="13" t="str">
        <f t="shared" si="19"/>
        <v>jul/2025</v>
      </c>
    </row>
    <row r="235" spans="1:27" x14ac:dyDescent="0.25">
      <c r="A235" s="89">
        <v>234</v>
      </c>
      <c r="B235" s="68">
        <v>45827</v>
      </c>
      <c r="C235" s="40">
        <v>37</v>
      </c>
      <c r="D235" s="40">
        <f t="shared" si="15"/>
        <v>1</v>
      </c>
      <c r="E235" s="47" t="s">
        <v>128</v>
      </c>
      <c r="F235" s="17" t="s">
        <v>58</v>
      </c>
      <c r="G235" s="17" t="s">
        <v>86</v>
      </c>
      <c r="H235" s="42" t="s">
        <v>467</v>
      </c>
      <c r="I235" s="17" t="str">
        <f t="shared" si="16"/>
        <v>PN-234</v>
      </c>
      <c r="J235" s="18" t="s">
        <v>85</v>
      </c>
      <c r="K235" s="19" t="e">
        <f>IF(J235="","SEM #CH",VLOOKUP(J235,#REF!,2,0))</f>
        <v>#REF!</v>
      </c>
      <c r="L235" s="19" t="e">
        <f>IF(J235="","SEM #CH",VLOOKUP(J235,#REF!,3,0))</f>
        <v>#REF!</v>
      </c>
      <c r="M235" s="19" t="e">
        <f>IF(J235="","SEM #CH",VLOOKUP(J235,#REF!,4,0))</f>
        <v>#REF!</v>
      </c>
      <c r="N235" s="19" t="e">
        <f>IF(J235="","SEM #CH",VLOOKUP(J235,#REF!,5,0))</f>
        <v>#REF!</v>
      </c>
      <c r="O235" s="19" t="e">
        <f>IF(J235="","SEM #CH",VLOOKUP(J235,#REF!,6,0))</f>
        <v>#REF!</v>
      </c>
      <c r="P235" s="19" t="e">
        <f>IF(J235="","SEM #CH",VLOOKUP(J235,#REF!,7,0))</f>
        <v>#REF!</v>
      </c>
      <c r="Q235" s="77" t="str">
        <f>VLOOKUP(J235,'p1'!$B$2:$C$30,2,0)</f>
        <v>NÃO TEM CHAPA</v>
      </c>
      <c r="R235" s="94">
        <v>45840</v>
      </c>
      <c r="S235" s="90" t="s">
        <v>217</v>
      </c>
      <c r="T235" s="90">
        <f t="shared" si="18"/>
        <v>1</v>
      </c>
      <c r="U235" s="94">
        <v>45846</v>
      </c>
      <c r="V235" s="90" t="s">
        <v>1046</v>
      </c>
      <c r="W235" s="92">
        <v>2435</v>
      </c>
      <c r="X235" s="93">
        <f t="shared" si="17"/>
        <v>1</v>
      </c>
      <c r="Y235" s="92"/>
      <c r="Z235" s="92"/>
      <c r="AA235" s="13" t="str">
        <f t="shared" si="19"/>
        <v>jul/2025</v>
      </c>
    </row>
    <row r="236" spans="1:27" x14ac:dyDescent="0.25">
      <c r="A236" s="89">
        <v>235</v>
      </c>
      <c r="B236" s="68">
        <v>45833</v>
      </c>
      <c r="C236" s="40">
        <v>39</v>
      </c>
      <c r="D236" s="40">
        <f t="shared" si="15"/>
        <v>1</v>
      </c>
      <c r="E236" s="47" t="s">
        <v>128</v>
      </c>
      <c r="F236" s="17" t="s">
        <v>58</v>
      </c>
      <c r="G236" s="17" t="s">
        <v>86</v>
      </c>
      <c r="H236" s="42" t="s">
        <v>468</v>
      </c>
      <c r="I236" s="17" t="str">
        <f t="shared" si="16"/>
        <v>PN-235</v>
      </c>
      <c r="J236" s="18" t="s">
        <v>85</v>
      </c>
      <c r="K236" s="19" t="e">
        <f>IF(J236="","SEM #CH",VLOOKUP(J236,#REF!,2,0))</f>
        <v>#REF!</v>
      </c>
      <c r="L236" s="19" t="e">
        <f>IF(J236="","SEM #CH",VLOOKUP(J236,#REF!,3,0))</f>
        <v>#REF!</v>
      </c>
      <c r="M236" s="19" t="e">
        <f>IF(J236="","SEM #CH",VLOOKUP(J236,#REF!,4,0))</f>
        <v>#REF!</v>
      </c>
      <c r="N236" s="19" t="e">
        <f>IF(J236="","SEM #CH",VLOOKUP(J236,#REF!,5,0))</f>
        <v>#REF!</v>
      </c>
      <c r="O236" s="19" t="e">
        <f>IF(J236="","SEM #CH",VLOOKUP(J236,#REF!,6,0))</f>
        <v>#REF!</v>
      </c>
      <c r="P236" s="19" t="e">
        <f>IF(J236="","SEM #CH",VLOOKUP(J236,#REF!,7,0))</f>
        <v>#REF!</v>
      </c>
      <c r="Q236" s="77" t="str">
        <f>VLOOKUP(J236,'p1'!$B$2:$C$30,2,0)</f>
        <v>NÃO TEM CHAPA</v>
      </c>
      <c r="R236" s="94">
        <v>45923</v>
      </c>
      <c r="S236" s="90" t="s">
        <v>217</v>
      </c>
      <c r="T236" s="90">
        <f t="shared" si="18"/>
        <v>1</v>
      </c>
      <c r="U236" s="94">
        <v>45924</v>
      </c>
      <c r="V236" s="90" t="s">
        <v>86</v>
      </c>
      <c r="W236" s="92">
        <v>2541</v>
      </c>
      <c r="X236" s="93">
        <f t="shared" si="17"/>
        <v>1</v>
      </c>
      <c r="Y236" s="92"/>
      <c r="Z236" s="92"/>
      <c r="AA236" s="13" t="str">
        <f t="shared" si="19"/>
        <v>set/2025</v>
      </c>
    </row>
    <row r="237" spans="1:27" x14ac:dyDescent="0.25">
      <c r="A237" s="89">
        <v>236</v>
      </c>
      <c r="B237" s="68">
        <v>45833</v>
      </c>
      <c r="C237" s="40">
        <v>39</v>
      </c>
      <c r="D237" s="40">
        <f t="shared" si="15"/>
        <v>1</v>
      </c>
      <c r="E237" s="47" t="s">
        <v>128</v>
      </c>
      <c r="F237" s="17" t="s">
        <v>58</v>
      </c>
      <c r="G237" s="17" t="s">
        <v>86</v>
      </c>
      <c r="H237" s="42" t="s">
        <v>469</v>
      </c>
      <c r="I237" s="17" t="str">
        <f t="shared" si="16"/>
        <v>PN-236</v>
      </c>
      <c r="J237" s="18" t="s">
        <v>85</v>
      </c>
      <c r="K237" s="19" t="e">
        <f>IF(J237="","SEM #CH",VLOOKUP(J237,#REF!,2,0))</f>
        <v>#REF!</v>
      </c>
      <c r="L237" s="19" t="e">
        <f>IF(J237="","SEM #CH",VLOOKUP(J237,#REF!,3,0))</f>
        <v>#REF!</v>
      </c>
      <c r="M237" s="19" t="e">
        <f>IF(J237="","SEM #CH",VLOOKUP(J237,#REF!,4,0))</f>
        <v>#REF!</v>
      </c>
      <c r="N237" s="19" t="e">
        <f>IF(J237="","SEM #CH",VLOOKUP(J237,#REF!,5,0))</f>
        <v>#REF!</v>
      </c>
      <c r="O237" s="19" t="e">
        <f>IF(J237="","SEM #CH",VLOOKUP(J237,#REF!,6,0))</f>
        <v>#REF!</v>
      </c>
      <c r="P237" s="19" t="e">
        <f>IF(J237="","SEM #CH",VLOOKUP(J237,#REF!,7,0))</f>
        <v>#REF!</v>
      </c>
      <c r="Q237" s="77" t="str">
        <f>VLOOKUP(J237,'p1'!$B$2:$C$30,2,0)</f>
        <v>NÃO TEM CHAPA</v>
      </c>
      <c r="R237" s="94">
        <v>45923</v>
      </c>
      <c r="S237" s="90" t="s">
        <v>217</v>
      </c>
      <c r="T237" s="90">
        <f t="shared" si="18"/>
        <v>1</v>
      </c>
      <c r="U237" s="94">
        <v>45924</v>
      </c>
      <c r="V237" s="90" t="s">
        <v>86</v>
      </c>
      <c r="W237" s="92">
        <v>2541</v>
      </c>
      <c r="X237" s="93">
        <f t="shared" si="17"/>
        <v>1</v>
      </c>
      <c r="Y237" s="92"/>
      <c r="Z237" s="92"/>
      <c r="AA237" s="13" t="str">
        <f t="shared" si="19"/>
        <v>set/2025</v>
      </c>
    </row>
    <row r="238" spans="1:27" x14ac:dyDescent="0.25">
      <c r="A238" s="89">
        <v>237</v>
      </c>
      <c r="B238" s="68">
        <v>45833</v>
      </c>
      <c r="C238" s="40">
        <v>39</v>
      </c>
      <c r="D238" s="40">
        <f t="shared" si="15"/>
        <v>1</v>
      </c>
      <c r="E238" s="47" t="s">
        <v>128</v>
      </c>
      <c r="F238" s="17" t="s">
        <v>58</v>
      </c>
      <c r="G238" s="17" t="s">
        <v>86</v>
      </c>
      <c r="H238" s="42" t="s">
        <v>470</v>
      </c>
      <c r="I238" s="17" t="str">
        <f t="shared" si="16"/>
        <v>PN-237</v>
      </c>
      <c r="J238" s="18" t="s">
        <v>85</v>
      </c>
      <c r="K238" s="19" t="e">
        <f>IF(J238="","SEM #CH",VLOOKUP(J238,#REF!,2,0))</f>
        <v>#REF!</v>
      </c>
      <c r="L238" s="19" t="e">
        <f>IF(J238="","SEM #CH",VLOOKUP(J238,#REF!,3,0))</f>
        <v>#REF!</v>
      </c>
      <c r="M238" s="19" t="e">
        <f>IF(J238="","SEM #CH",VLOOKUP(J238,#REF!,4,0))</f>
        <v>#REF!</v>
      </c>
      <c r="N238" s="19" t="e">
        <f>IF(J238="","SEM #CH",VLOOKUP(J238,#REF!,5,0))</f>
        <v>#REF!</v>
      </c>
      <c r="O238" s="19" t="e">
        <f>IF(J238="","SEM #CH",VLOOKUP(J238,#REF!,6,0))</f>
        <v>#REF!</v>
      </c>
      <c r="P238" s="19" t="e">
        <f>IF(J238="","SEM #CH",VLOOKUP(J238,#REF!,7,0))</f>
        <v>#REF!</v>
      </c>
      <c r="Q238" s="77" t="str">
        <f>VLOOKUP(J238,'p1'!$B$2:$C$30,2,0)</f>
        <v>NÃO TEM CHAPA</v>
      </c>
      <c r="R238" s="94">
        <v>45922</v>
      </c>
      <c r="S238" s="90" t="s">
        <v>217</v>
      </c>
      <c r="T238" s="90">
        <f t="shared" si="18"/>
        <v>1</v>
      </c>
      <c r="U238" s="94">
        <v>45924</v>
      </c>
      <c r="V238" s="90" t="s">
        <v>86</v>
      </c>
      <c r="W238" s="92">
        <v>2541</v>
      </c>
      <c r="X238" s="93">
        <f t="shared" si="17"/>
        <v>1</v>
      </c>
      <c r="Y238" s="92"/>
      <c r="Z238" s="92"/>
      <c r="AA238" s="13" t="str">
        <f t="shared" si="19"/>
        <v>set/2025</v>
      </c>
    </row>
    <row r="239" spans="1:27" x14ac:dyDescent="0.25">
      <c r="A239" s="89">
        <v>238</v>
      </c>
      <c r="B239" s="68">
        <v>45833</v>
      </c>
      <c r="C239" s="40">
        <v>39</v>
      </c>
      <c r="D239" s="40">
        <f t="shared" si="15"/>
        <v>1</v>
      </c>
      <c r="E239" s="47" t="s">
        <v>128</v>
      </c>
      <c r="F239" s="17" t="s">
        <v>58</v>
      </c>
      <c r="G239" s="17" t="s">
        <v>86</v>
      </c>
      <c r="H239" s="42" t="s">
        <v>471</v>
      </c>
      <c r="I239" s="17" t="str">
        <f t="shared" si="16"/>
        <v>PN-238</v>
      </c>
      <c r="J239" s="18" t="s">
        <v>85</v>
      </c>
      <c r="K239" s="19" t="e">
        <f>IF(J239="","SEM #CH",VLOOKUP(J239,#REF!,2,0))</f>
        <v>#REF!</v>
      </c>
      <c r="L239" s="19" t="e">
        <f>IF(J239="","SEM #CH",VLOOKUP(J239,#REF!,3,0))</f>
        <v>#REF!</v>
      </c>
      <c r="M239" s="19" t="e">
        <f>IF(J239="","SEM #CH",VLOOKUP(J239,#REF!,4,0))</f>
        <v>#REF!</v>
      </c>
      <c r="N239" s="19" t="e">
        <f>IF(J239="","SEM #CH",VLOOKUP(J239,#REF!,5,0))</f>
        <v>#REF!</v>
      </c>
      <c r="O239" s="19" t="e">
        <f>IF(J239="","SEM #CH",VLOOKUP(J239,#REF!,6,0))</f>
        <v>#REF!</v>
      </c>
      <c r="P239" s="19" t="e">
        <f>IF(J239="","SEM #CH",VLOOKUP(J239,#REF!,7,0))</f>
        <v>#REF!</v>
      </c>
      <c r="Q239" s="77" t="str">
        <f>VLOOKUP(J239,'p1'!$B$2:$C$30,2,0)</f>
        <v>NÃO TEM CHAPA</v>
      </c>
      <c r="R239" s="94">
        <v>45920</v>
      </c>
      <c r="S239" s="90" t="s">
        <v>217</v>
      </c>
      <c r="T239" s="90">
        <f t="shared" si="18"/>
        <v>1</v>
      </c>
      <c r="U239" s="94">
        <v>45922</v>
      </c>
      <c r="V239" s="90" t="s">
        <v>86</v>
      </c>
      <c r="W239" s="92">
        <v>2537</v>
      </c>
      <c r="X239" s="93">
        <f t="shared" si="17"/>
        <v>1</v>
      </c>
      <c r="Y239" s="92"/>
      <c r="Z239" s="92"/>
      <c r="AA239" s="13" t="str">
        <f t="shared" si="19"/>
        <v>set/2025</v>
      </c>
    </row>
    <row r="240" spans="1:27" x14ac:dyDescent="0.25">
      <c r="A240" s="89">
        <v>239</v>
      </c>
      <c r="B240" s="68">
        <v>45833</v>
      </c>
      <c r="C240" s="40">
        <v>39</v>
      </c>
      <c r="D240" s="40">
        <f t="shared" si="15"/>
        <v>1</v>
      </c>
      <c r="E240" s="47" t="s">
        <v>128</v>
      </c>
      <c r="F240" s="17" t="s">
        <v>58</v>
      </c>
      <c r="G240" s="17" t="s">
        <v>86</v>
      </c>
      <c r="H240" s="42" t="s">
        <v>472</v>
      </c>
      <c r="I240" s="17" t="str">
        <f t="shared" si="16"/>
        <v>PN-239</v>
      </c>
      <c r="J240" s="18" t="s">
        <v>85</v>
      </c>
      <c r="K240" s="19" t="e">
        <f>IF(J240="","SEM #CH",VLOOKUP(J240,#REF!,2,0))</f>
        <v>#REF!</v>
      </c>
      <c r="L240" s="19" t="e">
        <f>IF(J240="","SEM #CH",VLOOKUP(J240,#REF!,3,0))</f>
        <v>#REF!</v>
      </c>
      <c r="M240" s="19" t="e">
        <f>IF(J240="","SEM #CH",VLOOKUP(J240,#REF!,4,0))</f>
        <v>#REF!</v>
      </c>
      <c r="N240" s="19" t="e">
        <f>IF(J240="","SEM #CH",VLOOKUP(J240,#REF!,5,0))</f>
        <v>#REF!</v>
      </c>
      <c r="O240" s="19" t="e">
        <f>IF(J240="","SEM #CH",VLOOKUP(J240,#REF!,6,0))</f>
        <v>#REF!</v>
      </c>
      <c r="P240" s="19" t="e">
        <f>IF(J240="","SEM #CH",VLOOKUP(J240,#REF!,7,0))</f>
        <v>#REF!</v>
      </c>
      <c r="Q240" s="77" t="str">
        <f>VLOOKUP(J240,'p1'!$B$2:$C$30,2,0)</f>
        <v>NÃO TEM CHAPA</v>
      </c>
      <c r="R240" s="94">
        <v>45888</v>
      </c>
      <c r="S240" s="90" t="s">
        <v>217</v>
      </c>
      <c r="T240" s="90">
        <f t="shared" si="18"/>
        <v>1</v>
      </c>
      <c r="U240" s="94">
        <v>45889</v>
      </c>
      <c r="V240" s="90" t="s">
        <v>1098</v>
      </c>
      <c r="W240" s="92">
        <v>2484</v>
      </c>
      <c r="X240" s="93">
        <f t="shared" si="17"/>
        <v>1</v>
      </c>
      <c r="Y240" s="92"/>
      <c r="Z240" s="92"/>
      <c r="AA240" s="13" t="str">
        <f t="shared" si="19"/>
        <v>ago/2025</v>
      </c>
    </row>
    <row r="241" spans="1:27" x14ac:dyDescent="0.25">
      <c r="A241" s="89">
        <v>240</v>
      </c>
      <c r="B241" s="68">
        <v>45833</v>
      </c>
      <c r="C241" s="40">
        <v>39</v>
      </c>
      <c r="D241" s="40">
        <f t="shared" si="15"/>
        <v>1</v>
      </c>
      <c r="E241" s="47" t="s">
        <v>128</v>
      </c>
      <c r="F241" s="17" t="s">
        <v>58</v>
      </c>
      <c r="G241" s="17" t="s">
        <v>86</v>
      </c>
      <c r="H241" s="42" t="s">
        <v>473</v>
      </c>
      <c r="I241" s="17" t="str">
        <f t="shared" si="16"/>
        <v>PN-240</v>
      </c>
      <c r="J241" s="18" t="s">
        <v>85</v>
      </c>
      <c r="K241" s="19" t="e">
        <f>IF(J241="","SEM #CH",VLOOKUP(J241,#REF!,2,0))</f>
        <v>#REF!</v>
      </c>
      <c r="L241" s="19" t="e">
        <f>IF(J241="","SEM #CH",VLOOKUP(J241,#REF!,3,0))</f>
        <v>#REF!</v>
      </c>
      <c r="M241" s="19" t="e">
        <f>IF(J241="","SEM #CH",VLOOKUP(J241,#REF!,4,0))</f>
        <v>#REF!</v>
      </c>
      <c r="N241" s="19" t="e">
        <f>IF(J241="","SEM #CH",VLOOKUP(J241,#REF!,5,0))</f>
        <v>#REF!</v>
      </c>
      <c r="O241" s="19" t="e">
        <f>IF(J241="","SEM #CH",VLOOKUP(J241,#REF!,6,0))</f>
        <v>#REF!</v>
      </c>
      <c r="P241" s="19" t="e">
        <f>IF(J241="","SEM #CH",VLOOKUP(J241,#REF!,7,0))</f>
        <v>#REF!</v>
      </c>
      <c r="Q241" s="77" t="str">
        <f>VLOOKUP(J241,'p1'!$B$2:$C$30,2,0)</f>
        <v>NÃO TEM CHAPA</v>
      </c>
      <c r="R241" s="94">
        <v>45888</v>
      </c>
      <c r="S241" s="90" t="s">
        <v>217</v>
      </c>
      <c r="T241" s="90">
        <f t="shared" si="18"/>
        <v>1</v>
      </c>
      <c r="U241" s="94">
        <v>45889</v>
      </c>
      <c r="V241" s="90" t="s">
        <v>1098</v>
      </c>
      <c r="W241" s="92">
        <v>2484</v>
      </c>
      <c r="X241" s="93">
        <f t="shared" si="17"/>
        <v>1</v>
      </c>
      <c r="Y241" s="92"/>
      <c r="Z241" s="92"/>
      <c r="AA241" s="13" t="str">
        <f t="shared" si="19"/>
        <v>ago/2025</v>
      </c>
    </row>
    <row r="242" spans="1:27" x14ac:dyDescent="0.25">
      <c r="A242" s="89">
        <v>241</v>
      </c>
      <c r="B242" s="68">
        <v>45821</v>
      </c>
      <c r="C242" s="40">
        <v>35</v>
      </c>
      <c r="D242" s="40">
        <f t="shared" si="15"/>
        <v>1</v>
      </c>
      <c r="E242" s="47" t="s">
        <v>128</v>
      </c>
      <c r="F242" s="17" t="s">
        <v>60</v>
      </c>
      <c r="G242" s="17" t="s">
        <v>86</v>
      </c>
      <c r="H242" s="42" t="s">
        <v>474</v>
      </c>
      <c r="I242" s="17" t="str">
        <f t="shared" si="16"/>
        <v>PE-241</v>
      </c>
      <c r="J242" s="18" t="s">
        <v>89</v>
      </c>
      <c r="K242" s="19" t="e">
        <f>IF(J242="","SEM #CH",VLOOKUP(J242,#REF!,2,0))</f>
        <v>#REF!</v>
      </c>
      <c r="L242" s="19" t="e">
        <f>IF(J242="","SEM #CH",VLOOKUP(J242,#REF!,3,0))</f>
        <v>#REF!</v>
      </c>
      <c r="M242" s="19" t="e">
        <f>IF(J242="","SEM #CH",VLOOKUP(J242,#REF!,4,0))</f>
        <v>#REF!</v>
      </c>
      <c r="N242" s="19" t="e">
        <f>IF(J242="","SEM #CH",VLOOKUP(J242,#REF!,5,0))</f>
        <v>#REF!</v>
      </c>
      <c r="O242" s="19" t="e">
        <f>IF(J242="","SEM #CH",VLOOKUP(J242,#REF!,6,0))</f>
        <v>#REF!</v>
      </c>
      <c r="P242" s="19" t="e">
        <f>IF(J242="","SEM #CH",VLOOKUP(J242,#REF!,7,0))</f>
        <v>#REF!</v>
      </c>
      <c r="Q242" s="77" t="str">
        <f>VLOOKUP(J242,'p1'!$B$2:$C$30,2,0)</f>
        <v>#3/8-1200X1200</v>
      </c>
      <c r="R242" s="94">
        <v>45831</v>
      </c>
      <c r="S242" s="90" t="s">
        <v>217</v>
      </c>
      <c r="T242" s="90">
        <f t="shared" si="18"/>
        <v>1</v>
      </c>
      <c r="U242" s="94">
        <v>45835</v>
      </c>
      <c r="V242" s="90" t="s">
        <v>86</v>
      </c>
      <c r="W242" s="92">
        <v>2422</v>
      </c>
      <c r="X242" s="93">
        <f t="shared" si="17"/>
        <v>1</v>
      </c>
      <c r="Y242" s="92"/>
      <c r="Z242" s="92"/>
      <c r="AA242" s="13" t="str">
        <f t="shared" si="19"/>
        <v>jun/2025</v>
      </c>
    </row>
    <row r="243" spans="1:27" x14ac:dyDescent="0.25">
      <c r="A243" s="89">
        <v>242</v>
      </c>
      <c r="B243" s="68">
        <v>45821</v>
      </c>
      <c r="C243" s="40">
        <v>35</v>
      </c>
      <c r="D243" s="40">
        <f t="shared" si="15"/>
        <v>1</v>
      </c>
      <c r="E243" s="47" t="s">
        <v>128</v>
      </c>
      <c r="F243" s="17" t="s">
        <v>60</v>
      </c>
      <c r="G243" s="17" t="s">
        <v>86</v>
      </c>
      <c r="H243" s="42" t="s">
        <v>475</v>
      </c>
      <c r="I243" s="17" t="str">
        <f t="shared" si="16"/>
        <v>PE-242</v>
      </c>
      <c r="J243" s="18" t="s">
        <v>87</v>
      </c>
      <c r="K243" s="19" t="e">
        <f>IF(J243="","SEM #CH",VLOOKUP(J243,#REF!,2,0))</f>
        <v>#REF!</v>
      </c>
      <c r="L243" s="19" t="e">
        <f>IF(J243="","SEM #CH",VLOOKUP(J243,#REF!,3,0))</f>
        <v>#REF!</v>
      </c>
      <c r="M243" s="19" t="e">
        <f>IF(J243="","SEM #CH",VLOOKUP(J243,#REF!,4,0))</f>
        <v>#REF!</v>
      </c>
      <c r="N243" s="19" t="e">
        <f>IF(J243="","SEM #CH",VLOOKUP(J243,#REF!,5,0))</f>
        <v>#REF!</v>
      </c>
      <c r="O243" s="19" t="e">
        <f>IF(J243="","SEM #CH",VLOOKUP(J243,#REF!,6,0))</f>
        <v>#REF!</v>
      </c>
      <c r="P243" s="19" t="e">
        <f>IF(J243="","SEM #CH",VLOOKUP(J243,#REF!,7,0))</f>
        <v>#REF!</v>
      </c>
      <c r="Q243" s="77" t="str">
        <f>VLOOKUP(J243,'p1'!$B$2:$C$30,2,0)</f>
        <v>#3/8-1620X1620</v>
      </c>
      <c r="R243" s="94">
        <v>45828</v>
      </c>
      <c r="S243" s="90" t="s">
        <v>217</v>
      </c>
      <c r="T243" s="90">
        <f t="shared" si="18"/>
        <v>1</v>
      </c>
      <c r="U243" s="94">
        <v>45835</v>
      </c>
      <c r="V243" s="90" t="s">
        <v>86</v>
      </c>
      <c r="W243" s="92">
        <v>2419</v>
      </c>
      <c r="X243" s="93">
        <f t="shared" si="17"/>
        <v>1</v>
      </c>
      <c r="Y243" s="92"/>
      <c r="Z243" s="92"/>
      <c r="AA243" s="13" t="str">
        <f t="shared" si="19"/>
        <v>jun/2025</v>
      </c>
    </row>
    <row r="244" spans="1:27" x14ac:dyDescent="0.25">
      <c r="A244" s="89">
        <v>243</v>
      </c>
      <c r="B244" s="68">
        <v>45821</v>
      </c>
      <c r="C244" s="40">
        <v>35</v>
      </c>
      <c r="D244" s="40">
        <f t="shared" si="15"/>
        <v>1</v>
      </c>
      <c r="E244" s="47" t="s">
        <v>128</v>
      </c>
      <c r="F244" s="17" t="s">
        <v>60</v>
      </c>
      <c r="G244" s="17" t="s">
        <v>86</v>
      </c>
      <c r="H244" s="42" t="s">
        <v>476</v>
      </c>
      <c r="I244" s="17" t="str">
        <f t="shared" si="16"/>
        <v>PE-243</v>
      </c>
      <c r="J244" s="18" t="s">
        <v>88</v>
      </c>
      <c r="K244" s="19" t="e">
        <f>IF(J244="","SEM #CH",VLOOKUP(J244,#REF!,2,0))</f>
        <v>#REF!</v>
      </c>
      <c r="L244" s="19" t="e">
        <f>IF(J244="","SEM #CH",VLOOKUP(J244,#REF!,3,0))</f>
        <v>#REF!</v>
      </c>
      <c r="M244" s="19" t="e">
        <f>IF(J244="","SEM #CH",VLOOKUP(J244,#REF!,4,0))</f>
        <v>#REF!</v>
      </c>
      <c r="N244" s="19" t="e">
        <f>IF(J244="","SEM #CH",VLOOKUP(J244,#REF!,5,0))</f>
        <v>#REF!</v>
      </c>
      <c r="O244" s="19" t="e">
        <f>IF(J244="","SEM #CH",VLOOKUP(J244,#REF!,6,0))</f>
        <v>#REF!</v>
      </c>
      <c r="P244" s="19" t="e">
        <f>IF(J244="","SEM #CH",VLOOKUP(J244,#REF!,7,0))</f>
        <v>#REF!</v>
      </c>
      <c r="Q244" s="77" t="str">
        <f>VLOOKUP(J244,'p1'!$B$2:$C$30,2,0)</f>
        <v>#3/8-1315X1315</v>
      </c>
      <c r="R244" s="94">
        <v>45873</v>
      </c>
      <c r="S244" s="90" t="s">
        <v>217</v>
      </c>
      <c r="T244" s="90">
        <f t="shared" si="18"/>
        <v>1</v>
      </c>
      <c r="U244" s="94">
        <v>45881</v>
      </c>
      <c r="V244" s="90" t="s">
        <v>1093</v>
      </c>
      <c r="W244" s="92">
        <v>2469</v>
      </c>
      <c r="X244" s="93">
        <f t="shared" si="17"/>
        <v>1</v>
      </c>
      <c r="Y244" s="92"/>
      <c r="Z244" s="92"/>
      <c r="AA244" s="13" t="str">
        <f t="shared" si="19"/>
        <v>ago/2025</v>
      </c>
    </row>
    <row r="245" spans="1:27" x14ac:dyDescent="0.25">
      <c r="A245" s="89">
        <v>244</v>
      </c>
      <c r="B245" s="68">
        <v>45842</v>
      </c>
      <c r="C245" s="40">
        <v>44</v>
      </c>
      <c r="D245" s="40">
        <f t="shared" si="15"/>
        <v>1</v>
      </c>
      <c r="E245" s="47" t="s">
        <v>128</v>
      </c>
      <c r="F245" s="17" t="s">
        <v>58</v>
      </c>
      <c r="G245" s="17" t="s">
        <v>86</v>
      </c>
      <c r="H245" s="42" t="s">
        <v>477</v>
      </c>
      <c r="I245" s="17" t="str">
        <f t="shared" si="16"/>
        <v>PN-244</v>
      </c>
      <c r="J245" s="18" t="s">
        <v>85</v>
      </c>
      <c r="K245" s="19" t="e">
        <f>IF(J245="","SEM #CH",VLOOKUP(J245,#REF!,2,0))</f>
        <v>#REF!</v>
      </c>
      <c r="L245" s="19" t="e">
        <f>IF(J245="","SEM #CH",VLOOKUP(J245,#REF!,3,0))</f>
        <v>#REF!</v>
      </c>
      <c r="M245" s="19" t="e">
        <f>IF(J245="","SEM #CH",VLOOKUP(J245,#REF!,4,0))</f>
        <v>#REF!</v>
      </c>
      <c r="N245" s="19" t="e">
        <f>IF(J245="","SEM #CH",VLOOKUP(J245,#REF!,5,0))</f>
        <v>#REF!</v>
      </c>
      <c r="O245" s="19" t="e">
        <f>IF(J245="","SEM #CH",VLOOKUP(J245,#REF!,6,0))</f>
        <v>#REF!</v>
      </c>
      <c r="P245" s="19" t="e">
        <f>IF(J245="","SEM #CH",VLOOKUP(J245,#REF!,7,0))</f>
        <v>#REF!</v>
      </c>
      <c r="Q245" s="77" t="str">
        <f>VLOOKUP(J245,'p1'!$B$2:$C$30,2,0)</f>
        <v>NÃO TEM CHAPA</v>
      </c>
      <c r="R245" s="94">
        <v>45859</v>
      </c>
      <c r="S245" s="90" t="s">
        <v>217</v>
      </c>
      <c r="T245" s="90">
        <f t="shared" si="18"/>
        <v>1</v>
      </c>
      <c r="U245" s="94">
        <v>45859</v>
      </c>
      <c r="V245" s="90" t="s">
        <v>86</v>
      </c>
      <c r="W245" s="92">
        <v>2454</v>
      </c>
      <c r="X245" s="93">
        <f t="shared" si="17"/>
        <v>1</v>
      </c>
      <c r="Y245" s="92"/>
      <c r="Z245" s="92"/>
      <c r="AA245" s="13" t="str">
        <f t="shared" si="19"/>
        <v>jul/2025</v>
      </c>
    </row>
    <row r="246" spans="1:27" x14ac:dyDescent="0.25">
      <c r="A246" s="89">
        <v>245</v>
      </c>
      <c r="B246" s="68">
        <v>45842</v>
      </c>
      <c r="C246" s="40">
        <v>44</v>
      </c>
      <c r="D246" s="40">
        <f t="shared" si="15"/>
        <v>1</v>
      </c>
      <c r="E246" s="47" t="s">
        <v>128</v>
      </c>
      <c r="F246" s="17" t="s">
        <v>58</v>
      </c>
      <c r="G246" s="17" t="s">
        <v>86</v>
      </c>
      <c r="H246" s="42" t="s">
        <v>478</v>
      </c>
      <c r="I246" s="17" t="str">
        <f t="shared" si="16"/>
        <v>PN-245</v>
      </c>
      <c r="J246" s="18" t="s">
        <v>85</v>
      </c>
      <c r="K246" s="19" t="e">
        <f>IF(J246="","SEM #CH",VLOOKUP(J246,#REF!,2,0))</f>
        <v>#REF!</v>
      </c>
      <c r="L246" s="19" t="e">
        <f>IF(J246="","SEM #CH",VLOOKUP(J246,#REF!,3,0))</f>
        <v>#REF!</v>
      </c>
      <c r="M246" s="19" t="e">
        <f>IF(J246="","SEM #CH",VLOOKUP(J246,#REF!,4,0))</f>
        <v>#REF!</v>
      </c>
      <c r="N246" s="19" t="e">
        <f>IF(J246="","SEM #CH",VLOOKUP(J246,#REF!,5,0))</f>
        <v>#REF!</v>
      </c>
      <c r="O246" s="19" t="e">
        <f>IF(J246="","SEM #CH",VLOOKUP(J246,#REF!,6,0))</f>
        <v>#REF!</v>
      </c>
      <c r="P246" s="19" t="e">
        <f>IF(J246="","SEM #CH",VLOOKUP(J246,#REF!,7,0))</f>
        <v>#REF!</v>
      </c>
      <c r="Q246" s="77" t="str">
        <f>VLOOKUP(J246,'p1'!$B$2:$C$30,2,0)</f>
        <v>NÃO TEM CHAPA</v>
      </c>
      <c r="R246" s="94">
        <v>45859</v>
      </c>
      <c r="S246" s="90" t="s">
        <v>217</v>
      </c>
      <c r="T246" s="90">
        <f t="shared" si="18"/>
        <v>1</v>
      </c>
      <c r="U246" s="94">
        <v>45860</v>
      </c>
      <c r="V246" s="90" t="s">
        <v>86</v>
      </c>
      <c r="W246" s="92">
        <v>2457</v>
      </c>
      <c r="X246" s="93">
        <f t="shared" si="17"/>
        <v>1</v>
      </c>
      <c r="Y246" s="92"/>
      <c r="Z246" s="92"/>
      <c r="AA246" s="13" t="str">
        <f t="shared" si="19"/>
        <v>jul/2025</v>
      </c>
    </row>
    <row r="247" spans="1:27" x14ac:dyDescent="0.25">
      <c r="A247" s="89">
        <v>246</v>
      </c>
      <c r="B247" s="68">
        <v>45842</v>
      </c>
      <c r="C247" s="40">
        <v>44</v>
      </c>
      <c r="D247" s="40">
        <f t="shared" si="15"/>
        <v>1</v>
      </c>
      <c r="E247" s="47" t="s">
        <v>128</v>
      </c>
      <c r="F247" s="17" t="s">
        <v>58</v>
      </c>
      <c r="G247" s="17" t="s">
        <v>86</v>
      </c>
      <c r="H247" s="42" t="s">
        <v>479</v>
      </c>
      <c r="I247" s="17" t="str">
        <f t="shared" si="16"/>
        <v>PN-246</v>
      </c>
      <c r="J247" s="18" t="s">
        <v>85</v>
      </c>
      <c r="K247" s="19" t="e">
        <f>IF(J247="","SEM #CH",VLOOKUP(J247,#REF!,2,0))</f>
        <v>#REF!</v>
      </c>
      <c r="L247" s="19" t="e">
        <f>IF(J247="","SEM #CH",VLOOKUP(J247,#REF!,3,0))</f>
        <v>#REF!</v>
      </c>
      <c r="M247" s="19" t="e">
        <f>IF(J247="","SEM #CH",VLOOKUP(J247,#REF!,4,0))</f>
        <v>#REF!</v>
      </c>
      <c r="N247" s="19" t="e">
        <f>IF(J247="","SEM #CH",VLOOKUP(J247,#REF!,5,0))</f>
        <v>#REF!</v>
      </c>
      <c r="O247" s="19" t="e">
        <f>IF(J247="","SEM #CH",VLOOKUP(J247,#REF!,6,0))</f>
        <v>#REF!</v>
      </c>
      <c r="P247" s="19" t="e">
        <f>IF(J247="","SEM #CH",VLOOKUP(J247,#REF!,7,0))</f>
        <v>#REF!</v>
      </c>
      <c r="Q247" s="77" t="str">
        <f>VLOOKUP(J247,'p1'!$B$2:$C$30,2,0)</f>
        <v>NÃO TEM CHAPA</v>
      </c>
      <c r="R247" s="94">
        <v>45862</v>
      </c>
      <c r="S247" s="90" t="s">
        <v>217</v>
      </c>
      <c r="T247" s="90">
        <f t="shared" si="18"/>
        <v>1</v>
      </c>
      <c r="U247" s="94">
        <v>45881</v>
      </c>
      <c r="V247" s="90" t="s">
        <v>86</v>
      </c>
      <c r="W247" s="92">
        <v>2468</v>
      </c>
      <c r="X247" s="93">
        <f t="shared" si="17"/>
        <v>1</v>
      </c>
      <c r="Y247" s="92"/>
      <c r="Z247" s="92"/>
      <c r="AA247" s="13" t="str">
        <f t="shared" si="19"/>
        <v>jul/2025</v>
      </c>
    </row>
    <row r="248" spans="1:27" x14ac:dyDescent="0.25">
      <c r="A248" s="89">
        <v>247</v>
      </c>
      <c r="B248" s="68">
        <v>45842</v>
      </c>
      <c r="C248" s="40">
        <v>44</v>
      </c>
      <c r="D248" s="40">
        <f t="shared" si="15"/>
        <v>1</v>
      </c>
      <c r="E248" s="47" t="s">
        <v>128</v>
      </c>
      <c r="F248" s="17" t="s">
        <v>58</v>
      </c>
      <c r="G248" s="17" t="s">
        <v>86</v>
      </c>
      <c r="H248" s="42" t="s">
        <v>480</v>
      </c>
      <c r="I248" s="17" t="str">
        <f t="shared" si="16"/>
        <v>PN-247</v>
      </c>
      <c r="J248" s="18" t="s">
        <v>85</v>
      </c>
      <c r="K248" s="19" t="e">
        <f>IF(J248="","SEM #CH",VLOOKUP(J248,#REF!,2,0))</f>
        <v>#REF!</v>
      </c>
      <c r="L248" s="19" t="e">
        <f>IF(J248="","SEM #CH",VLOOKUP(J248,#REF!,3,0))</f>
        <v>#REF!</v>
      </c>
      <c r="M248" s="19" t="e">
        <f>IF(J248="","SEM #CH",VLOOKUP(J248,#REF!,4,0))</f>
        <v>#REF!</v>
      </c>
      <c r="N248" s="19" t="e">
        <f>IF(J248="","SEM #CH",VLOOKUP(J248,#REF!,5,0))</f>
        <v>#REF!</v>
      </c>
      <c r="O248" s="19" t="e">
        <f>IF(J248="","SEM #CH",VLOOKUP(J248,#REF!,6,0))</f>
        <v>#REF!</v>
      </c>
      <c r="P248" s="19" t="e">
        <f>IF(J248="","SEM #CH",VLOOKUP(J248,#REF!,7,0))</f>
        <v>#REF!</v>
      </c>
      <c r="Q248" s="77" t="str">
        <f>VLOOKUP(J248,'p1'!$B$2:$C$30,2,0)</f>
        <v>NÃO TEM CHAPA</v>
      </c>
      <c r="R248" s="94">
        <v>45860</v>
      </c>
      <c r="S248" s="90" t="s">
        <v>217</v>
      </c>
      <c r="T248" s="90">
        <f t="shared" si="18"/>
        <v>1</v>
      </c>
      <c r="U248" s="94">
        <v>45860</v>
      </c>
      <c r="V248" s="90" t="s">
        <v>86</v>
      </c>
      <c r="W248" s="92">
        <v>2457</v>
      </c>
      <c r="X248" s="93">
        <f t="shared" si="17"/>
        <v>1</v>
      </c>
      <c r="Y248" s="92"/>
      <c r="Z248" s="92"/>
      <c r="AA248" s="13" t="str">
        <f t="shared" si="19"/>
        <v>jul/2025</v>
      </c>
    </row>
    <row r="249" spans="1:27" x14ac:dyDescent="0.25">
      <c r="A249" s="89">
        <v>248</v>
      </c>
      <c r="B249" s="68">
        <v>45842</v>
      </c>
      <c r="C249" s="40">
        <v>44</v>
      </c>
      <c r="D249" s="40">
        <f t="shared" si="15"/>
        <v>1</v>
      </c>
      <c r="E249" s="47" t="s">
        <v>128</v>
      </c>
      <c r="F249" s="17" t="s">
        <v>58</v>
      </c>
      <c r="G249" s="17" t="s">
        <v>86</v>
      </c>
      <c r="H249" s="42" t="s">
        <v>481</v>
      </c>
      <c r="I249" s="17" t="str">
        <f t="shared" si="16"/>
        <v>PN-248</v>
      </c>
      <c r="J249" s="18" t="s">
        <v>85</v>
      </c>
      <c r="K249" s="19" t="e">
        <f>IF(J249="","SEM #CH",VLOOKUP(J249,#REF!,2,0))</f>
        <v>#REF!</v>
      </c>
      <c r="L249" s="19" t="e">
        <f>IF(J249="","SEM #CH",VLOOKUP(J249,#REF!,3,0))</f>
        <v>#REF!</v>
      </c>
      <c r="M249" s="19" t="e">
        <f>IF(J249="","SEM #CH",VLOOKUP(J249,#REF!,4,0))</f>
        <v>#REF!</v>
      </c>
      <c r="N249" s="19" t="e">
        <f>IF(J249="","SEM #CH",VLOOKUP(J249,#REF!,5,0))</f>
        <v>#REF!</v>
      </c>
      <c r="O249" s="19" t="e">
        <f>IF(J249="","SEM #CH",VLOOKUP(J249,#REF!,6,0))</f>
        <v>#REF!</v>
      </c>
      <c r="P249" s="19" t="e">
        <f>IF(J249="","SEM #CH",VLOOKUP(J249,#REF!,7,0))</f>
        <v>#REF!</v>
      </c>
      <c r="Q249" s="77" t="str">
        <f>VLOOKUP(J249,'p1'!$B$2:$C$30,2,0)</f>
        <v>NÃO TEM CHAPA</v>
      </c>
      <c r="R249" s="94">
        <v>45860</v>
      </c>
      <c r="S249" s="90" t="s">
        <v>217</v>
      </c>
      <c r="T249" s="90">
        <f t="shared" si="18"/>
        <v>1</v>
      </c>
      <c r="U249" s="94">
        <v>45881</v>
      </c>
      <c r="V249" s="90" t="s">
        <v>1093</v>
      </c>
      <c r="W249" s="92">
        <v>2469</v>
      </c>
      <c r="X249" s="93">
        <f t="shared" si="17"/>
        <v>1</v>
      </c>
      <c r="Y249" s="92"/>
      <c r="Z249" s="92"/>
      <c r="AA249" s="13" t="str">
        <f t="shared" si="19"/>
        <v>jul/2025</v>
      </c>
    </row>
    <row r="250" spans="1:27" x14ac:dyDescent="0.25">
      <c r="A250" s="89">
        <v>249</v>
      </c>
      <c r="B250" s="68">
        <v>45887</v>
      </c>
      <c r="C250" s="40">
        <v>72</v>
      </c>
      <c r="D250" s="40">
        <f t="shared" si="15"/>
        <v>1</v>
      </c>
      <c r="E250" s="48" t="s">
        <v>130</v>
      </c>
      <c r="F250" s="17" t="s">
        <v>61</v>
      </c>
      <c r="G250" s="17" t="s">
        <v>86</v>
      </c>
      <c r="H250" s="42" t="s">
        <v>482</v>
      </c>
      <c r="I250" s="17" t="str">
        <f t="shared" si="16"/>
        <v>PF-249</v>
      </c>
      <c r="J250" s="18" t="s">
        <v>61</v>
      </c>
      <c r="K250" s="19" t="e">
        <f>IF(J250="","SEM #CH",VLOOKUP(J250,#REF!,2,0))</f>
        <v>#REF!</v>
      </c>
      <c r="L250" s="19" t="e">
        <f>IF(J250="","SEM #CH",VLOOKUP(J250,#REF!,3,0))</f>
        <v>#REF!</v>
      </c>
      <c r="M250" s="19" t="e">
        <f>IF(J250="","SEM #CH",VLOOKUP(J250,#REF!,4,0))</f>
        <v>#REF!</v>
      </c>
      <c r="N250" s="19" t="e">
        <f>IF(J250="","SEM #CH",VLOOKUP(J250,#REF!,5,0))</f>
        <v>#REF!</v>
      </c>
      <c r="O250" s="19" t="e">
        <f>IF(J250="","SEM #CH",VLOOKUP(J250,#REF!,6,0))</f>
        <v>#REF!</v>
      </c>
      <c r="P250" s="19" t="e">
        <f>IF(J250="","SEM #CH",VLOOKUP(J250,#REF!,7,0))</f>
        <v>#REF!</v>
      </c>
      <c r="Q250" s="77" t="str">
        <f>VLOOKUP(J250,'p1'!$B$2:$C$30,2,0)</f>
        <v>SEM CHAPA</v>
      </c>
      <c r="R250" s="94">
        <v>45890</v>
      </c>
      <c r="S250" s="90" t="s">
        <v>217</v>
      </c>
      <c r="T250" s="90">
        <f t="shared" si="18"/>
        <v>1</v>
      </c>
      <c r="U250" s="94">
        <v>45895</v>
      </c>
      <c r="V250" s="90" t="s">
        <v>86</v>
      </c>
      <c r="W250" s="92">
        <v>2494</v>
      </c>
      <c r="X250" s="93">
        <f t="shared" si="17"/>
        <v>1</v>
      </c>
      <c r="Y250" s="92"/>
      <c r="Z250" s="92"/>
      <c r="AA250" s="13" t="str">
        <f t="shared" si="19"/>
        <v>ago/2025</v>
      </c>
    </row>
    <row r="251" spans="1:27" x14ac:dyDescent="0.25">
      <c r="A251" s="89">
        <v>250</v>
      </c>
      <c r="B251" s="68">
        <v>45842</v>
      </c>
      <c r="C251" s="40">
        <v>44</v>
      </c>
      <c r="D251" s="40">
        <f t="shared" si="15"/>
        <v>1</v>
      </c>
      <c r="E251" s="48" t="s">
        <v>130</v>
      </c>
      <c r="F251" s="17" t="s">
        <v>58</v>
      </c>
      <c r="G251" s="17" t="s">
        <v>86</v>
      </c>
      <c r="H251" s="42" t="s">
        <v>483</v>
      </c>
      <c r="I251" s="17" t="str">
        <f t="shared" si="16"/>
        <v>PN-250</v>
      </c>
      <c r="J251" s="18" t="s">
        <v>85</v>
      </c>
      <c r="K251" s="19" t="e">
        <f>IF(J251="","SEM #CH",VLOOKUP(J251,#REF!,2,0))</f>
        <v>#REF!</v>
      </c>
      <c r="L251" s="19" t="e">
        <f>IF(J251="","SEM #CH",VLOOKUP(J251,#REF!,3,0))</f>
        <v>#REF!</v>
      </c>
      <c r="M251" s="19" t="e">
        <f>IF(J251="","SEM #CH",VLOOKUP(J251,#REF!,4,0))</f>
        <v>#REF!</v>
      </c>
      <c r="N251" s="19" t="e">
        <f>IF(J251="","SEM #CH",VLOOKUP(J251,#REF!,5,0))</f>
        <v>#REF!</v>
      </c>
      <c r="O251" s="19" t="e">
        <f>IF(J251="","SEM #CH",VLOOKUP(J251,#REF!,6,0))</f>
        <v>#REF!</v>
      </c>
      <c r="P251" s="19" t="e">
        <f>IF(J251="","SEM #CH",VLOOKUP(J251,#REF!,7,0))</f>
        <v>#REF!</v>
      </c>
      <c r="Q251" s="77" t="str">
        <f>VLOOKUP(J251,'p1'!$B$2:$C$30,2,0)</f>
        <v>NÃO TEM CHAPA</v>
      </c>
      <c r="R251" s="94">
        <v>45860</v>
      </c>
      <c r="S251" s="90" t="s">
        <v>217</v>
      </c>
      <c r="T251" s="90">
        <f t="shared" si="18"/>
        <v>1</v>
      </c>
      <c r="U251" s="94">
        <v>45860</v>
      </c>
      <c r="V251" s="90" t="s">
        <v>86</v>
      </c>
      <c r="W251" s="92">
        <v>2457</v>
      </c>
      <c r="X251" s="93">
        <f t="shared" si="17"/>
        <v>1</v>
      </c>
      <c r="Y251" s="92"/>
      <c r="Z251" s="92"/>
      <c r="AA251" s="13" t="str">
        <f t="shared" si="19"/>
        <v>jul/2025</v>
      </c>
    </row>
    <row r="252" spans="1:27" x14ac:dyDescent="0.25">
      <c r="A252" s="89">
        <v>251</v>
      </c>
      <c r="B252" s="68">
        <v>45848</v>
      </c>
      <c r="C252" s="40">
        <v>46</v>
      </c>
      <c r="D252" s="40">
        <f t="shared" si="15"/>
        <v>1</v>
      </c>
      <c r="E252" s="48" t="s">
        <v>130</v>
      </c>
      <c r="F252" s="17" t="s">
        <v>58</v>
      </c>
      <c r="G252" s="17" t="s">
        <v>86</v>
      </c>
      <c r="H252" s="42" t="s">
        <v>484</v>
      </c>
      <c r="I252" s="17" t="str">
        <f t="shared" si="16"/>
        <v>PN-251</v>
      </c>
      <c r="J252" s="18" t="s">
        <v>85</v>
      </c>
      <c r="K252" s="19" t="e">
        <f>IF(J252="","SEM #CH",VLOOKUP(J252,#REF!,2,0))</f>
        <v>#REF!</v>
      </c>
      <c r="L252" s="19" t="e">
        <f>IF(J252="","SEM #CH",VLOOKUP(J252,#REF!,3,0))</f>
        <v>#REF!</v>
      </c>
      <c r="M252" s="19" t="e">
        <f>IF(J252="","SEM #CH",VLOOKUP(J252,#REF!,4,0))</f>
        <v>#REF!</v>
      </c>
      <c r="N252" s="19" t="e">
        <f>IF(J252="","SEM #CH",VLOOKUP(J252,#REF!,5,0))</f>
        <v>#REF!</v>
      </c>
      <c r="O252" s="19" t="e">
        <f>IF(J252="","SEM #CH",VLOOKUP(J252,#REF!,6,0))</f>
        <v>#REF!</v>
      </c>
      <c r="P252" s="19" t="e">
        <f>IF(J252="","SEM #CH",VLOOKUP(J252,#REF!,7,0))</f>
        <v>#REF!</v>
      </c>
      <c r="Q252" s="77" t="str">
        <f>VLOOKUP(J252,'p1'!$B$2:$C$30,2,0)</f>
        <v>NÃO TEM CHAPA</v>
      </c>
      <c r="R252" s="94">
        <v>45912</v>
      </c>
      <c r="S252" s="90" t="s">
        <v>217</v>
      </c>
      <c r="T252" s="90">
        <f t="shared" si="18"/>
        <v>1</v>
      </c>
      <c r="U252" s="94">
        <v>45916</v>
      </c>
      <c r="V252" s="90" t="s">
        <v>86</v>
      </c>
      <c r="W252" s="92">
        <v>2525</v>
      </c>
      <c r="X252" s="93">
        <f t="shared" si="17"/>
        <v>1</v>
      </c>
      <c r="Y252" s="92"/>
      <c r="Z252" s="92"/>
      <c r="AA252" s="13" t="str">
        <f t="shared" si="19"/>
        <v>set/2025</v>
      </c>
    </row>
    <row r="253" spans="1:27" x14ac:dyDescent="0.25">
      <c r="A253" s="89">
        <v>252</v>
      </c>
      <c r="B253" s="68">
        <v>45848</v>
      </c>
      <c r="C253" s="40">
        <v>46</v>
      </c>
      <c r="D253" s="40">
        <f t="shared" si="15"/>
        <v>1</v>
      </c>
      <c r="E253" s="48" t="s">
        <v>130</v>
      </c>
      <c r="F253" s="17" t="s">
        <v>58</v>
      </c>
      <c r="G253" s="17" t="s">
        <v>86</v>
      </c>
      <c r="H253" s="42" t="s">
        <v>485</v>
      </c>
      <c r="I253" s="17" t="str">
        <f t="shared" si="16"/>
        <v>PN-252</v>
      </c>
      <c r="J253" s="18" t="s">
        <v>85</v>
      </c>
      <c r="K253" s="19" t="e">
        <f>IF(J253="","SEM #CH",VLOOKUP(J253,#REF!,2,0))</f>
        <v>#REF!</v>
      </c>
      <c r="L253" s="19" t="e">
        <f>IF(J253="","SEM #CH",VLOOKUP(J253,#REF!,3,0))</f>
        <v>#REF!</v>
      </c>
      <c r="M253" s="19" t="e">
        <f>IF(J253="","SEM #CH",VLOOKUP(J253,#REF!,4,0))</f>
        <v>#REF!</v>
      </c>
      <c r="N253" s="19" t="e">
        <f>IF(J253="","SEM #CH",VLOOKUP(J253,#REF!,5,0))</f>
        <v>#REF!</v>
      </c>
      <c r="O253" s="19" t="e">
        <f>IF(J253="","SEM #CH",VLOOKUP(J253,#REF!,6,0))</f>
        <v>#REF!</v>
      </c>
      <c r="P253" s="19" t="e">
        <f>IF(J253="","SEM #CH",VLOOKUP(J253,#REF!,7,0))</f>
        <v>#REF!</v>
      </c>
      <c r="Q253" s="77" t="str">
        <f>VLOOKUP(J253,'p1'!$B$2:$C$30,2,0)</f>
        <v>NÃO TEM CHAPA</v>
      </c>
      <c r="R253" s="94">
        <v>45912</v>
      </c>
      <c r="S253" s="90" t="s">
        <v>217</v>
      </c>
      <c r="T253" s="90">
        <f t="shared" si="18"/>
        <v>1</v>
      </c>
      <c r="U253" s="94">
        <v>45916</v>
      </c>
      <c r="V253" s="90" t="s">
        <v>86</v>
      </c>
      <c r="W253" s="92">
        <v>2525</v>
      </c>
      <c r="X253" s="93">
        <f t="shared" si="17"/>
        <v>1</v>
      </c>
      <c r="Y253" s="92"/>
      <c r="Z253" s="92"/>
      <c r="AA253" s="13" t="str">
        <f t="shared" si="19"/>
        <v>set/2025</v>
      </c>
    </row>
    <row r="254" spans="1:27" x14ac:dyDescent="0.25">
      <c r="A254" s="89">
        <v>253</v>
      </c>
      <c r="B254" s="68">
        <v>45848</v>
      </c>
      <c r="C254" s="40">
        <v>46</v>
      </c>
      <c r="D254" s="40">
        <f t="shared" si="15"/>
        <v>1</v>
      </c>
      <c r="E254" s="48" t="s">
        <v>130</v>
      </c>
      <c r="F254" s="17" t="s">
        <v>58</v>
      </c>
      <c r="G254" s="17" t="s">
        <v>86</v>
      </c>
      <c r="H254" s="42" t="s">
        <v>486</v>
      </c>
      <c r="I254" s="17" t="str">
        <f t="shared" si="16"/>
        <v>PN-253</v>
      </c>
      <c r="J254" s="18" t="s">
        <v>85</v>
      </c>
      <c r="K254" s="19" t="e">
        <f>IF(J254="","SEM #CH",VLOOKUP(J254,#REF!,2,0))</f>
        <v>#REF!</v>
      </c>
      <c r="L254" s="19" t="e">
        <f>IF(J254="","SEM #CH",VLOOKUP(J254,#REF!,3,0))</f>
        <v>#REF!</v>
      </c>
      <c r="M254" s="19" t="e">
        <f>IF(J254="","SEM #CH",VLOOKUP(J254,#REF!,4,0))</f>
        <v>#REF!</v>
      </c>
      <c r="N254" s="19" t="e">
        <f>IF(J254="","SEM #CH",VLOOKUP(J254,#REF!,5,0))</f>
        <v>#REF!</v>
      </c>
      <c r="O254" s="19" t="e">
        <f>IF(J254="","SEM #CH",VLOOKUP(J254,#REF!,6,0))</f>
        <v>#REF!</v>
      </c>
      <c r="P254" s="19" t="e">
        <f>IF(J254="","SEM #CH",VLOOKUP(J254,#REF!,7,0))</f>
        <v>#REF!</v>
      </c>
      <c r="Q254" s="77" t="str">
        <f>VLOOKUP(J254,'p1'!$B$2:$C$30,2,0)</f>
        <v>NÃO TEM CHAPA</v>
      </c>
      <c r="R254" s="94">
        <v>45912</v>
      </c>
      <c r="S254" s="90" t="s">
        <v>217</v>
      </c>
      <c r="T254" s="90">
        <f t="shared" si="18"/>
        <v>1</v>
      </c>
      <c r="U254" s="94">
        <v>45916</v>
      </c>
      <c r="V254" s="90" t="s">
        <v>86</v>
      </c>
      <c r="W254" s="92">
        <v>2524</v>
      </c>
      <c r="X254" s="93">
        <f t="shared" si="17"/>
        <v>1</v>
      </c>
      <c r="Y254" s="92"/>
      <c r="Z254" s="92"/>
      <c r="AA254" s="13" t="str">
        <f t="shared" si="19"/>
        <v>set/2025</v>
      </c>
    </row>
    <row r="255" spans="1:27" x14ac:dyDescent="0.25">
      <c r="A255" s="89">
        <v>254</v>
      </c>
      <c r="B255" s="68">
        <v>45848</v>
      </c>
      <c r="C255" s="40">
        <v>46</v>
      </c>
      <c r="D255" s="40">
        <f t="shared" si="15"/>
        <v>1</v>
      </c>
      <c r="E255" s="48" t="s">
        <v>130</v>
      </c>
      <c r="F255" s="17" t="s">
        <v>58</v>
      </c>
      <c r="G255" s="17" t="s">
        <v>86</v>
      </c>
      <c r="H255" s="42" t="s">
        <v>487</v>
      </c>
      <c r="I255" s="17" t="str">
        <f t="shared" si="16"/>
        <v>PN-254</v>
      </c>
      <c r="J255" s="18" t="s">
        <v>85</v>
      </c>
      <c r="K255" s="19" t="e">
        <f>IF(J255="","SEM #CH",VLOOKUP(J255,#REF!,2,0))</f>
        <v>#REF!</v>
      </c>
      <c r="L255" s="19" t="e">
        <f>IF(J255="","SEM #CH",VLOOKUP(J255,#REF!,3,0))</f>
        <v>#REF!</v>
      </c>
      <c r="M255" s="19" t="e">
        <f>IF(J255="","SEM #CH",VLOOKUP(J255,#REF!,4,0))</f>
        <v>#REF!</v>
      </c>
      <c r="N255" s="19" t="e">
        <f>IF(J255="","SEM #CH",VLOOKUP(J255,#REF!,5,0))</f>
        <v>#REF!</v>
      </c>
      <c r="O255" s="19" t="e">
        <f>IF(J255="","SEM #CH",VLOOKUP(J255,#REF!,6,0))</f>
        <v>#REF!</v>
      </c>
      <c r="P255" s="19" t="e">
        <f>IF(J255="","SEM #CH",VLOOKUP(J255,#REF!,7,0))</f>
        <v>#REF!</v>
      </c>
      <c r="Q255" s="77" t="str">
        <f>VLOOKUP(J255,'p1'!$B$2:$C$30,2,0)</f>
        <v>NÃO TEM CHAPA</v>
      </c>
      <c r="R255" s="94">
        <v>45903</v>
      </c>
      <c r="S255" s="90" t="s">
        <v>217</v>
      </c>
      <c r="T255" s="90">
        <f t="shared" si="18"/>
        <v>1</v>
      </c>
      <c r="U255" s="94">
        <v>45905</v>
      </c>
      <c r="V255" s="90" t="s">
        <v>86</v>
      </c>
      <c r="W255" s="92">
        <v>2504</v>
      </c>
      <c r="X255" s="93">
        <f t="shared" si="17"/>
        <v>1</v>
      </c>
      <c r="Y255" s="92"/>
      <c r="Z255" s="92"/>
      <c r="AA255" s="13" t="str">
        <f t="shared" si="19"/>
        <v>set/2025</v>
      </c>
    </row>
    <row r="256" spans="1:27" x14ac:dyDescent="0.25">
      <c r="A256" s="89">
        <v>255</v>
      </c>
      <c r="B256" s="68">
        <v>45848</v>
      </c>
      <c r="C256" s="40">
        <v>46</v>
      </c>
      <c r="D256" s="40">
        <f t="shared" si="15"/>
        <v>1</v>
      </c>
      <c r="E256" s="48" t="s">
        <v>130</v>
      </c>
      <c r="F256" s="17" t="s">
        <v>58</v>
      </c>
      <c r="G256" s="17" t="s">
        <v>86</v>
      </c>
      <c r="H256" s="42" t="s">
        <v>488</v>
      </c>
      <c r="I256" s="17" t="str">
        <f t="shared" si="16"/>
        <v>PN-255</v>
      </c>
      <c r="J256" s="18" t="s">
        <v>85</v>
      </c>
      <c r="K256" s="19" t="e">
        <f>IF(J256="","SEM #CH",VLOOKUP(J256,#REF!,2,0))</f>
        <v>#REF!</v>
      </c>
      <c r="L256" s="19" t="e">
        <f>IF(J256="","SEM #CH",VLOOKUP(J256,#REF!,3,0))</f>
        <v>#REF!</v>
      </c>
      <c r="M256" s="19" t="e">
        <f>IF(J256="","SEM #CH",VLOOKUP(J256,#REF!,4,0))</f>
        <v>#REF!</v>
      </c>
      <c r="N256" s="19" t="e">
        <f>IF(J256="","SEM #CH",VLOOKUP(J256,#REF!,5,0))</f>
        <v>#REF!</v>
      </c>
      <c r="O256" s="19" t="e">
        <f>IF(J256="","SEM #CH",VLOOKUP(J256,#REF!,6,0))</f>
        <v>#REF!</v>
      </c>
      <c r="P256" s="19" t="e">
        <f>IF(J256="","SEM #CH",VLOOKUP(J256,#REF!,7,0))</f>
        <v>#REF!</v>
      </c>
      <c r="Q256" s="77" t="str">
        <f>VLOOKUP(J256,'p1'!$B$2:$C$30,2,0)</f>
        <v>NÃO TEM CHAPA</v>
      </c>
      <c r="R256" s="94">
        <v>45902</v>
      </c>
      <c r="S256" s="90" t="s">
        <v>217</v>
      </c>
      <c r="T256" s="90">
        <f t="shared" si="18"/>
        <v>1</v>
      </c>
      <c r="U256" s="94">
        <v>45905</v>
      </c>
      <c r="V256" s="90" t="s">
        <v>86</v>
      </c>
      <c r="W256" s="92">
        <v>2504</v>
      </c>
      <c r="X256" s="93">
        <f t="shared" si="17"/>
        <v>1</v>
      </c>
      <c r="Y256" s="92"/>
      <c r="Z256" s="92"/>
      <c r="AA256" s="13" t="str">
        <f t="shared" si="19"/>
        <v>set/2025</v>
      </c>
    </row>
    <row r="257" spans="1:27" x14ac:dyDescent="0.25">
      <c r="A257" s="89">
        <v>256</v>
      </c>
      <c r="B257" s="68">
        <v>45848</v>
      </c>
      <c r="C257" s="40">
        <v>46</v>
      </c>
      <c r="D257" s="40">
        <f t="shared" si="15"/>
        <v>1</v>
      </c>
      <c r="E257" s="48" t="s">
        <v>130</v>
      </c>
      <c r="F257" s="17" t="s">
        <v>58</v>
      </c>
      <c r="G257" s="17" t="s">
        <v>86</v>
      </c>
      <c r="H257" s="42" t="s">
        <v>489</v>
      </c>
      <c r="I257" s="17" t="str">
        <f t="shared" si="16"/>
        <v>PN-256</v>
      </c>
      <c r="J257" s="18" t="s">
        <v>85</v>
      </c>
      <c r="K257" s="19" t="e">
        <f>IF(J257="","SEM #CH",VLOOKUP(J257,#REF!,2,0))</f>
        <v>#REF!</v>
      </c>
      <c r="L257" s="19" t="e">
        <f>IF(J257="","SEM #CH",VLOOKUP(J257,#REF!,3,0))</f>
        <v>#REF!</v>
      </c>
      <c r="M257" s="19" t="e">
        <f>IF(J257="","SEM #CH",VLOOKUP(J257,#REF!,4,0))</f>
        <v>#REF!</v>
      </c>
      <c r="N257" s="19" t="e">
        <f>IF(J257="","SEM #CH",VLOOKUP(J257,#REF!,5,0))</f>
        <v>#REF!</v>
      </c>
      <c r="O257" s="19" t="e">
        <f>IF(J257="","SEM #CH",VLOOKUP(J257,#REF!,6,0))</f>
        <v>#REF!</v>
      </c>
      <c r="P257" s="19" t="e">
        <f>IF(J257="","SEM #CH",VLOOKUP(J257,#REF!,7,0))</f>
        <v>#REF!</v>
      </c>
      <c r="Q257" s="77" t="str">
        <f>VLOOKUP(J257,'p1'!$B$2:$C$30,2,0)</f>
        <v>NÃO TEM CHAPA</v>
      </c>
      <c r="R257" s="94">
        <v>45902</v>
      </c>
      <c r="S257" s="90" t="s">
        <v>217</v>
      </c>
      <c r="T257" s="90">
        <f t="shared" si="18"/>
        <v>1</v>
      </c>
      <c r="U257" s="94">
        <v>45905</v>
      </c>
      <c r="V257" s="90" t="s">
        <v>86</v>
      </c>
      <c r="W257" s="92">
        <v>2504</v>
      </c>
      <c r="X257" s="93">
        <f t="shared" si="17"/>
        <v>1</v>
      </c>
      <c r="Y257" s="92"/>
      <c r="Z257" s="92"/>
      <c r="AA257" s="13" t="str">
        <f t="shared" si="19"/>
        <v>set/2025</v>
      </c>
    </row>
    <row r="258" spans="1:27" x14ac:dyDescent="0.25">
      <c r="A258" s="89">
        <v>257</v>
      </c>
      <c r="B258" s="68">
        <v>45827</v>
      </c>
      <c r="C258" s="40">
        <v>37</v>
      </c>
      <c r="D258" s="40">
        <f t="shared" ref="D258:D321" si="20">IF(B258&gt;0,1,"")</f>
        <v>1</v>
      </c>
      <c r="E258" s="48" t="s">
        <v>130</v>
      </c>
      <c r="F258" s="17" t="s">
        <v>60</v>
      </c>
      <c r="G258" s="17" t="s">
        <v>86</v>
      </c>
      <c r="H258" s="42" t="s">
        <v>490</v>
      </c>
      <c r="I258" s="17" t="str">
        <f t="shared" ref="I258:I321" si="21">_xlfn.CONCAT(F258,G258,H258)</f>
        <v>PE-257</v>
      </c>
      <c r="J258" s="18" t="s">
        <v>90</v>
      </c>
      <c r="K258" s="19" t="e">
        <f>IF(J258="","SEM #CH",VLOOKUP(J258,#REF!,2,0))</f>
        <v>#REF!</v>
      </c>
      <c r="L258" s="19" t="e">
        <f>IF(J258="","SEM #CH",VLOOKUP(J258,#REF!,3,0))</f>
        <v>#REF!</v>
      </c>
      <c r="M258" s="19" t="e">
        <f>IF(J258="","SEM #CH",VLOOKUP(J258,#REF!,4,0))</f>
        <v>#REF!</v>
      </c>
      <c r="N258" s="19" t="e">
        <f>IF(J258="","SEM #CH",VLOOKUP(J258,#REF!,5,0))</f>
        <v>#REF!</v>
      </c>
      <c r="O258" s="19" t="e">
        <f>IF(J258="","SEM #CH",VLOOKUP(J258,#REF!,6,0))</f>
        <v>#REF!</v>
      </c>
      <c r="P258" s="19" t="e">
        <f>IF(J258="","SEM #CH",VLOOKUP(J258,#REF!,7,0))</f>
        <v>#REF!</v>
      </c>
      <c r="Q258" s="77" t="str">
        <f>VLOOKUP(J258,'p1'!$B$2:$C$30,2,0)</f>
        <v>#3/8-530X530</v>
      </c>
      <c r="R258" s="94">
        <v>45846</v>
      </c>
      <c r="S258" s="90" t="s">
        <v>217</v>
      </c>
      <c r="T258" s="90">
        <f t="shared" si="18"/>
        <v>1</v>
      </c>
      <c r="U258" s="94">
        <v>45846</v>
      </c>
      <c r="V258" s="90" t="s">
        <v>1046</v>
      </c>
      <c r="W258" s="92">
        <v>2435</v>
      </c>
      <c r="X258" s="93">
        <f t="shared" ref="X258:X321" si="22">IF(U258&gt;0,1,"")</f>
        <v>1</v>
      </c>
      <c r="Y258" s="92"/>
      <c r="Z258" s="92"/>
      <c r="AA258" s="13" t="str">
        <f t="shared" si="19"/>
        <v>jul/2025</v>
      </c>
    </row>
    <row r="259" spans="1:27" x14ac:dyDescent="0.25">
      <c r="A259" s="89">
        <v>258</v>
      </c>
      <c r="B259" s="68">
        <v>45850</v>
      </c>
      <c r="C259" s="40">
        <v>47</v>
      </c>
      <c r="D259" s="40">
        <f t="shared" si="20"/>
        <v>1</v>
      </c>
      <c r="E259" s="48" t="s">
        <v>130</v>
      </c>
      <c r="F259" s="17" t="s">
        <v>58</v>
      </c>
      <c r="G259" s="17" t="s">
        <v>86</v>
      </c>
      <c r="H259" s="42" t="s">
        <v>491</v>
      </c>
      <c r="I259" s="17" t="str">
        <f t="shared" si="21"/>
        <v>PN-258</v>
      </c>
      <c r="J259" s="18" t="s">
        <v>85</v>
      </c>
      <c r="K259" s="19" t="e">
        <f>IF(J259="","SEM #CH",VLOOKUP(J259,#REF!,2,0))</f>
        <v>#REF!</v>
      </c>
      <c r="L259" s="19" t="e">
        <f>IF(J259="","SEM #CH",VLOOKUP(J259,#REF!,3,0))</f>
        <v>#REF!</v>
      </c>
      <c r="M259" s="19" t="e">
        <f>IF(J259="","SEM #CH",VLOOKUP(J259,#REF!,4,0))</f>
        <v>#REF!</v>
      </c>
      <c r="N259" s="19" t="e">
        <f>IF(J259="","SEM #CH",VLOOKUP(J259,#REF!,5,0))</f>
        <v>#REF!</v>
      </c>
      <c r="O259" s="19" t="e">
        <f>IF(J259="","SEM #CH",VLOOKUP(J259,#REF!,6,0))</f>
        <v>#REF!</v>
      </c>
      <c r="P259" s="19" t="e">
        <f>IF(J259="","SEM #CH",VLOOKUP(J259,#REF!,7,0))</f>
        <v>#REF!</v>
      </c>
      <c r="Q259" s="77" t="str">
        <f>VLOOKUP(J259,'p1'!$B$2:$C$30,2,0)</f>
        <v>NÃO TEM CHAPA</v>
      </c>
      <c r="R259" s="94">
        <v>45901</v>
      </c>
      <c r="S259" s="90" t="s">
        <v>217</v>
      </c>
      <c r="T259" s="90">
        <f t="shared" ref="T259:T322" si="23">IF(R259="",0,1)</f>
        <v>1</v>
      </c>
      <c r="U259" s="94">
        <v>45905</v>
      </c>
      <c r="V259" s="90" t="s">
        <v>1156</v>
      </c>
      <c r="W259" s="92">
        <v>2505</v>
      </c>
      <c r="X259" s="93">
        <f t="shared" si="22"/>
        <v>1</v>
      </c>
      <c r="Y259" s="92"/>
      <c r="Z259" s="92"/>
      <c r="AA259" s="13" t="str">
        <f t="shared" ref="AA259:AA322" si="24">TEXT(R259,"mmm/aaaa")</f>
        <v>set/2025</v>
      </c>
    </row>
    <row r="260" spans="1:27" x14ac:dyDescent="0.25">
      <c r="A260" s="89">
        <v>259</v>
      </c>
      <c r="B260" s="68">
        <v>45850</v>
      </c>
      <c r="C260" s="40">
        <v>47</v>
      </c>
      <c r="D260" s="40">
        <f t="shared" si="20"/>
        <v>1</v>
      </c>
      <c r="E260" s="48" t="s">
        <v>130</v>
      </c>
      <c r="F260" s="17" t="s">
        <v>58</v>
      </c>
      <c r="G260" s="17" t="s">
        <v>86</v>
      </c>
      <c r="H260" s="42" t="s">
        <v>492</v>
      </c>
      <c r="I260" s="17" t="str">
        <f t="shared" si="21"/>
        <v>PN-259</v>
      </c>
      <c r="J260" s="18" t="s">
        <v>85</v>
      </c>
      <c r="K260" s="19" t="e">
        <f>IF(J260="","SEM #CH",VLOOKUP(J260,#REF!,2,0))</f>
        <v>#REF!</v>
      </c>
      <c r="L260" s="19" t="e">
        <f>IF(J260="","SEM #CH",VLOOKUP(J260,#REF!,3,0))</f>
        <v>#REF!</v>
      </c>
      <c r="M260" s="19" t="e">
        <f>IF(J260="","SEM #CH",VLOOKUP(J260,#REF!,4,0))</f>
        <v>#REF!</v>
      </c>
      <c r="N260" s="19" t="e">
        <f>IF(J260="","SEM #CH",VLOOKUP(J260,#REF!,5,0))</f>
        <v>#REF!</v>
      </c>
      <c r="O260" s="19" t="e">
        <f>IF(J260="","SEM #CH",VLOOKUP(J260,#REF!,6,0))</f>
        <v>#REF!</v>
      </c>
      <c r="P260" s="19" t="e">
        <f>IF(J260="","SEM #CH",VLOOKUP(J260,#REF!,7,0))</f>
        <v>#REF!</v>
      </c>
      <c r="Q260" s="77" t="str">
        <f>VLOOKUP(J260,'p1'!$B$2:$C$30,2,0)</f>
        <v>NÃO TEM CHAPA</v>
      </c>
      <c r="R260" s="94">
        <v>45882</v>
      </c>
      <c r="S260" s="90" t="s">
        <v>217</v>
      </c>
      <c r="T260" s="90">
        <f t="shared" si="23"/>
        <v>1</v>
      </c>
      <c r="U260" s="94">
        <v>45882</v>
      </c>
      <c r="V260" s="90" t="s">
        <v>86</v>
      </c>
      <c r="W260" s="92">
        <v>2472</v>
      </c>
      <c r="X260" s="93">
        <f t="shared" si="22"/>
        <v>1</v>
      </c>
      <c r="Y260" s="92"/>
      <c r="Z260" s="92"/>
      <c r="AA260" s="13" t="str">
        <f t="shared" si="24"/>
        <v>ago/2025</v>
      </c>
    </row>
    <row r="261" spans="1:27" x14ac:dyDescent="0.25">
      <c r="A261" s="89">
        <v>260</v>
      </c>
      <c r="B261" s="68">
        <v>45850</v>
      </c>
      <c r="C261" s="40">
        <v>47</v>
      </c>
      <c r="D261" s="40">
        <f t="shared" si="20"/>
        <v>1</v>
      </c>
      <c r="E261" s="48" t="s">
        <v>130</v>
      </c>
      <c r="F261" s="17" t="s">
        <v>58</v>
      </c>
      <c r="G261" s="17" t="s">
        <v>86</v>
      </c>
      <c r="H261" s="42" t="s">
        <v>493</v>
      </c>
      <c r="I261" s="17" t="str">
        <f t="shared" si="21"/>
        <v>PN-260</v>
      </c>
      <c r="J261" s="18" t="s">
        <v>85</v>
      </c>
      <c r="K261" s="19" t="e">
        <f>IF(J261="","SEM #CH",VLOOKUP(J261,#REF!,2,0))</f>
        <v>#REF!</v>
      </c>
      <c r="L261" s="19" t="e">
        <f>IF(J261="","SEM #CH",VLOOKUP(J261,#REF!,3,0))</f>
        <v>#REF!</v>
      </c>
      <c r="M261" s="19" t="e">
        <f>IF(J261="","SEM #CH",VLOOKUP(J261,#REF!,4,0))</f>
        <v>#REF!</v>
      </c>
      <c r="N261" s="19" t="e">
        <f>IF(J261="","SEM #CH",VLOOKUP(J261,#REF!,5,0))</f>
        <v>#REF!</v>
      </c>
      <c r="O261" s="19" t="e">
        <f>IF(J261="","SEM #CH",VLOOKUP(J261,#REF!,6,0))</f>
        <v>#REF!</v>
      </c>
      <c r="P261" s="19" t="e">
        <f>IF(J261="","SEM #CH",VLOOKUP(J261,#REF!,7,0))</f>
        <v>#REF!</v>
      </c>
      <c r="Q261" s="77" t="str">
        <f>VLOOKUP(J261,'p1'!$B$2:$C$30,2,0)</f>
        <v>NÃO TEM CHAPA</v>
      </c>
      <c r="R261" s="94">
        <v>45880</v>
      </c>
      <c r="S261" s="90" t="s">
        <v>217</v>
      </c>
      <c r="T261" s="90">
        <f t="shared" si="23"/>
        <v>1</v>
      </c>
      <c r="U261" s="94">
        <v>45880</v>
      </c>
      <c r="V261" s="90" t="s">
        <v>1091</v>
      </c>
      <c r="W261" s="92">
        <v>2466</v>
      </c>
      <c r="X261" s="93">
        <f t="shared" si="22"/>
        <v>1</v>
      </c>
      <c r="Y261" s="92"/>
      <c r="Z261" s="92"/>
      <c r="AA261" s="13" t="str">
        <f t="shared" si="24"/>
        <v>ago/2025</v>
      </c>
    </row>
    <row r="262" spans="1:27" x14ac:dyDescent="0.25">
      <c r="A262" s="89">
        <v>261</v>
      </c>
      <c r="B262" s="68">
        <v>45850</v>
      </c>
      <c r="C262" s="40">
        <v>47</v>
      </c>
      <c r="D262" s="40">
        <f t="shared" si="20"/>
        <v>1</v>
      </c>
      <c r="E262" s="48" t="s">
        <v>130</v>
      </c>
      <c r="F262" s="17" t="s">
        <v>58</v>
      </c>
      <c r="G262" s="17" t="s">
        <v>86</v>
      </c>
      <c r="H262" s="42" t="s">
        <v>494</v>
      </c>
      <c r="I262" s="17" t="str">
        <f t="shared" si="21"/>
        <v>PN-261</v>
      </c>
      <c r="J262" s="18" t="s">
        <v>85</v>
      </c>
      <c r="K262" s="19" t="e">
        <f>IF(J262="","SEM #CH",VLOOKUP(J262,#REF!,2,0))</f>
        <v>#REF!</v>
      </c>
      <c r="L262" s="19" t="e">
        <f>IF(J262="","SEM #CH",VLOOKUP(J262,#REF!,3,0))</f>
        <v>#REF!</v>
      </c>
      <c r="M262" s="19" t="e">
        <f>IF(J262="","SEM #CH",VLOOKUP(J262,#REF!,4,0))</f>
        <v>#REF!</v>
      </c>
      <c r="N262" s="19" t="e">
        <f>IF(J262="","SEM #CH",VLOOKUP(J262,#REF!,5,0))</f>
        <v>#REF!</v>
      </c>
      <c r="O262" s="19" t="e">
        <f>IF(J262="","SEM #CH",VLOOKUP(J262,#REF!,6,0))</f>
        <v>#REF!</v>
      </c>
      <c r="P262" s="19" t="e">
        <f>IF(J262="","SEM #CH",VLOOKUP(J262,#REF!,7,0))</f>
        <v>#REF!</v>
      </c>
      <c r="Q262" s="77" t="str">
        <f>VLOOKUP(J262,'p1'!$B$2:$C$30,2,0)</f>
        <v>NÃO TEM CHAPA</v>
      </c>
      <c r="R262" s="94">
        <v>45878</v>
      </c>
      <c r="S262" s="90" t="s">
        <v>217</v>
      </c>
      <c r="T262" s="90">
        <f t="shared" si="23"/>
        <v>1</v>
      </c>
      <c r="U262" s="94">
        <v>45880</v>
      </c>
      <c r="V262" s="90" t="s">
        <v>1091</v>
      </c>
      <c r="W262" s="92">
        <v>2466</v>
      </c>
      <c r="X262" s="93">
        <f t="shared" si="22"/>
        <v>1</v>
      </c>
      <c r="Y262" s="92"/>
      <c r="Z262" s="92"/>
      <c r="AA262" s="13" t="str">
        <f t="shared" si="24"/>
        <v>ago/2025</v>
      </c>
    </row>
    <row r="263" spans="1:27" x14ac:dyDescent="0.25">
      <c r="A263" s="89">
        <v>262</v>
      </c>
      <c r="B263" s="68">
        <v>45850</v>
      </c>
      <c r="C263" s="40">
        <v>47</v>
      </c>
      <c r="D263" s="40">
        <f t="shared" si="20"/>
        <v>1</v>
      </c>
      <c r="E263" s="48" t="s">
        <v>130</v>
      </c>
      <c r="F263" s="17" t="s">
        <v>58</v>
      </c>
      <c r="G263" s="17" t="s">
        <v>86</v>
      </c>
      <c r="H263" s="42" t="s">
        <v>495</v>
      </c>
      <c r="I263" s="17" t="str">
        <f t="shared" si="21"/>
        <v>PN-262</v>
      </c>
      <c r="J263" s="18" t="s">
        <v>85</v>
      </c>
      <c r="K263" s="19" t="e">
        <f>IF(J263="","SEM #CH",VLOOKUP(J263,#REF!,2,0))</f>
        <v>#REF!</v>
      </c>
      <c r="L263" s="19" t="e">
        <f>IF(J263="","SEM #CH",VLOOKUP(J263,#REF!,3,0))</f>
        <v>#REF!</v>
      </c>
      <c r="M263" s="19" t="e">
        <f>IF(J263="","SEM #CH",VLOOKUP(J263,#REF!,4,0))</f>
        <v>#REF!</v>
      </c>
      <c r="N263" s="19" t="e">
        <f>IF(J263="","SEM #CH",VLOOKUP(J263,#REF!,5,0))</f>
        <v>#REF!</v>
      </c>
      <c r="O263" s="19" t="e">
        <f>IF(J263="","SEM #CH",VLOOKUP(J263,#REF!,6,0))</f>
        <v>#REF!</v>
      </c>
      <c r="P263" s="19" t="e">
        <f>IF(J263="","SEM #CH",VLOOKUP(J263,#REF!,7,0))</f>
        <v>#REF!</v>
      </c>
      <c r="Q263" s="77" t="str">
        <f>VLOOKUP(J263,'p1'!$B$2:$C$30,2,0)</f>
        <v>NÃO TEM CHAPA</v>
      </c>
      <c r="R263" s="94">
        <v>45878</v>
      </c>
      <c r="S263" s="90" t="s">
        <v>217</v>
      </c>
      <c r="T263" s="90">
        <f t="shared" si="23"/>
        <v>1</v>
      </c>
      <c r="U263" s="94">
        <v>45881</v>
      </c>
      <c r="V263" s="90" t="s">
        <v>1092</v>
      </c>
      <c r="W263" s="92">
        <v>2467</v>
      </c>
      <c r="X263" s="93">
        <f t="shared" si="22"/>
        <v>1</v>
      </c>
      <c r="Y263" s="92"/>
      <c r="Z263" s="92"/>
      <c r="AA263" s="13" t="str">
        <f t="shared" si="24"/>
        <v>ago/2025</v>
      </c>
    </row>
    <row r="264" spans="1:27" x14ac:dyDescent="0.25">
      <c r="A264" s="89">
        <v>263</v>
      </c>
      <c r="B264" s="68">
        <v>45850</v>
      </c>
      <c r="C264" s="40">
        <v>47</v>
      </c>
      <c r="D264" s="40">
        <f t="shared" si="20"/>
        <v>1</v>
      </c>
      <c r="E264" s="48" t="s">
        <v>130</v>
      </c>
      <c r="F264" s="17" t="s">
        <v>58</v>
      </c>
      <c r="G264" s="17" t="s">
        <v>86</v>
      </c>
      <c r="H264" s="42" t="s">
        <v>496</v>
      </c>
      <c r="I264" s="17" t="str">
        <f t="shared" si="21"/>
        <v>PN-263</v>
      </c>
      <c r="J264" s="18" t="s">
        <v>85</v>
      </c>
      <c r="K264" s="19" t="e">
        <f>IF(J264="","SEM #CH",VLOOKUP(J264,#REF!,2,0))</f>
        <v>#REF!</v>
      </c>
      <c r="L264" s="19" t="e">
        <f>IF(J264="","SEM #CH",VLOOKUP(J264,#REF!,3,0))</f>
        <v>#REF!</v>
      </c>
      <c r="M264" s="19" t="e">
        <f>IF(J264="","SEM #CH",VLOOKUP(J264,#REF!,4,0))</f>
        <v>#REF!</v>
      </c>
      <c r="N264" s="19" t="e">
        <f>IF(J264="","SEM #CH",VLOOKUP(J264,#REF!,5,0))</f>
        <v>#REF!</v>
      </c>
      <c r="O264" s="19" t="e">
        <f>IF(J264="","SEM #CH",VLOOKUP(J264,#REF!,6,0))</f>
        <v>#REF!</v>
      </c>
      <c r="P264" s="19" t="e">
        <f>IF(J264="","SEM #CH",VLOOKUP(J264,#REF!,7,0))</f>
        <v>#REF!</v>
      </c>
      <c r="Q264" s="77" t="str">
        <f>VLOOKUP(J264,'p1'!$B$2:$C$30,2,0)</f>
        <v>NÃO TEM CHAPA</v>
      </c>
      <c r="R264" s="94">
        <v>45871</v>
      </c>
      <c r="S264" s="90" t="s">
        <v>217</v>
      </c>
      <c r="T264" s="90">
        <f t="shared" si="23"/>
        <v>1</v>
      </c>
      <c r="U264" s="94">
        <v>45881</v>
      </c>
      <c r="V264" s="90" t="s">
        <v>1092</v>
      </c>
      <c r="W264" s="92">
        <v>2467</v>
      </c>
      <c r="X264" s="93">
        <f t="shared" si="22"/>
        <v>1</v>
      </c>
      <c r="Y264" s="92"/>
      <c r="Z264" s="92"/>
      <c r="AA264" s="13" t="str">
        <f t="shared" si="24"/>
        <v>ago/2025</v>
      </c>
    </row>
    <row r="265" spans="1:27" x14ac:dyDescent="0.25">
      <c r="A265" s="89">
        <v>264</v>
      </c>
      <c r="B265" s="68">
        <v>45853</v>
      </c>
      <c r="C265" s="40">
        <v>48</v>
      </c>
      <c r="D265" s="40">
        <f t="shared" si="20"/>
        <v>1</v>
      </c>
      <c r="E265" s="48" t="s">
        <v>130</v>
      </c>
      <c r="F265" s="17" t="s">
        <v>58</v>
      </c>
      <c r="G265" s="17" t="s">
        <v>86</v>
      </c>
      <c r="H265" s="42" t="s">
        <v>497</v>
      </c>
      <c r="I265" s="17" t="str">
        <f t="shared" si="21"/>
        <v>PN-264</v>
      </c>
      <c r="J265" s="18" t="s">
        <v>85</v>
      </c>
      <c r="K265" s="19" t="e">
        <f>IF(J265="","SEM #CH",VLOOKUP(J265,#REF!,2,0))</f>
        <v>#REF!</v>
      </c>
      <c r="L265" s="19" t="e">
        <f>IF(J265="","SEM #CH",VLOOKUP(J265,#REF!,3,0))</f>
        <v>#REF!</v>
      </c>
      <c r="M265" s="19" t="e">
        <f>IF(J265="","SEM #CH",VLOOKUP(J265,#REF!,4,0))</f>
        <v>#REF!</v>
      </c>
      <c r="N265" s="19" t="e">
        <f>IF(J265="","SEM #CH",VLOOKUP(J265,#REF!,5,0))</f>
        <v>#REF!</v>
      </c>
      <c r="O265" s="19" t="e">
        <f>IF(J265="","SEM #CH",VLOOKUP(J265,#REF!,6,0))</f>
        <v>#REF!</v>
      </c>
      <c r="P265" s="19" t="e">
        <f>IF(J265="","SEM #CH",VLOOKUP(J265,#REF!,7,0))</f>
        <v>#REF!</v>
      </c>
      <c r="Q265" s="77" t="str">
        <f>VLOOKUP(J265,'p1'!$B$2:$C$30,2,0)</f>
        <v>NÃO TEM CHAPA</v>
      </c>
      <c r="R265" s="94">
        <v>45933</v>
      </c>
      <c r="S265" s="90" t="s">
        <v>217</v>
      </c>
      <c r="T265" s="90">
        <f t="shared" si="23"/>
        <v>1</v>
      </c>
      <c r="U265" s="94">
        <v>45933</v>
      </c>
      <c r="V265" s="90" t="s">
        <v>86</v>
      </c>
      <c r="W265" s="92">
        <v>2559</v>
      </c>
      <c r="X265" s="93">
        <f t="shared" si="22"/>
        <v>1</v>
      </c>
      <c r="Y265" s="92"/>
      <c r="Z265" s="92"/>
      <c r="AA265" s="13" t="str">
        <f t="shared" si="24"/>
        <v>out/2025</v>
      </c>
    </row>
    <row r="266" spans="1:27" x14ac:dyDescent="0.25">
      <c r="A266" s="89">
        <v>265</v>
      </c>
      <c r="B266" s="68">
        <v>45853</v>
      </c>
      <c r="C266" s="40">
        <v>48</v>
      </c>
      <c r="D266" s="40">
        <f t="shared" si="20"/>
        <v>1</v>
      </c>
      <c r="E266" s="48" t="s">
        <v>130</v>
      </c>
      <c r="F266" s="17" t="s">
        <v>58</v>
      </c>
      <c r="G266" s="17" t="s">
        <v>86</v>
      </c>
      <c r="H266" s="42" t="s">
        <v>498</v>
      </c>
      <c r="I266" s="17" t="str">
        <f t="shared" si="21"/>
        <v>PN-265</v>
      </c>
      <c r="J266" s="18" t="s">
        <v>85</v>
      </c>
      <c r="K266" s="19" t="e">
        <f>IF(J266="","SEM #CH",VLOOKUP(J266,#REF!,2,0))</f>
        <v>#REF!</v>
      </c>
      <c r="L266" s="19" t="e">
        <f>IF(J266="","SEM #CH",VLOOKUP(J266,#REF!,3,0))</f>
        <v>#REF!</v>
      </c>
      <c r="M266" s="19" t="e">
        <f>IF(J266="","SEM #CH",VLOOKUP(J266,#REF!,4,0))</f>
        <v>#REF!</v>
      </c>
      <c r="N266" s="19" t="e">
        <f>IF(J266="","SEM #CH",VLOOKUP(J266,#REF!,5,0))</f>
        <v>#REF!</v>
      </c>
      <c r="O266" s="19" t="e">
        <f>IF(J266="","SEM #CH",VLOOKUP(J266,#REF!,6,0))</f>
        <v>#REF!</v>
      </c>
      <c r="P266" s="19" t="e">
        <f>IF(J266="","SEM #CH",VLOOKUP(J266,#REF!,7,0))</f>
        <v>#REF!</v>
      </c>
      <c r="Q266" s="77" t="str">
        <f>VLOOKUP(J266,'p1'!$B$2:$C$30,2,0)</f>
        <v>NÃO TEM CHAPA</v>
      </c>
      <c r="R266" s="94">
        <v>45926</v>
      </c>
      <c r="S266" s="90" t="s">
        <v>217</v>
      </c>
      <c r="T266" s="90">
        <f t="shared" si="23"/>
        <v>1</v>
      </c>
      <c r="U266" s="94">
        <v>45937</v>
      </c>
      <c r="V266" s="90" t="s">
        <v>86</v>
      </c>
      <c r="W266" s="92">
        <v>2567</v>
      </c>
      <c r="X266" s="93">
        <f t="shared" si="22"/>
        <v>1</v>
      </c>
      <c r="Y266" s="92"/>
      <c r="Z266" s="92"/>
      <c r="AA266" s="13" t="str">
        <f t="shared" si="24"/>
        <v>set/2025</v>
      </c>
    </row>
    <row r="267" spans="1:27" x14ac:dyDescent="0.25">
      <c r="A267" s="89">
        <v>266</v>
      </c>
      <c r="B267" s="68">
        <v>45853</v>
      </c>
      <c r="C267" s="40">
        <v>48</v>
      </c>
      <c r="D267" s="40">
        <f t="shared" si="20"/>
        <v>1</v>
      </c>
      <c r="E267" s="48" t="s">
        <v>130</v>
      </c>
      <c r="F267" s="17" t="s">
        <v>58</v>
      </c>
      <c r="G267" s="17" t="s">
        <v>86</v>
      </c>
      <c r="H267" s="42" t="s">
        <v>499</v>
      </c>
      <c r="I267" s="17" t="str">
        <f t="shared" si="21"/>
        <v>PN-266</v>
      </c>
      <c r="J267" s="18" t="s">
        <v>85</v>
      </c>
      <c r="K267" s="19" t="e">
        <f>IF(J267="","SEM #CH",VLOOKUP(J267,#REF!,2,0))</f>
        <v>#REF!</v>
      </c>
      <c r="L267" s="19" t="e">
        <f>IF(J267="","SEM #CH",VLOOKUP(J267,#REF!,3,0))</f>
        <v>#REF!</v>
      </c>
      <c r="M267" s="19" t="e">
        <f>IF(J267="","SEM #CH",VLOOKUP(J267,#REF!,4,0))</f>
        <v>#REF!</v>
      </c>
      <c r="N267" s="19" t="e">
        <f>IF(J267="","SEM #CH",VLOOKUP(J267,#REF!,5,0))</f>
        <v>#REF!</v>
      </c>
      <c r="O267" s="19" t="e">
        <f>IF(J267="","SEM #CH",VLOOKUP(J267,#REF!,6,0))</f>
        <v>#REF!</v>
      </c>
      <c r="P267" s="19" t="e">
        <f>IF(J267="","SEM #CH",VLOOKUP(J267,#REF!,7,0))</f>
        <v>#REF!</v>
      </c>
      <c r="Q267" s="77" t="str">
        <f>VLOOKUP(J267,'p1'!$B$2:$C$30,2,0)</f>
        <v>NÃO TEM CHAPA</v>
      </c>
      <c r="R267" s="94">
        <v>45925</v>
      </c>
      <c r="S267" s="90" t="s">
        <v>217</v>
      </c>
      <c r="T267" s="90">
        <f t="shared" si="23"/>
        <v>1</v>
      </c>
      <c r="U267" s="94">
        <v>45926</v>
      </c>
      <c r="V267" s="90" t="s">
        <v>86</v>
      </c>
      <c r="W267" s="92">
        <v>2547</v>
      </c>
      <c r="X267" s="93">
        <f t="shared" si="22"/>
        <v>1</v>
      </c>
      <c r="Y267" s="92"/>
      <c r="Z267" s="92"/>
      <c r="AA267" s="13" t="str">
        <f t="shared" si="24"/>
        <v>set/2025</v>
      </c>
    </row>
    <row r="268" spans="1:27" x14ac:dyDescent="0.25">
      <c r="A268" s="89">
        <v>267</v>
      </c>
      <c r="B268" s="68">
        <v>45853</v>
      </c>
      <c r="C268" s="40">
        <v>48</v>
      </c>
      <c r="D268" s="40">
        <f t="shared" si="20"/>
        <v>1</v>
      </c>
      <c r="E268" s="48" t="s">
        <v>130</v>
      </c>
      <c r="F268" s="17" t="s">
        <v>58</v>
      </c>
      <c r="G268" s="17" t="s">
        <v>86</v>
      </c>
      <c r="H268" s="42" t="s">
        <v>500</v>
      </c>
      <c r="I268" s="17" t="str">
        <f t="shared" si="21"/>
        <v>PN-267</v>
      </c>
      <c r="J268" s="18" t="s">
        <v>85</v>
      </c>
      <c r="K268" s="19" t="e">
        <f>IF(J268="","SEM #CH",VLOOKUP(J268,#REF!,2,0))</f>
        <v>#REF!</v>
      </c>
      <c r="L268" s="19" t="e">
        <f>IF(J268="","SEM #CH",VLOOKUP(J268,#REF!,3,0))</f>
        <v>#REF!</v>
      </c>
      <c r="M268" s="19" t="e">
        <f>IF(J268="","SEM #CH",VLOOKUP(J268,#REF!,4,0))</f>
        <v>#REF!</v>
      </c>
      <c r="N268" s="19" t="e">
        <f>IF(J268="","SEM #CH",VLOOKUP(J268,#REF!,5,0))</f>
        <v>#REF!</v>
      </c>
      <c r="O268" s="19" t="e">
        <f>IF(J268="","SEM #CH",VLOOKUP(J268,#REF!,6,0))</f>
        <v>#REF!</v>
      </c>
      <c r="P268" s="19" t="e">
        <f>IF(J268="","SEM #CH",VLOOKUP(J268,#REF!,7,0))</f>
        <v>#REF!</v>
      </c>
      <c r="Q268" s="77" t="str">
        <f>VLOOKUP(J268,'p1'!$B$2:$C$30,2,0)</f>
        <v>NÃO TEM CHAPA</v>
      </c>
      <c r="R268" s="94">
        <v>45925</v>
      </c>
      <c r="S268" s="90" t="s">
        <v>217</v>
      </c>
      <c r="T268" s="90">
        <f t="shared" si="23"/>
        <v>1</v>
      </c>
      <c r="U268" s="94">
        <v>45937</v>
      </c>
      <c r="V268" s="90" t="s">
        <v>86</v>
      </c>
      <c r="W268" s="92">
        <v>2567</v>
      </c>
      <c r="X268" s="93">
        <f t="shared" si="22"/>
        <v>1</v>
      </c>
      <c r="Y268" s="92"/>
      <c r="Z268" s="92"/>
      <c r="AA268" s="13" t="str">
        <f t="shared" si="24"/>
        <v>set/2025</v>
      </c>
    </row>
    <row r="269" spans="1:27" x14ac:dyDescent="0.25">
      <c r="A269" s="89">
        <v>268</v>
      </c>
      <c r="B269" s="68">
        <v>45853</v>
      </c>
      <c r="C269" s="40">
        <v>48</v>
      </c>
      <c r="D269" s="40">
        <f t="shared" si="20"/>
        <v>1</v>
      </c>
      <c r="E269" s="48" t="s">
        <v>130</v>
      </c>
      <c r="F269" s="17" t="s">
        <v>58</v>
      </c>
      <c r="G269" s="17" t="s">
        <v>86</v>
      </c>
      <c r="H269" s="42" t="s">
        <v>501</v>
      </c>
      <c r="I269" s="17" t="str">
        <f t="shared" si="21"/>
        <v>PN-268</v>
      </c>
      <c r="J269" s="18" t="s">
        <v>85</v>
      </c>
      <c r="K269" s="19" t="e">
        <f>IF(J269="","SEM #CH",VLOOKUP(J269,#REF!,2,0))</f>
        <v>#REF!</v>
      </c>
      <c r="L269" s="19" t="e">
        <f>IF(J269="","SEM #CH",VLOOKUP(J269,#REF!,3,0))</f>
        <v>#REF!</v>
      </c>
      <c r="M269" s="19" t="e">
        <f>IF(J269="","SEM #CH",VLOOKUP(J269,#REF!,4,0))</f>
        <v>#REF!</v>
      </c>
      <c r="N269" s="19" t="e">
        <f>IF(J269="","SEM #CH",VLOOKUP(J269,#REF!,5,0))</f>
        <v>#REF!</v>
      </c>
      <c r="O269" s="19" t="e">
        <f>IF(J269="","SEM #CH",VLOOKUP(J269,#REF!,6,0))</f>
        <v>#REF!</v>
      </c>
      <c r="P269" s="19" t="e">
        <f>IF(J269="","SEM #CH",VLOOKUP(J269,#REF!,7,0))</f>
        <v>#REF!</v>
      </c>
      <c r="Q269" s="77" t="str">
        <f>VLOOKUP(J269,'p1'!$B$2:$C$30,2,0)</f>
        <v>NÃO TEM CHAPA</v>
      </c>
      <c r="R269" s="94">
        <v>45924</v>
      </c>
      <c r="S269" s="90" t="s">
        <v>217</v>
      </c>
      <c r="T269" s="90">
        <f t="shared" si="23"/>
        <v>1</v>
      </c>
      <c r="U269" s="94">
        <v>45936</v>
      </c>
      <c r="V269" s="90" t="s">
        <v>86</v>
      </c>
      <c r="W269" s="92">
        <v>2564</v>
      </c>
      <c r="X269" s="93">
        <f t="shared" si="22"/>
        <v>1</v>
      </c>
      <c r="Y269" s="92"/>
      <c r="Z269" s="92"/>
      <c r="AA269" s="13" t="str">
        <f t="shared" si="24"/>
        <v>set/2025</v>
      </c>
    </row>
    <row r="270" spans="1:27" x14ac:dyDescent="0.25">
      <c r="A270" s="89">
        <v>269</v>
      </c>
      <c r="B270" s="68">
        <v>45853</v>
      </c>
      <c r="C270" s="40">
        <v>48</v>
      </c>
      <c r="D270" s="40">
        <f t="shared" si="20"/>
        <v>1</v>
      </c>
      <c r="E270" s="48" t="s">
        <v>130</v>
      </c>
      <c r="F270" s="17" t="s">
        <v>58</v>
      </c>
      <c r="G270" s="17" t="s">
        <v>86</v>
      </c>
      <c r="H270" s="42" t="s">
        <v>502</v>
      </c>
      <c r="I270" s="17" t="str">
        <f t="shared" si="21"/>
        <v>PN-269</v>
      </c>
      <c r="J270" s="18" t="s">
        <v>85</v>
      </c>
      <c r="K270" s="19" t="e">
        <f>IF(J270="","SEM #CH",VLOOKUP(J270,#REF!,2,0))</f>
        <v>#REF!</v>
      </c>
      <c r="L270" s="19" t="e">
        <f>IF(J270="","SEM #CH",VLOOKUP(J270,#REF!,3,0))</f>
        <v>#REF!</v>
      </c>
      <c r="M270" s="19" t="e">
        <f>IF(J270="","SEM #CH",VLOOKUP(J270,#REF!,4,0))</f>
        <v>#REF!</v>
      </c>
      <c r="N270" s="19" t="e">
        <f>IF(J270="","SEM #CH",VLOOKUP(J270,#REF!,5,0))</f>
        <v>#REF!</v>
      </c>
      <c r="O270" s="19" t="e">
        <f>IF(J270="","SEM #CH",VLOOKUP(J270,#REF!,6,0))</f>
        <v>#REF!</v>
      </c>
      <c r="P270" s="19" t="e">
        <f>IF(J270="","SEM #CH",VLOOKUP(J270,#REF!,7,0))</f>
        <v>#REF!</v>
      </c>
      <c r="Q270" s="77" t="str">
        <f>VLOOKUP(J270,'p1'!$B$2:$C$30,2,0)</f>
        <v>NÃO TEM CHAPA</v>
      </c>
      <c r="R270" s="94">
        <v>45924</v>
      </c>
      <c r="S270" s="90" t="s">
        <v>217</v>
      </c>
      <c r="T270" s="90">
        <f t="shared" si="23"/>
        <v>1</v>
      </c>
      <c r="U270" s="94">
        <v>45937</v>
      </c>
      <c r="V270" s="90" t="s">
        <v>86</v>
      </c>
      <c r="W270" s="92">
        <v>2569</v>
      </c>
      <c r="X270" s="93">
        <f t="shared" si="22"/>
        <v>1</v>
      </c>
      <c r="Y270" s="92"/>
      <c r="Z270" s="92"/>
      <c r="AA270" s="13" t="str">
        <f t="shared" si="24"/>
        <v>set/2025</v>
      </c>
    </row>
    <row r="271" spans="1:27" x14ac:dyDescent="0.25">
      <c r="A271" s="89">
        <v>270</v>
      </c>
      <c r="B271" s="68">
        <v>45854</v>
      </c>
      <c r="C271" s="40">
        <v>49</v>
      </c>
      <c r="D271" s="40">
        <f t="shared" si="20"/>
        <v>1</v>
      </c>
      <c r="E271" s="48" t="s">
        <v>130</v>
      </c>
      <c r="F271" s="17" t="s">
        <v>58</v>
      </c>
      <c r="G271" s="17" t="s">
        <v>86</v>
      </c>
      <c r="H271" s="42" t="s">
        <v>503</v>
      </c>
      <c r="I271" s="17" t="str">
        <f t="shared" si="21"/>
        <v>PN-270</v>
      </c>
      <c r="J271" s="18" t="s">
        <v>85</v>
      </c>
      <c r="K271" s="19" t="e">
        <f>IF(J271="","SEM #CH",VLOOKUP(J271,#REF!,2,0))</f>
        <v>#REF!</v>
      </c>
      <c r="L271" s="19" t="e">
        <f>IF(J271="","SEM #CH",VLOOKUP(J271,#REF!,3,0))</f>
        <v>#REF!</v>
      </c>
      <c r="M271" s="19" t="e">
        <f>IF(J271="","SEM #CH",VLOOKUP(J271,#REF!,4,0))</f>
        <v>#REF!</v>
      </c>
      <c r="N271" s="19" t="e">
        <f>IF(J271="","SEM #CH",VLOOKUP(J271,#REF!,5,0))</f>
        <v>#REF!</v>
      </c>
      <c r="O271" s="19" t="e">
        <f>IF(J271="","SEM #CH",VLOOKUP(J271,#REF!,6,0))</f>
        <v>#REF!</v>
      </c>
      <c r="P271" s="19" t="e">
        <f>IF(J271="","SEM #CH",VLOOKUP(J271,#REF!,7,0))</f>
        <v>#REF!</v>
      </c>
      <c r="Q271" s="77" t="str">
        <f>VLOOKUP(J271,'p1'!$B$2:$C$30,2,0)</f>
        <v>NÃO TEM CHAPA</v>
      </c>
      <c r="R271" s="94">
        <v>45880</v>
      </c>
      <c r="S271" s="90" t="s">
        <v>218</v>
      </c>
      <c r="T271" s="90">
        <f t="shared" si="23"/>
        <v>1</v>
      </c>
      <c r="U271" s="94">
        <v>45882</v>
      </c>
      <c r="V271" s="90" t="s">
        <v>1094</v>
      </c>
      <c r="W271" s="92">
        <v>2470</v>
      </c>
      <c r="X271" s="93">
        <f t="shared" si="22"/>
        <v>1</v>
      </c>
      <c r="Y271" s="92"/>
      <c r="Z271" s="92"/>
      <c r="AA271" s="13" t="str">
        <f t="shared" si="24"/>
        <v>ago/2025</v>
      </c>
    </row>
    <row r="272" spans="1:27" x14ac:dyDescent="0.25">
      <c r="A272" s="89">
        <v>271</v>
      </c>
      <c r="B272" s="68">
        <v>45854</v>
      </c>
      <c r="C272" s="40">
        <v>49</v>
      </c>
      <c r="D272" s="40">
        <f t="shared" si="20"/>
        <v>1</v>
      </c>
      <c r="E272" s="48" t="s">
        <v>130</v>
      </c>
      <c r="F272" s="17" t="s">
        <v>58</v>
      </c>
      <c r="G272" s="17" t="s">
        <v>86</v>
      </c>
      <c r="H272" s="42" t="s">
        <v>504</v>
      </c>
      <c r="I272" s="17" t="str">
        <f t="shared" si="21"/>
        <v>PN-271</v>
      </c>
      <c r="J272" s="18" t="s">
        <v>85</v>
      </c>
      <c r="K272" s="19" t="e">
        <f>IF(J272="","SEM #CH",VLOOKUP(J272,#REF!,2,0))</f>
        <v>#REF!</v>
      </c>
      <c r="L272" s="19" t="e">
        <f>IF(J272="","SEM #CH",VLOOKUP(J272,#REF!,3,0))</f>
        <v>#REF!</v>
      </c>
      <c r="M272" s="19" t="e">
        <f>IF(J272="","SEM #CH",VLOOKUP(J272,#REF!,4,0))</f>
        <v>#REF!</v>
      </c>
      <c r="N272" s="19" t="e">
        <f>IF(J272="","SEM #CH",VLOOKUP(J272,#REF!,5,0))</f>
        <v>#REF!</v>
      </c>
      <c r="O272" s="19" t="e">
        <f>IF(J272="","SEM #CH",VLOOKUP(J272,#REF!,6,0))</f>
        <v>#REF!</v>
      </c>
      <c r="P272" s="19" t="e">
        <f>IF(J272="","SEM #CH",VLOOKUP(J272,#REF!,7,0))</f>
        <v>#REF!</v>
      </c>
      <c r="Q272" s="77" t="str">
        <f>VLOOKUP(J272,'p1'!$B$2:$C$30,2,0)</f>
        <v>NÃO TEM CHAPA</v>
      </c>
      <c r="R272" s="94">
        <v>45880</v>
      </c>
      <c r="S272" s="90" t="s">
        <v>218</v>
      </c>
      <c r="T272" s="90">
        <f t="shared" si="23"/>
        <v>1</v>
      </c>
      <c r="U272" s="94">
        <v>45882</v>
      </c>
      <c r="V272" s="90" t="s">
        <v>1094</v>
      </c>
      <c r="W272" s="92">
        <v>2470</v>
      </c>
      <c r="X272" s="93">
        <f t="shared" si="22"/>
        <v>1</v>
      </c>
      <c r="Y272" s="92"/>
      <c r="Z272" s="92"/>
      <c r="AA272" s="13" t="str">
        <f t="shared" si="24"/>
        <v>ago/2025</v>
      </c>
    </row>
    <row r="273" spans="1:27" x14ac:dyDescent="0.25">
      <c r="A273" s="89">
        <v>272</v>
      </c>
      <c r="B273" s="68">
        <v>45854</v>
      </c>
      <c r="C273" s="40">
        <v>49</v>
      </c>
      <c r="D273" s="40">
        <f t="shared" si="20"/>
        <v>1</v>
      </c>
      <c r="E273" s="48" t="s">
        <v>130</v>
      </c>
      <c r="F273" s="17" t="s">
        <v>58</v>
      </c>
      <c r="G273" s="17" t="s">
        <v>86</v>
      </c>
      <c r="H273" s="42" t="s">
        <v>505</v>
      </c>
      <c r="I273" s="17" t="str">
        <f t="shared" si="21"/>
        <v>PN-272</v>
      </c>
      <c r="J273" s="18" t="s">
        <v>85</v>
      </c>
      <c r="K273" s="19" t="e">
        <f>IF(J273="","SEM #CH",VLOOKUP(J273,#REF!,2,0))</f>
        <v>#REF!</v>
      </c>
      <c r="L273" s="19" t="e">
        <f>IF(J273="","SEM #CH",VLOOKUP(J273,#REF!,3,0))</f>
        <v>#REF!</v>
      </c>
      <c r="M273" s="19" t="e">
        <f>IF(J273="","SEM #CH",VLOOKUP(J273,#REF!,4,0))</f>
        <v>#REF!</v>
      </c>
      <c r="N273" s="19" t="e">
        <f>IF(J273="","SEM #CH",VLOOKUP(J273,#REF!,5,0))</f>
        <v>#REF!</v>
      </c>
      <c r="O273" s="19" t="e">
        <f>IF(J273="","SEM #CH",VLOOKUP(J273,#REF!,6,0))</f>
        <v>#REF!</v>
      </c>
      <c r="P273" s="19" t="e">
        <f>IF(J273="","SEM #CH",VLOOKUP(J273,#REF!,7,0))</f>
        <v>#REF!</v>
      </c>
      <c r="Q273" s="77" t="str">
        <f>VLOOKUP(J273,'p1'!$B$2:$C$30,2,0)</f>
        <v>NÃO TEM CHAPA</v>
      </c>
      <c r="R273" s="94">
        <v>45878</v>
      </c>
      <c r="S273" s="90" t="s">
        <v>218</v>
      </c>
      <c r="T273" s="90">
        <f t="shared" si="23"/>
        <v>1</v>
      </c>
      <c r="U273" s="94">
        <v>45880</v>
      </c>
      <c r="V273" s="90" t="s">
        <v>1058</v>
      </c>
      <c r="W273" s="92">
        <v>2465</v>
      </c>
      <c r="X273" s="93">
        <f t="shared" si="22"/>
        <v>1</v>
      </c>
      <c r="Y273" s="92"/>
      <c r="Z273" s="92"/>
      <c r="AA273" s="13" t="str">
        <f t="shared" si="24"/>
        <v>ago/2025</v>
      </c>
    </row>
    <row r="274" spans="1:27" x14ac:dyDescent="0.25">
      <c r="A274" s="89">
        <v>273</v>
      </c>
      <c r="B274" s="68">
        <v>45876</v>
      </c>
      <c r="C274" s="40">
        <v>65</v>
      </c>
      <c r="D274" s="40">
        <f t="shared" si="20"/>
        <v>1</v>
      </c>
      <c r="E274" s="48" t="s">
        <v>130</v>
      </c>
      <c r="F274" s="17" t="s">
        <v>60</v>
      </c>
      <c r="G274" s="17" t="s">
        <v>86</v>
      </c>
      <c r="H274" s="42" t="s">
        <v>506</v>
      </c>
      <c r="I274" s="17" t="str">
        <f t="shared" si="21"/>
        <v>PE-273</v>
      </c>
      <c r="J274" s="18" t="s">
        <v>88</v>
      </c>
      <c r="K274" s="19" t="e">
        <f>IF(J274="","SEM #CH",VLOOKUP(J274,#REF!,2,0))</f>
        <v>#REF!</v>
      </c>
      <c r="L274" s="19" t="e">
        <f>IF(J274="","SEM #CH",VLOOKUP(J274,#REF!,3,0))</f>
        <v>#REF!</v>
      </c>
      <c r="M274" s="19" t="e">
        <f>IF(J274="","SEM #CH",VLOOKUP(J274,#REF!,4,0))</f>
        <v>#REF!</v>
      </c>
      <c r="N274" s="19" t="e">
        <f>IF(J274="","SEM #CH",VLOOKUP(J274,#REF!,5,0))</f>
        <v>#REF!</v>
      </c>
      <c r="O274" s="19" t="e">
        <f>IF(J274="","SEM #CH",VLOOKUP(J274,#REF!,6,0))</f>
        <v>#REF!</v>
      </c>
      <c r="P274" s="19" t="e">
        <f>IF(J274="","SEM #CH",VLOOKUP(J274,#REF!,7,0))</f>
        <v>#REF!</v>
      </c>
      <c r="Q274" s="77" t="str">
        <f>VLOOKUP(J274,'p1'!$B$2:$C$30,2,0)</f>
        <v>#3/8-1315X1315</v>
      </c>
      <c r="R274" s="94">
        <v>45895</v>
      </c>
      <c r="S274" s="90" t="s">
        <v>217</v>
      </c>
      <c r="T274" s="90">
        <f t="shared" si="23"/>
        <v>1</v>
      </c>
      <c r="U274" s="94">
        <v>45898</v>
      </c>
      <c r="V274" s="90" t="s">
        <v>86</v>
      </c>
      <c r="W274" s="92">
        <v>2500</v>
      </c>
      <c r="X274" s="93">
        <f t="shared" si="22"/>
        <v>1</v>
      </c>
      <c r="Y274" s="92"/>
      <c r="Z274" s="92"/>
      <c r="AA274" s="13" t="str">
        <f t="shared" si="24"/>
        <v>ago/2025</v>
      </c>
    </row>
    <row r="275" spans="1:27" x14ac:dyDescent="0.25">
      <c r="A275" s="89">
        <v>274</v>
      </c>
      <c r="B275" s="68">
        <v>45854</v>
      </c>
      <c r="C275" s="40">
        <v>49</v>
      </c>
      <c r="D275" s="40">
        <f t="shared" si="20"/>
        <v>1</v>
      </c>
      <c r="E275" s="48" t="s">
        <v>130</v>
      </c>
      <c r="F275" s="17" t="s">
        <v>58</v>
      </c>
      <c r="G275" s="17" t="s">
        <v>86</v>
      </c>
      <c r="H275" s="42" t="s">
        <v>507</v>
      </c>
      <c r="I275" s="17" t="str">
        <f t="shared" si="21"/>
        <v>PN-274</v>
      </c>
      <c r="J275" s="18" t="s">
        <v>85</v>
      </c>
      <c r="K275" s="19" t="e">
        <f>IF(J275="","SEM #CH",VLOOKUP(J275,#REF!,2,0))</f>
        <v>#REF!</v>
      </c>
      <c r="L275" s="19" t="e">
        <f>IF(J275="","SEM #CH",VLOOKUP(J275,#REF!,3,0))</f>
        <v>#REF!</v>
      </c>
      <c r="M275" s="19" t="e">
        <f>IF(J275="","SEM #CH",VLOOKUP(J275,#REF!,4,0))</f>
        <v>#REF!</v>
      </c>
      <c r="N275" s="19" t="e">
        <f>IF(J275="","SEM #CH",VLOOKUP(J275,#REF!,5,0))</f>
        <v>#REF!</v>
      </c>
      <c r="O275" s="19" t="e">
        <f>IF(J275="","SEM #CH",VLOOKUP(J275,#REF!,6,0))</f>
        <v>#REF!</v>
      </c>
      <c r="P275" s="19" t="e">
        <f>IF(J275="","SEM #CH",VLOOKUP(J275,#REF!,7,0))</f>
        <v>#REF!</v>
      </c>
      <c r="Q275" s="77" t="str">
        <f>VLOOKUP(J275,'p1'!$B$2:$C$30,2,0)</f>
        <v>NÃO TEM CHAPA</v>
      </c>
      <c r="R275" s="94">
        <v>45878</v>
      </c>
      <c r="S275" s="90" t="s">
        <v>218</v>
      </c>
      <c r="T275" s="90">
        <f t="shared" si="23"/>
        <v>1</v>
      </c>
      <c r="U275" s="94">
        <v>45880</v>
      </c>
      <c r="V275" s="90" t="s">
        <v>1058</v>
      </c>
      <c r="W275" s="92">
        <v>2465</v>
      </c>
      <c r="X275" s="93">
        <f t="shared" si="22"/>
        <v>1</v>
      </c>
      <c r="Y275" s="92"/>
      <c r="Z275" s="92"/>
      <c r="AA275" s="13" t="str">
        <f t="shared" si="24"/>
        <v>ago/2025</v>
      </c>
    </row>
    <row r="276" spans="1:27" x14ac:dyDescent="0.25">
      <c r="A276" s="89">
        <v>275</v>
      </c>
      <c r="B276" s="68">
        <v>45854</v>
      </c>
      <c r="C276" s="40">
        <v>49</v>
      </c>
      <c r="D276" s="40">
        <f t="shared" si="20"/>
        <v>1</v>
      </c>
      <c r="E276" s="48" t="s">
        <v>130</v>
      </c>
      <c r="F276" s="17" t="s">
        <v>58</v>
      </c>
      <c r="G276" s="17" t="s">
        <v>86</v>
      </c>
      <c r="H276" s="42" t="s">
        <v>508</v>
      </c>
      <c r="I276" s="17" t="str">
        <f t="shared" si="21"/>
        <v>PN-275</v>
      </c>
      <c r="J276" s="18" t="s">
        <v>85</v>
      </c>
      <c r="K276" s="19" t="e">
        <f>IF(J276="","SEM #CH",VLOOKUP(J276,#REF!,2,0))</f>
        <v>#REF!</v>
      </c>
      <c r="L276" s="19" t="e">
        <f>IF(J276="","SEM #CH",VLOOKUP(J276,#REF!,3,0))</f>
        <v>#REF!</v>
      </c>
      <c r="M276" s="19" t="e">
        <f>IF(J276="","SEM #CH",VLOOKUP(J276,#REF!,4,0))</f>
        <v>#REF!</v>
      </c>
      <c r="N276" s="19" t="e">
        <f>IF(J276="","SEM #CH",VLOOKUP(J276,#REF!,5,0))</f>
        <v>#REF!</v>
      </c>
      <c r="O276" s="19" t="e">
        <f>IF(J276="","SEM #CH",VLOOKUP(J276,#REF!,6,0))</f>
        <v>#REF!</v>
      </c>
      <c r="P276" s="19" t="e">
        <f>IF(J276="","SEM #CH",VLOOKUP(J276,#REF!,7,0))</f>
        <v>#REF!</v>
      </c>
      <c r="Q276" s="77" t="str">
        <f>VLOOKUP(J276,'p1'!$B$2:$C$30,2,0)</f>
        <v>NÃO TEM CHAPA</v>
      </c>
      <c r="R276" s="94">
        <v>45878</v>
      </c>
      <c r="S276" s="90" t="s">
        <v>218</v>
      </c>
      <c r="T276" s="90">
        <f t="shared" si="23"/>
        <v>1</v>
      </c>
      <c r="U276" s="94">
        <v>45882</v>
      </c>
      <c r="V276" s="90" t="s">
        <v>1095</v>
      </c>
      <c r="W276" s="92">
        <v>2471</v>
      </c>
      <c r="X276" s="93">
        <f t="shared" si="22"/>
        <v>1</v>
      </c>
      <c r="Y276" s="92"/>
      <c r="Z276" s="92"/>
      <c r="AA276" s="13" t="str">
        <f t="shared" si="24"/>
        <v>ago/2025</v>
      </c>
    </row>
    <row r="277" spans="1:27" x14ac:dyDescent="0.25">
      <c r="A277" s="89">
        <v>276</v>
      </c>
      <c r="B277" s="68">
        <v>45854</v>
      </c>
      <c r="C277" s="40">
        <v>49</v>
      </c>
      <c r="D277" s="40">
        <f t="shared" si="20"/>
        <v>1</v>
      </c>
      <c r="E277" s="48" t="s">
        <v>130</v>
      </c>
      <c r="F277" s="17" t="s">
        <v>58</v>
      </c>
      <c r="G277" s="17" t="s">
        <v>86</v>
      </c>
      <c r="H277" s="42" t="s">
        <v>509</v>
      </c>
      <c r="I277" s="17" t="str">
        <f t="shared" si="21"/>
        <v>PN-276</v>
      </c>
      <c r="J277" s="18" t="s">
        <v>85</v>
      </c>
      <c r="K277" s="19" t="e">
        <f>IF(J277="","SEM #CH",VLOOKUP(J277,#REF!,2,0))</f>
        <v>#REF!</v>
      </c>
      <c r="L277" s="19" t="e">
        <f>IF(J277="","SEM #CH",VLOOKUP(J277,#REF!,3,0))</f>
        <v>#REF!</v>
      </c>
      <c r="M277" s="19" t="e">
        <f>IF(J277="","SEM #CH",VLOOKUP(J277,#REF!,4,0))</f>
        <v>#REF!</v>
      </c>
      <c r="N277" s="19" t="e">
        <f>IF(J277="","SEM #CH",VLOOKUP(J277,#REF!,5,0))</f>
        <v>#REF!</v>
      </c>
      <c r="O277" s="19" t="e">
        <f>IF(J277="","SEM #CH",VLOOKUP(J277,#REF!,6,0))</f>
        <v>#REF!</v>
      </c>
      <c r="P277" s="19" t="e">
        <f>IF(J277="","SEM #CH",VLOOKUP(J277,#REF!,7,0))</f>
        <v>#REF!</v>
      </c>
      <c r="Q277" s="77" t="str">
        <f>VLOOKUP(J277,'p1'!$B$2:$C$30,2,0)</f>
        <v>NÃO TEM CHAPA</v>
      </c>
      <c r="R277" s="94">
        <v>45878</v>
      </c>
      <c r="S277" s="90" t="s">
        <v>218</v>
      </c>
      <c r="T277" s="90">
        <f t="shared" si="23"/>
        <v>1</v>
      </c>
      <c r="U277" s="94">
        <v>45882</v>
      </c>
      <c r="V277" s="90" t="s">
        <v>1094</v>
      </c>
      <c r="W277" s="92">
        <v>2470</v>
      </c>
      <c r="X277" s="93">
        <f t="shared" si="22"/>
        <v>1</v>
      </c>
      <c r="Y277" s="92"/>
      <c r="Z277" s="92"/>
      <c r="AA277" s="13" t="str">
        <f t="shared" si="24"/>
        <v>ago/2025</v>
      </c>
    </row>
    <row r="278" spans="1:27" x14ac:dyDescent="0.25">
      <c r="A278" s="89">
        <v>277</v>
      </c>
      <c r="B278" s="68">
        <v>45854</v>
      </c>
      <c r="C278" s="40">
        <v>49</v>
      </c>
      <c r="D278" s="40">
        <f t="shared" si="20"/>
        <v>1</v>
      </c>
      <c r="E278" s="48" t="s">
        <v>130</v>
      </c>
      <c r="F278" s="17" t="s">
        <v>58</v>
      </c>
      <c r="G278" s="17" t="s">
        <v>86</v>
      </c>
      <c r="H278" s="42" t="s">
        <v>510</v>
      </c>
      <c r="I278" s="17" t="str">
        <f t="shared" si="21"/>
        <v>PN-277</v>
      </c>
      <c r="J278" s="18" t="s">
        <v>85</v>
      </c>
      <c r="K278" s="19" t="e">
        <f>IF(J278="","SEM #CH",VLOOKUP(J278,#REF!,2,0))</f>
        <v>#REF!</v>
      </c>
      <c r="L278" s="19" t="e">
        <f>IF(J278="","SEM #CH",VLOOKUP(J278,#REF!,3,0))</f>
        <v>#REF!</v>
      </c>
      <c r="M278" s="19" t="e">
        <f>IF(J278="","SEM #CH",VLOOKUP(J278,#REF!,4,0))</f>
        <v>#REF!</v>
      </c>
      <c r="N278" s="19" t="e">
        <f>IF(J278="","SEM #CH",VLOOKUP(J278,#REF!,5,0))</f>
        <v>#REF!</v>
      </c>
      <c r="O278" s="19" t="e">
        <f>IF(J278="","SEM #CH",VLOOKUP(J278,#REF!,6,0))</f>
        <v>#REF!</v>
      </c>
      <c r="P278" s="19" t="e">
        <f>IF(J278="","SEM #CH",VLOOKUP(J278,#REF!,7,0))</f>
        <v>#REF!</v>
      </c>
      <c r="Q278" s="77" t="str">
        <f>VLOOKUP(J278,'p1'!$B$2:$C$30,2,0)</f>
        <v>NÃO TEM CHAPA</v>
      </c>
      <c r="R278" s="94">
        <v>45877</v>
      </c>
      <c r="S278" s="90" t="s">
        <v>218</v>
      </c>
      <c r="T278" s="90">
        <f t="shared" si="23"/>
        <v>1</v>
      </c>
      <c r="U278" s="94">
        <v>45891</v>
      </c>
      <c r="V278" s="90" t="s">
        <v>86</v>
      </c>
      <c r="W278" s="92">
        <v>2486</v>
      </c>
      <c r="X278" s="93">
        <f t="shared" si="22"/>
        <v>1</v>
      </c>
      <c r="Y278" s="92"/>
      <c r="Z278" s="92"/>
      <c r="AA278" s="13" t="str">
        <f t="shared" si="24"/>
        <v>ago/2025</v>
      </c>
    </row>
    <row r="279" spans="1:27" x14ac:dyDescent="0.25">
      <c r="A279" s="89">
        <v>278</v>
      </c>
      <c r="B279" s="68">
        <v>45855</v>
      </c>
      <c r="C279" s="40">
        <v>50</v>
      </c>
      <c r="D279" s="40">
        <f t="shared" si="20"/>
        <v>1</v>
      </c>
      <c r="E279" s="48" t="s">
        <v>130</v>
      </c>
      <c r="F279" s="17" t="s">
        <v>58</v>
      </c>
      <c r="G279" s="17" t="s">
        <v>86</v>
      </c>
      <c r="H279" s="42" t="s">
        <v>511</v>
      </c>
      <c r="I279" s="17" t="str">
        <f t="shared" si="21"/>
        <v>PN-278</v>
      </c>
      <c r="J279" s="18" t="s">
        <v>85</v>
      </c>
      <c r="K279" s="19" t="e">
        <f>IF(J279="","SEM #CH",VLOOKUP(J279,#REF!,2,0))</f>
        <v>#REF!</v>
      </c>
      <c r="L279" s="19" t="e">
        <f>IF(J279="","SEM #CH",VLOOKUP(J279,#REF!,3,0))</f>
        <v>#REF!</v>
      </c>
      <c r="M279" s="19" t="e">
        <f>IF(J279="","SEM #CH",VLOOKUP(J279,#REF!,4,0))</f>
        <v>#REF!</v>
      </c>
      <c r="N279" s="19" t="e">
        <f>IF(J279="","SEM #CH",VLOOKUP(J279,#REF!,5,0))</f>
        <v>#REF!</v>
      </c>
      <c r="O279" s="19" t="e">
        <f>IF(J279="","SEM #CH",VLOOKUP(J279,#REF!,6,0))</f>
        <v>#REF!</v>
      </c>
      <c r="P279" s="19" t="e">
        <f>IF(J279="","SEM #CH",VLOOKUP(J279,#REF!,7,0))</f>
        <v>#REF!</v>
      </c>
      <c r="Q279" s="77" t="str">
        <f>VLOOKUP(J279,'p1'!$B$2:$C$30,2,0)</f>
        <v>NÃO TEM CHAPA</v>
      </c>
      <c r="R279" s="94">
        <v>45863</v>
      </c>
      <c r="S279" s="90" t="s">
        <v>217</v>
      </c>
      <c r="T279" s="90">
        <f t="shared" si="23"/>
        <v>1</v>
      </c>
      <c r="U279" s="94">
        <v>45881</v>
      </c>
      <c r="V279" s="90" t="s">
        <v>86</v>
      </c>
      <c r="W279" s="92">
        <v>2468</v>
      </c>
      <c r="X279" s="93">
        <f t="shared" si="22"/>
        <v>1</v>
      </c>
      <c r="Y279" s="92"/>
      <c r="Z279" s="92"/>
      <c r="AA279" s="13" t="str">
        <f t="shared" si="24"/>
        <v>jul/2025</v>
      </c>
    </row>
    <row r="280" spans="1:27" x14ac:dyDescent="0.25">
      <c r="A280" s="89">
        <v>279</v>
      </c>
      <c r="B280" s="68">
        <v>45855</v>
      </c>
      <c r="C280" s="40">
        <v>50</v>
      </c>
      <c r="D280" s="40">
        <f t="shared" si="20"/>
        <v>1</v>
      </c>
      <c r="E280" s="48" t="s">
        <v>130</v>
      </c>
      <c r="F280" s="17" t="s">
        <v>58</v>
      </c>
      <c r="G280" s="17" t="s">
        <v>86</v>
      </c>
      <c r="H280" s="42" t="s">
        <v>512</v>
      </c>
      <c r="I280" s="17" t="str">
        <f t="shared" si="21"/>
        <v>PN-279</v>
      </c>
      <c r="J280" s="18" t="s">
        <v>85</v>
      </c>
      <c r="K280" s="19" t="e">
        <f>IF(J280="","SEM #CH",VLOOKUP(J280,#REF!,2,0))</f>
        <v>#REF!</v>
      </c>
      <c r="L280" s="19" t="e">
        <f>IF(J280="","SEM #CH",VLOOKUP(J280,#REF!,3,0))</f>
        <v>#REF!</v>
      </c>
      <c r="M280" s="19" t="e">
        <f>IF(J280="","SEM #CH",VLOOKUP(J280,#REF!,4,0))</f>
        <v>#REF!</v>
      </c>
      <c r="N280" s="19" t="e">
        <f>IF(J280="","SEM #CH",VLOOKUP(J280,#REF!,5,0))</f>
        <v>#REF!</v>
      </c>
      <c r="O280" s="19" t="e">
        <f>IF(J280="","SEM #CH",VLOOKUP(J280,#REF!,6,0))</f>
        <v>#REF!</v>
      </c>
      <c r="P280" s="19" t="e">
        <f>IF(J280="","SEM #CH",VLOOKUP(J280,#REF!,7,0))</f>
        <v>#REF!</v>
      </c>
      <c r="Q280" s="77" t="str">
        <f>VLOOKUP(J280,'p1'!$B$2:$C$30,2,0)</f>
        <v>NÃO TEM CHAPA</v>
      </c>
      <c r="R280" s="94">
        <v>45863</v>
      </c>
      <c r="S280" s="90" t="s">
        <v>217</v>
      </c>
      <c r="T280" s="90">
        <f t="shared" si="23"/>
        <v>1</v>
      </c>
      <c r="U280" s="94">
        <v>45881</v>
      </c>
      <c r="V280" s="90" t="s">
        <v>86</v>
      </c>
      <c r="W280" s="92">
        <v>2468</v>
      </c>
      <c r="X280" s="93">
        <f t="shared" si="22"/>
        <v>1</v>
      </c>
      <c r="Y280" s="92"/>
      <c r="Z280" s="92"/>
      <c r="AA280" s="13" t="str">
        <f t="shared" si="24"/>
        <v>jul/2025</v>
      </c>
    </row>
    <row r="281" spans="1:27" x14ac:dyDescent="0.25">
      <c r="A281" s="89">
        <v>280</v>
      </c>
      <c r="B281" s="68">
        <v>45894</v>
      </c>
      <c r="C281" s="40">
        <v>77</v>
      </c>
      <c r="D281" s="40">
        <f t="shared" si="20"/>
        <v>1</v>
      </c>
      <c r="E281" s="48" t="s">
        <v>130</v>
      </c>
      <c r="F281" s="17" t="s">
        <v>61</v>
      </c>
      <c r="G281" s="17" t="s">
        <v>86</v>
      </c>
      <c r="H281" s="42" t="s">
        <v>513</v>
      </c>
      <c r="I281" s="17" t="str">
        <f t="shared" si="21"/>
        <v>PF-280</v>
      </c>
      <c r="J281" s="18" t="s">
        <v>61</v>
      </c>
      <c r="K281" s="19" t="e">
        <f>IF(J281="","SEM #CH",VLOOKUP(J281,#REF!,2,0))</f>
        <v>#REF!</v>
      </c>
      <c r="L281" s="19" t="e">
        <f>IF(J281="","SEM #CH",VLOOKUP(J281,#REF!,3,0))</f>
        <v>#REF!</v>
      </c>
      <c r="M281" s="19" t="e">
        <f>IF(J281="","SEM #CH",VLOOKUP(J281,#REF!,4,0))</f>
        <v>#REF!</v>
      </c>
      <c r="N281" s="19" t="e">
        <f>IF(J281="","SEM #CH",VLOOKUP(J281,#REF!,5,0))</f>
        <v>#REF!</v>
      </c>
      <c r="O281" s="19" t="e">
        <f>IF(J281="","SEM #CH",VLOOKUP(J281,#REF!,6,0))</f>
        <v>#REF!</v>
      </c>
      <c r="P281" s="19" t="e">
        <f>IF(J281="","SEM #CH",VLOOKUP(J281,#REF!,7,0))</f>
        <v>#REF!</v>
      </c>
      <c r="Q281" s="77" t="str">
        <f>VLOOKUP(J281,'p1'!$B$2:$C$30,2,0)</f>
        <v>SEM CHAPA</v>
      </c>
      <c r="R281" s="94">
        <v>45896</v>
      </c>
      <c r="S281" s="90" t="s">
        <v>217</v>
      </c>
      <c r="T281" s="90">
        <f t="shared" si="23"/>
        <v>1</v>
      </c>
      <c r="U281" s="94">
        <v>45901</v>
      </c>
      <c r="V281" s="90" t="s">
        <v>86</v>
      </c>
      <c r="W281" s="92">
        <v>2502</v>
      </c>
      <c r="X281" s="93">
        <f t="shared" si="22"/>
        <v>1</v>
      </c>
      <c r="Y281" s="92"/>
      <c r="Z281" s="92"/>
      <c r="AA281" s="13" t="str">
        <f t="shared" si="24"/>
        <v>ago/2025</v>
      </c>
    </row>
    <row r="282" spans="1:27" x14ac:dyDescent="0.25">
      <c r="A282" s="89">
        <v>281</v>
      </c>
      <c r="B282" s="68">
        <v>45855</v>
      </c>
      <c r="C282" s="40">
        <v>50</v>
      </c>
      <c r="D282" s="40">
        <f t="shared" si="20"/>
        <v>1</v>
      </c>
      <c r="E282" s="48" t="s">
        <v>130</v>
      </c>
      <c r="F282" s="17" t="s">
        <v>58</v>
      </c>
      <c r="G282" s="17" t="s">
        <v>86</v>
      </c>
      <c r="H282" s="42" t="s">
        <v>514</v>
      </c>
      <c r="I282" s="17" t="str">
        <f t="shared" si="21"/>
        <v>PN-281</v>
      </c>
      <c r="J282" s="18" t="s">
        <v>85</v>
      </c>
      <c r="K282" s="19" t="e">
        <f>IF(J282="","SEM #CH",VLOOKUP(J282,#REF!,2,0))</f>
        <v>#REF!</v>
      </c>
      <c r="L282" s="19" t="e">
        <f>IF(J282="","SEM #CH",VLOOKUP(J282,#REF!,3,0))</f>
        <v>#REF!</v>
      </c>
      <c r="M282" s="19" t="e">
        <f>IF(J282="","SEM #CH",VLOOKUP(J282,#REF!,4,0))</f>
        <v>#REF!</v>
      </c>
      <c r="N282" s="19" t="e">
        <f>IF(J282="","SEM #CH",VLOOKUP(J282,#REF!,5,0))</f>
        <v>#REF!</v>
      </c>
      <c r="O282" s="19" t="e">
        <f>IF(J282="","SEM #CH",VLOOKUP(J282,#REF!,6,0))</f>
        <v>#REF!</v>
      </c>
      <c r="P282" s="19" t="e">
        <f>IF(J282="","SEM #CH",VLOOKUP(J282,#REF!,7,0))</f>
        <v>#REF!</v>
      </c>
      <c r="Q282" s="77" t="str">
        <f>VLOOKUP(J282,'p1'!$B$2:$C$30,2,0)</f>
        <v>NÃO TEM CHAPA</v>
      </c>
      <c r="R282" s="94">
        <v>45887</v>
      </c>
      <c r="S282" s="90" t="s">
        <v>217</v>
      </c>
      <c r="T282" s="90">
        <f t="shared" si="23"/>
        <v>1</v>
      </c>
      <c r="U282" s="94">
        <v>45887</v>
      </c>
      <c r="V282" s="90"/>
      <c r="W282" s="92">
        <v>2480</v>
      </c>
      <c r="X282" s="93">
        <f t="shared" si="22"/>
        <v>1</v>
      </c>
      <c r="Y282" s="92"/>
      <c r="Z282" s="92"/>
      <c r="AA282" s="13" t="str">
        <f t="shared" si="24"/>
        <v>ago/2025</v>
      </c>
    </row>
    <row r="283" spans="1:27" x14ac:dyDescent="0.25">
      <c r="A283" s="89">
        <v>282</v>
      </c>
      <c r="B283" s="68">
        <v>45855</v>
      </c>
      <c r="C283" s="40">
        <v>50</v>
      </c>
      <c r="D283" s="40">
        <f t="shared" si="20"/>
        <v>1</v>
      </c>
      <c r="E283" s="48" t="s">
        <v>130</v>
      </c>
      <c r="F283" s="17" t="s">
        <v>58</v>
      </c>
      <c r="G283" s="17" t="s">
        <v>86</v>
      </c>
      <c r="H283" s="42" t="s">
        <v>515</v>
      </c>
      <c r="I283" s="17" t="str">
        <f t="shared" si="21"/>
        <v>PN-282</v>
      </c>
      <c r="J283" s="18" t="s">
        <v>85</v>
      </c>
      <c r="K283" s="19" t="e">
        <f>IF(J283="","SEM #CH",VLOOKUP(J283,#REF!,2,0))</f>
        <v>#REF!</v>
      </c>
      <c r="L283" s="19" t="e">
        <f>IF(J283="","SEM #CH",VLOOKUP(J283,#REF!,3,0))</f>
        <v>#REF!</v>
      </c>
      <c r="M283" s="19" t="e">
        <f>IF(J283="","SEM #CH",VLOOKUP(J283,#REF!,4,0))</f>
        <v>#REF!</v>
      </c>
      <c r="N283" s="19" t="e">
        <f>IF(J283="","SEM #CH",VLOOKUP(J283,#REF!,5,0))</f>
        <v>#REF!</v>
      </c>
      <c r="O283" s="19" t="e">
        <f>IF(J283="","SEM #CH",VLOOKUP(J283,#REF!,6,0))</f>
        <v>#REF!</v>
      </c>
      <c r="P283" s="19" t="e">
        <f>IF(J283="","SEM #CH",VLOOKUP(J283,#REF!,7,0))</f>
        <v>#REF!</v>
      </c>
      <c r="Q283" s="77" t="str">
        <f>VLOOKUP(J283,'p1'!$B$2:$C$30,2,0)</f>
        <v>NÃO TEM CHAPA</v>
      </c>
      <c r="R283" s="94">
        <v>45871</v>
      </c>
      <c r="S283" s="90" t="s">
        <v>217</v>
      </c>
      <c r="T283" s="90">
        <f t="shared" si="23"/>
        <v>1</v>
      </c>
      <c r="U283" s="94">
        <v>45881</v>
      </c>
      <c r="V283" s="90" t="s">
        <v>1093</v>
      </c>
      <c r="W283" s="92">
        <v>2469</v>
      </c>
      <c r="X283" s="93">
        <f t="shared" si="22"/>
        <v>1</v>
      </c>
      <c r="Y283" s="92"/>
      <c r="Z283" s="92"/>
      <c r="AA283" s="13" t="str">
        <f t="shared" si="24"/>
        <v>ago/2025</v>
      </c>
    </row>
    <row r="284" spans="1:27" x14ac:dyDescent="0.25">
      <c r="A284" s="89">
        <v>283</v>
      </c>
      <c r="B284" s="68">
        <v>45855</v>
      </c>
      <c r="C284" s="40">
        <v>50</v>
      </c>
      <c r="D284" s="40">
        <f t="shared" si="20"/>
        <v>1</v>
      </c>
      <c r="E284" s="48" t="s">
        <v>130</v>
      </c>
      <c r="F284" s="17" t="s">
        <v>58</v>
      </c>
      <c r="G284" s="17" t="s">
        <v>86</v>
      </c>
      <c r="H284" s="42" t="s">
        <v>516</v>
      </c>
      <c r="I284" s="17" t="str">
        <f t="shared" si="21"/>
        <v>PN-283</v>
      </c>
      <c r="J284" s="18" t="s">
        <v>85</v>
      </c>
      <c r="K284" s="19" t="e">
        <f>IF(J284="","SEM #CH",VLOOKUP(J284,#REF!,2,0))</f>
        <v>#REF!</v>
      </c>
      <c r="L284" s="19" t="e">
        <f>IF(J284="","SEM #CH",VLOOKUP(J284,#REF!,3,0))</f>
        <v>#REF!</v>
      </c>
      <c r="M284" s="19" t="e">
        <f>IF(J284="","SEM #CH",VLOOKUP(J284,#REF!,4,0))</f>
        <v>#REF!</v>
      </c>
      <c r="N284" s="19" t="e">
        <f>IF(J284="","SEM #CH",VLOOKUP(J284,#REF!,5,0))</f>
        <v>#REF!</v>
      </c>
      <c r="O284" s="19" t="e">
        <f>IF(J284="","SEM #CH",VLOOKUP(J284,#REF!,6,0))</f>
        <v>#REF!</v>
      </c>
      <c r="P284" s="19" t="e">
        <f>IF(J284="","SEM #CH",VLOOKUP(J284,#REF!,7,0))</f>
        <v>#REF!</v>
      </c>
      <c r="Q284" s="77" t="str">
        <f>VLOOKUP(J284,'p1'!$B$2:$C$30,2,0)</f>
        <v>NÃO TEM CHAPA</v>
      </c>
      <c r="R284" s="94">
        <v>45931</v>
      </c>
      <c r="S284" s="90" t="s">
        <v>217</v>
      </c>
      <c r="T284" s="90">
        <f t="shared" si="23"/>
        <v>1</v>
      </c>
      <c r="U284" s="94">
        <v>45931</v>
      </c>
      <c r="V284" s="90" t="s">
        <v>86</v>
      </c>
      <c r="W284" s="92">
        <v>2554</v>
      </c>
      <c r="X284" s="93">
        <f t="shared" si="22"/>
        <v>1</v>
      </c>
      <c r="Y284" s="92"/>
      <c r="Z284" s="92"/>
      <c r="AA284" s="13" t="str">
        <f t="shared" si="24"/>
        <v>out/2025</v>
      </c>
    </row>
    <row r="285" spans="1:27" x14ac:dyDescent="0.25">
      <c r="A285" s="89">
        <v>284</v>
      </c>
      <c r="B285" s="68">
        <v>45855</v>
      </c>
      <c r="C285" s="40">
        <v>50</v>
      </c>
      <c r="D285" s="40">
        <f t="shared" si="20"/>
        <v>1</v>
      </c>
      <c r="E285" s="48" t="s">
        <v>130</v>
      </c>
      <c r="F285" s="17" t="s">
        <v>58</v>
      </c>
      <c r="G285" s="17" t="s">
        <v>86</v>
      </c>
      <c r="H285" s="42" t="s">
        <v>517</v>
      </c>
      <c r="I285" s="17" t="str">
        <f t="shared" si="21"/>
        <v>PN-284</v>
      </c>
      <c r="J285" s="18" t="s">
        <v>85</v>
      </c>
      <c r="K285" s="19" t="e">
        <f>IF(J285="","SEM #CH",VLOOKUP(J285,#REF!,2,0))</f>
        <v>#REF!</v>
      </c>
      <c r="L285" s="19" t="e">
        <f>IF(J285="","SEM #CH",VLOOKUP(J285,#REF!,3,0))</f>
        <v>#REF!</v>
      </c>
      <c r="M285" s="19" t="e">
        <f>IF(J285="","SEM #CH",VLOOKUP(J285,#REF!,4,0))</f>
        <v>#REF!</v>
      </c>
      <c r="N285" s="19" t="e">
        <f>IF(J285="","SEM #CH",VLOOKUP(J285,#REF!,5,0))</f>
        <v>#REF!</v>
      </c>
      <c r="O285" s="19" t="e">
        <f>IF(J285="","SEM #CH",VLOOKUP(J285,#REF!,6,0))</f>
        <v>#REF!</v>
      </c>
      <c r="P285" s="19" t="e">
        <f>IF(J285="","SEM #CH",VLOOKUP(J285,#REF!,7,0))</f>
        <v>#REF!</v>
      </c>
      <c r="Q285" s="77" t="str">
        <f>VLOOKUP(J285,'p1'!$B$2:$C$30,2,0)</f>
        <v>NÃO TEM CHAPA</v>
      </c>
      <c r="R285" s="94">
        <v>45930</v>
      </c>
      <c r="S285" s="90" t="s">
        <v>217</v>
      </c>
      <c r="T285" s="90">
        <f t="shared" si="23"/>
        <v>1</v>
      </c>
      <c r="U285" s="94">
        <v>45931</v>
      </c>
      <c r="V285" s="90" t="s">
        <v>86</v>
      </c>
      <c r="W285" s="92">
        <v>2554</v>
      </c>
      <c r="X285" s="93">
        <f t="shared" si="22"/>
        <v>1</v>
      </c>
      <c r="Y285" s="92"/>
      <c r="Z285" s="92"/>
      <c r="AA285" s="13" t="str">
        <f t="shared" si="24"/>
        <v>set/2025</v>
      </c>
    </row>
    <row r="286" spans="1:27" x14ac:dyDescent="0.25">
      <c r="A286" s="89">
        <v>285</v>
      </c>
      <c r="B286" s="68">
        <v>45856</v>
      </c>
      <c r="C286" s="40">
        <v>51</v>
      </c>
      <c r="D286" s="40">
        <f t="shared" si="20"/>
        <v>1</v>
      </c>
      <c r="E286" s="48" t="s">
        <v>130</v>
      </c>
      <c r="F286" s="17" t="s">
        <v>58</v>
      </c>
      <c r="G286" s="17" t="s">
        <v>86</v>
      </c>
      <c r="H286" s="42" t="s">
        <v>518</v>
      </c>
      <c r="I286" s="17" t="str">
        <f t="shared" si="21"/>
        <v>PN-285</v>
      </c>
      <c r="J286" s="18" t="s">
        <v>85</v>
      </c>
      <c r="K286" s="19" t="e">
        <f>IF(J286="","SEM #CH",VLOOKUP(J286,#REF!,2,0))</f>
        <v>#REF!</v>
      </c>
      <c r="L286" s="19" t="e">
        <f>IF(J286="","SEM #CH",VLOOKUP(J286,#REF!,3,0))</f>
        <v>#REF!</v>
      </c>
      <c r="M286" s="19" t="e">
        <f>IF(J286="","SEM #CH",VLOOKUP(J286,#REF!,4,0))</f>
        <v>#REF!</v>
      </c>
      <c r="N286" s="19" t="e">
        <f>IF(J286="","SEM #CH",VLOOKUP(J286,#REF!,5,0))</f>
        <v>#REF!</v>
      </c>
      <c r="O286" s="19" t="e">
        <f>IF(J286="","SEM #CH",VLOOKUP(J286,#REF!,6,0))</f>
        <v>#REF!</v>
      </c>
      <c r="P286" s="19" t="e">
        <f>IF(J286="","SEM #CH",VLOOKUP(J286,#REF!,7,0))</f>
        <v>#REF!</v>
      </c>
      <c r="Q286" s="77" t="str">
        <f>VLOOKUP(J286,'p1'!$B$2:$C$30,2,0)</f>
        <v>NÃO TEM CHAPA</v>
      </c>
      <c r="R286" s="94">
        <v>45877</v>
      </c>
      <c r="S286" s="90" t="s">
        <v>218</v>
      </c>
      <c r="T286" s="90">
        <f t="shared" si="23"/>
        <v>1</v>
      </c>
      <c r="U286" s="94">
        <v>45882</v>
      </c>
      <c r="V286" s="90" t="s">
        <v>1095</v>
      </c>
      <c r="W286" s="92">
        <v>2471</v>
      </c>
      <c r="X286" s="93">
        <f t="shared" si="22"/>
        <v>1</v>
      </c>
      <c r="Y286" s="92"/>
      <c r="Z286" s="92"/>
      <c r="AA286" s="13" t="str">
        <f t="shared" si="24"/>
        <v>ago/2025</v>
      </c>
    </row>
    <row r="287" spans="1:27" x14ac:dyDescent="0.25">
      <c r="A287" s="89">
        <v>286</v>
      </c>
      <c r="B287" s="68">
        <v>45856</v>
      </c>
      <c r="C287" s="40">
        <v>51</v>
      </c>
      <c r="D287" s="40">
        <f t="shared" si="20"/>
        <v>1</v>
      </c>
      <c r="E287" s="48" t="s">
        <v>130</v>
      </c>
      <c r="F287" s="17" t="s">
        <v>58</v>
      </c>
      <c r="G287" s="17" t="s">
        <v>86</v>
      </c>
      <c r="H287" s="42" t="s">
        <v>519</v>
      </c>
      <c r="I287" s="17" t="str">
        <f t="shared" si="21"/>
        <v>PN-286</v>
      </c>
      <c r="J287" s="18" t="s">
        <v>85</v>
      </c>
      <c r="K287" s="19" t="e">
        <f>IF(J287="","SEM #CH",VLOOKUP(J287,#REF!,2,0))</f>
        <v>#REF!</v>
      </c>
      <c r="L287" s="19" t="e">
        <f>IF(J287="","SEM #CH",VLOOKUP(J287,#REF!,3,0))</f>
        <v>#REF!</v>
      </c>
      <c r="M287" s="19" t="e">
        <f>IF(J287="","SEM #CH",VLOOKUP(J287,#REF!,4,0))</f>
        <v>#REF!</v>
      </c>
      <c r="N287" s="19" t="e">
        <f>IF(J287="","SEM #CH",VLOOKUP(J287,#REF!,5,0))</f>
        <v>#REF!</v>
      </c>
      <c r="O287" s="19" t="e">
        <f>IF(J287="","SEM #CH",VLOOKUP(J287,#REF!,6,0))</f>
        <v>#REF!</v>
      </c>
      <c r="P287" s="19" t="e">
        <f>IF(J287="","SEM #CH",VLOOKUP(J287,#REF!,7,0))</f>
        <v>#REF!</v>
      </c>
      <c r="Q287" s="77" t="str">
        <f>VLOOKUP(J287,'p1'!$B$2:$C$30,2,0)</f>
        <v>NÃO TEM CHAPA</v>
      </c>
      <c r="R287" s="94">
        <v>45881</v>
      </c>
      <c r="S287" s="90" t="s">
        <v>218</v>
      </c>
      <c r="T287" s="90">
        <f t="shared" si="23"/>
        <v>1</v>
      </c>
      <c r="U287" s="94">
        <v>45884</v>
      </c>
      <c r="V287" s="90"/>
      <c r="W287" s="92">
        <v>2478</v>
      </c>
      <c r="X287" s="93">
        <f t="shared" si="22"/>
        <v>1</v>
      </c>
      <c r="Y287" s="92"/>
      <c r="Z287" s="92"/>
      <c r="AA287" s="13" t="str">
        <f t="shared" si="24"/>
        <v>ago/2025</v>
      </c>
    </row>
    <row r="288" spans="1:27" x14ac:dyDescent="0.25">
      <c r="A288" s="89">
        <v>287</v>
      </c>
      <c r="B288" s="68">
        <v>45856</v>
      </c>
      <c r="C288" s="40">
        <v>51</v>
      </c>
      <c r="D288" s="40">
        <f t="shared" si="20"/>
        <v>1</v>
      </c>
      <c r="E288" s="48" t="s">
        <v>130</v>
      </c>
      <c r="F288" s="17" t="s">
        <v>58</v>
      </c>
      <c r="G288" s="17" t="s">
        <v>86</v>
      </c>
      <c r="H288" s="42" t="s">
        <v>520</v>
      </c>
      <c r="I288" s="17" t="str">
        <f t="shared" si="21"/>
        <v>PN-287</v>
      </c>
      <c r="J288" s="18" t="s">
        <v>85</v>
      </c>
      <c r="K288" s="19" t="e">
        <f>IF(J288="","SEM #CH",VLOOKUP(J288,#REF!,2,0))</f>
        <v>#REF!</v>
      </c>
      <c r="L288" s="19" t="e">
        <f>IF(J288="","SEM #CH",VLOOKUP(J288,#REF!,3,0))</f>
        <v>#REF!</v>
      </c>
      <c r="M288" s="19" t="e">
        <f>IF(J288="","SEM #CH",VLOOKUP(J288,#REF!,4,0))</f>
        <v>#REF!</v>
      </c>
      <c r="N288" s="19" t="e">
        <f>IF(J288="","SEM #CH",VLOOKUP(J288,#REF!,5,0))</f>
        <v>#REF!</v>
      </c>
      <c r="O288" s="19" t="e">
        <f>IF(J288="","SEM #CH",VLOOKUP(J288,#REF!,6,0))</f>
        <v>#REF!</v>
      </c>
      <c r="P288" s="19" t="e">
        <f>IF(J288="","SEM #CH",VLOOKUP(J288,#REF!,7,0))</f>
        <v>#REF!</v>
      </c>
      <c r="Q288" s="77" t="str">
        <f>VLOOKUP(J288,'p1'!$B$2:$C$30,2,0)</f>
        <v>NÃO TEM CHAPA</v>
      </c>
      <c r="R288" s="94">
        <v>45870</v>
      </c>
      <c r="S288" s="90" t="s">
        <v>218</v>
      </c>
      <c r="T288" s="90">
        <f t="shared" si="23"/>
        <v>1</v>
      </c>
      <c r="U288" s="94">
        <v>45894</v>
      </c>
      <c r="V288" s="90" t="s">
        <v>86</v>
      </c>
      <c r="W288" s="92">
        <v>2489</v>
      </c>
      <c r="X288" s="93">
        <f t="shared" si="22"/>
        <v>1</v>
      </c>
      <c r="Y288" s="92"/>
      <c r="Z288" s="92"/>
      <c r="AA288" s="13" t="str">
        <f t="shared" si="24"/>
        <v>ago/2025</v>
      </c>
    </row>
    <row r="289" spans="1:27" x14ac:dyDescent="0.25">
      <c r="A289" s="89">
        <v>288</v>
      </c>
      <c r="B289" s="68">
        <v>45833</v>
      </c>
      <c r="C289" s="40">
        <v>39</v>
      </c>
      <c r="D289" s="40">
        <f t="shared" si="20"/>
        <v>1</v>
      </c>
      <c r="E289" s="48" t="s">
        <v>130</v>
      </c>
      <c r="F289" s="17" t="s">
        <v>60</v>
      </c>
      <c r="G289" s="17" t="s">
        <v>86</v>
      </c>
      <c r="H289" s="42" t="s">
        <v>521</v>
      </c>
      <c r="I289" s="17" t="str">
        <f t="shared" si="21"/>
        <v>PE-288</v>
      </c>
      <c r="J289" s="18" t="s">
        <v>90</v>
      </c>
      <c r="K289" s="19" t="e">
        <f>IF(J289="","SEM #CH",VLOOKUP(J289,#REF!,2,0))</f>
        <v>#REF!</v>
      </c>
      <c r="L289" s="19" t="e">
        <f>IF(J289="","SEM #CH",VLOOKUP(J289,#REF!,3,0))</f>
        <v>#REF!</v>
      </c>
      <c r="M289" s="19" t="e">
        <f>IF(J289="","SEM #CH",VLOOKUP(J289,#REF!,4,0))</f>
        <v>#REF!</v>
      </c>
      <c r="N289" s="19" t="e">
        <f>IF(J289="","SEM #CH",VLOOKUP(J289,#REF!,5,0))</f>
        <v>#REF!</v>
      </c>
      <c r="O289" s="19" t="e">
        <f>IF(J289="","SEM #CH",VLOOKUP(J289,#REF!,6,0))</f>
        <v>#REF!</v>
      </c>
      <c r="P289" s="19" t="e">
        <f>IF(J289="","SEM #CH",VLOOKUP(J289,#REF!,7,0))</f>
        <v>#REF!</v>
      </c>
      <c r="Q289" s="77" t="str">
        <f>VLOOKUP(J289,'p1'!$B$2:$C$30,2,0)</f>
        <v>#3/8-530X530</v>
      </c>
      <c r="R289" s="94">
        <v>45918</v>
      </c>
      <c r="S289" s="90" t="s">
        <v>217</v>
      </c>
      <c r="T289" s="90">
        <f t="shared" si="23"/>
        <v>1</v>
      </c>
      <c r="U289" s="94">
        <v>45918</v>
      </c>
      <c r="V289" s="90" t="s">
        <v>86</v>
      </c>
      <c r="W289" s="92">
        <v>2533</v>
      </c>
      <c r="X289" s="93">
        <f t="shared" si="22"/>
        <v>1</v>
      </c>
      <c r="Y289" s="92"/>
      <c r="Z289" s="92"/>
      <c r="AA289" s="13" t="str">
        <f t="shared" si="24"/>
        <v>set/2025</v>
      </c>
    </row>
    <row r="290" spans="1:27" x14ac:dyDescent="0.25">
      <c r="A290" s="89">
        <v>289</v>
      </c>
      <c r="B290" s="68">
        <v>45856</v>
      </c>
      <c r="C290" s="40">
        <v>51</v>
      </c>
      <c r="D290" s="40">
        <f t="shared" si="20"/>
        <v>1</v>
      </c>
      <c r="E290" s="48" t="s">
        <v>130</v>
      </c>
      <c r="F290" s="17" t="s">
        <v>58</v>
      </c>
      <c r="G290" s="17" t="s">
        <v>86</v>
      </c>
      <c r="H290" s="42" t="s">
        <v>522</v>
      </c>
      <c r="I290" s="17" t="str">
        <f t="shared" si="21"/>
        <v>PN-289</v>
      </c>
      <c r="J290" s="18" t="s">
        <v>85</v>
      </c>
      <c r="K290" s="19" t="e">
        <f>IF(J290="","SEM #CH",VLOOKUP(J290,#REF!,2,0))</f>
        <v>#REF!</v>
      </c>
      <c r="L290" s="19" t="e">
        <f>IF(J290="","SEM #CH",VLOOKUP(J290,#REF!,3,0))</f>
        <v>#REF!</v>
      </c>
      <c r="M290" s="19" t="e">
        <f>IF(J290="","SEM #CH",VLOOKUP(J290,#REF!,4,0))</f>
        <v>#REF!</v>
      </c>
      <c r="N290" s="19" t="e">
        <f>IF(J290="","SEM #CH",VLOOKUP(J290,#REF!,5,0))</f>
        <v>#REF!</v>
      </c>
      <c r="O290" s="19" t="e">
        <f>IF(J290="","SEM #CH",VLOOKUP(J290,#REF!,6,0))</f>
        <v>#REF!</v>
      </c>
      <c r="P290" s="19" t="e">
        <f>IF(J290="","SEM #CH",VLOOKUP(J290,#REF!,7,0))</f>
        <v>#REF!</v>
      </c>
      <c r="Q290" s="77" t="str">
        <f>VLOOKUP(J290,'p1'!$B$2:$C$30,2,0)</f>
        <v>NÃO TEM CHAPA</v>
      </c>
      <c r="R290" s="94">
        <v>45870</v>
      </c>
      <c r="S290" s="90" t="s">
        <v>218</v>
      </c>
      <c r="T290" s="90">
        <f t="shared" si="23"/>
        <v>1</v>
      </c>
      <c r="U290" s="94">
        <v>45894</v>
      </c>
      <c r="V290" s="90" t="s">
        <v>86</v>
      </c>
      <c r="W290" s="92">
        <v>2489</v>
      </c>
      <c r="X290" s="93">
        <f t="shared" si="22"/>
        <v>1</v>
      </c>
      <c r="Y290" s="92"/>
      <c r="Z290" s="92"/>
      <c r="AA290" s="13" t="str">
        <f t="shared" si="24"/>
        <v>ago/2025</v>
      </c>
    </row>
    <row r="291" spans="1:27" x14ac:dyDescent="0.25">
      <c r="A291" s="89">
        <v>290</v>
      </c>
      <c r="B291" s="68">
        <v>45856</v>
      </c>
      <c r="C291" s="40">
        <v>51</v>
      </c>
      <c r="D291" s="40">
        <f t="shared" si="20"/>
        <v>1</v>
      </c>
      <c r="E291" s="48" t="s">
        <v>130</v>
      </c>
      <c r="F291" s="17" t="s">
        <v>58</v>
      </c>
      <c r="G291" s="17" t="s">
        <v>86</v>
      </c>
      <c r="H291" s="42" t="s">
        <v>523</v>
      </c>
      <c r="I291" s="17" t="str">
        <f t="shared" si="21"/>
        <v>PN-290</v>
      </c>
      <c r="J291" s="18" t="s">
        <v>85</v>
      </c>
      <c r="K291" s="19" t="e">
        <f>IF(J291="","SEM #CH",VLOOKUP(J291,#REF!,2,0))</f>
        <v>#REF!</v>
      </c>
      <c r="L291" s="19" t="e">
        <f>IF(J291="","SEM #CH",VLOOKUP(J291,#REF!,3,0))</f>
        <v>#REF!</v>
      </c>
      <c r="M291" s="19" t="e">
        <f>IF(J291="","SEM #CH",VLOOKUP(J291,#REF!,4,0))</f>
        <v>#REF!</v>
      </c>
      <c r="N291" s="19" t="e">
        <f>IF(J291="","SEM #CH",VLOOKUP(J291,#REF!,5,0))</f>
        <v>#REF!</v>
      </c>
      <c r="O291" s="19" t="e">
        <f>IF(J291="","SEM #CH",VLOOKUP(J291,#REF!,6,0))</f>
        <v>#REF!</v>
      </c>
      <c r="P291" s="19" t="e">
        <f>IF(J291="","SEM #CH",VLOOKUP(J291,#REF!,7,0))</f>
        <v>#REF!</v>
      </c>
      <c r="Q291" s="77" t="str">
        <f>VLOOKUP(J291,'p1'!$B$2:$C$30,2,0)</f>
        <v>NÃO TEM CHAPA</v>
      </c>
      <c r="R291" s="94">
        <v>45868</v>
      </c>
      <c r="S291" s="90" t="s">
        <v>218</v>
      </c>
      <c r="T291" s="90">
        <f t="shared" si="23"/>
        <v>1</v>
      </c>
      <c r="U291" s="94">
        <v>45894</v>
      </c>
      <c r="V291" s="90" t="s">
        <v>86</v>
      </c>
      <c r="W291" s="92">
        <v>2492</v>
      </c>
      <c r="X291" s="93">
        <f t="shared" si="22"/>
        <v>1</v>
      </c>
      <c r="Y291" s="92"/>
      <c r="Z291" s="92"/>
      <c r="AA291" s="13" t="str">
        <f t="shared" si="24"/>
        <v>jul/2025</v>
      </c>
    </row>
    <row r="292" spans="1:27" x14ac:dyDescent="0.25">
      <c r="A292" s="89">
        <v>291</v>
      </c>
      <c r="B292" s="68">
        <v>45856</v>
      </c>
      <c r="C292" s="40">
        <v>51</v>
      </c>
      <c r="D292" s="40">
        <f t="shared" si="20"/>
        <v>1</v>
      </c>
      <c r="E292" s="48" t="s">
        <v>130</v>
      </c>
      <c r="F292" s="17" t="s">
        <v>58</v>
      </c>
      <c r="G292" s="17" t="s">
        <v>86</v>
      </c>
      <c r="H292" s="42" t="s">
        <v>524</v>
      </c>
      <c r="I292" s="17" t="str">
        <f t="shared" si="21"/>
        <v>PN-291</v>
      </c>
      <c r="J292" s="18" t="s">
        <v>85</v>
      </c>
      <c r="K292" s="19" t="e">
        <f>IF(J292="","SEM #CH",VLOOKUP(J292,#REF!,2,0))</f>
        <v>#REF!</v>
      </c>
      <c r="L292" s="19" t="e">
        <f>IF(J292="","SEM #CH",VLOOKUP(J292,#REF!,3,0))</f>
        <v>#REF!</v>
      </c>
      <c r="M292" s="19" t="e">
        <f>IF(J292="","SEM #CH",VLOOKUP(J292,#REF!,4,0))</f>
        <v>#REF!</v>
      </c>
      <c r="N292" s="19" t="e">
        <f>IF(J292="","SEM #CH",VLOOKUP(J292,#REF!,5,0))</f>
        <v>#REF!</v>
      </c>
      <c r="O292" s="19" t="e">
        <f>IF(J292="","SEM #CH",VLOOKUP(J292,#REF!,6,0))</f>
        <v>#REF!</v>
      </c>
      <c r="P292" s="19" t="e">
        <f>IF(J292="","SEM #CH",VLOOKUP(J292,#REF!,7,0))</f>
        <v>#REF!</v>
      </c>
      <c r="Q292" s="77" t="str">
        <f>VLOOKUP(J292,'p1'!$B$2:$C$30,2,0)</f>
        <v>NÃO TEM CHAPA</v>
      </c>
      <c r="R292" s="94">
        <v>45868</v>
      </c>
      <c r="S292" s="90" t="s">
        <v>218</v>
      </c>
      <c r="T292" s="90">
        <f t="shared" si="23"/>
        <v>1</v>
      </c>
      <c r="U292" s="94">
        <v>45880</v>
      </c>
      <c r="V292" s="90" t="s">
        <v>1058</v>
      </c>
      <c r="W292" s="92">
        <v>2465</v>
      </c>
      <c r="X292" s="93">
        <f t="shared" si="22"/>
        <v>1</v>
      </c>
      <c r="Y292" s="92"/>
      <c r="Z292" s="92"/>
      <c r="AA292" s="13" t="str">
        <f t="shared" si="24"/>
        <v>jul/2025</v>
      </c>
    </row>
    <row r="293" spans="1:27" x14ac:dyDescent="0.25">
      <c r="A293" s="89">
        <v>292</v>
      </c>
      <c r="B293" s="68">
        <v>45856</v>
      </c>
      <c r="C293" s="40">
        <v>51</v>
      </c>
      <c r="D293" s="40">
        <f t="shared" si="20"/>
        <v>1</v>
      </c>
      <c r="E293" s="48" t="s">
        <v>130</v>
      </c>
      <c r="F293" s="17" t="s">
        <v>58</v>
      </c>
      <c r="G293" s="17" t="s">
        <v>86</v>
      </c>
      <c r="H293" s="42" t="s">
        <v>525</v>
      </c>
      <c r="I293" s="160" t="str">
        <f t="shared" si="21"/>
        <v>PN-292</v>
      </c>
      <c r="J293" s="18" t="s">
        <v>85</v>
      </c>
      <c r="K293" s="19" t="e">
        <f>IF(J293="","SEM #CH",VLOOKUP(J293,#REF!,2,0))</f>
        <v>#REF!</v>
      </c>
      <c r="L293" s="19" t="e">
        <f>IF(J293="","SEM #CH",VLOOKUP(J293,#REF!,3,0))</f>
        <v>#REF!</v>
      </c>
      <c r="M293" s="19" t="e">
        <f>IF(J293="","SEM #CH",VLOOKUP(J293,#REF!,4,0))</f>
        <v>#REF!</v>
      </c>
      <c r="N293" s="19" t="e">
        <f>IF(J293="","SEM #CH",VLOOKUP(J293,#REF!,5,0))</f>
        <v>#REF!</v>
      </c>
      <c r="O293" s="19" t="e">
        <f>IF(J293="","SEM #CH",VLOOKUP(J293,#REF!,6,0))</f>
        <v>#REF!</v>
      </c>
      <c r="P293" s="19" t="e">
        <f>IF(J293="","SEM #CH",VLOOKUP(J293,#REF!,7,0))</f>
        <v>#REF!</v>
      </c>
      <c r="Q293" s="77" t="str">
        <f>VLOOKUP(J293,'p1'!$B$2:$C$30,2,0)</f>
        <v>NÃO TEM CHAPA</v>
      </c>
      <c r="R293" s="90"/>
      <c r="S293" s="90" t="s">
        <v>218</v>
      </c>
      <c r="T293" s="90">
        <f t="shared" si="23"/>
        <v>0</v>
      </c>
      <c r="U293" s="90"/>
      <c r="V293" s="90"/>
      <c r="W293" s="92"/>
      <c r="X293" s="93" t="str">
        <f t="shared" si="22"/>
        <v/>
      </c>
      <c r="Y293" s="92"/>
      <c r="Z293" s="92" t="s">
        <v>1192</v>
      </c>
      <c r="AA293" s="13" t="str">
        <f t="shared" si="24"/>
        <v>jan/1900</v>
      </c>
    </row>
    <row r="294" spans="1:27" x14ac:dyDescent="0.25">
      <c r="A294" s="89">
        <v>293</v>
      </c>
      <c r="B294" s="68">
        <v>45857</v>
      </c>
      <c r="C294" s="40">
        <v>52</v>
      </c>
      <c r="D294" s="40">
        <f t="shared" si="20"/>
        <v>1</v>
      </c>
      <c r="E294" s="48" t="s">
        <v>130</v>
      </c>
      <c r="F294" s="17" t="s">
        <v>58</v>
      </c>
      <c r="G294" s="17" t="s">
        <v>86</v>
      </c>
      <c r="H294" s="42" t="s">
        <v>526</v>
      </c>
      <c r="I294" s="17" t="str">
        <f t="shared" si="21"/>
        <v>PN-293</v>
      </c>
      <c r="J294" s="18" t="s">
        <v>85</v>
      </c>
      <c r="K294" s="19" t="e">
        <f>IF(J294="","SEM #CH",VLOOKUP(J294,#REF!,2,0))</f>
        <v>#REF!</v>
      </c>
      <c r="L294" s="19" t="e">
        <f>IF(J294="","SEM #CH",VLOOKUP(J294,#REF!,3,0))</f>
        <v>#REF!</v>
      </c>
      <c r="M294" s="19" t="e">
        <f>IF(J294="","SEM #CH",VLOOKUP(J294,#REF!,4,0))</f>
        <v>#REF!</v>
      </c>
      <c r="N294" s="19" t="e">
        <f>IF(J294="","SEM #CH",VLOOKUP(J294,#REF!,5,0))</f>
        <v>#REF!</v>
      </c>
      <c r="O294" s="19" t="e">
        <f>IF(J294="","SEM #CH",VLOOKUP(J294,#REF!,6,0))</f>
        <v>#REF!</v>
      </c>
      <c r="P294" s="19" t="e">
        <f>IF(J294="","SEM #CH",VLOOKUP(J294,#REF!,7,0))</f>
        <v>#REF!</v>
      </c>
      <c r="Q294" s="77" t="str">
        <f>VLOOKUP(J294,'p1'!$B$2:$C$30,2,0)</f>
        <v>NÃO TEM CHAPA</v>
      </c>
      <c r="R294" s="94">
        <v>45915</v>
      </c>
      <c r="S294" s="90" t="s">
        <v>217</v>
      </c>
      <c r="T294" s="90">
        <f t="shared" si="23"/>
        <v>1</v>
      </c>
      <c r="U294" s="94">
        <v>45917</v>
      </c>
      <c r="V294" s="90" t="s">
        <v>86</v>
      </c>
      <c r="W294" s="92">
        <v>2532</v>
      </c>
      <c r="X294" s="93">
        <f t="shared" si="22"/>
        <v>1</v>
      </c>
      <c r="Y294" s="92"/>
      <c r="Z294" s="92"/>
      <c r="AA294" s="13" t="str">
        <f t="shared" si="24"/>
        <v>set/2025</v>
      </c>
    </row>
    <row r="295" spans="1:27" x14ac:dyDescent="0.25">
      <c r="A295" s="89">
        <v>294</v>
      </c>
      <c r="B295" s="68">
        <v>45857</v>
      </c>
      <c r="C295" s="40">
        <v>52</v>
      </c>
      <c r="D295" s="40">
        <f t="shared" si="20"/>
        <v>1</v>
      </c>
      <c r="E295" s="48" t="s">
        <v>130</v>
      </c>
      <c r="F295" s="17" t="s">
        <v>58</v>
      </c>
      <c r="G295" s="17" t="s">
        <v>86</v>
      </c>
      <c r="H295" s="42" t="s">
        <v>527</v>
      </c>
      <c r="I295" s="17" t="str">
        <f t="shared" si="21"/>
        <v>PN-294</v>
      </c>
      <c r="J295" s="18" t="s">
        <v>85</v>
      </c>
      <c r="K295" s="19" t="e">
        <f>IF(J295="","SEM #CH",VLOOKUP(J295,#REF!,2,0))</f>
        <v>#REF!</v>
      </c>
      <c r="L295" s="19" t="e">
        <f>IF(J295="","SEM #CH",VLOOKUP(J295,#REF!,3,0))</f>
        <v>#REF!</v>
      </c>
      <c r="M295" s="19" t="e">
        <f>IF(J295="","SEM #CH",VLOOKUP(J295,#REF!,4,0))</f>
        <v>#REF!</v>
      </c>
      <c r="N295" s="19" t="e">
        <f>IF(J295="","SEM #CH",VLOOKUP(J295,#REF!,5,0))</f>
        <v>#REF!</v>
      </c>
      <c r="O295" s="19" t="e">
        <f>IF(J295="","SEM #CH",VLOOKUP(J295,#REF!,6,0))</f>
        <v>#REF!</v>
      </c>
      <c r="P295" s="19" t="e">
        <f>IF(J295="","SEM #CH",VLOOKUP(J295,#REF!,7,0))</f>
        <v>#REF!</v>
      </c>
      <c r="Q295" s="77" t="str">
        <f>VLOOKUP(J295,'p1'!$B$2:$C$30,2,0)</f>
        <v>NÃO TEM CHAPA</v>
      </c>
      <c r="R295" s="94">
        <v>45915</v>
      </c>
      <c r="S295" s="90" t="s">
        <v>217</v>
      </c>
      <c r="T295" s="90">
        <f t="shared" si="23"/>
        <v>1</v>
      </c>
      <c r="U295" s="94">
        <v>45917</v>
      </c>
      <c r="V295" s="90" t="s">
        <v>86</v>
      </c>
      <c r="W295" s="92">
        <v>2532</v>
      </c>
      <c r="X295" s="93">
        <f t="shared" si="22"/>
        <v>1</v>
      </c>
      <c r="Y295" s="92"/>
      <c r="Z295" s="92"/>
      <c r="AA295" s="13" t="str">
        <f t="shared" si="24"/>
        <v>set/2025</v>
      </c>
    </row>
    <row r="296" spans="1:27" x14ac:dyDescent="0.25">
      <c r="A296" s="89">
        <v>295</v>
      </c>
      <c r="B296" s="68">
        <v>45857</v>
      </c>
      <c r="C296" s="40">
        <v>52</v>
      </c>
      <c r="D296" s="40">
        <f t="shared" si="20"/>
        <v>1</v>
      </c>
      <c r="E296" s="48" t="s">
        <v>130</v>
      </c>
      <c r="F296" s="17" t="s">
        <v>58</v>
      </c>
      <c r="G296" s="17" t="s">
        <v>86</v>
      </c>
      <c r="H296" s="42" t="s">
        <v>528</v>
      </c>
      <c r="I296" s="17" t="str">
        <f t="shared" si="21"/>
        <v>PN-295</v>
      </c>
      <c r="J296" s="18" t="s">
        <v>85</v>
      </c>
      <c r="K296" s="19" t="e">
        <f>IF(J296="","SEM #CH",VLOOKUP(J296,#REF!,2,0))</f>
        <v>#REF!</v>
      </c>
      <c r="L296" s="19" t="e">
        <f>IF(J296="","SEM #CH",VLOOKUP(J296,#REF!,3,0))</f>
        <v>#REF!</v>
      </c>
      <c r="M296" s="19" t="e">
        <f>IF(J296="","SEM #CH",VLOOKUP(J296,#REF!,4,0))</f>
        <v>#REF!</v>
      </c>
      <c r="N296" s="19" t="e">
        <f>IF(J296="","SEM #CH",VLOOKUP(J296,#REF!,5,0))</f>
        <v>#REF!</v>
      </c>
      <c r="O296" s="19" t="e">
        <f>IF(J296="","SEM #CH",VLOOKUP(J296,#REF!,6,0))</f>
        <v>#REF!</v>
      </c>
      <c r="P296" s="19" t="e">
        <f>IF(J296="","SEM #CH",VLOOKUP(J296,#REF!,7,0))</f>
        <v>#REF!</v>
      </c>
      <c r="Q296" s="77" t="str">
        <f>VLOOKUP(J296,'p1'!$B$2:$C$30,2,0)</f>
        <v>NÃO TEM CHAPA</v>
      </c>
      <c r="R296" s="94">
        <v>45915</v>
      </c>
      <c r="S296" s="90" t="s">
        <v>217</v>
      </c>
      <c r="T296" s="90">
        <f t="shared" si="23"/>
        <v>1</v>
      </c>
      <c r="U296" s="94">
        <v>45915</v>
      </c>
      <c r="V296" s="90" t="s">
        <v>86</v>
      </c>
      <c r="W296" s="92">
        <v>2523</v>
      </c>
      <c r="X296" s="93">
        <f t="shared" si="22"/>
        <v>1</v>
      </c>
      <c r="Y296" s="92"/>
      <c r="Z296" s="92"/>
      <c r="AA296" s="13" t="str">
        <f t="shared" si="24"/>
        <v>set/2025</v>
      </c>
    </row>
    <row r="297" spans="1:27" x14ac:dyDescent="0.25">
      <c r="A297" s="89">
        <v>296</v>
      </c>
      <c r="B297" s="68">
        <v>45857</v>
      </c>
      <c r="C297" s="40">
        <v>52</v>
      </c>
      <c r="D297" s="40">
        <f t="shared" si="20"/>
        <v>1</v>
      </c>
      <c r="E297" s="48" t="s">
        <v>130</v>
      </c>
      <c r="F297" s="17" t="s">
        <v>58</v>
      </c>
      <c r="G297" s="17" t="s">
        <v>86</v>
      </c>
      <c r="H297" s="42" t="s">
        <v>529</v>
      </c>
      <c r="I297" s="17" t="str">
        <f t="shared" si="21"/>
        <v>PN-296</v>
      </c>
      <c r="J297" s="18" t="s">
        <v>85</v>
      </c>
      <c r="K297" s="19" t="e">
        <f>IF(J297="","SEM #CH",VLOOKUP(J297,#REF!,2,0))</f>
        <v>#REF!</v>
      </c>
      <c r="L297" s="19" t="e">
        <f>IF(J297="","SEM #CH",VLOOKUP(J297,#REF!,3,0))</f>
        <v>#REF!</v>
      </c>
      <c r="M297" s="19" t="e">
        <f>IF(J297="","SEM #CH",VLOOKUP(J297,#REF!,4,0))</f>
        <v>#REF!</v>
      </c>
      <c r="N297" s="19" t="e">
        <f>IF(J297="","SEM #CH",VLOOKUP(J297,#REF!,5,0))</f>
        <v>#REF!</v>
      </c>
      <c r="O297" s="19" t="e">
        <f>IF(J297="","SEM #CH",VLOOKUP(J297,#REF!,6,0))</f>
        <v>#REF!</v>
      </c>
      <c r="P297" s="19" t="e">
        <f>IF(J297="","SEM #CH",VLOOKUP(J297,#REF!,7,0))</f>
        <v>#REF!</v>
      </c>
      <c r="Q297" s="77" t="str">
        <f>VLOOKUP(J297,'p1'!$B$2:$C$30,2,0)</f>
        <v>NÃO TEM CHAPA</v>
      </c>
      <c r="R297" s="94">
        <v>45915</v>
      </c>
      <c r="S297" s="90" t="s">
        <v>217</v>
      </c>
      <c r="T297" s="90">
        <f t="shared" si="23"/>
        <v>1</v>
      </c>
      <c r="U297" s="94">
        <v>45915</v>
      </c>
      <c r="V297" s="90" t="s">
        <v>86</v>
      </c>
      <c r="W297" s="92">
        <v>2523</v>
      </c>
      <c r="X297" s="93">
        <f t="shared" si="22"/>
        <v>1</v>
      </c>
      <c r="Y297" s="92"/>
      <c r="Z297" s="92"/>
      <c r="AA297" s="13" t="str">
        <f t="shared" si="24"/>
        <v>set/2025</v>
      </c>
    </row>
    <row r="298" spans="1:27" x14ac:dyDescent="0.25">
      <c r="A298" s="89">
        <v>297</v>
      </c>
      <c r="B298" s="68">
        <v>45857</v>
      </c>
      <c r="C298" s="40">
        <v>52</v>
      </c>
      <c r="D298" s="40">
        <f t="shared" si="20"/>
        <v>1</v>
      </c>
      <c r="E298" s="48" t="s">
        <v>130</v>
      </c>
      <c r="F298" s="17" t="s">
        <v>58</v>
      </c>
      <c r="G298" s="17" t="s">
        <v>86</v>
      </c>
      <c r="H298" s="42" t="s">
        <v>530</v>
      </c>
      <c r="I298" s="17" t="str">
        <f t="shared" si="21"/>
        <v>PN-297</v>
      </c>
      <c r="J298" s="18" t="s">
        <v>85</v>
      </c>
      <c r="K298" s="19" t="e">
        <f>IF(J298="","SEM #CH",VLOOKUP(J298,#REF!,2,0))</f>
        <v>#REF!</v>
      </c>
      <c r="L298" s="19" t="e">
        <f>IF(J298="","SEM #CH",VLOOKUP(J298,#REF!,3,0))</f>
        <v>#REF!</v>
      </c>
      <c r="M298" s="19" t="e">
        <f>IF(J298="","SEM #CH",VLOOKUP(J298,#REF!,4,0))</f>
        <v>#REF!</v>
      </c>
      <c r="N298" s="19" t="e">
        <f>IF(J298="","SEM #CH",VLOOKUP(J298,#REF!,5,0))</f>
        <v>#REF!</v>
      </c>
      <c r="O298" s="19" t="e">
        <f>IF(J298="","SEM #CH",VLOOKUP(J298,#REF!,6,0))</f>
        <v>#REF!</v>
      </c>
      <c r="P298" s="19" t="e">
        <f>IF(J298="","SEM #CH",VLOOKUP(J298,#REF!,7,0))</f>
        <v>#REF!</v>
      </c>
      <c r="Q298" s="77" t="str">
        <f>VLOOKUP(J298,'p1'!$B$2:$C$30,2,0)</f>
        <v>NÃO TEM CHAPA</v>
      </c>
      <c r="R298" s="94">
        <v>45913</v>
      </c>
      <c r="S298" s="90" t="s">
        <v>217</v>
      </c>
      <c r="T298" s="90">
        <f t="shared" si="23"/>
        <v>1</v>
      </c>
      <c r="U298" s="94">
        <v>45916</v>
      </c>
      <c r="V298" s="90" t="s">
        <v>86</v>
      </c>
      <c r="W298" s="92">
        <v>2524</v>
      </c>
      <c r="X298" s="93">
        <f t="shared" si="22"/>
        <v>1</v>
      </c>
      <c r="Y298" s="92"/>
      <c r="Z298" s="92"/>
      <c r="AA298" s="13" t="str">
        <f t="shared" si="24"/>
        <v>set/2025</v>
      </c>
    </row>
    <row r="299" spans="1:27" x14ac:dyDescent="0.25">
      <c r="A299" s="89">
        <v>298</v>
      </c>
      <c r="B299" s="68">
        <v>45857</v>
      </c>
      <c r="C299" s="40">
        <v>52</v>
      </c>
      <c r="D299" s="40">
        <f t="shared" si="20"/>
        <v>1</v>
      </c>
      <c r="E299" s="48" t="s">
        <v>130</v>
      </c>
      <c r="F299" s="17" t="s">
        <v>58</v>
      </c>
      <c r="G299" s="17" t="s">
        <v>86</v>
      </c>
      <c r="H299" s="42" t="s">
        <v>531</v>
      </c>
      <c r="I299" s="17" t="str">
        <f t="shared" si="21"/>
        <v>PN-298</v>
      </c>
      <c r="J299" s="18" t="s">
        <v>85</v>
      </c>
      <c r="K299" s="19" t="e">
        <f>IF(J299="","SEM #CH",VLOOKUP(J299,#REF!,2,0))</f>
        <v>#REF!</v>
      </c>
      <c r="L299" s="19" t="e">
        <f>IF(J299="","SEM #CH",VLOOKUP(J299,#REF!,3,0))</f>
        <v>#REF!</v>
      </c>
      <c r="M299" s="19" t="e">
        <f>IF(J299="","SEM #CH",VLOOKUP(J299,#REF!,4,0))</f>
        <v>#REF!</v>
      </c>
      <c r="N299" s="19" t="e">
        <f>IF(J299="","SEM #CH",VLOOKUP(J299,#REF!,5,0))</f>
        <v>#REF!</v>
      </c>
      <c r="O299" s="19" t="e">
        <f>IF(J299="","SEM #CH",VLOOKUP(J299,#REF!,6,0))</f>
        <v>#REF!</v>
      </c>
      <c r="P299" s="19" t="e">
        <f>IF(J299="","SEM #CH",VLOOKUP(J299,#REF!,7,0))</f>
        <v>#REF!</v>
      </c>
      <c r="Q299" s="77" t="str">
        <f>VLOOKUP(J299,'p1'!$B$2:$C$30,2,0)</f>
        <v>NÃO TEM CHAPA</v>
      </c>
      <c r="R299" s="94">
        <v>45913</v>
      </c>
      <c r="S299" s="90" t="s">
        <v>217</v>
      </c>
      <c r="T299" s="90">
        <f t="shared" si="23"/>
        <v>1</v>
      </c>
      <c r="U299" s="94">
        <v>45916</v>
      </c>
      <c r="V299" s="90" t="s">
        <v>86</v>
      </c>
      <c r="W299" s="92">
        <v>2524</v>
      </c>
      <c r="X299" s="93">
        <f t="shared" si="22"/>
        <v>1</v>
      </c>
      <c r="Y299" s="92"/>
      <c r="Z299" s="92"/>
      <c r="AA299" s="13" t="str">
        <f t="shared" si="24"/>
        <v>set/2025</v>
      </c>
    </row>
    <row r="300" spans="1:27" x14ac:dyDescent="0.25">
      <c r="A300" s="89">
        <v>299</v>
      </c>
      <c r="B300" s="68">
        <v>45857</v>
      </c>
      <c r="C300" s="40">
        <v>52</v>
      </c>
      <c r="D300" s="40">
        <f t="shared" si="20"/>
        <v>1</v>
      </c>
      <c r="E300" s="48" t="s">
        <v>130</v>
      </c>
      <c r="F300" s="17" t="s">
        <v>58</v>
      </c>
      <c r="G300" s="17" t="s">
        <v>86</v>
      </c>
      <c r="H300" s="42" t="s">
        <v>532</v>
      </c>
      <c r="I300" s="17" t="str">
        <f t="shared" si="21"/>
        <v>PN-299</v>
      </c>
      <c r="J300" s="18" t="s">
        <v>85</v>
      </c>
      <c r="K300" s="19" t="e">
        <f>IF(J300="","SEM #CH",VLOOKUP(J300,#REF!,2,0))</f>
        <v>#REF!</v>
      </c>
      <c r="L300" s="19" t="e">
        <f>IF(J300="","SEM #CH",VLOOKUP(J300,#REF!,3,0))</f>
        <v>#REF!</v>
      </c>
      <c r="M300" s="19" t="e">
        <f>IF(J300="","SEM #CH",VLOOKUP(J300,#REF!,4,0))</f>
        <v>#REF!</v>
      </c>
      <c r="N300" s="19" t="e">
        <f>IF(J300="","SEM #CH",VLOOKUP(J300,#REF!,5,0))</f>
        <v>#REF!</v>
      </c>
      <c r="O300" s="19" t="e">
        <f>IF(J300="","SEM #CH",VLOOKUP(J300,#REF!,6,0))</f>
        <v>#REF!</v>
      </c>
      <c r="P300" s="19" t="e">
        <f>IF(J300="","SEM #CH",VLOOKUP(J300,#REF!,7,0))</f>
        <v>#REF!</v>
      </c>
      <c r="Q300" s="77" t="str">
        <f>VLOOKUP(J300,'p1'!$B$2:$C$30,2,0)</f>
        <v>NÃO TEM CHAPA</v>
      </c>
      <c r="R300" s="94">
        <v>45912</v>
      </c>
      <c r="S300" s="90" t="s">
        <v>217</v>
      </c>
      <c r="T300" s="90">
        <f t="shared" si="23"/>
        <v>1</v>
      </c>
      <c r="U300" s="94">
        <v>45916</v>
      </c>
      <c r="V300" s="90" t="s">
        <v>86</v>
      </c>
      <c r="W300" s="92">
        <v>2524</v>
      </c>
      <c r="X300" s="93">
        <f t="shared" si="22"/>
        <v>1</v>
      </c>
      <c r="Y300" s="92"/>
      <c r="Z300" s="92"/>
      <c r="AA300" s="13" t="str">
        <f t="shared" si="24"/>
        <v>set/2025</v>
      </c>
    </row>
    <row r="301" spans="1:27" x14ac:dyDescent="0.25">
      <c r="A301" s="89">
        <v>300</v>
      </c>
      <c r="B301" s="68">
        <v>45860</v>
      </c>
      <c r="C301" s="40">
        <v>54</v>
      </c>
      <c r="D301" s="40">
        <f t="shared" si="20"/>
        <v>1</v>
      </c>
      <c r="E301" s="48" t="s">
        <v>130</v>
      </c>
      <c r="F301" s="17" t="s">
        <v>58</v>
      </c>
      <c r="G301" s="17" t="s">
        <v>86</v>
      </c>
      <c r="H301" s="42" t="s">
        <v>533</v>
      </c>
      <c r="I301" s="17" t="str">
        <f t="shared" si="21"/>
        <v>PN-300</v>
      </c>
      <c r="J301" s="18" t="s">
        <v>85</v>
      </c>
      <c r="K301" s="19" t="e">
        <f>IF(J301="","SEM #CH",VLOOKUP(J301,#REF!,2,0))</f>
        <v>#REF!</v>
      </c>
      <c r="L301" s="19" t="e">
        <f>IF(J301="","SEM #CH",VLOOKUP(J301,#REF!,3,0))</f>
        <v>#REF!</v>
      </c>
      <c r="M301" s="19" t="e">
        <f>IF(J301="","SEM #CH",VLOOKUP(J301,#REF!,4,0))</f>
        <v>#REF!</v>
      </c>
      <c r="N301" s="19" t="e">
        <f>IF(J301="","SEM #CH",VLOOKUP(J301,#REF!,5,0))</f>
        <v>#REF!</v>
      </c>
      <c r="O301" s="19" t="e">
        <f>IF(J301="","SEM #CH",VLOOKUP(J301,#REF!,6,0))</f>
        <v>#REF!</v>
      </c>
      <c r="P301" s="19" t="e">
        <f>IF(J301="","SEM #CH",VLOOKUP(J301,#REF!,7,0))</f>
        <v>#REF!</v>
      </c>
      <c r="Q301" s="77" t="str">
        <f>VLOOKUP(J301,'p1'!$B$2:$C$30,2,0)</f>
        <v>NÃO TEM CHAPA</v>
      </c>
      <c r="R301" s="94">
        <v>45897</v>
      </c>
      <c r="S301" s="90" t="s">
        <v>218</v>
      </c>
      <c r="T301" s="90">
        <f t="shared" si="23"/>
        <v>1</v>
      </c>
      <c r="U301" s="94">
        <v>45910</v>
      </c>
      <c r="V301" s="90" t="s">
        <v>86</v>
      </c>
      <c r="W301" s="92">
        <v>2516</v>
      </c>
      <c r="X301" s="93">
        <f t="shared" si="22"/>
        <v>1</v>
      </c>
      <c r="Y301" s="92"/>
      <c r="Z301" s="92"/>
      <c r="AA301" s="13" t="str">
        <f t="shared" si="24"/>
        <v>ago/2025</v>
      </c>
    </row>
    <row r="302" spans="1:27" x14ac:dyDescent="0.25">
      <c r="A302" s="89">
        <v>301</v>
      </c>
      <c r="B302" s="68">
        <v>45860</v>
      </c>
      <c r="C302" s="40">
        <v>54</v>
      </c>
      <c r="D302" s="40">
        <f t="shared" si="20"/>
        <v>1</v>
      </c>
      <c r="E302" s="48" t="s">
        <v>130</v>
      </c>
      <c r="F302" s="17" t="s">
        <v>58</v>
      </c>
      <c r="G302" s="17" t="s">
        <v>86</v>
      </c>
      <c r="H302" s="42" t="s">
        <v>534</v>
      </c>
      <c r="I302" s="17" t="str">
        <f t="shared" si="21"/>
        <v>PN-301</v>
      </c>
      <c r="J302" s="18" t="s">
        <v>85</v>
      </c>
      <c r="K302" s="19" t="e">
        <f>IF(J302="","SEM #CH",VLOOKUP(J302,#REF!,2,0))</f>
        <v>#REF!</v>
      </c>
      <c r="L302" s="19" t="e">
        <f>IF(J302="","SEM #CH",VLOOKUP(J302,#REF!,3,0))</f>
        <v>#REF!</v>
      </c>
      <c r="M302" s="19" t="e">
        <f>IF(J302="","SEM #CH",VLOOKUP(J302,#REF!,4,0))</f>
        <v>#REF!</v>
      </c>
      <c r="N302" s="19" t="e">
        <f>IF(J302="","SEM #CH",VLOOKUP(J302,#REF!,5,0))</f>
        <v>#REF!</v>
      </c>
      <c r="O302" s="19" t="e">
        <f>IF(J302="","SEM #CH",VLOOKUP(J302,#REF!,6,0))</f>
        <v>#REF!</v>
      </c>
      <c r="P302" s="19" t="e">
        <f>IF(J302="","SEM #CH",VLOOKUP(J302,#REF!,7,0))</f>
        <v>#REF!</v>
      </c>
      <c r="Q302" s="77" t="str">
        <f>VLOOKUP(J302,'p1'!$B$2:$C$30,2,0)</f>
        <v>NÃO TEM CHAPA</v>
      </c>
      <c r="R302" s="94">
        <v>45883</v>
      </c>
      <c r="S302" s="90" t="s">
        <v>218</v>
      </c>
      <c r="T302" s="90">
        <f t="shared" si="23"/>
        <v>1</v>
      </c>
      <c r="U302" s="94">
        <v>45891</v>
      </c>
      <c r="V302" s="90" t="s">
        <v>86</v>
      </c>
      <c r="W302" s="92">
        <v>2486</v>
      </c>
      <c r="X302" s="93">
        <f t="shared" si="22"/>
        <v>1</v>
      </c>
      <c r="Y302" s="92"/>
      <c r="Z302" s="92"/>
      <c r="AA302" s="13" t="str">
        <f t="shared" si="24"/>
        <v>ago/2025</v>
      </c>
    </row>
    <row r="303" spans="1:27" x14ac:dyDescent="0.25">
      <c r="A303" s="89">
        <v>302</v>
      </c>
      <c r="B303" s="68">
        <v>45850</v>
      </c>
      <c r="C303" s="40">
        <v>47</v>
      </c>
      <c r="D303" s="40">
        <f t="shared" si="20"/>
        <v>1</v>
      </c>
      <c r="E303" s="48" t="s">
        <v>130</v>
      </c>
      <c r="F303" s="17" t="s">
        <v>60</v>
      </c>
      <c r="G303" s="17" t="s">
        <v>86</v>
      </c>
      <c r="H303" s="42" t="s">
        <v>535</v>
      </c>
      <c r="I303" s="17" t="str">
        <f t="shared" si="21"/>
        <v>PE-302</v>
      </c>
      <c r="J303" s="18" t="s">
        <v>90</v>
      </c>
      <c r="K303" s="19" t="e">
        <f>IF(J303="","SEM #CH",VLOOKUP(J303,#REF!,2,0))</f>
        <v>#REF!</v>
      </c>
      <c r="L303" s="19" t="e">
        <f>IF(J303="","SEM #CH",VLOOKUP(J303,#REF!,3,0))</f>
        <v>#REF!</v>
      </c>
      <c r="M303" s="19" t="e">
        <f>IF(J303="","SEM #CH",VLOOKUP(J303,#REF!,4,0))</f>
        <v>#REF!</v>
      </c>
      <c r="N303" s="19" t="e">
        <f>IF(J303="","SEM #CH",VLOOKUP(J303,#REF!,5,0))</f>
        <v>#REF!</v>
      </c>
      <c r="O303" s="19" t="e">
        <f>IF(J303="","SEM #CH",VLOOKUP(J303,#REF!,6,0))</f>
        <v>#REF!</v>
      </c>
      <c r="P303" s="19" t="e">
        <f>IF(J303="","SEM #CH",VLOOKUP(J303,#REF!,7,0))</f>
        <v>#REF!</v>
      </c>
      <c r="Q303" s="77" t="str">
        <f>VLOOKUP(J303,'p1'!$B$2:$C$30,2,0)</f>
        <v>#3/8-530X530</v>
      </c>
      <c r="R303" s="94">
        <v>45882</v>
      </c>
      <c r="S303" s="90" t="s">
        <v>217</v>
      </c>
      <c r="T303" s="90">
        <f t="shared" si="23"/>
        <v>1</v>
      </c>
      <c r="U303" s="94">
        <v>45902</v>
      </c>
      <c r="V303" s="90" t="s">
        <v>86</v>
      </c>
      <c r="W303" s="92">
        <v>2503</v>
      </c>
      <c r="X303" s="93">
        <f t="shared" si="22"/>
        <v>1</v>
      </c>
      <c r="Y303" s="92"/>
      <c r="Z303" s="92"/>
      <c r="AA303" s="13" t="str">
        <f t="shared" si="24"/>
        <v>ago/2025</v>
      </c>
    </row>
    <row r="304" spans="1:27" x14ac:dyDescent="0.25">
      <c r="A304" s="89">
        <v>303</v>
      </c>
      <c r="B304" s="68">
        <v>45873</v>
      </c>
      <c r="C304" s="40">
        <v>63</v>
      </c>
      <c r="D304" s="40">
        <f t="shared" si="20"/>
        <v>1</v>
      </c>
      <c r="E304" s="48" t="s">
        <v>130</v>
      </c>
      <c r="F304" s="17" t="s">
        <v>60</v>
      </c>
      <c r="G304" s="17" t="s">
        <v>86</v>
      </c>
      <c r="H304" s="42" t="s">
        <v>536</v>
      </c>
      <c r="I304" s="17" t="str">
        <f t="shared" si="21"/>
        <v>PE-303</v>
      </c>
      <c r="J304" s="18" t="s">
        <v>89</v>
      </c>
      <c r="K304" s="19" t="e">
        <f>IF(J304="","SEM #CH",VLOOKUP(J304,#REF!,2,0))</f>
        <v>#REF!</v>
      </c>
      <c r="L304" s="19" t="e">
        <f>IF(J304="","SEM #CH",VLOOKUP(J304,#REF!,3,0))</f>
        <v>#REF!</v>
      </c>
      <c r="M304" s="19" t="e">
        <f>IF(J304="","SEM #CH",VLOOKUP(J304,#REF!,4,0))</f>
        <v>#REF!</v>
      </c>
      <c r="N304" s="19" t="e">
        <f>IF(J304="","SEM #CH",VLOOKUP(J304,#REF!,5,0))</f>
        <v>#REF!</v>
      </c>
      <c r="O304" s="19" t="e">
        <f>IF(J304="","SEM #CH",VLOOKUP(J304,#REF!,6,0))</f>
        <v>#REF!</v>
      </c>
      <c r="P304" s="19" t="e">
        <f>IF(J304="","SEM #CH",VLOOKUP(J304,#REF!,7,0))</f>
        <v>#REF!</v>
      </c>
      <c r="Q304" s="77" t="str">
        <f>VLOOKUP(J304,'p1'!$B$2:$C$30,2,0)</f>
        <v>#3/8-1200X1200</v>
      </c>
      <c r="R304" s="94">
        <v>45892</v>
      </c>
      <c r="S304" s="90" t="s">
        <v>217</v>
      </c>
      <c r="T304" s="90">
        <f t="shared" si="23"/>
        <v>1</v>
      </c>
      <c r="U304" s="94">
        <v>45896</v>
      </c>
      <c r="V304" s="90" t="s">
        <v>86</v>
      </c>
      <c r="W304" s="92">
        <v>2496</v>
      </c>
      <c r="X304" s="93">
        <f t="shared" si="22"/>
        <v>1</v>
      </c>
      <c r="Y304" s="92"/>
      <c r="Z304" s="92"/>
      <c r="AA304" s="13" t="str">
        <f t="shared" si="24"/>
        <v>ago/2025</v>
      </c>
    </row>
    <row r="305" spans="1:27" x14ac:dyDescent="0.25">
      <c r="A305" s="89">
        <v>304</v>
      </c>
      <c r="B305" s="68">
        <v>45892</v>
      </c>
      <c r="C305" s="40">
        <v>76</v>
      </c>
      <c r="D305" s="40">
        <f t="shared" si="20"/>
        <v>1</v>
      </c>
      <c r="E305" s="48" t="s">
        <v>130</v>
      </c>
      <c r="F305" s="17" t="s">
        <v>60</v>
      </c>
      <c r="G305" s="17" t="s">
        <v>86</v>
      </c>
      <c r="H305" s="42" t="s">
        <v>537</v>
      </c>
      <c r="I305" s="17" t="str">
        <f t="shared" si="21"/>
        <v>PE-304</v>
      </c>
      <c r="J305" s="18" t="s">
        <v>87</v>
      </c>
      <c r="K305" s="19" t="e">
        <f>IF(J305="","SEM #CH",VLOOKUP(J305,#REF!,2,0))</f>
        <v>#REF!</v>
      </c>
      <c r="L305" s="19" t="e">
        <f>IF(J305="","SEM #CH",VLOOKUP(J305,#REF!,3,0))</f>
        <v>#REF!</v>
      </c>
      <c r="M305" s="19" t="e">
        <f>IF(J305="","SEM #CH",VLOOKUP(J305,#REF!,4,0))</f>
        <v>#REF!</v>
      </c>
      <c r="N305" s="19" t="e">
        <f>IF(J305="","SEM #CH",VLOOKUP(J305,#REF!,5,0))</f>
        <v>#REF!</v>
      </c>
      <c r="O305" s="19" t="e">
        <f>IF(J305="","SEM #CH",VLOOKUP(J305,#REF!,6,0))</f>
        <v>#REF!</v>
      </c>
      <c r="P305" s="19" t="e">
        <f>IF(J305="","SEM #CH",VLOOKUP(J305,#REF!,7,0))</f>
        <v>#REF!</v>
      </c>
      <c r="Q305" s="77" t="str">
        <f>VLOOKUP(J305,'p1'!$B$2:$C$30,2,0)</f>
        <v>#3/8-1620X1620</v>
      </c>
      <c r="R305" s="94">
        <v>45895</v>
      </c>
      <c r="S305" s="90" t="s">
        <v>217</v>
      </c>
      <c r="T305" s="90">
        <f t="shared" si="23"/>
        <v>1</v>
      </c>
      <c r="U305" s="94">
        <v>45896</v>
      </c>
      <c r="V305" s="90" t="s">
        <v>86</v>
      </c>
      <c r="W305" s="92">
        <v>2496</v>
      </c>
      <c r="X305" s="93">
        <f t="shared" si="22"/>
        <v>1</v>
      </c>
      <c r="Y305" s="92"/>
      <c r="Z305" s="92"/>
      <c r="AA305" s="13" t="str">
        <f t="shared" si="24"/>
        <v>ago/2025</v>
      </c>
    </row>
    <row r="306" spans="1:27" x14ac:dyDescent="0.25">
      <c r="A306" s="89">
        <v>305</v>
      </c>
      <c r="B306" s="68">
        <v>45889</v>
      </c>
      <c r="C306" s="40">
        <v>74</v>
      </c>
      <c r="D306" s="40">
        <f t="shared" si="20"/>
        <v>1</v>
      </c>
      <c r="E306" s="48" t="s">
        <v>130</v>
      </c>
      <c r="F306" s="17" t="s">
        <v>60</v>
      </c>
      <c r="G306" s="17" t="s">
        <v>86</v>
      </c>
      <c r="H306" s="42" t="s">
        <v>538</v>
      </c>
      <c r="I306" s="17" t="str">
        <f t="shared" si="21"/>
        <v>PE-305</v>
      </c>
      <c r="J306" s="18" t="s">
        <v>88</v>
      </c>
      <c r="K306" s="19" t="e">
        <f>IF(J306="","SEM #CH",VLOOKUP(J306,#REF!,2,0))</f>
        <v>#REF!</v>
      </c>
      <c r="L306" s="19" t="e">
        <f>IF(J306="","SEM #CH",VLOOKUP(J306,#REF!,3,0))</f>
        <v>#REF!</v>
      </c>
      <c r="M306" s="19" t="e">
        <f>IF(J306="","SEM #CH",VLOOKUP(J306,#REF!,4,0))</f>
        <v>#REF!</v>
      </c>
      <c r="N306" s="19" t="e">
        <f>IF(J306="","SEM #CH",VLOOKUP(J306,#REF!,5,0))</f>
        <v>#REF!</v>
      </c>
      <c r="O306" s="19" t="e">
        <f>IF(J306="","SEM #CH",VLOOKUP(J306,#REF!,6,0))</f>
        <v>#REF!</v>
      </c>
      <c r="P306" s="19" t="e">
        <f>IF(J306="","SEM #CH",VLOOKUP(J306,#REF!,7,0))</f>
        <v>#REF!</v>
      </c>
      <c r="Q306" s="77" t="str">
        <f>VLOOKUP(J306,'p1'!$B$2:$C$30,2,0)</f>
        <v>#3/8-1315X1315</v>
      </c>
      <c r="R306" s="94">
        <v>45892</v>
      </c>
      <c r="S306" s="90" t="s">
        <v>217</v>
      </c>
      <c r="T306" s="90">
        <f t="shared" si="23"/>
        <v>1</v>
      </c>
      <c r="U306" s="94">
        <v>45894</v>
      </c>
      <c r="V306" s="90" t="s">
        <v>86</v>
      </c>
      <c r="W306" s="92">
        <v>2489</v>
      </c>
      <c r="X306" s="93">
        <f t="shared" si="22"/>
        <v>1</v>
      </c>
      <c r="Y306" s="92"/>
      <c r="Z306" s="92"/>
      <c r="AA306" s="13" t="str">
        <f t="shared" si="24"/>
        <v>ago/2025</v>
      </c>
    </row>
    <row r="307" spans="1:27" x14ac:dyDescent="0.25">
      <c r="A307" s="89">
        <v>306</v>
      </c>
      <c r="B307" s="68">
        <v>45860</v>
      </c>
      <c r="C307" s="40">
        <v>54</v>
      </c>
      <c r="D307" s="40">
        <f t="shared" si="20"/>
        <v>1</v>
      </c>
      <c r="E307" s="48" t="s">
        <v>130</v>
      </c>
      <c r="F307" s="17" t="s">
        <v>58</v>
      </c>
      <c r="G307" s="17" t="s">
        <v>86</v>
      </c>
      <c r="H307" s="42" t="s">
        <v>539</v>
      </c>
      <c r="I307" s="17" t="str">
        <f t="shared" si="21"/>
        <v>PN-306</v>
      </c>
      <c r="J307" s="18" t="s">
        <v>85</v>
      </c>
      <c r="K307" s="19" t="e">
        <f>IF(J307="","SEM #CH",VLOOKUP(J307,#REF!,2,0))</f>
        <v>#REF!</v>
      </c>
      <c r="L307" s="19" t="e">
        <f>IF(J307="","SEM #CH",VLOOKUP(J307,#REF!,3,0))</f>
        <v>#REF!</v>
      </c>
      <c r="M307" s="19" t="e">
        <f>IF(J307="","SEM #CH",VLOOKUP(J307,#REF!,4,0))</f>
        <v>#REF!</v>
      </c>
      <c r="N307" s="19" t="e">
        <f>IF(J307="","SEM #CH",VLOOKUP(J307,#REF!,5,0))</f>
        <v>#REF!</v>
      </c>
      <c r="O307" s="19" t="e">
        <f>IF(J307="","SEM #CH",VLOOKUP(J307,#REF!,6,0))</f>
        <v>#REF!</v>
      </c>
      <c r="P307" s="19" t="e">
        <f>IF(J307="","SEM #CH",VLOOKUP(J307,#REF!,7,0))</f>
        <v>#REF!</v>
      </c>
      <c r="Q307" s="77" t="str">
        <f>VLOOKUP(J307,'p1'!$B$2:$C$30,2,0)</f>
        <v>NÃO TEM CHAPA</v>
      </c>
      <c r="R307" s="94">
        <v>45883</v>
      </c>
      <c r="S307" s="90" t="s">
        <v>218</v>
      </c>
      <c r="T307" s="90">
        <f t="shared" si="23"/>
        <v>1</v>
      </c>
      <c r="U307" s="94">
        <v>45891</v>
      </c>
      <c r="V307" s="90" t="s">
        <v>86</v>
      </c>
      <c r="W307" s="92">
        <v>2486</v>
      </c>
      <c r="X307" s="93">
        <f t="shared" si="22"/>
        <v>1</v>
      </c>
      <c r="Y307" s="92"/>
      <c r="Z307" s="92"/>
      <c r="AA307" s="13" t="str">
        <f t="shared" si="24"/>
        <v>ago/2025</v>
      </c>
    </row>
    <row r="308" spans="1:27" x14ac:dyDescent="0.25">
      <c r="A308" s="89">
        <v>307</v>
      </c>
      <c r="B308" s="68">
        <v>45860</v>
      </c>
      <c r="C308" s="40">
        <v>54</v>
      </c>
      <c r="D308" s="40">
        <f t="shared" si="20"/>
        <v>1</v>
      </c>
      <c r="E308" s="48" t="s">
        <v>130</v>
      </c>
      <c r="F308" s="17" t="s">
        <v>58</v>
      </c>
      <c r="G308" s="17" t="s">
        <v>86</v>
      </c>
      <c r="H308" s="42" t="s">
        <v>540</v>
      </c>
      <c r="I308" s="17" t="str">
        <f t="shared" si="21"/>
        <v>PN-307</v>
      </c>
      <c r="J308" s="18" t="s">
        <v>85</v>
      </c>
      <c r="K308" s="19" t="e">
        <f>IF(J308="","SEM #CH",VLOOKUP(J308,#REF!,2,0))</f>
        <v>#REF!</v>
      </c>
      <c r="L308" s="19" t="e">
        <f>IF(J308="","SEM #CH",VLOOKUP(J308,#REF!,3,0))</f>
        <v>#REF!</v>
      </c>
      <c r="M308" s="19" t="e">
        <f>IF(J308="","SEM #CH",VLOOKUP(J308,#REF!,4,0))</f>
        <v>#REF!</v>
      </c>
      <c r="N308" s="19" t="e">
        <f>IF(J308="","SEM #CH",VLOOKUP(J308,#REF!,5,0))</f>
        <v>#REF!</v>
      </c>
      <c r="O308" s="19" t="e">
        <f>IF(J308="","SEM #CH",VLOOKUP(J308,#REF!,6,0))</f>
        <v>#REF!</v>
      </c>
      <c r="P308" s="19" t="e">
        <f>IF(J308="","SEM #CH",VLOOKUP(J308,#REF!,7,0))</f>
        <v>#REF!</v>
      </c>
      <c r="Q308" s="77" t="str">
        <f>VLOOKUP(J308,'p1'!$B$2:$C$30,2,0)</f>
        <v>NÃO TEM CHAPA</v>
      </c>
      <c r="R308" s="94">
        <v>45882</v>
      </c>
      <c r="S308" s="90" t="s">
        <v>218</v>
      </c>
      <c r="T308" s="90">
        <f t="shared" si="23"/>
        <v>1</v>
      </c>
      <c r="U308" s="94">
        <v>45882</v>
      </c>
      <c r="V308" s="90" t="s">
        <v>1095</v>
      </c>
      <c r="W308" s="92">
        <v>2471</v>
      </c>
      <c r="X308" s="93">
        <f t="shared" si="22"/>
        <v>1</v>
      </c>
      <c r="Y308" s="92"/>
      <c r="Z308" s="92"/>
      <c r="AA308" s="13" t="str">
        <f t="shared" si="24"/>
        <v>ago/2025</v>
      </c>
    </row>
    <row r="309" spans="1:27" x14ac:dyDescent="0.25">
      <c r="A309" s="89">
        <v>308</v>
      </c>
      <c r="B309" s="68">
        <v>45860</v>
      </c>
      <c r="C309" s="40">
        <v>54</v>
      </c>
      <c r="D309" s="40">
        <f t="shared" si="20"/>
        <v>1</v>
      </c>
      <c r="E309" s="48" t="s">
        <v>130</v>
      </c>
      <c r="F309" s="17" t="s">
        <v>58</v>
      </c>
      <c r="G309" s="17" t="s">
        <v>86</v>
      </c>
      <c r="H309" s="42" t="s">
        <v>541</v>
      </c>
      <c r="I309" s="17" t="str">
        <f t="shared" si="21"/>
        <v>PN-308</v>
      </c>
      <c r="J309" s="18" t="s">
        <v>85</v>
      </c>
      <c r="K309" s="19" t="e">
        <f>IF(J309="","SEM #CH",VLOOKUP(J309,#REF!,2,0))</f>
        <v>#REF!</v>
      </c>
      <c r="L309" s="19" t="e">
        <f>IF(J309="","SEM #CH",VLOOKUP(J309,#REF!,3,0))</f>
        <v>#REF!</v>
      </c>
      <c r="M309" s="19" t="e">
        <f>IF(J309="","SEM #CH",VLOOKUP(J309,#REF!,4,0))</f>
        <v>#REF!</v>
      </c>
      <c r="N309" s="19" t="e">
        <f>IF(J309="","SEM #CH",VLOOKUP(J309,#REF!,5,0))</f>
        <v>#REF!</v>
      </c>
      <c r="O309" s="19" t="e">
        <f>IF(J309="","SEM #CH",VLOOKUP(J309,#REF!,6,0))</f>
        <v>#REF!</v>
      </c>
      <c r="P309" s="19" t="e">
        <f>IF(J309="","SEM #CH",VLOOKUP(J309,#REF!,7,0))</f>
        <v>#REF!</v>
      </c>
      <c r="Q309" s="77" t="str">
        <f>VLOOKUP(J309,'p1'!$B$2:$C$30,2,0)</f>
        <v>NÃO TEM CHAPA</v>
      </c>
      <c r="R309" s="94">
        <v>45882</v>
      </c>
      <c r="S309" s="90" t="s">
        <v>218</v>
      </c>
      <c r="T309" s="90">
        <f t="shared" si="23"/>
        <v>1</v>
      </c>
      <c r="U309" s="94">
        <v>45882</v>
      </c>
      <c r="V309" s="90" t="s">
        <v>1095</v>
      </c>
      <c r="W309" s="92">
        <v>2471</v>
      </c>
      <c r="X309" s="93">
        <f t="shared" si="22"/>
        <v>1</v>
      </c>
      <c r="Y309" s="92"/>
      <c r="Z309" s="92"/>
      <c r="AA309" s="13" t="str">
        <f t="shared" si="24"/>
        <v>ago/2025</v>
      </c>
    </row>
    <row r="310" spans="1:27" x14ac:dyDescent="0.25">
      <c r="A310" s="89">
        <v>309</v>
      </c>
      <c r="B310" s="68">
        <v>45860</v>
      </c>
      <c r="C310" s="40">
        <v>54</v>
      </c>
      <c r="D310" s="40">
        <f t="shared" si="20"/>
        <v>1</v>
      </c>
      <c r="E310" s="48" t="s">
        <v>130</v>
      </c>
      <c r="F310" s="17" t="s">
        <v>58</v>
      </c>
      <c r="G310" s="17" t="s">
        <v>86</v>
      </c>
      <c r="H310" s="42" t="s">
        <v>542</v>
      </c>
      <c r="I310" s="17" t="str">
        <f t="shared" si="21"/>
        <v>PN-309</v>
      </c>
      <c r="J310" s="18" t="s">
        <v>85</v>
      </c>
      <c r="K310" s="19" t="e">
        <f>IF(J310="","SEM #CH",VLOOKUP(J310,#REF!,2,0))</f>
        <v>#REF!</v>
      </c>
      <c r="L310" s="19" t="e">
        <f>IF(J310="","SEM #CH",VLOOKUP(J310,#REF!,3,0))</f>
        <v>#REF!</v>
      </c>
      <c r="M310" s="19" t="e">
        <f>IF(J310="","SEM #CH",VLOOKUP(J310,#REF!,4,0))</f>
        <v>#REF!</v>
      </c>
      <c r="N310" s="19" t="e">
        <f>IF(J310="","SEM #CH",VLOOKUP(J310,#REF!,5,0))</f>
        <v>#REF!</v>
      </c>
      <c r="O310" s="19" t="e">
        <f>IF(J310="","SEM #CH",VLOOKUP(J310,#REF!,6,0))</f>
        <v>#REF!</v>
      </c>
      <c r="P310" s="19" t="e">
        <f>IF(J310="","SEM #CH",VLOOKUP(J310,#REF!,7,0))</f>
        <v>#REF!</v>
      </c>
      <c r="Q310" s="77" t="str">
        <f>VLOOKUP(J310,'p1'!$B$2:$C$30,2,0)</f>
        <v>NÃO TEM CHAPA</v>
      </c>
      <c r="R310" s="94">
        <v>45882</v>
      </c>
      <c r="S310" s="90" t="s">
        <v>218</v>
      </c>
      <c r="T310" s="90">
        <f t="shared" si="23"/>
        <v>1</v>
      </c>
      <c r="U310" s="94">
        <v>45882</v>
      </c>
      <c r="V310" s="90" t="s">
        <v>1094</v>
      </c>
      <c r="W310" s="92">
        <v>2470</v>
      </c>
      <c r="X310" s="93">
        <f t="shared" si="22"/>
        <v>1</v>
      </c>
      <c r="Y310" s="92"/>
      <c r="Z310" s="92"/>
      <c r="AA310" s="13" t="str">
        <f t="shared" si="24"/>
        <v>ago/2025</v>
      </c>
    </row>
    <row r="311" spans="1:27" x14ac:dyDescent="0.25">
      <c r="A311" s="89">
        <v>310</v>
      </c>
      <c r="B311" s="68">
        <v>45860</v>
      </c>
      <c r="C311" s="40">
        <v>54</v>
      </c>
      <c r="D311" s="40">
        <f t="shared" si="20"/>
        <v>1</v>
      </c>
      <c r="E311" s="48" t="s">
        <v>130</v>
      </c>
      <c r="F311" s="17" t="s">
        <v>58</v>
      </c>
      <c r="G311" s="17" t="s">
        <v>86</v>
      </c>
      <c r="H311" s="42" t="s">
        <v>543</v>
      </c>
      <c r="I311" s="17" t="str">
        <f t="shared" si="21"/>
        <v>PN-310</v>
      </c>
      <c r="J311" s="18" t="s">
        <v>85</v>
      </c>
      <c r="K311" s="19" t="e">
        <f>IF(J311="","SEM #CH",VLOOKUP(J311,#REF!,2,0))</f>
        <v>#REF!</v>
      </c>
      <c r="L311" s="19" t="e">
        <f>IF(J311="","SEM #CH",VLOOKUP(J311,#REF!,3,0))</f>
        <v>#REF!</v>
      </c>
      <c r="M311" s="19" t="e">
        <f>IF(J311="","SEM #CH",VLOOKUP(J311,#REF!,4,0))</f>
        <v>#REF!</v>
      </c>
      <c r="N311" s="19" t="e">
        <f>IF(J311="","SEM #CH",VLOOKUP(J311,#REF!,5,0))</f>
        <v>#REF!</v>
      </c>
      <c r="O311" s="19" t="e">
        <f>IF(J311="","SEM #CH",VLOOKUP(J311,#REF!,6,0))</f>
        <v>#REF!</v>
      </c>
      <c r="P311" s="19" t="e">
        <f>IF(J311="","SEM #CH",VLOOKUP(J311,#REF!,7,0))</f>
        <v>#REF!</v>
      </c>
      <c r="Q311" s="77" t="str">
        <f>VLOOKUP(J311,'p1'!$B$2:$C$30,2,0)</f>
        <v>NÃO TEM CHAPA</v>
      </c>
      <c r="R311" s="94">
        <v>45881</v>
      </c>
      <c r="S311" s="90" t="s">
        <v>218</v>
      </c>
      <c r="T311" s="90">
        <f t="shared" si="23"/>
        <v>1</v>
      </c>
      <c r="U311" s="94">
        <v>45894</v>
      </c>
      <c r="V311" s="90" t="s">
        <v>86</v>
      </c>
      <c r="W311" s="92">
        <v>2492</v>
      </c>
      <c r="X311" s="93">
        <f t="shared" si="22"/>
        <v>1</v>
      </c>
      <c r="Y311" s="92"/>
      <c r="Z311" s="92"/>
      <c r="AA311" s="13" t="str">
        <f t="shared" si="24"/>
        <v>ago/2025</v>
      </c>
    </row>
    <row r="312" spans="1:27" x14ac:dyDescent="0.25">
      <c r="A312" s="89">
        <v>311</v>
      </c>
      <c r="B312" s="68">
        <v>45902</v>
      </c>
      <c r="C312" s="40">
        <v>82</v>
      </c>
      <c r="D312" s="40">
        <f t="shared" si="20"/>
        <v>1</v>
      </c>
      <c r="E312" s="49" t="s">
        <v>129</v>
      </c>
      <c r="F312" s="17" t="s">
        <v>61</v>
      </c>
      <c r="G312" s="17" t="s">
        <v>86</v>
      </c>
      <c r="H312" s="42" t="s">
        <v>544</v>
      </c>
      <c r="I312" s="17" t="str">
        <f t="shared" si="21"/>
        <v>PF-311</v>
      </c>
      <c r="J312" s="18" t="s">
        <v>61</v>
      </c>
      <c r="K312" s="19" t="e">
        <f>IF(J312="","SEM #CH",VLOOKUP(J312,#REF!,2,0))</f>
        <v>#REF!</v>
      </c>
      <c r="L312" s="19" t="e">
        <f>IF(J312="","SEM #CH",VLOOKUP(J312,#REF!,3,0))</f>
        <v>#REF!</v>
      </c>
      <c r="M312" s="19" t="e">
        <f>IF(J312="","SEM #CH",VLOOKUP(J312,#REF!,4,0))</f>
        <v>#REF!</v>
      </c>
      <c r="N312" s="19" t="e">
        <f>IF(J312="","SEM #CH",VLOOKUP(J312,#REF!,5,0))</f>
        <v>#REF!</v>
      </c>
      <c r="O312" s="19" t="e">
        <f>IF(J312="","SEM #CH",VLOOKUP(J312,#REF!,6,0))</f>
        <v>#REF!</v>
      </c>
      <c r="P312" s="19" t="e">
        <f>IF(J312="","SEM #CH",VLOOKUP(J312,#REF!,7,0))</f>
        <v>#REF!</v>
      </c>
      <c r="Q312" s="77" t="str">
        <f>VLOOKUP(J312,'p1'!$B$2:$C$30,2,0)</f>
        <v>SEM CHAPA</v>
      </c>
      <c r="R312" s="90"/>
      <c r="S312" s="90" t="s">
        <v>217</v>
      </c>
      <c r="T312" s="90">
        <f>IF(R312="",0,1)</f>
        <v>0</v>
      </c>
      <c r="U312" s="90"/>
      <c r="V312" s="90"/>
      <c r="W312" s="92"/>
      <c r="X312" s="93" t="str">
        <f t="shared" si="22"/>
        <v/>
      </c>
      <c r="Y312" s="92"/>
      <c r="Z312" s="92"/>
      <c r="AA312" s="13" t="str">
        <f t="shared" si="24"/>
        <v>jan/1900</v>
      </c>
    </row>
    <row r="313" spans="1:27" x14ac:dyDescent="0.25">
      <c r="A313" s="89">
        <v>312</v>
      </c>
      <c r="B313" s="68">
        <v>45861</v>
      </c>
      <c r="C313" s="40">
        <v>55</v>
      </c>
      <c r="D313" s="40">
        <f t="shared" si="20"/>
        <v>1</v>
      </c>
      <c r="E313" s="49" t="s">
        <v>129</v>
      </c>
      <c r="F313" s="17" t="s">
        <v>58</v>
      </c>
      <c r="G313" s="17" t="s">
        <v>86</v>
      </c>
      <c r="H313" s="42" t="s">
        <v>545</v>
      </c>
      <c r="I313" s="17" t="str">
        <f t="shared" si="21"/>
        <v>PN-312</v>
      </c>
      <c r="J313" s="18" t="s">
        <v>85</v>
      </c>
      <c r="K313" s="19" t="e">
        <f>IF(J313="","SEM #CH",VLOOKUP(J313,#REF!,2,0))</f>
        <v>#REF!</v>
      </c>
      <c r="L313" s="19" t="e">
        <f>IF(J313="","SEM #CH",VLOOKUP(J313,#REF!,3,0))</f>
        <v>#REF!</v>
      </c>
      <c r="M313" s="19" t="e">
        <f>IF(J313="","SEM #CH",VLOOKUP(J313,#REF!,4,0))</f>
        <v>#REF!</v>
      </c>
      <c r="N313" s="19" t="e">
        <f>IF(J313="","SEM #CH",VLOOKUP(J313,#REF!,5,0))</f>
        <v>#REF!</v>
      </c>
      <c r="O313" s="19" t="e">
        <f>IF(J313="","SEM #CH",VLOOKUP(J313,#REF!,6,0))</f>
        <v>#REF!</v>
      </c>
      <c r="P313" s="19" t="e">
        <f>IF(J313="","SEM #CH",VLOOKUP(J313,#REF!,7,0))</f>
        <v>#REF!</v>
      </c>
      <c r="Q313" s="77" t="str">
        <f>VLOOKUP(J313,'p1'!$B$2:$C$30,2,0)</f>
        <v>NÃO TEM CHAPA</v>
      </c>
      <c r="R313" s="94">
        <v>45885</v>
      </c>
      <c r="S313" s="90" t="s">
        <v>217</v>
      </c>
      <c r="T313" s="90">
        <f t="shared" si="23"/>
        <v>1</v>
      </c>
      <c r="U313" s="94">
        <v>45887</v>
      </c>
      <c r="V313" s="90" t="s">
        <v>1097</v>
      </c>
      <c r="W313" s="92">
        <v>2481</v>
      </c>
      <c r="X313" s="93">
        <f t="shared" si="22"/>
        <v>1</v>
      </c>
      <c r="Y313" s="92"/>
      <c r="Z313" s="92"/>
      <c r="AA313" s="13" t="str">
        <f t="shared" si="24"/>
        <v>ago/2025</v>
      </c>
    </row>
    <row r="314" spans="1:27" x14ac:dyDescent="0.25">
      <c r="A314" s="89">
        <v>313</v>
      </c>
      <c r="B314" s="68">
        <v>45861</v>
      </c>
      <c r="C314" s="40">
        <v>55</v>
      </c>
      <c r="D314" s="40">
        <f t="shared" si="20"/>
        <v>1</v>
      </c>
      <c r="E314" s="49" t="s">
        <v>129</v>
      </c>
      <c r="F314" s="17" t="s">
        <v>58</v>
      </c>
      <c r="G314" s="17" t="s">
        <v>86</v>
      </c>
      <c r="H314" s="42" t="s">
        <v>546</v>
      </c>
      <c r="I314" s="17" t="str">
        <f t="shared" si="21"/>
        <v>PN-313</v>
      </c>
      <c r="J314" s="18" t="s">
        <v>85</v>
      </c>
      <c r="K314" s="19" t="e">
        <f>IF(J314="","SEM #CH",VLOOKUP(J314,#REF!,2,0))</f>
        <v>#REF!</v>
      </c>
      <c r="L314" s="19" t="e">
        <f>IF(J314="","SEM #CH",VLOOKUP(J314,#REF!,3,0))</f>
        <v>#REF!</v>
      </c>
      <c r="M314" s="19" t="e">
        <f>IF(J314="","SEM #CH",VLOOKUP(J314,#REF!,4,0))</f>
        <v>#REF!</v>
      </c>
      <c r="N314" s="19" t="e">
        <f>IF(J314="","SEM #CH",VLOOKUP(J314,#REF!,5,0))</f>
        <v>#REF!</v>
      </c>
      <c r="O314" s="19" t="e">
        <f>IF(J314="","SEM #CH",VLOOKUP(J314,#REF!,6,0))</f>
        <v>#REF!</v>
      </c>
      <c r="P314" s="19" t="e">
        <f>IF(J314="","SEM #CH",VLOOKUP(J314,#REF!,7,0))</f>
        <v>#REF!</v>
      </c>
      <c r="Q314" s="77" t="str">
        <f>VLOOKUP(J314,'p1'!$B$2:$C$30,2,0)</f>
        <v>NÃO TEM CHAPA</v>
      </c>
      <c r="R314" s="94">
        <v>45885</v>
      </c>
      <c r="S314" s="90" t="s">
        <v>217</v>
      </c>
      <c r="T314" s="90">
        <f t="shared" si="23"/>
        <v>1</v>
      </c>
      <c r="U314" s="94">
        <v>45887</v>
      </c>
      <c r="V314" s="90" t="s">
        <v>1097</v>
      </c>
      <c r="W314" s="92">
        <v>2481</v>
      </c>
      <c r="X314" s="93">
        <f t="shared" si="22"/>
        <v>1</v>
      </c>
      <c r="Y314" s="92"/>
      <c r="Z314" s="92"/>
      <c r="AA314" s="13" t="str">
        <f t="shared" si="24"/>
        <v>ago/2025</v>
      </c>
    </row>
    <row r="315" spans="1:27" x14ac:dyDescent="0.25">
      <c r="A315" s="89">
        <v>314</v>
      </c>
      <c r="B315" s="68">
        <v>45861</v>
      </c>
      <c r="C315" s="40">
        <v>55</v>
      </c>
      <c r="D315" s="40">
        <f t="shared" si="20"/>
        <v>1</v>
      </c>
      <c r="E315" s="49" t="s">
        <v>129</v>
      </c>
      <c r="F315" s="17" t="s">
        <v>58</v>
      </c>
      <c r="G315" s="17" t="s">
        <v>86</v>
      </c>
      <c r="H315" s="42" t="s">
        <v>547</v>
      </c>
      <c r="I315" s="17" t="str">
        <f t="shared" si="21"/>
        <v>PN-314</v>
      </c>
      <c r="J315" s="18" t="s">
        <v>85</v>
      </c>
      <c r="K315" s="19" t="e">
        <f>IF(J315="","SEM #CH",VLOOKUP(J315,#REF!,2,0))</f>
        <v>#REF!</v>
      </c>
      <c r="L315" s="19" t="e">
        <f>IF(J315="","SEM #CH",VLOOKUP(J315,#REF!,3,0))</f>
        <v>#REF!</v>
      </c>
      <c r="M315" s="19" t="e">
        <f>IF(J315="","SEM #CH",VLOOKUP(J315,#REF!,4,0))</f>
        <v>#REF!</v>
      </c>
      <c r="N315" s="19" t="e">
        <f>IF(J315="","SEM #CH",VLOOKUP(J315,#REF!,5,0))</f>
        <v>#REF!</v>
      </c>
      <c r="O315" s="19" t="e">
        <f>IF(J315="","SEM #CH",VLOOKUP(J315,#REF!,6,0))</f>
        <v>#REF!</v>
      </c>
      <c r="P315" s="19" t="e">
        <f>IF(J315="","SEM #CH",VLOOKUP(J315,#REF!,7,0))</f>
        <v>#REF!</v>
      </c>
      <c r="Q315" s="77" t="str">
        <f>VLOOKUP(J315,'p1'!$B$2:$C$30,2,0)</f>
        <v>NÃO TEM CHAPA</v>
      </c>
      <c r="R315" s="94">
        <v>45870</v>
      </c>
      <c r="S315" s="90" t="s">
        <v>217</v>
      </c>
      <c r="T315" s="90">
        <f t="shared" si="23"/>
        <v>1</v>
      </c>
      <c r="U315" s="94">
        <v>45870</v>
      </c>
      <c r="V315" s="90" t="s">
        <v>1048</v>
      </c>
      <c r="W315" s="92">
        <v>2462</v>
      </c>
      <c r="X315" s="93">
        <f t="shared" si="22"/>
        <v>1</v>
      </c>
      <c r="Y315" s="92"/>
      <c r="Z315" s="92"/>
      <c r="AA315" s="13" t="str">
        <f t="shared" si="24"/>
        <v>ago/2025</v>
      </c>
    </row>
    <row r="316" spans="1:27" x14ac:dyDescent="0.25">
      <c r="A316" s="89">
        <v>315</v>
      </c>
      <c r="B316" s="68">
        <v>45861</v>
      </c>
      <c r="C316" s="40">
        <v>55</v>
      </c>
      <c r="D316" s="40">
        <f t="shared" si="20"/>
        <v>1</v>
      </c>
      <c r="E316" s="49" t="s">
        <v>129</v>
      </c>
      <c r="F316" s="17" t="s">
        <v>58</v>
      </c>
      <c r="G316" s="17" t="s">
        <v>86</v>
      </c>
      <c r="H316" s="42" t="s">
        <v>548</v>
      </c>
      <c r="I316" s="17" t="str">
        <f t="shared" si="21"/>
        <v>PN-315</v>
      </c>
      <c r="J316" s="18" t="s">
        <v>85</v>
      </c>
      <c r="K316" s="19" t="e">
        <f>IF(J316="","SEM #CH",VLOOKUP(J316,#REF!,2,0))</f>
        <v>#REF!</v>
      </c>
      <c r="L316" s="19" t="e">
        <f>IF(J316="","SEM #CH",VLOOKUP(J316,#REF!,3,0))</f>
        <v>#REF!</v>
      </c>
      <c r="M316" s="19" t="e">
        <f>IF(J316="","SEM #CH",VLOOKUP(J316,#REF!,4,0))</f>
        <v>#REF!</v>
      </c>
      <c r="N316" s="19" t="e">
        <f>IF(J316="","SEM #CH",VLOOKUP(J316,#REF!,5,0))</f>
        <v>#REF!</v>
      </c>
      <c r="O316" s="19" t="e">
        <f>IF(J316="","SEM #CH",VLOOKUP(J316,#REF!,6,0))</f>
        <v>#REF!</v>
      </c>
      <c r="P316" s="19" t="e">
        <f>IF(J316="","SEM #CH",VLOOKUP(J316,#REF!,7,0))</f>
        <v>#REF!</v>
      </c>
      <c r="Q316" s="77" t="str">
        <f>VLOOKUP(J316,'p1'!$B$2:$C$30,2,0)</f>
        <v>NÃO TEM CHAPA</v>
      </c>
      <c r="R316" s="94">
        <v>45870</v>
      </c>
      <c r="S316" s="90" t="s">
        <v>217</v>
      </c>
      <c r="T316" s="90">
        <f t="shared" si="23"/>
        <v>1</v>
      </c>
      <c r="U316" s="94">
        <v>45870</v>
      </c>
      <c r="V316" s="90" t="s">
        <v>1048</v>
      </c>
      <c r="W316" s="92">
        <v>2462</v>
      </c>
      <c r="X316" s="93">
        <f t="shared" si="22"/>
        <v>1</v>
      </c>
      <c r="Y316" s="92"/>
      <c r="Z316" s="92"/>
      <c r="AA316" s="13" t="str">
        <f t="shared" si="24"/>
        <v>ago/2025</v>
      </c>
    </row>
    <row r="317" spans="1:27" x14ac:dyDescent="0.25">
      <c r="A317" s="89">
        <v>316</v>
      </c>
      <c r="B317" s="68">
        <v>45861</v>
      </c>
      <c r="C317" s="40">
        <v>55</v>
      </c>
      <c r="D317" s="40">
        <f t="shared" si="20"/>
        <v>1</v>
      </c>
      <c r="E317" s="49" t="s">
        <v>129</v>
      </c>
      <c r="F317" s="17" t="s">
        <v>58</v>
      </c>
      <c r="G317" s="17" t="s">
        <v>86</v>
      </c>
      <c r="H317" s="42" t="s">
        <v>549</v>
      </c>
      <c r="I317" s="17" t="str">
        <f t="shared" si="21"/>
        <v>PN-316</v>
      </c>
      <c r="J317" s="18" t="s">
        <v>85</v>
      </c>
      <c r="K317" s="19" t="e">
        <f>IF(J317="","SEM #CH",VLOOKUP(J317,#REF!,2,0))</f>
        <v>#REF!</v>
      </c>
      <c r="L317" s="19" t="e">
        <f>IF(J317="","SEM #CH",VLOOKUP(J317,#REF!,3,0))</f>
        <v>#REF!</v>
      </c>
      <c r="M317" s="19" t="e">
        <f>IF(J317="","SEM #CH",VLOOKUP(J317,#REF!,4,0))</f>
        <v>#REF!</v>
      </c>
      <c r="N317" s="19" t="e">
        <f>IF(J317="","SEM #CH",VLOOKUP(J317,#REF!,5,0))</f>
        <v>#REF!</v>
      </c>
      <c r="O317" s="19" t="e">
        <f>IF(J317="","SEM #CH",VLOOKUP(J317,#REF!,6,0))</f>
        <v>#REF!</v>
      </c>
      <c r="P317" s="19" t="e">
        <f>IF(J317="","SEM #CH",VLOOKUP(J317,#REF!,7,0))</f>
        <v>#REF!</v>
      </c>
      <c r="Q317" s="77" t="str">
        <f>VLOOKUP(J317,'p1'!$B$2:$C$30,2,0)</f>
        <v>NÃO TEM CHAPA</v>
      </c>
      <c r="R317" s="94">
        <v>45870</v>
      </c>
      <c r="S317" s="90" t="s">
        <v>217</v>
      </c>
      <c r="T317" s="90">
        <f t="shared" si="23"/>
        <v>1</v>
      </c>
      <c r="U317" s="94">
        <v>45895</v>
      </c>
      <c r="V317" s="90" t="s">
        <v>86</v>
      </c>
      <c r="W317" s="92">
        <v>2493</v>
      </c>
      <c r="X317" s="93">
        <f t="shared" si="22"/>
        <v>1</v>
      </c>
      <c r="Y317" s="92"/>
      <c r="Z317" s="92"/>
      <c r="AA317" s="13" t="str">
        <f t="shared" si="24"/>
        <v>ago/2025</v>
      </c>
    </row>
    <row r="318" spans="1:27" x14ac:dyDescent="0.25">
      <c r="A318" s="89">
        <v>317</v>
      </c>
      <c r="B318" s="68">
        <v>45861</v>
      </c>
      <c r="C318" s="40">
        <v>55</v>
      </c>
      <c r="D318" s="40">
        <f t="shared" si="20"/>
        <v>1</v>
      </c>
      <c r="E318" s="49" t="s">
        <v>129</v>
      </c>
      <c r="F318" s="17" t="s">
        <v>58</v>
      </c>
      <c r="G318" s="17" t="s">
        <v>86</v>
      </c>
      <c r="H318" s="42" t="s">
        <v>550</v>
      </c>
      <c r="I318" s="17" t="str">
        <f t="shared" si="21"/>
        <v>PN-317</v>
      </c>
      <c r="J318" s="18" t="s">
        <v>85</v>
      </c>
      <c r="K318" s="19" t="e">
        <f>IF(J318="","SEM #CH",VLOOKUP(J318,#REF!,2,0))</f>
        <v>#REF!</v>
      </c>
      <c r="L318" s="19" t="e">
        <f>IF(J318="","SEM #CH",VLOOKUP(J318,#REF!,3,0))</f>
        <v>#REF!</v>
      </c>
      <c r="M318" s="19" t="e">
        <f>IF(J318="","SEM #CH",VLOOKUP(J318,#REF!,4,0))</f>
        <v>#REF!</v>
      </c>
      <c r="N318" s="19" t="e">
        <f>IF(J318="","SEM #CH",VLOOKUP(J318,#REF!,5,0))</f>
        <v>#REF!</v>
      </c>
      <c r="O318" s="19" t="e">
        <f>IF(J318="","SEM #CH",VLOOKUP(J318,#REF!,6,0))</f>
        <v>#REF!</v>
      </c>
      <c r="P318" s="19" t="e">
        <f>IF(J318="","SEM #CH",VLOOKUP(J318,#REF!,7,0))</f>
        <v>#REF!</v>
      </c>
      <c r="Q318" s="77" t="str">
        <f>VLOOKUP(J318,'p1'!$B$2:$C$30,2,0)</f>
        <v>NÃO TEM CHAPA</v>
      </c>
      <c r="R318" s="94">
        <v>45870</v>
      </c>
      <c r="S318" s="90" t="s">
        <v>217</v>
      </c>
      <c r="T318" s="90">
        <f t="shared" si="23"/>
        <v>1</v>
      </c>
      <c r="U318" s="94">
        <v>45895</v>
      </c>
      <c r="V318" s="90" t="s">
        <v>86</v>
      </c>
      <c r="W318" s="92">
        <v>2493</v>
      </c>
      <c r="X318" s="93">
        <f t="shared" si="22"/>
        <v>1</v>
      </c>
      <c r="Y318" s="92"/>
      <c r="Z318" s="92"/>
      <c r="AA318" s="13" t="str">
        <f t="shared" si="24"/>
        <v>ago/2025</v>
      </c>
    </row>
    <row r="319" spans="1:27" x14ac:dyDescent="0.25">
      <c r="A319" s="89">
        <v>318</v>
      </c>
      <c r="B319" s="68">
        <v>45899</v>
      </c>
      <c r="C319" s="40">
        <v>80</v>
      </c>
      <c r="D319" s="40">
        <f t="shared" si="20"/>
        <v>1</v>
      </c>
      <c r="E319" s="49" t="s">
        <v>129</v>
      </c>
      <c r="F319" s="17" t="s">
        <v>60</v>
      </c>
      <c r="G319" s="17" t="s">
        <v>86</v>
      </c>
      <c r="H319" s="42" t="s">
        <v>551</v>
      </c>
      <c r="I319" s="17" t="str">
        <f t="shared" si="21"/>
        <v>PE-318</v>
      </c>
      <c r="J319" s="18" t="s">
        <v>88</v>
      </c>
      <c r="K319" s="19" t="e">
        <f>IF(J319="","SEM #CH",VLOOKUP(J319,#REF!,2,0))</f>
        <v>#REF!</v>
      </c>
      <c r="L319" s="19" t="e">
        <f>IF(J319="","SEM #CH",VLOOKUP(J319,#REF!,3,0))</f>
        <v>#REF!</v>
      </c>
      <c r="M319" s="19" t="e">
        <f>IF(J319="","SEM #CH",VLOOKUP(J319,#REF!,4,0))</f>
        <v>#REF!</v>
      </c>
      <c r="N319" s="19" t="e">
        <f>IF(J319="","SEM #CH",VLOOKUP(J319,#REF!,5,0))</f>
        <v>#REF!</v>
      </c>
      <c r="O319" s="19" t="e">
        <f>IF(J319="","SEM #CH",VLOOKUP(J319,#REF!,6,0))</f>
        <v>#REF!</v>
      </c>
      <c r="P319" s="19" t="e">
        <f>IF(J319="","SEM #CH",VLOOKUP(J319,#REF!,7,0))</f>
        <v>#REF!</v>
      </c>
      <c r="Q319" s="77" t="str">
        <f>VLOOKUP(J319,'p1'!$B$2:$C$30,2,0)</f>
        <v>#3/8-1315X1315</v>
      </c>
      <c r="R319" s="94">
        <v>45903</v>
      </c>
      <c r="S319" s="90" t="s">
        <v>218</v>
      </c>
      <c r="T319" s="90">
        <f t="shared" si="23"/>
        <v>1</v>
      </c>
      <c r="U319" s="94">
        <v>45912</v>
      </c>
      <c r="V319" s="90" t="s">
        <v>86</v>
      </c>
      <c r="W319" s="92">
        <v>2522</v>
      </c>
      <c r="X319" s="93">
        <f t="shared" si="22"/>
        <v>1</v>
      </c>
      <c r="Y319" s="92"/>
      <c r="Z319" s="92"/>
      <c r="AA319" s="13" t="str">
        <f t="shared" si="24"/>
        <v>set/2025</v>
      </c>
    </row>
    <row r="320" spans="1:27" x14ac:dyDescent="0.25">
      <c r="A320" s="89">
        <v>319</v>
      </c>
      <c r="B320" s="68">
        <v>45861</v>
      </c>
      <c r="C320" s="40">
        <v>55</v>
      </c>
      <c r="D320" s="40">
        <f t="shared" si="20"/>
        <v>1</v>
      </c>
      <c r="E320" s="49" t="s">
        <v>129</v>
      </c>
      <c r="F320" s="17" t="s">
        <v>58</v>
      </c>
      <c r="G320" s="17" t="s">
        <v>86</v>
      </c>
      <c r="H320" s="42" t="s">
        <v>552</v>
      </c>
      <c r="I320" s="17" t="str">
        <f t="shared" si="21"/>
        <v>PN-319</v>
      </c>
      <c r="J320" s="18" t="s">
        <v>85</v>
      </c>
      <c r="K320" s="19" t="e">
        <f>IF(J320="","SEM #CH",VLOOKUP(J320,#REF!,2,0))</f>
        <v>#REF!</v>
      </c>
      <c r="L320" s="19" t="e">
        <f>IF(J320="","SEM #CH",VLOOKUP(J320,#REF!,3,0))</f>
        <v>#REF!</v>
      </c>
      <c r="M320" s="19" t="e">
        <f>IF(J320="","SEM #CH",VLOOKUP(J320,#REF!,4,0))</f>
        <v>#REF!</v>
      </c>
      <c r="N320" s="19" t="e">
        <f>IF(J320="","SEM #CH",VLOOKUP(J320,#REF!,5,0))</f>
        <v>#REF!</v>
      </c>
      <c r="O320" s="19" t="e">
        <f>IF(J320="","SEM #CH",VLOOKUP(J320,#REF!,6,0))</f>
        <v>#REF!</v>
      </c>
      <c r="P320" s="19" t="e">
        <f>IF(J320="","SEM #CH",VLOOKUP(J320,#REF!,7,0))</f>
        <v>#REF!</v>
      </c>
      <c r="Q320" s="77" t="str">
        <f>VLOOKUP(J320,'p1'!$B$2:$C$30,2,0)</f>
        <v>NÃO TEM CHAPA</v>
      </c>
      <c r="R320" s="94">
        <v>45869</v>
      </c>
      <c r="S320" s="90" t="s">
        <v>217</v>
      </c>
      <c r="T320" s="90">
        <f t="shared" si="23"/>
        <v>1</v>
      </c>
      <c r="U320" s="94">
        <v>45884</v>
      </c>
      <c r="V320" s="90" t="s">
        <v>1096</v>
      </c>
      <c r="W320" s="92">
        <v>2476</v>
      </c>
      <c r="X320" s="93">
        <f t="shared" si="22"/>
        <v>1</v>
      </c>
      <c r="Y320" s="92"/>
      <c r="Z320" s="92"/>
      <c r="AA320" s="13" t="str">
        <f t="shared" si="24"/>
        <v>jul/2025</v>
      </c>
    </row>
    <row r="321" spans="1:27" x14ac:dyDescent="0.25">
      <c r="A321" s="89">
        <v>320</v>
      </c>
      <c r="B321" s="68">
        <v>45862</v>
      </c>
      <c r="C321" s="40">
        <v>56</v>
      </c>
      <c r="D321" s="40">
        <f t="shared" si="20"/>
        <v>1</v>
      </c>
      <c r="E321" s="49" t="s">
        <v>129</v>
      </c>
      <c r="F321" s="17" t="s">
        <v>58</v>
      </c>
      <c r="G321" s="17" t="s">
        <v>86</v>
      </c>
      <c r="H321" s="42" t="s">
        <v>553</v>
      </c>
      <c r="I321" s="17" t="str">
        <f t="shared" si="21"/>
        <v>PN-320</v>
      </c>
      <c r="J321" s="18" t="s">
        <v>85</v>
      </c>
      <c r="K321" s="19" t="e">
        <f>IF(J321="","SEM #CH",VLOOKUP(J321,#REF!,2,0))</f>
        <v>#REF!</v>
      </c>
      <c r="L321" s="19" t="e">
        <f>IF(J321="","SEM #CH",VLOOKUP(J321,#REF!,3,0))</f>
        <v>#REF!</v>
      </c>
      <c r="M321" s="19" t="e">
        <f>IF(J321="","SEM #CH",VLOOKUP(J321,#REF!,4,0))</f>
        <v>#REF!</v>
      </c>
      <c r="N321" s="19" t="e">
        <f>IF(J321="","SEM #CH",VLOOKUP(J321,#REF!,5,0))</f>
        <v>#REF!</v>
      </c>
      <c r="O321" s="19" t="e">
        <f>IF(J321="","SEM #CH",VLOOKUP(J321,#REF!,6,0))</f>
        <v>#REF!</v>
      </c>
      <c r="P321" s="19" t="e">
        <f>IF(J321="","SEM #CH",VLOOKUP(J321,#REF!,7,0))</f>
        <v>#REF!</v>
      </c>
      <c r="Q321" s="77" t="str">
        <f>VLOOKUP(J321,'p1'!$B$2:$C$30,2,0)</f>
        <v>NÃO TEM CHAPA</v>
      </c>
      <c r="R321" s="94">
        <v>45875</v>
      </c>
      <c r="S321" s="90" t="s">
        <v>218</v>
      </c>
      <c r="T321" s="90">
        <f t="shared" si="23"/>
        <v>1</v>
      </c>
      <c r="U321" s="94">
        <v>45896</v>
      </c>
      <c r="V321" s="90" t="s">
        <v>1099</v>
      </c>
      <c r="W321" s="92">
        <v>2497</v>
      </c>
      <c r="X321" s="93">
        <f t="shared" si="22"/>
        <v>1</v>
      </c>
      <c r="Y321" s="92"/>
      <c r="Z321" s="92"/>
      <c r="AA321" s="13" t="str">
        <f t="shared" si="24"/>
        <v>ago/2025</v>
      </c>
    </row>
    <row r="322" spans="1:27" x14ac:dyDescent="0.25">
      <c r="A322" s="89">
        <v>321</v>
      </c>
      <c r="B322" s="68">
        <v>45862</v>
      </c>
      <c r="C322" s="40">
        <v>56</v>
      </c>
      <c r="D322" s="40">
        <f t="shared" ref="D322:D385" si="25">IF(B322&gt;0,1,"")</f>
        <v>1</v>
      </c>
      <c r="E322" s="49" t="s">
        <v>129</v>
      </c>
      <c r="F322" s="17" t="s">
        <v>58</v>
      </c>
      <c r="G322" s="17" t="s">
        <v>86</v>
      </c>
      <c r="H322" s="42" t="s">
        <v>554</v>
      </c>
      <c r="I322" s="17" t="str">
        <f t="shared" ref="I322:I385" si="26">_xlfn.CONCAT(F322,G322,H322)</f>
        <v>PN-321</v>
      </c>
      <c r="J322" s="18" t="s">
        <v>85</v>
      </c>
      <c r="K322" s="19" t="e">
        <f>IF(J322="","SEM #CH",VLOOKUP(J322,#REF!,2,0))</f>
        <v>#REF!</v>
      </c>
      <c r="L322" s="19" t="e">
        <f>IF(J322="","SEM #CH",VLOOKUP(J322,#REF!,3,0))</f>
        <v>#REF!</v>
      </c>
      <c r="M322" s="19" t="e">
        <f>IF(J322="","SEM #CH",VLOOKUP(J322,#REF!,4,0))</f>
        <v>#REF!</v>
      </c>
      <c r="N322" s="19" t="e">
        <f>IF(J322="","SEM #CH",VLOOKUP(J322,#REF!,5,0))</f>
        <v>#REF!</v>
      </c>
      <c r="O322" s="19" t="e">
        <f>IF(J322="","SEM #CH",VLOOKUP(J322,#REF!,6,0))</f>
        <v>#REF!</v>
      </c>
      <c r="P322" s="19" t="e">
        <f>IF(J322="","SEM #CH",VLOOKUP(J322,#REF!,7,0))</f>
        <v>#REF!</v>
      </c>
      <c r="Q322" s="77" t="str">
        <f>VLOOKUP(J322,'p1'!$B$2:$C$30,2,0)</f>
        <v>NÃO TEM CHAPA</v>
      </c>
      <c r="R322" s="94">
        <v>45875</v>
      </c>
      <c r="S322" s="90" t="s">
        <v>218</v>
      </c>
      <c r="T322" s="90">
        <f t="shared" si="23"/>
        <v>1</v>
      </c>
      <c r="U322" s="94">
        <v>45910</v>
      </c>
      <c r="V322" s="90" t="s">
        <v>86</v>
      </c>
      <c r="W322" s="92">
        <v>2516</v>
      </c>
      <c r="X322" s="93">
        <f t="shared" ref="X322:X385" si="27">IF(U322&gt;0,1,"")</f>
        <v>1</v>
      </c>
      <c r="Y322" s="92"/>
      <c r="Z322" s="92"/>
      <c r="AA322" s="13" t="str">
        <f t="shared" si="24"/>
        <v>ago/2025</v>
      </c>
    </row>
    <row r="323" spans="1:27" x14ac:dyDescent="0.25">
      <c r="A323" s="89">
        <v>322</v>
      </c>
      <c r="B323" s="68">
        <v>45862</v>
      </c>
      <c r="C323" s="40">
        <v>56</v>
      </c>
      <c r="D323" s="40">
        <f t="shared" si="25"/>
        <v>1</v>
      </c>
      <c r="E323" s="49" t="s">
        <v>129</v>
      </c>
      <c r="F323" s="17" t="s">
        <v>58</v>
      </c>
      <c r="G323" s="17" t="s">
        <v>86</v>
      </c>
      <c r="H323" s="42" t="s">
        <v>555</v>
      </c>
      <c r="I323" s="17" t="str">
        <f t="shared" si="26"/>
        <v>PN-322</v>
      </c>
      <c r="J323" s="18" t="s">
        <v>85</v>
      </c>
      <c r="K323" s="19" t="e">
        <f>IF(J323="","SEM #CH",VLOOKUP(J323,#REF!,2,0))</f>
        <v>#REF!</v>
      </c>
      <c r="L323" s="19" t="e">
        <f>IF(J323="","SEM #CH",VLOOKUP(J323,#REF!,3,0))</f>
        <v>#REF!</v>
      </c>
      <c r="M323" s="19" t="e">
        <f>IF(J323="","SEM #CH",VLOOKUP(J323,#REF!,4,0))</f>
        <v>#REF!</v>
      </c>
      <c r="N323" s="19" t="e">
        <f>IF(J323="","SEM #CH",VLOOKUP(J323,#REF!,5,0))</f>
        <v>#REF!</v>
      </c>
      <c r="O323" s="19" t="e">
        <f>IF(J323="","SEM #CH",VLOOKUP(J323,#REF!,6,0))</f>
        <v>#REF!</v>
      </c>
      <c r="P323" s="19" t="e">
        <f>IF(J323="","SEM #CH",VLOOKUP(J323,#REF!,7,0))</f>
        <v>#REF!</v>
      </c>
      <c r="Q323" s="77" t="str">
        <f>VLOOKUP(J323,'p1'!$B$2:$C$30,2,0)</f>
        <v>NÃO TEM CHAPA</v>
      </c>
      <c r="R323" s="94">
        <v>45874</v>
      </c>
      <c r="S323" s="90" t="s">
        <v>218</v>
      </c>
      <c r="T323" s="90">
        <f t="shared" ref="T323:T386" si="28">IF(R323="",0,1)</f>
        <v>1</v>
      </c>
      <c r="U323" s="94">
        <v>45887</v>
      </c>
      <c r="V323" s="90" t="s">
        <v>1048</v>
      </c>
      <c r="W323" s="92">
        <v>2479</v>
      </c>
      <c r="X323" s="93">
        <f t="shared" si="27"/>
        <v>1</v>
      </c>
      <c r="Y323" s="92"/>
      <c r="Z323" s="92"/>
      <c r="AA323" s="13" t="str">
        <f t="shared" ref="AA323:AA386" si="29">TEXT(R323,"mmm/aaaa")</f>
        <v>ago/2025</v>
      </c>
    </row>
    <row r="324" spans="1:27" x14ac:dyDescent="0.25">
      <c r="A324" s="89">
        <v>323</v>
      </c>
      <c r="B324" s="68">
        <v>45862</v>
      </c>
      <c r="C324" s="40">
        <v>56</v>
      </c>
      <c r="D324" s="40">
        <f t="shared" si="25"/>
        <v>1</v>
      </c>
      <c r="E324" s="49" t="s">
        <v>129</v>
      </c>
      <c r="F324" s="17" t="s">
        <v>58</v>
      </c>
      <c r="G324" s="17" t="s">
        <v>86</v>
      </c>
      <c r="H324" s="42" t="s">
        <v>556</v>
      </c>
      <c r="I324" s="17" t="str">
        <f t="shared" si="26"/>
        <v>PN-323</v>
      </c>
      <c r="J324" s="18" t="s">
        <v>85</v>
      </c>
      <c r="K324" s="19" t="e">
        <f>IF(J324="","SEM #CH",VLOOKUP(J324,#REF!,2,0))</f>
        <v>#REF!</v>
      </c>
      <c r="L324" s="19" t="e">
        <f>IF(J324="","SEM #CH",VLOOKUP(J324,#REF!,3,0))</f>
        <v>#REF!</v>
      </c>
      <c r="M324" s="19" t="e">
        <f>IF(J324="","SEM #CH",VLOOKUP(J324,#REF!,4,0))</f>
        <v>#REF!</v>
      </c>
      <c r="N324" s="19" t="e">
        <f>IF(J324="","SEM #CH",VLOOKUP(J324,#REF!,5,0))</f>
        <v>#REF!</v>
      </c>
      <c r="O324" s="19" t="e">
        <f>IF(J324="","SEM #CH",VLOOKUP(J324,#REF!,6,0))</f>
        <v>#REF!</v>
      </c>
      <c r="P324" s="19" t="e">
        <f>IF(J324="","SEM #CH",VLOOKUP(J324,#REF!,7,0))</f>
        <v>#REF!</v>
      </c>
      <c r="Q324" s="77" t="str">
        <f>VLOOKUP(J324,'p1'!$B$2:$C$30,2,0)</f>
        <v>NÃO TEM CHAPA</v>
      </c>
      <c r="R324" s="94">
        <v>45874</v>
      </c>
      <c r="S324" s="90" t="s">
        <v>218</v>
      </c>
      <c r="T324" s="90">
        <f t="shared" si="28"/>
        <v>1</v>
      </c>
      <c r="U324" s="94">
        <v>45887</v>
      </c>
      <c r="V324" s="90" t="s">
        <v>1048</v>
      </c>
      <c r="W324" s="92">
        <v>2479</v>
      </c>
      <c r="X324" s="93">
        <f t="shared" si="27"/>
        <v>1</v>
      </c>
      <c r="Y324" s="92"/>
      <c r="Z324" s="92"/>
      <c r="AA324" s="13" t="str">
        <f t="shared" si="29"/>
        <v>ago/2025</v>
      </c>
    </row>
    <row r="325" spans="1:27" x14ac:dyDescent="0.25">
      <c r="A325" s="89">
        <v>324</v>
      </c>
      <c r="B325" s="68">
        <v>45862</v>
      </c>
      <c r="C325" s="40">
        <v>56</v>
      </c>
      <c r="D325" s="40">
        <f t="shared" si="25"/>
        <v>1</v>
      </c>
      <c r="E325" s="49" t="s">
        <v>129</v>
      </c>
      <c r="F325" s="17" t="s">
        <v>58</v>
      </c>
      <c r="G325" s="17" t="s">
        <v>86</v>
      </c>
      <c r="H325" s="42" t="s">
        <v>557</v>
      </c>
      <c r="I325" s="17" t="str">
        <f t="shared" si="26"/>
        <v>PN-324</v>
      </c>
      <c r="J325" s="18" t="s">
        <v>85</v>
      </c>
      <c r="K325" s="19" t="e">
        <f>IF(J325="","SEM #CH",VLOOKUP(J325,#REF!,2,0))</f>
        <v>#REF!</v>
      </c>
      <c r="L325" s="19" t="e">
        <f>IF(J325="","SEM #CH",VLOOKUP(J325,#REF!,3,0))</f>
        <v>#REF!</v>
      </c>
      <c r="M325" s="19" t="e">
        <f>IF(J325="","SEM #CH",VLOOKUP(J325,#REF!,4,0))</f>
        <v>#REF!</v>
      </c>
      <c r="N325" s="19" t="e">
        <f>IF(J325="","SEM #CH",VLOOKUP(J325,#REF!,5,0))</f>
        <v>#REF!</v>
      </c>
      <c r="O325" s="19" t="e">
        <f>IF(J325="","SEM #CH",VLOOKUP(J325,#REF!,6,0))</f>
        <v>#REF!</v>
      </c>
      <c r="P325" s="19" t="e">
        <f>IF(J325="","SEM #CH",VLOOKUP(J325,#REF!,7,0))</f>
        <v>#REF!</v>
      </c>
      <c r="Q325" s="77" t="str">
        <f>VLOOKUP(J325,'p1'!$B$2:$C$30,2,0)</f>
        <v>NÃO TEM CHAPA</v>
      </c>
      <c r="R325" s="94">
        <v>45874</v>
      </c>
      <c r="S325" s="90" t="s">
        <v>218</v>
      </c>
      <c r="T325" s="90">
        <f t="shared" si="28"/>
        <v>1</v>
      </c>
      <c r="U325" s="94">
        <v>45884</v>
      </c>
      <c r="V325" s="90"/>
      <c r="W325" s="92">
        <v>2478</v>
      </c>
      <c r="X325" s="93">
        <f t="shared" si="27"/>
        <v>1</v>
      </c>
      <c r="Y325" s="92"/>
      <c r="Z325" s="92"/>
      <c r="AA325" s="13" t="str">
        <f t="shared" si="29"/>
        <v>ago/2025</v>
      </c>
    </row>
    <row r="326" spans="1:27" x14ac:dyDescent="0.25">
      <c r="A326" s="89">
        <v>325</v>
      </c>
      <c r="B326" s="68">
        <v>45862</v>
      </c>
      <c r="C326" s="40">
        <v>56</v>
      </c>
      <c r="D326" s="40">
        <f t="shared" si="25"/>
        <v>1</v>
      </c>
      <c r="E326" s="49" t="s">
        <v>129</v>
      </c>
      <c r="F326" s="17" t="s">
        <v>58</v>
      </c>
      <c r="G326" s="17" t="s">
        <v>86</v>
      </c>
      <c r="H326" s="42" t="s">
        <v>558</v>
      </c>
      <c r="I326" s="17" t="str">
        <f t="shared" si="26"/>
        <v>PN-325</v>
      </c>
      <c r="J326" s="18" t="s">
        <v>85</v>
      </c>
      <c r="K326" s="19" t="e">
        <f>IF(J326="","SEM #CH",VLOOKUP(J326,#REF!,2,0))</f>
        <v>#REF!</v>
      </c>
      <c r="L326" s="19" t="e">
        <f>IF(J326="","SEM #CH",VLOOKUP(J326,#REF!,3,0))</f>
        <v>#REF!</v>
      </c>
      <c r="M326" s="19" t="e">
        <f>IF(J326="","SEM #CH",VLOOKUP(J326,#REF!,4,0))</f>
        <v>#REF!</v>
      </c>
      <c r="N326" s="19" t="e">
        <f>IF(J326="","SEM #CH",VLOOKUP(J326,#REF!,5,0))</f>
        <v>#REF!</v>
      </c>
      <c r="O326" s="19" t="e">
        <f>IF(J326="","SEM #CH",VLOOKUP(J326,#REF!,6,0))</f>
        <v>#REF!</v>
      </c>
      <c r="P326" s="19" t="e">
        <f>IF(J326="","SEM #CH",VLOOKUP(J326,#REF!,7,0))</f>
        <v>#REF!</v>
      </c>
      <c r="Q326" s="77" t="str">
        <f>VLOOKUP(J326,'p1'!$B$2:$C$30,2,0)</f>
        <v>NÃO TEM CHAPA</v>
      </c>
      <c r="R326" s="94">
        <v>45871</v>
      </c>
      <c r="S326" s="90" t="s">
        <v>218</v>
      </c>
      <c r="T326" s="90">
        <f t="shared" si="28"/>
        <v>1</v>
      </c>
      <c r="U326" s="94">
        <v>45894</v>
      </c>
      <c r="V326" s="90" t="s">
        <v>86</v>
      </c>
      <c r="W326" s="92">
        <v>2489</v>
      </c>
      <c r="X326" s="93">
        <f t="shared" si="27"/>
        <v>1</v>
      </c>
      <c r="Y326" s="92"/>
      <c r="Z326" s="92"/>
      <c r="AA326" s="13" t="str">
        <f t="shared" si="29"/>
        <v>ago/2025</v>
      </c>
    </row>
    <row r="327" spans="1:27" x14ac:dyDescent="0.25">
      <c r="A327" s="89">
        <v>326</v>
      </c>
      <c r="B327" s="68">
        <v>45862</v>
      </c>
      <c r="C327" s="40">
        <v>56</v>
      </c>
      <c r="D327" s="40">
        <f t="shared" si="25"/>
        <v>1</v>
      </c>
      <c r="E327" s="49" t="s">
        <v>129</v>
      </c>
      <c r="F327" s="17" t="s">
        <v>58</v>
      </c>
      <c r="G327" s="17" t="s">
        <v>86</v>
      </c>
      <c r="H327" s="42" t="s">
        <v>559</v>
      </c>
      <c r="I327" s="17" t="str">
        <f t="shared" si="26"/>
        <v>PN-326</v>
      </c>
      <c r="J327" s="18" t="s">
        <v>85</v>
      </c>
      <c r="K327" s="19" t="e">
        <f>IF(J327="","SEM #CH",VLOOKUP(J327,#REF!,2,0))</f>
        <v>#REF!</v>
      </c>
      <c r="L327" s="19" t="e">
        <f>IF(J327="","SEM #CH",VLOOKUP(J327,#REF!,3,0))</f>
        <v>#REF!</v>
      </c>
      <c r="M327" s="19" t="e">
        <f>IF(J327="","SEM #CH",VLOOKUP(J327,#REF!,4,0))</f>
        <v>#REF!</v>
      </c>
      <c r="N327" s="19" t="e">
        <f>IF(J327="","SEM #CH",VLOOKUP(J327,#REF!,5,0))</f>
        <v>#REF!</v>
      </c>
      <c r="O327" s="19" t="e">
        <f>IF(J327="","SEM #CH",VLOOKUP(J327,#REF!,6,0))</f>
        <v>#REF!</v>
      </c>
      <c r="P327" s="19" t="e">
        <f>IF(J327="","SEM #CH",VLOOKUP(J327,#REF!,7,0))</f>
        <v>#REF!</v>
      </c>
      <c r="Q327" s="77" t="str">
        <f>VLOOKUP(J327,'p1'!$B$2:$C$30,2,0)</f>
        <v>NÃO TEM CHAPA</v>
      </c>
      <c r="R327" s="94">
        <v>45871</v>
      </c>
      <c r="S327" s="90" t="s">
        <v>218</v>
      </c>
      <c r="T327" s="90">
        <f t="shared" si="28"/>
        <v>1</v>
      </c>
      <c r="U327" s="94">
        <v>45888</v>
      </c>
      <c r="V327" s="90"/>
      <c r="W327" s="92">
        <v>2482</v>
      </c>
      <c r="X327" s="93">
        <f t="shared" si="27"/>
        <v>1</v>
      </c>
      <c r="Y327" s="92"/>
      <c r="Z327" s="92"/>
      <c r="AA327" s="13" t="str">
        <f t="shared" si="29"/>
        <v>ago/2025</v>
      </c>
    </row>
    <row r="328" spans="1:27" x14ac:dyDescent="0.25">
      <c r="A328" s="89">
        <v>327</v>
      </c>
      <c r="B328" s="68">
        <v>45863</v>
      </c>
      <c r="C328" s="40">
        <v>57</v>
      </c>
      <c r="D328" s="40">
        <f t="shared" si="25"/>
        <v>1</v>
      </c>
      <c r="E328" s="49" t="s">
        <v>129</v>
      </c>
      <c r="F328" s="17" t="s">
        <v>58</v>
      </c>
      <c r="G328" s="17" t="s">
        <v>86</v>
      </c>
      <c r="H328" s="42" t="s">
        <v>560</v>
      </c>
      <c r="I328" s="17" t="str">
        <f t="shared" si="26"/>
        <v>PN-327</v>
      </c>
      <c r="J328" s="18" t="s">
        <v>85</v>
      </c>
      <c r="K328" s="19" t="e">
        <f>IF(J328="","SEM #CH",VLOOKUP(J328,#REF!,2,0))</f>
        <v>#REF!</v>
      </c>
      <c r="L328" s="19" t="e">
        <f>IF(J328="","SEM #CH",VLOOKUP(J328,#REF!,3,0))</f>
        <v>#REF!</v>
      </c>
      <c r="M328" s="19" t="e">
        <f>IF(J328="","SEM #CH",VLOOKUP(J328,#REF!,4,0))</f>
        <v>#REF!</v>
      </c>
      <c r="N328" s="19" t="e">
        <f>IF(J328="","SEM #CH",VLOOKUP(J328,#REF!,5,0))</f>
        <v>#REF!</v>
      </c>
      <c r="O328" s="19" t="e">
        <f>IF(J328="","SEM #CH",VLOOKUP(J328,#REF!,6,0))</f>
        <v>#REF!</v>
      </c>
      <c r="P328" s="19" t="e">
        <f>IF(J328="","SEM #CH",VLOOKUP(J328,#REF!,7,0))</f>
        <v>#REF!</v>
      </c>
      <c r="Q328" s="77" t="str">
        <f>VLOOKUP(J328,'p1'!$B$2:$C$30,2,0)</f>
        <v>NÃO TEM CHAPA</v>
      </c>
      <c r="R328" s="94">
        <v>45868</v>
      </c>
      <c r="S328" s="90" t="s">
        <v>217</v>
      </c>
      <c r="T328" s="90">
        <f t="shared" si="28"/>
        <v>1</v>
      </c>
      <c r="U328" s="94">
        <v>45870</v>
      </c>
      <c r="V328" s="90" t="s">
        <v>1048</v>
      </c>
      <c r="W328" s="92">
        <v>2462</v>
      </c>
      <c r="X328" s="93">
        <f t="shared" si="27"/>
        <v>1</v>
      </c>
      <c r="Y328" s="92"/>
      <c r="Z328" s="92"/>
      <c r="AA328" s="13" t="str">
        <f t="shared" si="29"/>
        <v>jul/2025</v>
      </c>
    </row>
    <row r="329" spans="1:27" x14ac:dyDescent="0.25">
      <c r="A329" s="89">
        <v>328</v>
      </c>
      <c r="B329" s="68">
        <v>45863</v>
      </c>
      <c r="C329" s="40">
        <v>57</v>
      </c>
      <c r="D329" s="40">
        <f t="shared" si="25"/>
        <v>1</v>
      </c>
      <c r="E329" s="49" t="s">
        <v>129</v>
      </c>
      <c r="F329" s="17" t="s">
        <v>58</v>
      </c>
      <c r="G329" s="17" t="s">
        <v>86</v>
      </c>
      <c r="H329" s="42" t="s">
        <v>561</v>
      </c>
      <c r="I329" s="17" t="str">
        <f t="shared" si="26"/>
        <v>PN-328</v>
      </c>
      <c r="J329" s="18" t="s">
        <v>85</v>
      </c>
      <c r="K329" s="19" t="e">
        <f>IF(J329="","SEM #CH",VLOOKUP(J329,#REF!,2,0))</f>
        <v>#REF!</v>
      </c>
      <c r="L329" s="19" t="e">
        <f>IF(J329="","SEM #CH",VLOOKUP(J329,#REF!,3,0))</f>
        <v>#REF!</v>
      </c>
      <c r="M329" s="19" t="e">
        <f>IF(J329="","SEM #CH",VLOOKUP(J329,#REF!,4,0))</f>
        <v>#REF!</v>
      </c>
      <c r="N329" s="19" t="e">
        <f>IF(J329="","SEM #CH",VLOOKUP(J329,#REF!,5,0))</f>
        <v>#REF!</v>
      </c>
      <c r="O329" s="19" t="e">
        <f>IF(J329="","SEM #CH",VLOOKUP(J329,#REF!,6,0))</f>
        <v>#REF!</v>
      </c>
      <c r="P329" s="19" t="e">
        <f>IF(J329="","SEM #CH",VLOOKUP(J329,#REF!,7,0))</f>
        <v>#REF!</v>
      </c>
      <c r="Q329" s="77" t="str">
        <f>VLOOKUP(J329,'p1'!$B$2:$C$30,2,0)</f>
        <v>NÃO TEM CHAPA</v>
      </c>
      <c r="R329" s="94">
        <v>45868</v>
      </c>
      <c r="S329" s="90" t="s">
        <v>217</v>
      </c>
      <c r="T329" s="90">
        <f t="shared" si="28"/>
        <v>1</v>
      </c>
      <c r="U329" s="94">
        <v>45896</v>
      </c>
      <c r="V329" s="90" t="s">
        <v>1100</v>
      </c>
      <c r="W329" s="92">
        <v>2498</v>
      </c>
      <c r="X329" s="93">
        <f t="shared" si="27"/>
        <v>1</v>
      </c>
      <c r="Y329" s="92"/>
      <c r="Z329" s="92"/>
      <c r="AA329" s="13" t="str">
        <f t="shared" si="29"/>
        <v>jul/2025</v>
      </c>
    </row>
    <row r="330" spans="1:27" x14ac:dyDescent="0.25">
      <c r="A330" s="89">
        <v>329</v>
      </c>
      <c r="B330" s="68">
        <v>45863</v>
      </c>
      <c r="C330" s="40">
        <v>57</v>
      </c>
      <c r="D330" s="40">
        <f t="shared" si="25"/>
        <v>1</v>
      </c>
      <c r="E330" s="49" t="s">
        <v>129</v>
      </c>
      <c r="F330" s="17" t="s">
        <v>58</v>
      </c>
      <c r="G330" s="17" t="s">
        <v>86</v>
      </c>
      <c r="H330" s="42" t="s">
        <v>562</v>
      </c>
      <c r="I330" s="17" t="str">
        <f t="shared" si="26"/>
        <v>PN-329</v>
      </c>
      <c r="J330" s="18" t="s">
        <v>85</v>
      </c>
      <c r="K330" s="19" t="e">
        <f>IF(J330="","SEM #CH",VLOOKUP(J330,#REF!,2,0))</f>
        <v>#REF!</v>
      </c>
      <c r="L330" s="19" t="e">
        <f>IF(J330="","SEM #CH",VLOOKUP(J330,#REF!,3,0))</f>
        <v>#REF!</v>
      </c>
      <c r="M330" s="19" t="e">
        <f>IF(J330="","SEM #CH",VLOOKUP(J330,#REF!,4,0))</f>
        <v>#REF!</v>
      </c>
      <c r="N330" s="19" t="e">
        <f>IF(J330="","SEM #CH",VLOOKUP(J330,#REF!,5,0))</f>
        <v>#REF!</v>
      </c>
      <c r="O330" s="19" t="e">
        <f>IF(J330="","SEM #CH",VLOOKUP(J330,#REF!,6,0))</f>
        <v>#REF!</v>
      </c>
      <c r="P330" s="19" t="e">
        <f>IF(J330="","SEM #CH",VLOOKUP(J330,#REF!,7,0))</f>
        <v>#REF!</v>
      </c>
      <c r="Q330" s="77" t="str">
        <f>VLOOKUP(J330,'p1'!$B$2:$C$30,2,0)</f>
        <v>NÃO TEM CHAPA</v>
      </c>
      <c r="R330" s="94">
        <v>45868</v>
      </c>
      <c r="S330" s="90" t="s">
        <v>217</v>
      </c>
      <c r="T330" s="90">
        <f t="shared" si="28"/>
        <v>1</v>
      </c>
      <c r="U330" s="94">
        <v>45881</v>
      </c>
      <c r="V330" s="90" t="s">
        <v>1093</v>
      </c>
      <c r="W330" s="92">
        <v>2469</v>
      </c>
      <c r="X330" s="93">
        <f t="shared" si="27"/>
        <v>1</v>
      </c>
      <c r="Y330" s="92"/>
      <c r="Z330" s="92"/>
      <c r="AA330" s="13" t="str">
        <f t="shared" si="29"/>
        <v>jul/2025</v>
      </c>
    </row>
    <row r="331" spans="1:27" x14ac:dyDescent="0.25">
      <c r="A331" s="89">
        <v>330</v>
      </c>
      <c r="B331" s="68">
        <v>45863</v>
      </c>
      <c r="C331" s="40">
        <v>57</v>
      </c>
      <c r="D331" s="40">
        <f t="shared" si="25"/>
        <v>1</v>
      </c>
      <c r="E331" s="49" t="s">
        <v>129</v>
      </c>
      <c r="F331" s="17" t="s">
        <v>58</v>
      </c>
      <c r="G331" s="17" t="s">
        <v>86</v>
      </c>
      <c r="H331" s="42" t="s">
        <v>563</v>
      </c>
      <c r="I331" s="17" t="str">
        <f t="shared" si="26"/>
        <v>PN-330</v>
      </c>
      <c r="J331" s="18" t="s">
        <v>85</v>
      </c>
      <c r="K331" s="19" t="e">
        <f>IF(J331="","SEM #CH",VLOOKUP(J331,#REF!,2,0))</f>
        <v>#REF!</v>
      </c>
      <c r="L331" s="19" t="e">
        <f>IF(J331="","SEM #CH",VLOOKUP(J331,#REF!,3,0))</f>
        <v>#REF!</v>
      </c>
      <c r="M331" s="19" t="e">
        <f>IF(J331="","SEM #CH",VLOOKUP(J331,#REF!,4,0))</f>
        <v>#REF!</v>
      </c>
      <c r="N331" s="19" t="e">
        <f>IF(J331="","SEM #CH",VLOOKUP(J331,#REF!,5,0))</f>
        <v>#REF!</v>
      </c>
      <c r="O331" s="19" t="e">
        <f>IF(J331="","SEM #CH",VLOOKUP(J331,#REF!,6,0))</f>
        <v>#REF!</v>
      </c>
      <c r="P331" s="19" t="e">
        <f>IF(J331="","SEM #CH",VLOOKUP(J331,#REF!,7,0))</f>
        <v>#REF!</v>
      </c>
      <c r="Q331" s="77" t="str">
        <f>VLOOKUP(J331,'p1'!$B$2:$C$30,2,0)</f>
        <v>NÃO TEM CHAPA</v>
      </c>
      <c r="R331" s="94">
        <v>45868</v>
      </c>
      <c r="S331" s="90" t="s">
        <v>217</v>
      </c>
      <c r="T331" s="90">
        <f t="shared" si="28"/>
        <v>1</v>
      </c>
      <c r="U331" s="94">
        <v>45895</v>
      </c>
      <c r="V331" s="90" t="s">
        <v>86</v>
      </c>
      <c r="W331" s="92">
        <v>2494</v>
      </c>
      <c r="X331" s="93">
        <f t="shared" si="27"/>
        <v>1</v>
      </c>
      <c r="Y331" s="92"/>
      <c r="Z331" s="92"/>
      <c r="AA331" s="13" t="str">
        <f t="shared" si="29"/>
        <v>jul/2025</v>
      </c>
    </row>
    <row r="332" spans="1:27" x14ac:dyDescent="0.25">
      <c r="A332" s="89">
        <v>331</v>
      </c>
      <c r="B332" s="68">
        <v>45863</v>
      </c>
      <c r="C332" s="40">
        <v>57</v>
      </c>
      <c r="D332" s="40">
        <f t="shared" si="25"/>
        <v>1</v>
      </c>
      <c r="E332" s="49" t="s">
        <v>129</v>
      </c>
      <c r="F332" s="17" t="s">
        <v>58</v>
      </c>
      <c r="G332" s="17" t="s">
        <v>86</v>
      </c>
      <c r="H332" s="42" t="s">
        <v>564</v>
      </c>
      <c r="I332" s="17" t="str">
        <f t="shared" si="26"/>
        <v>PN-331</v>
      </c>
      <c r="J332" s="18" t="s">
        <v>85</v>
      </c>
      <c r="K332" s="19" t="e">
        <f>IF(J332="","SEM #CH",VLOOKUP(J332,#REF!,2,0))</f>
        <v>#REF!</v>
      </c>
      <c r="L332" s="19" t="e">
        <f>IF(J332="","SEM #CH",VLOOKUP(J332,#REF!,3,0))</f>
        <v>#REF!</v>
      </c>
      <c r="M332" s="19" t="e">
        <f>IF(J332="","SEM #CH",VLOOKUP(J332,#REF!,4,0))</f>
        <v>#REF!</v>
      </c>
      <c r="N332" s="19" t="e">
        <f>IF(J332="","SEM #CH",VLOOKUP(J332,#REF!,5,0))</f>
        <v>#REF!</v>
      </c>
      <c r="O332" s="19" t="e">
        <f>IF(J332="","SEM #CH",VLOOKUP(J332,#REF!,6,0))</f>
        <v>#REF!</v>
      </c>
      <c r="P332" s="19" t="e">
        <f>IF(J332="","SEM #CH",VLOOKUP(J332,#REF!,7,0))</f>
        <v>#REF!</v>
      </c>
      <c r="Q332" s="77" t="str">
        <f>VLOOKUP(J332,'p1'!$B$2:$C$30,2,0)</f>
        <v>NÃO TEM CHAPA</v>
      </c>
      <c r="R332" s="94">
        <v>45869</v>
      </c>
      <c r="S332" s="90" t="s">
        <v>217</v>
      </c>
      <c r="T332" s="90">
        <f t="shared" si="28"/>
        <v>1</v>
      </c>
      <c r="U332" s="94">
        <v>45884</v>
      </c>
      <c r="V332" s="90" t="s">
        <v>1096</v>
      </c>
      <c r="W332" s="92">
        <v>2476</v>
      </c>
      <c r="X332" s="93">
        <f t="shared" si="27"/>
        <v>1</v>
      </c>
      <c r="Y332" s="92"/>
      <c r="Z332" s="92"/>
      <c r="AA332" s="13" t="str">
        <f t="shared" si="29"/>
        <v>jul/2025</v>
      </c>
    </row>
    <row r="333" spans="1:27" x14ac:dyDescent="0.25">
      <c r="A333" s="89">
        <v>332</v>
      </c>
      <c r="B333" s="68">
        <v>45863</v>
      </c>
      <c r="C333" s="40">
        <v>57</v>
      </c>
      <c r="D333" s="40">
        <f t="shared" si="25"/>
        <v>1</v>
      </c>
      <c r="E333" s="49" t="s">
        <v>129</v>
      </c>
      <c r="F333" s="17" t="s">
        <v>58</v>
      </c>
      <c r="G333" s="17" t="s">
        <v>86</v>
      </c>
      <c r="H333" s="42" t="s">
        <v>565</v>
      </c>
      <c r="I333" s="17" t="str">
        <f t="shared" si="26"/>
        <v>PN-332</v>
      </c>
      <c r="J333" s="18" t="s">
        <v>85</v>
      </c>
      <c r="K333" s="19" t="e">
        <f>IF(J333="","SEM #CH",VLOOKUP(J333,#REF!,2,0))</f>
        <v>#REF!</v>
      </c>
      <c r="L333" s="19" t="e">
        <f>IF(J333="","SEM #CH",VLOOKUP(J333,#REF!,3,0))</f>
        <v>#REF!</v>
      </c>
      <c r="M333" s="19" t="e">
        <f>IF(J333="","SEM #CH",VLOOKUP(J333,#REF!,4,0))</f>
        <v>#REF!</v>
      </c>
      <c r="N333" s="19" t="e">
        <f>IF(J333="","SEM #CH",VLOOKUP(J333,#REF!,5,0))</f>
        <v>#REF!</v>
      </c>
      <c r="O333" s="19" t="e">
        <f>IF(J333="","SEM #CH",VLOOKUP(J333,#REF!,6,0))</f>
        <v>#REF!</v>
      </c>
      <c r="P333" s="19" t="e">
        <f>IF(J333="","SEM #CH",VLOOKUP(J333,#REF!,7,0))</f>
        <v>#REF!</v>
      </c>
      <c r="Q333" s="77" t="str">
        <f>VLOOKUP(J333,'p1'!$B$2:$C$30,2,0)</f>
        <v>NÃO TEM CHAPA</v>
      </c>
      <c r="R333" s="94">
        <v>45867</v>
      </c>
      <c r="S333" s="90" t="s">
        <v>217</v>
      </c>
      <c r="T333" s="90">
        <f t="shared" si="28"/>
        <v>1</v>
      </c>
      <c r="U333" s="94">
        <v>45896</v>
      </c>
      <c r="V333" s="90" t="s">
        <v>1100</v>
      </c>
      <c r="W333" s="92">
        <v>2498</v>
      </c>
      <c r="X333" s="93">
        <f t="shared" si="27"/>
        <v>1</v>
      </c>
      <c r="Y333" s="92"/>
      <c r="Z333" s="92"/>
      <c r="AA333" s="13" t="str">
        <f t="shared" si="29"/>
        <v>jul/2025</v>
      </c>
    </row>
    <row r="334" spans="1:27" x14ac:dyDescent="0.25">
      <c r="A334" s="89">
        <v>333</v>
      </c>
      <c r="B334" s="68">
        <v>45863</v>
      </c>
      <c r="C334" s="40">
        <v>57</v>
      </c>
      <c r="D334" s="40">
        <f t="shared" si="25"/>
        <v>1</v>
      </c>
      <c r="E334" s="49" t="s">
        <v>129</v>
      </c>
      <c r="F334" s="17" t="s">
        <v>58</v>
      </c>
      <c r="G334" s="17" t="s">
        <v>86</v>
      </c>
      <c r="H334" s="42" t="s">
        <v>566</v>
      </c>
      <c r="I334" s="17" t="str">
        <f t="shared" si="26"/>
        <v>PN-333</v>
      </c>
      <c r="J334" s="18" t="s">
        <v>85</v>
      </c>
      <c r="K334" s="19" t="e">
        <f>IF(J334="","SEM #CH",VLOOKUP(J334,#REF!,2,0))</f>
        <v>#REF!</v>
      </c>
      <c r="L334" s="19" t="e">
        <f>IF(J334="","SEM #CH",VLOOKUP(J334,#REF!,3,0))</f>
        <v>#REF!</v>
      </c>
      <c r="M334" s="19" t="e">
        <f>IF(J334="","SEM #CH",VLOOKUP(J334,#REF!,4,0))</f>
        <v>#REF!</v>
      </c>
      <c r="N334" s="19" t="e">
        <f>IF(J334="","SEM #CH",VLOOKUP(J334,#REF!,5,0))</f>
        <v>#REF!</v>
      </c>
      <c r="O334" s="19" t="e">
        <f>IF(J334="","SEM #CH",VLOOKUP(J334,#REF!,6,0))</f>
        <v>#REF!</v>
      </c>
      <c r="P334" s="19" t="e">
        <f>IF(J334="","SEM #CH",VLOOKUP(J334,#REF!,7,0))</f>
        <v>#REF!</v>
      </c>
      <c r="Q334" s="77" t="str">
        <f>VLOOKUP(J334,'p1'!$B$2:$C$30,2,0)</f>
        <v>NÃO TEM CHAPA</v>
      </c>
      <c r="R334" s="94">
        <v>45867</v>
      </c>
      <c r="S334" s="90" t="s">
        <v>217</v>
      </c>
      <c r="T334" s="90">
        <f t="shared" si="28"/>
        <v>1</v>
      </c>
      <c r="U334" s="94">
        <v>45898</v>
      </c>
      <c r="V334" s="90" t="s">
        <v>86</v>
      </c>
      <c r="W334" s="92">
        <v>2501</v>
      </c>
      <c r="X334" s="93">
        <f t="shared" si="27"/>
        <v>1</v>
      </c>
      <c r="Y334" s="92"/>
      <c r="Z334" s="92"/>
      <c r="AA334" s="13" t="str">
        <f t="shared" si="29"/>
        <v>jul/2025</v>
      </c>
    </row>
    <row r="335" spans="1:27" x14ac:dyDescent="0.25">
      <c r="A335" s="89">
        <v>334</v>
      </c>
      <c r="B335" s="68">
        <v>45842</v>
      </c>
      <c r="C335" s="40">
        <v>44</v>
      </c>
      <c r="D335" s="40">
        <f t="shared" si="25"/>
        <v>1</v>
      </c>
      <c r="E335" s="49" t="s">
        <v>129</v>
      </c>
      <c r="F335" s="17" t="s">
        <v>60</v>
      </c>
      <c r="G335" s="17" t="s">
        <v>86</v>
      </c>
      <c r="H335" s="42" t="s">
        <v>567</v>
      </c>
      <c r="I335" s="17" t="str">
        <f t="shared" si="26"/>
        <v>PE-334</v>
      </c>
      <c r="J335" s="18" t="s">
        <v>90</v>
      </c>
      <c r="K335" s="19" t="e">
        <f>IF(J335="","SEM #CH",VLOOKUP(J335,#REF!,2,0))</f>
        <v>#REF!</v>
      </c>
      <c r="L335" s="19" t="e">
        <f>IF(J335="","SEM #CH",VLOOKUP(J335,#REF!,3,0))</f>
        <v>#REF!</v>
      </c>
      <c r="M335" s="19" t="e">
        <f>IF(J335="","SEM #CH",VLOOKUP(J335,#REF!,4,0))</f>
        <v>#REF!</v>
      </c>
      <c r="N335" s="19" t="e">
        <f>IF(J335="","SEM #CH",VLOOKUP(J335,#REF!,5,0))</f>
        <v>#REF!</v>
      </c>
      <c r="O335" s="19" t="e">
        <f>IF(J335="","SEM #CH",VLOOKUP(J335,#REF!,6,0))</f>
        <v>#REF!</v>
      </c>
      <c r="P335" s="19" t="e">
        <f>IF(J335="","SEM #CH",VLOOKUP(J335,#REF!,7,0))</f>
        <v>#REF!</v>
      </c>
      <c r="Q335" s="77" t="str">
        <f>VLOOKUP(J335,'p1'!$B$2:$C$30,2,0)</f>
        <v>#3/8-530X530</v>
      </c>
      <c r="R335" s="94">
        <v>45862</v>
      </c>
      <c r="S335" s="90" t="s">
        <v>217</v>
      </c>
      <c r="T335" s="90">
        <f t="shared" si="28"/>
        <v>1</v>
      </c>
      <c r="U335" s="94">
        <v>45896</v>
      </c>
      <c r="V335" s="90" t="s">
        <v>86</v>
      </c>
      <c r="W335" s="92">
        <v>2496</v>
      </c>
      <c r="X335" s="93">
        <f t="shared" si="27"/>
        <v>1</v>
      </c>
      <c r="Y335" s="92"/>
      <c r="Z335" s="92"/>
      <c r="AA335" s="13" t="str">
        <f t="shared" si="29"/>
        <v>jul/2025</v>
      </c>
    </row>
    <row r="336" spans="1:27" x14ac:dyDescent="0.25">
      <c r="A336" s="89">
        <v>335</v>
      </c>
      <c r="B336" s="68">
        <v>45864</v>
      </c>
      <c r="C336" s="40">
        <v>58</v>
      </c>
      <c r="D336" s="40">
        <f t="shared" si="25"/>
        <v>1</v>
      </c>
      <c r="E336" s="49" t="s">
        <v>129</v>
      </c>
      <c r="F336" s="17" t="s">
        <v>58</v>
      </c>
      <c r="G336" s="17" t="s">
        <v>86</v>
      </c>
      <c r="H336" s="42" t="s">
        <v>568</v>
      </c>
      <c r="I336" s="17" t="s">
        <v>1154</v>
      </c>
      <c r="J336" s="18" t="s">
        <v>85</v>
      </c>
      <c r="K336" s="19" t="e">
        <f>IF(J336="","SEM #CH",VLOOKUP(J336,#REF!,2,0))</f>
        <v>#REF!</v>
      </c>
      <c r="L336" s="19" t="e">
        <f>IF(J336="","SEM #CH",VLOOKUP(J336,#REF!,3,0))</f>
        <v>#REF!</v>
      </c>
      <c r="M336" s="19" t="e">
        <f>IF(J336="","SEM #CH",VLOOKUP(J336,#REF!,4,0))</f>
        <v>#REF!</v>
      </c>
      <c r="N336" s="19" t="e">
        <f>IF(J336="","SEM #CH",VLOOKUP(J336,#REF!,5,0))</f>
        <v>#REF!</v>
      </c>
      <c r="O336" s="19" t="e">
        <f>IF(J336="","SEM #CH",VLOOKUP(J336,#REF!,6,0))</f>
        <v>#REF!</v>
      </c>
      <c r="P336" s="19" t="e">
        <f>IF(J336="","SEM #CH",VLOOKUP(J336,#REF!,7,0))</f>
        <v>#REF!</v>
      </c>
      <c r="Q336" s="77" t="str">
        <f>VLOOKUP(J336,'p1'!$B$2:$C$30,2,0)</f>
        <v>NÃO TEM CHAPA</v>
      </c>
      <c r="R336" s="94">
        <v>45898</v>
      </c>
      <c r="S336" s="90" t="s">
        <v>218</v>
      </c>
      <c r="T336" s="90">
        <f t="shared" si="28"/>
        <v>1</v>
      </c>
      <c r="U336" s="94">
        <v>45931</v>
      </c>
      <c r="V336" s="90" t="s">
        <v>86</v>
      </c>
      <c r="W336" s="92">
        <v>2558</v>
      </c>
      <c r="X336" s="93">
        <f t="shared" si="27"/>
        <v>1</v>
      </c>
      <c r="Y336" s="92"/>
      <c r="Z336" s="92"/>
      <c r="AA336" s="13" t="str">
        <f t="shared" si="29"/>
        <v>ago/2025</v>
      </c>
    </row>
    <row r="337" spans="1:27" x14ac:dyDescent="0.25">
      <c r="A337" s="89">
        <v>336</v>
      </c>
      <c r="B337" s="68">
        <v>45864</v>
      </c>
      <c r="C337" s="40">
        <v>58</v>
      </c>
      <c r="D337" s="40">
        <f t="shared" si="25"/>
        <v>1</v>
      </c>
      <c r="E337" s="49" t="s">
        <v>129</v>
      </c>
      <c r="F337" s="17" t="s">
        <v>58</v>
      </c>
      <c r="G337" s="17" t="s">
        <v>86</v>
      </c>
      <c r="H337" s="42" t="s">
        <v>569</v>
      </c>
      <c r="I337" s="17" t="str">
        <f t="shared" si="26"/>
        <v>PN-336</v>
      </c>
      <c r="J337" s="18" t="s">
        <v>85</v>
      </c>
      <c r="K337" s="19" t="e">
        <f>IF(J337="","SEM #CH",VLOOKUP(J337,#REF!,2,0))</f>
        <v>#REF!</v>
      </c>
      <c r="L337" s="19" t="e">
        <f>IF(J337="","SEM #CH",VLOOKUP(J337,#REF!,3,0))</f>
        <v>#REF!</v>
      </c>
      <c r="M337" s="19" t="e">
        <f>IF(J337="","SEM #CH",VLOOKUP(J337,#REF!,4,0))</f>
        <v>#REF!</v>
      </c>
      <c r="N337" s="19" t="e">
        <f>IF(J337="","SEM #CH",VLOOKUP(J337,#REF!,5,0))</f>
        <v>#REF!</v>
      </c>
      <c r="O337" s="19" t="e">
        <f>IF(J337="","SEM #CH",VLOOKUP(J337,#REF!,6,0))</f>
        <v>#REF!</v>
      </c>
      <c r="P337" s="19" t="e">
        <f>IF(J337="","SEM #CH",VLOOKUP(J337,#REF!,7,0))</f>
        <v>#REF!</v>
      </c>
      <c r="Q337" s="77" t="str">
        <f>VLOOKUP(J337,'p1'!$B$2:$C$30,2,0)</f>
        <v>NÃO TEM CHAPA</v>
      </c>
      <c r="R337" s="94">
        <v>45885</v>
      </c>
      <c r="S337" s="90" t="s">
        <v>218</v>
      </c>
      <c r="T337" s="90">
        <f t="shared" si="28"/>
        <v>1</v>
      </c>
      <c r="U337" s="94">
        <v>45887</v>
      </c>
      <c r="V337" s="90" t="s">
        <v>1048</v>
      </c>
      <c r="W337" s="92">
        <v>2479</v>
      </c>
      <c r="X337" s="93">
        <f t="shared" si="27"/>
        <v>1</v>
      </c>
      <c r="Y337" s="92"/>
      <c r="Z337" s="92"/>
      <c r="AA337" s="13" t="str">
        <f t="shared" si="29"/>
        <v>ago/2025</v>
      </c>
    </row>
    <row r="338" spans="1:27" x14ac:dyDescent="0.25">
      <c r="A338" s="89">
        <v>337</v>
      </c>
      <c r="B338" s="68">
        <v>45864</v>
      </c>
      <c r="C338" s="40">
        <v>58</v>
      </c>
      <c r="D338" s="40">
        <f t="shared" si="25"/>
        <v>1</v>
      </c>
      <c r="E338" s="49" t="s">
        <v>129</v>
      </c>
      <c r="F338" s="17" t="s">
        <v>58</v>
      </c>
      <c r="G338" s="17" t="s">
        <v>86</v>
      </c>
      <c r="H338" s="42" t="s">
        <v>570</v>
      </c>
      <c r="I338" s="17" t="str">
        <f t="shared" si="26"/>
        <v>PN-337</v>
      </c>
      <c r="J338" s="18" t="s">
        <v>85</v>
      </c>
      <c r="K338" s="19" t="e">
        <f>IF(J338="","SEM #CH",VLOOKUP(J338,#REF!,2,0))</f>
        <v>#REF!</v>
      </c>
      <c r="L338" s="19" t="e">
        <f>IF(J338="","SEM #CH",VLOOKUP(J338,#REF!,3,0))</f>
        <v>#REF!</v>
      </c>
      <c r="M338" s="19" t="e">
        <f>IF(J338="","SEM #CH",VLOOKUP(J338,#REF!,4,0))</f>
        <v>#REF!</v>
      </c>
      <c r="N338" s="19" t="e">
        <f>IF(J338="","SEM #CH",VLOOKUP(J338,#REF!,5,0))</f>
        <v>#REF!</v>
      </c>
      <c r="O338" s="19" t="e">
        <f>IF(J338="","SEM #CH",VLOOKUP(J338,#REF!,6,0))</f>
        <v>#REF!</v>
      </c>
      <c r="P338" s="19" t="e">
        <f>IF(J338="","SEM #CH",VLOOKUP(J338,#REF!,7,0))</f>
        <v>#REF!</v>
      </c>
      <c r="Q338" s="77" t="str">
        <f>VLOOKUP(J338,'p1'!$B$2:$C$30,2,0)</f>
        <v>NÃO TEM CHAPA</v>
      </c>
      <c r="R338" s="94">
        <v>45885</v>
      </c>
      <c r="S338" s="90" t="s">
        <v>218</v>
      </c>
      <c r="T338" s="90">
        <f t="shared" si="28"/>
        <v>1</v>
      </c>
      <c r="U338" s="94">
        <v>45887</v>
      </c>
      <c r="V338" s="90" t="s">
        <v>1048</v>
      </c>
      <c r="W338" s="92">
        <v>2479</v>
      </c>
      <c r="X338" s="93">
        <f t="shared" si="27"/>
        <v>1</v>
      </c>
      <c r="Y338" s="92"/>
      <c r="Z338" s="92"/>
      <c r="AA338" s="13" t="str">
        <f t="shared" si="29"/>
        <v>ago/2025</v>
      </c>
    </row>
    <row r="339" spans="1:27" x14ac:dyDescent="0.25">
      <c r="A339" s="89">
        <v>338</v>
      </c>
      <c r="B339" s="68">
        <v>45864</v>
      </c>
      <c r="C339" s="40">
        <v>58</v>
      </c>
      <c r="D339" s="40">
        <f t="shared" si="25"/>
        <v>1</v>
      </c>
      <c r="E339" s="49" t="s">
        <v>129</v>
      </c>
      <c r="F339" s="17" t="s">
        <v>58</v>
      </c>
      <c r="G339" s="17" t="s">
        <v>86</v>
      </c>
      <c r="H339" s="42" t="s">
        <v>571</v>
      </c>
      <c r="I339" s="17" t="str">
        <f t="shared" si="26"/>
        <v>PN-338</v>
      </c>
      <c r="J339" s="18" t="s">
        <v>85</v>
      </c>
      <c r="K339" s="19" t="e">
        <f>IF(J339="","SEM #CH",VLOOKUP(J339,#REF!,2,0))</f>
        <v>#REF!</v>
      </c>
      <c r="L339" s="19" t="e">
        <f>IF(J339="","SEM #CH",VLOOKUP(J339,#REF!,3,0))</f>
        <v>#REF!</v>
      </c>
      <c r="M339" s="19" t="e">
        <f>IF(J339="","SEM #CH",VLOOKUP(J339,#REF!,4,0))</f>
        <v>#REF!</v>
      </c>
      <c r="N339" s="19" t="e">
        <f>IF(J339="","SEM #CH",VLOOKUP(J339,#REF!,5,0))</f>
        <v>#REF!</v>
      </c>
      <c r="O339" s="19" t="e">
        <f>IF(J339="","SEM #CH",VLOOKUP(J339,#REF!,6,0))</f>
        <v>#REF!</v>
      </c>
      <c r="P339" s="19" t="e">
        <f>IF(J339="","SEM #CH",VLOOKUP(J339,#REF!,7,0))</f>
        <v>#REF!</v>
      </c>
      <c r="Q339" s="77" t="str">
        <f>VLOOKUP(J339,'p1'!$B$2:$C$30,2,0)</f>
        <v>NÃO TEM CHAPA</v>
      </c>
      <c r="R339" s="94">
        <v>45884</v>
      </c>
      <c r="S339" s="90" t="s">
        <v>218</v>
      </c>
      <c r="T339" s="90">
        <f t="shared" si="28"/>
        <v>1</v>
      </c>
      <c r="U339" s="94">
        <v>45884</v>
      </c>
      <c r="V339" s="90"/>
      <c r="W339" s="92">
        <v>2478</v>
      </c>
      <c r="X339" s="93">
        <f t="shared" si="27"/>
        <v>1</v>
      </c>
      <c r="Y339" s="92"/>
      <c r="Z339" s="92"/>
      <c r="AA339" s="13" t="str">
        <f t="shared" si="29"/>
        <v>ago/2025</v>
      </c>
    </row>
    <row r="340" spans="1:27" x14ac:dyDescent="0.25">
      <c r="A340" s="89">
        <v>339</v>
      </c>
      <c r="B340" s="68">
        <v>45864</v>
      </c>
      <c r="C340" s="40">
        <v>58</v>
      </c>
      <c r="D340" s="40">
        <f t="shared" si="25"/>
        <v>1</v>
      </c>
      <c r="E340" s="49" t="s">
        <v>129</v>
      </c>
      <c r="F340" s="17" t="s">
        <v>58</v>
      </c>
      <c r="G340" s="17" t="s">
        <v>86</v>
      </c>
      <c r="H340" s="42" t="s">
        <v>572</v>
      </c>
      <c r="I340" s="17" t="str">
        <f t="shared" si="26"/>
        <v>PN-339</v>
      </c>
      <c r="J340" s="18" t="s">
        <v>85</v>
      </c>
      <c r="K340" s="19" t="e">
        <f>IF(J340="","SEM #CH",VLOOKUP(J340,#REF!,2,0))</f>
        <v>#REF!</v>
      </c>
      <c r="L340" s="19" t="e">
        <f>IF(J340="","SEM #CH",VLOOKUP(J340,#REF!,3,0))</f>
        <v>#REF!</v>
      </c>
      <c r="M340" s="19" t="e">
        <f>IF(J340="","SEM #CH",VLOOKUP(J340,#REF!,4,0))</f>
        <v>#REF!</v>
      </c>
      <c r="N340" s="19" t="e">
        <f>IF(J340="","SEM #CH",VLOOKUP(J340,#REF!,5,0))</f>
        <v>#REF!</v>
      </c>
      <c r="O340" s="19" t="e">
        <f>IF(J340="","SEM #CH",VLOOKUP(J340,#REF!,6,0))</f>
        <v>#REF!</v>
      </c>
      <c r="P340" s="19" t="e">
        <f>IF(J340="","SEM #CH",VLOOKUP(J340,#REF!,7,0))</f>
        <v>#REF!</v>
      </c>
      <c r="Q340" s="77" t="str">
        <f>VLOOKUP(J340,'p1'!$B$2:$C$30,2,0)</f>
        <v>NÃO TEM CHAPA</v>
      </c>
      <c r="R340" s="94">
        <v>45884</v>
      </c>
      <c r="S340" s="90" t="s">
        <v>218</v>
      </c>
      <c r="T340" s="90">
        <f t="shared" si="28"/>
        <v>1</v>
      </c>
      <c r="U340" s="94">
        <v>45884</v>
      </c>
      <c r="V340" s="90"/>
      <c r="W340" s="92">
        <v>2478</v>
      </c>
      <c r="X340" s="93">
        <f t="shared" si="27"/>
        <v>1</v>
      </c>
      <c r="Y340" s="92"/>
      <c r="Z340" s="92"/>
      <c r="AA340" s="13" t="str">
        <f t="shared" si="29"/>
        <v>ago/2025</v>
      </c>
    </row>
    <row r="341" spans="1:27" x14ac:dyDescent="0.25">
      <c r="A341" s="89">
        <v>340</v>
      </c>
      <c r="B341" s="68">
        <v>45864</v>
      </c>
      <c r="C341" s="40">
        <v>58</v>
      </c>
      <c r="D341" s="40">
        <f t="shared" si="25"/>
        <v>1</v>
      </c>
      <c r="E341" s="49" t="s">
        <v>129</v>
      </c>
      <c r="F341" s="17" t="s">
        <v>58</v>
      </c>
      <c r="G341" s="17" t="s">
        <v>86</v>
      </c>
      <c r="H341" s="42" t="s">
        <v>573</v>
      </c>
      <c r="I341" s="17" t="str">
        <f t="shared" si="26"/>
        <v>PN-340</v>
      </c>
      <c r="J341" s="18" t="s">
        <v>85</v>
      </c>
      <c r="K341" s="19" t="e">
        <f>IF(J341="","SEM #CH",VLOOKUP(J341,#REF!,2,0))</f>
        <v>#REF!</v>
      </c>
      <c r="L341" s="19" t="e">
        <f>IF(J341="","SEM #CH",VLOOKUP(J341,#REF!,3,0))</f>
        <v>#REF!</v>
      </c>
      <c r="M341" s="19" t="e">
        <f>IF(J341="","SEM #CH",VLOOKUP(J341,#REF!,4,0))</f>
        <v>#REF!</v>
      </c>
      <c r="N341" s="19" t="e">
        <f>IF(J341="","SEM #CH",VLOOKUP(J341,#REF!,5,0))</f>
        <v>#REF!</v>
      </c>
      <c r="O341" s="19" t="e">
        <f>IF(J341="","SEM #CH",VLOOKUP(J341,#REF!,6,0))</f>
        <v>#REF!</v>
      </c>
      <c r="P341" s="19" t="e">
        <f>IF(J341="","SEM #CH",VLOOKUP(J341,#REF!,7,0))</f>
        <v>#REF!</v>
      </c>
      <c r="Q341" s="77" t="str">
        <f>VLOOKUP(J341,'p1'!$B$2:$C$30,2,0)</f>
        <v>NÃO TEM CHAPA</v>
      </c>
      <c r="R341" s="94">
        <v>45884</v>
      </c>
      <c r="S341" s="90" t="s">
        <v>218</v>
      </c>
      <c r="T341" s="90">
        <f t="shared" si="28"/>
        <v>1</v>
      </c>
      <c r="U341" s="94">
        <v>45891</v>
      </c>
      <c r="V341" s="90" t="s">
        <v>86</v>
      </c>
      <c r="W341" s="92">
        <v>2487</v>
      </c>
      <c r="X341" s="93">
        <f t="shared" si="27"/>
        <v>1</v>
      </c>
      <c r="Y341" s="92"/>
      <c r="Z341" s="92"/>
      <c r="AA341" s="13" t="str">
        <f t="shared" si="29"/>
        <v>ago/2025</v>
      </c>
    </row>
    <row r="342" spans="1:27" x14ac:dyDescent="0.25">
      <c r="A342" s="89">
        <v>341</v>
      </c>
      <c r="B342" s="68">
        <v>45864</v>
      </c>
      <c r="C342" s="40">
        <v>58</v>
      </c>
      <c r="D342" s="40">
        <f t="shared" si="25"/>
        <v>1</v>
      </c>
      <c r="E342" s="49" t="s">
        <v>129</v>
      </c>
      <c r="F342" s="17" t="s">
        <v>58</v>
      </c>
      <c r="G342" s="17" t="s">
        <v>86</v>
      </c>
      <c r="H342" s="42" t="s">
        <v>574</v>
      </c>
      <c r="I342" s="17" t="str">
        <f t="shared" si="26"/>
        <v>PN-341</v>
      </c>
      <c r="J342" s="18" t="s">
        <v>85</v>
      </c>
      <c r="K342" s="19" t="e">
        <f>IF(J342="","SEM #CH",VLOOKUP(J342,#REF!,2,0))</f>
        <v>#REF!</v>
      </c>
      <c r="L342" s="19" t="e">
        <f>IF(J342="","SEM #CH",VLOOKUP(J342,#REF!,3,0))</f>
        <v>#REF!</v>
      </c>
      <c r="M342" s="19" t="e">
        <f>IF(J342="","SEM #CH",VLOOKUP(J342,#REF!,4,0))</f>
        <v>#REF!</v>
      </c>
      <c r="N342" s="19" t="e">
        <f>IF(J342="","SEM #CH",VLOOKUP(J342,#REF!,5,0))</f>
        <v>#REF!</v>
      </c>
      <c r="O342" s="19" t="e">
        <f>IF(J342="","SEM #CH",VLOOKUP(J342,#REF!,6,0))</f>
        <v>#REF!</v>
      </c>
      <c r="P342" s="19" t="e">
        <f>IF(J342="","SEM #CH",VLOOKUP(J342,#REF!,7,0))</f>
        <v>#REF!</v>
      </c>
      <c r="Q342" s="77" t="str">
        <f>VLOOKUP(J342,'p1'!$B$2:$C$30,2,0)</f>
        <v>NÃO TEM CHAPA</v>
      </c>
      <c r="R342" s="94">
        <v>45883</v>
      </c>
      <c r="S342" s="90" t="s">
        <v>218</v>
      </c>
      <c r="T342" s="90">
        <f t="shared" si="28"/>
        <v>1</v>
      </c>
      <c r="U342" s="94">
        <v>45891</v>
      </c>
      <c r="V342" s="90" t="s">
        <v>86</v>
      </c>
      <c r="W342" s="92">
        <v>2486</v>
      </c>
      <c r="X342" s="93">
        <f t="shared" si="27"/>
        <v>1</v>
      </c>
      <c r="Y342" s="92"/>
      <c r="Z342" s="92"/>
      <c r="AA342" s="13" t="str">
        <f t="shared" si="29"/>
        <v>ago/2025</v>
      </c>
    </row>
    <row r="343" spans="1:27" x14ac:dyDescent="0.25">
      <c r="A343" s="89">
        <v>342</v>
      </c>
      <c r="B343" s="68">
        <v>45904</v>
      </c>
      <c r="C343" s="40">
        <v>84</v>
      </c>
      <c r="D343" s="40">
        <f t="shared" si="25"/>
        <v>1</v>
      </c>
      <c r="E343" s="49" t="s">
        <v>129</v>
      </c>
      <c r="F343" s="17" t="s">
        <v>61</v>
      </c>
      <c r="G343" s="17" t="s">
        <v>86</v>
      </c>
      <c r="H343" s="42" t="s">
        <v>575</v>
      </c>
      <c r="I343" s="17" t="str">
        <f t="shared" si="26"/>
        <v>PF-342</v>
      </c>
      <c r="J343" s="18" t="s">
        <v>61</v>
      </c>
      <c r="K343" s="19" t="e">
        <f>IF(J343="","SEM #CH",VLOOKUP(J343,#REF!,2,0))</f>
        <v>#REF!</v>
      </c>
      <c r="L343" s="19" t="e">
        <f>IF(J343="","SEM #CH",VLOOKUP(J343,#REF!,3,0))</f>
        <v>#REF!</v>
      </c>
      <c r="M343" s="19" t="e">
        <f>IF(J343="","SEM #CH",VLOOKUP(J343,#REF!,4,0))</f>
        <v>#REF!</v>
      </c>
      <c r="N343" s="19" t="e">
        <f>IF(J343="","SEM #CH",VLOOKUP(J343,#REF!,5,0))</f>
        <v>#REF!</v>
      </c>
      <c r="O343" s="19" t="e">
        <f>IF(J343="","SEM #CH",VLOOKUP(J343,#REF!,6,0))</f>
        <v>#REF!</v>
      </c>
      <c r="P343" s="19" t="e">
        <f>IF(J343="","SEM #CH",VLOOKUP(J343,#REF!,7,0))</f>
        <v>#REF!</v>
      </c>
      <c r="Q343" s="77" t="str">
        <f>VLOOKUP(J343,'p1'!$B$2:$C$30,2,0)</f>
        <v>SEM CHAPA</v>
      </c>
      <c r="R343" s="94">
        <v>45908</v>
      </c>
      <c r="S343" s="90" t="s">
        <v>217</v>
      </c>
      <c r="T343" s="90">
        <f t="shared" si="28"/>
        <v>1</v>
      </c>
      <c r="U343" s="94">
        <v>45908</v>
      </c>
      <c r="V343" s="90" t="s">
        <v>86</v>
      </c>
      <c r="W343" s="92">
        <v>2507</v>
      </c>
      <c r="X343" s="93">
        <f t="shared" si="27"/>
        <v>1</v>
      </c>
      <c r="Y343" s="92"/>
      <c r="Z343" s="92"/>
      <c r="AA343" s="13" t="str">
        <f t="shared" si="29"/>
        <v>set/2025</v>
      </c>
    </row>
    <row r="344" spans="1:27" x14ac:dyDescent="0.25">
      <c r="A344" s="89">
        <v>343</v>
      </c>
      <c r="B344" s="68">
        <v>45867</v>
      </c>
      <c r="C344" s="40">
        <v>59</v>
      </c>
      <c r="D344" s="40">
        <f t="shared" si="25"/>
        <v>1</v>
      </c>
      <c r="E344" s="49" t="s">
        <v>129</v>
      </c>
      <c r="F344" s="17" t="s">
        <v>58</v>
      </c>
      <c r="G344" s="17" t="s">
        <v>86</v>
      </c>
      <c r="H344" s="42" t="s">
        <v>576</v>
      </c>
      <c r="I344" s="17" t="str">
        <f t="shared" si="26"/>
        <v>PN-343</v>
      </c>
      <c r="J344" s="18" t="s">
        <v>85</v>
      </c>
      <c r="K344" s="19" t="e">
        <f>IF(J344="","SEM #CH",VLOOKUP(J344,#REF!,2,0))</f>
        <v>#REF!</v>
      </c>
      <c r="L344" s="19" t="e">
        <f>IF(J344="","SEM #CH",VLOOKUP(J344,#REF!,3,0))</f>
        <v>#REF!</v>
      </c>
      <c r="M344" s="19" t="e">
        <f>IF(J344="","SEM #CH",VLOOKUP(J344,#REF!,4,0))</f>
        <v>#REF!</v>
      </c>
      <c r="N344" s="19" t="e">
        <f>IF(J344="","SEM #CH",VLOOKUP(J344,#REF!,5,0))</f>
        <v>#REF!</v>
      </c>
      <c r="O344" s="19" t="e">
        <f>IF(J344="","SEM #CH",VLOOKUP(J344,#REF!,6,0))</f>
        <v>#REF!</v>
      </c>
      <c r="P344" s="19" t="e">
        <f>IF(J344="","SEM #CH",VLOOKUP(J344,#REF!,7,0))</f>
        <v>#REF!</v>
      </c>
      <c r="Q344" s="77" t="str">
        <f>VLOOKUP(J344,'p1'!$B$2:$C$30,2,0)</f>
        <v>NÃO TEM CHAPA</v>
      </c>
      <c r="R344" s="94">
        <v>45883</v>
      </c>
      <c r="S344" s="90" t="s">
        <v>217</v>
      </c>
      <c r="T344" s="90">
        <f t="shared" si="28"/>
        <v>1</v>
      </c>
      <c r="U344" s="94">
        <v>45884</v>
      </c>
      <c r="V344" s="90" t="s">
        <v>1096</v>
      </c>
      <c r="W344" s="92">
        <v>2476</v>
      </c>
      <c r="X344" s="93">
        <f t="shared" si="27"/>
        <v>1</v>
      </c>
      <c r="Y344" s="92"/>
      <c r="Z344" s="92"/>
      <c r="AA344" s="13" t="str">
        <f t="shared" si="29"/>
        <v>ago/2025</v>
      </c>
    </row>
    <row r="345" spans="1:27" x14ac:dyDescent="0.25">
      <c r="A345" s="89">
        <v>344</v>
      </c>
      <c r="B345" s="68">
        <v>45867</v>
      </c>
      <c r="C345" s="40">
        <v>59</v>
      </c>
      <c r="D345" s="40">
        <f t="shared" si="25"/>
        <v>1</v>
      </c>
      <c r="E345" s="49" t="s">
        <v>129</v>
      </c>
      <c r="F345" s="17" t="s">
        <v>58</v>
      </c>
      <c r="G345" s="17" t="s">
        <v>86</v>
      </c>
      <c r="H345" s="42" t="s">
        <v>577</v>
      </c>
      <c r="I345" s="17" t="str">
        <f t="shared" si="26"/>
        <v>PN-344</v>
      </c>
      <c r="J345" s="18" t="s">
        <v>85</v>
      </c>
      <c r="K345" s="19" t="e">
        <f>IF(J345="","SEM #CH",VLOOKUP(J345,#REF!,2,0))</f>
        <v>#REF!</v>
      </c>
      <c r="L345" s="19" t="e">
        <f>IF(J345="","SEM #CH",VLOOKUP(J345,#REF!,3,0))</f>
        <v>#REF!</v>
      </c>
      <c r="M345" s="19" t="e">
        <f>IF(J345="","SEM #CH",VLOOKUP(J345,#REF!,4,0))</f>
        <v>#REF!</v>
      </c>
      <c r="N345" s="19" t="e">
        <f>IF(J345="","SEM #CH",VLOOKUP(J345,#REF!,5,0))</f>
        <v>#REF!</v>
      </c>
      <c r="O345" s="19" t="e">
        <f>IF(J345="","SEM #CH",VLOOKUP(J345,#REF!,6,0))</f>
        <v>#REF!</v>
      </c>
      <c r="P345" s="19" t="e">
        <f>IF(J345="","SEM #CH",VLOOKUP(J345,#REF!,7,0))</f>
        <v>#REF!</v>
      </c>
      <c r="Q345" s="77" t="str">
        <f>VLOOKUP(J345,'p1'!$B$2:$C$30,2,0)</f>
        <v>NÃO TEM CHAPA</v>
      </c>
      <c r="R345" s="94">
        <v>45884</v>
      </c>
      <c r="S345" s="90" t="s">
        <v>217</v>
      </c>
      <c r="T345" s="90">
        <f t="shared" si="28"/>
        <v>1</v>
      </c>
      <c r="U345" s="94">
        <v>45884</v>
      </c>
      <c r="V345" s="90" t="s">
        <v>1096</v>
      </c>
      <c r="W345" s="92">
        <v>2476</v>
      </c>
      <c r="X345" s="93">
        <f t="shared" si="27"/>
        <v>1</v>
      </c>
      <c r="Y345" s="92"/>
      <c r="Z345" s="92"/>
      <c r="AA345" s="13" t="str">
        <f t="shared" si="29"/>
        <v>ago/2025</v>
      </c>
    </row>
    <row r="346" spans="1:27" x14ac:dyDescent="0.25">
      <c r="A346" s="89">
        <v>345</v>
      </c>
      <c r="B346" s="68">
        <v>45867</v>
      </c>
      <c r="C346" s="40">
        <v>59</v>
      </c>
      <c r="D346" s="40">
        <f t="shared" si="25"/>
        <v>1</v>
      </c>
      <c r="E346" s="49" t="s">
        <v>129</v>
      </c>
      <c r="F346" s="17" t="s">
        <v>58</v>
      </c>
      <c r="G346" s="17" t="s">
        <v>86</v>
      </c>
      <c r="H346" s="42" t="s">
        <v>578</v>
      </c>
      <c r="I346" s="17" t="str">
        <f t="shared" si="26"/>
        <v>PN-345</v>
      </c>
      <c r="J346" s="18" t="s">
        <v>85</v>
      </c>
      <c r="K346" s="19" t="e">
        <f>IF(J346="","SEM #CH",VLOOKUP(J346,#REF!,2,0))</f>
        <v>#REF!</v>
      </c>
      <c r="L346" s="19" t="e">
        <f>IF(J346="","SEM #CH",VLOOKUP(J346,#REF!,3,0))</f>
        <v>#REF!</v>
      </c>
      <c r="M346" s="19" t="e">
        <f>IF(J346="","SEM #CH",VLOOKUP(J346,#REF!,4,0))</f>
        <v>#REF!</v>
      </c>
      <c r="N346" s="19" t="e">
        <f>IF(J346="","SEM #CH",VLOOKUP(J346,#REF!,5,0))</f>
        <v>#REF!</v>
      </c>
      <c r="O346" s="19" t="e">
        <f>IF(J346="","SEM #CH",VLOOKUP(J346,#REF!,6,0))</f>
        <v>#REF!</v>
      </c>
      <c r="P346" s="19" t="e">
        <f>IF(J346="","SEM #CH",VLOOKUP(J346,#REF!,7,0))</f>
        <v>#REF!</v>
      </c>
      <c r="Q346" s="77" t="str">
        <f>VLOOKUP(J346,'p1'!$B$2:$C$30,2,0)</f>
        <v>NÃO TEM CHAPA</v>
      </c>
      <c r="R346" s="94">
        <v>45884</v>
      </c>
      <c r="S346" s="90" t="s">
        <v>217</v>
      </c>
      <c r="T346" s="90">
        <f t="shared" si="28"/>
        <v>1</v>
      </c>
      <c r="U346" s="94">
        <v>45884</v>
      </c>
      <c r="V346" s="90"/>
      <c r="W346" s="92">
        <v>2477</v>
      </c>
      <c r="X346" s="93">
        <f t="shared" si="27"/>
        <v>1</v>
      </c>
      <c r="Y346" s="92"/>
      <c r="Z346" s="92"/>
      <c r="AA346" s="13" t="str">
        <f t="shared" si="29"/>
        <v>ago/2025</v>
      </c>
    </row>
    <row r="347" spans="1:27" x14ac:dyDescent="0.25">
      <c r="A347" s="89">
        <v>346</v>
      </c>
      <c r="B347" s="68">
        <v>45867</v>
      </c>
      <c r="C347" s="40">
        <v>59</v>
      </c>
      <c r="D347" s="40">
        <f t="shared" si="25"/>
        <v>1</v>
      </c>
      <c r="E347" s="49" t="s">
        <v>129</v>
      </c>
      <c r="F347" s="17" t="s">
        <v>58</v>
      </c>
      <c r="G347" s="17" t="s">
        <v>86</v>
      </c>
      <c r="H347" s="42" t="s">
        <v>579</v>
      </c>
      <c r="I347" s="17" t="str">
        <f t="shared" si="26"/>
        <v>PN-346</v>
      </c>
      <c r="J347" s="18" t="s">
        <v>85</v>
      </c>
      <c r="K347" s="19" t="e">
        <f>IF(J347="","SEM #CH",VLOOKUP(J347,#REF!,2,0))</f>
        <v>#REF!</v>
      </c>
      <c r="L347" s="19" t="e">
        <f>IF(J347="","SEM #CH",VLOOKUP(J347,#REF!,3,0))</f>
        <v>#REF!</v>
      </c>
      <c r="M347" s="19" t="e">
        <f>IF(J347="","SEM #CH",VLOOKUP(J347,#REF!,4,0))</f>
        <v>#REF!</v>
      </c>
      <c r="N347" s="19" t="e">
        <f>IF(J347="","SEM #CH",VLOOKUP(J347,#REF!,5,0))</f>
        <v>#REF!</v>
      </c>
      <c r="O347" s="19" t="e">
        <f>IF(J347="","SEM #CH",VLOOKUP(J347,#REF!,6,0))</f>
        <v>#REF!</v>
      </c>
      <c r="P347" s="19" t="e">
        <f>IF(J347="","SEM #CH",VLOOKUP(J347,#REF!,7,0))</f>
        <v>#REF!</v>
      </c>
      <c r="Q347" s="77" t="str">
        <f>VLOOKUP(J347,'p1'!$B$2:$C$30,2,0)</f>
        <v>NÃO TEM CHAPA</v>
      </c>
      <c r="R347" s="94">
        <v>45884</v>
      </c>
      <c r="S347" s="90" t="s">
        <v>217</v>
      </c>
      <c r="T347" s="90">
        <f t="shared" si="28"/>
        <v>1</v>
      </c>
      <c r="U347" s="94">
        <v>45884</v>
      </c>
      <c r="V347" s="90"/>
      <c r="W347" s="92">
        <v>2477</v>
      </c>
      <c r="X347" s="93">
        <f t="shared" si="27"/>
        <v>1</v>
      </c>
      <c r="Y347" s="92"/>
      <c r="Z347" s="92"/>
      <c r="AA347" s="13" t="str">
        <f t="shared" si="29"/>
        <v>ago/2025</v>
      </c>
    </row>
    <row r="348" spans="1:27" x14ac:dyDescent="0.25">
      <c r="A348" s="89">
        <v>347</v>
      </c>
      <c r="B348" s="68">
        <v>45867</v>
      </c>
      <c r="C348" s="40">
        <v>59</v>
      </c>
      <c r="D348" s="40">
        <f t="shared" si="25"/>
        <v>1</v>
      </c>
      <c r="E348" s="49" t="s">
        <v>129</v>
      </c>
      <c r="F348" s="17" t="s">
        <v>58</v>
      </c>
      <c r="G348" s="17" t="s">
        <v>86</v>
      </c>
      <c r="H348" s="42" t="s">
        <v>580</v>
      </c>
      <c r="I348" s="17" t="str">
        <f t="shared" si="26"/>
        <v>PN-347</v>
      </c>
      <c r="J348" s="18" t="s">
        <v>85</v>
      </c>
      <c r="K348" s="19" t="e">
        <f>IF(J348="","SEM #CH",VLOOKUP(J348,#REF!,2,0))</f>
        <v>#REF!</v>
      </c>
      <c r="L348" s="19" t="e">
        <f>IF(J348="","SEM #CH",VLOOKUP(J348,#REF!,3,0))</f>
        <v>#REF!</v>
      </c>
      <c r="M348" s="19" t="e">
        <f>IF(J348="","SEM #CH",VLOOKUP(J348,#REF!,4,0))</f>
        <v>#REF!</v>
      </c>
      <c r="N348" s="19" t="e">
        <f>IF(J348="","SEM #CH",VLOOKUP(J348,#REF!,5,0))</f>
        <v>#REF!</v>
      </c>
      <c r="O348" s="19" t="e">
        <f>IF(J348="","SEM #CH",VLOOKUP(J348,#REF!,6,0))</f>
        <v>#REF!</v>
      </c>
      <c r="P348" s="19" t="e">
        <f>IF(J348="","SEM #CH",VLOOKUP(J348,#REF!,7,0))</f>
        <v>#REF!</v>
      </c>
      <c r="Q348" s="77" t="str">
        <f>VLOOKUP(J348,'p1'!$B$2:$C$30,2,0)</f>
        <v>NÃO TEM CHAPA</v>
      </c>
      <c r="R348" s="94">
        <v>45884</v>
      </c>
      <c r="S348" s="90" t="s">
        <v>217</v>
      </c>
      <c r="T348" s="90">
        <f t="shared" si="28"/>
        <v>1</v>
      </c>
      <c r="U348" s="94">
        <v>45884</v>
      </c>
      <c r="V348" s="90"/>
      <c r="W348" s="92">
        <v>2477</v>
      </c>
      <c r="X348" s="93">
        <f t="shared" si="27"/>
        <v>1</v>
      </c>
      <c r="Y348" s="92"/>
      <c r="Z348" s="92"/>
      <c r="AA348" s="13" t="str">
        <f t="shared" si="29"/>
        <v>ago/2025</v>
      </c>
    </row>
    <row r="349" spans="1:27" x14ac:dyDescent="0.25">
      <c r="A349" s="89">
        <v>348</v>
      </c>
      <c r="B349" s="68">
        <v>45904</v>
      </c>
      <c r="C349" s="40">
        <v>83</v>
      </c>
      <c r="D349" s="40">
        <f t="shared" si="25"/>
        <v>1</v>
      </c>
      <c r="E349" s="49" t="s">
        <v>129</v>
      </c>
      <c r="F349" s="17" t="s">
        <v>60</v>
      </c>
      <c r="G349" s="17" t="s">
        <v>86</v>
      </c>
      <c r="H349" s="42" t="s">
        <v>581</v>
      </c>
      <c r="I349" s="17" t="str">
        <f t="shared" si="26"/>
        <v>PE-348</v>
      </c>
      <c r="J349" s="18" t="s">
        <v>88</v>
      </c>
      <c r="K349" s="19" t="e">
        <f>IF(J349="","SEM #CH",VLOOKUP(J349,#REF!,2,0))</f>
        <v>#REF!</v>
      </c>
      <c r="L349" s="19" t="e">
        <f>IF(J349="","SEM #CH",VLOOKUP(J349,#REF!,3,0))</f>
        <v>#REF!</v>
      </c>
      <c r="M349" s="19" t="e">
        <f>IF(J349="","SEM #CH",VLOOKUP(J349,#REF!,4,0))</f>
        <v>#REF!</v>
      </c>
      <c r="N349" s="19" t="e">
        <f>IF(J349="","SEM #CH",VLOOKUP(J349,#REF!,5,0))</f>
        <v>#REF!</v>
      </c>
      <c r="O349" s="19" t="e">
        <f>IF(J349="","SEM #CH",VLOOKUP(J349,#REF!,6,0))</f>
        <v>#REF!</v>
      </c>
      <c r="P349" s="19" t="e">
        <f>IF(J349="","SEM #CH",VLOOKUP(J349,#REF!,7,0))</f>
        <v>#REF!</v>
      </c>
      <c r="Q349" s="77" t="str">
        <f>VLOOKUP(J349,'p1'!$B$2:$C$30,2,0)</f>
        <v>#3/8-1315X1315</v>
      </c>
      <c r="R349" s="94">
        <v>45908</v>
      </c>
      <c r="S349" s="90" t="s">
        <v>218</v>
      </c>
      <c r="T349" s="90">
        <f t="shared" si="28"/>
        <v>1</v>
      </c>
      <c r="U349" s="94">
        <v>45909</v>
      </c>
      <c r="V349" s="90" t="s">
        <v>86</v>
      </c>
      <c r="W349" s="92">
        <v>2510</v>
      </c>
      <c r="X349" s="93">
        <f t="shared" si="27"/>
        <v>1</v>
      </c>
      <c r="Y349" s="92"/>
      <c r="Z349" s="92"/>
      <c r="AA349" s="13" t="str">
        <f t="shared" si="29"/>
        <v>set/2025</v>
      </c>
    </row>
    <row r="350" spans="1:27" x14ac:dyDescent="0.25">
      <c r="A350" s="89">
        <v>349</v>
      </c>
      <c r="B350" s="68">
        <v>45904</v>
      </c>
      <c r="C350" s="40">
        <v>83</v>
      </c>
      <c r="D350" s="40">
        <f t="shared" si="25"/>
        <v>1</v>
      </c>
      <c r="E350" s="49" t="s">
        <v>129</v>
      </c>
      <c r="F350" s="17" t="s">
        <v>60</v>
      </c>
      <c r="G350" s="17" t="s">
        <v>86</v>
      </c>
      <c r="H350" s="42" t="s">
        <v>582</v>
      </c>
      <c r="I350" s="17" t="str">
        <f t="shared" si="26"/>
        <v>PE-349</v>
      </c>
      <c r="J350" s="18" t="s">
        <v>87</v>
      </c>
      <c r="K350" s="19" t="e">
        <f>IF(J350="","SEM #CH",VLOOKUP(J350,#REF!,2,0))</f>
        <v>#REF!</v>
      </c>
      <c r="L350" s="19" t="e">
        <f>IF(J350="","SEM #CH",VLOOKUP(J350,#REF!,3,0))</f>
        <v>#REF!</v>
      </c>
      <c r="M350" s="19" t="e">
        <f>IF(J350="","SEM #CH",VLOOKUP(J350,#REF!,4,0))</f>
        <v>#REF!</v>
      </c>
      <c r="N350" s="19" t="e">
        <f>IF(J350="","SEM #CH",VLOOKUP(J350,#REF!,5,0))</f>
        <v>#REF!</v>
      </c>
      <c r="O350" s="19" t="e">
        <f>IF(J350="","SEM #CH",VLOOKUP(J350,#REF!,6,0))</f>
        <v>#REF!</v>
      </c>
      <c r="P350" s="19" t="e">
        <f>IF(J350="","SEM #CH",VLOOKUP(J350,#REF!,7,0))</f>
        <v>#REF!</v>
      </c>
      <c r="Q350" s="77" t="str">
        <f>VLOOKUP(J350,'p1'!$B$2:$C$30,2,0)</f>
        <v>#3/8-1620X1620</v>
      </c>
      <c r="R350" s="94">
        <v>45908</v>
      </c>
      <c r="S350" s="90" t="s">
        <v>218</v>
      </c>
      <c r="T350" s="90">
        <f t="shared" si="28"/>
        <v>1</v>
      </c>
      <c r="U350" s="94">
        <v>45909</v>
      </c>
      <c r="V350" s="90" t="s">
        <v>86</v>
      </c>
      <c r="W350" s="92">
        <v>2510</v>
      </c>
      <c r="X350" s="93">
        <f t="shared" si="27"/>
        <v>1</v>
      </c>
      <c r="Y350" s="92"/>
      <c r="Z350" s="92"/>
      <c r="AA350" s="13" t="str">
        <f t="shared" si="29"/>
        <v>set/2025</v>
      </c>
    </row>
    <row r="351" spans="1:27" x14ac:dyDescent="0.25">
      <c r="A351" s="89">
        <v>350</v>
      </c>
      <c r="B351" s="68">
        <v>45899</v>
      </c>
      <c r="C351" s="40">
        <v>80</v>
      </c>
      <c r="D351" s="40">
        <f t="shared" si="25"/>
        <v>1</v>
      </c>
      <c r="E351" s="49" t="s">
        <v>129</v>
      </c>
      <c r="F351" s="17" t="s">
        <v>60</v>
      </c>
      <c r="G351" s="17" t="s">
        <v>86</v>
      </c>
      <c r="H351" s="42" t="s">
        <v>583</v>
      </c>
      <c r="I351" s="17" t="str">
        <f t="shared" si="26"/>
        <v>PE-350</v>
      </c>
      <c r="J351" s="18" t="s">
        <v>89</v>
      </c>
      <c r="K351" s="19" t="e">
        <f>IF(J351="","SEM #CH",VLOOKUP(J351,#REF!,2,0))</f>
        <v>#REF!</v>
      </c>
      <c r="L351" s="19" t="e">
        <f>IF(J351="","SEM #CH",VLOOKUP(J351,#REF!,3,0))</f>
        <v>#REF!</v>
      </c>
      <c r="M351" s="19" t="e">
        <f>IF(J351="","SEM #CH",VLOOKUP(J351,#REF!,4,0))</f>
        <v>#REF!</v>
      </c>
      <c r="N351" s="19" t="e">
        <f>IF(J351="","SEM #CH",VLOOKUP(J351,#REF!,5,0))</f>
        <v>#REF!</v>
      </c>
      <c r="O351" s="19" t="e">
        <f>IF(J351="","SEM #CH",VLOOKUP(J351,#REF!,6,0))</f>
        <v>#REF!</v>
      </c>
      <c r="P351" s="19" t="e">
        <f>IF(J351="","SEM #CH",VLOOKUP(J351,#REF!,7,0))</f>
        <v>#REF!</v>
      </c>
      <c r="Q351" s="77" t="str">
        <f>VLOOKUP(J351,'p1'!$B$2:$C$30,2,0)</f>
        <v>#3/8-1200X1200</v>
      </c>
      <c r="R351" s="94">
        <v>45903</v>
      </c>
      <c r="S351" s="90" t="s">
        <v>218</v>
      </c>
      <c r="T351" s="90">
        <f t="shared" si="28"/>
        <v>1</v>
      </c>
      <c r="U351" s="94">
        <v>45909</v>
      </c>
      <c r="V351" s="90" t="s">
        <v>86</v>
      </c>
      <c r="W351" s="92">
        <v>2511</v>
      </c>
      <c r="X351" s="93">
        <f t="shared" si="27"/>
        <v>1</v>
      </c>
      <c r="Y351" s="92"/>
      <c r="Z351" s="92"/>
      <c r="AA351" s="13" t="str">
        <f t="shared" si="29"/>
        <v>set/2025</v>
      </c>
    </row>
    <row r="352" spans="1:27" x14ac:dyDescent="0.25">
      <c r="A352" s="89">
        <v>351</v>
      </c>
      <c r="B352" s="68">
        <v>45853</v>
      </c>
      <c r="C352" s="40">
        <v>48</v>
      </c>
      <c r="D352" s="40">
        <f t="shared" si="25"/>
        <v>1</v>
      </c>
      <c r="E352" s="49" t="s">
        <v>129</v>
      </c>
      <c r="F352" s="17" t="s">
        <v>60</v>
      </c>
      <c r="G352" s="17" t="s">
        <v>86</v>
      </c>
      <c r="H352" s="42" t="s">
        <v>584</v>
      </c>
      <c r="I352" s="17" t="str">
        <f t="shared" si="26"/>
        <v>PE-351</v>
      </c>
      <c r="J352" s="18" t="s">
        <v>90</v>
      </c>
      <c r="K352" s="19" t="e">
        <f>IF(J352="","SEM #CH",VLOOKUP(J352,#REF!,2,0))</f>
        <v>#REF!</v>
      </c>
      <c r="L352" s="19" t="e">
        <f>IF(J352="","SEM #CH",VLOOKUP(J352,#REF!,3,0))</f>
        <v>#REF!</v>
      </c>
      <c r="M352" s="19" t="e">
        <f>IF(J352="","SEM #CH",VLOOKUP(J352,#REF!,4,0))</f>
        <v>#REF!</v>
      </c>
      <c r="N352" s="19" t="e">
        <f>IF(J352="","SEM #CH",VLOOKUP(J352,#REF!,5,0))</f>
        <v>#REF!</v>
      </c>
      <c r="O352" s="19" t="e">
        <f>IF(J352="","SEM #CH",VLOOKUP(J352,#REF!,6,0))</f>
        <v>#REF!</v>
      </c>
      <c r="P352" s="19" t="e">
        <f>IF(J352="","SEM #CH",VLOOKUP(J352,#REF!,7,0))</f>
        <v>#REF!</v>
      </c>
      <c r="Q352" s="77" t="str">
        <f>VLOOKUP(J352,'p1'!$B$2:$C$30,2,0)</f>
        <v>#3/8-530X530</v>
      </c>
      <c r="R352" s="94">
        <v>45859</v>
      </c>
      <c r="S352" s="90" t="s">
        <v>217</v>
      </c>
      <c r="T352" s="90">
        <f t="shared" si="28"/>
        <v>1</v>
      </c>
      <c r="U352" s="94">
        <v>45859</v>
      </c>
      <c r="V352" s="90" t="s">
        <v>86</v>
      </c>
      <c r="W352" s="92">
        <v>2453</v>
      </c>
      <c r="X352" s="93">
        <f t="shared" si="27"/>
        <v>1</v>
      </c>
      <c r="Y352" s="92"/>
      <c r="Z352" s="92"/>
      <c r="AA352" s="13" t="str">
        <f t="shared" si="29"/>
        <v>jul/2025</v>
      </c>
    </row>
    <row r="353" spans="1:27" x14ac:dyDescent="0.25">
      <c r="A353" s="89">
        <v>352</v>
      </c>
      <c r="B353" s="68">
        <v>45867</v>
      </c>
      <c r="C353" s="40">
        <v>59</v>
      </c>
      <c r="D353" s="40">
        <f t="shared" si="25"/>
        <v>1</v>
      </c>
      <c r="E353" s="49" t="s">
        <v>129</v>
      </c>
      <c r="F353" s="17" t="s">
        <v>58</v>
      </c>
      <c r="G353" s="17" t="s">
        <v>86</v>
      </c>
      <c r="H353" s="42" t="s">
        <v>585</v>
      </c>
      <c r="I353" s="17" t="str">
        <f t="shared" si="26"/>
        <v>PN-352</v>
      </c>
      <c r="J353" s="18" t="s">
        <v>85</v>
      </c>
      <c r="K353" s="19" t="e">
        <f>IF(J353="","SEM #CH",VLOOKUP(J353,#REF!,2,0))</f>
        <v>#REF!</v>
      </c>
      <c r="L353" s="19" t="e">
        <f>IF(J353="","SEM #CH",VLOOKUP(J353,#REF!,3,0))</f>
        <v>#REF!</v>
      </c>
      <c r="M353" s="19" t="e">
        <f>IF(J353="","SEM #CH",VLOOKUP(J353,#REF!,4,0))</f>
        <v>#REF!</v>
      </c>
      <c r="N353" s="19" t="e">
        <f>IF(J353="","SEM #CH",VLOOKUP(J353,#REF!,5,0))</f>
        <v>#REF!</v>
      </c>
      <c r="O353" s="19" t="e">
        <f>IF(J353="","SEM #CH",VLOOKUP(J353,#REF!,6,0))</f>
        <v>#REF!</v>
      </c>
      <c r="P353" s="19" t="e">
        <f>IF(J353="","SEM #CH",VLOOKUP(J353,#REF!,7,0))</f>
        <v>#REF!</v>
      </c>
      <c r="Q353" s="77" t="str">
        <f>VLOOKUP(J353,'p1'!$B$2:$C$30,2,0)</f>
        <v>NÃO TEM CHAPA</v>
      </c>
      <c r="R353" s="94">
        <v>45939</v>
      </c>
      <c r="S353" s="90" t="s">
        <v>217</v>
      </c>
      <c r="T353" s="90">
        <f t="shared" si="28"/>
        <v>1</v>
      </c>
      <c r="U353" s="94">
        <v>45939</v>
      </c>
      <c r="V353" s="90" t="s">
        <v>86</v>
      </c>
      <c r="W353" s="92">
        <v>2571</v>
      </c>
      <c r="X353" s="93">
        <f t="shared" si="27"/>
        <v>1</v>
      </c>
      <c r="Y353" s="92"/>
      <c r="Z353" s="92"/>
      <c r="AA353" s="13" t="str">
        <f t="shared" si="29"/>
        <v>out/2025</v>
      </c>
    </row>
    <row r="354" spans="1:27" x14ac:dyDescent="0.25">
      <c r="A354" s="89">
        <v>353</v>
      </c>
      <c r="B354" s="68">
        <v>45867</v>
      </c>
      <c r="C354" s="40">
        <v>59</v>
      </c>
      <c r="D354" s="40">
        <f t="shared" si="25"/>
        <v>1</v>
      </c>
      <c r="E354" s="49" t="s">
        <v>129</v>
      </c>
      <c r="F354" s="17" t="s">
        <v>58</v>
      </c>
      <c r="G354" s="17" t="s">
        <v>86</v>
      </c>
      <c r="H354" s="42" t="s">
        <v>586</v>
      </c>
      <c r="I354" s="17" t="str">
        <f t="shared" si="26"/>
        <v>PN-353</v>
      </c>
      <c r="J354" s="18" t="s">
        <v>85</v>
      </c>
      <c r="K354" s="19" t="e">
        <f>IF(J354="","SEM #CH",VLOOKUP(J354,#REF!,2,0))</f>
        <v>#REF!</v>
      </c>
      <c r="L354" s="19" t="e">
        <f>IF(J354="","SEM #CH",VLOOKUP(J354,#REF!,3,0))</f>
        <v>#REF!</v>
      </c>
      <c r="M354" s="19" t="e">
        <f>IF(J354="","SEM #CH",VLOOKUP(J354,#REF!,4,0))</f>
        <v>#REF!</v>
      </c>
      <c r="N354" s="19" t="e">
        <f>IF(J354="","SEM #CH",VLOOKUP(J354,#REF!,5,0))</f>
        <v>#REF!</v>
      </c>
      <c r="O354" s="19" t="e">
        <f>IF(J354="","SEM #CH",VLOOKUP(J354,#REF!,6,0))</f>
        <v>#REF!</v>
      </c>
      <c r="P354" s="19" t="e">
        <f>IF(J354="","SEM #CH",VLOOKUP(J354,#REF!,7,0))</f>
        <v>#REF!</v>
      </c>
      <c r="Q354" s="77" t="str">
        <f>VLOOKUP(J354,'p1'!$B$2:$C$30,2,0)</f>
        <v>NÃO TEM CHAPA</v>
      </c>
      <c r="R354" s="94">
        <v>45938</v>
      </c>
      <c r="S354" s="90" t="s">
        <v>217</v>
      </c>
      <c r="T354" s="90">
        <f t="shared" si="28"/>
        <v>1</v>
      </c>
      <c r="U354" s="94">
        <v>45939</v>
      </c>
      <c r="V354" s="90" t="s">
        <v>86</v>
      </c>
      <c r="W354" s="92">
        <v>2571</v>
      </c>
      <c r="X354" s="93">
        <f t="shared" si="27"/>
        <v>1</v>
      </c>
      <c r="Y354" s="92"/>
      <c r="Z354" s="92"/>
      <c r="AA354" s="13" t="str">
        <f t="shared" si="29"/>
        <v>out/2025</v>
      </c>
    </row>
    <row r="355" spans="1:27" x14ac:dyDescent="0.25">
      <c r="A355" s="89">
        <v>354</v>
      </c>
      <c r="B355" s="68">
        <v>45868</v>
      </c>
      <c r="C355" s="40">
        <v>60</v>
      </c>
      <c r="D355" s="40">
        <f t="shared" si="25"/>
        <v>1</v>
      </c>
      <c r="E355" s="49" t="s">
        <v>129</v>
      </c>
      <c r="F355" s="17" t="s">
        <v>58</v>
      </c>
      <c r="G355" s="17" t="s">
        <v>86</v>
      </c>
      <c r="H355" s="42" t="s">
        <v>587</v>
      </c>
      <c r="I355" s="17" t="str">
        <f t="shared" si="26"/>
        <v>PN-354</v>
      </c>
      <c r="J355" s="18" t="s">
        <v>85</v>
      </c>
      <c r="K355" s="19" t="e">
        <f>IF(J355="","SEM #CH",VLOOKUP(J355,#REF!,2,0))</f>
        <v>#REF!</v>
      </c>
      <c r="L355" s="19" t="e">
        <f>IF(J355="","SEM #CH",VLOOKUP(J355,#REF!,3,0))</f>
        <v>#REF!</v>
      </c>
      <c r="M355" s="19" t="e">
        <f>IF(J355="","SEM #CH",VLOOKUP(J355,#REF!,4,0))</f>
        <v>#REF!</v>
      </c>
      <c r="N355" s="19" t="e">
        <f>IF(J355="","SEM #CH",VLOOKUP(J355,#REF!,5,0))</f>
        <v>#REF!</v>
      </c>
      <c r="O355" s="19" t="e">
        <f>IF(J355="","SEM #CH",VLOOKUP(J355,#REF!,6,0))</f>
        <v>#REF!</v>
      </c>
      <c r="P355" s="19" t="e">
        <f>IF(J355="","SEM #CH",VLOOKUP(J355,#REF!,7,0))</f>
        <v>#REF!</v>
      </c>
      <c r="Q355" s="77" t="str">
        <f>VLOOKUP(J355,'p1'!$B$2:$C$30,2,0)</f>
        <v>NÃO TEM CHAPA</v>
      </c>
      <c r="R355" s="94">
        <v>45908</v>
      </c>
      <c r="S355" s="90" t="s">
        <v>218</v>
      </c>
      <c r="T355" s="90">
        <f t="shared" si="28"/>
        <v>1</v>
      </c>
      <c r="U355" s="94">
        <v>45912</v>
      </c>
      <c r="V355" s="90" t="s">
        <v>86</v>
      </c>
      <c r="W355" s="92">
        <v>2522</v>
      </c>
      <c r="X355" s="93">
        <f t="shared" si="27"/>
        <v>1</v>
      </c>
      <c r="Y355" s="92"/>
      <c r="Z355" s="92"/>
      <c r="AA355" s="13" t="str">
        <f t="shared" si="29"/>
        <v>set/2025</v>
      </c>
    </row>
    <row r="356" spans="1:27" x14ac:dyDescent="0.25">
      <c r="A356" s="89">
        <v>355</v>
      </c>
      <c r="B356" s="68">
        <v>45868</v>
      </c>
      <c r="C356" s="40">
        <v>60</v>
      </c>
      <c r="D356" s="40">
        <f t="shared" si="25"/>
        <v>1</v>
      </c>
      <c r="E356" s="49" t="s">
        <v>129</v>
      </c>
      <c r="F356" s="17" t="s">
        <v>58</v>
      </c>
      <c r="G356" s="17" t="s">
        <v>86</v>
      </c>
      <c r="H356" s="42" t="s">
        <v>588</v>
      </c>
      <c r="I356" s="17" t="str">
        <f t="shared" si="26"/>
        <v>PN-355</v>
      </c>
      <c r="J356" s="18" t="s">
        <v>85</v>
      </c>
      <c r="K356" s="19" t="e">
        <f>IF(J356="","SEM #CH",VLOOKUP(J356,#REF!,2,0))</f>
        <v>#REF!</v>
      </c>
      <c r="L356" s="19" t="e">
        <f>IF(J356="","SEM #CH",VLOOKUP(J356,#REF!,3,0))</f>
        <v>#REF!</v>
      </c>
      <c r="M356" s="19" t="e">
        <f>IF(J356="","SEM #CH",VLOOKUP(J356,#REF!,4,0))</f>
        <v>#REF!</v>
      </c>
      <c r="N356" s="19" t="e">
        <f>IF(J356="","SEM #CH",VLOOKUP(J356,#REF!,5,0))</f>
        <v>#REF!</v>
      </c>
      <c r="O356" s="19" t="e">
        <f>IF(J356="","SEM #CH",VLOOKUP(J356,#REF!,6,0))</f>
        <v>#REF!</v>
      </c>
      <c r="P356" s="19" t="e">
        <f>IF(J356="","SEM #CH",VLOOKUP(J356,#REF!,7,0))</f>
        <v>#REF!</v>
      </c>
      <c r="Q356" s="77" t="str">
        <f>VLOOKUP(J356,'p1'!$B$2:$C$30,2,0)</f>
        <v>NÃO TEM CHAPA</v>
      </c>
      <c r="R356" s="94">
        <v>45908</v>
      </c>
      <c r="S356" s="90" t="s">
        <v>218</v>
      </c>
      <c r="T356" s="90">
        <f t="shared" si="28"/>
        <v>1</v>
      </c>
      <c r="U356" s="94">
        <v>45909</v>
      </c>
      <c r="V356" s="90" t="s">
        <v>86</v>
      </c>
      <c r="W356" s="92">
        <v>2510</v>
      </c>
      <c r="X356" s="93">
        <f t="shared" si="27"/>
        <v>1</v>
      </c>
      <c r="Y356" s="92"/>
      <c r="Z356" s="92"/>
      <c r="AA356" s="13" t="str">
        <f t="shared" si="29"/>
        <v>set/2025</v>
      </c>
    </row>
    <row r="357" spans="1:27" x14ac:dyDescent="0.25">
      <c r="A357" s="89">
        <v>356</v>
      </c>
      <c r="B357" s="68">
        <v>45868</v>
      </c>
      <c r="C357" s="40">
        <v>60</v>
      </c>
      <c r="D357" s="40">
        <f t="shared" si="25"/>
        <v>1</v>
      </c>
      <c r="E357" s="49" t="s">
        <v>129</v>
      </c>
      <c r="F357" s="17" t="s">
        <v>58</v>
      </c>
      <c r="G357" s="17" t="s">
        <v>86</v>
      </c>
      <c r="H357" s="42" t="s">
        <v>589</v>
      </c>
      <c r="I357" s="17" t="str">
        <f t="shared" si="26"/>
        <v>PN-356</v>
      </c>
      <c r="J357" s="18" t="s">
        <v>85</v>
      </c>
      <c r="K357" s="19" t="e">
        <f>IF(J357="","SEM #CH",VLOOKUP(J357,#REF!,2,0))</f>
        <v>#REF!</v>
      </c>
      <c r="L357" s="19" t="e">
        <f>IF(J357="","SEM #CH",VLOOKUP(J357,#REF!,3,0))</f>
        <v>#REF!</v>
      </c>
      <c r="M357" s="19" t="e">
        <f>IF(J357="","SEM #CH",VLOOKUP(J357,#REF!,4,0))</f>
        <v>#REF!</v>
      </c>
      <c r="N357" s="19" t="e">
        <f>IF(J357="","SEM #CH",VLOOKUP(J357,#REF!,5,0))</f>
        <v>#REF!</v>
      </c>
      <c r="O357" s="19" t="e">
        <f>IF(J357="","SEM #CH",VLOOKUP(J357,#REF!,6,0))</f>
        <v>#REF!</v>
      </c>
      <c r="P357" s="19" t="e">
        <f>IF(J357="","SEM #CH",VLOOKUP(J357,#REF!,7,0))</f>
        <v>#REF!</v>
      </c>
      <c r="Q357" s="77" t="str">
        <f>VLOOKUP(J357,'p1'!$B$2:$C$30,2,0)</f>
        <v>NÃO TEM CHAPA</v>
      </c>
      <c r="R357" s="94">
        <v>45908</v>
      </c>
      <c r="S357" s="90" t="s">
        <v>218</v>
      </c>
      <c r="T357" s="90">
        <f t="shared" si="28"/>
        <v>1</v>
      </c>
      <c r="U357" s="94">
        <v>45910</v>
      </c>
      <c r="V357" s="90" t="s">
        <v>86</v>
      </c>
      <c r="W357" s="92">
        <v>2518</v>
      </c>
      <c r="X357" s="93">
        <f t="shared" si="27"/>
        <v>1</v>
      </c>
      <c r="Y357" s="92"/>
      <c r="Z357" s="92"/>
      <c r="AA357" s="13" t="str">
        <f t="shared" si="29"/>
        <v>set/2025</v>
      </c>
    </row>
    <row r="358" spans="1:27" x14ac:dyDescent="0.25">
      <c r="A358" s="89">
        <v>357</v>
      </c>
      <c r="B358" s="68">
        <v>45868</v>
      </c>
      <c r="C358" s="40">
        <v>60</v>
      </c>
      <c r="D358" s="40">
        <f t="shared" si="25"/>
        <v>1</v>
      </c>
      <c r="E358" s="49" t="s">
        <v>129</v>
      </c>
      <c r="F358" s="17" t="s">
        <v>58</v>
      </c>
      <c r="G358" s="17" t="s">
        <v>86</v>
      </c>
      <c r="H358" s="42" t="s">
        <v>590</v>
      </c>
      <c r="I358" s="17" t="str">
        <f t="shared" si="26"/>
        <v>PN-357</v>
      </c>
      <c r="J358" s="18" t="s">
        <v>85</v>
      </c>
      <c r="K358" s="19" t="e">
        <f>IF(J358="","SEM #CH",VLOOKUP(J358,#REF!,2,0))</f>
        <v>#REF!</v>
      </c>
      <c r="L358" s="19" t="e">
        <f>IF(J358="","SEM #CH",VLOOKUP(J358,#REF!,3,0))</f>
        <v>#REF!</v>
      </c>
      <c r="M358" s="19" t="e">
        <f>IF(J358="","SEM #CH",VLOOKUP(J358,#REF!,4,0))</f>
        <v>#REF!</v>
      </c>
      <c r="N358" s="19" t="e">
        <f>IF(J358="","SEM #CH",VLOOKUP(J358,#REF!,5,0))</f>
        <v>#REF!</v>
      </c>
      <c r="O358" s="19" t="e">
        <f>IF(J358="","SEM #CH",VLOOKUP(J358,#REF!,6,0))</f>
        <v>#REF!</v>
      </c>
      <c r="P358" s="19" t="e">
        <f>IF(J358="","SEM #CH",VLOOKUP(J358,#REF!,7,0))</f>
        <v>#REF!</v>
      </c>
      <c r="Q358" s="77" t="str">
        <f>VLOOKUP(J358,'p1'!$B$2:$C$30,2,0)</f>
        <v>NÃO TEM CHAPA</v>
      </c>
      <c r="R358" s="94">
        <v>45909</v>
      </c>
      <c r="S358" s="90" t="s">
        <v>218</v>
      </c>
      <c r="T358" s="90">
        <f t="shared" si="28"/>
        <v>1</v>
      </c>
      <c r="U358" s="94">
        <v>45916</v>
      </c>
      <c r="V358" s="90" t="s">
        <v>86</v>
      </c>
      <c r="W358" s="92">
        <v>2528</v>
      </c>
      <c r="X358" s="93">
        <f t="shared" si="27"/>
        <v>1</v>
      </c>
      <c r="Y358" s="92"/>
      <c r="Z358" s="92"/>
      <c r="AA358" s="13" t="str">
        <f t="shared" si="29"/>
        <v>set/2025</v>
      </c>
    </row>
    <row r="359" spans="1:27" x14ac:dyDescent="0.25">
      <c r="A359" s="89">
        <v>358</v>
      </c>
      <c r="B359" s="68">
        <v>45868</v>
      </c>
      <c r="C359" s="40">
        <v>60</v>
      </c>
      <c r="D359" s="40">
        <f t="shared" si="25"/>
        <v>1</v>
      </c>
      <c r="E359" s="49" t="s">
        <v>129</v>
      </c>
      <c r="F359" s="17" t="s">
        <v>58</v>
      </c>
      <c r="G359" s="17" t="s">
        <v>86</v>
      </c>
      <c r="H359" s="42" t="s">
        <v>591</v>
      </c>
      <c r="I359" s="17" t="str">
        <f t="shared" si="26"/>
        <v>PN-358</v>
      </c>
      <c r="J359" s="18" t="s">
        <v>85</v>
      </c>
      <c r="K359" s="19" t="e">
        <f>IF(J359="","SEM #CH",VLOOKUP(J359,#REF!,2,0))</f>
        <v>#REF!</v>
      </c>
      <c r="L359" s="19" t="e">
        <f>IF(J359="","SEM #CH",VLOOKUP(J359,#REF!,3,0))</f>
        <v>#REF!</v>
      </c>
      <c r="M359" s="19" t="e">
        <f>IF(J359="","SEM #CH",VLOOKUP(J359,#REF!,4,0))</f>
        <v>#REF!</v>
      </c>
      <c r="N359" s="19" t="e">
        <f>IF(J359="","SEM #CH",VLOOKUP(J359,#REF!,5,0))</f>
        <v>#REF!</v>
      </c>
      <c r="O359" s="19" t="e">
        <f>IF(J359="","SEM #CH",VLOOKUP(J359,#REF!,6,0))</f>
        <v>#REF!</v>
      </c>
      <c r="P359" s="19" t="e">
        <f>IF(J359="","SEM #CH",VLOOKUP(J359,#REF!,7,0))</f>
        <v>#REF!</v>
      </c>
      <c r="Q359" s="77" t="str">
        <f>VLOOKUP(J359,'p1'!$B$2:$C$30,2,0)</f>
        <v>NÃO TEM CHAPA</v>
      </c>
      <c r="R359" s="94">
        <v>45909</v>
      </c>
      <c r="S359" s="90" t="s">
        <v>218</v>
      </c>
      <c r="T359" s="90">
        <f t="shared" si="28"/>
        <v>1</v>
      </c>
      <c r="U359" s="94">
        <v>45916</v>
      </c>
      <c r="V359" s="90" t="s">
        <v>86</v>
      </c>
      <c r="W359" s="92">
        <v>2527</v>
      </c>
      <c r="X359" s="93">
        <f t="shared" si="27"/>
        <v>1</v>
      </c>
      <c r="Y359" s="92"/>
      <c r="Z359" s="92"/>
      <c r="AA359" s="13" t="str">
        <f t="shared" si="29"/>
        <v>set/2025</v>
      </c>
    </row>
    <row r="360" spans="1:27" x14ac:dyDescent="0.25">
      <c r="A360" s="89">
        <v>359</v>
      </c>
      <c r="B360" s="68">
        <v>45868</v>
      </c>
      <c r="C360" s="40">
        <v>60</v>
      </c>
      <c r="D360" s="40">
        <f t="shared" si="25"/>
        <v>1</v>
      </c>
      <c r="E360" s="49" t="s">
        <v>129</v>
      </c>
      <c r="F360" s="17" t="s">
        <v>58</v>
      </c>
      <c r="G360" s="17" t="s">
        <v>86</v>
      </c>
      <c r="H360" s="42" t="s">
        <v>592</v>
      </c>
      <c r="I360" s="17" t="str">
        <f t="shared" si="26"/>
        <v>PN-359</v>
      </c>
      <c r="J360" s="18" t="s">
        <v>85</v>
      </c>
      <c r="K360" s="19" t="e">
        <f>IF(J360="","SEM #CH",VLOOKUP(J360,#REF!,2,0))</f>
        <v>#REF!</v>
      </c>
      <c r="L360" s="19" t="e">
        <f>IF(J360="","SEM #CH",VLOOKUP(J360,#REF!,3,0))</f>
        <v>#REF!</v>
      </c>
      <c r="M360" s="19" t="e">
        <f>IF(J360="","SEM #CH",VLOOKUP(J360,#REF!,4,0))</f>
        <v>#REF!</v>
      </c>
      <c r="N360" s="19" t="e">
        <f>IF(J360="","SEM #CH",VLOOKUP(J360,#REF!,5,0))</f>
        <v>#REF!</v>
      </c>
      <c r="O360" s="19" t="e">
        <f>IF(J360="","SEM #CH",VLOOKUP(J360,#REF!,6,0))</f>
        <v>#REF!</v>
      </c>
      <c r="P360" s="19" t="e">
        <f>IF(J360="","SEM #CH",VLOOKUP(J360,#REF!,7,0))</f>
        <v>#REF!</v>
      </c>
      <c r="Q360" s="77" t="str">
        <f>VLOOKUP(J360,'p1'!$B$2:$C$30,2,0)</f>
        <v>NÃO TEM CHAPA</v>
      </c>
      <c r="R360" s="94">
        <v>45909</v>
      </c>
      <c r="S360" s="90" t="s">
        <v>218</v>
      </c>
      <c r="T360" s="90">
        <f t="shared" si="28"/>
        <v>1</v>
      </c>
      <c r="U360" s="94">
        <v>45916</v>
      </c>
      <c r="V360" s="90" t="s">
        <v>86</v>
      </c>
      <c r="W360" s="92">
        <v>2527</v>
      </c>
      <c r="X360" s="93">
        <f t="shared" si="27"/>
        <v>1</v>
      </c>
      <c r="Y360" s="92"/>
      <c r="Z360" s="92"/>
      <c r="AA360" s="13" t="str">
        <f t="shared" si="29"/>
        <v>set/2025</v>
      </c>
    </row>
    <row r="361" spans="1:27" x14ac:dyDescent="0.25">
      <c r="A361" s="89">
        <v>360</v>
      </c>
      <c r="B361" s="68">
        <v>45868</v>
      </c>
      <c r="C361" s="40">
        <v>60</v>
      </c>
      <c r="D361" s="40">
        <f t="shared" si="25"/>
        <v>1</v>
      </c>
      <c r="E361" s="49" t="s">
        <v>129</v>
      </c>
      <c r="F361" s="17" t="s">
        <v>58</v>
      </c>
      <c r="G361" s="17" t="s">
        <v>86</v>
      </c>
      <c r="H361" s="42" t="s">
        <v>593</v>
      </c>
      <c r="I361" s="17" t="str">
        <f t="shared" si="26"/>
        <v>PN-360</v>
      </c>
      <c r="J361" s="18" t="s">
        <v>85</v>
      </c>
      <c r="K361" s="19" t="e">
        <f>IF(J361="","SEM #CH",VLOOKUP(J361,#REF!,2,0))</f>
        <v>#REF!</v>
      </c>
      <c r="L361" s="19" t="e">
        <f>IF(J361="","SEM #CH",VLOOKUP(J361,#REF!,3,0))</f>
        <v>#REF!</v>
      </c>
      <c r="M361" s="19" t="e">
        <f>IF(J361="","SEM #CH",VLOOKUP(J361,#REF!,4,0))</f>
        <v>#REF!</v>
      </c>
      <c r="N361" s="19" t="e">
        <f>IF(J361="","SEM #CH",VLOOKUP(J361,#REF!,5,0))</f>
        <v>#REF!</v>
      </c>
      <c r="O361" s="19" t="e">
        <f>IF(J361="","SEM #CH",VLOOKUP(J361,#REF!,6,0))</f>
        <v>#REF!</v>
      </c>
      <c r="P361" s="19" t="e">
        <f>IF(J361="","SEM #CH",VLOOKUP(J361,#REF!,7,0))</f>
        <v>#REF!</v>
      </c>
      <c r="Q361" s="77" t="str">
        <f>VLOOKUP(J361,'p1'!$B$2:$C$30,2,0)</f>
        <v>NÃO TEM CHAPA</v>
      </c>
      <c r="R361" s="94">
        <v>45910</v>
      </c>
      <c r="S361" s="90" t="s">
        <v>218</v>
      </c>
      <c r="T361" s="90">
        <f t="shared" si="28"/>
        <v>1</v>
      </c>
      <c r="U361" s="94">
        <v>45929</v>
      </c>
      <c r="V361" s="90" t="s">
        <v>86</v>
      </c>
      <c r="W361" s="92">
        <v>2550</v>
      </c>
      <c r="X361" s="93">
        <f t="shared" si="27"/>
        <v>1</v>
      </c>
      <c r="Y361" s="92"/>
      <c r="Z361" s="92"/>
      <c r="AA361" s="13" t="str">
        <f t="shared" si="29"/>
        <v>set/2025</v>
      </c>
    </row>
    <row r="362" spans="1:27" x14ac:dyDescent="0.25">
      <c r="A362" s="89">
        <v>361</v>
      </c>
      <c r="B362" s="68">
        <v>45870</v>
      </c>
      <c r="C362" s="40">
        <v>61</v>
      </c>
      <c r="D362" s="40">
        <f t="shared" si="25"/>
        <v>1</v>
      </c>
      <c r="E362" s="49" t="s">
        <v>129</v>
      </c>
      <c r="F362" s="17" t="s">
        <v>58</v>
      </c>
      <c r="G362" s="17" t="s">
        <v>86</v>
      </c>
      <c r="H362" s="42" t="s">
        <v>594</v>
      </c>
      <c r="I362" s="17" t="str">
        <f t="shared" si="26"/>
        <v>PN-361</v>
      </c>
      <c r="J362" s="18" t="s">
        <v>85</v>
      </c>
      <c r="K362" s="19" t="e">
        <f>IF(J362="","SEM #CH",VLOOKUP(J362,#REF!,2,0))</f>
        <v>#REF!</v>
      </c>
      <c r="L362" s="19" t="e">
        <f>IF(J362="","SEM #CH",VLOOKUP(J362,#REF!,3,0))</f>
        <v>#REF!</v>
      </c>
      <c r="M362" s="19" t="e">
        <f>IF(J362="","SEM #CH",VLOOKUP(J362,#REF!,4,0))</f>
        <v>#REF!</v>
      </c>
      <c r="N362" s="19" t="e">
        <f>IF(J362="","SEM #CH",VLOOKUP(J362,#REF!,5,0))</f>
        <v>#REF!</v>
      </c>
      <c r="O362" s="19" t="e">
        <f>IF(J362="","SEM #CH",VLOOKUP(J362,#REF!,6,0))</f>
        <v>#REF!</v>
      </c>
      <c r="P362" s="19" t="e">
        <f>IF(J362="","SEM #CH",VLOOKUP(J362,#REF!,7,0))</f>
        <v>#REF!</v>
      </c>
      <c r="Q362" s="77" t="str">
        <f>VLOOKUP(J362,'p1'!$B$2:$C$30,2,0)</f>
        <v>NÃO TEM CHAPA</v>
      </c>
      <c r="R362" s="94">
        <v>45937</v>
      </c>
      <c r="S362" s="90" t="s">
        <v>217</v>
      </c>
      <c r="T362" s="90">
        <f t="shared" si="28"/>
        <v>1</v>
      </c>
      <c r="U362" s="94">
        <v>45937</v>
      </c>
      <c r="V362" s="90" t="s">
        <v>86</v>
      </c>
      <c r="W362" s="92">
        <v>2569</v>
      </c>
      <c r="X362" s="93">
        <f t="shared" si="27"/>
        <v>1</v>
      </c>
      <c r="Y362" s="92"/>
      <c r="Z362" s="92"/>
      <c r="AA362" s="13" t="str">
        <f t="shared" si="29"/>
        <v>out/2025</v>
      </c>
    </row>
    <row r="363" spans="1:27" x14ac:dyDescent="0.25">
      <c r="A363" s="89">
        <v>362</v>
      </c>
      <c r="B363" s="68">
        <v>45870</v>
      </c>
      <c r="C363" s="40">
        <v>61</v>
      </c>
      <c r="D363" s="40">
        <f t="shared" si="25"/>
        <v>1</v>
      </c>
      <c r="E363" s="49" t="s">
        <v>129</v>
      </c>
      <c r="F363" s="17" t="s">
        <v>58</v>
      </c>
      <c r="G363" s="17" t="s">
        <v>86</v>
      </c>
      <c r="H363" s="42" t="s">
        <v>595</v>
      </c>
      <c r="I363" s="17" t="str">
        <f t="shared" si="26"/>
        <v>PN-362</v>
      </c>
      <c r="J363" s="18" t="s">
        <v>85</v>
      </c>
      <c r="K363" s="19" t="e">
        <f>IF(J363="","SEM #CH",VLOOKUP(J363,#REF!,2,0))</f>
        <v>#REF!</v>
      </c>
      <c r="L363" s="19" t="e">
        <f>IF(J363="","SEM #CH",VLOOKUP(J363,#REF!,3,0))</f>
        <v>#REF!</v>
      </c>
      <c r="M363" s="19" t="e">
        <f>IF(J363="","SEM #CH",VLOOKUP(J363,#REF!,4,0))</f>
        <v>#REF!</v>
      </c>
      <c r="N363" s="19" t="e">
        <f>IF(J363="","SEM #CH",VLOOKUP(J363,#REF!,5,0))</f>
        <v>#REF!</v>
      </c>
      <c r="O363" s="19" t="e">
        <f>IF(J363="","SEM #CH",VLOOKUP(J363,#REF!,6,0))</f>
        <v>#REF!</v>
      </c>
      <c r="P363" s="19" t="e">
        <f>IF(J363="","SEM #CH",VLOOKUP(J363,#REF!,7,0))</f>
        <v>#REF!</v>
      </c>
      <c r="Q363" s="77" t="str">
        <f>VLOOKUP(J363,'p1'!$B$2:$C$30,2,0)</f>
        <v>NÃO TEM CHAPA</v>
      </c>
      <c r="R363" s="94">
        <v>45937</v>
      </c>
      <c r="S363" s="90" t="s">
        <v>217</v>
      </c>
      <c r="T363" s="90">
        <f t="shared" si="28"/>
        <v>1</v>
      </c>
      <c r="U363" s="94">
        <v>45937</v>
      </c>
      <c r="V363" s="90" t="s">
        <v>86</v>
      </c>
      <c r="W363" s="92">
        <v>2569</v>
      </c>
      <c r="X363" s="93">
        <f t="shared" si="27"/>
        <v>1</v>
      </c>
      <c r="Y363" s="92"/>
      <c r="Z363" s="92"/>
      <c r="AA363" s="13" t="str">
        <f t="shared" si="29"/>
        <v>out/2025</v>
      </c>
    </row>
    <row r="364" spans="1:27" x14ac:dyDescent="0.25">
      <c r="A364" s="89">
        <v>363</v>
      </c>
      <c r="B364" s="68">
        <v>45870</v>
      </c>
      <c r="C364" s="40">
        <v>61</v>
      </c>
      <c r="D364" s="40">
        <f t="shared" si="25"/>
        <v>1</v>
      </c>
      <c r="E364" s="49" t="s">
        <v>129</v>
      </c>
      <c r="F364" s="17" t="s">
        <v>58</v>
      </c>
      <c r="G364" s="17" t="s">
        <v>86</v>
      </c>
      <c r="H364" s="42" t="s">
        <v>596</v>
      </c>
      <c r="I364" s="17" t="str">
        <f t="shared" si="26"/>
        <v>PN-363</v>
      </c>
      <c r="J364" s="18" t="s">
        <v>85</v>
      </c>
      <c r="K364" s="19" t="e">
        <f>IF(J364="","SEM #CH",VLOOKUP(J364,#REF!,2,0))</f>
        <v>#REF!</v>
      </c>
      <c r="L364" s="19" t="e">
        <f>IF(J364="","SEM #CH",VLOOKUP(J364,#REF!,3,0))</f>
        <v>#REF!</v>
      </c>
      <c r="M364" s="19" t="e">
        <f>IF(J364="","SEM #CH",VLOOKUP(J364,#REF!,4,0))</f>
        <v>#REF!</v>
      </c>
      <c r="N364" s="19" t="e">
        <f>IF(J364="","SEM #CH",VLOOKUP(J364,#REF!,5,0))</f>
        <v>#REF!</v>
      </c>
      <c r="O364" s="19" t="e">
        <f>IF(J364="","SEM #CH",VLOOKUP(J364,#REF!,6,0))</f>
        <v>#REF!</v>
      </c>
      <c r="P364" s="19" t="e">
        <f>IF(J364="","SEM #CH",VLOOKUP(J364,#REF!,7,0))</f>
        <v>#REF!</v>
      </c>
      <c r="Q364" s="77" t="str">
        <f>VLOOKUP(J364,'p1'!$B$2:$C$30,2,0)</f>
        <v>NÃO TEM CHAPA</v>
      </c>
      <c r="R364" s="94">
        <v>45940</v>
      </c>
      <c r="S364" s="90" t="s">
        <v>217</v>
      </c>
      <c r="T364" s="90">
        <f t="shared" si="28"/>
        <v>1</v>
      </c>
      <c r="U364" s="94">
        <v>45940</v>
      </c>
      <c r="V364" s="90" t="s">
        <v>86</v>
      </c>
      <c r="W364" s="92">
        <v>2574</v>
      </c>
      <c r="X364" s="93">
        <f t="shared" si="27"/>
        <v>1</v>
      </c>
      <c r="Y364" s="92"/>
      <c r="Z364" s="92"/>
      <c r="AA364" s="13" t="str">
        <f t="shared" si="29"/>
        <v>out/2025</v>
      </c>
    </row>
    <row r="365" spans="1:27" x14ac:dyDescent="0.25">
      <c r="A365" s="89">
        <v>364</v>
      </c>
      <c r="B365" s="68">
        <v>45870</v>
      </c>
      <c r="C365" s="40">
        <v>61</v>
      </c>
      <c r="D365" s="40">
        <f t="shared" si="25"/>
        <v>1</v>
      </c>
      <c r="E365" s="49" t="s">
        <v>129</v>
      </c>
      <c r="F365" s="17" t="s">
        <v>58</v>
      </c>
      <c r="G365" s="17" t="s">
        <v>86</v>
      </c>
      <c r="H365" s="42" t="s">
        <v>597</v>
      </c>
      <c r="I365" s="17" t="str">
        <f t="shared" si="26"/>
        <v>PN-364</v>
      </c>
      <c r="J365" s="18" t="s">
        <v>85</v>
      </c>
      <c r="K365" s="19" t="e">
        <f>IF(J365="","SEM #CH",VLOOKUP(J365,#REF!,2,0))</f>
        <v>#REF!</v>
      </c>
      <c r="L365" s="19" t="e">
        <f>IF(J365="","SEM #CH",VLOOKUP(J365,#REF!,3,0))</f>
        <v>#REF!</v>
      </c>
      <c r="M365" s="19" t="e">
        <f>IF(J365="","SEM #CH",VLOOKUP(J365,#REF!,4,0))</f>
        <v>#REF!</v>
      </c>
      <c r="N365" s="19" t="e">
        <f>IF(J365="","SEM #CH",VLOOKUP(J365,#REF!,5,0))</f>
        <v>#REF!</v>
      </c>
      <c r="O365" s="19" t="e">
        <f>IF(J365="","SEM #CH",VLOOKUP(J365,#REF!,6,0))</f>
        <v>#REF!</v>
      </c>
      <c r="P365" s="19" t="e">
        <f>IF(J365="","SEM #CH",VLOOKUP(J365,#REF!,7,0))</f>
        <v>#REF!</v>
      </c>
      <c r="Q365" s="77" t="str">
        <f>VLOOKUP(J365,'p1'!$B$2:$C$30,2,0)</f>
        <v>NÃO TEM CHAPA</v>
      </c>
      <c r="R365" s="94">
        <v>45940</v>
      </c>
      <c r="S365" s="90" t="s">
        <v>217</v>
      </c>
      <c r="T365" s="90">
        <f t="shared" si="28"/>
        <v>1</v>
      </c>
      <c r="U365" s="94">
        <v>45940</v>
      </c>
      <c r="V365" s="90" t="s">
        <v>86</v>
      </c>
      <c r="W365" s="92">
        <v>2574</v>
      </c>
      <c r="X365" s="93">
        <f t="shared" si="27"/>
        <v>1</v>
      </c>
      <c r="Y365" s="92"/>
      <c r="Z365" s="92"/>
      <c r="AA365" s="13" t="str">
        <f t="shared" si="29"/>
        <v>out/2025</v>
      </c>
    </row>
    <row r="366" spans="1:27" x14ac:dyDescent="0.25">
      <c r="A366" s="89">
        <v>365</v>
      </c>
      <c r="B366" s="68">
        <v>45848</v>
      </c>
      <c r="C366" s="40">
        <v>46</v>
      </c>
      <c r="D366" s="40">
        <f t="shared" si="25"/>
        <v>1</v>
      </c>
      <c r="E366" s="49" t="s">
        <v>129</v>
      </c>
      <c r="F366" s="17" t="s">
        <v>60</v>
      </c>
      <c r="G366" s="17" t="s">
        <v>86</v>
      </c>
      <c r="H366" s="42" t="s">
        <v>598</v>
      </c>
      <c r="I366" s="17" t="str">
        <f t="shared" si="26"/>
        <v>PE-365</v>
      </c>
      <c r="J366" s="18" t="s">
        <v>90</v>
      </c>
      <c r="K366" s="19" t="e">
        <f>IF(J366="","SEM #CH",VLOOKUP(J366,#REF!,2,0))</f>
        <v>#REF!</v>
      </c>
      <c r="L366" s="19" t="e">
        <f>IF(J366="","SEM #CH",VLOOKUP(J366,#REF!,3,0))</f>
        <v>#REF!</v>
      </c>
      <c r="M366" s="19" t="e">
        <f>IF(J366="","SEM #CH",VLOOKUP(J366,#REF!,4,0))</f>
        <v>#REF!</v>
      </c>
      <c r="N366" s="19" t="e">
        <f>IF(J366="","SEM #CH",VLOOKUP(J366,#REF!,5,0))</f>
        <v>#REF!</v>
      </c>
      <c r="O366" s="19" t="e">
        <f>IF(J366="","SEM #CH",VLOOKUP(J366,#REF!,6,0))</f>
        <v>#REF!</v>
      </c>
      <c r="P366" s="19" t="e">
        <f>IF(J366="","SEM #CH",VLOOKUP(J366,#REF!,7,0))</f>
        <v>#REF!</v>
      </c>
      <c r="Q366" s="77" t="str">
        <f>VLOOKUP(J366,'p1'!$B$2:$C$30,2,0)</f>
        <v>#3/8-530X530</v>
      </c>
      <c r="R366" s="94">
        <v>45903</v>
      </c>
      <c r="S366" s="90" t="s">
        <v>217</v>
      </c>
      <c r="T366" s="90">
        <f t="shared" si="28"/>
        <v>1</v>
      </c>
      <c r="U366" s="94">
        <v>45905</v>
      </c>
      <c r="V366" s="90" t="s">
        <v>86</v>
      </c>
      <c r="W366" s="92">
        <v>2504</v>
      </c>
      <c r="X366" s="93">
        <f t="shared" si="27"/>
        <v>1</v>
      </c>
      <c r="Y366" s="92"/>
      <c r="Z366" s="92"/>
      <c r="AA366" s="13" t="str">
        <f t="shared" si="29"/>
        <v>set/2025</v>
      </c>
    </row>
    <row r="367" spans="1:27" x14ac:dyDescent="0.25">
      <c r="A367" s="89">
        <v>366</v>
      </c>
      <c r="B367" s="68">
        <v>45870</v>
      </c>
      <c r="C367" s="40">
        <v>61</v>
      </c>
      <c r="D367" s="40">
        <f t="shared" si="25"/>
        <v>1</v>
      </c>
      <c r="E367" s="49" t="s">
        <v>129</v>
      </c>
      <c r="F367" s="17" t="s">
        <v>58</v>
      </c>
      <c r="G367" s="17" t="s">
        <v>86</v>
      </c>
      <c r="H367" s="42" t="s">
        <v>599</v>
      </c>
      <c r="I367" s="17" t="str">
        <f t="shared" si="26"/>
        <v>PN-366</v>
      </c>
      <c r="J367" s="18" t="s">
        <v>85</v>
      </c>
      <c r="K367" s="19" t="e">
        <f>IF(J367="","SEM #CH",VLOOKUP(J367,#REF!,2,0))</f>
        <v>#REF!</v>
      </c>
      <c r="L367" s="19" t="e">
        <f>IF(J367="","SEM #CH",VLOOKUP(J367,#REF!,3,0))</f>
        <v>#REF!</v>
      </c>
      <c r="M367" s="19" t="e">
        <f>IF(J367="","SEM #CH",VLOOKUP(J367,#REF!,4,0))</f>
        <v>#REF!</v>
      </c>
      <c r="N367" s="19" t="e">
        <f>IF(J367="","SEM #CH",VLOOKUP(J367,#REF!,5,0))</f>
        <v>#REF!</v>
      </c>
      <c r="O367" s="19" t="e">
        <f>IF(J367="","SEM #CH",VLOOKUP(J367,#REF!,6,0))</f>
        <v>#REF!</v>
      </c>
      <c r="P367" s="19" t="e">
        <f>IF(J367="","SEM #CH",VLOOKUP(J367,#REF!,7,0))</f>
        <v>#REF!</v>
      </c>
      <c r="Q367" s="77" t="str">
        <f>VLOOKUP(J367,'p1'!$B$2:$C$30,2,0)</f>
        <v>NÃO TEM CHAPA</v>
      </c>
      <c r="R367" s="94">
        <v>45939</v>
      </c>
      <c r="S367" s="90" t="s">
        <v>217</v>
      </c>
      <c r="T367" s="90">
        <f t="shared" si="28"/>
        <v>1</v>
      </c>
      <c r="U367" s="94">
        <v>45940</v>
      </c>
      <c r="V367" s="90" t="s">
        <v>86</v>
      </c>
      <c r="W367" s="92">
        <v>2574</v>
      </c>
      <c r="X367" s="93">
        <f t="shared" si="27"/>
        <v>1</v>
      </c>
      <c r="Y367" s="92"/>
      <c r="Z367" s="92"/>
      <c r="AA367" s="13" t="str">
        <f t="shared" si="29"/>
        <v>out/2025</v>
      </c>
    </row>
    <row r="368" spans="1:27" x14ac:dyDescent="0.25">
      <c r="A368" s="89">
        <v>367</v>
      </c>
      <c r="B368" s="68">
        <v>45870</v>
      </c>
      <c r="C368" s="40">
        <v>61</v>
      </c>
      <c r="D368" s="40">
        <f t="shared" si="25"/>
        <v>1</v>
      </c>
      <c r="E368" s="49" t="s">
        <v>129</v>
      </c>
      <c r="F368" s="17" t="s">
        <v>58</v>
      </c>
      <c r="G368" s="17" t="s">
        <v>86</v>
      </c>
      <c r="H368" s="42" t="s">
        <v>600</v>
      </c>
      <c r="I368" s="17" t="str">
        <f t="shared" si="26"/>
        <v>PN-367</v>
      </c>
      <c r="J368" s="18" t="s">
        <v>85</v>
      </c>
      <c r="K368" s="19" t="e">
        <f>IF(J368="","SEM #CH",VLOOKUP(J368,#REF!,2,0))</f>
        <v>#REF!</v>
      </c>
      <c r="L368" s="19" t="e">
        <f>IF(J368="","SEM #CH",VLOOKUP(J368,#REF!,3,0))</f>
        <v>#REF!</v>
      </c>
      <c r="M368" s="19" t="e">
        <f>IF(J368="","SEM #CH",VLOOKUP(J368,#REF!,4,0))</f>
        <v>#REF!</v>
      </c>
      <c r="N368" s="19" t="e">
        <f>IF(J368="","SEM #CH",VLOOKUP(J368,#REF!,5,0))</f>
        <v>#REF!</v>
      </c>
      <c r="O368" s="19" t="e">
        <f>IF(J368="","SEM #CH",VLOOKUP(J368,#REF!,6,0))</f>
        <v>#REF!</v>
      </c>
      <c r="P368" s="19" t="e">
        <f>IF(J368="","SEM #CH",VLOOKUP(J368,#REF!,7,0))</f>
        <v>#REF!</v>
      </c>
      <c r="Q368" s="77" t="str">
        <f>VLOOKUP(J368,'p1'!$B$2:$C$30,2,0)</f>
        <v>NÃO TEM CHAPA</v>
      </c>
      <c r="R368" s="94">
        <v>45939</v>
      </c>
      <c r="S368" s="90" t="s">
        <v>217</v>
      </c>
      <c r="T368" s="90">
        <f t="shared" si="28"/>
        <v>1</v>
      </c>
      <c r="U368" s="94">
        <v>45940</v>
      </c>
      <c r="V368" s="90" t="s">
        <v>86</v>
      </c>
      <c r="W368" s="92">
        <v>2573</v>
      </c>
      <c r="X368" s="93">
        <f t="shared" si="27"/>
        <v>1</v>
      </c>
      <c r="Y368" s="92"/>
      <c r="Z368" s="92"/>
      <c r="AA368" s="13" t="str">
        <f t="shared" si="29"/>
        <v>out/2025</v>
      </c>
    </row>
    <row r="369" spans="1:27" x14ac:dyDescent="0.25">
      <c r="A369" s="89">
        <v>368</v>
      </c>
      <c r="B369" s="68">
        <v>45870</v>
      </c>
      <c r="C369" s="40">
        <v>61</v>
      </c>
      <c r="D369" s="40">
        <f t="shared" si="25"/>
        <v>1</v>
      </c>
      <c r="E369" s="49" t="s">
        <v>129</v>
      </c>
      <c r="F369" s="17" t="s">
        <v>58</v>
      </c>
      <c r="G369" s="17" t="s">
        <v>86</v>
      </c>
      <c r="H369" s="42" t="s">
        <v>601</v>
      </c>
      <c r="I369" s="17" t="str">
        <f t="shared" si="26"/>
        <v>PN-368</v>
      </c>
      <c r="J369" s="18" t="s">
        <v>85</v>
      </c>
      <c r="K369" s="19" t="e">
        <f>IF(J369="","SEM #CH",VLOOKUP(J369,#REF!,2,0))</f>
        <v>#REF!</v>
      </c>
      <c r="L369" s="19" t="e">
        <f>IF(J369="","SEM #CH",VLOOKUP(J369,#REF!,3,0))</f>
        <v>#REF!</v>
      </c>
      <c r="M369" s="19" t="e">
        <f>IF(J369="","SEM #CH",VLOOKUP(J369,#REF!,4,0))</f>
        <v>#REF!</v>
      </c>
      <c r="N369" s="19" t="e">
        <f>IF(J369="","SEM #CH",VLOOKUP(J369,#REF!,5,0))</f>
        <v>#REF!</v>
      </c>
      <c r="O369" s="19" t="e">
        <f>IF(J369="","SEM #CH",VLOOKUP(J369,#REF!,6,0))</f>
        <v>#REF!</v>
      </c>
      <c r="P369" s="19" t="e">
        <f>IF(J369="","SEM #CH",VLOOKUP(J369,#REF!,7,0))</f>
        <v>#REF!</v>
      </c>
      <c r="Q369" s="77" t="str">
        <f>VLOOKUP(J369,'p1'!$B$2:$C$30,2,0)</f>
        <v>NÃO TEM CHAPA</v>
      </c>
      <c r="R369" s="94">
        <v>45938</v>
      </c>
      <c r="S369" s="90" t="s">
        <v>217</v>
      </c>
      <c r="T369" s="90">
        <f t="shared" si="28"/>
        <v>1</v>
      </c>
      <c r="U369" s="94">
        <v>45940</v>
      </c>
      <c r="V369" s="90" t="s">
        <v>86</v>
      </c>
      <c r="W369" s="92">
        <v>2573</v>
      </c>
      <c r="X369" s="93">
        <f t="shared" si="27"/>
        <v>1</v>
      </c>
      <c r="Y369" s="92"/>
      <c r="Z369" s="92"/>
      <c r="AA369" s="13" t="str">
        <f t="shared" si="29"/>
        <v>out/2025</v>
      </c>
    </row>
    <row r="370" spans="1:27" x14ac:dyDescent="0.25">
      <c r="A370" s="89">
        <v>369</v>
      </c>
      <c r="B370" s="68">
        <v>45871</v>
      </c>
      <c r="C370" s="40">
        <v>62</v>
      </c>
      <c r="D370" s="40">
        <f t="shared" si="25"/>
        <v>1</v>
      </c>
      <c r="E370" s="49" t="s">
        <v>129</v>
      </c>
      <c r="F370" s="17" t="s">
        <v>58</v>
      </c>
      <c r="G370" s="17" t="s">
        <v>86</v>
      </c>
      <c r="H370" s="42" t="s">
        <v>602</v>
      </c>
      <c r="I370" s="17" t="str">
        <f t="shared" si="26"/>
        <v>PN-369</v>
      </c>
      <c r="J370" s="18" t="s">
        <v>85</v>
      </c>
      <c r="K370" s="19" t="e">
        <f>IF(J370="","SEM #CH",VLOOKUP(J370,#REF!,2,0))</f>
        <v>#REF!</v>
      </c>
      <c r="L370" s="19" t="e">
        <f>IF(J370="","SEM #CH",VLOOKUP(J370,#REF!,3,0))</f>
        <v>#REF!</v>
      </c>
      <c r="M370" s="19" t="e">
        <f>IF(J370="","SEM #CH",VLOOKUP(J370,#REF!,4,0))</f>
        <v>#REF!</v>
      </c>
      <c r="N370" s="19" t="e">
        <f>IF(J370="","SEM #CH",VLOOKUP(J370,#REF!,5,0))</f>
        <v>#REF!</v>
      </c>
      <c r="O370" s="19" t="e">
        <f>IF(J370="","SEM #CH",VLOOKUP(J370,#REF!,6,0))</f>
        <v>#REF!</v>
      </c>
      <c r="P370" s="19" t="e">
        <f>IF(J370="","SEM #CH",VLOOKUP(J370,#REF!,7,0))</f>
        <v>#REF!</v>
      </c>
      <c r="Q370" s="77" t="str">
        <f>VLOOKUP(J370,'p1'!$B$2:$C$30,2,0)</f>
        <v>NÃO TEM CHAPA</v>
      </c>
      <c r="R370" s="94">
        <v>45887</v>
      </c>
      <c r="S370" s="90" t="s">
        <v>218</v>
      </c>
      <c r="T370" s="90">
        <f t="shared" si="28"/>
        <v>1</v>
      </c>
      <c r="U370" s="94">
        <v>45888</v>
      </c>
      <c r="V370" s="90"/>
      <c r="W370" s="92">
        <v>2482</v>
      </c>
      <c r="X370" s="93">
        <f t="shared" si="27"/>
        <v>1</v>
      </c>
      <c r="Y370" s="92"/>
      <c r="Z370" s="92"/>
      <c r="AA370" s="13" t="str">
        <f t="shared" si="29"/>
        <v>ago/2025</v>
      </c>
    </row>
    <row r="371" spans="1:27" x14ac:dyDescent="0.25">
      <c r="A371" s="89">
        <v>370</v>
      </c>
      <c r="B371" s="68">
        <v>45871</v>
      </c>
      <c r="C371" s="40">
        <v>62</v>
      </c>
      <c r="D371" s="40">
        <f t="shared" si="25"/>
        <v>1</v>
      </c>
      <c r="E371" s="49" t="s">
        <v>129</v>
      </c>
      <c r="F371" s="17" t="s">
        <v>58</v>
      </c>
      <c r="G371" s="17" t="s">
        <v>86</v>
      </c>
      <c r="H371" s="42" t="s">
        <v>603</v>
      </c>
      <c r="I371" s="17" t="str">
        <f t="shared" si="26"/>
        <v>PN-370</v>
      </c>
      <c r="J371" s="18" t="s">
        <v>85</v>
      </c>
      <c r="K371" s="19" t="e">
        <f>IF(J371="","SEM #CH",VLOOKUP(J371,#REF!,2,0))</f>
        <v>#REF!</v>
      </c>
      <c r="L371" s="19" t="e">
        <f>IF(J371="","SEM #CH",VLOOKUP(J371,#REF!,3,0))</f>
        <v>#REF!</v>
      </c>
      <c r="M371" s="19" t="e">
        <f>IF(J371="","SEM #CH",VLOOKUP(J371,#REF!,4,0))</f>
        <v>#REF!</v>
      </c>
      <c r="N371" s="19" t="e">
        <f>IF(J371="","SEM #CH",VLOOKUP(J371,#REF!,5,0))</f>
        <v>#REF!</v>
      </c>
      <c r="O371" s="19" t="e">
        <f>IF(J371="","SEM #CH",VLOOKUP(J371,#REF!,6,0))</f>
        <v>#REF!</v>
      </c>
      <c r="P371" s="19" t="e">
        <f>IF(J371="","SEM #CH",VLOOKUP(J371,#REF!,7,0))</f>
        <v>#REF!</v>
      </c>
      <c r="Q371" s="77" t="str">
        <f>VLOOKUP(J371,'p1'!$B$2:$C$30,2,0)</f>
        <v>NÃO TEM CHAPA</v>
      </c>
      <c r="R371" s="94">
        <v>45887</v>
      </c>
      <c r="S371" s="90" t="s">
        <v>218</v>
      </c>
      <c r="T371" s="90">
        <f t="shared" si="28"/>
        <v>1</v>
      </c>
      <c r="U371" s="94">
        <v>45888</v>
      </c>
      <c r="V371" s="90"/>
      <c r="W371" s="92">
        <v>2482</v>
      </c>
      <c r="X371" s="93">
        <f t="shared" si="27"/>
        <v>1</v>
      </c>
      <c r="Y371" s="92"/>
      <c r="Z371" s="92"/>
      <c r="AA371" s="13" t="str">
        <f t="shared" si="29"/>
        <v>ago/2025</v>
      </c>
    </row>
    <row r="372" spans="1:27" x14ac:dyDescent="0.25">
      <c r="A372" s="89">
        <v>371</v>
      </c>
      <c r="B372" s="68">
        <v>45871</v>
      </c>
      <c r="C372" s="40">
        <v>62</v>
      </c>
      <c r="D372" s="40">
        <f t="shared" si="25"/>
        <v>1</v>
      </c>
      <c r="E372" s="49" t="s">
        <v>129</v>
      </c>
      <c r="F372" s="17" t="s">
        <v>58</v>
      </c>
      <c r="G372" s="17" t="s">
        <v>86</v>
      </c>
      <c r="H372" s="42" t="s">
        <v>604</v>
      </c>
      <c r="I372" s="17" t="str">
        <f t="shared" si="26"/>
        <v>PN-371</v>
      </c>
      <c r="J372" s="18" t="s">
        <v>85</v>
      </c>
      <c r="K372" s="19" t="e">
        <f>IF(J372="","SEM #CH",VLOOKUP(J372,#REF!,2,0))</f>
        <v>#REF!</v>
      </c>
      <c r="L372" s="19" t="e">
        <f>IF(J372="","SEM #CH",VLOOKUP(J372,#REF!,3,0))</f>
        <v>#REF!</v>
      </c>
      <c r="M372" s="19" t="e">
        <f>IF(J372="","SEM #CH",VLOOKUP(J372,#REF!,4,0))</f>
        <v>#REF!</v>
      </c>
      <c r="N372" s="19" t="e">
        <f>IF(J372="","SEM #CH",VLOOKUP(J372,#REF!,5,0))</f>
        <v>#REF!</v>
      </c>
      <c r="O372" s="19" t="e">
        <f>IF(J372="","SEM #CH",VLOOKUP(J372,#REF!,6,0))</f>
        <v>#REF!</v>
      </c>
      <c r="P372" s="19" t="e">
        <f>IF(J372="","SEM #CH",VLOOKUP(J372,#REF!,7,0))</f>
        <v>#REF!</v>
      </c>
      <c r="Q372" s="77" t="str">
        <f>VLOOKUP(J372,'p1'!$B$2:$C$30,2,0)</f>
        <v>NÃO TEM CHAPA</v>
      </c>
      <c r="R372" s="94">
        <v>45888</v>
      </c>
      <c r="S372" s="90" t="s">
        <v>218</v>
      </c>
      <c r="T372" s="90">
        <f t="shared" si="28"/>
        <v>1</v>
      </c>
      <c r="U372" s="94">
        <v>45888</v>
      </c>
      <c r="V372" s="90"/>
      <c r="W372" s="92">
        <v>2482</v>
      </c>
      <c r="X372" s="93">
        <f t="shared" si="27"/>
        <v>1</v>
      </c>
      <c r="Y372" s="92"/>
      <c r="Z372" s="92"/>
      <c r="AA372" s="13" t="str">
        <f t="shared" si="29"/>
        <v>ago/2025</v>
      </c>
    </row>
    <row r="373" spans="1:27" x14ac:dyDescent="0.25">
      <c r="A373" s="89">
        <v>372</v>
      </c>
      <c r="B373" s="68">
        <v>45871</v>
      </c>
      <c r="C373" s="40">
        <v>62</v>
      </c>
      <c r="D373" s="40">
        <f t="shared" si="25"/>
        <v>1</v>
      </c>
      <c r="E373" s="49" t="s">
        <v>129</v>
      </c>
      <c r="F373" s="17" t="s">
        <v>58</v>
      </c>
      <c r="G373" s="17" t="s">
        <v>86</v>
      </c>
      <c r="H373" s="42" t="s">
        <v>605</v>
      </c>
      <c r="I373" s="17" t="str">
        <f t="shared" si="26"/>
        <v>PN-372</v>
      </c>
      <c r="J373" s="18" t="s">
        <v>85</v>
      </c>
      <c r="K373" s="19" t="e">
        <f>IF(J373="","SEM #CH",VLOOKUP(J373,#REF!,2,0))</f>
        <v>#REF!</v>
      </c>
      <c r="L373" s="19" t="e">
        <f>IF(J373="","SEM #CH",VLOOKUP(J373,#REF!,3,0))</f>
        <v>#REF!</v>
      </c>
      <c r="M373" s="19" t="e">
        <f>IF(J373="","SEM #CH",VLOOKUP(J373,#REF!,4,0))</f>
        <v>#REF!</v>
      </c>
      <c r="N373" s="19" t="e">
        <f>IF(J373="","SEM #CH",VLOOKUP(J373,#REF!,5,0))</f>
        <v>#REF!</v>
      </c>
      <c r="O373" s="19" t="e">
        <f>IF(J373="","SEM #CH",VLOOKUP(J373,#REF!,6,0))</f>
        <v>#REF!</v>
      </c>
      <c r="P373" s="19" t="e">
        <f>IF(J373="","SEM #CH",VLOOKUP(J373,#REF!,7,0))</f>
        <v>#REF!</v>
      </c>
      <c r="Q373" s="77" t="str">
        <f>VLOOKUP(J373,'p1'!$B$2:$C$30,2,0)</f>
        <v>NÃO TEM CHAPA</v>
      </c>
      <c r="R373" s="94">
        <v>45888</v>
      </c>
      <c r="S373" s="90" t="s">
        <v>218</v>
      </c>
      <c r="T373" s="90">
        <f t="shared" si="28"/>
        <v>1</v>
      </c>
      <c r="U373" s="94">
        <v>45894</v>
      </c>
      <c r="V373" s="90" t="s">
        <v>86</v>
      </c>
      <c r="W373" s="92">
        <v>2488</v>
      </c>
      <c r="X373" s="93">
        <f t="shared" si="27"/>
        <v>1</v>
      </c>
      <c r="Y373" s="92"/>
      <c r="Z373" s="92"/>
      <c r="AA373" s="13" t="str">
        <f t="shared" si="29"/>
        <v>ago/2025</v>
      </c>
    </row>
    <row r="374" spans="1:27" x14ac:dyDescent="0.25">
      <c r="A374" s="89">
        <v>373</v>
      </c>
      <c r="B374" s="68">
        <v>45909</v>
      </c>
      <c r="C374" s="40">
        <v>86</v>
      </c>
      <c r="D374" s="40">
        <f t="shared" si="25"/>
        <v>1</v>
      </c>
      <c r="E374" s="50" t="s">
        <v>131</v>
      </c>
      <c r="F374" s="17" t="s">
        <v>61</v>
      </c>
      <c r="G374" s="17" t="s">
        <v>86</v>
      </c>
      <c r="H374" s="42" t="s">
        <v>606</v>
      </c>
      <c r="I374" s="17" t="str">
        <f t="shared" si="26"/>
        <v>PF-373</v>
      </c>
      <c r="J374" s="18" t="s">
        <v>61</v>
      </c>
      <c r="K374" s="19" t="e">
        <f>IF(J374="","SEM #CH",VLOOKUP(J374,#REF!,2,0))</f>
        <v>#REF!</v>
      </c>
      <c r="L374" s="19" t="e">
        <f>IF(J374="","SEM #CH",VLOOKUP(J374,#REF!,3,0))</f>
        <v>#REF!</v>
      </c>
      <c r="M374" s="19" t="e">
        <f>IF(J374="","SEM #CH",VLOOKUP(J374,#REF!,4,0))</f>
        <v>#REF!</v>
      </c>
      <c r="N374" s="19" t="e">
        <f>IF(J374="","SEM #CH",VLOOKUP(J374,#REF!,5,0))</f>
        <v>#REF!</v>
      </c>
      <c r="O374" s="19" t="e">
        <f>IF(J374="","SEM #CH",VLOOKUP(J374,#REF!,6,0))</f>
        <v>#REF!</v>
      </c>
      <c r="P374" s="19" t="e">
        <f>IF(J374="","SEM #CH",VLOOKUP(J374,#REF!,7,0))</f>
        <v>#REF!</v>
      </c>
      <c r="Q374" s="77" t="str">
        <f>VLOOKUP(J374,'p1'!$B$2:$C$30,2,0)</f>
        <v>SEM CHAPA</v>
      </c>
      <c r="R374" s="94">
        <v>45910</v>
      </c>
      <c r="S374" s="90" t="s">
        <v>217</v>
      </c>
      <c r="T374" s="90">
        <f t="shared" si="28"/>
        <v>1</v>
      </c>
      <c r="U374" s="94">
        <v>45910</v>
      </c>
      <c r="V374" s="90" t="s">
        <v>86</v>
      </c>
      <c r="W374" s="92">
        <v>2518</v>
      </c>
      <c r="X374" s="93">
        <f t="shared" si="27"/>
        <v>1</v>
      </c>
      <c r="Y374" s="92"/>
      <c r="Z374" s="92"/>
      <c r="AA374" s="13" t="str">
        <f t="shared" si="29"/>
        <v>set/2025</v>
      </c>
    </row>
    <row r="375" spans="1:27" x14ac:dyDescent="0.25">
      <c r="A375" s="89">
        <v>374</v>
      </c>
      <c r="B375" s="68">
        <v>45871</v>
      </c>
      <c r="C375" s="40">
        <v>62</v>
      </c>
      <c r="D375" s="40">
        <f t="shared" si="25"/>
        <v>1</v>
      </c>
      <c r="E375" s="50" t="s">
        <v>131</v>
      </c>
      <c r="F375" s="17" t="s">
        <v>58</v>
      </c>
      <c r="G375" s="17" t="s">
        <v>86</v>
      </c>
      <c r="H375" s="42" t="s">
        <v>607</v>
      </c>
      <c r="I375" s="17" t="str">
        <f t="shared" si="26"/>
        <v>PN-374</v>
      </c>
      <c r="J375" s="18" t="s">
        <v>85</v>
      </c>
      <c r="K375" s="19" t="e">
        <f>IF(J375="","SEM #CH",VLOOKUP(J375,#REF!,2,0))</f>
        <v>#REF!</v>
      </c>
      <c r="L375" s="19" t="e">
        <f>IF(J375="","SEM #CH",VLOOKUP(J375,#REF!,3,0))</f>
        <v>#REF!</v>
      </c>
      <c r="M375" s="19" t="e">
        <f>IF(J375="","SEM #CH",VLOOKUP(J375,#REF!,4,0))</f>
        <v>#REF!</v>
      </c>
      <c r="N375" s="19" t="e">
        <f>IF(J375="","SEM #CH",VLOOKUP(J375,#REF!,5,0))</f>
        <v>#REF!</v>
      </c>
      <c r="O375" s="19" t="e">
        <f>IF(J375="","SEM #CH",VLOOKUP(J375,#REF!,6,0))</f>
        <v>#REF!</v>
      </c>
      <c r="P375" s="19" t="e">
        <f>IF(J375="","SEM #CH",VLOOKUP(J375,#REF!,7,0))</f>
        <v>#REF!</v>
      </c>
      <c r="Q375" s="77" t="str">
        <f>VLOOKUP(J375,'p1'!$B$2:$C$30,2,0)</f>
        <v>NÃO TEM CHAPA</v>
      </c>
      <c r="R375" s="94">
        <v>45888</v>
      </c>
      <c r="S375" s="90" t="s">
        <v>218</v>
      </c>
      <c r="T375" s="90">
        <f t="shared" si="28"/>
        <v>1</v>
      </c>
      <c r="U375" s="94">
        <v>45894</v>
      </c>
      <c r="V375" s="90" t="s">
        <v>86</v>
      </c>
      <c r="W375" s="92">
        <v>2488</v>
      </c>
      <c r="X375" s="93">
        <f t="shared" si="27"/>
        <v>1</v>
      </c>
      <c r="Y375" s="92"/>
      <c r="Z375" s="92"/>
      <c r="AA375" s="13" t="str">
        <f t="shared" si="29"/>
        <v>ago/2025</v>
      </c>
    </row>
    <row r="376" spans="1:27" x14ac:dyDescent="0.25">
      <c r="A376" s="89">
        <v>375</v>
      </c>
      <c r="B376" s="68">
        <v>45871</v>
      </c>
      <c r="C376" s="40">
        <v>62</v>
      </c>
      <c r="D376" s="40">
        <f t="shared" si="25"/>
        <v>1</v>
      </c>
      <c r="E376" s="50" t="s">
        <v>131</v>
      </c>
      <c r="F376" s="17" t="s">
        <v>58</v>
      </c>
      <c r="G376" s="17" t="s">
        <v>86</v>
      </c>
      <c r="H376" s="42" t="s">
        <v>608</v>
      </c>
      <c r="I376" s="17" t="str">
        <f t="shared" si="26"/>
        <v>PN-375</v>
      </c>
      <c r="J376" s="18" t="s">
        <v>85</v>
      </c>
      <c r="K376" s="19" t="e">
        <f>IF(J376="","SEM #CH",VLOOKUP(J376,#REF!,2,0))</f>
        <v>#REF!</v>
      </c>
      <c r="L376" s="19" t="e">
        <f>IF(J376="","SEM #CH",VLOOKUP(J376,#REF!,3,0))</f>
        <v>#REF!</v>
      </c>
      <c r="M376" s="19" t="e">
        <f>IF(J376="","SEM #CH",VLOOKUP(J376,#REF!,4,0))</f>
        <v>#REF!</v>
      </c>
      <c r="N376" s="19" t="e">
        <f>IF(J376="","SEM #CH",VLOOKUP(J376,#REF!,5,0))</f>
        <v>#REF!</v>
      </c>
      <c r="O376" s="19" t="e">
        <f>IF(J376="","SEM #CH",VLOOKUP(J376,#REF!,6,0))</f>
        <v>#REF!</v>
      </c>
      <c r="P376" s="19" t="e">
        <f>IF(J376="","SEM #CH",VLOOKUP(J376,#REF!,7,0))</f>
        <v>#REF!</v>
      </c>
      <c r="Q376" s="77" t="str">
        <f>VLOOKUP(J376,'p1'!$B$2:$C$30,2,0)</f>
        <v>NÃO TEM CHAPA</v>
      </c>
      <c r="R376" s="94">
        <v>45889</v>
      </c>
      <c r="S376" s="90" t="s">
        <v>218</v>
      </c>
      <c r="T376" s="90">
        <f t="shared" si="28"/>
        <v>1</v>
      </c>
      <c r="U376" s="94">
        <v>45894</v>
      </c>
      <c r="V376" s="90" t="s">
        <v>86</v>
      </c>
      <c r="W376" s="92">
        <v>2488</v>
      </c>
      <c r="X376" s="93">
        <f t="shared" si="27"/>
        <v>1</v>
      </c>
      <c r="Y376" s="92"/>
      <c r="Z376" s="92"/>
      <c r="AA376" s="13" t="str">
        <f t="shared" si="29"/>
        <v>ago/2025</v>
      </c>
    </row>
    <row r="377" spans="1:27" x14ac:dyDescent="0.25">
      <c r="A377" s="89">
        <v>376</v>
      </c>
      <c r="B377" s="68">
        <v>45871</v>
      </c>
      <c r="C377" s="40">
        <v>62</v>
      </c>
      <c r="D377" s="40">
        <f t="shared" si="25"/>
        <v>1</v>
      </c>
      <c r="E377" s="50" t="s">
        <v>131</v>
      </c>
      <c r="F377" s="17" t="s">
        <v>58</v>
      </c>
      <c r="G377" s="17" t="s">
        <v>86</v>
      </c>
      <c r="H377" s="42" t="s">
        <v>609</v>
      </c>
      <c r="I377" s="17" t="str">
        <f t="shared" si="26"/>
        <v>PN-376</v>
      </c>
      <c r="J377" s="18" t="s">
        <v>85</v>
      </c>
      <c r="K377" s="19" t="e">
        <f>IF(J377="","SEM #CH",VLOOKUP(J377,#REF!,2,0))</f>
        <v>#REF!</v>
      </c>
      <c r="L377" s="19" t="e">
        <f>IF(J377="","SEM #CH",VLOOKUP(J377,#REF!,3,0))</f>
        <v>#REF!</v>
      </c>
      <c r="M377" s="19" t="e">
        <f>IF(J377="","SEM #CH",VLOOKUP(J377,#REF!,4,0))</f>
        <v>#REF!</v>
      </c>
      <c r="N377" s="19" t="e">
        <f>IF(J377="","SEM #CH",VLOOKUP(J377,#REF!,5,0))</f>
        <v>#REF!</v>
      </c>
      <c r="O377" s="19" t="e">
        <f>IF(J377="","SEM #CH",VLOOKUP(J377,#REF!,6,0))</f>
        <v>#REF!</v>
      </c>
      <c r="P377" s="19" t="e">
        <f>IF(J377="","SEM #CH",VLOOKUP(J377,#REF!,7,0))</f>
        <v>#REF!</v>
      </c>
      <c r="Q377" s="77" t="str">
        <f>VLOOKUP(J377,'p1'!$B$2:$C$30,2,0)</f>
        <v>NÃO TEM CHAPA</v>
      </c>
      <c r="R377" s="94">
        <v>45889</v>
      </c>
      <c r="S377" s="90" t="s">
        <v>218</v>
      </c>
      <c r="T377" s="90">
        <f t="shared" si="28"/>
        <v>1</v>
      </c>
      <c r="U377" s="94">
        <v>45891</v>
      </c>
      <c r="V377" s="90" t="s">
        <v>86</v>
      </c>
      <c r="W377" s="92">
        <v>2845</v>
      </c>
      <c r="X377" s="93">
        <f t="shared" si="27"/>
        <v>1</v>
      </c>
      <c r="Y377" s="92"/>
      <c r="Z377" s="92"/>
      <c r="AA377" s="13" t="str">
        <f t="shared" si="29"/>
        <v>ago/2025</v>
      </c>
    </row>
    <row r="378" spans="1:27" x14ac:dyDescent="0.25">
      <c r="A378" s="89">
        <v>377</v>
      </c>
      <c r="B378" s="68">
        <v>45873</v>
      </c>
      <c r="C378" s="40">
        <v>63</v>
      </c>
      <c r="D378" s="40">
        <f t="shared" si="25"/>
        <v>1</v>
      </c>
      <c r="E378" s="50" t="s">
        <v>131</v>
      </c>
      <c r="F378" s="17" t="s">
        <v>58</v>
      </c>
      <c r="G378" s="17" t="s">
        <v>86</v>
      </c>
      <c r="H378" s="42" t="s">
        <v>610</v>
      </c>
      <c r="I378" s="17" t="str">
        <f t="shared" si="26"/>
        <v>PN-377</v>
      </c>
      <c r="J378" s="18" t="s">
        <v>85</v>
      </c>
      <c r="K378" s="19" t="e">
        <f>IF(J378="","SEM #CH",VLOOKUP(J378,#REF!,2,0))</f>
        <v>#REF!</v>
      </c>
      <c r="L378" s="19" t="e">
        <f>IF(J378="","SEM #CH",VLOOKUP(J378,#REF!,3,0))</f>
        <v>#REF!</v>
      </c>
      <c r="M378" s="19" t="e">
        <f>IF(J378="","SEM #CH",VLOOKUP(J378,#REF!,4,0))</f>
        <v>#REF!</v>
      </c>
      <c r="N378" s="19" t="e">
        <f>IF(J378="","SEM #CH",VLOOKUP(J378,#REF!,5,0))</f>
        <v>#REF!</v>
      </c>
      <c r="O378" s="19" t="e">
        <f>IF(J378="","SEM #CH",VLOOKUP(J378,#REF!,6,0))</f>
        <v>#REF!</v>
      </c>
      <c r="P378" s="19" t="e">
        <f>IF(J378="","SEM #CH",VLOOKUP(J378,#REF!,7,0))</f>
        <v>#REF!</v>
      </c>
      <c r="Q378" s="77" t="str">
        <f>VLOOKUP(J378,'p1'!$B$2:$C$30,2,0)</f>
        <v>NÃO TEM CHAPA</v>
      </c>
      <c r="R378" s="94">
        <v>45943</v>
      </c>
      <c r="S378" s="90" t="s">
        <v>217</v>
      </c>
      <c r="T378" s="90">
        <f t="shared" si="28"/>
        <v>1</v>
      </c>
      <c r="U378" s="94">
        <v>45951</v>
      </c>
      <c r="V378" s="90" t="s">
        <v>86</v>
      </c>
      <c r="W378" s="92">
        <v>2586</v>
      </c>
      <c r="X378" s="93">
        <f t="shared" si="27"/>
        <v>1</v>
      </c>
      <c r="Y378" s="92"/>
      <c r="Z378" s="92"/>
      <c r="AA378" s="13" t="str">
        <f t="shared" si="29"/>
        <v>out/2025</v>
      </c>
    </row>
    <row r="379" spans="1:27" x14ac:dyDescent="0.25">
      <c r="A379" s="89">
        <v>378</v>
      </c>
      <c r="B379" s="68">
        <v>45873</v>
      </c>
      <c r="C379" s="40">
        <v>63</v>
      </c>
      <c r="D379" s="40">
        <f t="shared" si="25"/>
        <v>1</v>
      </c>
      <c r="E379" s="50" t="s">
        <v>131</v>
      </c>
      <c r="F379" s="17" t="s">
        <v>58</v>
      </c>
      <c r="G379" s="17" t="s">
        <v>86</v>
      </c>
      <c r="H379" s="42" t="s">
        <v>611</v>
      </c>
      <c r="I379" s="17" t="str">
        <f t="shared" si="26"/>
        <v>PN-378</v>
      </c>
      <c r="J379" s="18" t="s">
        <v>85</v>
      </c>
      <c r="K379" s="19" t="e">
        <f>IF(J379="","SEM #CH",VLOOKUP(J379,#REF!,2,0))</f>
        <v>#REF!</v>
      </c>
      <c r="L379" s="19" t="e">
        <f>IF(J379="","SEM #CH",VLOOKUP(J379,#REF!,3,0))</f>
        <v>#REF!</v>
      </c>
      <c r="M379" s="19" t="e">
        <f>IF(J379="","SEM #CH",VLOOKUP(J379,#REF!,4,0))</f>
        <v>#REF!</v>
      </c>
      <c r="N379" s="19" t="e">
        <f>IF(J379="","SEM #CH",VLOOKUP(J379,#REF!,5,0))</f>
        <v>#REF!</v>
      </c>
      <c r="O379" s="19" t="e">
        <f>IF(J379="","SEM #CH",VLOOKUP(J379,#REF!,6,0))</f>
        <v>#REF!</v>
      </c>
      <c r="P379" s="19" t="e">
        <f>IF(J379="","SEM #CH",VLOOKUP(J379,#REF!,7,0))</f>
        <v>#REF!</v>
      </c>
      <c r="Q379" s="77" t="str">
        <f>VLOOKUP(J379,'p1'!$B$2:$C$30,2,0)</f>
        <v>NÃO TEM CHAPA</v>
      </c>
      <c r="R379" s="94">
        <v>45944</v>
      </c>
      <c r="S379" s="90" t="s">
        <v>217</v>
      </c>
      <c r="T379" s="90">
        <f t="shared" si="28"/>
        <v>1</v>
      </c>
      <c r="U379" s="94">
        <v>45947</v>
      </c>
      <c r="V379" s="90" t="s">
        <v>86</v>
      </c>
      <c r="W379" s="92">
        <v>2581</v>
      </c>
      <c r="X379" s="93">
        <f t="shared" si="27"/>
        <v>1</v>
      </c>
      <c r="Y379" s="92"/>
      <c r="Z379" s="92"/>
      <c r="AA379" s="13" t="str">
        <f t="shared" si="29"/>
        <v>out/2025</v>
      </c>
    </row>
    <row r="380" spans="1:27" x14ac:dyDescent="0.25">
      <c r="A380" s="89">
        <v>379</v>
      </c>
      <c r="B380" s="68">
        <v>45913</v>
      </c>
      <c r="C380" s="40">
        <v>91</v>
      </c>
      <c r="D380" s="40">
        <f t="shared" si="25"/>
        <v>1</v>
      </c>
      <c r="E380" s="50" t="s">
        <v>131</v>
      </c>
      <c r="F380" s="17" t="s">
        <v>60</v>
      </c>
      <c r="G380" s="17" t="s">
        <v>86</v>
      </c>
      <c r="H380" s="42" t="s">
        <v>612</v>
      </c>
      <c r="I380" s="21" t="str">
        <f t="shared" si="26"/>
        <v>PE-379</v>
      </c>
      <c r="J380" s="18" t="s">
        <v>88</v>
      </c>
      <c r="K380" s="19" t="e">
        <f>IF(J380="","SEM #CH",VLOOKUP(J380,#REF!,2,0))</f>
        <v>#REF!</v>
      </c>
      <c r="L380" s="19" t="e">
        <f>IF(J380="","SEM #CH",VLOOKUP(J380,#REF!,3,0))</f>
        <v>#REF!</v>
      </c>
      <c r="M380" s="19" t="e">
        <f>IF(J380="","SEM #CH",VLOOKUP(J380,#REF!,4,0))</f>
        <v>#REF!</v>
      </c>
      <c r="N380" s="19" t="e">
        <f>IF(J380="","SEM #CH",VLOOKUP(J380,#REF!,5,0))</f>
        <v>#REF!</v>
      </c>
      <c r="O380" s="19" t="e">
        <f>IF(J380="","SEM #CH",VLOOKUP(J380,#REF!,6,0))</f>
        <v>#REF!</v>
      </c>
      <c r="P380" s="19" t="e">
        <f>IF(J380="","SEM #CH",VLOOKUP(J380,#REF!,7,0))</f>
        <v>#REF!</v>
      </c>
      <c r="Q380" s="77" t="str">
        <f>VLOOKUP(J380,'p1'!$B$2:$C$30,2,0)</f>
        <v>#3/8-1315X1315</v>
      </c>
      <c r="R380" s="94">
        <v>45916</v>
      </c>
      <c r="S380" s="90" t="s">
        <v>218</v>
      </c>
      <c r="T380" s="90">
        <f t="shared" si="28"/>
        <v>1</v>
      </c>
      <c r="U380" s="94">
        <v>45916</v>
      </c>
      <c r="V380" s="90" t="s">
        <v>86</v>
      </c>
      <c r="W380" s="92">
        <v>2528</v>
      </c>
      <c r="X380" s="93">
        <f t="shared" si="27"/>
        <v>1</v>
      </c>
      <c r="Y380" s="92"/>
      <c r="Z380" s="92"/>
      <c r="AA380" s="13" t="str">
        <f t="shared" si="29"/>
        <v>set/2025</v>
      </c>
    </row>
    <row r="381" spans="1:27" x14ac:dyDescent="0.25">
      <c r="A381" s="89">
        <v>380</v>
      </c>
      <c r="B381" s="68">
        <v>45913</v>
      </c>
      <c r="C381" s="40">
        <v>91</v>
      </c>
      <c r="D381" s="40">
        <f t="shared" si="25"/>
        <v>1</v>
      </c>
      <c r="E381" s="50" t="s">
        <v>131</v>
      </c>
      <c r="F381" s="17" t="s">
        <v>60</v>
      </c>
      <c r="G381" s="17" t="s">
        <v>86</v>
      </c>
      <c r="H381" s="42" t="s">
        <v>613</v>
      </c>
      <c r="I381" s="21" t="str">
        <f t="shared" si="26"/>
        <v>PE-380</v>
      </c>
      <c r="J381" s="18" t="s">
        <v>87</v>
      </c>
      <c r="K381" s="19" t="e">
        <f>IF(J381="","SEM #CH",VLOOKUP(J381,#REF!,2,0))</f>
        <v>#REF!</v>
      </c>
      <c r="L381" s="19" t="e">
        <f>IF(J381="","SEM #CH",VLOOKUP(J381,#REF!,3,0))</f>
        <v>#REF!</v>
      </c>
      <c r="M381" s="19" t="e">
        <f>IF(J381="","SEM #CH",VLOOKUP(J381,#REF!,4,0))</f>
        <v>#REF!</v>
      </c>
      <c r="N381" s="19" t="e">
        <f>IF(J381="","SEM #CH",VLOOKUP(J381,#REF!,5,0))</f>
        <v>#REF!</v>
      </c>
      <c r="O381" s="19" t="e">
        <f>IF(J381="","SEM #CH",VLOOKUP(J381,#REF!,6,0))</f>
        <v>#REF!</v>
      </c>
      <c r="P381" s="19" t="e">
        <f>IF(J381="","SEM #CH",VLOOKUP(J381,#REF!,7,0))</f>
        <v>#REF!</v>
      </c>
      <c r="Q381" s="77" t="str">
        <f>VLOOKUP(J381,'p1'!$B$2:$C$30,2,0)</f>
        <v>#3/8-1620X1620</v>
      </c>
      <c r="R381" s="94">
        <v>45916</v>
      </c>
      <c r="S381" s="90" t="s">
        <v>218</v>
      </c>
      <c r="T381" s="90">
        <f t="shared" si="28"/>
        <v>1</v>
      </c>
      <c r="U381" s="94">
        <v>45916</v>
      </c>
      <c r="V381" s="90" t="s">
        <v>86</v>
      </c>
      <c r="W381" s="92">
        <v>2527</v>
      </c>
      <c r="X381" s="93">
        <f t="shared" si="27"/>
        <v>1</v>
      </c>
      <c r="Y381" s="92"/>
      <c r="Z381" s="92"/>
      <c r="AA381" s="13" t="str">
        <f t="shared" si="29"/>
        <v>set/2025</v>
      </c>
    </row>
    <row r="382" spans="1:27" x14ac:dyDescent="0.25">
      <c r="A382" s="89">
        <v>381</v>
      </c>
      <c r="B382" s="68">
        <v>45913</v>
      </c>
      <c r="C382" s="40">
        <v>91</v>
      </c>
      <c r="D382" s="40">
        <f t="shared" si="25"/>
        <v>1</v>
      </c>
      <c r="E382" s="50" t="s">
        <v>131</v>
      </c>
      <c r="F382" s="17" t="s">
        <v>60</v>
      </c>
      <c r="G382" s="17" t="s">
        <v>86</v>
      </c>
      <c r="H382" s="42" t="s">
        <v>614</v>
      </c>
      <c r="I382" s="21" t="str">
        <f t="shared" si="26"/>
        <v>PE-381</v>
      </c>
      <c r="J382" s="18" t="s">
        <v>89</v>
      </c>
      <c r="K382" s="19" t="e">
        <f>IF(J382="","SEM #CH",VLOOKUP(J382,#REF!,2,0))</f>
        <v>#REF!</v>
      </c>
      <c r="L382" s="19" t="e">
        <f>IF(J382="","SEM #CH",VLOOKUP(J382,#REF!,3,0))</f>
        <v>#REF!</v>
      </c>
      <c r="M382" s="19" t="e">
        <f>IF(J382="","SEM #CH",VLOOKUP(J382,#REF!,4,0))</f>
        <v>#REF!</v>
      </c>
      <c r="N382" s="19" t="e">
        <f>IF(J382="","SEM #CH",VLOOKUP(J382,#REF!,5,0))</f>
        <v>#REF!</v>
      </c>
      <c r="O382" s="19" t="e">
        <f>IF(J382="","SEM #CH",VLOOKUP(J382,#REF!,6,0))</f>
        <v>#REF!</v>
      </c>
      <c r="P382" s="19" t="e">
        <f>IF(J382="","SEM #CH",VLOOKUP(J382,#REF!,7,0))</f>
        <v>#REF!</v>
      </c>
      <c r="Q382" s="77" t="str">
        <f>VLOOKUP(J382,'p1'!$B$2:$C$30,2,0)</f>
        <v>#3/8-1200X1200</v>
      </c>
      <c r="R382" s="94">
        <v>45916</v>
      </c>
      <c r="S382" s="90" t="s">
        <v>218</v>
      </c>
      <c r="T382" s="90">
        <f t="shared" si="28"/>
        <v>1</v>
      </c>
      <c r="U382" s="94">
        <v>45916</v>
      </c>
      <c r="V382" s="90" t="s">
        <v>86</v>
      </c>
      <c r="W382" s="92">
        <v>2528</v>
      </c>
      <c r="X382" s="93">
        <f t="shared" si="27"/>
        <v>1</v>
      </c>
      <c r="Y382" s="92"/>
      <c r="Z382" s="92"/>
      <c r="AA382" s="13" t="str">
        <f t="shared" si="29"/>
        <v>set/2025</v>
      </c>
    </row>
    <row r="383" spans="1:27" x14ac:dyDescent="0.25">
      <c r="A383" s="89">
        <v>382</v>
      </c>
      <c r="B383" s="68">
        <v>45855</v>
      </c>
      <c r="C383" s="40">
        <v>50</v>
      </c>
      <c r="D383" s="40">
        <f t="shared" si="25"/>
        <v>1</v>
      </c>
      <c r="E383" s="50" t="s">
        <v>131</v>
      </c>
      <c r="F383" s="17" t="s">
        <v>60</v>
      </c>
      <c r="G383" s="17" t="s">
        <v>86</v>
      </c>
      <c r="H383" s="42" t="s">
        <v>615</v>
      </c>
      <c r="I383" s="17" t="str">
        <f t="shared" si="26"/>
        <v>PE-382</v>
      </c>
      <c r="J383" s="18" t="s">
        <v>90</v>
      </c>
      <c r="K383" s="19" t="e">
        <f>IF(J383="","SEM #CH",VLOOKUP(J383,#REF!,2,0))</f>
        <v>#REF!</v>
      </c>
      <c r="L383" s="19" t="e">
        <f>IF(J383="","SEM #CH",VLOOKUP(J383,#REF!,3,0))</f>
        <v>#REF!</v>
      </c>
      <c r="M383" s="19" t="e">
        <f>IF(J383="","SEM #CH",VLOOKUP(J383,#REF!,4,0))</f>
        <v>#REF!</v>
      </c>
      <c r="N383" s="19" t="e">
        <f>IF(J383="","SEM #CH",VLOOKUP(J383,#REF!,5,0))</f>
        <v>#REF!</v>
      </c>
      <c r="O383" s="19" t="e">
        <f>IF(J383="","SEM #CH",VLOOKUP(J383,#REF!,6,0))</f>
        <v>#REF!</v>
      </c>
      <c r="P383" s="19" t="e">
        <f>IF(J383="","SEM #CH",VLOOKUP(J383,#REF!,7,0))</f>
        <v>#REF!</v>
      </c>
      <c r="Q383" s="77" t="str">
        <f>VLOOKUP(J383,'p1'!$B$2:$C$30,2,0)</f>
        <v>#3/8-530X530</v>
      </c>
      <c r="R383" s="94">
        <v>45878</v>
      </c>
      <c r="S383" s="90" t="s">
        <v>217</v>
      </c>
      <c r="T383" s="90">
        <f t="shared" si="28"/>
        <v>1</v>
      </c>
      <c r="U383" s="94">
        <v>45882</v>
      </c>
      <c r="V383" s="90" t="s">
        <v>86</v>
      </c>
      <c r="W383" s="92">
        <v>2472</v>
      </c>
      <c r="X383" s="93">
        <f t="shared" si="27"/>
        <v>1</v>
      </c>
      <c r="Y383" s="92"/>
      <c r="Z383" s="92"/>
      <c r="AA383" s="13" t="str">
        <f t="shared" si="29"/>
        <v>ago/2025</v>
      </c>
    </row>
    <row r="384" spans="1:27" x14ac:dyDescent="0.25">
      <c r="A384" s="89">
        <v>383</v>
      </c>
      <c r="B384" s="68">
        <v>45873</v>
      </c>
      <c r="C384" s="40">
        <v>63</v>
      </c>
      <c r="D384" s="40">
        <f t="shared" si="25"/>
        <v>1</v>
      </c>
      <c r="E384" s="50" t="s">
        <v>131</v>
      </c>
      <c r="F384" s="17" t="s">
        <v>58</v>
      </c>
      <c r="G384" s="17" t="s">
        <v>86</v>
      </c>
      <c r="H384" s="42" t="s">
        <v>616</v>
      </c>
      <c r="I384" s="17" t="str">
        <f t="shared" si="26"/>
        <v>PN-383</v>
      </c>
      <c r="J384" s="18" t="s">
        <v>85</v>
      </c>
      <c r="K384" s="19" t="e">
        <f>IF(J384="","SEM #CH",VLOOKUP(J384,#REF!,2,0))</f>
        <v>#REF!</v>
      </c>
      <c r="L384" s="19" t="e">
        <f>IF(J384="","SEM #CH",VLOOKUP(J384,#REF!,3,0))</f>
        <v>#REF!</v>
      </c>
      <c r="M384" s="19" t="e">
        <f>IF(J384="","SEM #CH",VLOOKUP(J384,#REF!,4,0))</f>
        <v>#REF!</v>
      </c>
      <c r="N384" s="19" t="e">
        <f>IF(J384="","SEM #CH",VLOOKUP(J384,#REF!,5,0))</f>
        <v>#REF!</v>
      </c>
      <c r="O384" s="19" t="e">
        <f>IF(J384="","SEM #CH",VLOOKUP(J384,#REF!,6,0))</f>
        <v>#REF!</v>
      </c>
      <c r="P384" s="19" t="e">
        <f>IF(J384="","SEM #CH",VLOOKUP(J384,#REF!,7,0))</f>
        <v>#REF!</v>
      </c>
      <c r="Q384" s="77" t="str">
        <f>VLOOKUP(J384,'p1'!$B$2:$C$30,2,0)</f>
        <v>NÃO TEM CHAPA</v>
      </c>
      <c r="R384" s="94">
        <v>45936</v>
      </c>
      <c r="S384" s="90" t="s">
        <v>217</v>
      </c>
      <c r="T384" s="90">
        <f t="shared" si="28"/>
        <v>1</v>
      </c>
      <c r="U384" s="94">
        <v>45936</v>
      </c>
      <c r="V384" s="90" t="s">
        <v>86</v>
      </c>
      <c r="W384" s="92">
        <v>2565</v>
      </c>
      <c r="X384" s="93">
        <f t="shared" si="27"/>
        <v>1</v>
      </c>
      <c r="Y384" s="92"/>
      <c r="Z384" s="92"/>
      <c r="AA384" s="13" t="str">
        <f t="shared" si="29"/>
        <v>out/2025</v>
      </c>
    </row>
    <row r="385" spans="1:27" x14ac:dyDescent="0.25">
      <c r="A385" s="89">
        <v>384</v>
      </c>
      <c r="B385" s="68">
        <v>45873</v>
      </c>
      <c r="C385" s="40">
        <v>63</v>
      </c>
      <c r="D385" s="40">
        <f t="shared" si="25"/>
        <v>1</v>
      </c>
      <c r="E385" s="50" t="s">
        <v>131</v>
      </c>
      <c r="F385" s="17" t="s">
        <v>58</v>
      </c>
      <c r="G385" s="17" t="s">
        <v>86</v>
      </c>
      <c r="H385" s="42" t="s">
        <v>617</v>
      </c>
      <c r="I385" s="17" t="str">
        <f t="shared" si="26"/>
        <v>PN-384</v>
      </c>
      <c r="J385" s="18" t="s">
        <v>85</v>
      </c>
      <c r="K385" s="19" t="e">
        <f>IF(J385="","SEM #CH",VLOOKUP(J385,#REF!,2,0))</f>
        <v>#REF!</v>
      </c>
      <c r="L385" s="19" t="e">
        <f>IF(J385="","SEM #CH",VLOOKUP(J385,#REF!,3,0))</f>
        <v>#REF!</v>
      </c>
      <c r="M385" s="19" t="e">
        <f>IF(J385="","SEM #CH",VLOOKUP(J385,#REF!,4,0))</f>
        <v>#REF!</v>
      </c>
      <c r="N385" s="19" t="e">
        <f>IF(J385="","SEM #CH",VLOOKUP(J385,#REF!,5,0))</f>
        <v>#REF!</v>
      </c>
      <c r="O385" s="19" t="e">
        <f>IF(J385="","SEM #CH",VLOOKUP(J385,#REF!,6,0))</f>
        <v>#REF!</v>
      </c>
      <c r="P385" s="19" t="e">
        <f>IF(J385="","SEM #CH",VLOOKUP(J385,#REF!,7,0))</f>
        <v>#REF!</v>
      </c>
      <c r="Q385" s="77" t="str">
        <f>VLOOKUP(J385,'p1'!$B$2:$C$30,2,0)</f>
        <v>NÃO TEM CHAPA</v>
      </c>
      <c r="R385" s="94">
        <v>45943</v>
      </c>
      <c r="S385" s="90" t="s">
        <v>217</v>
      </c>
      <c r="T385" s="90">
        <f t="shared" si="28"/>
        <v>1</v>
      </c>
      <c r="U385" s="94">
        <v>45947</v>
      </c>
      <c r="V385" s="90" t="s">
        <v>86</v>
      </c>
      <c r="W385" s="92">
        <v>2581</v>
      </c>
      <c r="X385" s="93">
        <f t="shared" si="27"/>
        <v>1</v>
      </c>
      <c r="Y385" s="92"/>
      <c r="Z385" s="92"/>
      <c r="AA385" s="13" t="str">
        <f t="shared" si="29"/>
        <v>out/2025</v>
      </c>
    </row>
    <row r="386" spans="1:27" x14ac:dyDescent="0.25">
      <c r="A386" s="89">
        <v>385</v>
      </c>
      <c r="B386" s="68">
        <v>45873</v>
      </c>
      <c r="C386" s="40">
        <v>63</v>
      </c>
      <c r="D386" s="40">
        <f t="shared" ref="D386:D449" si="30">IF(B386&gt;0,1,"")</f>
        <v>1</v>
      </c>
      <c r="E386" s="50" t="s">
        <v>131</v>
      </c>
      <c r="F386" s="17" t="s">
        <v>58</v>
      </c>
      <c r="G386" s="17" t="s">
        <v>86</v>
      </c>
      <c r="H386" s="42" t="s">
        <v>618</v>
      </c>
      <c r="I386" s="17" t="str">
        <f t="shared" ref="I386:I449" si="31">_xlfn.CONCAT(F386,G386,H386)</f>
        <v>PN-385</v>
      </c>
      <c r="J386" s="18" t="s">
        <v>85</v>
      </c>
      <c r="K386" s="19" t="e">
        <f>IF(J386="","SEM #CH",VLOOKUP(J386,#REF!,2,0))</f>
        <v>#REF!</v>
      </c>
      <c r="L386" s="19" t="e">
        <f>IF(J386="","SEM #CH",VLOOKUP(J386,#REF!,3,0))</f>
        <v>#REF!</v>
      </c>
      <c r="M386" s="19" t="e">
        <f>IF(J386="","SEM #CH",VLOOKUP(J386,#REF!,4,0))</f>
        <v>#REF!</v>
      </c>
      <c r="N386" s="19" t="e">
        <f>IF(J386="","SEM #CH",VLOOKUP(J386,#REF!,5,0))</f>
        <v>#REF!</v>
      </c>
      <c r="O386" s="19" t="e">
        <f>IF(J386="","SEM #CH",VLOOKUP(J386,#REF!,6,0))</f>
        <v>#REF!</v>
      </c>
      <c r="P386" s="19" t="e">
        <f>IF(J386="","SEM #CH",VLOOKUP(J386,#REF!,7,0))</f>
        <v>#REF!</v>
      </c>
      <c r="Q386" s="77" t="str">
        <f>VLOOKUP(J386,'p1'!$B$2:$C$30,2,0)</f>
        <v>NÃO TEM CHAPA</v>
      </c>
      <c r="R386" s="94">
        <v>45943</v>
      </c>
      <c r="S386" s="90" t="s">
        <v>217</v>
      </c>
      <c r="T386" s="90">
        <f t="shared" si="28"/>
        <v>1</v>
      </c>
      <c r="U386" s="94">
        <v>45947</v>
      </c>
      <c r="V386" s="90" t="s">
        <v>86</v>
      </c>
      <c r="W386" s="92">
        <v>2581</v>
      </c>
      <c r="X386" s="93">
        <f t="shared" ref="X386:X449" si="32">IF(U386&gt;0,1,"")</f>
        <v>1</v>
      </c>
      <c r="Y386" s="92"/>
      <c r="Z386" s="92"/>
      <c r="AA386" s="13" t="str">
        <f t="shared" si="29"/>
        <v>out/2025</v>
      </c>
    </row>
    <row r="387" spans="1:27" x14ac:dyDescent="0.25">
      <c r="A387" s="89">
        <v>386</v>
      </c>
      <c r="B387" s="68">
        <v>45873</v>
      </c>
      <c r="C387" s="40">
        <v>63</v>
      </c>
      <c r="D387" s="40">
        <f t="shared" si="30"/>
        <v>1</v>
      </c>
      <c r="E387" s="50" t="s">
        <v>131</v>
      </c>
      <c r="F387" s="17" t="s">
        <v>58</v>
      </c>
      <c r="G387" s="17" t="s">
        <v>86</v>
      </c>
      <c r="H387" s="42" t="s">
        <v>619</v>
      </c>
      <c r="I387" s="17" t="str">
        <f t="shared" si="31"/>
        <v>PN-386</v>
      </c>
      <c r="J387" s="18" t="s">
        <v>85</v>
      </c>
      <c r="K387" s="19" t="e">
        <f>IF(J387="","SEM #CH",VLOOKUP(J387,#REF!,2,0))</f>
        <v>#REF!</v>
      </c>
      <c r="L387" s="19" t="e">
        <f>IF(J387="","SEM #CH",VLOOKUP(J387,#REF!,3,0))</f>
        <v>#REF!</v>
      </c>
      <c r="M387" s="19" t="e">
        <f>IF(J387="","SEM #CH",VLOOKUP(J387,#REF!,4,0))</f>
        <v>#REF!</v>
      </c>
      <c r="N387" s="19" t="e">
        <f>IF(J387="","SEM #CH",VLOOKUP(J387,#REF!,5,0))</f>
        <v>#REF!</v>
      </c>
      <c r="O387" s="19" t="e">
        <f>IF(J387="","SEM #CH",VLOOKUP(J387,#REF!,6,0))</f>
        <v>#REF!</v>
      </c>
      <c r="P387" s="19" t="e">
        <f>IF(J387="","SEM #CH",VLOOKUP(J387,#REF!,7,0))</f>
        <v>#REF!</v>
      </c>
      <c r="Q387" s="77" t="str">
        <f>VLOOKUP(J387,'p1'!$B$2:$C$30,2,0)</f>
        <v>NÃO TEM CHAPA</v>
      </c>
      <c r="R387" s="94">
        <v>45951</v>
      </c>
      <c r="S387" s="90" t="s">
        <v>217</v>
      </c>
      <c r="T387" s="90">
        <f t="shared" ref="T387:T450" si="33">IF(R387="",0,1)</f>
        <v>1</v>
      </c>
      <c r="U387" s="94">
        <v>45951</v>
      </c>
      <c r="V387" s="90" t="s">
        <v>86</v>
      </c>
      <c r="W387" s="92">
        <v>2590</v>
      </c>
      <c r="X387" s="93">
        <f t="shared" si="32"/>
        <v>1</v>
      </c>
      <c r="Y387" s="92"/>
      <c r="Z387" s="92"/>
      <c r="AA387" s="13" t="str">
        <f t="shared" ref="AA387:AA450" si="34">TEXT(R387,"mmm/aaaa")</f>
        <v>out/2025</v>
      </c>
    </row>
    <row r="388" spans="1:27" x14ac:dyDescent="0.25">
      <c r="A388" s="89">
        <v>387</v>
      </c>
      <c r="B388" s="68">
        <v>45875</v>
      </c>
      <c r="C388" s="40">
        <v>64</v>
      </c>
      <c r="D388" s="40">
        <f t="shared" si="30"/>
        <v>1</v>
      </c>
      <c r="E388" s="50" t="s">
        <v>131</v>
      </c>
      <c r="F388" s="17" t="s">
        <v>58</v>
      </c>
      <c r="G388" s="17" t="s">
        <v>86</v>
      </c>
      <c r="H388" s="42" t="s">
        <v>620</v>
      </c>
      <c r="I388" s="17" t="str">
        <f t="shared" si="31"/>
        <v>PN-387</v>
      </c>
      <c r="J388" s="18" t="s">
        <v>85</v>
      </c>
      <c r="K388" s="19" t="e">
        <f>IF(J388="","SEM #CH",VLOOKUP(J388,#REF!,2,0))</f>
        <v>#REF!</v>
      </c>
      <c r="L388" s="19" t="e">
        <f>IF(J388="","SEM #CH",VLOOKUP(J388,#REF!,3,0))</f>
        <v>#REF!</v>
      </c>
      <c r="M388" s="19" t="e">
        <f>IF(J388="","SEM #CH",VLOOKUP(J388,#REF!,4,0))</f>
        <v>#REF!</v>
      </c>
      <c r="N388" s="19" t="e">
        <f>IF(J388="","SEM #CH",VLOOKUP(J388,#REF!,5,0))</f>
        <v>#REF!</v>
      </c>
      <c r="O388" s="19" t="e">
        <f>IF(J388="","SEM #CH",VLOOKUP(J388,#REF!,6,0))</f>
        <v>#REF!</v>
      </c>
      <c r="P388" s="19" t="e">
        <f>IF(J388="","SEM #CH",VLOOKUP(J388,#REF!,7,0))</f>
        <v>#REF!</v>
      </c>
      <c r="Q388" s="77" t="str">
        <f>VLOOKUP(J388,'p1'!$B$2:$C$30,2,0)</f>
        <v>NÃO TEM CHAPA</v>
      </c>
      <c r="R388" s="94">
        <v>45911</v>
      </c>
      <c r="S388" s="90" t="s">
        <v>218</v>
      </c>
      <c r="T388" s="90">
        <f t="shared" si="33"/>
        <v>1</v>
      </c>
      <c r="U388" s="94">
        <v>45912</v>
      </c>
      <c r="V388" s="90" t="s">
        <v>86</v>
      </c>
      <c r="W388" s="92">
        <v>2522</v>
      </c>
      <c r="X388" s="93">
        <f t="shared" si="32"/>
        <v>1</v>
      </c>
      <c r="Y388" s="92"/>
      <c r="Z388" s="92"/>
      <c r="AA388" s="13" t="str">
        <f t="shared" si="34"/>
        <v>set/2025</v>
      </c>
    </row>
    <row r="389" spans="1:27" x14ac:dyDescent="0.25">
      <c r="A389" s="89">
        <v>388</v>
      </c>
      <c r="B389" s="68">
        <v>45875</v>
      </c>
      <c r="C389" s="40">
        <v>64</v>
      </c>
      <c r="D389" s="40">
        <f t="shared" si="30"/>
        <v>1</v>
      </c>
      <c r="E389" s="50" t="s">
        <v>131</v>
      </c>
      <c r="F389" s="17" t="s">
        <v>58</v>
      </c>
      <c r="G389" s="17" t="s">
        <v>86</v>
      </c>
      <c r="H389" s="42" t="s">
        <v>621</v>
      </c>
      <c r="I389" s="17" t="str">
        <f t="shared" si="31"/>
        <v>PN-388</v>
      </c>
      <c r="J389" s="18" t="s">
        <v>85</v>
      </c>
      <c r="K389" s="19" t="e">
        <f>IF(J389="","SEM #CH",VLOOKUP(J389,#REF!,2,0))</f>
        <v>#REF!</v>
      </c>
      <c r="L389" s="19" t="e">
        <f>IF(J389="","SEM #CH",VLOOKUP(J389,#REF!,3,0))</f>
        <v>#REF!</v>
      </c>
      <c r="M389" s="19" t="e">
        <f>IF(J389="","SEM #CH",VLOOKUP(J389,#REF!,4,0))</f>
        <v>#REF!</v>
      </c>
      <c r="N389" s="19" t="e">
        <f>IF(J389="","SEM #CH",VLOOKUP(J389,#REF!,5,0))</f>
        <v>#REF!</v>
      </c>
      <c r="O389" s="19" t="e">
        <f>IF(J389="","SEM #CH",VLOOKUP(J389,#REF!,6,0))</f>
        <v>#REF!</v>
      </c>
      <c r="P389" s="19" t="e">
        <f>IF(J389="","SEM #CH",VLOOKUP(J389,#REF!,7,0))</f>
        <v>#REF!</v>
      </c>
      <c r="Q389" s="77" t="str">
        <f>VLOOKUP(J389,'p1'!$B$2:$C$30,2,0)</f>
        <v>NÃO TEM CHAPA</v>
      </c>
      <c r="R389" s="94">
        <v>45911</v>
      </c>
      <c r="S389" s="90" t="s">
        <v>218</v>
      </c>
      <c r="T389" s="90">
        <f t="shared" si="33"/>
        <v>1</v>
      </c>
      <c r="U389" s="94">
        <v>45912</v>
      </c>
      <c r="V389" s="90" t="s">
        <v>86</v>
      </c>
      <c r="W389" s="92">
        <v>2522</v>
      </c>
      <c r="X389" s="93">
        <f t="shared" si="32"/>
        <v>1</v>
      </c>
      <c r="Y389" s="92"/>
      <c r="Z389" s="92"/>
      <c r="AA389" s="13" t="str">
        <f t="shared" si="34"/>
        <v>set/2025</v>
      </c>
    </row>
    <row r="390" spans="1:27" x14ac:dyDescent="0.25">
      <c r="A390" s="89">
        <v>389</v>
      </c>
      <c r="B390" s="68">
        <v>45875</v>
      </c>
      <c r="C390" s="40">
        <v>64</v>
      </c>
      <c r="D390" s="40">
        <f t="shared" si="30"/>
        <v>1</v>
      </c>
      <c r="E390" s="50" t="s">
        <v>131</v>
      </c>
      <c r="F390" s="17" t="s">
        <v>58</v>
      </c>
      <c r="G390" s="17" t="s">
        <v>86</v>
      </c>
      <c r="H390" s="42" t="s">
        <v>622</v>
      </c>
      <c r="I390" s="17" t="str">
        <f t="shared" si="31"/>
        <v>PN-389</v>
      </c>
      <c r="J390" s="18" t="s">
        <v>85</v>
      </c>
      <c r="K390" s="19" t="e">
        <f>IF(J390="","SEM #CH",VLOOKUP(J390,#REF!,2,0))</f>
        <v>#REF!</v>
      </c>
      <c r="L390" s="19" t="e">
        <f>IF(J390="","SEM #CH",VLOOKUP(J390,#REF!,3,0))</f>
        <v>#REF!</v>
      </c>
      <c r="M390" s="19" t="e">
        <f>IF(J390="","SEM #CH",VLOOKUP(J390,#REF!,4,0))</f>
        <v>#REF!</v>
      </c>
      <c r="N390" s="19" t="e">
        <f>IF(J390="","SEM #CH",VLOOKUP(J390,#REF!,5,0))</f>
        <v>#REF!</v>
      </c>
      <c r="O390" s="19" t="e">
        <f>IF(J390="","SEM #CH",VLOOKUP(J390,#REF!,6,0))</f>
        <v>#REF!</v>
      </c>
      <c r="P390" s="19" t="e">
        <f>IF(J390="","SEM #CH",VLOOKUP(J390,#REF!,7,0))</f>
        <v>#REF!</v>
      </c>
      <c r="Q390" s="77" t="str">
        <f>VLOOKUP(J390,'p1'!$B$2:$C$30,2,0)</f>
        <v>NÃO TEM CHAPA</v>
      </c>
      <c r="R390" s="94">
        <v>45912</v>
      </c>
      <c r="S390" s="90" t="s">
        <v>218</v>
      </c>
      <c r="T390" s="90">
        <f t="shared" si="33"/>
        <v>1</v>
      </c>
      <c r="U390" s="94">
        <v>45916</v>
      </c>
      <c r="V390" s="90" t="s">
        <v>86</v>
      </c>
      <c r="W390" s="92">
        <v>2526</v>
      </c>
      <c r="X390" s="93">
        <f t="shared" si="32"/>
        <v>1</v>
      </c>
      <c r="Y390" s="92"/>
      <c r="Z390" s="92"/>
      <c r="AA390" s="13" t="str">
        <f t="shared" si="34"/>
        <v>set/2025</v>
      </c>
    </row>
    <row r="391" spans="1:27" x14ac:dyDescent="0.25">
      <c r="A391" s="89">
        <v>390</v>
      </c>
      <c r="B391" s="68">
        <v>45875</v>
      </c>
      <c r="C391" s="40">
        <v>64</v>
      </c>
      <c r="D391" s="40">
        <f t="shared" si="30"/>
        <v>1</v>
      </c>
      <c r="E391" s="50" t="s">
        <v>131</v>
      </c>
      <c r="F391" s="17" t="s">
        <v>58</v>
      </c>
      <c r="G391" s="17" t="s">
        <v>86</v>
      </c>
      <c r="H391" s="42" t="s">
        <v>623</v>
      </c>
      <c r="I391" s="17" t="str">
        <f t="shared" si="31"/>
        <v>PN-390</v>
      </c>
      <c r="J391" s="18" t="s">
        <v>85</v>
      </c>
      <c r="K391" s="19" t="e">
        <f>IF(J391="","SEM #CH",VLOOKUP(J391,#REF!,2,0))</f>
        <v>#REF!</v>
      </c>
      <c r="L391" s="19" t="e">
        <f>IF(J391="","SEM #CH",VLOOKUP(J391,#REF!,3,0))</f>
        <v>#REF!</v>
      </c>
      <c r="M391" s="19" t="e">
        <f>IF(J391="","SEM #CH",VLOOKUP(J391,#REF!,4,0))</f>
        <v>#REF!</v>
      </c>
      <c r="N391" s="19" t="e">
        <f>IF(J391="","SEM #CH",VLOOKUP(J391,#REF!,5,0))</f>
        <v>#REF!</v>
      </c>
      <c r="O391" s="19" t="e">
        <f>IF(J391="","SEM #CH",VLOOKUP(J391,#REF!,6,0))</f>
        <v>#REF!</v>
      </c>
      <c r="P391" s="19" t="e">
        <f>IF(J391="","SEM #CH",VLOOKUP(J391,#REF!,7,0))</f>
        <v>#REF!</v>
      </c>
      <c r="Q391" s="77" t="str">
        <f>VLOOKUP(J391,'p1'!$B$2:$C$30,2,0)</f>
        <v>NÃO TEM CHAPA</v>
      </c>
      <c r="R391" s="94">
        <v>45912</v>
      </c>
      <c r="S391" s="90" t="s">
        <v>218</v>
      </c>
      <c r="T391" s="90">
        <f t="shared" si="33"/>
        <v>1</v>
      </c>
      <c r="U391" s="94">
        <v>45916</v>
      </c>
      <c r="V391" s="90" t="s">
        <v>86</v>
      </c>
      <c r="W391" s="92">
        <v>2527</v>
      </c>
      <c r="X391" s="93">
        <f t="shared" si="32"/>
        <v>1</v>
      </c>
      <c r="Y391" s="92"/>
      <c r="Z391" s="92"/>
      <c r="AA391" s="13" t="str">
        <f t="shared" si="34"/>
        <v>set/2025</v>
      </c>
    </row>
    <row r="392" spans="1:27" x14ac:dyDescent="0.25">
      <c r="A392" s="89">
        <v>391</v>
      </c>
      <c r="B392" s="68">
        <v>45875</v>
      </c>
      <c r="C392" s="40">
        <v>64</v>
      </c>
      <c r="D392" s="40">
        <f t="shared" si="30"/>
        <v>1</v>
      </c>
      <c r="E392" s="50" t="s">
        <v>131</v>
      </c>
      <c r="F392" s="17" t="s">
        <v>58</v>
      </c>
      <c r="G392" s="17" t="s">
        <v>86</v>
      </c>
      <c r="H392" s="42" t="s">
        <v>624</v>
      </c>
      <c r="I392" s="17" t="str">
        <f t="shared" si="31"/>
        <v>PN-391</v>
      </c>
      <c r="J392" s="18" t="s">
        <v>85</v>
      </c>
      <c r="K392" s="19" t="e">
        <f>IF(J392="","SEM #CH",VLOOKUP(J392,#REF!,2,0))</f>
        <v>#REF!</v>
      </c>
      <c r="L392" s="19" t="e">
        <f>IF(J392="","SEM #CH",VLOOKUP(J392,#REF!,3,0))</f>
        <v>#REF!</v>
      </c>
      <c r="M392" s="19" t="e">
        <f>IF(J392="","SEM #CH",VLOOKUP(J392,#REF!,4,0))</f>
        <v>#REF!</v>
      </c>
      <c r="N392" s="19" t="e">
        <f>IF(J392="","SEM #CH",VLOOKUP(J392,#REF!,5,0))</f>
        <v>#REF!</v>
      </c>
      <c r="O392" s="19" t="e">
        <f>IF(J392="","SEM #CH",VLOOKUP(J392,#REF!,6,0))</f>
        <v>#REF!</v>
      </c>
      <c r="P392" s="19" t="e">
        <f>IF(J392="","SEM #CH",VLOOKUP(J392,#REF!,7,0))</f>
        <v>#REF!</v>
      </c>
      <c r="Q392" s="77" t="str">
        <f>VLOOKUP(J392,'p1'!$B$2:$C$30,2,0)</f>
        <v>NÃO TEM CHAPA</v>
      </c>
      <c r="R392" s="94">
        <v>45912</v>
      </c>
      <c r="S392" s="90" t="s">
        <v>218</v>
      </c>
      <c r="T392" s="90">
        <f t="shared" si="33"/>
        <v>1</v>
      </c>
      <c r="U392" s="94">
        <v>45916</v>
      </c>
      <c r="V392" s="90" t="s">
        <v>86</v>
      </c>
      <c r="W392" s="92">
        <v>2526</v>
      </c>
      <c r="X392" s="93">
        <f t="shared" si="32"/>
        <v>1</v>
      </c>
      <c r="Y392" s="92"/>
      <c r="Z392" s="92"/>
      <c r="AA392" s="13" t="str">
        <f t="shared" si="34"/>
        <v>set/2025</v>
      </c>
    </row>
    <row r="393" spans="1:27" x14ac:dyDescent="0.25">
      <c r="A393" s="89">
        <v>392</v>
      </c>
      <c r="B393" s="68">
        <v>45875</v>
      </c>
      <c r="C393" s="40">
        <v>64</v>
      </c>
      <c r="D393" s="40">
        <f t="shared" si="30"/>
        <v>1</v>
      </c>
      <c r="E393" s="50" t="s">
        <v>131</v>
      </c>
      <c r="F393" s="17" t="s">
        <v>58</v>
      </c>
      <c r="G393" s="17" t="s">
        <v>86</v>
      </c>
      <c r="H393" s="42" t="s">
        <v>625</v>
      </c>
      <c r="I393" s="17" t="str">
        <f t="shared" si="31"/>
        <v>PN-392</v>
      </c>
      <c r="J393" s="18" t="s">
        <v>85</v>
      </c>
      <c r="K393" s="19" t="e">
        <f>IF(J393="","SEM #CH",VLOOKUP(J393,#REF!,2,0))</f>
        <v>#REF!</v>
      </c>
      <c r="L393" s="19" t="e">
        <f>IF(J393="","SEM #CH",VLOOKUP(J393,#REF!,3,0))</f>
        <v>#REF!</v>
      </c>
      <c r="M393" s="19" t="e">
        <f>IF(J393="","SEM #CH",VLOOKUP(J393,#REF!,4,0))</f>
        <v>#REF!</v>
      </c>
      <c r="N393" s="19" t="e">
        <f>IF(J393="","SEM #CH",VLOOKUP(J393,#REF!,5,0))</f>
        <v>#REF!</v>
      </c>
      <c r="O393" s="19" t="e">
        <f>IF(J393="","SEM #CH",VLOOKUP(J393,#REF!,6,0))</f>
        <v>#REF!</v>
      </c>
      <c r="P393" s="19" t="e">
        <f>IF(J393="","SEM #CH",VLOOKUP(J393,#REF!,7,0))</f>
        <v>#REF!</v>
      </c>
      <c r="Q393" s="77" t="str">
        <f>VLOOKUP(J393,'p1'!$B$2:$C$30,2,0)</f>
        <v>NÃO TEM CHAPA</v>
      </c>
      <c r="R393" s="94">
        <v>45912</v>
      </c>
      <c r="S393" s="90" t="s">
        <v>218</v>
      </c>
      <c r="T393" s="90">
        <f t="shared" si="33"/>
        <v>1</v>
      </c>
      <c r="U393" s="94">
        <v>45916</v>
      </c>
      <c r="V393" s="90" t="s">
        <v>86</v>
      </c>
      <c r="W393" s="92">
        <v>2526</v>
      </c>
      <c r="X393" s="93">
        <f t="shared" si="32"/>
        <v>1</v>
      </c>
      <c r="Y393" s="92"/>
      <c r="Z393" s="92"/>
      <c r="AA393" s="13" t="str">
        <f t="shared" si="34"/>
        <v>set/2025</v>
      </c>
    </row>
    <row r="394" spans="1:27" x14ac:dyDescent="0.25">
      <c r="A394" s="89">
        <v>393</v>
      </c>
      <c r="B394" s="68">
        <v>45875</v>
      </c>
      <c r="C394" s="40">
        <v>64</v>
      </c>
      <c r="D394" s="40">
        <f t="shared" si="30"/>
        <v>1</v>
      </c>
      <c r="E394" s="50" t="s">
        <v>131</v>
      </c>
      <c r="F394" s="17" t="s">
        <v>58</v>
      </c>
      <c r="G394" s="17" t="s">
        <v>86</v>
      </c>
      <c r="H394" s="42" t="s">
        <v>626</v>
      </c>
      <c r="I394" s="17" t="str">
        <f t="shared" si="31"/>
        <v>PN-393</v>
      </c>
      <c r="J394" s="18" t="s">
        <v>85</v>
      </c>
      <c r="K394" s="19" t="e">
        <f>IF(J394="","SEM #CH",VLOOKUP(J394,#REF!,2,0))</f>
        <v>#REF!</v>
      </c>
      <c r="L394" s="19" t="e">
        <f>IF(J394="","SEM #CH",VLOOKUP(J394,#REF!,3,0))</f>
        <v>#REF!</v>
      </c>
      <c r="M394" s="19" t="e">
        <f>IF(J394="","SEM #CH",VLOOKUP(J394,#REF!,4,0))</f>
        <v>#REF!</v>
      </c>
      <c r="N394" s="19" t="e">
        <f>IF(J394="","SEM #CH",VLOOKUP(J394,#REF!,5,0))</f>
        <v>#REF!</v>
      </c>
      <c r="O394" s="19" t="e">
        <f>IF(J394="","SEM #CH",VLOOKUP(J394,#REF!,6,0))</f>
        <v>#REF!</v>
      </c>
      <c r="P394" s="19" t="e">
        <f>IF(J394="","SEM #CH",VLOOKUP(J394,#REF!,7,0))</f>
        <v>#REF!</v>
      </c>
      <c r="Q394" s="77" t="str">
        <f>VLOOKUP(J394,'p1'!$B$2:$C$30,2,0)</f>
        <v>NÃO TEM CHAPA</v>
      </c>
      <c r="R394" s="94">
        <v>45931</v>
      </c>
      <c r="S394" s="90" t="s">
        <v>218</v>
      </c>
      <c r="T394" s="90">
        <f t="shared" si="33"/>
        <v>1</v>
      </c>
      <c r="U394" s="94">
        <v>45933</v>
      </c>
      <c r="V394" s="90" t="s">
        <v>86</v>
      </c>
      <c r="W394" s="92">
        <v>2561</v>
      </c>
      <c r="X394" s="93">
        <f t="shared" si="32"/>
        <v>1</v>
      </c>
      <c r="Y394" s="92"/>
      <c r="Z394" s="92"/>
      <c r="AA394" s="13" t="str">
        <f t="shared" si="34"/>
        <v>out/2025</v>
      </c>
    </row>
    <row r="395" spans="1:27" x14ac:dyDescent="0.25">
      <c r="A395" s="89">
        <v>394</v>
      </c>
      <c r="B395" s="68">
        <v>45876</v>
      </c>
      <c r="C395" s="40">
        <v>65</v>
      </c>
      <c r="D395" s="40">
        <f t="shared" si="30"/>
        <v>1</v>
      </c>
      <c r="E395" s="50" t="s">
        <v>131</v>
      </c>
      <c r="F395" s="17" t="s">
        <v>58</v>
      </c>
      <c r="G395" s="17" t="s">
        <v>86</v>
      </c>
      <c r="H395" s="42" t="s">
        <v>627</v>
      </c>
      <c r="I395" s="17" t="str">
        <f t="shared" si="31"/>
        <v>PN-394</v>
      </c>
      <c r="J395" s="18" t="s">
        <v>85</v>
      </c>
      <c r="K395" s="19" t="e">
        <f>IF(J395="","SEM #CH",VLOOKUP(J395,#REF!,2,0))</f>
        <v>#REF!</v>
      </c>
      <c r="L395" s="19" t="e">
        <f>IF(J395="","SEM #CH",VLOOKUP(J395,#REF!,3,0))</f>
        <v>#REF!</v>
      </c>
      <c r="M395" s="19" t="e">
        <f>IF(J395="","SEM #CH",VLOOKUP(J395,#REF!,4,0))</f>
        <v>#REF!</v>
      </c>
      <c r="N395" s="19" t="e">
        <f>IF(J395="","SEM #CH",VLOOKUP(J395,#REF!,5,0))</f>
        <v>#REF!</v>
      </c>
      <c r="O395" s="19" t="e">
        <f>IF(J395="","SEM #CH",VLOOKUP(J395,#REF!,6,0))</f>
        <v>#REF!</v>
      </c>
      <c r="P395" s="19" t="e">
        <f>IF(J395="","SEM #CH",VLOOKUP(J395,#REF!,7,0))</f>
        <v>#REF!</v>
      </c>
      <c r="Q395" s="77" t="str">
        <f>VLOOKUP(J395,'p1'!$B$2:$C$30,2,0)</f>
        <v>NÃO TEM CHAPA</v>
      </c>
      <c r="R395" s="94">
        <v>45944</v>
      </c>
      <c r="S395" s="90" t="s">
        <v>217</v>
      </c>
      <c r="T395" s="90">
        <f t="shared" si="33"/>
        <v>1</v>
      </c>
      <c r="U395" s="94">
        <v>45947</v>
      </c>
      <c r="V395" s="90" t="s">
        <v>86</v>
      </c>
      <c r="W395" s="92">
        <v>2580</v>
      </c>
      <c r="X395" s="93">
        <f t="shared" si="32"/>
        <v>1</v>
      </c>
      <c r="Y395" s="92"/>
      <c r="Z395" s="92"/>
      <c r="AA395" s="13" t="str">
        <f t="shared" si="34"/>
        <v>out/2025</v>
      </c>
    </row>
    <row r="396" spans="1:27" x14ac:dyDescent="0.25">
      <c r="A396" s="89">
        <v>395</v>
      </c>
      <c r="B396" s="68">
        <v>45876</v>
      </c>
      <c r="C396" s="40">
        <v>65</v>
      </c>
      <c r="D396" s="40">
        <f t="shared" si="30"/>
        <v>1</v>
      </c>
      <c r="E396" s="50" t="s">
        <v>131</v>
      </c>
      <c r="F396" s="17" t="s">
        <v>58</v>
      </c>
      <c r="G396" s="17" t="s">
        <v>86</v>
      </c>
      <c r="H396" s="42" t="s">
        <v>628</v>
      </c>
      <c r="I396" s="17" t="str">
        <f t="shared" si="31"/>
        <v>PN-395</v>
      </c>
      <c r="J396" s="18" t="s">
        <v>85</v>
      </c>
      <c r="K396" s="19" t="e">
        <f>IF(J396="","SEM #CH",VLOOKUP(J396,#REF!,2,0))</f>
        <v>#REF!</v>
      </c>
      <c r="L396" s="19" t="e">
        <f>IF(J396="","SEM #CH",VLOOKUP(J396,#REF!,3,0))</f>
        <v>#REF!</v>
      </c>
      <c r="M396" s="19" t="e">
        <f>IF(J396="","SEM #CH",VLOOKUP(J396,#REF!,4,0))</f>
        <v>#REF!</v>
      </c>
      <c r="N396" s="19" t="e">
        <f>IF(J396="","SEM #CH",VLOOKUP(J396,#REF!,5,0))</f>
        <v>#REF!</v>
      </c>
      <c r="O396" s="19" t="e">
        <f>IF(J396="","SEM #CH",VLOOKUP(J396,#REF!,6,0))</f>
        <v>#REF!</v>
      </c>
      <c r="P396" s="19" t="e">
        <f>IF(J396="","SEM #CH",VLOOKUP(J396,#REF!,7,0))</f>
        <v>#REF!</v>
      </c>
      <c r="Q396" s="77" t="str">
        <f>VLOOKUP(J396,'p1'!$B$2:$C$30,2,0)</f>
        <v>NÃO TEM CHAPA</v>
      </c>
      <c r="R396" s="94">
        <v>45944</v>
      </c>
      <c r="S396" s="90" t="s">
        <v>217</v>
      </c>
      <c r="T396" s="90">
        <f t="shared" si="33"/>
        <v>1</v>
      </c>
      <c r="U396" s="94">
        <v>45947</v>
      </c>
      <c r="V396" s="90" t="s">
        <v>86</v>
      </c>
      <c r="W396" s="92">
        <v>2580</v>
      </c>
      <c r="X396" s="93">
        <f t="shared" si="32"/>
        <v>1</v>
      </c>
      <c r="Y396" s="92"/>
      <c r="Z396" s="92"/>
      <c r="AA396" s="13" t="str">
        <f t="shared" si="34"/>
        <v>out/2025</v>
      </c>
    </row>
    <row r="397" spans="1:27" x14ac:dyDescent="0.25">
      <c r="A397" s="89">
        <v>396</v>
      </c>
      <c r="B397" s="68">
        <v>45904</v>
      </c>
      <c r="C397" s="40">
        <v>83</v>
      </c>
      <c r="D397" s="40">
        <f t="shared" si="30"/>
        <v>1</v>
      </c>
      <c r="E397" s="50" t="s">
        <v>131</v>
      </c>
      <c r="F397" s="17" t="s">
        <v>60</v>
      </c>
      <c r="G397" s="17" t="s">
        <v>86</v>
      </c>
      <c r="H397" s="42" t="s">
        <v>629</v>
      </c>
      <c r="I397" s="17" t="str">
        <f t="shared" si="31"/>
        <v>PE-396</v>
      </c>
      <c r="J397" s="18" t="s">
        <v>90</v>
      </c>
      <c r="K397" s="19" t="e">
        <f>IF(J397="","SEM #CH",VLOOKUP(J397,#REF!,2,0))</f>
        <v>#REF!</v>
      </c>
      <c r="L397" s="19" t="e">
        <f>IF(J397="","SEM #CH",VLOOKUP(J397,#REF!,3,0))</f>
        <v>#REF!</v>
      </c>
      <c r="M397" s="19" t="e">
        <f>IF(J397="","SEM #CH",VLOOKUP(J397,#REF!,4,0))</f>
        <v>#REF!</v>
      </c>
      <c r="N397" s="19" t="e">
        <f>IF(J397="","SEM #CH",VLOOKUP(J397,#REF!,5,0))</f>
        <v>#REF!</v>
      </c>
      <c r="O397" s="19" t="e">
        <f>IF(J397="","SEM #CH",VLOOKUP(J397,#REF!,6,0))</f>
        <v>#REF!</v>
      </c>
      <c r="P397" s="19" t="e">
        <f>IF(J397="","SEM #CH",VLOOKUP(J397,#REF!,7,0))</f>
        <v>#REF!</v>
      </c>
      <c r="Q397" s="77" t="str">
        <f>VLOOKUP(J397,'p1'!$B$2:$C$30,2,0)</f>
        <v>#3/8-530X530</v>
      </c>
      <c r="R397" s="94">
        <v>45910</v>
      </c>
      <c r="S397" s="90" t="s">
        <v>218</v>
      </c>
      <c r="T397" s="90">
        <f t="shared" si="33"/>
        <v>1</v>
      </c>
      <c r="U397" s="94">
        <v>45910</v>
      </c>
      <c r="V397" s="90" t="s">
        <v>86</v>
      </c>
      <c r="W397" s="92">
        <v>2518</v>
      </c>
      <c r="X397" s="93">
        <f t="shared" si="32"/>
        <v>1</v>
      </c>
      <c r="Y397" s="92"/>
      <c r="Z397" s="92"/>
      <c r="AA397" s="13" t="str">
        <f t="shared" si="34"/>
        <v>set/2025</v>
      </c>
    </row>
    <row r="398" spans="1:27" x14ac:dyDescent="0.25">
      <c r="A398" s="89">
        <v>397</v>
      </c>
      <c r="B398" s="68">
        <v>45876</v>
      </c>
      <c r="C398" s="40">
        <v>65</v>
      </c>
      <c r="D398" s="40">
        <f t="shared" si="30"/>
        <v>1</v>
      </c>
      <c r="E398" s="50" t="s">
        <v>131</v>
      </c>
      <c r="F398" s="17" t="s">
        <v>58</v>
      </c>
      <c r="G398" s="17" t="s">
        <v>86</v>
      </c>
      <c r="H398" s="42" t="s">
        <v>630</v>
      </c>
      <c r="I398" s="17" t="str">
        <f t="shared" si="31"/>
        <v>PN-397</v>
      </c>
      <c r="J398" s="18" t="s">
        <v>85</v>
      </c>
      <c r="K398" s="19" t="e">
        <f>IF(J398="","SEM #CH",VLOOKUP(J398,#REF!,2,0))</f>
        <v>#REF!</v>
      </c>
      <c r="L398" s="19" t="e">
        <f>IF(J398="","SEM #CH",VLOOKUP(J398,#REF!,3,0))</f>
        <v>#REF!</v>
      </c>
      <c r="M398" s="19" t="e">
        <f>IF(J398="","SEM #CH",VLOOKUP(J398,#REF!,4,0))</f>
        <v>#REF!</v>
      </c>
      <c r="N398" s="19" t="e">
        <f>IF(J398="","SEM #CH",VLOOKUP(J398,#REF!,5,0))</f>
        <v>#REF!</v>
      </c>
      <c r="O398" s="19" t="e">
        <f>IF(J398="","SEM #CH",VLOOKUP(J398,#REF!,6,0))</f>
        <v>#REF!</v>
      </c>
      <c r="P398" s="19" t="e">
        <f>IF(J398="","SEM #CH",VLOOKUP(J398,#REF!,7,0))</f>
        <v>#REF!</v>
      </c>
      <c r="Q398" s="77" t="str">
        <f>VLOOKUP(J398,'p1'!$B$2:$C$30,2,0)</f>
        <v>NÃO TEM CHAPA</v>
      </c>
      <c r="R398" s="94">
        <v>45948</v>
      </c>
      <c r="S398" s="90" t="s">
        <v>217</v>
      </c>
      <c r="T398" s="90">
        <f t="shared" si="33"/>
        <v>1</v>
      </c>
      <c r="U398" s="94">
        <v>45950</v>
      </c>
      <c r="V398" s="90" t="s">
        <v>86</v>
      </c>
      <c r="W398" s="92">
        <v>2583</v>
      </c>
      <c r="X398" s="93">
        <f t="shared" si="32"/>
        <v>1</v>
      </c>
      <c r="Y398" s="92"/>
      <c r="Z398" s="92"/>
      <c r="AA398" s="13" t="str">
        <f t="shared" si="34"/>
        <v>out/2025</v>
      </c>
    </row>
    <row r="399" spans="1:27" x14ac:dyDescent="0.25">
      <c r="A399" s="89">
        <v>398</v>
      </c>
      <c r="B399" s="68">
        <v>45876</v>
      </c>
      <c r="C399" s="40">
        <v>65</v>
      </c>
      <c r="D399" s="40">
        <f t="shared" si="30"/>
        <v>1</v>
      </c>
      <c r="E399" s="50" t="s">
        <v>131</v>
      </c>
      <c r="F399" s="17" t="s">
        <v>58</v>
      </c>
      <c r="G399" s="17" t="s">
        <v>86</v>
      </c>
      <c r="H399" s="42" t="s">
        <v>631</v>
      </c>
      <c r="I399" s="17" t="str">
        <f t="shared" si="31"/>
        <v>PN-398</v>
      </c>
      <c r="J399" s="18" t="s">
        <v>85</v>
      </c>
      <c r="K399" s="19" t="e">
        <f>IF(J399="","SEM #CH",VLOOKUP(J399,#REF!,2,0))</f>
        <v>#REF!</v>
      </c>
      <c r="L399" s="19" t="e">
        <f>IF(J399="","SEM #CH",VLOOKUP(J399,#REF!,3,0))</f>
        <v>#REF!</v>
      </c>
      <c r="M399" s="19" t="e">
        <f>IF(J399="","SEM #CH",VLOOKUP(J399,#REF!,4,0))</f>
        <v>#REF!</v>
      </c>
      <c r="N399" s="19" t="e">
        <f>IF(J399="","SEM #CH",VLOOKUP(J399,#REF!,5,0))</f>
        <v>#REF!</v>
      </c>
      <c r="O399" s="19" t="e">
        <f>IF(J399="","SEM #CH",VLOOKUP(J399,#REF!,6,0))</f>
        <v>#REF!</v>
      </c>
      <c r="P399" s="19" t="e">
        <f>IF(J399="","SEM #CH",VLOOKUP(J399,#REF!,7,0))</f>
        <v>#REF!</v>
      </c>
      <c r="Q399" s="77" t="str">
        <f>VLOOKUP(J399,'p1'!$B$2:$C$30,2,0)</f>
        <v>NÃO TEM CHAPA</v>
      </c>
      <c r="R399" s="94">
        <v>45936</v>
      </c>
      <c r="S399" s="90" t="s">
        <v>217</v>
      </c>
      <c r="T399" s="90">
        <f t="shared" si="33"/>
        <v>1</v>
      </c>
      <c r="U399" s="94">
        <v>45936</v>
      </c>
      <c r="V399" s="90" t="s">
        <v>86</v>
      </c>
      <c r="W399" s="92">
        <v>2565</v>
      </c>
      <c r="X399" s="93">
        <f t="shared" si="32"/>
        <v>1</v>
      </c>
      <c r="Y399" s="92"/>
      <c r="Z399" s="92"/>
      <c r="AA399" s="13" t="str">
        <f t="shared" si="34"/>
        <v>out/2025</v>
      </c>
    </row>
    <row r="400" spans="1:27" x14ac:dyDescent="0.25">
      <c r="A400" s="89">
        <v>399</v>
      </c>
      <c r="B400" s="68">
        <v>45876</v>
      </c>
      <c r="C400" s="40">
        <v>65</v>
      </c>
      <c r="D400" s="40">
        <f t="shared" si="30"/>
        <v>1</v>
      </c>
      <c r="E400" s="50" t="s">
        <v>131</v>
      </c>
      <c r="F400" s="17" t="s">
        <v>58</v>
      </c>
      <c r="G400" s="17" t="s">
        <v>86</v>
      </c>
      <c r="H400" s="42" t="s">
        <v>632</v>
      </c>
      <c r="I400" s="17" t="str">
        <f t="shared" si="31"/>
        <v>PN-399</v>
      </c>
      <c r="J400" s="18" t="s">
        <v>85</v>
      </c>
      <c r="K400" s="19" t="e">
        <f>IF(J400="","SEM #CH",VLOOKUP(J400,#REF!,2,0))</f>
        <v>#REF!</v>
      </c>
      <c r="L400" s="19" t="e">
        <f>IF(J400="","SEM #CH",VLOOKUP(J400,#REF!,3,0))</f>
        <v>#REF!</v>
      </c>
      <c r="M400" s="19" t="e">
        <f>IF(J400="","SEM #CH",VLOOKUP(J400,#REF!,4,0))</f>
        <v>#REF!</v>
      </c>
      <c r="N400" s="19" t="e">
        <f>IF(J400="","SEM #CH",VLOOKUP(J400,#REF!,5,0))</f>
        <v>#REF!</v>
      </c>
      <c r="O400" s="19" t="e">
        <f>IF(J400="","SEM #CH",VLOOKUP(J400,#REF!,6,0))</f>
        <v>#REF!</v>
      </c>
      <c r="P400" s="19" t="e">
        <f>IF(J400="","SEM #CH",VLOOKUP(J400,#REF!,7,0))</f>
        <v>#REF!</v>
      </c>
      <c r="Q400" s="77" t="str">
        <f>VLOOKUP(J400,'p1'!$B$2:$C$30,2,0)</f>
        <v>NÃO TEM CHAPA</v>
      </c>
      <c r="R400" s="94">
        <v>45951</v>
      </c>
      <c r="S400" s="90" t="s">
        <v>217</v>
      </c>
      <c r="T400" s="90">
        <f t="shared" si="33"/>
        <v>1</v>
      </c>
      <c r="U400" s="94">
        <v>45951</v>
      </c>
      <c r="V400" s="90" t="s">
        <v>86</v>
      </c>
      <c r="W400" s="92">
        <v>2588</v>
      </c>
      <c r="X400" s="93">
        <f t="shared" si="32"/>
        <v>1</v>
      </c>
      <c r="Y400" s="92"/>
      <c r="Z400" s="92"/>
      <c r="AA400" s="13" t="str">
        <f t="shared" si="34"/>
        <v>out/2025</v>
      </c>
    </row>
    <row r="401" spans="1:27" x14ac:dyDescent="0.25">
      <c r="A401" s="89">
        <v>400</v>
      </c>
      <c r="B401" s="68">
        <v>45876</v>
      </c>
      <c r="C401" s="40">
        <v>65</v>
      </c>
      <c r="D401" s="40">
        <f t="shared" si="30"/>
        <v>1</v>
      </c>
      <c r="E401" s="50" t="s">
        <v>131</v>
      </c>
      <c r="F401" s="17" t="s">
        <v>58</v>
      </c>
      <c r="G401" s="17" t="s">
        <v>86</v>
      </c>
      <c r="H401" s="42" t="s">
        <v>633</v>
      </c>
      <c r="I401" s="17" t="str">
        <f t="shared" si="31"/>
        <v>PN-400</v>
      </c>
      <c r="J401" s="18" t="s">
        <v>85</v>
      </c>
      <c r="K401" s="19" t="e">
        <f>IF(J401="","SEM #CH",VLOOKUP(J401,#REF!,2,0))</f>
        <v>#REF!</v>
      </c>
      <c r="L401" s="19" t="e">
        <f>IF(J401="","SEM #CH",VLOOKUP(J401,#REF!,3,0))</f>
        <v>#REF!</v>
      </c>
      <c r="M401" s="19" t="e">
        <f>IF(J401="","SEM #CH",VLOOKUP(J401,#REF!,4,0))</f>
        <v>#REF!</v>
      </c>
      <c r="N401" s="19" t="e">
        <f>IF(J401="","SEM #CH",VLOOKUP(J401,#REF!,5,0))</f>
        <v>#REF!</v>
      </c>
      <c r="O401" s="19" t="e">
        <f>IF(J401="","SEM #CH",VLOOKUP(J401,#REF!,6,0))</f>
        <v>#REF!</v>
      </c>
      <c r="P401" s="19" t="e">
        <f>IF(J401="","SEM #CH",VLOOKUP(J401,#REF!,7,0))</f>
        <v>#REF!</v>
      </c>
      <c r="Q401" s="77" t="str">
        <f>VLOOKUP(J401,'p1'!$B$2:$C$30,2,0)</f>
        <v>NÃO TEM CHAPA</v>
      </c>
      <c r="R401" s="94">
        <v>45944</v>
      </c>
      <c r="S401" s="90" t="s">
        <v>217</v>
      </c>
      <c r="T401" s="90">
        <f t="shared" si="33"/>
        <v>1</v>
      </c>
      <c r="U401" s="94">
        <v>45947</v>
      </c>
      <c r="V401" s="90" t="s">
        <v>86</v>
      </c>
      <c r="W401" s="92">
        <v>2579</v>
      </c>
      <c r="X401" s="93">
        <f t="shared" si="32"/>
        <v>1</v>
      </c>
      <c r="Y401" s="92"/>
      <c r="Z401" s="92"/>
      <c r="AA401" s="13" t="str">
        <f t="shared" si="34"/>
        <v>out/2025</v>
      </c>
    </row>
    <row r="402" spans="1:27" x14ac:dyDescent="0.25">
      <c r="A402" s="89">
        <v>401</v>
      </c>
      <c r="B402" s="68">
        <v>45877</v>
      </c>
      <c r="C402" s="40">
        <v>66</v>
      </c>
      <c r="D402" s="40">
        <f t="shared" si="30"/>
        <v>1</v>
      </c>
      <c r="E402" s="50" t="s">
        <v>131</v>
      </c>
      <c r="F402" s="17" t="s">
        <v>58</v>
      </c>
      <c r="G402" s="17" t="s">
        <v>86</v>
      </c>
      <c r="H402" s="42" t="s">
        <v>634</v>
      </c>
      <c r="I402" s="17" t="str">
        <f t="shared" si="31"/>
        <v>PN-401</v>
      </c>
      <c r="J402" s="18" t="s">
        <v>85</v>
      </c>
      <c r="K402" s="19" t="e">
        <f>IF(J402="","SEM #CH",VLOOKUP(J402,#REF!,2,0))</f>
        <v>#REF!</v>
      </c>
      <c r="L402" s="19" t="e">
        <f>IF(J402="","SEM #CH",VLOOKUP(J402,#REF!,3,0))</f>
        <v>#REF!</v>
      </c>
      <c r="M402" s="19" t="e">
        <f>IF(J402="","SEM #CH",VLOOKUP(J402,#REF!,4,0))</f>
        <v>#REF!</v>
      </c>
      <c r="N402" s="19" t="e">
        <f>IF(J402="","SEM #CH",VLOOKUP(J402,#REF!,5,0))</f>
        <v>#REF!</v>
      </c>
      <c r="O402" s="19" t="e">
        <f>IF(J402="","SEM #CH",VLOOKUP(J402,#REF!,6,0))</f>
        <v>#REF!</v>
      </c>
      <c r="P402" s="19" t="e">
        <f>IF(J402="","SEM #CH",VLOOKUP(J402,#REF!,7,0))</f>
        <v>#REF!</v>
      </c>
      <c r="Q402" s="77" t="str">
        <f>VLOOKUP(J402,'p1'!$B$2:$C$30,2,0)</f>
        <v>NÃO TEM CHAPA</v>
      </c>
      <c r="R402" s="94">
        <v>45889</v>
      </c>
      <c r="S402" s="90" t="s">
        <v>218</v>
      </c>
      <c r="T402" s="90">
        <f t="shared" si="33"/>
        <v>1</v>
      </c>
      <c r="U402" s="94">
        <v>45891</v>
      </c>
      <c r="V402" s="90" t="s">
        <v>86</v>
      </c>
      <c r="W402" s="92">
        <v>2845</v>
      </c>
      <c r="X402" s="93">
        <f t="shared" si="32"/>
        <v>1</v>
      </c>
      <c r="Y402" s="92"/>
      <c r="Z402" s="92"/>
      <c r="AA402" s="13" t="str">
        <f t="shared" si="34"/>
        <v>ago/2025</v>
      </c>
    </row>
    <row r="403" spans="1:27" x14ac:dyDescent="0.25">
      <c r="A403" s="89">
        <v>402</v>
      </c>
      <c r="B403" s="68">
        <v>45877</v>
      </c>
      <c r="C403" s="40">
        <v>66</v>
      </c>
      <c r="D403" s="40">
        <f t="shared" si="30"/>
        <v>1</v>
      </c>
      <c r="E403" s="50" t="s">
        <v>131</v>
      </c>
      <c r="F403" s="17" t="s">
        <v>58</v>
      </c>
      <c r="G403" s="17" t="s">
        <v>86</v>
      </c>
      <c r="H403" s="42" t="s">
        <v>635</v>
      </c>
      <c r="I403" s="17" t="str">
        <f t="shared" si="31"/>
        <v>PN-402</v>
      </c>
      <c r="J403" s="18" t="s">
        <v>85</v>
      </c>
      <c r="K403" s="19" t="e">
        <f>IF(J403="","SEM #CH",VLOOKUP(J403,#REF!,2,0))</f>
        <v>#REF!</v>
      </c>
      <c r="L403" s="19" t="e">
        <f>IF(J403="","SEM #CH",VLOOKUP(J403,#REF!,3,0))</f>
        <v>#REF!</v>
      </c>
      <c r="M403" s="19" t="e">
        <f>IF(J403="","SEM #CH",VLOOKUP(J403,#REF!,4,0))</f>
        <v>#REF!</v>
      </c>
      <c r="N403" s="19" t="e">
        <f>IF(J403="","SEM #CH",VLOOKUP(J403,#REF!,5,0))</f>
        <v>#REF!</v>
      </c>
      <c r="O403" s="19" t="e">
        <f>IF(J403="","SEM #CH",VLOOKUP(J403,#REF!,6,0))</f>
        <v>#REF!</v>
      </c>
      <c r="P403" s="19" t="e">
        <f>IF(J403="","SEM #CH",VLOOKUP(J403,#REF!,7,0))</f>
        <v>#REF!</v>
      </c>
      <c r="Q403" s="77" t="str">
        <f>VLOOKUP(J403,'p1'!$B$2:$C$30,2,0)</f>
        <v>NÃO TEM CHAPA</v>
      </c>
      <c r="R403" s="94">
        <v>45890</v>
      </c>
      <c r="S403" s="90" t="s">
        <v>218</v>
      </c>
      <c r="T403" s="90">
        <f t="shared" si="33"/>
        <v>1</v>
      </c>
      <c r="U403" s="94">
        <v>45891</v>
      </c>
      <c r="V403" s="90" t="s">
        <v>86</v>
      </c>
      <c r="W403" s="92">
        <v>2487</v>
      </c>
      <c r="X403" s="93">
        <f t="shared" si="32"/>
        <v>1</v>
      </c>
      <c r="Y403" s="92"/>
      <c r="Z403" s="92"/>
      <c r="AA403" s="13" t="str">
        <f t="shared" si="34"/>
        <v>ago/2025</v>
      </c>
    </row>
    <row r="404" spans="1:27" x14ac:dyDescent="0.25">
      <c r="A404" s="89">
        <v>403</v>
      </c>
      <c r="B404" s="68">
        <v>45877</v>
      </c>
      <c r="C404" s="40">
        <v>66</v>
      </c>
      <c r="D404" s="40">
        <f t="shared" si="30"/>
        <v>1</v>
      </c>
      <c r="E404" s="50" t="s">
        <v>131</v>
      </c>
      <c r="F404" s="17" t="s">
        <v>58</v>
      </c>
      <c r="G404" s="17" t="s">
        <v>86</v>
      </c>
      <c r="H404" s="42" t="s">
        <v>636</v>
      </c>
      <c r="I404" s="17" t="str">
        <f t="shared" si="31"/>
        <v>PN-403</v>
      </c>
      <c r="J404" s="18" t="s">
        <v>85</v>
      </c>
      <c r="K404" s="19" t="e">
        <f>IF(J404="","SEM #CH",VLOOKUP(J404,#REF!,2,0))</f>
        <v>#REF!</v>
      </c>
      <c r="L404" s="19" t="e">
        <f>IF(J404="","SEM #CH",VLOOKUP(J404,#REF!,3,0))</f>
        <v>#REF!</v>
      </c>
      <c r="M404" s="19" t="e">
        <f>IF(J404="","SEM #CH",VLOOKUP(J404,#REF!,4,0))</f>
        <v>#REF!</v>
      </c>
      <c r="N404" s="19" t="e">
        <f>IF(J404="","SEM #CH",VLOOKUP(J404,#REF!,5,0))</f>
        <v>#REF!</v>
      </c>
      <c r="O404" s="19" t="e">
        <f>IF(J404="","SEM #CH",VLOOKUP(J404,#REF!,6,0))</f>
        <v>#REF!</v>
      </c>
      <c r="P404" s="19" t="e">
        <f>IF(J404="","SEM #CH",VLOOKUP(J404,#REF!,7,0))</f>
        <v>#REF!</v>
      </c>
      <c r="Q404" s="77" t="str">
        <f>VLOOKUP(J404,'p1'!$B$2:$C$30,2,0)</f>
        <v>NÃO TEM CHAPA</v>
      </c>
      <c r="R404" s="94">
        <v>45890</v>
      </c>
      <c r="S404" s="90" t="s">
        <v>218</v>
      </c>
      <c r="T404" s="90">
        <f t="shared" si="33"/>
        <v>1</v>
      </c>
      <c r="U404" s="94">
        <v>45891</v>
      </c>
      <c r="V404" s="90" t="s">
        <v>86</v>
      </c>
      <c r="W404" s="92">
        <v>2845</v>
      </c>
      <c r="X404" s="93">
        <f t="shared" si="32"/>
        <v>1</v>
      </c>
      <c r="Y404" s="92"/>
      <c r="Z404" s="92"/>
      <c r="AA404" s="13" t="str">
        <f t="shared" si="34"/>
        <v>ago/2025</v>
      </c>
    </row>
    <row r="405" spans="1:27" x14ac:dyDescent="0.25">
      <c r="A405" s="89">
        <v>404</v>
      </c>
      <c r="B405" s="68">
        <v>45915</v>
      </c>
      <c r="C405" s="40">
        <v>92</v>
      </c>
      <c r="D405" s="40">
        <f t="shared" si="30"/>
        <v>1</v>
      </c>
      <c r="E405" s="50" t="s">
        <v>131</v>
      </c>
      <c r="F405" s="17" t="s">
        <v>61</v>
      </c>
      <c r="G405" s="17" t="s">
        <v>86</v>
      </c>
      <c r="H405" s="42" t="s">
        <v>637</v>
      </c>
      <c r="I405" s="17" t="str">
        <f t="shared" si="31"/>
        <v>PF-404</v>
      </c>
      <c r="J405" s="18" t="s">
        <v>61</v>
      </c>
      <c r="K405" s="19" t="e">
        <f>IF(J405="","SEM #CH",VLOOKUP(J405,#REF!,2,0))</f>
        <v>#REF!</v>
      </c>
      <c r="L405" s="19" t="e">
        <f>IF(J405="","SEM #CH",VLOOKUP(J405,#REF!,3,0))</f>
        <v>#REF!</v>
      </c>
      <c r="M405" s="19" t="e">
        <f>IF(J405="","SEM #CH",VLOOKUP(J405,#REF!,4,0))</f>
        <v>#REF!</v>
      </c>
      <c r="N405" s="19" t="e">
        <f>IF(J405="","SEM #CH",VLOOKUP(J405,#REF!,5,0))</f>
        <v>#REF!</v>
      </c>
      <c r="O405" s="19" t="e">
        <f>IF(J405="","SEM #CH",VLOOKUP(J405,#REF!,6,0))</f>
        <v>#REF!</v>
      </c>
      <c r="P405" s="19" t="e">
        <f>IF(J405="","SEM #CH",VLOOKUP(J405,#REF!,7,0))</f>
        <v>#REF!</v>
      </c>
      <c r="Q405" s="77" t="str">
        <f>VLOOKUP(J405,'p1'!$B$2:$C$30,2,0)</f>
        <v>SEM CHAPA</v>
      </c>
      <c r="R405" s="94">
        <v>45917</v>
      </c>
      <c r="S405" s="90" t="s">
        <v>217</v>
      </c>
      <c r="T405" s="90">
        <f t="shared" si="33"/>
        <v>1</v>
      </c>
      <c r="U405" s="94">
        <v>45917</v>
      </c>
      <c r="V405" s="90" t="s">
        <v>86</v>
      </c>
      <c r="W405" s="92">
        <v>2531</v>
      </c>
      <c r="X405" s="93">
        <f t="shared" si="32"/>
        <v>1</v>
      </c>
      <c r="Y405" s="92"/>
      <c r="Z405" s="92"/>
      <c r="AA405" s="13" t="str">
        <f t="shared" si="34"/>
        <v>set/2025</v>
      </c>
    </row>
    <row r="406" spans="1:27" x14ac:dyDescent="0.25">
      <c r="A406" s="89">
        <v>405</v>
      </c>
      <c r="B406" s="68">
        <v>45877</v>
      </c>
      <c r="C406" s="40">
        <v>66</v>
      </c>
      <c r="D406" s="40">
        <f t="shared" si="30"/>
        <v>1</v>
      </c>
      <c r="E406" s="50" t="s">
        <v>131</v>
      </c>
      <c r="F406" s="17" t="s">
        <v>58</v>
      </c>
      <c r="G406" s="17" t="s">
        <v>86</v>
      </c>
      <c r="H406" s="42" t="s">
        <v>638</v>
      </c>
      <c r="I406" s="17" t="str">
        <f t="shared" si="31"/>
        <v>PN-405</v>
      </c>
      <c r="J406" s="18" t="s">
        <v>85</v>
      </c>
      <c r="K406" s="19" t="e">
        <f>IF(J406="","SEM #CH",VLOOKUP(J406,#REF!,2,0))</f>
        <v>#REF!</v>
      </c>
      <c r="L406" s="19" t="e">
        <f>IF(J406="","SEM #CH",VLOOKUP(J406,#REF!,3,0))</f>
        <v>#REF!</v>
      </c>
      <c r="M406" s="19" t="e">
        <f>IF(J406="","SEM #CH",VLOOKUP(J406,#REF!,4,0))</f>
        <v>#REF!</v>
      </c>
      <c r="N406" s="19" t="e">
        <f>IF(J406="","SEM #CH",VLOOKUP(J406,#REF!,5,0))</f>
        <v>#REF!</v>
      </c>
      <c r="O406" s="19" t="e">
        <f>IF(J406="","SEM #CH",VLOOKUP(J406,#REF!,6,0))</f>
        <v>#REF!</v>
      </c>
      <c r="P406" s="19" t="e">
        <f>IF(J406="","SEM #CH",VLOOKUP(J406,#REF!,7,0))</f>
        <v>#REF!</v>
      </c>
      <c r="Q406" s="77" t="str">
        <f>VLOOKUP(J406,'p1'!$B$2:$C$30,2,0)</f>
        <v>NÃO TEM CHAPA</v>
      </c>
      <c r="R406" s="94">
        <v>45890</v>
      </c>
      <c r="S406" s="90" t="s">
        <v>218</v>
      </c>
      <c r="T406" s="90">
        <f t="shared" si="33"/>
        <v>1</v>
      </c>
      <c r="U406" s="94">
        <v>45891</v>
      </c>
      <c r="V406" s="90" t="s">
        <v>86</v>
      </c>
      <c r="W406" s="92">
        <v>2845</v>
      </c>
      <c r="X406" s="93">
        <f t="shared" si="32"/>
        <v>1</v>
      </c>
      <c r="Y406" s="92"/>
      <c r="Z406" s="92"/>
      <c r="AA406" s="13" t="str">
        <f t="shared" si="34"/>
        <v>ago/2025</v>
      </c>
    </row>
    <row r="407" spans="1:27" x14ac:dyDescent="0.25">
      <c r="A407" s="89">
        <v>406</v>
      </c>
      <c r="B407" s="68">
        <v>45877</v>
      </c>
      <c r="C407" s="40">
        <v>66</v>
      </c>
      <c r="D407" s="40">
        <f t="shared" si="30"/>
        <v>1</v>
      </c>
      <c r="E407" s="50" t="s">
        <v>131</v>
      </c>
      <c r="F407" s="17" t="s">
        <v>58</v>
      </c>
      <c r="G407" s="17" t="s">
        <v>86</v>
      </c>
      <c r="H407" s="42" t="s">
        <v>639</v>
      </c>
      <c r="I407" s="17" t="str">
        <f t="shared" si="31"/>
        <v>PN-406</v>
      </c>
      <c r="J407" s="18" t="s">
        <v>85</v>
      </c>
      <c r="K407" s="19" t="e">
        <f>IF(J407="","SEM #CH",VLOOKUP(J407,#REF!,2,0))</f>
        <v>#REF!</v>
      </c>
      <c r="L407" s="19" t="e">
        <f>IF(J407="","SEM #CH",VLOOKUP(J407,#REF!,3,0))</f>
        <v>#REF!</v>
      </c>
      <c r="M407" s="19" t="e">
        <f>IF(J407="","SEM #CH",VLOOKUP(J407,#REF!,4,0))</f>
        <v>#REF!</v>
      </c>
      <c r="N407" s="19" t="e">
        <f>IF(J407="","SEM #CH",VLOOKUP(J407,#REF!,5,0))</f>
        <v>#REF!</v>
      </c>
      <c r="O407" s="19" t="e">
        <f>IF(J407="","SEM #CH",VLOOKUP(J407,#REF!,6,0))</f>
        <v>#REF!</v>
      </c>
      <c r="P407" s="19" t="e">
        <f>IF(J407="","SEM #CH",VLOOKUP(J407,#REF!,7,0))</f>
        <v>#REF!</v>
      </c>
      <c r="Q407" s="77" t="str">
        <f>VLOOKUP(J407,'p1'!$B$2:$C$30,2,0)</f>
        <v>NÃO TEM CHAPA</v>
      </c>
      <c r="R407" s="94">
        <v>45891</v>
      </c>
      <c r="S407" s="90" t="s">
        <v>218</v>
      </c>
      <c r="T407" s="90">
        <f t="shared" si="33"/>
        <v>1</v>
      </c>
      <c r="U407" s="94">
        <v>45891</v>
      </c>
      <c r="V407" s="90" t="s">
        <v>86</v>
      </c>
      <c r="W407" s="92">
        <v>2487</v>
      </c>
      <c r="X407" s="93">
        <f t="shared" si="32"/>
        <v>1</v>
      </c>
      <c r="Y407" s="92"/>
      <c r="Z407" s="92"/>
      <c r="AA407" s="13" t="str">
        <f t="shared" si="34"/>
        <v>ago/2025</v>
      </c>
    </row>
    <row r="408" spans="1:27" x14ac:dyDescent="0.25">
      <c r="A408" s="89">
        <v>407</v>
      </c>
      <c r="B408" s="68">
        <v>45877</v>
      </c>
      <c r="C408" s="40">
        <v>66</v>
      </c>
      <c r="D408" s="40">
        <f t="shared" si="30"/>
        <v>1</v>
      </c>
      <c r="E408" s="50" t="s">
        <v>131</v>
      </c>
      <c r="F408" s="17" t="s">
        <v>58</v>
      </c>
      <c r="G408" s="17" t="s">
        <v>86</v>
      </c>
      <c r="H408" s="42" t="s">
        <v>640</v>
      </c>
      <c r="I408" s="17" t="str">
        <f t="shared" si="31"/>
        <v>PN-407</v>
      </c>
      <c r="J408" s="18" t="s">
        <v>85</v>
      </c>
      <c r="K408" s="19" t="e">
        <f>IF(J408="","SEM #CH",VLOOKUP(J408,#REF!,2,0))</f>
        <v>#REF!</v>
      </c>
      <c r="L408" s="19" t="e">
        <f>IF(J408="","SEM #CH",VLOOKUP(J408,#REF!,3,0))</f>
        <v>#REF!</v>
      </c>
      <c r="M408" s="19" t="e">
        <f>IF(J408="","SEM #CH",VLOOKUP(J408,#REF!,4,0))</f>
        <v>#REF!</v>
      </c>
      <c r="N408" s="19" t="e">
        <f>IF(J408="","SEM #CH",VLOOKUP(J408,#REF!,5,0))</f>
        <v>#REF!</v>
      </c>
      <c r="O408" s="19" t="e">
        <f>IF(J408="","SEM #CH",VLOOKUP(J408,#REF!,6,0))</f>
        <v>#REF!</v>
      </c>
      <c r="P408" s="19" t="e">
        <f>IF(J408="","SEM #CH",VLOOKUP(J408,#REF!,7,0))</f>
        <v>#REF!</v>
      </c>
      <c r="Q408" s="77" t="str">
        <f>VLOOKUP(J408,'p1'!$B$2:$C$30,2,0)</f>
        <v>NÃO TEM CHAPA</v>
      </c>
      <c r="R408" s="94">
        <v>45891</v>
      </c>
      <c r="S408" s="90" t="s">
        <v>218</v>
      </c>
      <c r="T408" s="90">
        <f t="shared" si="33"/>
        <v>1</v>
      </c>
      <c r="U408" s="94">
        <v>45891</v>
      </c>
      <c r="V408" s="90" t="s">
        <v>86</v>
      </c>
      <c r="W408" s="92">
        <v>2487</v>
      </c>
      <c r="X408" s="93">
        <f t="shared" si="32"/>
        <v>1</v>
      </c>
      <c r="Y408" s="92"/>
      <c r="Z408" s="92"/>
      <c r="AA408" s="13" t="str">
        <f t="shared" si="34"/>
        <v>ago/2025</v>
      </c>
    </row>
    <row r="409" spans="1:27" x14ac:dyDescent="0.25">
      <c r="A409" s="89">
        <v>408</v>
      </c>
      <c r="B409" s="68">
        <v>45877</v>
      </c>
      <c r="C409" s="40">
        <v>66</v>
      </c>
      <c r="D409" s="40">
        <f t="shared" si="30"/>
        <v>1</v>
      </c>
      <c r="E409" s="50" t="s">
        <v>131</v>
      </c>
      <c r="F409" s="17" t="s">
        <v>58</v>
      </c>
      <c r="G409" s="17" t="s">
        <v>86</v>
      </c>
      <c r="H409" s="42" t="s">
        <v>641</v>
      </c>
      <c r="I409" s="17" t="str">
        <f t="shared" si="31"/>
        <v>PN-408</v>
      </c>
      <c r="J409" s="18" t="s">
        <v>85</v>
      </c>
      <c r="K409" s="19" t="e">
        <f>IF(J409="","SEM #CH",VLOOKUP(J409,#REF!,2,0))</f>
        <v>#REF!</v>
      </c>
      <c r="L409" s="19" t="e">
        <f>IF(J409="","SEM #CH",VLOOKUP(J409,#REF!,3,0))</f>
        <v>#REF!</v>
      </c>
      <c r="M409" s="19" t="e">
        <f>IF(J409="","SEM #CH",VLOOKUP(J409,#REF!,4,0))</f>
        <v>#REF!</v>
      </c>
      <c r="N409" s="19" t="e">
        <f>IF(J409="","SEM #CH",VLOOKUP(J409,#REF!,5,0))</f>
        <v>#REF!</v>
      </c>
      <c r="O409" s="19" t="e">
        <f>IF(J409="","SEM #CH",VLOOKUP(J409,#REF!,6,0))</f>
        <v>#REF!</v>
      </c>
      <c r="P409" s="19" t="e">
        <f>IF(J409="","SEM #CH",VLOOKUP(J409,#REF!,7,0))</f>
        <v>#REF!</v>
      </c>
      <c r="Q409" s="77" t="str">
        <f>VLOOKUP(J409,'p1'!$B$2:$C$30,2,0)</f>
        <v>NÃO TEM CHAPA</v>
      </c>
      <c r="R409" s="94">
        <v>45892</v>
      </c>
      <c r="S409" s="90" t="s">
        <v>218</v>
      </c>
      <c r="T409" s="90">
        <f t="shared" si="33"/>
        <v>1</v>
      </c>
      <c r="U409" s="94">
        <v>45894</v>
      </c>
      <c r="V409" s="90" t="s">
        <v>86</v>
      </c>
      <c r="W409" s="92">
        <v>2488</v>
      </c>
      <c r="X409" s="93">
        <f t="shared" si="32"/>
        <v>1</v>
      </c>
      <c r="Y409" s="92"/>
      <c r="Z409" s="92"/>
      <c r="AA409" s="13" t="str">
        <f t="shared" si="34"/>
        <v>ago/2025</v>
      </c>
    </row>
    <row r="410" spans="1:27" x14ac:dyDescent="0.25">
      <c r="A410" s="89">
        <v>409</v>
      </c>
      <c r="B410" s="68">
        <v>45878</v>
      </c>
      <c r="C410" s="40">
        <v>67</v>
      </c>
      <c r="D410" s="40">
        <f t="shared" si="30"/>
        <v>1</v>
      </c>
      <c r="E410" s="50" t="s">
        <v>131</v>
      </c>
      <c r="F410" s="17" t="s">
        <v>58</v>
      </c>
      <c r="G410" s="17" t="s">
        <v>86</v>
      </c>
      <c r="H410" s="42" t="s">
        <v>642</v>
      </c>
      <c r="I410" s="17" t="str">
        <f t="shared" si="31"/>
        <v>PN-409</v>
      </c>
      <c r="J410" s="18" t="s">
        <v>85</v>
      </c>
      <c r="K410" s="19" t="e">
        <f>IF(J410="","SEM #CH",VLOOKUP(J410,#REF!,2,0))</f>
        <v>#REF!</v>
      </c>
      <c r="L410" s="19" t="e">
        <f>IF(J410="","SEM #CH",VLOOKUP(J410,#REF!,3,0))</f>
        <v>#REF!</v>
      </c>
      <c r="M410" s="19" t="e">
        <f>IF(J410="","SEM #CH",VLOOKUP(J410,#REF!,4,0))</f>
        <v>#REF!</v>
      </c>
      <c r="N410" s="19" t="e">
        <f>IF(J410="","SEM #CH",VLOOKUP(J410,#REF!,5,0))</f>
        <v>#REF!</v>
      </c>
      <c r="O410" s="19" t="e">
        <f>IF(J410="","SEM #CH",VLOOKUP(J410,#REF!,6,0))</f>
        <v>#REF!</v>
      </c>
      <c r="P410" s="19" t="e">
        <f>IF(J410="","SEM #CH",VLOOKUP(J410,#REF!,7,0))</f>
        <v>#REF!</v>
      </c>
      <c r="Q410" s="77" t="str">
        <f>VLOOKUP(J410,'p1'!$B$2:$C$30,2,0)</f>
        <v>NÃO TEM CHAPA</v>
      </c>
      <c r="R410" s="94">
        <v>45901</v>
      </c>
      <c r="S410" s="90" t="s">
        <v>217</v>
      </c>
      <c r="T410" s="90">
        <f t="shared" si="33"/>
        <v>1</v>
      </c>
      <c r="U410" s="94">
        <v>45905</v>
      </c>
      <c r="V410" s="90" t="s">
        <v>1156</v>
      </c>
      <c r="W410" s="92">
        <v>2505</v>
      </c>
      <c r="X410" s="93">
        <f t="shared" si="32"/>
        <v>1</v>
      </c>
      <c r="Y410" s="92"/>
      <c r="Z410" s="92"/>
      <c r="AA410" s="13" t="str">
        <f t="shared" si="34"/>
        <v>set/2025</v>
      </c>
    </row>
    <row r="411" spans="1:27" x14ac:dyDescent="0.25">
      <c r="A411" s="89">
        <v>410</v>
      </c>
      <c r="B411" s="68">
        <v>45878</v>
      </c>
      <c r="C411" s="40">
        <v>67</v>
      </c>
      <c r="D411" s="40">
        <f t="shared" si="30"/>
        <v>1</v>
      </c>
      <c r="E411" s="50" t="s">
        <v>131</v>
      </c>
      <c r="F411" s="17" t="s">
        <v>58</v>
      </c>
      <c r="G411" s="17" t="s">
        <v>86</v>
      </c>
      <c r="H411" s="42" t="s">
        <v>643</v>
      </c>
      <c r="I411" s="17" t="str">
        <f t="shared" si="31"/>
        <v>PN-410</v>
      </c>
      <c r="J411" s="18" t="s">
        <v>85</v>
      </c>
      <c r="K411" s="19" t="e">
        <f>IF(J411="","SEM #CH",VLOOKUP(J411,#REF!,2,0))</f>
        <v>#REF!</v>
      </c>
      <c r="L411" s="19" t="e">
        <f>IF(J411="","SEM #CH",VLOOKUP(J411,#REF!,3,0))</f>
        <v>#REF!</v>
      </c>
      <c r="M411" s="19" t="e">
        <f>IF(J411="","SEM #CH",VLOOKUP(J411,#REF!,4,0))</f>
        <v>#REF!</v>
      </c>
      <c r="N411" s="19" t="e">
        <f>IF(J411="","SEM #CH",VLOOKUP(J411,#REF!,5,0))</f>
        <v>#REF!</v>
      </c>
      <c r="O411" s="19" t="e">
        <f>IF(J411="","SEM #CH",VLOOKUP(J411,#REF!,6,0))</f>
        <v>#REF!</v>
      </c>
      <c r="P411" s="19" t="e">
        <f>IF(J411="","SEM #CH",VLOOKUP(J411,#REF!,7,0))</f>
        <v>#REF!</v>
      </c>
      <c r="Q411" s="77" t="str">
        <f>VLOOKUP(J411,'p1'!$B$2:$C$30,2,0)</f>
        <v>NÃO TEM CHAPA</v>
      </c>
      <c r="R411" s="94">
        <v>45901</v>
      </c>
      <c r="S411" s="90" t="s">
        <v>217</v>
      </c>
      <c r="T411" s="90">
        <f t="shared" si="33"/>
        <v>1</v>
      </c>
      <c r="U411" s="94">
        <v>45901</v>
      </c>
      <c r="V411" s="90" t="s">
        <v>86</v>
      </c>
      <c r="W411" s="92">
        <v>2502</v>
      </c>
      <c r="X411" s="93">
        <f t="shared" si="32"/>
        <v>1</v>
      </c>
      <c r="Y411" s="92"/>
      <c r="Z411" s="92"/>
      <c r="AA411" s="13" t="str">
        <f t="shared" si="34"/>
        <v>set/2025</v>
      </c>
    </row>
    <row r="412" spans="1:27" x14ac:dyDescent="0.25">
      <c r="A412" s="89">
        <v>411</v>
      </c>
      <c r="B412" s="68">
        <v>45917</v>
      </c>
      <c r="C412" s="40">
        <v>94</v>
      </c>
      <c r="D412" s="40">
        <f t="shared" si="30"/>
        <v>1</v>
      </c>
      <c r="E412" s="50" t="s">
        <v>131</v>
      </c>
      <c r="F412" s="17" t="s">
        <v>60</v>
      </c>
      <c r="G412" s="17" t="s">
        <v>86</v>
      </c>
      <c r="H412" s="42" t="s">
        <v>644</v>
      </c>
      <c r="I412" s="17" t="str">
        <f t="shared" si="31"/>
        <v>PE-411</v>
      </c>
      <c r="J412" s="18" t="s">
        <v>88</v>
      </c>
      <c r="K412" s="19" t="e">
        <f>IF(J412="","SEM #CH",VLOOKUP(J412,#REF!,2,0))</f>
        <v>#REF!</v>
      </c>
      <c r="L412" s="19" t="e">
        <f>IF(J412="","SEM #CH",VLOOKUP(J412,#REF!,3,0))</f>
        <v>#REF!</v>
      </c>
      <c r="M412" s="19" t="e">
        <f>IF(J412="","SEM #CH",VLOOKUP(J412,#REF!,4,0))</f>
        <v>#REF!</v>
      </c>
      <c r="N412" s="19" t="e">
        <f>IF(J412="","SEM #CH",VLOOKUP(J412,#REF!,5,0))</f>
        <v>#REF!</v>
      </c>
      <c r="O412" s="19" t="e">
        <f>IF(J412="","SEM #CH",VLOOKUP(J412,#REF!,6,0))</f>
        <v>#REF!</v>
      </c>
      <c r="P412" s="19" t="e">
        <f>IF(J412="","SEM #CH",VLOOKUP(J412,#REF!,7,0))</f>
        <v>#REF!</v>
      </c>
      <c r="Q412" s="77" t="str">
        <f>VLOOKUP(J412,'p1'!$B$2:$C$30,2,0)</f>
        <v>#3/8-1315X1315</v>
      </c>
      <c r="R412" s="94">
        <v>45919</v>
      </c>
      <c r="S412" s="90" t="s">
        <v>218</v>
      </c>
      <c r="T412" s="90">
        <f t="shared" si="33"/>
        <v>1</v>
      </c>
      <c r="U412" s="94">
        <v>45919</v>
      </c>
      <c r="V412" s="90" t="s">
        <v>86</v>
      </c>
      <c r="W412" s="92">
        <v>2535</v>
      </c>
      <c r="X412" s="93">
        <f t="shared" si="32"/>
        <v>1</v>
      </c>
      <c r="Y412" s="92"/>
      <c r="Z412" s="92"/>
      <c r="AA412" s="13" t="str">
        <f t="shared" si="34"/>
        <v>set/2025</v>
      </c>
    </row>
    <row r="413" spans="1:27" x14ac:dyDescent="0.25">
      <c r="A413" s="89">
        <v>412</v>
      </c>
      <c r="B413" s="68">
        <v>45878</v>
      </c>
      <c r="C413" s="40">
        <v>67</v>
      </c>
      <c r="D413" s="40">
        <f t="shared" si="30"/>
        <v>1</v>
      </c>
      <c r="E413" s="50" t="s">
        <v>131</v>
      </c>
      <c r="F413" s="17" t="s">
        <v>58</v>
      </c>
      <c r="G413" s="17" t="s">
        <v>86</v>
      </c>
      <c r="H413" s="42" t="s">
        <v>645</v>
      </c>
      <c r="I413" s="17" t="str">
        <f t="shared" si="31"/>
        <v>PN-412</v>
      </c>
      <c r="J413" s="18" t="s">
        <v>85</v>
      </c>
      <c r="K413" s="19" t="e">
        <f>IF(J413="","SEM #CH",VLOOKUP(J413,#REF!,2,0))</f>
        <v>#REF!</v>
      </c>
      <c r="L413" s="19" t="e">
        <f>IF(J413="","SEM #CH",VLOOKUP(J413,#REF!,3,0))</f>
        <v>#REF!</v>
      </c>
      <c r="M413" s="19" t="e">
        <f>IF(J413="","SEM #CH",VLOOKUP(J413,#REF!,4,0))</f>
        <v>#REF!</v>
      </c>
      <c r="N413" s="19" t="e">
        <f>IF(J413="","SEM #CH",VLOOKUP(J413,#REF!,5,0))</f>
        <v>#REF!</v>
      </c>
      <c r="O413" s="19" t="e">
        <f>IF(J413="","SEM #CH",VLOOKUP(J413,#REF!,6,0))</f>
        <v>#REF!</v>
      </c>
      <c r="P413" s="19" t="e">
        <f>IF(J413="","SEM #CH",VLOOKUP(J413,#REF!,7,0))</f>
        <v>#REF!</v>
      </c>
      <c r="Q413" s="77" t="str">
        <f>VLOOKUP(J413,'p1'!$B$2:$C$30,2,0)</f>
        <v>NÃO TEM CHAPA</v>
      </c>
      <c r="R413" s="94">
        <v>45899</v>
      </c>
      <c r="S413" s="90" t="s">
        <v>217</v>
      </c>
      <c r="T413" s="90">
        <f t="shared" si="33"/>
        <v>1</v>
      </c>
      <c r="U413" s="94">
        <v>45905</v>
      </c>
      <c r="V413" s="90" t="s">
        <v>86</v>
      </c>
      <c r="W413" s="92">
        <v>2506</v>
      </c>
      <c r="X413" s="93">
        <f t="shared" si="32"/>
        <v>1</v>
      </c>
      <c r="Y413" s="92"/>
      <c r="Z413" s="92"/>
      <c r="AA413" s="13" t="str">
        <f t="shared" si="34"/>
        <v>ago/2025</v>
      </c>
    </row>
    <row r="414" spans="1:27" x14ac:dyDescent="0.25">
      <c r="A414" s="89">
        <v>413</v>
      </c>
      <c r="B414" s="68">
        <v>45878</v>
      </c>
      <c r="C414" s="40">
        <v>67</v>
      </c>
      <c r="D414" s="40">
        <f t="shared" si="30"/>
        <v>1</v>
      </c>
      <c r="E414" s="50" t="s">
        <v>131</v>
      </c>
      <c r="F414" s="17" t="s">
        <v>58</v>
      </c>
      <c r="G414" s="17" t="s">
        <v>86</v>
      </c>
      <c r="H414" s="42" t="s">
        <v>646</v>
      </c>
      <c r="I414" s="17" t="str">
        <f t="shared" si="31"/>
        <v>PN-413</v>
      </c>
      <c r="J414" s="18" t="s">
        <v>85</v>
      </c>
      <c r="K414" s="19" t="e">
        <f>IF(J414="","SEM #CH",VLOOKUP(J414,#REF!,2,0))</f>
        <v>#REF!</v>
      </c>
      <c r="L414" s="19" t="e">
        <f>IF(J414="","SEM #CH",VLOOKUP(J414,#REF!,3,0))</f>
        <v>#REF!</v>
      </c>
      <c r="M414" s="19" t="e">
        <f>IF(J414="","SEM #CH",VLOOKUP(J414,#REF!,4,0))</f>
        <v>#REF!</v>
      </c>
      <c r="N414" s="19" t="e">
        <f>IF(J414="","SEM #CH",VLOOKUP(J414,#REF!,5,0))</f>
        <v>#REF!</v>
      </c>
      <c r="O414" s="19" t="e">
        <f>IF(J414="","SEM #CH",VLOOKUP(J414,#REF!,6,0))</f>
        <v>#REF!</v>
      </c>
      <c r="P414" s="19" t="e">
        <f>IF(J414="","SEM #CH",VLOOKUP(J414,#REF!,7,0))</f>
        <v>#REF!</v>
      </c>
      <c r="Q414" s="77" t="str">
        <f>VLOOKUP(J414,'p1'!$B$2:$C$30,2,0)</f>
        <v>NÃO TEM CHAPA</v>
      </c>
      <c r="R414" s="94">
        <v>45899</v>
      </c>
      <c r="S414" s="90" t="s">
        <v>217</v>
      </c>
      <c r="T414" s="90">
        <f t="shared" si="33"/>
        <v>1</v>
      </c>
      <c r="U414" s="94">
        <v>45905</v>
      </c>
      <c r="V414" s="90" t="s">
        <v>86</v>
      </c>
      <c r="W414" s="92">
        <v>2506</v>
      </c>
      <c r="X414" s="93">
        <f t="shared" si="32"/>
        <v>1</v>
      </c>
      <c r="Y414" s="92"/>
      <c r="Z414" s="92"/>
      <c r="AA414" s="13" t="str">
        <f t="shared" si="34"/>
        <v>ago/2025</v>
      </c>
    </row>
    <row r="415" spans="1:27" x14ac:dyDescent="0.25">
      <c r="A415" s="89">
        <v>414</v>
      </c>
      <c r="B415" s="68">
        <v>45878</v>
      </c>
      <c r="C415" s="40">
        <v>67</v>
      </c>
      <c r="D415" s="40">
        <f t="shared" si="30"/>
        <v>1</v>
      </c>
      <c r="E415" s="50" t="s">
        <v>131</v>
      </c>
      <c r="F415" s="17" t="s">
        <v>58</v>
      </c>
      <c r="G415" s="17" t="s">
        <v>86</v>
      </c>
      <c r="H415" s="42" t="s">
        <v>647</v>
      </c>
      <c r="I415" s="17" t="str">
        <f t="shared" si="31"/>
        <v>PN-414</v>
      </c>
      <c r="J415" s="18" t="s">
        <v>85</v>
      </c>
      <c r="K415" s="19" t="e">
        <f>IF(J415="","SEM #CH",VLOOKUP(J415,#REF!,2,0))</f>
        <v>#REF!</v>
      </c>
      <c r="L415" s="19" t="e">
        <f>IF(J415="","SEM #CH",VLOOKUP(J415,#REF!,3,0))</f>
        <v>#REF!</v>
      </c>
      <c r="M415" s="19" t="e">
        <f>IF(J415="","SEM #CH",VLOOKUP(J415,#REF!,4,0))</f>
        <v>#REF!</v>
      </c>
      <c r="N415" s="19" t="e">
        <f>IF(J415="","SEM #CH",VLOOKUP(J415,#REF!,5,0))</f>
        <v>#REF!</v>
      </c>
      <c r="O415" s="19" t="e">
        <f>IF(J415="","SEM #CH",VLOOKUP(J415,#REF!,6,0))</f>
        <v>#REF!</v>
      </c>
      <c r="P415" s="19" t="e">
        <f>IF(J415="","SEM #CH",VLOOKUP(J415,#REF!,7,0))</f>
        <v>#REF!</v>
      </c>
      <c r="Q415" s="77" t="str">
        <f>VLOOKUP(J415,'p1'!$B$2:$C$30,2,0)</f>
        <v>NÃO TEM CHAPA</v>
      </c>
      <c r="R415" s="94">
        <v>45899</v>
      </c>
      <c r="S415" s="90" t="s">
        <v>217</v>
      </c>
      <c r="T415" s="90">
        <f t="shared" si="33"/>
        <v>1</v>
      </c>
      <c r="U415" s="94">
        <v>45905</v>
      </c>
      <c r="V415" s="90" t="s">
        <v>86</v>
      </c>
      <c r="W415" s="92">
        <v>2506</v>
      </c>
      <c r="X415" s="93">
        <f t="shared" si="32"/>
        <v>1</v>
      </c>
      <c r="Y415" s="92"/>
      <c r="Z415" s="92"/>
      <c r="AA415" s="13" t="str">
        <f t="shared" si="34"/>
        <v>ago/2025</v>
      </c>
    </row>
    <row r="416" spans="1:27" x14ac:dyDescent="0.25">
      <c r="A416" s="89">
        <v>415</v>
      </c>
      <c r="B416" s="68">
        <v>45878</v>
      </c>
      <c r="C416" s="40">
        <v>67</v>
      </c>
      <c r="D416" s="40">
        <f t="shared" si="30"/>
        <v>1</v>
      </c>
      <c r="E416" s="50" t="s">
        <v>131</v>
      </c>
      <c r="F416" s="17" t="s">
        <v>58</v>
      </c>
      <c r="G416" s="17" t="s">
        <v>86</v>
      </c>
      <c r="H416" s="42" t="s">
        <v>648</v>
      </c>
      <c r="I416" s="17" t="str">
        <f t="shared" si="31"/>
        <v>PN-415</v>
      </c>
      <c r="J416" s="18" t="s">
        <v>85</v>
      </c>
      <c r="K416" s="19" t="e">
        <f>IF(J416="","SEM #CH",VLOOKUP(J416,#REF!,2,0))</f>
        <v>#REF!</v>
      </c>
      <c r="L416" s="19" t="e">
        <f>IF(J416="","SEM #CH",VLOOKUP(J416,#REF!,3,0))</f>
        <v>#REF!</v>
      </c>
      <c r="M416" s="19" t="e">
        <f>IF(J416="","SEM #CH",VLOOKUP(J416,#REF!,4,0))</f>
        <v>#REF!</v>
      </c>
      <c r="N416" s="19" t="e">
        <f>IF(J416="","SEM #CH",VLOOKUP(J416,#REF!,5,0))</f>
        <v>#REF!</v>
      </c>
      <c r="O416" s="19" t="e">
        <f>IF(J416="","SEM #CH",VLOOKUP(J416,#REF!,6,0))</f>
        <v>#REF!</v>
      </c>
      <c r="P416" s="19" t="e">
        <f>IF(J416="","SEM #CH",VLOOKUP(J416,#REF!,7,0))</f>
        <v>#REF!</v>
      </c>
      <c r="Q416" s="77" t="str">
        <f>VLOOKUP(J416,'p1'!$B$2:$C$30,2,0)</f>
        <v>NÃO TEM CHAPA</v>
      </c>
      <c r="R416" s="94">
        <v>45899</v>
      </c>
      <c r="S416" s="90" t="s">
        <v>217</v>
      </c>
      <c r="T416" s="90">
        <f t="shared" si="33"/>
        <v>1</v>
      </c>
      <c r="U416" s="94">
        <v>45901</v>
      </c>
      <c r="V416" s="90" t="s">
        <v>86</v>
      </c>
      <c r="W416" s="92">
        <v>2502</v>
      </c>
      <c r="X416" s="93">
        <f t="shared" si="32"/>
        <v>1</v>
      </c>
      <c r="Y416" s="92"/>
      <c r="Z416" s="92"/>
      <c r="AA416" s="13" t="str">
        <f t="shared" si="34"/>
        <v>ago/2025</v>
      </c>
    </row>
    <row r="417" spans="1:27" x14ac:dyDescent="0.25">
      <c r="A417" s="89">
        <v>416</v>
      </c>
      <c r="B417" s="68">
        <v>45878</v>
      </c>
      <c r="C417" s="40">
        <v>67</v>
      </c>
      <c r="D417" s="40">
        <f t="shared" si="30"/>
        <v>1</v>
      </c>
      <c r="E417" s="50" t="s">
        <v>131</v>
      </c>
      <c r="F417" s="17" t="s">
        <v>58</v>
      </c>
      <c r="G417" s="17" t="s">
        <v>86</v>
      </c>
      <c r="H417" s="42" t="s">
        <v>649</v>
      </c>
      <c r="I417" s="17" t="str">
        <f t="shared" si="31"/>
        <v>PN-416</v>
      </c>
      <c r="J417" s="18" t="s">
        <v>85</v>
      </c>
      <c r="K417" s="19" t="e">
        <f>IF(J417="","SEM #CH",VLOOKUP(J417,#REF!,2,0))</f>
        <v>#REF!</v>
      </c>
      <c r="L417" s="19" t="e">
        <f>IF(J417="","SEM #CH",VLOOKUP(J417,#REF!,3,0))</f>
        <v>#REF!</v>
      </c>
      <c r="M417" s="19" t="e">
        <f>IF(J417="","SEM #CH",VLOOKUP(J417,#REF!,4,0))</f>
        <v>#REF!</v>
      </c>
      <c r="N417" s="19" t="e">
        <f>IF(J417="","SEM #CH",VLOOKUP(J417,#REF!,5,0))</f>
        <v>#REF!</v>
      </c>
      <c r="O417" s="19" t="e">
        <f>IF(J417="","SEM #CH",VLOOKUP(J417,#REF!,6,0))</f>
        <v>#REF!</v>
      </c>
      <c r="P417" s="19" t="e">
        <f>IF(J417="","SEM #CH",VLOOKUP(J417,#REF!,7,0))</f>
        <v>#REF!</v>
      </c>
      <c r="Q417" s="77" t="str">
        <f>VLOOKUP(J417,'p1'!$B$2:$C$30,2,0)</f>
        <v>NÃO TEM CHAPA</v>
      </c>
      <c r="R417" s="94">
        <v>45943</v>
      </c>
      <c r="S417" s="90" t="s">
        <v>217</v>
      </c>
      <c r="T417" s="90">
        <f t="shared" si="33"/>
        <v>1</v>
      </c>
      <c r="U417" s="94">
        <v>45951</v>
      </c>
      <c r="V417" s="90" t="s">
        <v>86</v>
      </c>
      <c r="W417" s="92">
        <v>2590</v>
      </c>
      <c r="X417" s="93">
        <f t="shared" si="32"/>
        <v>1</v>
      </c>
      <c r="Y417" s="92"/>
      <c r="Z417" s="92"/>
      <c r="AA417" s="13" t="str">
        <f t="shared" si="34"/>
        <v>out/2025</v>
      </c>
    </row>
    <row r="418" spans="1:27" x14ac:dyDescent="0.25">
      <c r="A418" s="89">
        <v>417</v>
      </c>
      <c r="B418" s="68">
        <v>45881</v>
      </c>
      <c r="C418" s="40">
        <v>68</v>
      </c>
      <c r="D418" s="40">
        <f t="shared" si="30"/>
        <v>1</v>
      </c>
      <c r="E418" s="50" t="s">
        <v>131</v>
      </c>
      <c r="F418" s="17" t="s">
        <v>58</v>
      </c>
      <c r="G418" s="17" t="s">
        <v>86</v>
      </c>
      <c r="H418" s="42" t="s">
        <v>650</v>
      </c>
      <c r="I418" s="17" t="str">
        <f t="shared" si="31"/>
        <v>PN-417</v>
      </c>
      <c r="J418" s="18" t="s">
        <v>85</v>
      </c>
      <c r="K418" s="19" t="e">
        <f>IF(J418="","SEM #CH",VLOOKUP(J418,#REF!,2,0))</f>
        <v>#REF!</v>
      </c>
      <c r="L418" s="19" t="e">
        <f>IF(J418="","SEM #CH",VLOOKUP(J418,#REF!,3,0))</f>
        <v>#REF!</v>
      </c>
      <c r="M418" s="19" t="e">
        <f>IF(J418="","SEM #CH",VLOOKUP(J418,#REF!,4,0))</f>
        <v>#REF!</v>
      </c>
      <c r="N418" s="19" t="e">
        <f>IF(J418="","SEM #CH",VLOOKUP(J418,#REF!,5,0))</f>
        <v>#REF!</v>
      </c>
      <c r="O418" s="19" t="e">
        <f>IF(J418="","SEM #CH",VLOOKUP(J418,#REF!,6,0))</f>
        <v>#REF!</v>
      </c>
      <c r="P418" s="19" t="e">
        <f>IF(J418="","SEM #CH",VLOOKUP(J418,#REF!,7,0))</f>
        <v>#REF!</v>
      </c>
      <c r="Q418" s="77" t="str">
        <f>VLOOKUP(J418,'p1'!$B$2:$C$30,2,0)</f>
        <v>NÃO TEM CHAPA</v>
      </c>
      <c r="R418" s="94">
        <v>45892</v>
      </c>
      <c r="S418" s="90" t="s">
        <v>218</v>
      </c>
      <c r="T418" s="90">
        <f t="shared" si="33"/>
        <v>1</v>
      </c>
      <c r="U418" s="94">
        <v>45895</v>
      </c>
      <c r="V418" s="90" t="s">
        <v>86</v>
      </c>
      <c r="W418" s="154">
        <v>45895</v>
      </c>
      <c r="X418" s="93">
        <f t="shared" si="32"/>
        <v>1</v>
      </c>
      <c r="Y418" s="92"/>
      <c r="Z418" s="92"/>
      <c r="AA418" s="13" t="str">
        <f t="shared" si="34"/>
        <v>ago/2025</v>
      </c>
    </row>
    <row r="419" spans="1:27" x14ac:dyDescent="0.25">
      <c r="A419" s="89">
        <v>418</v>
      </c>
      <c r="B419" s="68">
        <v>45881</v>
      </c>
      <c r="C419" s="40">
        <v>68</v>
      </c>
      <c r="D419" s="40">
        <f t="shared" si="30"/>
        <v>1</v>
      </c>
      <c r="E419" s="50" t="s">
        <v>131</v>
      </c>
      <c r="F419" s="17" t="s">
        <v>58</v>
      </c>
      <c r="G419" s="17" t="s">
        <v>86</v>
      </c>
      <c r="H419" s="42" t="s">
        <v>651</v>
      </c>
      <c r="I419" s="17" t="str">
        <f t="shared" si="31"/>
        <v>PN-418</v>
      </c>
      <c r="J419" s="18" t="s">
        <v>85</v>
      </c>
      <c r="K419" s="19" t="e">
        <f>IF(J419="","SEM #CH",VLOOKUP(J419,#REF!,2,0))</f>
        <v>#REF!</v>
      </c>
      <c r="L419" s="19" t="e">
        <f>IF(J419="","SEM #CH",VLOOKUP(J419,#REF!,3,0))</f>
        <v>#REF!</v>
      </c>
      <c r="M419" s="19" t="e">
        <f>IF(J419="","SEM #CH",VLOOKUP(J419,#REF!,4,0))</f>
        <v>#REF!</v>
      </c>
      <c r="N419" s="19" t="e">
        <f>IF(J419="","SEM #CH",VLOOKUP(J419,#REF!,5,0))</f>
        <v>#REF!</v>
      </c>
      <c r="O419" s="19" t="e">
        <f>IF(J419="","SEM #CH",VLOOKUP(J419,#REF!,6,0))</f>
        <v>#REF!</v>
      </c>
      <c r="P419" s="19" t="e">
        <f>IF(J419="","SEM #CH",VLOOKUP(J419,#REF!,7,0))</f>
        <v>#REF!</v>
      </c>
      <c r="Q419" s="77" t="str">
        <f>VLOOKUP(J419,'p1'!$B$2:$C$30,2,0)</f>
        <v>NÃO TEM CHAPA</v>
      </c>
      <c r="R419" s="94">
        <v>45894</v>
      </c>
      <c r="S419" s="90" t="s">
        <v>218</v>
      </c>
      <c r="T419" s="90">
        <f t="shared" si="33"/>
        <v>1</v>
      </c>
      <c r="U419" s="94">
        <v>45895</v>
      </c>
      <c r="V419" s="90" t="s">
        <v>86</v>
      </c>
      <c r="W419" s="154">
        <v>45895</v>
      </c>
      <c r="X419" s="93">
        <f t="shared" si="32"/>
        <v>1</v>
      </c>
      <c r="Y419" s="92"/>
      <c r="Z419" s="92"/>
      <c r="AA419" s="13" t="str">
        <f t="shared" si="34"/>
        <v>ago/2025</v>
      </c>
    </row>
    <row r="420" spans="1:27" x14ac:dyDescent="0.25">
      <c r="A420" s="89">
        <v>419</v>
      </c>
      <c r="B420" s="68">
        <v>45881</v>
      </c>
      <c r="C420" s="40">
        <v>68</v>
      </c>
      <c r="D420" s="40">
        <f t="shared" si="30"/>
        <v>1</v>
      </c>
      <c r="E420" s="50" t="s">
        <v>131</v>
      </c>
      <c r="F420" s="17" t="s">
        <v>58</v>
      </c>
      <c r="G420" s="17" t="s">
        <v>86</v>
      </c>
      <c r="H420" s="42" t="s">
        <v>652</v>
      </c>
      <c r="I420" s="17" t="str">
        <f t="shared" si="31"/>
        <v>PN-419</v>
      </c>
      <c r="J420" s="18" t="s">
        <v>85</v>
      </c>
      <c r="K420" s="19" t="e">
        <f>IF(J420="","SEM #CH",VLOOKUP(J420,#REF!,2,0))</f>
        <v>#REF!</v>
      </c>
      <c r="L420" s="19" t="e">
        <f>IF(J420="","SEM #CH",VLOOKUP(J420,#REF!,3,0))</f>
        <v>#REF!</v>
      </c>
      <c r="M420" s="19" t="e">
        <f>IF(J420="","SEM #CH",VLOOKUP(J420,#REF!,4,0))</f>
        <v>#REF!</v>
      </c>
      <c r="N420" s="19" t="e">
        <f>IF(J420="","SEM #CH",VLOOKUP(J420,#REF!,5,0))</f>
        <v>#REF!</v>
      </c>
      <c r="O420" s="19" t="e">
        <f>IF(J420="","SEM #CH",VLOOKUP(J420,#REF!,6,0))</f>
        <v>#REF!</v>
      </c>
      <c r="P420" s="19" t="e">
        <f>IF(J420="","SEM #CH",VLOOKUP(J420,#REF!,7,0))</f>
        <v>#REF!</v>
      </c>
      <c r="Q420" s="77" t="str">
        <f>VLOOKUP(J420,'p1'!$B$2:$C$30,2,0)</f>
        <v>NÃO TEM CHAPA</v>
      </c>
      <c r="R420" s="94">
        <v>45895</v>
      </c>
      <c r="S420" s="90" t="s">
        <v>218</v>
      </c>
      <c r="T420" s="90">
        <f t="shared" si="33"/>
        <v>1</v>
      </c>
      <c r="U420" s="94">
        <v>45896</v>
      </c>
      <c r="V420" s="90" t="s">
        <v>1099</v>
      </c>
      <c r="W420" s="92">
        <v>2497</v>
      </c>
      <c r="X420" s="93">
        <f t="shared" si="32"/>
        <v>1</v>
      </c>
      <c r="Y420" s="92"/>
      <c r="Z420" s="92"/>
      <c r="AA420" s="13" t="str">
        <f t="shared" si="34"/>
        <v>ago/2025</v>
      </c>
    </row>
    <row r="421" spans="1:27" x14ac:dyDescent="0.25">
      <c r="A421" s="89">
        <v>420</v>
      </c>
      <c r="B421" s="68">
        <v>45881</v>
      </c>
      <c r="C421" s="40">
        <v>68</v>
      </c>
      <c r="D421" s="40">
        <f t="shared" si="30"/>
        <v>1</v>
      </c>
      <c r="E421" s="50" t="s">
        <v>131</v>
      </c>
      <c r="F421" s="17" t="s">
        <v>58</v>
      </c>
      <c r="G421" s="17" t="s">
        <v>86</v>
      </c>
      <c r="H421" s="42" t="s">
        <v>653</v>
      </c>
      <c r="I421" s="17" t="str">
        <f t="shared" si="31"/>
        <v>PN-420</v>
      </c>
      <c r="J421" s="18" t="s">
        <v>85</v>
      </c>
      <c r="K421" s="19" t="e">
        <f>IF(J421="","SEM #CH",VLOOKUP(J421,#REF!,2,0))</f>
        <v>#REF!</v>
      </c>
      <c r="L421" s="19" t="e">
        <f>IF(J421="","SEM #CH",VLOOKUP(J421,#REF!,3,0))</f>
        <v>#REF!</v>
      </c>
      <c r="M421" s="19" t="e">
        <f>IF(J421="","SEM #CH",VLOOKUP(J421,#REF!,4,0))</f>
        <v>#REF!</v>
      </c>
      <c r="N421" s="19" t="e">
        <f>IF(J421="","SEM #CH",VLOOKUP(J421,#REF!,5,0))</f>
        <v>#REF!</v>
      </c>
      <c r="O421" s="19" t="e">
        <f>IF(J421="","SEM #CH",VLOOKUP(J421,#REF!,6,0))</f>
        <v>#REF!</v>
      </c>
      <c r="P421" s="19" t="e">
        <f>IF(J421="","SEM #CH",VLOOKUP(J421,#REF!,7,0))</f>
        <v>#REF!</v>
      </c>
      <c r="Q421" s="77" t="str">
        <f>VLOOKUP(J421,'p1'!$B$2:$C$30,2,0)</f>
        <v>NÃO TEM CHAPA</v>
      </c>
      <c r="R421" s="94">
        <v>45895</v>
      </c>
      <c r="S421" s="90" t="s">
        <v>218</v>
      </c>
      <c r="T421" s="90">
        <f t="shared" si="33"/>
        <v>1</v>
      </c>
      <c r="U421" s="94">
        <v>45896</v>
      </c>
      <c r="V421" s="90" t="s">
        <v>1099</v>
      </c>
      <c r="W421" s="92">
        <v>2497</v>
      </c>
      <c r="X421" s="93">
        <f t="shared" si="32"/>
        <v>1</v>
      </c>
      <c r="Y421" s="92"/>
      <c r="Z421" s="92"/>
      <c r="AA421" s="13" t="str">
        <f t="shared" si="34"/>
        <v>ago/2025</v>
      </c>
    </row>
    <row r="422" spans="1:27" x14ac:dyDescent="0.25">
      <c r="A422" s="89">
        <v>421</v>
      </c>
      <c r="B422" s="68">
        <v>45881</v>
      </c>
      <c r="C422" s="40">
        <v>68</v>
      </c>
      <c r="D422" s="40">
        <f t="shared" si="30"/>
        <v>1</v>
      </c>
      <c r="E422" s="50" t="s">
        <v>131</v>
      </c>
      <c r="F422" s="17" t="s">
        <v>58</v>
      </c>
      <c r="G422" s="17" t="s">
        <v>86</v>
      </c>
      <c r="H422" s="42" t="s">
        <v>654</v>
      </c>
      <c r="I422" s="17" t="str">
        <f t="shared" si="31"/>
        <v>PN-421</v>
      </c>
      <c r="J422" s="18" t="s">
        <v>85</v>
      </c>
      <c r="K422" s="19" t="e">
        <f>IF(J422="","SEM #CH",VLOOKUP(J422,#REF!,2,0))</f>
        <v>#REF!</v>
      </c>
      <c r="L422" s="19" t="e">
        <f>IF(J422="","SEM #CH",VLOOKUP(J422,#REF!,3,0))</f>
        <v>#REF!</v>
      </c>
      <c r="M422" s="19" t="e">
        <f>IF(J422="","SEM #CH",VLOOKUP(J422,#REF!,4,0))</f>
        <v>#REF!</v>
      </c>
      <c r="N422" s="19" t="e">
        <f>IF(J422="","SEM #CH",VLOOKUP(J422,#REF!,5,0))</f>
        <v>#REF!</v>
      </c>
      <c r="O422" s="19" t="e">
        <f>IF(J422="","SEM #CH",VLOOKUP(J422,#REF!,6,0))</f>
        <v>#REF!</v>
      </c>
      <c r="P422" s="19" t="e">
        <f>IF(J422="","SEM #CH",VLOOKUP(J422,#REF!,7,0))</f>
        <v>#REF!</v>
      </c>
      <c r="Q422" s="77" t="str">
        <f>VLOOKUP(J422,'p1'!$B$2:$C$30,2,0)</f>
        <v>NÃO TEM CHAPA</v>
      </c>
      <c r="R422" s="94">
        <v>45896</v>
      </c>
      <c r="S422" s="90" t="s">
        <v>218</v>
      </c>
      <c r="T422" s="90">
        <f t="shared" si="33"/>
        <v>1</v>
      </c>
      <c r="U422" s="94">
        <v>45910</v>
      </c>
      <c r="V422" s="90" t="s">
        <v>86</v>
      </c>
      <c r="W422" s="92">
        <v>2517</v>
      </c>
      <c r="X422" s="93">
        <f t="shared" si="32"/>
        <v>1</v>
      </c>
      <c r="Y422" s="92"/>
      <c r="Z422" s="92"/>
      <c r="AA422" s="13" t="str">
        <f t="shared" si="34"/>
        <v>ago/2025</v>
      </c>
    </row>
    <row r="423" spans="1:27" x14ac:dyDescent="0.25">
      <c r="A423" s="89">
        <v>422</v>
      </c>
      <c r="B423" s="68">
        <v>45881</v>
      </c>
      <c r="C423" s="40">
        <v>68</v>
      </c>
      <c r="D423" s="40">
        <f t="shared" si="30"/>
        <v>1</v>
      </c>
      <c r="E423" s="50" t="s">
        <v>131</v>
      </c>
      <c r="F423" s="17" t="s">
        <v>58</v>
      </c>
      <c r="G423" s="17" t="s">
        <v>86</v>
      </c>
      <c r="H423" s="42" t="s">
        <v>655</v>
      </c>
      <c r="I423" s="17" t="str">
        <f t="shared" si="31"/>
        <v>PN-422</v>
      </c>
      <c r="J423" s="18" t="s">
        <v>85</v>
      </c>
      <c r="K423" s="19" t="e">
        <f>IF(J423="","SEM #CH",VLOOKUP(J423,#REF!,2,0))</f>
        <v>#REF!</v>
      </c>
      <c r="L423" s="19" t="e">
        <f>IF(J423="","SEM #CH",VLOOKUP(J423,#REF!,3,0))</f>
        <v>#REF!</v>
      </c>
      <c r="M423" s="19" t="e">
        <f>IF(J423="","SEM #CH",VLOOKUP(J423,#REF!,4,0))</f>
        <v>#REF!</v>
      </c>
      <c r="N423" s="19" t="e">
        <f>IF(J423="","SEM #CH",VLOOKUP(J423,#REF!,5,0))</f>
        <v>#REF!</v>
      </c>
      <c r="O423" s="19" t="e">
        <f>IF(J423="","SEM #CH",VLOOKUP(J423,#REF!,6,0))</f>
        <v>#REF!</v>
      </c>
      <c r="P423" s="19" t="e">
        <f>IF(J423="","SEM #CH",VLOOKUP(J423,#REF!,7,0))</f>
        <v>#REF!</v>
      </c>
      <c r="Q423" s="77" t="str">
        <f>VLOOKUP(J423,'p1'!$B$2:$C$30,2,0)</f>
        <v>NÃO TEM CHAPA</v>
      </c>
      <c r="R423" s="94">
        <v>45896</v>
      </c>
      <c r="S423" s="90" t="s">
        <v>218</v>
      </c>
      <c r="T423" s="90">
        <f t="shared" si="33"/>
        <v>1</v>
      </c>
      <c r="U423" s="94">
        <v>45910</v>
      </c>
      <c r="V423" s="90" t="s">
        <v>86</v>
      </c>
      <c r="W423" s="92">
        <v>2517</v>
      </c>
      <c r="X423" s="93">
        <f t="shared" si="32"/>
        <v>1</v>
      </c>
      <c r="Y423" s="92"/>
      <c r="Z423" s="92"/>
      <c r="AA423" s="13" t="str">
        <f t="shared" si="34"/>
        <v>ago/2025</v>
      </c>
    </row>
    <row r="424" spans="1:27" x14ac:dyDescent="0.25">
      <c r="A424" s="89">
        <v>423</v>
      </c>
      <c r="B424" s="68">
        <v>45881</v>
      </c>
      <c r="C424" s="40">
        <v>68</v>
      </c>
      <c r="D424" s="40">
        <f t="shared" si="30"/>
        <v>1</v>
      </c>
      <c r="E424" s="50" t="s">
        <v>131</v>
      </c>
      <c r="F424" s="17" t="s">
        <v>58</v>
      </c>
      <c r="G424" s="17" t="s">
        <v>86</v>
      </c>
      <c r="H424" s="42" t="s">
        <v>656</v>
      </c>
      <c r="I424" s="17" t="str">
        <f t="shared" si="31"/>
        <v>PN-423</v>
      </c>
      <c r="J424" s="18" t="s">
        <v>85</v>
      </c>
      <c r="K424" s="19" t="e">
        <f>IF(J424="","SEM #CH",VLOOKUP(J424,#REF!,2,0))</f>
        <v>#REF!</v>
      </c>
      <c r="L424" s="19" t="e">
        <f>IF(J424="","SEM #CH",VLOOKUP(J424,#REF!,3,0))</f>
        <v>#REF!</v>
      </c>
      <c r="M424" s="19" t="e">
        <f>IF(J424="","SEM #CH",VLOOKUP(J424,#REF!,4,0))</f>
        <v>#REF!</v>
      </c>
      <c r="N424" s="19" t="e">
        <f>IF(J424="","SEM #CH",VLOOKUP(J424,#REF!,5,0))</f>
        <v>#REF!</v>
      </c>
      <c r="O424" s="19" t="e">
        <f>IF(J424="","SEM #CH",VLOOKUP(J424,#REF!,6,0))</f>
        <v>#REF!</v>
      </c>
      <c r="P424" s="19" t="e">
        <f>IF(J424="","SEM #CH",VLOOKUP(J424,#REF!,7,0))</f>
        <v>#REF!</v>
      </c>
      <c r="Q424" s="77" t="str">
        <f>VLOOKUP(J424,'p1'!$B$2:$C$30,2,0)</f>
        <v>NÃO TEM CHAPA</v>
      </c>
      <c r="R424" s="94">
        <v>45896</v>
      </c>
      <c r="S424" s="90" t="s">
        <v>218</v>
      </c>
      <c r="T424" s="90">
        <f t="shared" si="33"/>
        <v>1</v>
      </c>
      <c r="U424" s="94">
        <v>45910</v>
      </c>
      <c r="V424" s="90" t="s">
        <v>86</v>
      </c>
      <c r="W424" s="92">
        <v>2517</v>
      </c>
      <c r="X424" s="93">
        <f t="shared" si="32"/>
        <v>1</v>
      </c>
      <c r="Y424" s="92"/>
      <c r="Z424" s="92"/>
      <c r="AA424" s="13" t="str">
        <f t="shared" si="34"/>
        <v>ago/2025</v>
      </c>
    </row>
    <row r="425" spans="1:27" x14ac:dyDescent="0.25">
      <c r="A425" s="89">
        <v>424</v>
      </c>
      <c r="B425" s="68">
        <v>45883</v>
      </c>
      <c r="C425" s="40">
        <v>69</v>
      </c>
      <c r="D425" s="40">
        <f t="shared" si="30"/>
        <v>1</v>
      </c>
      <c r="E425" s="50" t="s">
        <v>131</v>
      </c>
      <c r="F425" s="17" t="s">
        <v>58</v>
      </c>
      <c r="G425" s="17" t="s">
        <v>86</v>
      </c>
      <c r="H425" s="42" t="s">
        <v>657</v>
      </c>
      <c r="I425" s="17" t="str">
        <f t="shared" si="31"/>
        <v>PN-424</v>
      </c>
      <c r="J425" s="18" t="s">
        <v>85</v>
      </c>
      <c r="K425" s="19" t="e">
        <f>IF(J425="","SEM #CH",VLOOKUP(J425,#REF!,2,0))</f>
        <v>#REF!</v>
      </c>
      <c r="L425" s="19" t="e">
        <f>IF(J425="","SEM #CH",VLOOKUP(J425,#REF!,3,0))</f>
        <v>#REF!</v>
      </c>
      <c r="M425" s="19" t="e">
        <f>IF(J425="","SEM #CH",VLOOKUP(J425,#REF!,4,0))</f>
        <v>#REF!</v>
      </c>
      <c r="N425" s="19" t="e">
        <f>IF(J425="","SEM #CH",VLOOKUP(J425,#REF!,5,0))</f>
        <v>#REF!</v>
      </c>
      <c r="O425" s="19" t="e">
        <f>IF(J425="","SEM #CH",VLOOKUP(J425,#REF!,6,0))</f>
        <v>#REF!</v>
      </c>
      <c r="P425" s="19" t="e">
        <f>IF(J425="","SEM #CH",VLOOKUP(J425,#REF!,7,0))</f>
        <v>#REF!</v>
      </c>
      <c r="Q425" s="77" t="str">
        <f>VLOOKUP(J425,'p1'!$B$2:$C$30,2,0)</f>
        <v>NÃO TEM CHAPA</v>
      </c>
      <c r="R425" s="94">
        <v>45897</v>
      </c>
      <c r="S425" s="90" t="s">
        <v>217</v>
      </c>
      <c r="T425" s="90">
        <f t="shared" si="33"/>
        <v>1</v>
      </c>
      <c r="U425" s="94">
        <v>45898</v>
      </c>
      <c r="V425" s="90" t="s">
        <v>86</v>
      </c>
      <c r="W425" s="92">
        <v>2499</v>
      </c>
      <c r="X425" s="93">
        <f t="shared" si="32"/>
        <v>1</v>
      </c>
      <c r="Y425" s="92"/>
      <c r="Z425" s="92"/>
      <c r="AA425" s="13" t="str">
        <f t="shared" si="34"/>
        <v>ago/2025</v>
      </c>
    </row>
    <row r="426" spans="1:27" x14ac:dyDescent="0.25">
      <c r="A426" s="89">
        <v>425</v>
      </c>
      <c r="B426" s="68">
        <v>45883</v>
      </c>
      <c r="C426" s="40">
        <v>69</v>
      </c>
      <c r="D426" s="40">
        <f t="shared" si="30"/>
        <v>1</v>
      </c>
      <c r="E426" s="50" t="s">
        <v>131</v>
      </c>
      <c r="F426" s="17" t="s">
        <v>58</v>
      </c>
      <c r="G426" s="17" t="s">
        <v>86</v>
      </c>
      <c r="H426" s="42" t="s">
        <v>658</v>
      </c>
      <c r="I426" s="17" t="str">
        <f t="shared" si="31"/>
        <v>PN-425</v>
      </c>
      <c r="J426" s="18" t="s">
        <v>85</v>
      </c>
      <c r="K426" s="19" t="e">
        <f>IF(J426="","SEM #CH",VLOOKUP(J426,#REF!,2,0))</f>
        <v>#REF!</v>
      </c>
      <c r="L426" s="19" t="e">
        <f>IF(J426="","SEM #CH",VLOOKUP(J426,#REF!,3,0))</f>
        <v>#REF!</v>
      </c>
      <c r="M426" s="19" t="e">
        <f>IF(J426="","SEM #CH",VLOOKUP(J426,#REF!,4,0))</f>
        <v>#REF!</v>
      </c>
      <c r="N426" s="19" t="e">
        <f>IF(J426="","SEM #CH",VLOOKUP(J426,#REF!,5,0))</f>
        <v>#REF!</v>
      </c>
      <c r="O426" s="19" t="e">
        <f>IF(J426="","SEM #CH",VLOOKUP(J426,#REF!,6,0))</f>
        <v>#REF!</v>
      </c>
      <c r="P426" s="19" t="e">
        <f>IF(J426="","SEM #CH",VLOOKUP(J426,#REF!,7,0))</f>
        <v>#REF!</v>
      </c>
      <c r="Q426" s="77" t="str">
        <f>VLOOKUP(J426,'p1'!$B$2:$C$30,2,0)</f>
        <v>NÃO TEM CHAPA</v>
      </c>
      <c r="R426" s="94">
        <v>45898</v>
      </c>
      <c r="S426" s="90" t="s">
        <v>217</v>
      </c>
      <c r="T426" s="90">
        <f t="shared" si="33"/>
        <v>1</v>
      </c>
      <c r="U426" s="94">
        <v>45902</v>
      </c>
      <c r="V426" s="90" t="s">
        <v>86</v>
      </c>
      <c r="W426" s="92">
        <v>2503</v>
      </c>
      <c r="X426" s="93">
        <f t="shared" si="32"/>
        <v>1</v>
      </c>
      <c r="Y426" s="92"/>
      <c r="Z426" s="92"/>
      <c r="AA426" s="13" t="str">
        <f t="shared" si="34"/>
        <v>ago/2025</v>
      </c>
    </row>
    <row r="427" spans="1:27" x14ac:dyDescent="0.25">
      <c r="A427" s="89">
        <v>426</v>
      </c>
      <c r="B427" s="68">
        <v>45883</v>
      </c>
      <c r="C427" s="40">
        <v>69</v>
      </c>
      <c r="D427" s="40">
        <f t="shared" si="30"/>
        <v>1</v>
      </c>
      <c r="E427" s="50" t="s">
        <v>131</v>
      </c>
      <c r="F427" s="17" t="s">
        <v>58</v>
      </c>
      <c r="G427" s="17" t="s">
        <v>86</v>
      </c>
      <c r="H427" s="42" t="s">
        <v>659</v>
      </c>
      <c r="I427" s="17" t="str">
        <f t="shared" si="31"/>
        <v>PN-426</v>
      </c>
      <c r="J427" s="18" t="s">
        <v>85</v>
      </c>
      <c r="K427" s="19" t="e">
        <f>IF(J427="","SEM #CH",VLOOKUP(J427,#REF!,2,0))</f>
        <v>#REF!</v>
      </c>
      <c r="L427" s="19" t="e">
        <f>IF(J427="","SEM #CH",VLOOKUP(J427,#REF!,3,0))</f>
        <v>#REF!</v>
      </c>
      <c r="M427" s="19" t="e">
        <f>IF(J427="","SEM #CH",VLOOKUP(J427,#REF!,4,0))</f>
        <v>#REF!</v>
      </c>
      <c r="N427" s="19" t="e">
        <f>IF(J427="","SEM #CH",VLOOKUP(J427,#REF!,5,0))</f>
        <v>#REF!</v>
      </c>
      <c r="O427" s="19" t="e">
        <f>IF(J427="","SEM #CH",VLOOKUP(J427,#REF!,6,0))</f>
        <v>#REF!</v>
      </c>
      <c r="P427" s="19" t="e">
        <f>IF(J427="","SEM #CH",VLOOKUP(J427,#REF!,7,0))</f>
        <v>#REF!</v>
      </c>
      <c r="Q427" s="77" t="str">
        <f>VLOOKUP(J427,'p1'!$B$2:$C$30,2,0)</f>
        <v>NÃO TEM CHAPA</v>
      </c>
      <c r="R427" s="94">
        <v>45898</v>
      </c>
      <c r="S427" s="90" t="s">
        <v>217</v>
      </c>
      <c r="T427" s="90">
        <f t="shared" si="33"/>
        <v>1</v>
      </c>
      <c r="U427" s="94">
        <v>45902</v>
      </c>
      <c r="V427" s="90" t="s">
        <v>86</v>
      </c>
      <c r="W427" s="92">
        <v>2503</v>
      </c>
      <c r="X427" s="93">
        <f t="shared" si="32"/>
        <v>1</v>
      </c>
      <c r="Y427" s="92"/>
      <c r="Z427" s="92"/>
      <c r="AA427" s="13" t="str">
        <f t="shared" si="34"/>
        <v>ago/2025</v>
      </c>
    </row>
    <row r="428" spans="1:27" x14ac:dyDescent="0.25">
      <c r="A428" s="89">
        <v>427</v>
      </c>
      <c r="B428" s="68">
        <v>45904</v>
      </c>
      <c r="C428" s="40">
        <v>83</v>
      </c>
      <c r="D428" s="40">
        <f t="shared" si="30"/>
        <v>1</v>
      </c>
      <c r="E428" s="50" t="s">
        <v>131</v>
      </c>
      <c r="F428" s="17" t="s">
        <v>60</v>
      </c>
      <c r="G428" s="17" t="s">
        <v>86</v>
      </c>
      <c r="H428" s="42" t="s">
        <v>660</v>
      </c>
      <c r="I428" s="17" t="str">
        <f t="shared" si="31"/>
        <v>PE-427</v>
      </c>
      <c r="J428" s="18" t="s">
        <v>90</v>
      </c>
      <c r="K428" s="19" t="e">
        <f>IF(J428="","SEM #CH",VLOOKUP(J428,#REF!,2,0))</f>
        <v>#REF!</v>
      </c>
      <c r="L428" s="19" t="e">
        <f>IF(J428="","SEM #CH",VLOOKUP(J428,#REF!,3,0))</f>
        <v>#REF!</v>
      </c>
      <c r="M428" s="19" t="e">
        <f>IF(J428="","SEM #CH",VLOOKUP(J428,#REF!,4,0))</f>
        <v>#REF!</v>
      </c>
      <c r="N428" s="19" t="e">
        <f>IF(J428="","SEM #CH",VLOOKUP(J428,#REF!,5,0))</f>
        <v>#REF!</v>
      </c>
      <c r="O428" s="19" t="e">
        <f>IF(J428="","SEM #CH",VLOOKUP(J428,#REF!,6,0))</f>
        <v>#REF!</v>
      </c>
      <c r="P428" s="19" t="e">
        <f>IF(J428="","SEM #CH",VLOOKUP(J428,#REF!,7,0))</f>
        <v>#REF!</v>
      </c>
      <c r="Q428" s="77" t="str">
        <f>VLOOKUP(J428,'p1'!$B$2:$C$30,2,0)</f>
        <v>#3/8-530X530</v>
      </c>
      <c r="R428" s="94">
        <v>45915</v>
      </c>
      <c r="S428" s="90" t="s">
        <v>218</v>
      </c>
      <c r="T428" s="90">
        <f t="shared" si="33"/>
        <v>1</v>
      </c>
      <c r="U428" s="94">
        <v>45915</v>
      </c>
      <c r="V428" s="90" t="s">
        <v>86</v>
      </c>
      <c r="W428" s="92">
        <v>2523</v>
      </c>
      <c r="X428" s="93">
        <f t="shared" si="32"/>
        <v>1</v>
      </c>
      <c r="Y428" s="92"/>
      <c r="Z428" s="92"/>
      <c r="AA428" s="13" t="str">
        <f t="shared" si="34"/>
        <v>set/2025</v>
      </c>
    </row>
    <row r="429" spans="1:27" x14ac:dyDescent="0.25">
      <c r="A429" s="89">
        <v>428</v>
      </c>
      <c r="B429" s="68">
        <v>45883</v>
      </c>
      <c r="C429" s="40">
        <v>69</v>
      </c>
      <c r="D429" s="40">
        <f t="shared" si="30"/>
        <v>1</v>
      </c>
      <c r="E429" s="50" t="s">
        <v>131</v>
      </c>
      <c r="F429" s="17" t="s">
        <v>58</v>
      </c>
      <c r="G429" s="17" t="s">
        <v>86</v>
      </c>
      <c r="H429" s="42" t="s">
        <v>661</v>
      </c>
      <c r="I429" s="17" t="str">
        <f t="shared" si="31"/>
        <v>PN-428</v>
      </c>
      <c r="J429" s="18" t="s">
        <v>85</v>
      </c>
      <c r="K429" s="19" t="e">
        <f>IF(J429="","SEM #CH",VLOOKUP(J429,#REF!,2,0))</f>
        <v>#REF!</v>
      </c>
      <c r="L429" s="19" t="e">
        <f>IF(J429="","SEM #CH",VLOOKUP(J429,#REF!,3,0))</f>
        <v>#REF!</v>
      </c>
      <c r="M429" s="19" t="e">
        <f>IF(J429="","SEM #CH",VLOOKUP(J429,#REF!,4,0))</f>
        <v>#REF!</v>
      </c>
      <c r="N429" s="19" t="e">
        <f>IF(J429="","SEM #CH",VLOOKUP(J429,#REF!,5,0))</f>
        <v>#REF!</v>
      </c>
      <c r="O429" s="19" t="e">
        <f>IF(J429="","SEM #CH",VLOOKUP(J429,#REF!,6,0))</f>
        <v>#REF!</v>
      </c>
      <c r="P429" s="19" t="e">
        <f>IF(J429="","SEM #CH",VLOOKUP(J429,#REF!,7,0))</f>
        <v>#REF!</v>
      </c>
      <c r="Q429" s="77" t="str">
        <f>VLOOKUP(J429,'p1'!$B$2:$C$30,2,0)</f>
        <v>NÃO TEM CHAPA</v>
      </c>
      <c r="R429" s="94">
        <v>45916</v>
      </c>
      <c r="S429" s="90" t="s">
        <v>217</v>
      </c>
      <c r="T429" s="90">
        <f t="shared" si="33"/>
        <v>1</v>
      </c>
      <c r="U429" s="94">
        <v>45919</v>
      </c>
      <c r="V429" s="90" t="s">
        <v>86</v>
      </c>
      <c r="W429" s="92">
        <v>2534</v>
      </c>
      <c r="X429" s="93">
        <f t="shared" si="32"/>
        <v>1</v>
      </c>
      <c r="Y429" s="92"/>
      <c r="Z429" s="92"/>
      <c r="AA429" s="13" t="str">
        <f t="shared" si="34"/>
        <v>set/2025</v>
      </c>
    </row>
    <row r="430" spans="1:27" x14ac:dyDescent="0.25">
      <c r="A430" s="89">
        <v>429</v>
      </c>
      <c r="B430" s="68">
        <v>45883</v>
      </c>
      <c r="C430" s="40">
        <v>69</v>
      </c>
      <c r="D430" s="40">
        <f t="shared" si="30"/>
        <v>1</v>
      </c>
      <c r="E430" s="50" t="s">
        <v>131</v>
      </c>
      <c r="F430" s="17" t="s">
        <v>58</v>
      </c>
      <c r="G430" s="17" t="s">
        <v>86</v>
      </c>
      <c r="H430" s="42" t="s">
        <v>662</v>
      </c>
      <c r="I430" s="17" t="str">
        <f t="shared" si="31"/>
        <v>PN-429</v>
      </c>
      <c r="J430" s="18" t="s">
        <v>85</v>
      </c>
      <c r="K430" s="19" t="e">
        <f>IF(J430="","SEM #CH",VLOOKUP(J430,#REF!,2,0))</f>
        <v>#REF!</v>
      </c>
      <c r="L430" s="19" t="e">
        <f>IF(J430="","SEM #CH",VLOOKUP(J430,#REF!,3,0))</f>
        <v>#REF!</v>
      </c>
      <c r="M430" s="19" t="e">
        <f>IF(J430="","SEM #CH",VLOOKUP(J430,#REF!,4,0))</f>
        <v>#REF!</v>
      </c>
      <c r="N430" s="19" t="e">
        <f>IF(J430="","SEM #CH",VLOOKUP(J430,#REF!,5,0))</f>
        <v>#REF!</v>
      </c>
      <c r="O430" s="19" t="e">
        <f>IF(J430="","SEM #CH",VLOOKUP(J430,#REF!,6,0))</f>
        <v>#REF!</v>
      </c>
      <c r="P430" s="19" t="e">
        <f>IF(J430="","SEM #CH",VLOOKUP(J430,#REF!,7,0))</f>
        <v>#REF!</v>
      </c>
      <c r="Q430" s="77" t="str">
        <f>VLOOKUP(J430,'p1'!$B$2:$C$30,2,0)</f>
        <v>NÃO TEM CHAPA</v>
      </c>
      <c r="R430" s="94">
        <v>45919</v>
      </c>
      <c r="S430" s="90" t="s">
        <v>217</v>
      </c>
      <c r="T430" s="90">
        <f t="shared" si="33"/>
        <v>1</v>
      </c>
      <c r="U430" s="94">
        <v>45922</v>
      </c>
      <c r="V430" s="90" t="s">
        <v>86</v>
      </c>
      <c r="W430" s="92">
        <v>2538</v>
      </c>
      <c r="X430" s="93">
        <f t="shared" si="32"/>
        <v>1</v>
      </c>
      <c r="Y430" s="92"/>
      <c r="Z430" s="92"/>
      <c r="AA430" s="13" t="str">
        <f t="shared" si="34"/>
        <v>set/2025</v>
      </c>
    </row>
    <row r="431" spans="1:27" x14ac:dyDescent="0.25">
      <c r="A431" s="89">
        <v>430</v>
      </c>
      <c r="B431" s="68">
        <v>45883</v>
      </c>
      <c r="C431" s="40">
        <v>69</v>
      </c>
      <c r="D431" s="40">
        <f t="shared" si="30"/>
        <v>1</v>
      </c>
      <c r="E431" s="50" t="s">
        <v>131</v>
      </c>
      <c r="F431" s="17" t="s">
        <v>58</v>
      </c>
      <c r="G431" s="17" t="s">
        <v>86</v>
      </c>
      <c r="H431" s="42" t="s">
        <v>663</v>
      </c>
      <c r="I431" s="17" t="str">
        <f t="shared" si="31"/>
        <v>PN-430</v>
      </c>
      <c r="J431" s="18" t="s">
        <v>85</v>
      </c>
      <c r="K431" s="19" t="e">
        <f>IF(J431="","SEM #CH",VLOOKUP(J431,#REF!,2,0))</f>
        <v>#REF!</v>
      </c>
      <c r="L431" s="19" t="e">
        <f>IF(J431="","SEM #CH",VLOOKUP(J431,#REF!,3,0))</f>
        <v>#REF!</v>
      </c>
      <c r="M431" s="19" t="e">
        <f>IF(J431="","SEM #CH",VLOOKUP(J431,#REF!,4,0))</f>
        <v>#REF!</v>
      </c>
      <c r="N431" s="19" t="e">
        <f>IF(J431="","SEM #CH",VLOOKUP(J431,#REF!,5,0))</f>
        <v>#REF!</v>
      </c>
      <c r="O431" s="19" t="e">
        <f>IF(J431="","SEM #CH",VLOOKUP(J431,#REF!,6,0))</f>
        <v>#REF!</v>
      </c>
      <c r="P431" s="19" t="e">
        <f>IF(J431="","SEM #CH",VLOOKUP(J431,#REF!,7,0))</f>
        <v>#REF!</v>
      </c>
      <c r="Q431" s="77" t="str">
        <f>VLOOKUP(J431,'p1'!$B$2:$C$30,2,0)</f>
        <v>NÃO TEM CHAPA</v>
      </c>
      <c r="R431" s="94">
        <v>45919</v>
      </c>
      <c r="S431" s="90" t="s">
        <v>217</v>
      </c>
      <c r="T431" s="90">
        <f t="shared" si="33"/>
        <v>1</v>
      </c>
      <c r="U431" s="94">
        <v>45922</v>
      </c>
      <c r="V431" s="90" t="s">
        <v>86</v>
      </c>
      <c r="W431" s="92">
        <v>2538</v>
      </c>
      <c r="X431" s="93">
        <f t="shared" si="32"/>
        <v>1</v>
      </c>
      <c r="Y431" s="92"/>
      <c r="Z431" s="92"/>
      <c r="AA431" s="13" t="str">
        <f t="shared" si="34"/>
        <v>set/2025</v>
      </c>
    </row>
    <row r="432" spans="1:27" x14ac:dyDescent="0.25">
      <c r="A432" s="89">
        <v>431</v>
      </c>
      <c r="B432" s="68">
        <v>45883</v>
      </c>
      <c r="C432" s="40">
        <v>69</v>
      </c>
      <c r="D432" s="40">
        <f t="shared" si="30"/>
        <v>1</v>
      </c>
      <c r="E432" s="50" t="s">
        <v>131</v>
      </c>
      <c r="F432" s="17" t="s">
        <v>58</v>
      </c>
      <c r="G432" s="17" t="s">
        <v>86</v>
      </c>
      <c r="H432" s="42" t="s">
        <v>664</v>
      </c>
      <c r="I432" s="17" t="str">
        <f t="shared" si="31"/>
        <v>PN-431</v>
      </c>
      <c r="J432" s="18" t="s">
        <v>85</v>
      </c>
      <c r="K432" s="19" t="e">
        <f>IF(J432="","SEM #CH",VLOOKUP(J432,#REF!,2,0))</f>
        <v>#REF!</v>
      </c>
      <c r="L432" s="19" t="e">
        <f>IF(J432="","SEM #CH",VLOOKUP(J432,#REF!,3,0))</f>
        <v>#REF!</v>
      </c>
      <c r="M432" s="19" t="e">
        <f>IF(J432="","SEM #CH",VLOOKUP(J432,#REF!,4,0))</f>
        <v>#REF!</v>
      </c>
      <c r="N432" s="19" t="e">
        <f>IF(J432="","SEM #CH",VLOOKUP(J432,#REF!,5,0))</f>
        <v>#REF!</v>
      </c>
      <c r="O432" s="19" t="e">
        <f>IF(J432="","SEM #CH",VLOOKUP(J432,#REF!,6,0))</f>
        <v>#REF!</v>
      </c>
      <c r="P432" s="19" t="e">
        <f>IF(J432="","SEM #CH",VLOOKUP(J432,#REF!,7,0))</f>
        <v>#REF!</v>
      </c>
      <c r="Q432" s="77" t="str">
        <f>VLOOKUP(J432,'p1'!$B$2:$C$30,2,0)</f>
        <v>NÃO TEM CHAPA</v>
      </c>
      <c r="R432" s="94">
        <v>45920</v>
      </c>
      <c r="S432" s="90" t="s">
        <v>217</v>
      </c>
      <c r="T432" s="90">
        <f t="shared" si="33"/>
        <v>1</v>
      </c>
      <c r="U432" s="94">
        <v>45922</v>
      </c>
      <c r="V432" s="90" t="s">
        <v>86</v>
      </c>
      <c r="W432" s="92">
        <v>2537</v>
      </c>
      <c r="X432" s="93">
        <f t="shared" si="32"/>
        <v>1</v>
      </c>
      <c r="Y432" s="92"/>
      <c r="Z432" s="92"/>
      <c r="AA432" s="13" t="str">
        <f t="shared" si="34"/>
        <v>set/2025</v>
      </c>
    </row>
    <row r="433" spans="1:27" x14ac:dyDescent="0.25">
      <c r="A433" s="89">
        <v>432</v>
      </c>
      <c r="B433" s="68">
        <v>45884</v>
      </c>
      <c r="C433" s="40">
        <v>70</v>
      </c>
      <c r="D433" s="40">
        <f t="shared" si="30"/>
        <v>1</v>
      </c>
      <c r="E433" s="50" t="s">
        <v>131</v>
      </c>
      <c r="F433" s="17" t="s">
        <v>58</v>
      </c>
      <c r="G433" s="17" t="s">
        <v>86</v>
      </c>
      <c r="H433" s="42" t="s">
        <v>665</v>
      </c>
      <c r="I433" s="17" t="str">
        <f t="shared" si="31"/>
        <v>PN-432</v>
      </c>
      <c r="J433" s="18" t="s">
        <v>85</v>
      </c>
      <c r="K433" s="19" t="e">
        <f>IF(J433="","SEM #CH",VLOOKUP(J433,#REF!,2,0))</f>
        <v>#REF!</v>
      </c>
      <c r="L433" s="19" t="e">
        <f>IF(J433="","SEM #CH",VLOOKUP(J433,#REF!,3,0))</f>
        <v>#REF!</v>
      </c>
      <c r="M433" s="19" t="e">
        <f>IF(J433="","SEM #CH",VLOOKUP(J433,#REF!,4,0))</f>
        <v>#REF!</v>
      </c>
      <c r="N433" s="19" t="e">
        <f>IF(J433="","SEM #CH",VLOOKUP(J433,#REF!,5,0))</f>
        <v>#REF!</v>
      </c>
      <c r="O433" s="19" t="e">
        <f>IF(J433="","SEM #CH",VLOOKUP(J433,#REF!,6,0))</f>
        <v>#REF!</v>
      </c>
      <c r="P433" s="19" t="e">
        <f>IF(J433="","SEM #CH",VLOOKUP(J433,#REF!,7,0))</f>
        <v>#REF!</v>
      </c>
      <c r="Q433" s="77" t="str">
        <f>VLOOKUP(J433,'p1'!$B$2:$C$30,2,0)</f>
        <v>NÃO TEM CHAPA</v>
      </c>
      <c r="R433" s="94">
        <v>45894</v>
      </c>
      <c r="S433" s="90" t="s">
        <v>218</v>
      </c>
      <c r="T433" s="90">
        <f t="shared" si="33"/>
        <v>1</v>
      </c>
      <c r="U433" s="94">
        <v>45896</v>
      </c>
      <c r="V433" s="90" t="s">
        <v>1100</v>
      </c>
      <c r="W433" s="92">
        <v>2498</v>
      </c>
      <c r="X433" s="93">
        <f t="shared" si="32"/>
        <v>1</v>
      </c>
      <c r="Y433" s="92"/>
      <c r="Z433" s="92"/>
      <c r="AA433" s="13" t="str">
        <f t="shared" si="34"/>
        <v>ago/2025</v>
      </c>
    </row>
    <row r="434" spans="1:27" x14ac:dyDescent="0.25">
      <c r="A434" s="89">
        <v>433</v>
      </c>
      <c r="B434" s="68">
        <v>45884</v>
      </c>
      <c r="C434" s="40">
        <v>70</v>
      </c>
      <c r="D434" s="40">
        <f t="shared" si="30"/>
        <v>1</v>
      </c>
      <c r="E434" s="50" t="s">
        <v>131</v>
      </c>
      <c r="F434" s="17" t="s">
        <v>58</v>
      </c>
      <c r="G434" s="17" t="s">
        <v>86</v>
      </c>
      <c r="H434" s="42" t="s">
        <v>666</v>
      </c>
      <c r="I434" s="17" t="str">
        <f t="shared" si="31"/>
        <v>PN-433</v>
      </c>
      <c r="J434" s="18" t="s">
        <v>85</v>
      </c>
      <c r="K434" s="19" t="e">
        <f>IF(J434="","SEM #CH",VLOOKUP(J434,#REF!,2,0))</f>
        <v>#REF!</v>
      </c>
      <c r="L434" s="19" t="e">
        <f>IF(J434="","SEM #CH",VLOOKUP(J434,#REF!,3,0))</f>
        <v>#REF!</v>
      </c>
      <c r="M434" s="19" t="e">
        <f>IF(J434="","SEM #CH",VLOOKUP(J434,#REF!,4,0))</f>
        <v>#REF!</v>
      </c>
      <c r="N434" s="19" t="e">
        <f>IF(J434="","SEM #CH",VLOOKUP(J434,#REF!,5,0))</f>
        <v>#REF!</v>
      </c>
      <c r="O434" s="19" t="e">
        <f>IF(J434="","SEM #CH",VLOOKUP(J434,#REF!,6,0))</f>
        <v>#REF!</v>
      </c>
      <c r="P434" s="19" t="e">
        <f>IF(J434="","SEM #CH",VLOOKUP(J434,#REF!,7,0))</f>
        <v>#REF!</v>
      </c>
      <c r="Q434" s="77" t="str">
        <f>VLOOKUP(J434,'p1'!$B$2:$C$30,2,0)</f>
        <v>NÃO TEM CHAPA</v>
      </c>
      <c r="R434" s="94">
        <v>45897</v>
      </c>
      <c r="S434" s="90" t="s">
        <v>218</v>
      </c>
      <c r="T434" s="90">
        <f t="shared" si="33"/>
        <v>1</v>
      </c>
      <c r="U434" s="94">
        <v>45910</v>
      </c>
      <c r="V434" s="90" t="s">
        <v>86</v>
      </c>
      <c r="W434" s="92">
        <v>2517</v>
      </c>
      <c r="X434" s="93">
        <f t="shared" si="32"/>
        <v>1</v>
      </c>
      <c r="Y434" s="92"/>
      <c r="Z434" s="92"/>
      <c r="AA434" s="13" t="str">
        <f t="shared" si="34"/>
        <v>ago/2025</v>
      </c>
    </row>
    <row r="435" spans="1:27" x14ac:dyDescent="0.25">
      <c r="A435" s="89">
        <v>434</v>
      </c>
      <c r="B435" s="68">
        <v>45884</v>
      </c>
      <c r="C435" s="40">
        <v>70</v>
      </c>
      <c r="D435" s="40">
        <f t="shared" si="30"/>
        <v>1</v>
      </c>
      <c r="E435" s="50" t="s">
        <v>131</v>
      </c>
      <c r="F435" s="17" t="s">
        <v>58</v>
      </c>
      <c r="G435" s="17" t="s">
        <v>86</v>
      </c>
      <c r="H435" s="42" t="s">
        <v>667</v>
      </c>
      <c r="I435" s="17" t="str">
        <f t="shared" si="31"/>
        <v>PN-434</v>
      </c>
      <c r="J435" s="18" t="s">
        <v>85</v>
      </c>
      <c r="K435" s="19" t="e">
        <f>IF(J435="","SEM #CH",VLOOKUP(J435,#REF!,2,0))</f>
        <v>#REF!</v>
      </c>
      <c r="L435" s="19" t="e">
        <f>IF(J435="","SEM #CH",VLOOKUP(J435,#REF!,3,0))</f>
        <v>#REF!</v>
      </c>
      <c r="M435" s="19" t="e">
        <f>IF(J435="","SEM #CH",VLOOKUP(J435,#REF!,4,0))</f>
        <v>#REF!</v>
      </c>
      <c r="N435" s="19" t="e">
        <f>IF(J435="","SEM #CH",VLOOKUP(J435,#REF!,5,0))</f>
        <v>#REF!</v>
      </c>
      <c r="O435" s="19" t="e">
        <f>IF(J435="","SEM #CH",VLOOKUP(J435,#REF!,6,0))</f>
        <v>#REF!</v>
      </c>
      <c r="P435" s="19" t="e">
        <f>IF(J435="","SEM #CH",VLOOKUP(J435,#REF!,7,0))</f>
        <v>#REF!</v>
      </c>
      <c r="Q435" s="77" t="str">
        <f>VLOOKUP(J435,'p1'!$B$2:$C$30,2,0)</f>
        <v>NÃO TEM CHAPA</v>
      </c>
      <c r="R435" s="94">
        <v>45897</v>
      </c>
      <c r="S435" s="90" t="s">
        <v>218</v>
      </c>
      <c r="T435" s="90">
        <f t="shared" si="33"/>
        <v>1</v>
      </c>
      <c r="U435" s="94">
        <v>45910</v>
      </c>
      <c r="V435" s="90" t="s">
        <v>86</v>
      </c>
      <c r="W435" s="92">
        <v>2516</v>
      </c>
      <c r="X435" s="93">
        <f t="shared" si="32"/>
        <v>1</v>
      </c>
      <c r="Y435" s="92"/>
      <c r="Z435" s="92"/>
      <c r="AA435" s="13" t="str">
        <f t="shared" si="34"/>
        <v>ago/2025</v>
      </c>
    </row>
    <row r="436" spans="1:27" x14ac:dyDescent="0.25">
      <c r="A436" s="89">
        <v>435</v>
      </c>
      <c r="B436" s="68">
        <v>45918</v>
      </c>
      <c r="C436" s="40">
        <v>95</v>
      </c>
      <c r="D436" s="40">
        <f t="shared" si="30"/>
        <v>1</v>
      </c>
      <c r="E436" s="51" t="s">
        <v>132</v>
      </c>
      <c r="F436" s="17" t="s">
        <v>61</v>
      </c>
      <c r="G436" s="17" t="s">
        <v>86</v>
      </c>
      <c r="H436" s="42" t="s">
        <v>668</v>
      </c>
      <c r="I436" s="17" t="str">
        <f t="shared" si="31"/>
        <v>PF-435</v>
      </c>
      <c r="J436" s="18" t="s">
        <v>61</v>
      </c>
      <c r="K436" s="19" t="e">
        <f>IF(J436="","SEM #CH",VLOOKUP(J436,#REF!,2,0))</f>
        <v>#REF!</v>
      </c>
      <c r="L436" s="19" t="e">
        <f>IF(J436="","SEM #CH",VLOOKUP(J436,#REF!,3,0))</f>
        <v>#REF!</v>
      </c>
      <c r="M436" s="19" t="e">
        <f>IF(J436="","SEM #CH",VLOOKUP(J436,#REF!,4,0))</f>
        <v>#REF!</v>
      </c>
      <c r="N436" s="19" t="e">
        <f>IF(J436="","SEM #CH",VLOOKUP(J436,#REF!,5,0))</f>
        <v>#REF!</v>
      </c>
      <c r="O436" s="19" t="e">
        <f>IF(J436="","SEM #CH",VLOOKUP(J436,#REF!,6,0))</f>
        <v>#REF!</v>
      </c>
      <c r="P436" s="19" t="e">
        <f>IF(J436="","SEM #CH",VLOOKUP(J436,#REF!,7,0))</f>
        <v>#REF!</v>
      </c>
      <c r="Q436" s="77" t="str">
        <f>VLOOKUP(J436,'p1'!$B$2:$C$30,2,0)</f>
        <v>SEM CHAPA</v>
      </c>
      <c r="R436" s="94">
        <v>45922</v>
      </c>
      <c r="S436" s="90" t="s">
        <v>217</v>
      </c>
      <c r="T436" s="90">
        <f t="shared" si="33"/>
        <v>1</v>
      </c>
      <c r="U436" s="94">
        <v>45922</v>
      </c>
      <c r="V436" s="90" t="s">
        <v>86</v>
      </c>
      <c r="W436" s="92">
        <v>2539</v>
      </c>
      <c r="X436" s="93">
        <f t="shared" si="32"/>
        <v>1</v>
      </c>
      <c r="Y436" s="92"/>
      <c r="Z436" s="92"/>
      <c r="AA436" s="13" t="str">
        <f t="shared" si="34"/>
        <v>set/2025</v>
      </c>
    </row>
    <row r="437" spans="1:27" x14ac:dyDescent="0.25">
      <c r="A437" s="89">
        <v>436</v>
      </c>
      <c r="B437" s="68">
        <v>45884</v>
      </c>
      <c r="C437" s="40">
        <v>70</v>
      </c>
      <c r="D437" s="40">
        <f t="shared" si="30"/>
        <v>1</v>
      </c>
      <c r="E437" s="51" t="s">
        <v>132</v>
      </c>
      <c r="F437" s="17" t="s">
        <v>58</v>
      </c>
      <c r="G437" s="17" t="s">
        <v>86</v>
      </c>
      <c r="H437" s="42" t="s">
        <v>669</v>
      </c>
      <c r="I437" s="17" t="str">
        <f t="shared" si="31"/>
        <v>PN-436</v>
      </c>
      <c r="J437" s="18" t="s">
        <v>85</v>
      </c>
      <c r="K437" s="19" t="e">
        <f>IF(J437="","SEM #CH",VLOOKUP(J437,#REF!,2,0))</f>
        <v>#REF!</v>
      </c>
      <c r="L437" s="19" t="e">
        <f>IF(J437="","SEM #CH",VLOOKUP(J437,#REF!,3,0))</f>
        <v>#REF!</v>
      </c>
      <c r="M437" s="19" t="e">
        <f>IF(J437="","SEM #CH",VLOOKUP(J437,#REF!,4,0))</f>
        <v>#REF!</v>
      </c>
      <c r="N437" s="19" t="e">
        <f>IF(J437="","SEM #CH",VLOOKUP(J437,#REF!,5,0))</f>
        <v>#REF!</v>
      </c>
      <c r="O437" s="19" t="e">
        <f>IF(J437="","SEM #CH",VLOOKUP(J437,#REF!,6,0))</f>
        <v>#REF!</v>
      </c>
      <c r="P437" s="19" t="e">
        <f>IF(J437="","SEM #CH",VLOOKUP(J437,#REF!,7,0))</f>
        <v>#REF!</v>
      </c>
      <c r="Q437" s="77" t="str">
        <f>VLOOKUP(J437,'p1'!$B$2:$C$30,2,0)</f>
        <v>NÃO TEM CHAPA</v>
      </c>
      <c r="R437" s="94">
        <v>45897</v>
      </c>
      <c r="S437" s="90" t="s">
        <v>218</v>
      </c>
      <c r="T437" s="90">
        <f t="shared" si="33"/>
        <v>1</v>
      </c>
      <c r="U437" s="94">
        <v>45910</v>
      </c>
      <c r="V437" s="90" t="s">
        <v>86</v>
      </c>
      <c r="W437" s="92">
        <v>2516</v>
      </c>
      <c r="X437" s="93">
        <f t="shared" si="32"/>
        <v>1</v>
      </c>
      <c r="Y437" s="92"/>
      <c r="Z437" s="92"/>
      <c r="AA437" s="13" t="str">
        <f t="shared" si="34"/>
        <v>ago/2025</v>
      </c>
    </row>
    <row r="438" spans="1:27" x14ac:dyDescent="0.25">
      <c r="A438" s="89">
        <v>437</v>
      </c>
      <c r="B438" s="68">
        <v>45884</v>
      </c>
      <c r="C438" s="40">
        <v>70</v>
      </c>
      <c r="D438" s="40">
        <f t="shared" si="30"/>
        <v>1</v>
      </c>
      <c r="E438" s="51" t="s">
        <v>132</v>
      </c>
      <c r="F438" s="17" t="s">
        <v>58</v>
      </c>
      <c r="G438" s="17" t="s">
        <v>86</v>
      </c>
      <c r="H438" s="42" t="s">
        <v>670</v>
      </c>
      <c r="I438" s="17" t="str">
        <f t="shared" si="31"/>
        <v>PN-437</v>
      </c>
      <c r="J438" s="18" t="s">
        <v>85</v>
      </c>
      <c r="K438" s="19" t="e">
        <f>IF(J438="","SEM #CH",VLOOKUP(J438,#REF!,2,0))</f>
        <v>#REF!</v>
      </c>
      <c r="L438" s="19" t="e">
        <f>IF(J438="","SEM #CH",VLOOKUP(J438,#REF!,3,0))</f>
        <v>#REF!</v>
      </c>
      <c r="M438" s="19" t="e">
        <f>IF(J438="","SEM #CH",VLOOKUP(J438,#REF!,4,0))</f>
        <v>#REF!</v>
      </c>
      <c r="N438" s="19" t="e">
        <f>IF(J438="","SEM #CH",VLOOKUP(J438,#REF!,5,0))</f>
        <v>#REF!</v>
      </c>
      <c r="O438" s="19" t="e">
        <f>IF(J438="","SEM #CH",VLOOKUP(J438,#REF!,6,0))</f>
        <v>#REF!</v>
      </c>
      <c r="P438" s="19" t="e">
        <f>IF(J438="","SEM #CH",VLOOKUP(J438,#REF!,7,0))</f>
        <v>#REF!</v>
      </c>
      <c r="Q438" s="77" t="str">
        <f>VLOOKUP(J438,'p1'!$B$2:$C$30,2,0)</f>
        <v>NÃO TEM CHAPA</v>
      </c>
      <c r="R438" s="94">
        <v>45898</v>
      </c>
      <c r="S438" s="90" t="s">
        <v>218</v>
      </c>
      <c r="T438" s="90">
        <f t="shared" si="33"/>
        <v>1</v>
      </c>
      <c r="U438" s="94">
        <v>45919</v>
      </c>
      <c r="V438" s="90" t="s">
        <v>86</v>
      </c>
      <c r="W438" s="92">
        <v>2536</v>
      </c>
      <c r="X438" s="93">
        <f t="shared" si="32"/>
        <v>1</v>
      </c>
      <c r="Y438" s="92"/>
      <c r="Z438" s="92"/>
      <c r="AA438" s="13" t="str">
        <f t="shared" si="34"/>
        <v>ago/2025</v>
      </c>
    </row>
    <row r="439" spans="1:27" x14ac:dyDescent="0.25">
      <c r="A439" s="89">
        <v>438</v>
      </c>
      <c r="B439" s="68">
        <v>45884</v>
      </c>
      <c r="C439" s="40">
        <v>70</v>
      </c>
      <c r="D439" s="40">
        <f t="shared" si="30"/>
        <v>1</v>
      </c>
      <c r="E439" s="51" t="s">
        <v>132</v>
      </c>
      <c r="F439" s="17" t="s">
        <v>58</v>
      </c>
      <c r="G439" s="17" t="s">
        <v>86</v>
      </c>
      <c r="H439" s="42" t="s">
        <v>671</v>
      </c>
      <c r="I439" s="17" t="str">
        <f t="shared" si="31"/>
        <v>PN-438</v>
      </c>
      <c r="J439" s="18" t="s">
        <v>85</v>
      </c>
      <c r="K439" s="19" t="e">
        <f>IF(J439="","SEM #CH",VLOOKUP(J439,#REF!,2,0))</f>
        <v>#REF!</v>
      </c>
      <c r="L439" s="19" t="e">
        <f>IF(J439="","SEM #CH",VLOOKUP(J439,#REF!,3,0))</f>
        <v>#REF!</v>
      </c>
      <c r="M439" s="19" t="e">
        <f>IF(J439="","SEM #CH",VLOOKUP(J439,#REF!,4,0))</f>
        <v>#REF!</v>
      </c>
      <c r="N439" s="19" t="e">
        <f>IF(J439="","SEM #CH",VLOOKUP(J439,#REF!,5,0))</f>
        <v>#REF!</v>
      </c>
      <c r="O439" s="19" t="e">
        <f>IF(J439="","SEM #CH",VLOOKUP(J439,#REF!,6,0))</f>
        <v>#REF!</v>
      </c>
      <c r="P439" s="19" t="e">
        <f>IF(J439="","SEM #CH",VLOOKUP(J439,#REF!,7,0))</f>
        <v>#REF!</v>
      </c>
      <c r="Q439" s="77" t="str">
        <f>VLOOKUP(J439,'p1'!$B$2:$C$30,2,0)</f>
        <v>NÃO TEM CHAPA</v>
      </c>
      <c r="R439" s="94">
        <v>45898</v>
      </c>
      <c r="S439" s="90" t="s">
        <v>218</v>
      </c>
      <c r="T439" s="90">
        <f t="shared" si="33"/>
        <v>1</v>
      </c>
      <c r="U439" s="94">
        <v>45931</v>
      </c>
      <c r="V439" s="90" t="s">
        <v>86</v>
      </c>
      <c r="W439" s="92">
        <v>2558</v>
      </c>
      <c r="X439" s="93">
        <f t="shared" si="32"/>
        <v>1</v>
      </c>
      <c r="Y439" s="92"/>
      <c r="Z439" s="92"/>
      <c r="AA439" s="13" t="str">
        <f t="shared" si="34"/>
        <v>ago/2025</v>
      </c>
    </row>
    <row r="440" spans="1:27" x14ac:dyDescent="0.25">
      <c r="A440" s="89">
        <v>439</v>
      </c>
      <c r="B440" s="68">
        <v>45884</v>
      </c>
      <c r="C440" s="40">
        <v>70</v>
      </c>
      <c r="D440" s="40">
        <f t="shared" si="30"/>
        <v>1</v>
      </c>
      <c r="E440" s="51" t="s">
        <v>132</v>
      </c>
      <c r="F440" s="17" t="s">
        <v>58</v>
      </c>
      <c r="G440" s="17" t="s">
        <v>86</v>
      </c>
      <c r="H440" s="42" t="s">
        <v>672</v>
      </c>
      <c r="I440" s="17" t="str">
        <f t="shared" si="31"/>
        <v>PN-439</v>
      </c>
      <c r="J440" s="18" t="s">
        <v>85</v>
      </c>
      <c r="K440" s="19" t="e">
        <f>IF(J440="","SEM #CH",VLOOKUP(J440,#REF!,2,0))</f>
        <v>#REF!</v>
      </c>
      <c r="L440" s="19" t="e">
        <f>IF(J440="","SEM #CH",VLOOKUP(J440,#REF!,3,0))</f>
        <v>#REF!</v>
      </c>
      <c r="M440" s="19" t="e">
        <f>IF(J440="","SEM #CH",VLOOKUP(J440,#REF!,4,0))</f>
        <v>#REF!</v>
      </c>
      <c r="N440" s="19" t="e">
        <f>IF(J440="","SEM #CH",VLOOKUP(J440,#REF!,5,0))</f>
        <v>#REF!</v>
      </c>
      <c r="O440" s="19" t="e">
        <f>IF(J440="","SEM #CH",VLOOKUP(J440,#REF!,6,0))</f>
        <v>#REF!</v>
      </c>
      <c r="P440" s="19" t="e">
        <f>IF(J440="","SEM #CH",VLOOKUP(J440,#REF!,7,0))</f>
        <v>#REF!</v>
      </c>
      <c r="Q440" s="77" t="str">
        <f>VLOOKUP(J440,'p1'!$B$2:$C$30,2,0)</f>
        <v>NÃO TEM CHAPA</v>
      </c>
      <c r="R440" s="94">
        <v>45899</v>
      </c>
      <c r="S440" s="90" t="s">
        <v>218</v>
      </c>
      <c r="T440" s="90">
        <f t="shared" si="33"/>
        <v>1</v>
      </c>
      <c r="U440" s="94">
        <v>45917</v>
      </c>
      <c r="V440" s="90" t="s">
        <v>86</v>
      </c>
      <c r="W440" s="92">
        <v>2529</v>
      </c>
      <c r="X440" s="93">
        <f t="shared" si="32"/>
        <v>1</v>
      </c>
      <c r="Y440" s="92"/>
      <c r="Z440" s="92"/>
      <c r="AA440" s="13" t="str">
        <f t="shared" si="34"/>
        <v>ago/2025</v>
      </c>
    </row>
    <row r="441" spans="1:27" x14ac:dyDescent="0.25">
      <c r="A441" s="89">
        <v>440</v>
      </c>
      <c r="B441" s="68">
        <v>45885</v>
      </c>
      <c r="C441" s="40">
        <v>71</v>
      </c>
      <c r="D441" s="40">
        <f t="shared" si="30"/>
        <v>1</v>
      </c>
      <c r="E441" s="51" t="s">
        <v>132</v>
      </c>
      <c r="F441" s="17" t="s">
        <v>58</v>
      </c>
      <c r="G441" s="17" t="s">
        <v>86</v>
      </c>
      <c r="H441" s="42" t="s">
        <v>673</v>
      </c>
      <c r="I441" s="17" t="str">
        <f t="shared" si="31"/>
        <v>PN-440</v>
      </c>
      <c r="J441" s="18" t="s">
        <v>85</v>
      </c>
      <c r="K441" s="19" t="e">
        <f>IF(J441="","SEM #CH",VLOOKUP(J441,#REF!,2,0))</f>
        <v>#REF!</v>
      </c>
      <c r="L441" s="19" t="e">
        <f>IF(J441="","SEM #CH",VLOOKUP(J441,#REF!,3,0))</f>
        <v>#REF!</v>
      </c>
      <c r="M441" s="19" t="e">
        <f>IF(J441="","SEM #CH",VLOOKUP(J441,#REF!,4,0))</f>
        <v>#REF!</v>
      </c>
      <c r="N441" s="19" t="e">
        <f>IF(J441="","SEM #CH",VLOOKUP(J441,#REF!,5,0))</f>
        <v>#REF!</v>
      </c>
      <c r="O441" s="19" t="e">
        <f>IF(J441="","SEM #CH",VLOOKUP(J441,#REF!,6,0))</f>
        <v>#REF!</v>
      </c>
      <c r="P441" s="19" t="e">
        <f>IF(J441="","SEM #CH",VLOOKUP(J441,#REF!,7,0))</f>
        <v>#REF!</v>
      </c>
      <c r="Q441" s="77" t="str">
        <f>VLOOKUP(J441,'p1'!$B$2:$C$30,2,0)</f>
        <v>NÃO TEM CHAPA</v>
      </c>
      <c r="R441" s="94">
        <v>45922</v>
      </c>
      <c r="S441" s="90" t="s">
        <v>217</v>
      </c>
      <c r="T441" s="90">
        <f t="shared" si="33"/>
        <v>1</v>
      </c>
      <c r="U441" s="94">
        <v>45922</v>
      </c>
      <c r="V441" s="90" t="s">
        <v>86</v>
      </c>
      <c r="W441" s="92">
        <v>2539</v>
      </c>
      <c r="X441" s="93">
        <f t="shared" si="32"/>
        <v>1</v>
      </c>
      <c r="Y441" s="92"/>
      <c r="Z441" s="92"/>
      <c r="AA441" s="13" t="str">
        <f t="shared" si="34"/>
        <v>set/2025</v>
      </c>
    </row>
    <row r="442" spans="1:27" x14ac:dyDescent="0.25">
      <c r="A442" s="89">
        <v>441</v>
      </c>
      <c r="B442" s="68">
        <v>45885</v>
      </c>
      <c r="C442" s="40">
        <v>71</v>
      </c>
      <c r="D442" s="40">
        <f t="shared" si="30"/>
        <v>1</v>
      </c>
      <c r="E442" s="51" t="s">
        <v>132</v>
      </c>
      <c r="F442" s="17" t="s">
        <v>58</v>
      </c>
      <c r="G442" s="17" t="s">
        <v>86</v>
      </c>
      <c r="H442" s="42" t="s">
        <v>674</v>
      </c>
      <c r="I442" s="17" t="str">
        <f t="shared" si="31"/>
        <v>PN-441</v>
      </c>
      <c r="J442" s="18" t="s">
        <v>85</v>
      </c>
      <c r="K442" s="19" t="e">
        <f>IF(J442="","SEM #CH",VLOOKUP(J442,#REF!,2,0))</f>
        <v>#REF!</v>
      </c>
      <c r="L442" s="19" t="e">
        <f>IF(J442="","SEM #CH",VLOOKUP(J442,#REF!,3,0))</f>
        <v>#REF!</v>
      </c>
      <c r="M442" s="19" t="e">
        <f>IF(J442="","SEM #CH",VLOOKUP(J442,#REF!,4,0))</f>
        <v>#REF!</v>
      </c>
      <c r="N442" s="19" t="e">
        <f>IF(J442="","SEM #CH",VLOOKUP(J442,#REF!,5,0))</f>
        <v>#REF!</v>
      </c>
      <c r="O442" s="19" t="e">
        <f>IF(J442="","SEM #CH",VLOOKUP(J442,#REF!,6,0))</f>
        <v>#REF!</v>
      </c>
      <c r="P442" s="19" t="e">
        <f>IF(J442="","SEM #CH",VLOOKUP(J442,#REF!,7,0))</f>
        <v>#REF!</v>
      </c>
      <c r="Q442" s="77" t="str">
        <f>VLOOKUP(J442,'p1'!$B$2:$C$30,2,0)</f>
        <v>NÃO TEM CHAPA</v>
      </c>
      <c r="R442" s="94">
        <v>45922</v>
      </c>
      <c r="S442" s="90" t="s">
        <v>217</v>
      </c>
      <c r="T442" s="90">
        <f t="shared" si="33"/>
        <v>1</v>
      </c>
      <c r="U442" s="94">
        <v>45922</v>
      </c>
      <c r="V442" s="90" t="s">
        <v>86</v>
      </c>
      <c r="W442" s="92">
        <v>2538</v>
      </c>
      <c r="X442" s="93">
        <f t="shared" si="32"/>
        <v>1</v>
      </c>
      <c r="Y442" s="92"/>
      <c r="Z442" s="92"/>
      <c r="AA442" s="13" t="str">
        <f t="shared" si="34"/>
        <v>set/2025</v>
      </c>
    </row>
    <row r="443" spans="1:27" x14ac:dyDescent="0.25">
      <c r="A443" s="89">
        <v>442</v>
      </c>
      <c r="B443" s="68">
        <v>45885</v>
      </c>
      <c r="C443" s="40">
        <v>71</v>
      </c>
      <c r="D443" s="40">
        <f t="shared" si="30"/>
        <v>1</v>
      </c>
      <c r="E443" s="51" t="s">
        <v>132</v>
      </c>
      <c r="F443" s="17" t="s">
        <v>58</v>
      </c>
      <c r="G443" s="17" t="s">
        <v>86</v>
      </c>
      <c r="H443" s="42" t="s">
        <v>675</v>
      </c>
      <c r="I443" s="17" t="str">
        <f t="shared" si="31"/>
        <v>PN-442</v>
      </c>
      <c r="J443" s="18" t="s">
        <v>85</v>
      </c>
      <c r="K443" s="19" t="e">
        <f>IF(J443="","SEM #CH",VLOOKUP(J443,#REF!,2,0))</f>
        <v>#REF!</v>
      </c>
      <c r="L443" s="19" t="e">
        <f>IF(J443="","SEM #CH",VLOOKUP(J443,#REF!,3,0))</f>
        <v>#REF!</v>
      </c>
      <c r="M443" s="19" t="e">
        <f>IF(J443="","SEM #CH",VLOOKUP(J443,#REF!,4,0))</f>
        <v>#REF!</v>
      </c>
      <c r="N443" s="19" t="e">
        <f>IF(J443="","SEM #CH",VLOOKUP(J443,#REF!,5,0))</f>
        <v>#REF!</v>
      </c>
      <c r="O443" s="19" t="e">
        <f>IF(J443="","SEM #CH",VLOOKUP(J443,#REF!,6,0))</f>
        <v>#REF!</v>
      </c>
      <c r="P443" s="19" t="e">
        <f>IF(J443="","SEM #CH",VLOOKUP(J443,#REF!,7,0))</f>
        <v>#REF!</v>
      </c>
      <c r="Q443" s="77" t="str">
        <f>VLOOKUP(J443,'p1'!$B$2:$C$30,2,0)</f>
        <v>NÃO TEM CHAPA</v>
      </c>
      <c r="R443" s="94">
        <v>45922</v>
      </c>
      <c r="S443" s="90" t="s">
        <v>217</v>
      </c>
      <c r="T443" s="90">
        <f t="shared" si="33"/>
        <v>1</v>
      </c>
      <c r="U443" s="94">
        <v>45922</v>
      </c>
      <c r="V443" s="90" t="s">
        <v>86</v>
      </c>
      <c r="W443" s="92">
        <v>2539</v>
      </c>
      <c r="X443" s="93">
        <f t="shared" si="32"/>
        <v>1</v>
      </c>
      <c r="Y443" s="92"/>
      <c r="Z443" s="92"/>
      <c r="AA443" s="13" t="str">
        <f t="shared" si="34"/>
        <v>set/2025</v>
      </c>
    </row>
    <row r="444" spans="1:27" x14ac:dyDescent="0.25">
      <c r="A444" s="89">
        <v>443</v>
      </c>
      <c r="B444" s="68">
        <v>45904</v>
      </c>
      <c r="C444" s="40">
        <v>83</v>
      </c>
      <c r="D444" s="40">
        <f t="shared" si="30"/>
        <v>1</v>
      </c>
      <c r="E444" s="51" t="s">
        <v>132</v>
      </c>
      <c r="F444" s="17" t="s">
        <v>60</v>
      </c>
      <c r="G444" s="17" t="s">
        <v>86</v>
      </c>
      <c r="H444" s="42" t="s">
        <v>676</v>
      </c>
      <c r="I444" s="17" t="str">
        <f t="shared" si="31"/>
        <v>PE-443</v>
      </c>
      <c r="J444" s="18" t="s">
        <v>90</v>
      </c>
      <c r="K444" s="19" t="e">
        <f>IF(J444="","SEM #CH",VLOOKUP(J444,#REF!,2,0))</f>
        <v>#REF!</v>
      </c>
      <c r="L444" s="19" t="e">
        <f>IF(J444="","SEM #CH",VLOOKUP(J444,#REF!,3,0))</f>
        <v>#REF!</v>
      </c>
      <c r="M444" s="19" t="e">
        <f>IF(J444="","SEM #CH",VLOOKUP(J444,#REF!,4,0))</f>
        <v>#REF!</v>
      </c>
      <c r="N444" s="19" t="e">
        <f>IF(J444="","SEM #CH",VLOOKUP(J444,#REF!,5,0))</f>
        <v>#REF!</v>
      </c>
      <c r="O444" s="19" t="e">
        <f>IF(J444="","SEM #CH",VLOOKUP(J444,#REF!,6,0))</f>
        <v>#REF!</v>
      </c>
      <c r="P444" s="19" t="e">
        <f>IF(J444="","SEM #CH",VLOOKUP(J444,#REF!,7,0))</f>
        <v>#REF!</v>
      </c>
      <c r="Q444" s="77" t="str">
        <f>VLOOKUP(J444,'p1'!$B$2:$C$30,2,0)</f>
        <v>#3/8-530X530</v>
      </c>
      <c r="R444" s="94">
        <v>45908</v>
      </c>
      <c r="S444" s="90" t="s">
        <v>218</v>
      </c>
      <c r="T444" s="90">
        <f t="shared" si="33"/>
        <v>1</v>
      </c>
      <c r="U444" s="94">
        <v>45909</v>
      </c>
      <c r="V444" s="90" t="s">
        <v>86</v>
      </c>
      <c r="W444" s="92">
        <v>2511</v>
      </c>
      <c r="X444" s="93">
        <f t="shared" si="32"/>
        <v>1</v>
      </c>
      <c r="Y444" s="92"/>
      <c r="Z444" s="92"/>
      <c r="AA444" s="13" t="str">
        <f t="shared" si="34"/>
        <v>set/2025</v>
      </c>
    </row>
    <row r="445" spans="1:27" x14ac:dyDescent="0.25">
      <c r="A445" s="89">
        <v>444</v>
      </c>
      <c r="B445" s="68">
        <v>45885</v>
      </c>
      <c r="C445" s="40">
        <v>71</v>
      </c>
      <c r="D445" s="40">
        <f t="shared" si="30"/>
        <v>1</v>
      </c>
      <c r="E445" s="51" t="s">
        <v>132</v>
      </c>
      <c r="F445" s="17" t="s">
        <v>58</v>
      </c>
      <c r="G445" s="17" t="s">
        <v>86</v>
      </c>
      <c r="H445" s="42" t="s">
        <v>677</v>
      </c>
      <c r="I445" s="17" t="str">
        <f t="shared" si="31"/>
        <v>PN-444</v>
      </c>
      <c r="J445" s="18" t="s">
        <v>85</v>
      </c>
      <c r="K445" s="19" t="e">
        <f>IF(J445="","SEM #CH",VLOOKUP(J445,#REF!,2,0))</f>
        <v>#REF!</v>
      </c>
      <c r="L445" s="19" t="e">
        <f>IF(J445="","SEM #CH",VLOOKUP(J445,#REF!,3,0))</f>
        <v>#REF!</v>
      </c>
      <c r="M445" s="19" t="e">
        <f>IF(J445="","SEM #CH",VLOOKUP(J445,#REF!,4,0))</f>
        <v>#REF!</v>
      </c>
      <c r="N445" s="19" t="e">
        <f>IF(J445="","SEM #CH",VLOOKUP(J445,#REF!,5,0))</f>
        <v>#REF!</v>
      </c>
      <c r="O445" s="19" t="e">
        <f>IF(J445="","SEM #CH",VLOOKUP(J445,#REF!,6,0))</f>
        <v>#REF!</v>
      </c>
      <c r="P445" s="19" t="e">
        <f>IF(J445="","SEM #CH",VLOOKUP(J445,#REF!,7,0))</f>
        <v>#REF!</v>
      </c>
      <c r="Q445" s="77" t="str">
        <f>VLOOKUP(J445,'p1'!$B$2:$C$30,2,0)</f>
        <v>NÃO TEM CHAPA</v>
      </c>
      <c r="R445" s="94">
        <v>45922</v>
      </c>
      <c r="S445" s="90" t="s">
        <v>217</v>
      </c>
      <c r="T445" s="90">
        <f t="shared" si="33"/>
        <v>1</v>
      </c>
      <c r="U445" s="94">
        <v>45922</v>
      </c>
      <c r="V445" s="90" t="s">
        <v>86</v>
      </c>
      <c r="W445" s="92">
        <v>2537</v>
      </c>
      <c r="X445" s="93">
        <f t="shared" si="32"/>
        <v>1</v>
      </c>
      <c r="Y445" s="92"/>
      <c r="Z445" s="92"/>
      <c r="AA445" s="13" t="str">
        <f t="shared" si="34"/>
        <v>set/2025</v>
      </c>
    </row>
    <row r="446" spans="1:27" x14ac:dyDescent="0.25">
      <c r="A446" s="89">
        <v>445</v>
      </c>
      <c r="B446" s="68">
        <v>45885</v>
      </c>
      <c r="C446" s="40">
        <v>71</v>
      </c>
      <c r="D446" s="40">
        <f t="shared" si="30"/>
        <v>1</v>
      </c>
      <c r="E446" s="51" t="s">
        <v>132</v>
      </c>
      <c r="F446" s="17" t="s">
        <v>58</v>
      </c>
      <c r="G446" s="17" t="s">
        <v>86</v>
      </c>
      <c r="H446" s="42" t="s">
        <v>678</v>
      </c>
      <c r="I446" s="17" t="str">
        <f t="shared" si="31"/>
        <v>PN-445</v>
      </c>
      <c r="J446" s="18" t="s">
        <v>85</v>
      </c>
      <c r="K446" s="19" t="e">
        <f>IF(J446="","SEM #CH",VLOOKUP(J446,#REF!,2,0))</f>
        <v>#REF!</v>
      </c>
      <c r="L446" s="19" t="e">
        <f>IF(J446="","SEM #CH",VLOOKUP(J446,#REF!,3,0))</f>
        <v>#REF!</v>
      </c>
      <c r="M446" s="19" t="e">
        <f>IF(J446="","SEM #CH",VLOOKUP(J446,#REF!,4,0))</f>
        <v>#REF!</v>
      </c>
      <c r="N446" s="19" t="e">
        <f>IF(J446="","SEM #CH",VLOOKUP(J446,#REF!,5,0))</f>
        <v>#REF!</v>
      </c>
      <c r="O446" s="19" t="e">
        <f>IF(J446="","SEM #CH",VLOOKUP(J446,#REF!,6,0))</f>
        <v>#REF!</v>
      </c>
      <c r="P446" s="19" t="e">
        <f>IF(J446="","SEM #CH",VLOOKUP(J446,#REF!,7,0))</f>
        <v>#REF!</v>
      </c>
      <c r="Q446" s="77" t="str">
        <f>VLOOKUP(J446,'p1'!$B$2:$C$30,2,0)</f>
        <v>NÃO TEM CHAPA</v>
      </c>
      <c r="R446" s="94">
        <v>45917</v>
      </c>
      <c r="S446" s="90" t="s">
        <v>217</v>
      </c>
      <c r="T446" s="90">
        <f t="shared" si="33"/>
        <v>1</v>
      </c>
      <c r="U446" s="94">
        <v>45917</v>
      </c>
      <c r="V446" s="90" t="s">
        <v>86</v>
      </c>
      <c r="W446" s="92">
        <v>2531</v>
      </c>
      <c r="X446" s="93">
        <f t="shared" si="32"/>
        <v>1</v>
      </c>
      <c r="Y446" s="92"/>
      <c r="Z446" s="92"/>
      <c r="AA446" s="13" t="str">
        <f t="shared" si="34"/>
        <v>set/2025</v>
      </c>
    </row>
    <row r="447" spans="1:27" x14ac:dyDescent="0.25">
      <c r="A447" s="89">
        <v>446</v>
      </c>
      <c r="B447" s="68">
        <v>45885</v>
      </c>
      <c r="C447" s="40">
        <v>71</v>
      </c>
      <c r="D447" s="40">
        <f t="shared" si="30"/>
        <v>1</v>
      </c>
      <c r="E447" s="51" t="s">
        <v>132</v>
      </c>
      <c r="F447" s="17" t="s">
        <v>58</v>
      </c>
      <c r="G447" s="17" t="s">
        <v>86</v>
      </c>
      <c r="H447" s="42" t="s">
        <v>679</v>
      </c>
      <c r="I447" s="17" t="str">
        <f t="shared" si="31"/>
        <v>PN-446</v>
      </c>
      <c r="J447" s="18" t="s">
        <v>85</v>
      </c>
      <c r="K447" s="19" t="e">
        <f>IF(J447="","SEM #CH",VLOOKUP(J447,#REF!,2,0))</f>
        <v>#REF!</v>
      </c>
      <c r="L447" s="19" t="e">
        <f>IF(J447="","SEM #CH",VLOOKUP(J447,#REF!,3,0))</f>
        <v>#REF!</v>
      </c>
      <c r="M447" s="19" t="e">
        <f>IF(J447="","SEM #CH",VLOOKUP(J447,#REF!,4,0))</f>
        <v>#REF!</v>
      </c>
      <c r="N447" s="19" t="e">
        <f>IF(J447="","SEM #CH",VLOOKUP(J447,#REF!,5,0))</f>
        <v>#REF!</v>
      </c>
      <c r="O447" s="19" t="e">
        <f>IF(J447="","SEM #CH",VLOOKUP(J447,#REF!,6,0))</f>
        <v>#REF!</v>
      </c>
      <c r="P447" s="19" t="e">
        <f>IF(J447="","SEM #CH",VLOOKUP(J447,#REF!,7,0))</f>
        <v>#REF!</v>
      </c>
      <c r="Q447" s="77" t="str">
        <f>VLOOKUP(J447,'p1'!$B$2:$C$30,2,0)</f>
        <v>NÃO TEM CHAPA</v>
      </c>
      <c r="R447" s="94">
        <v>45916</v>
      </c>
      <c r="S447" s="90" t="s">
        <v>217</v>
      </c>
      <c r="T447" s="90">
        <f t="shared" si="33"/>
        <v>1</v>
      </c>
      <c r="U447" s="94">
        <v>45917</v>
      </c>
      <c r="V447" s="90" t="s">
        <v>86</v>
      </c>
      <c r="W447" s="92">
        <v>2532</v>
      </c>
      <c r="X447" s="93">
        <f t="shared" si="32"/>
        <v>1</v>
      </c>
      <c r="Y447" s="92"/>
      <c r="Z447" s="92"/>
      <c r="AA447" s="13" t="str">
        <f t="shared" si="34"/>
        <v>set/2025</v>
      </c>
    </row>
    <row r="448" spans="1:27" x14ac:dyDescent="0.25">
      <c r="A448" s="89">
        <v>447</v>
      </c>
      <c r="B448" s="68">
        <v>45885</v>
      </c>
      <c r="C448" s="40">
        <v>71</v>
      </c>
      <c r="D448" s="40">
        <f t="shared" si="30"/>
        <v>1</v>
      </c>
      <c r="E448" s="51" t="s">
        <v>132</v>
      </c>
      <c r="F448" s="17" t="s">
        <v>58</v>
      </c>
      <c r="G448" s="17" t="s">
        <v>86</v>
      </c>
      <c r="H448" s="42" t="s">
        <v>680</v>
      </c>
      <c r="I448" s="17" t="str">
        <f t="shared" si="31"/>
        <v>PN-447</v>
      </c>
      <c r="J448" s="18" t="s">
        <v>85</v>
      </c>
      <c r="K448" s="19" t="e">
        <f>IF(J448="","SEM #CH",VLOOKUP(J448,#REF!,2,0))</f>
        <v>#REF!</v>
      </c>
      <c r="L448" s="19" t="e">
        <f>IF(J448="","SEM #CH",VLOOKUP(J448,#REF!,3,0))</f>
        <v>#REF!</v>
      </c>
      <c r="M448" s="19" t="e">
        <f>IF(J448="","SEM #CH",VLOOKUP(J448,#REF!,4,0))</f>
        <v>#REF!</v>
      </c>
      <c r="N448" s="19" t="e">
        <f>IF(J448="","SEM #CH",VLOOKUP(J448,#REF!,5,0))</f>
        <v>#REF!</v>
      </c>
      <c r="O448" s="19" t="e">
        <f>IF(J448="","SEM #CH",VLOOKUP(J448,#REF!,6,0))</f>
        <v>#REF!</v>
      </c>
      <c r="P448" s="19" t="e">
        <f>IF(J448="","SEM #CH",VLOOKUP(J448,#REF!,7,0))</f>
        <v>#REF!</v>
      </c>
      <c r="Q448" s="77" t="str">
        <f>VLOOKUP(J448,'p1'!$B$2:$C$30,2,0)</f>
        <v>NÃO TEM CHAPA</v>
      </c>
      <c r="R448" s="94">
        <v>45915</v>
      </c>
      <c r="S448" s="90" t="s">
        <v>217</v>
      </c>
      <c r="T448" s="90">
        <f t="shared" si="33"/>
        <v>1</v>
      </c>
      <c r="U448" s="94">
        <v>45917</v>
      </c>
      <c r="V448" s="90" t="s">
        <v>86</v>
      </c>
      <c r="W448" s="92">
        <v>2531</v>
      </c>
      <c r="X448" s="93">
        <f t="shared" si="32"/>
        <v>1</v>
      </c>
      <c r="Y448" s="92"/>
      <c r="Z448" s="92"/>
      <c r="AA448" s="13" t="str">
        <f t="shared" si="34"/>
        <v>set/2025</v>
      </c>
    </row>
    <row r="449" spans="1:27" x14ac:dyDescent="0.25">
      <c r="A449" s="89">
        <v>448</v>
      </c>
      <c r="B449" s="68">
        <v>45888</v>
      </c>
      <c r="C449" s="40">
        <v>73</v>
      </c>
      <c r="D449" s="40">
        <f t="shared" si="30"/>
        <v>1</v>
      </c>
      <c r="E449" s="51" t="s">
        <v>132</v>
      </c>
      <c r="F449" s="17" t="s">
        <v>58</v>
      </c>
      <c r="G449" s="17" t="s">
        <v>86</v>
      </c>
      <c r="H449" s="42" t="s">
        <v>681</v>
      </c>
      <c r="I449" s="17" t="str">
        <f t="shared" si="31"/>
        <v>PN-448</v>
      </c>
      <c r="J449" s="18" t="s">
        <v>85</v>
      </c>
      <c r="K449" s="19" t="e">
        <f>IF(J449="","SEM #CH",VLOOKUP(J449,#REF!,2,0))</f>
        <v>#REF!</v>
      </c>
      <c r="L449" s="19" t="e">
        <f>IF(J449="","SEM #CH",VLOOKUP(J449,#REF!,3,0))</f>
        <v>#REF!</v>
      </c>
      <c r="M449" s="19" t="e">
        <f>IF(J449="","SEM #CH",VLOOKUP(J449,#REF!,4,0))</f>
        <v>#REF!</v>
      </c>
      <c r="N449" s="19" t="e">
        <f>IF(J449="","SEM #CH",VLOOKUP(J449,#REF!,5,0))</f>
        <v>#REF!</v>
      </c>
      <c r="O449" s="19" t="e">
        <f>IF(J449="","SEM #CH",VLOOKUP(J449,#REF!,6,0))</f>
        <v>#REF!</v>
      </c>
      <c r="P449" s="19" t="e">
        <f>IF(J449="","SEM #CH",VLOOKUP(J449,#REF!,7,0))</f>
        <v>#REF!</v>
      </c>
      <c r="Q449" s="77" t="str">
        <f>VLOOKUP(J449,'p1'!$B$2:$C$30,2,0)</f>
        <v>NÃO TEM CHAPA</v>
      </c>
      <c r="R449" s="94">
        <v>45899</v>
      </c>
      <c r="S449" s="90" t="s">
        <v>218</v>
      </c>
      <c r="T449" s="90">
        <f t="shared" si="33"/>
        <v>1</v>
      </c>
      <c r="U449" s="94">
        <v>45917</v>
      </c>
      <c r="V449" s="90" t="s">
        <v>86</v>
      </c>
      <c r="W449" s="92">
        <v>2529</v>
      </c>
      <c r="X449" s="93">
        <f t="shared" si="32"/>
        <v>1</v>
      </c>
      <c r="Y449" s="92"/>
      <c r="Z449" s="92"/>
      <c r="AA449" s="13" t="str">
        <f t="shared" si="34"/>
        <v>ago/2025</v>
      </c>
    </row>
    <row r="450" spans="1:27" x14ac:dyDescent="0.25">
      <c r="A450" s="89">
        <v>449</v>
      </c>
      <c r="B450" s="68">
        <v>45888</v>
      </c>
      <c r="C450" s="40">
        <v>73</v>
      </c>
      <c r="D450" s="40">
        <f t="shared" ref="D450:D513" si="35">IF(B450&gt;0,1,"")</f>
        <v>1</v>
      </c>
      <c r="E450" s="51" t="s">
        <v>132</v>
      </c>
      <c r="F450" s="17" t="s">
        <v>58</v>
      </c>
      <c r="G450" s="17" t="s">
        <v>86</v>
      </c>
      <c r="H450" s="42" t="s">
        <v>682</v>
      </c>
      <c r="I450" s="17" t="str">
        <f t="shared" ref="I450:I513" si="36">_xlfn.CONCAT(F450,G450,H450)</f>
        <v>PN-449</v>
      </c>
      <c r="J450" s="18" t="s">
        <v>85</v>
      </c>
      <c r="K450" s="19" t="e">
        <f>IF(J450="","SEM #CH",VLOOKUP(J450,#REF!,2,0))</f>
        <v>#REF!</v>
      </c>
      <c r="L450" s="19" t="e">
        <f>IF(J450="","SEM #CH",VLOOKUP(J450,#REF!,3,0))</f>
        <v>#REF!</v>
      </c>
      <c r="M450" s="19" t="e">
        <f>IF(J450="","SEM #CH",VLOOKUP(J450,#REF!,4,0))</f>
        <v>#REF!</v>
      </c>
      <c r="N450" s="19" t="e">
        <f>IF(J450="","SEM #CH",VLOOKUP(J450,#REF!,5,0))</f>
        <v>#REF!</v>
      </c>
      <c r="O450" s="19" t="e">
        <f>IF(J450="","SEM #CH",VLOOKUP(J450,#REF!,6,0))</f>
        <v>#REF!</v>
      </c>
      <c r="P450" s="19" t="e">
        <f>IF(J450="","SEM #CH",VLOOKUP(J450,#REF!,7,0))</f>
        <v>#REF!</v>
      </c>
      <c r="Q450" s="77" t="str">
        <f>VLOOKUP(J450,'p1'!$B$2:$C$30,2,0)</f>
        <v>NÃO TEM CHAPA</v>
      </c>
      <c r="R450" s="94">
        <v>45899</v>
      </c>
      <c r="S450" s="90" t="s">
        <v>218</v>
      </c>
      <c r="T450" s="90">
        <f t="shared" si="33"/>
        <v>1</v>
      </c>
      <c r="U450" s="94">
        <v>45919</v>
      </c>
      <c r="V450" s="90" t="s">
        <v>86</v>
      </c>
      <c r="W450" s="92">
        <v>2536</v>
      </c>
      <c r="X450" s="93">
        <f t="shared" ref="X450:X513" si="37">IF(U450&gt;0,1,"")</f>
        <v>1</v>
      </c>
      <c r="Y450" s="92"/>
      <c r="Z450" s="92"/>
      <c r="AA450" s="13" t="str">
        <f t="shared" si="34"/>
        <v>ago/2025</v>
      </c>
    </row>
    <row r="451" spans="1:27" x14ac:dyDescent="0.25">
      <c r="A451" s="89">
        <v>450</v>
      </c>
      <c r="B451" s="68">
        <v>45888</v>
      </c>
      <c r="C451" s="40">
        <v>73</v>
      </c>
      <c r="D451" s="40">
        <f t="shared" si="35"/>
        <v>1</v>
      </c>
      <c r="E451" s="51" t="s">
        <v>132</v>
      </c>
      <c r="F451" s="17" t="s">
        <v>58</v>
      </c>
      <c r="G451" s="17" t="s">
        <v>86</v>
      </c>
      <c r="H451" s="42" t="s">
        <v>683</v>
      </c>
      <c r="I451" s="17" t="str">
        <f t="shared" si="36"/>
        <v>PN-450</v>
      </c>
      <c r="J451" s="18" t="s">
        <v>85</v>
      </c>
      <c r="K451" s="19" t="e">
        <f>IF(J451="","SEM #CH",VLOOKUP(J451,#REF!,2,0))</f>
        <v>#REF!</v>
      </c>
      <c r="L451" s="19" t="e">
        <f>IF(J451="","SEM #CH",VLOOKUP(J451,#REF!,3,0))</f>
        <v>#REF!</v>
      </c>
      <c r="M451" s="19" t="e">
        <f>IF(J451="","SEM #CH",VLOOKUP(J451,#REF!,4,0))</f>
        <v>#REF!</v>
      </c>
      <c r="N451" s="19" t="e">
        <f>IF(J451="","SEM #CH",VLOOKUP(J451,#REF!,5,0))</f>
        <v>#REF!</v>
      </c>
      <c r="O451" s="19" t="e">
        <f>IF(J451="","SEM #CH",VLOOKUP(J451,#REF!,6,0))</f>
        <v>#REF!</v>
      </c>
      <c r="P451" s="19" t="e">
        <f>IF(J451="","SEM #CH",VLOOKUP(J451,#REF!,7,0))</f>
        <v>#REF!</v>
      </c>
      <c r="Q451" s="77" t="str">
        <f>VLOOKUP(J451,'p1'!$B$2:$C$30,2,0)</f>
        <v>NÃO TEM CHAPA</v>
      </c>
      <c r="R451" s="94">
        <v>45901</v>
      </c>
      <c r="S451" s="90" t="s">
        <v>218</v>
      </c>
      <c r="T451" s="90">
        <f t="shared" ref="T451:T514" si="38">IF(R451="",0,1)</f>
        <v>1</v>
      </c>
      <c r="U451" s="94">
        <v>45908</v>
      </c>
      <c r="V451" s="90" t="s">
        <v>86</v>
      </c>
      <c r="W451" s="92">
        <v>2509</v>
      </c>
      <c r="X451" s="93">
        <f t="shared" si="37"/>
        <v>1</v>
      </c>
      <c r="Y451" s="92"/>
      <c r="Z451" s="92"/>
      <c r="AA451" s="13" t="str">
        <f t="shared" ref="AA451:AA514" si="39">TEXT(R451,"mmm/aaaa")</f>
        <v>set/2025</v>
      </c>
    </row>
    <row r="452" spans="1:27" x14ac:dyDescent="0.25">
      <c r="A452" s="89">
        <v>451</v>
      </c>
      <c r="B452" s="68">
        <v>45888</v>
      </c>
      <c r="C452" s="40">
        <v>73</v>
      </c>
      <c r="D452" s="40">
        <f t="shared" si="35"/>
        <v>1</v>
      </c>
      <c r="E452" s="51" t="s">
        <v>132</v>
      </c>
      <c r="F452" s="17" t="s">
        <v>58</v>
      </c>
      <c r="G452" s="17" t="s">
        <v>86</v>
      </c>
      <c r="H452" s="42" t="s">
        <v>684</v>
      </c>
      <c r="I452" s="17" t="str">
        <f t="shared" si="36"/>
        <v>PN-451</v>
      </c>
      <c r="J452" s="18" t="s">
        <v>85</v>
      </c>
      <c r="K452" s="19" t="e">
        <f>IF(J452="","SEM #CH",VLOOKUP(J452,#REF!,2,0))</f>
        <v>#REF!</v>
      </c>
      <c r="L452" s="19" t="e">
        <f>IF(J452="","SEM #CH",VLOOKUP(J452,#REF!,3,0))</f>
        <v>#REF!</v>
      </c>
      <c r="M452" s="19" t="e">
        <f>IF(J452="","SEM #CH",VLOOKUP(J452,#REF!,4,0))</f>
        <v>#REF!</v>
      </c>
      <c r="N452" s="19" t="e">
        <f>IF(J452="","SEM #CH",VLOOKUP(J452,#REF!,5,0))</f>
        <v>#REF!</v>
      </c>
      <c r="O452" s="19" t="e">
        <f>IF(J452="","SEM #CH",VLOOKUP(J452,#REF!,6,0))</f>
        <v>#REF!</v>
      </c>
      <c r="P452" s="19" t="e">
        <f>IF(J452="","SEM #CH",VLOOKUP(J452,#REF!,7,0))</f>
        <v>#REF!</v>
      </c>
      <c r="Q452" s="77" t="str">
        <f>VLOOKUP(J452,'p1'!$B$2:$C$30,2,0)</f>
        <v>NÃO TEM CHAPA</v>
      </c>
      <c r="R452" s="94">
        <v>45901</v>
      </c>
      <c r="S452" s="90" t="s">
        <v>218</v>
      </c>
      <c r="T452" s="90">
        <f t="shared" si="38"/>
        <v>1</v>
      </c>
      <c r="U452" s="94">
        <v>45909</v>
      </c>
      <c r="V452" s="90" t="s">
        <v>86</v>
      </c>
      <c r="W452" s="92">
        <v>2512</v>
      </c>
      <c r="X452" s="93">
        <f t="shared" si="37"/>
        <v>1</v>
      </c>
      <c r="Y452" s="92"/>
      <c r="Z452" s="92"/>
      <c r="AA452" s="13" t="str">
        <f t="shared" si="39"/>
        <v>set/2025</v>
      </c>
    </row>
    <row r="453" spans="1:27" x14ac:dyDescent="0.25">
      <c r="A453" s="89">
        <v>452</v>
      </c>
      <c r="B453" s="68">
        <v>45888</v>
      </c>
      <c r="C453" s="40">
        <v>73</v>
      </c>
      <c r="D453" s="40">
        <f t="shared" si="35"/>
        <v>1</v>
      </c>
      <c r="E453" s="51" t="s">
        <v>132</v>
      </c>
      <c r="F453" s="17" t="s">
        <v>58</v>
      </c>
      <c r="G453" s="17" t="s">
        <v>86</v>
      </c>
      <c r="H453" s="42" t="s">
        <v>685</v>
      </c>
      <c r="I453" s="17" t="str">
        <f t="shared" si="36"/>
        <v>PN-452</v>
      </c>
      <c r="J453" s="18" t="s">
        <v>85</v>
      </c>
      <c r="K453" s="19" t="e">
        <f>IF(J453="","SEM #CH",VLOOKUP(J453,#REF!,2,0))</f>
        <v>#REF!</v>
      </c>
      <c r="L453" s="19" t="e">
        <f>IF(J453="","SEM #CH",VLOOKUP(J453,#REF!,3,0))</f>
        <v>#REF!</v>
      </c>
      <c r="M453" s="19" t="e">
        <f>IF(J453="","SEM #CH",VLOOKUP(J453,#REF!,4,0))</f>
        <v>#REF!</v>
      </c>
      <c r="N453" s="19" t="e">
        <f>IF(J453="","SEM #CH",VLOOKUP(J453,#REF!,5,0))</f>
        <v>#REF!</v>
      </c>
      <c r="O453" s="19" t="e">
        <f>IF(J453="","SEM #CH",VLOOKUP(J453,#REF!,6,0))</f>
        <v>#REF!</v>
      </c>
      <c r="P453" s="19" t="e">
        <f>IF(J453="","SEM #CH",VLOOKUP(J453,#REF!,7,0))</f>
        <v>#REF!</v>
      </c>
      <c r="Q453" s="77" t="str">
        <f>VLOOKUP(J453,'p1'!$B$2:$C$30,2,0)</f>
        <v>NÃO TEM CHAPA</v>
      </c>
      <c r="R453" s="94">
        <v>45901</v>
      </c>
      <c r="S453" s="90" t="s">
        <v>218</v>
      </c>
      <c r="T453" s="90">
        <f t="shared" si="38"/>
        <v>1</v>
      </c>
      <c r="U453" s="94">
        <v>45909</v>
      </c>
      <c r="V453" s="90" t="s">
        <v>86</v>
      </c>
      <c r="W453" s="92">
        <v>2512</v>
      </c>
      <c r="X453" s="93">
        <f t="shared" si="37"/>
        <v>1</v>
      </c>
      <c r="Y453" s="92"/>
      <c r="Z453" s="92"/>
      <c r="AA453" s="13" t="str">
        <f t="shared" si="39"/>
        <v>set/2025</v>
      </c>
    </row>
    <row r="454" spans="1:27" x14ac:dyDescent="0.25">
      <c r="A454" s="89">
        <v>453</v>
      </c>
      <c r="B454" s="68">
        <v>45888</v>
      </c>
      <c r="C454" s="40">
        <v>73</v>
      </c>
      <c r="D454" s="40">
        <f t="shared" si="35"/>
        <v>1</v>
      </c>
      <c r="E454" s="51" t="s">
        <v>132</v>
      </c>
      <c r="F454" s="17" t="s">
        <v>58</v>
      </c>
      <c r="G454" s="17" t="s">
        <v>86</v>
      </c>
      <c r="H454" s="42" t="s">
        <v>686</v>
      </c>
      <c r="I454" s="17" t="str">
        <f t="shared" si="36"/>
        <v>PN-453</v>
      </c>
      <c r="J454" s="18" t="s">
        <v>85</v>
      </c>
      <c r="K454" s="19" t="e">
        <f>IF(J454="","SEM #CH",VLOOKUP(J454,#REF!,2,0))</f>
        <v>#REF!</v>
      </c>
      <c r="L454" s="19" t="e">
        <f>IF(J454="","SEM #CH",VLOOKUP(J454,#REF!,3,0))</f>
        <v>#REF!</v>
      </c>
      <c r="M454" s="19" t="e">
        <f>IF(J454="","SEM #CH",VLOOKUP(J454,#REF!,4,0))</f>
        <v>#REF!</v>
      </c>
      <c r="N454" s="19" t="e">
        <f>IF(J454="","SEM #CH",VLOOKUP(J454,#REF!,5,0))</f>
        <v>#REF!</v>
      </c>
      <c r="O454" s="19" t="e">
        <f>IF(J454="","SEM #CH",VLOOKUP(J454,#REF!,6,0))</f>
        <v>#REF!</v>
      </c>
      <c r="P454" s="19" t="e">
        <f>IF(J454="","SEM #CH",VLOOKUP(J454,#REF!,7,0))</f>
        <v>#REF!</v>
      </c>
      <c r="Q454" s="77" t="str">
        <f>VLOOKUP(J454,'p1'!$B$2:$C$30,2,0)</f>
        <v>NÃO TEM CHAPA</v>
      </c>
      <c r="R454" s="94">
        <v>45901</v>
      </c>
      <c r="S454" s="90" t="s">
        <v>218</v>
      </c>
      <c r="T454" s="90">
        <f t="shared" si="38"/>
        <v>1</v>
      </c>
      <c r="U454" s="94">
        <v>45908</v>
      </c>
      <c r="V454" s="90" t="s">
        <v>86</v>
      </c>
      <c r="W454" s="92">
        <v>2509</v>
      </c>
      <c r="X454" s="93">
        <f t="shared" si="37"/>
        <v>1</v>
      </c>
      <c r="Y454" s="92"/>
      <c r="Z454" s="92"/>
      <c r="AA454" s="13" t="str">
        <f t="shared" si="39"/>
        <v>set/2025</v>
      </c>
    </row>
    <row r="455" spans="1:27" x14ac:dyDescent="0.25">
      <c r="A455" s="89">
        <v>454</v>
      </c>
      <c r="B455" s="68">
        <v>45888</v>
      </c>
      <c r="C455" s="40">
        <v>73</v>
      </c>
      <c r="D455" s="40">
        <f t="shared" si="35"/>
        <v>1</v>
      </c>
      <c r="E455" s="51" t="s">
        <v>132</v>
      </c>
      <c r="F455" s="17" t="s">
        <v>58</v>
      </c>
      <c r="G455" s="17" t="s">
        <v>86</v>
      </c>
      <c r="H455" s="42" t="s">
        <v>687</v>
      </c>
      <c r="I455" s="17" t="str">
        <f t="shared" si="36"/>
        <v>PN-454</v>
      </c>
      <c r="J455" s="18" t="s">
        <v>85</v>
      </c>
      <c r="K455" s="19" t="e">
        <f>IF(J455="","SEM #CH",VLOOKUP(J455,#REF!,2,0))</f>
        <v>#REF!</v>
      </c>
      <c r="L455" s="19" t="e">
        <f>IF(J455="","SEM #CH",VLOOKUP(J455,#REF!,3,0))</f>
        <v>#REF!</v>
      </c>
      <c r="M455" s="19" t="e">
        <f>IF(J455="","SEM #CH",VLOOKUP(J455,#REF!,4,0))</f>
        <v>#REF!</v>
      </c>
      <c r="N455" s="19" t="e">
        <f>IF(J455="","SEM #CH",VLOOKUP(J455,#REF!,5,0))</f>
        <v>#REF!</v>
      </c>
      <c r="O455" s="19" t="e">
        <f>IF(J455="","SEM #CH",VLOOKUP(J455,#REF!,6,0))</f>
        <v>#REF!</v>
      </c>
      <c r="P455" s="19" t="e">
        <f>IF(J455="","SEM #CH",VLOOKUP(J455,#REF!,7,0))</f>
        <v>#REF!</v>
      </c>
      <c r="Q455" s="77" t="str">
        <f>VLOOKUP(J455,'p1'!$B$2:$C$30,2,0)</f>
        <v>NÃO TEM CHAPA</v>
      </c>
      <c r="R455" s="94">
        <v>45918</v>
      </c>
      <c r="S455" s="90" t="s">
        <v>218</v>
      </c>
      <c r="T455" s="90">
        <f t="shared" si="38"/>
        <v>1</v>
      </c>
      <c r="U455" s="94">
        <v>45918</v>
      </c>
      <c r="V455" s="90" t="s">
        <v>86</v>
      </c>
      <c r="W455" s="92">
        <v>2533</v>
      </c>
      <c r="X455" s="93">
        <f t="shared" si="37"/>
        <v>1</v>
      </c>
      <c r="Y455" s="92"/>
      <c r="Z455" s="92"/>
      <c r="AA455" s="13" t="str">
        <f t="shared" si="39"/>
        <v>set/2025</v>
      </c>
    </row>
    <row r="456" spans="1:27" x14ac:dyDescent="0.25">
      <c r="A456" s="89">
        <v>455</v>
      </c>
      <c r="B456" s="68">
        <v>45889</v>
      </c>
      <c r="C456" s="40">
        <v>74</v>
      </c>
      <c r="D456" s="40">
        <f t="shared" si="35"/>
        <v>1</v>
      </c>
      <c r="E456" s="51" t="s">
        <v>132</v>
      </c>
      <c r="F456" s="17" t="s">
        <v>58</v>
      </c>
      <c r="G456" s="17" t="s">
        <v>86</v>
      </c>
      <c r="H456" s="42" t="s">
        <v>688</v>
      </c>
      <c r="I456" s="17" t="str">
        <f t="shared" si="36"/>
        <v>PN-455</v>
      </c>
      <c r="J456" s="18" t="s">
        <v>85</v>
      </c>
      <c r="K456" s="19" t="e">
        <f>IF(J456="","SEM #CH",VLOOKUP(J456,#REF!,2,0))</f>
        <v>#REF!</v>
      </c>
      <c r="L456" s="19" t="e">
        <f>IF(J456="","SEM #CH",VLOOKUP(J456,#REF!,3,0))</f>
        <v>#REF!</v>
      </c>
      <c r="M456" s="19" t="e">
        <f>IF(J456="","SEM #CH",VLOOKUP(J456,#REF!,4,0))</f>
        <v>#REF!</v>
      </c>
      <c r="N456" s="19" t="e">
        <f>IF(J456="","SEM #CH",VLOOKUP(J456,#REF!,5,0))</f>
        <v>#REF!</v>
      </c>
      <c r="O456" s="19" t="e">
        <f>IF(J456="","SEM #CH",VLOOKUP(J456,#REF!,6,0))</f>
        <v>#REF!</v>
      </c>
      <c r="P456" s="19" t="e">
        <f>IF(J456="","SEM #CH",VLOOKUP(J456,#REF!,7,0))</f>
        <v>#REF!</v>
      </c>
      <c r="Q456" s="77" t="str">
        <f>VLOOKUP(J456,'p1'!$B$2:$C$30,2,0)</f>
        <v>NÃO TEM CHAPA</v>
      </c>
      <c r="R456" s="94">
        <v>45932</v>
      </c>
      <c r="S456" s="90" t="s">
        <v>217</v>
      </c>
      <c r="T456" s="90">
        <f t="shared" si="38"/>
        <v>1</v>
      </c>
      <c r="U456" s="94">
        <v>45933</v>
      </c>
      <c r="V456" s="90" t="s">
        <v>86</v>
      </c>
      <c r="W456" s="92">
        <v>2559</v>
      </c>
      <c r="X456" s="93">
        <f t="shared" si="37"/>
        <v>1</v>
      </c>
      <c r="Y456" s="92"/>
      <c r="Z456" s="92"/>
      <c r="AA456" s="13" t="str">
        <f t="shared" si="39"/>
        <v>out/2025</v>
      </c>
    </row>
    <row r="457" spans="1:27" x14ac:dyDescent="0.25">
      <c r="A457" s="89">
        <v>456</v>
      </c>
      <c r="B457" s="68">
        <v>45889</v>
      </c>
      <c r="C457" s="40">
        <v>74</v>
      </c>
      <c r="D457" s="40">
        <f t="shared" si="35"/>
        <v>1</v>
      </c>
      <c r="E457" s="51" t="s">
        <v>132</v>
      </c>
      <c r="F457" s="17" t="s">
        <v>58</v>
      </c>
      <c r="G457" s="17" t="s">
        <v>86</v>
      </c>
      <c r="H457" s="42" t="s">
        <v>689</v>
      </c>
      <c r="I457" s="17" t="str">
        <f t="shared" si="36"/>
        <v>PN-456</v>
      </c>
      <c r="J457" s="18" t="s">
        <v>85</v>
      </c>
      <c r="K457" s="19" t="e">
        <f>IF(J457="","SEM #CH",VLOOKUP(J457,#REF!,2,0))</f>
        <v>#REF!</v>
      </c>
      <c r="L457" s="19" t="e">
        <f>IF(J457="","SEM #CH",VLOOKUP(J457,#REF!,3,0))</f>
        <v>#REF!</v>
      </c>
      <c r="M457" s="19" t="e">
        <f>IF(J457="","SEM #CH",VLOOKUP(J457,#REF!,4,0))</f>
        <v>#REF!</v>
      </c>
      <c r="N457" s="19" t="e">
        <f>IF(J457="","SEM #CH",VLOOKUP(J457,#REF!,5,0))</f>
        <v>#REF!</v>
      </c>
      <c r="O457" s="19" t="e">
        <f>IF(J457="","SEM #CH",VLOOKUP(J457,#REF!,6,0))</f>
        <v>#REF!</v>
      </c>
      <c r="P457" s="19" t="e">
        <f>IF(J457="","SEM #CH",VLOOKUP(J457,#REF!,7,0))</f>
        <v>#REF!</v>
      </c>
      <c r="Q457" s="77" t="str">
        <f>VLOOKUP(J457,'p1'!$B$2:$C$30,2,0)</f>
        <v>NÃO TEM CHAPA</v>
      </c>
      <c r="R457" s="94">
        <v>45933</v>
      </c>
      <c r="S457" s="90" t="s">
        <v>217</v>
      </c>
      <c r="T457" s="90">
        <f t="shared" si="38"/>
        <v>1</v>
      </c>
      <c r="U457" s="94">
        <v>45933</v>
      </c>
      <c r="V457" s="90" t="s">
        <v>86</v>
      </c>
      <c r="W457" s="92">
        <v>2559</v>
      </c>
      <c r="X457" s="93">
        <f t="shared" si="37"/>
        <v>1</v>
      </c>
      <c r="Y457" s="92" t="s">
        <v>1175</v>
      </c>
      <c r="Z457" s="92"/>
      <c r="AA457" s="13" t="str">
        <f t="shared" si="39"/>
        <v>out/2025</v>
      </c>
    </row>
    <row r="458" spans="1:27" x14ac:dyDescent="0.25">
      <c r="A458" s="89">
        <v>457</v>
      </c>
      <c r="B458" s="68">
        <v>45917</v>
      </c>
      <c r="C458" s="40">
        <v>94</v>
      </c>
      <c r="D458" s="40">
        <f t="shared" si="35"/>
        <v>1</v>
      </c>
      <c r="E458" s="51" t="s">
        <v>132</v>
      </c>
      <c r="F458" s="17" t="s">
        <v>60</v>
      </c>
      <c r="G458" s="17" t="s">
        <v>86</v>
      </c>
      <c r="H458" s="42" t="s">
        <v>690</v>
      </c>
      <c r="I458" s="17" t="str">
        <f t="shared" si="36"/>
        <v>PE-457</v>
      </c>
      <c r="J458" s="18" t="s">
        <v>90</v>
      </c>
      <c r="K458" s="19" t="e">
        <f>IF(J458="","SEM #CH",VLOOKUP(J458,#REF!,2,0))</f>
        <v>#REF!</v>
      </c>
      <c r="L458" s="19" t="e">
        <f>IF(J458="","SEM #CH",VLOOKUP(J458,#REF!,3,0))</f>
        <v>#REF!</v>
      </c>
      <c r="M458" s="19" t="e">
        <f>IF(J458="","SEM #CH",VLOOKUP(J458,#REF!,4,0))</f>
        <v>#REF!</v>
      </c>
      <c r="N458" s="19" t="e">
        <f>IF(J458="","SEM #CH",VLOOKUP(J458,#REF!,5,0))</f>
        <v>#REF!</v>
      </c>
      <c r="O458" s="19" t="e">
        <f>IF(J458="","SEM #CH",VLOOKUP(J458,#REF!,6,0))</f>
        <v>#REF!</v>
      </c>
      <c r="P458" s="19" t="e">
        <f>IF(J458="","SEM #CH",VLOOKUP(J458,#REF!,7,0))</f>
        <v>#REF!</v>
      </c>
      <c r="Q458" s="77" t="str">
        <f>VLOOKUP(J458,'p1'!$B$2:$C$30,2,0)</f>
        <v>#3/8-530X530</v>
      </c>
      <c r="R458" s="94">
        <v>45920</v>
      </c>
      <c r="S458" s="90" t="s">
        <v>218</v>
      </c>
      <c r="T458" s="90">
        <f t="shared" si="38"/>
        <v>1</v>
      </c>
      <c r="U458" s="94">
        <v>45929</v>
      </c>
      <c r="V458" s="90" t="s">
        <v>86</v>
      </c>
      <c r="W458" s="92">
        <v>2551</v>
      </c>
      <c r="X458" s="93">
        <f t="shared" si="37"/>
        <v>1</v>
      </c>
      <c r="Y458" s="92"/>
      <c r="Z458" s="92"/>
      <c r="AA458" s="13" t="str">
        <f t="shared" si="39"/>
        <v>set/2025</v>
      </c>
    </row>
    <row r="459" spans="1:27" x14ac:dyDescent="0.25">
      <c r="A459" s="89">
        <v>458</v>
      </c>
      <c r="B459" s="68">
        <v>45925</v>
      </c>
      <c r="C459" s="40">
        <v>102</v>
      </c>
      <c r="D459" s="40">
        <f t="shared" si="35"/>
        <v>1</v>
      </c>
      <c r="E459" s="51" t="s">
        <v>132</v>
      </c>
      <c r="F459" s="17" t="s">
        <v>60</v>
      </c>
      <c r="G459" s="17" t="s">
        <v>86</v>
      </c>
      <c r="H459" s="42" t="s">
        <v>691</v>
      </c>
      <c r="I459" s="17" t="str">
        <f t="shared" si="36"/>
        <v>PE-458</v>
      </c>
      <c r="J459" s="18" t="s">
        <v>89</v>
      </c>
      <c r="K459" s="19" t="e">
        <f>IF(J459="","SEM #CH",VLOOKUP(J459,#REF!,2,0))</f>
        <v>#REF!</v>
      </c>
      <c r="L459" s="19" t="e">
        <f>IF(J459="","SEM #CH",VLOOKUP(J459,#REF!,3,0))</f>
        <v>#REF!</v>
      </c>
      <c r="M459" s="19" t="e">
        <f>IF(J459="","SEM #CH",VLOOKUP(J459,#REF!,4,0))</f>
        <v>#REF!</v>
      </c>
      <c r="N459" s="19" t="e">
        <f>IF(J459="","SEM #CH",VLOOKUP(J459,#REF!,5,0))</f>
        <v>#REF!</v>
      </c>
      <c r="O459" s="19" t="e">
        <f>IF(J459="","SEM #CH",VLOOKUP(J459,#REF!,6,0))</f>
        <v>#REF!</v>
      </c>
      <c r="P459" s="19" t="e">
        <f>IF(J459="","SEM #CH",VLOOKUP(J459,#REF!,7,0))</f>
        <v>#REF!</v>
      </c>
      <c r="Q459" s="77" t="str">
        <f>VLOOKUP(J459,'p1'!$B$2:$C$30,2,0)</f>
        <v>#3/8-1200X1200</v>
      </c>
      <c r="R459" s="94">
        <v>45930</v>
      </c>
      <c r="S459" s="90" t="s">
        <v>218</v>
      </c>
      <c r="T459" s="90">
        <f t="shared" si="38"/>
        <v>1</v>
      </c>
      <c r="U459" s="94">
        <v>45954</v>
      </c>
      <c r="V459" s="90" t="s">
        <v>86</v>
      </c>
      <c r="W459" s="92">
        <v>2600</v>
      </c>
      <c r="X459" s="93">
        <f t="shared" si="37"/>
        <v>1</v>
      </c>
      <c r="Y459" s="92"/>
      <c r="Z459" s="92"/>
      <c r="AA459" s="13" t="str">
        <f t="shared" si="39"/>
        <v>set/2025</v>
      </c>
    </row>
    <row r="460" spans="1:27" x14ac:dyDescent="0.25">
      <c r="A460" s="89">
        <v>459</v>
      </c>
      <c r="B460" s="68">
        <v>45925</v>
      </c>
      <c r="C460" s="40">
        <v>102</v>
      </c>
      <c r="D460" s="40">
        <f t="shared" si="35"/>
        <v>1</v>
      </c>
      <c r="E460" s="51" t="s">
        <v>132</v>
      </c>
      <c r="F460" s="17" t="s">
        <v>60</v>
      </c>
      <c r="G460" s="17" t="s">
        <v>86</v>
      </c>
      <c r="H460" s="42" t="s">
        <v>692</v>
      </c>
      <c r="I460" s="17" t="str">
        <f t="shared" si="36"/>
        <v>PE-459</v>
      </c>
      <c r="J460" s="18" t="s">
        <v>87</v>
      </c>
      <c r="K460" s="19" t="e">
        <f>IF(J460="","SEM #CH",VLOOKUP(J460,#REF!,2,0))</f>
        <v>#REF!</v>
      </c>
      <c r="L460" s="19" t="e">
        <f>IF(J460="","SEM #CH",VLOOKUP(J460,#REF!,3,0))</f>
        <v>#REF!</v>
      </c>
      <c r="M460" s="19" t="e">
        <f>IF(J460="","SEM #CH",VLOOKUP(J460,#REF!,4,0))</f>
        <v>#REF!</v>
      </c>
      <c r="N460" s="19" t="e">
        <f>IF(J460="","SEM #CH",VLOOKUP(J460,#REF!,5,0))</f>
        <v>#REF!</v>
      </c>
      <c r="O460" s="19" t="e">
        <f>IF(J460="","SEM #CH",VLOOKUP(J460,#REF!,6,0))</f>
        <v>#REF!</v>
      </c>
      <c r="P460" s="19" t="e">
        <f>IF(J460="","SEM #CH",VLOOKUP(J460,#REF!,7,0))</f>
        <v>#REF!</v>
      </c>
      <c r="Q460" s="77" t="str">
        <f>VLOOKUP(J460,'p1'!$B$2:$C$30,2,0)</f>
        <v>#3/8-1620X1620</v>
      </c>
      <c r="R460" s="94">
        <v>45930</v>
      </c>
      <c r="S460" s="90" t="s">
        <v>218</v>
      </c>
      <c r="T460" s="90">
        <f t="shared" si="38"/>
        <v>1</v>
      </c>
      <c r="U460" s="94">
        <v>45931</v>
      </c>
      <c r="V460" s="90"/>
      <c r="W460" s="92">
        <v>2558</v>
      </c>
      <c r="X460" s="93">
        <f t="shared" si="37"/>
        <v>1</v>
      </c>
      <c r="Y460" s="92"/>
      <c r="Z460" s="92"/>
      <c r="AA460" s="13" t="str">
        <f t="shared" si="39"/>
        <v>set/2025</v>
      </c>
    </row>
    <row r="461" spans="1:27" x14ac:dyDescent="0.25">
      <c r="A461" s="89">
        <v>460</v>
      </c>
      <c r="B461" s="68">
        <v>45920</v>
      </c>
      <c r="C461" s="40">
        <v>97</v>
      </c>
      <c r="D461" s="40">
        <f t="shared" si="35"/>
        <v>1</v>
      </c>
      <c r="E461" s="51" t="s">
        <v>132</v>
      </c>
      <c r="F461" s="17" t="s">
        <v>60</v>
      </c>
      <c r="G461" s="17" t="s">
        <v>86</v>
      </c>
      <c r="H461" s="42" t="s">
        <v>693</v>
      </c>
      <c r="I461" s="17" t="str">
        <f t="shared" si="36"/>
        <v>PE-460</v>
      </c>
      <c r="J461" s="18" t="s">
        <v>88</v>
      </c>
      <c r="K461" s="19" t="e">
        <f>IF(J461="","SEM #CH",VLOOKUP(J461,#REF!,2,0))</f>
        <v>#REF!</v>
      </c>
      <c r="L461" s="19" t="e">
        <f>IF(J461="","SEM #CH",VLOOKUP(J461,#REF!,3,0))</f>
        <v>#REF!</v>
      </c>
      <c r="M461" s="19" t="e">
        <f>IF(J461="","SEM #CH",VLOOKUP(J461,#REF!,4,0))</f>
        <v>#REF!</v>
      </c>
      <c r="N461" s="19" t="e">
        <f>IF(J461="","SEM #CH",VLOOKUP(J461,#REF!,5,0))</f>
        <v>#REF!</v>
      </c>
      <c r="O461" s="19" t="e">
        <f>IF(J461="","SEM #CH",VLOOKUP(J461,#REF!,6,0))</f>
        <v>#REF!</v>
      </c>
      <c r="P461" s="19" t="e">
        <f>IF(J461="","SEM #CH",VLOOKUP(J461,#REF!,7,0))</f>
        <v>#REF!</v>
      </c>
      <c r="Q461" s="77" t="str">
        <f>VLOOKUP(J461,'p1'!$B$2:$C$30,2,0)</f>
        <v>#3/8-1315X1315</v>
      </c>
      <c r="R461" s="94">
        <v>45923</v>
      </c>
      <c r="S461" s="90" t="s">
        <v>218</v>
      </c>
      <c r="T461" s="90">
        <f t="shared" si="38"/>
        <v>1</v>
      </c>
      <c r="U461" s="94">
        <v>45931</v>
      </c>
      <c r="V461" s="90" t="s">
        <v>86</v>
      </c>
      <c r="W461" s="92">
        <v>2557</v>
      </c>
      <c r="X461" s="93">
        <f t="shared" si="37"/>
        <v>1</v>
      </c>
      <c r="Y461" s="92"/>
      <c r="Z461" s="92"/>
      <c r="AA461" s="13" t="str">
        <f t="shared" si="39"/>
        <v>set/2025</v>
      </c>
    </row>
    <row r="462" spans="1:27" x14ac:dyDescent="0.25">
      <c r="A462" s="89">
        <v>461</v>
      </c>
      <c r="B462" s="68">
        <v>45889</v>
      </c>
      <c r="C462" s="40">
        <v>74</v>
      </c>
      <c r="D462" s="40">
        <f t="shared" si="35"/>
        <v>1</v>
      </c>
      <c r="E462" s="51" t="s">
        <v>132</v>
      </c>
      <c r="F462" s="17" t="s">
        <v>58</v>
      </c>
      <c r="G462" s="17" t="s">
        <v>86</v>
      </c>
      <c r="H462" s="42" t="s">
        <v>694</v>
      </c>
      <c r="I462" s="17" t="str">
        <f t="shared" si="36"/>
        <v>PN-461</v>
      </c>
      <c r="J462" s="18" t="s">
        <v>85</v>
      </c>
      <c r="K462" s="19" t="e">
        <f>IF(J462="","SEM #CH",VLOOKUP(J462,#REF!,2,0))</f>
        <v>#REF!</v>
      </c>
      <c r="L462" s="19" t="e">
        <f>IF(J462="","SEM #CH",VLOOKUP(J462,#REF!,3,0))</f>
        <v>#REF!</v>
      </c>
      <c r="M462" s="19" t="e">
        <f>IF(J462="","SEM #CH",VLOOKUP(J462,#REF!,4,0))</f>
        <v>#REF!</v>
      </c>
      <c r="N462" s="19" t="e">
        <f>IF(J462="","SEM #CH",VLOOKUP(J462,#REF!,5,0))</f>
        <v>#REF!</v>
      </c>
      <c r="O462" s="19" t="e">
        <f>IF(J462="","SEM #CH",VLOOKUP(J462,#REF!,6,0))</f>
        <v>#REF!</v>
      </c>
      <c r="P462" s="19" t="e">
        <f>IF(J462="","SEM #CH",VLOOKUP(J462,#REF!,7,0))</f>
        <v>#REF!</v>
      </c>
      <c r="Q462" s="77" t="str">
        <f>VLOOKUP(J462,'p1'!$B$2:$C$30,2,0)</f>
        <v>NÃO TEM CHAPA</v>
      </c>
      <c r="R462" s="94">
        <v>45933</v>
      </c>
      <c r="S462" s="90" t="s">
        <v>217</v>
      </c>
      <c r="T462" s="90">
        <f t="shared" si="38"/>
        <v>1</v>
      </c>
      <c r="U462" s="94">
        <v>45936</v>
      </c>
      <c r="V462" s="90" t="s">
        <v>86</v>
      </c>
      <c r="W462" s="92">
        <v>2564</v>
      </c>
      <c r="X462" s="93">
        <f t="shared" si="37"/>
        <v>1</v>
      </c>
      <c r="Y462" s="92"/>
      <c r="Z462" s="92"/>
      <c r="AA462" s="13" t="str">
        <f t="shared" si="39"/>
        <v>out/2025</v>
      </c>
    </row>
    <row r="463" spans="1:27" x14ac:dyDescent="0.25">
      <c r="A463" s="89">
        <v>462</v>
      </c>
      <c r="B463" s="68">
        <v>45889</v>
      </c>
      <c r="C463" s="40">
        <v>74</v>
      </c>
      <c r="D463" s="40">
        <f t="shared" si="35"/>
        <v>1</v>
      </c>
      <c r="E463" s="51" t="s">
        <v>132</v>
      </c>
      <c r="F463" s="17" t="s">
        <v>58</v>
      </c>
      <c r="G463" s="17" t="s">
        <v>86</v>
      </c>
      <c r="H463" s="42" t="s">
        <v>695</v>
      </c>
      <c r="I463" s="17" t="str">
        <f t="shared" si="36"/>
        <v>PN-462</v>
      </c>
      <c r="J463" s="18" t="s">
        <v>85</v>
      </c>
      <c r="K463" s="19" t="e">
        <f>IF(J463="","SEM #CH",VLOOKUP(J463,#REF!,2,0))</f>
        <v>#REF!</v>
      </c>
      <c r="L463" s="19" t="e">
        <f>IF(J463="","SEM #CH",VLOOKUP(J463,#REF!,3,0))</f>
        <v>#REF!</v>
      </c>
      <c r="M463" s="19" t="e">
        <f>IF(J463="","SEM #CH",VLOOKUP(J463,#REF!,4,0))</f>
        <v>#REF!</v>
      </c>
      <c r="N463" s="19" t="e">
        <f>IF(J463="","SEM #CH",VLOOKUP(J463,#REF!,5,0))</f>
        <v>#REF!</v>
      </c>
      <c r="O463" s="19" t="e">
        <f>IF(J463="","SEM #CH",VLOOKUP(J463,#REF!,6,0))</f>
        <v>#REF!</v>
      </c>
      <c r="P463" s="19" t="e">
        <f>IF(J463="","SEM #CH",VLOOKUP(J463,#REF!,7,0))</f>
        <v>#REF!</v>
      </c>
      <c r="Q463" s="77" t="str">
        <f>VLOOKUP(J463,'p1'!$B$2:$C$30,2,0)</f>
        <v>NÃO TEM CHAPA</v>
      </c>
      <c r="R463" s="94">
        <v>45933</v>
      </c>
      <c r="S463" s="90" t="s">
        <v>217</v>
      </c>
      <c r="T463" s="90">
        <f t="shared" si="38"/>
        <v>1</v>
      </c>
      <c r="U463" s="94">
        <v>45936</v>
      </c>
      <c r="V463" s="90" t="s">
        <v>86</v>
      </c>
      <c r="W463" s="92">
        <v>2564</v>
      </c>
      <c r="X463" s="93">
        <f t="shared" si="37"/>
        <v>1</v>
      </c>
      <c r="Y463" s="92"/>
      <c r="Z463" s="92"/>
      <c r="AA463" s="13" t="str">
        <f t="shared" si="39"/>
        <v>out/2025</v>
      </c>
    </row>
    <row r="464" spans="1:27" x14ac:dyDescent="0.25">
      <c r="A464" s="89">
        <v>463</v>
      </c>
      <c r="B464" s="68">
        <v>45889</v>
      </c>
      <c r="C464" s="40">
        <v>74</v>
      </c>
      <c r="D464" s="40">
        <f t="shared" si="35"/>
        <v>1</v>
      </c>
      <c r="E464" s="51" t="s">
        <v>132</v>
      </c>
      <c r="F464" s="17" t="s">
        <v>58</v>
      </c>
      <c r="G464" s="17" t="s">
        <v>86</v>
      </c>
      <c r="H464" s="42" t="s">
        <v>696</v>
      </c>
      <c r="I464" s="17" t="str">
        <f t="shared" si="36"/>
        <v>PN-463</v>
      </c>
      <c r="J464" s="18" t="s">
        <v>85</v>
      </c>
      <c r="K464" s="19" t="e">
        <f>IF(J464="","SEM #CH",VLOOKUP(J464,#REF!,2,0))</f>
        <v>#REF!</v>
      </c>
      <c r="L464" s="19" t="e">
        <f>IF(J464="","SEM #CH",VLOOKUP(J464,#REF!,3,0))</f>
        <v>#REF!</v>
      </c>
      <c r="M464" s="19" t="e">
        <f>IF(J464="","SEM #CH",VLOOKUP(J464,#REF!,4,0))</f>
        <v>#REF!</v>
      </c>
      <c r="N464" s="19" t="e">
        <f>IF(J464="","SEM #CH",VLOOKUP(J464,#REF!,5,0))</f>
        <v>#REF!</v>
      </c>
      <c r="O464" s="19" t="e">
        <f>IF(J464="","SEM #CH",VLOOKUP(J464,#REF!,6,0))</f>
        <v>#REF!</v>
      </c>
      <c r="P464" s="19" t="e">
        <f>IF(J464="","SEM #CH",VLOOKUP(J464,#REF!,7,0))</f>
        <v>#REF!</v>
      </c>
      <c r="Q464" s="77" t="str">
        <f>VLOOKUP(J464,'p1'!$B$2:$C$30,2,0)</f>
        <v>NÃO TEM CHAPA</v>
      </c>
      <c r="R464" s="94">
        <v>45934</v>
      </c>
      <c r="S464" s="90" t="s">
        <v>217</v>
      </c>
      <c r="T464" s="90">
        <f t="shared" si="38"/>
        <v>1</v>
      </c>
      <c r="U464" s="94">
        <v>45936</v>
      </c>
      <c r="V464" s="90" t="s">
        <v>86</v>
      </c>
      <c r="W464" s="92">
        <v>2566</v>
      </c>
      <c r="X464" s="93">
        <f t="shared" si="37"/>
        <v>1</v>
      </c>
      <c r="Y464" s="92"/>
      <c r="Z464" s="92"/>
      <c r="AA464" s="13" t="str">
        <f t="shared" si="39"/>
        <v>out/2025</v>
      </c>
    </row>
    <row r="465" spans="1:27" x14ac:dyDescent="0.25">
      <c r="A465" s="89">
        <v>464</v>
      </c>
      <c r="B465" s="68">
        <v>45889</v>
      </c>
      <c r="C465" s="40">
        <v>74</v>
      </c>
      <c r="D465" s="40">
        <f t="shared" si="35"/>
        <v>1</v>
      </c>
      <c r="E465" s="51" t="s">
        <v>132</v>
      </c>
      <c r="F465" s="17" t="s">
        <v>58</v>
      </c>
      <c r="G465" s="17" t="s">
        <v>86</v>
      </c>
      <c r="H465" s="42" t="s">
        <v>697</v>
      </c>
      <c r="I465" s="17" t="str">
        <f t="shared" si="36"/>
        <v>PN-464</v>
      </c>
      <c r="J465" s="18" t="s">
        <v>85</v>
      </c>
      <c r="K465" s="19" t="e">
        <f>IF(J465="","SEM #CH",VLOOKUP(J465,#REF!,2,0))</f>
        <v>#REF!</v>
      </c>
      <c r="L465" s="19" t="e">
        <f>IF(J465="","SEM #CH",VLOOKUP(J465,#REF!,3,0))</f>
        <v>#REF!</v>
      </c>
      <c r="M465" s="19" t="e">
        <f>IF(J465="","SEM #CH",VLOOKUP(J465,#REF!,4,0))</f>
        <v>#REF!</v>
      </c>
      <c r="N465" s="19" t="e">
        <f>IF(J465="","SEM #CH",VLOOKUP(J465,#REF!,5,0))</f>
        <v>#REF!</v>
      </c>
      <c r="O465" s="19" t="e">
        <f>IF(J465="","SEM #CH",VLOOKUP(J465,#REF!,6,0))</f>
        <v>#REF!</v>
      </c>
      <c r="P465" s="19" t="e">
        <f>IF(J465="","SEM #CH",VLOOKUP(J465,#REF!,7,0))</f>
        <v>#REF!</v>
      </c>
      <c r="Q465" s="77" t="str">
        <f>VLOOKUP(J465,'p1'!$B$2:$C$30,2,0)</f>
        <v>NÃO TEM CHAPA</v>
      </c>
      <c r="R465" s="94">
        <v>45923</v>
      </c>
      <c r="S465" s="90" t="s">
        <v>217</v>
      </c>
      <c r="T465" s="90">
        <f t="shared" si="38"/>
        <v>1</v>
      </c>
      <c r="U465" s="94">
        <v>45924</v>
      </c>
      <c r="V465" s="90" t="s">
        <v>86</v>
      </c>
      <c r="W465" s="90">
        <v>2540</v>
      </c>
      <c r="X465" s="93">
        <f t="shared" si="37"/>
        <v>1</v>
      </c>
      <c r="Y465" s="92"/>
      <c r="Z465" s="92"/>
      <c r="AA465" s="13" t="str">
        <f t="shared" si="39"/>
        <v>set/2025</v>
      </c>
    </row>
    <row r="466" spans="1:27" x14ac:dyDescent="0.25">
      <c r="A466" s="89">
        <v>465</v>
      </c>
      <c r="B466" s="68">
        <v>45891</v>
      </c>
      <c r="C466" s="40">
        <v>75</v>
      </c>
      <c r="D466" s="40">
        <f t="shared" si="35"/>
        <v>1</v>
      </c>
      <c r="E466" s="51" t="s">
        <v>132</v>
      </c>
      <c r="F466" s="17" t="s">
        <v>58</v>
      </c>
      <c r="G466" s="17" t="s">
        <v>86</v>
      </c>
      <c r="H466" s="42" t="s">
        <v>698</v>
      </c>
      <c r="I466" s="17" t="str">
        <f t="shared" si="36"/>
        <v>PN-465</v>
      </c>
      <c r="J466" s="18" t="s">
        <v>85</v>
      </c>
      <c r="K466" s="19" t="e">
        <f>IF(J466="","SEM #CH",VLOOKUP(J466,#REF!,2,0))</f>
        <v>#REF!</v>
      </c>
      <c r="L466" s="19" t="e">
        <f>IF(J466="","SEM #CH",VLOOKUP(J466,#REF!,3,0))</f>
        <v>#REF!</v>
      </c>
      <c r="M466" s="19" t="e">
        <f>IF(J466="","SEM #CH",VLOOKUP(J466,#REF!,4,0))</f>
        <v>#REF!</v>
      </c>
      <c r="N466" s="19" t="e">
        <f>IF(J466="","SEM #CH",VLOOKUP(J466,#REF!,5,0))</f>
        <v>#REF!</v>
      </c>
      <c r="O466" s="19" t="e">
        <f>IF(J466="","SEM #CH",VLOOKUP(J466,#REF!,6,0))</f>
        <v>#REF!</v>
      </c>
      <c r="P466" s="19" t="e">
        <f>IF(J466="","SEM #CH",VLOOKUP(J466,#REF!,7,0))</f>
        <v>#REF!</v>
      </c>
      <c r="Q466" s="77" t="str">
        <f>VLOOKUP(J466,'p1'!$B$2:$C$30,2,0)</f>
        <v>NÃO TEM CHAPA</v>
      </c>
      <c r="R466" s="94">
        <v>45905</v>
      </c>
      <c r="S466" s="90" t="s">
        <v>218</v>
      </c>
      <c r="T466" s="90">
        <f t="shared" si="38"/>
        <v>1</v>
      </c>
      <c r="U466" s="94">
        <v>45908</v>
      </c>
      <c r="V466" s="90" t="s">
        <v>86</v>
      </c>
      <c r="W466" s="92">
        <v>2508</v>
      </c>
      <c r="X466" s="93">
        <f t="shared" si="37"/>
        <v>1</v>
      </c>
      <c r="Y466" s="92"/>
      <c r="Z466" s="92"/>
      <c r="AA466" s="13" t="str">
        <f t="shared" si="39"/>
        <v>set/2025</v>
      </c>
    </row>
    <row r="467" spans="1:27" x14ac:dyDescent="0.25">
      <c r="A467" s="89">
        <v>466</v>
      </c>
      <c r="B467" s="68">
        <v>45923</v>
      </c>
      <c r="C467" s="40">
        <v>100</v>
      </c>
      <c r="D467" s="40">
        <f t="shared" si="35"/>
        <v>1</v>
      </c>
      <c r="E467" s="51" t="s">
        <v>132</v>
      </c>
      <c r="F467" s="17" t="s">
        <v>61</v>
      </c>
      <c r="G467" s="17" t="s">
        <v>86</v>
      </c>
      <c r="H467" s="42" t="s">
        <v>699</v>
      </c>
      <c r="I467" s="17" t="str">
        <f t="shared" si="36"/>
        <v>PF-466</v>
      </c>
      <c r="J467" s="18" t="s">
        <v>61</v>
      </c>
      <c r="K467" s="19" t="e">
        <f>IF(J467="","SEM #CH",VLOOKUP(J467,#REF!,2,0))</f>
        <v>#REF!</v>
      </c>
      <c r="L467" s="19" t="e">
        <f>IF(J467="","SEM #CH",VLOOKUP(J467,#REF!,3,0))</f>
        <v>#REF!</v>
      </c>
      <c r="M467" s="19" t="e">
        <f>IF(J467="","SEM #CH",VLOOKUP(J467,#REF!,4,0))</f>
        <v>#REF!</v>
      </c>
      <c r="N467" s="19" t="e">
        <f>IF(J467="","SEM #CH",VLOOKUP(J467,#REF!,5,0))</f>
        <v>#REF!</v>
      </c>
      <c r="O467" s="19" t="e">
        <f>IF(J467="","SEM #CH",VLOOKUP(J467,#REF!,6,0))</f>
        <v>#REF!</v>
      </c>
      <c r="P467" s="19" t="e">
        <f>IF(J467="","SEM #CH",VLOOKUP(J467,#REF!,7,0))</f>
        <v>#REF!</v>
      </c>
      <c r="Q467" s="77" t="str">
        <f>VLOOKUP(J467,'p1'!$B$2:$C$30,2,0)</f>
        <v>SEM CHAPA</v>
      </c>
      <c r="R467" s="94">
        <v>45925</v>
      </c>
      <c r="S467" s="90" t="s">
        <v>217</v>
      </c>
      <c r="T467" s="90">
        <f t="shared" si="38"/>
        <v>1</v>
      </c>
      <c r="U467" s="94">
        <v>45926</v>
      </c>
      <c r="V467" s="90" t="s">
        <v>86</v>
      </c>
      <c r="W467" s="92">
        <v>2547</v>
      </c>
      <c r="X467" s="93">
        <f t="shared" si="37"/>
        <v>1</v>
      </c>
      <c r="Y467" s="92"/>
      <c r="Z467" s="92"/>
      <c r="AA467" s="13" t="str">
        <f t="shared" si="39"/>
        <v>set/2025</v>
      </c>
    </row>
    <row r="468" spans="1:27" x14ac:dyDescent="0.25">
      <c r="A468" s="89">
        <v>467</v>
      </c>
      <c r="B468" s="68">
        <v>45891</v>
      </c>
      <c r="C468" s="40">
        <v>75</v>
      </c>
      <c r="D468" s="40">
        <f t="shared" si="35"/>
        <v>1</v>
      </c>
      <c r="E468" s="51" t="s">
        <v>132</v>
      </c>
      <c r="F468" s="17" t="s">
        <v>58</v>
      </c>
      <c r="G468" s="17" t="s">
        <v>86</v>
      </c>
      <c r="H468" s="42" t="s">
        <v>700</v>
      </c>
      <c r="I468" s="17" t="str">
        <f t="shared" si="36"/>
        <v>PN-467</v>
      </c>
      <c r="J468" s="18" t="s">
        <v>85</v>
      </c>
      <c r="K468" s="19" t="e">
        <f>IF(J468="","SEM #CH",VLOOKUP(J468,#REF!,2,0))</f>
        <v>#REF!</v>
      </c>
      <c r="L468" s="19" t="e">
        <f>IF(J468="","SEM #CH",VLOOKUP(J468,#REF!,3,0))</f>
        <v>#REF!</v>
      </c>
      <c r="M468" s="19" t="e">
        <f>IF(J468="","SEM #CH",VLOOKUP(J468,#REF!,4,0))</f>
        <v>#REF!</v>
      </c>
      <c r="N468" s="19" t="e">
        <f>IF(J468="","SEM #CH",VLOOKUP(J468,#REF!,5,0))</f>
        <v>#REF!</v>
      </c>
      <c r="O468" s="19" t="e">
        <f>IF(J468="","SEM #CH",VLOOKUP(J468,#REF!,6,0))</f>
        <v>#REF!</v>
      </c>
      <c r="P468" s="19" t="e">
        <f>IF(J468="","SEM #CH",VLOOKUP(J468,#REF!,7,0))</f>
        <v>#REF!</v>
      </c>
      <c r="Q468" s="77" t="str">
        <f>VLOOKUP(J468,'p1'!$B$2:$C$30,2,0)</f>
        <v>NÃO TEM CHAPA</v>
      </c>
      <c r="R468" s="94">
        <v>45905</v>
      </c>
      <c r="S468" s="90" t="s">
        <v>218</v>
      </c>
      <c r="T468" s="90">
        <f t="shared" si="38"/>
        <v>1</v>
      </c>
      <c r="U468" s="94">
        <v>45908</v>
      </c>
      <c r="V468" s="90" t="s">
        <v>86</v>
      </c>
      <c r="W468" s="92">
        <v>2508</v>
      </c>
      <c r="X468" s="93">
        <f t="shared" si="37"/>
        <v>1</v>
      </c>
      <c r="Y468" s="92"/>
      <c r="Z468" s="92"/>
      <c r="AA468" s="13" t="str">
        <f t="shared" si="39"/>
        <v>set/2025</v>
      </c>
    </row>
    <row r="469" spans="1:27" x14ac:dyDescent="0.25">
      <c r="A469" s="89">
        <v>468</v>
      </c>
      <c r="B469" s="68">
        <v>45891</v>
      </c>
      <c r="C469" s="40">
        <v>75</v>
      </c>
      <c r="D469" s="40">
        <f t="shared" si="35"/>
        <v>1</v>
      </c>
      <c r="E469" s="51" t="s">
        <v>132</v>
      </c>
      <c r="F469" s="17" t="s">
        <v>58</v>
      </c>
      <c r="G469" s="17" t="s">
        <v>86</v>
      </c>
      <c r="H469" s="42" t="s">
        <v>701</v>
      </c>
      <c r="I469" s="17" t="str">
        <f t="shared" si="36"/>
        <v>PN-468</v>
      </c>
      <c r="J469" s="18" t="s">
        <v>85</v>
      </c>
      <c r="K469" s="19" t="e">
        <f>IF(J469="","SEM #CH",VLOOKUP(J469,#REF!,2,0))</f>
        <v>#REF!</v>
      </c>
      <c r="L469" s="19" t="e">
        <f>IF(J469="","SEM #CH",VLOOKUP(J469,#REF!,3,0))</f>
        <v>#REF!</v>
      </c>
      <c r="M469" s="19" t="e">
        <f>IF(J469="","SEM #CH",VLOOKUP(J469,#REF!,4,0))</f>
        <v>#REF!</v>
      </c>
      <c r="N469" s="19" t="e">
        <f>IF(J469="","SEM #CH",VLOOKUP(J469,#REF!,5,0))</f>
        <v>#REF!</v>
      </c>
      <c r="O469" s="19" t="e">
        <f>IF(J469="","SEM #CH",VLOOKUP(J469,#REF!,6,0))</f>
        <v>#REF!</v>
      </c>
      <c r="P469" s="19" t="e">
        <f>IF(J469="","SEM #CH",VLOOKUP(J469,#REF!,7,0))</f>
        <v>#REF!</v>
      </c>
      <c r="Q469" s="77" t="str">
        <f>VLOOKUP(J469,'p1'!$B$2:$C$30,2,0)</f>
        <v>NÃO TEM CHAPA</v>
      </c>
      <c r="R469" s="94">
        <v>45905</v>
      </c>
      <c r="S469" s="90" t="s">
        <v>218</v>
      </c>
      <c r="T469" s="90">
        <f t="shared" si="38"/>
        <v>1</v>
      </c>
      <c r="U469" s="94">
        <v>45908</v>
      </c>
      <c r="V469" s="90" t="s">
        <v>86</v>
      </c>
      <c r="W469" s="92">
        <v>2508</v>
      </c>
      <c r="X469" s="93">
        <f t="shared" si="37"/>
        <v>1</v>
      </c>
      <c r="Y469" s="92"/>
      <c r="Z469" s="92"/>
      <c r="AA469" s="13" t="str">
        <f t="shared" si="39"/>
        <v>set/2025</v>
      </c>
    </row>
    <row r="470" spans="1:27" x14ac:dyDescent="0.25">
      <c r="A470" s="89">
        <v>469</v>
      </c>
      <c r="B470" s="68">
        <v>45891</v>
      </c>
      <c r="C470" s="40">
        <v>75</v>
      </c>
      <c r="D470" s="40">
        <f t="shared" si="35"/>
        <v>1</v>
      </c>
      <c r="E470" s="51" t="s">
        <v>132</v>
      </c>
      <c r="F470" s="17" t="s">
        <v>58</v>
      </c>
      <c r="G470" s="17" t="s">
        <v>86</v>
      </c>
      <c r="H470" s="42" t="s">
        <v>702</v>
      </c>
      <c r="I470" s="17" t="str">
        <f t="shared" si="36"/>
        <v>PN-469</v>
      </c>
      <c r="J470" s="18" t="s">
        <v>85</v>
      </c>
      <c r="K470" s="19" t="e">
        <f>IF(J470="","SEM #CH",VLOOKUP(J470,#REF!,2,0))</f>
        <v>#REF!</v>
      </c>
      <c r="L470" s="19" t="e">
        <f>IF(J470="","SEM #CH",VLOOKUP(J470,#REF!,3,0))</f>
        <v>#REF!</v>
      </c>
      <c r="M470" s="19" t="e">
        <f>IF(J470="","SEM #CH",VLOOKUP(J470,#REF!,4,0))</f>
        <v>#REF!</v>
      </c>
      <c r="N470" s="19" t="e">
        <f>IF(J470="","SEM #CH",VLOOKUP(J470,#REF!,5,0))</f>
        <v>#REF!</v>
      </c>
      <c r="O470" s="19" t="e">
        <f>IF(J470="","SEM #CH",VLOOKUP(J470,#REF!,6,0))</f>
        <v>#REF!</v>
      </c>
      <c r="P470" s="19" t="e">
        <f>IF(J470="","SEM #CH",VLOOKUP(J470,#REF!,7,0))</f>
        <v>#REF!</v>
      </c>
      <c r="Q470" s="77" t="str">
        <f>VLOOKUP(J470,'p1'!$B$2:$C$30,2,0)</f>
        <v>NÃO TEM CHAPA</v>
      </c>
      <c r="R470" s="94">
        <v>45911</v>
      </c>
      <c r="S470" s="90" t="s">
        <v>218</v>
      </c>
      <c r="T470" s="90">
        <f t="shared" si="38"/>
        <v>1</v>
      </c>
      <c r="U470" s="94">
        <v>45926</v>
      </c>
      <c r="V470" s="90" t="s">
        <v>86</v>
      </c>
      <c r="W470" s="92">
        <v>2546</v>
      </c>
      <c r="X470" s="93">
        <f t="shared" si="37"/>
        <v>1</v>
      </c>
      <c r="Y470" s="92"/>
      <c r="Z470" s="92"/>
      <c r="AA470" s="13" t="str">
        <f t="shared" si="39"/>
        <v>set/2025</v>
      </c>
    </row>
    <row r="471" spans="1:27" x14ac:dyDescent="0.25">
      <c r="A471" s="89">
        <v>470</v>
      </c>
      <c r="B471" s="68">
        <v>45891</v>
      </c>
      <c r="C471" s="40">
        <v>75</v>
      </c>
      <c r="D471" s="40">
        <f t="shared" si="35"/>
        <v>1</v>
      </c>
      <c r="E471" s="51" t="s">
        <v>132</v>
      </c>
      <c r="F471" s="17" t="s">
        <v>58</v>
      </c>
      <c r="G471" s="17" t="s">
        <v>86</v>
      </c>
      <c r="H471" s="42" t="s">
        <v>703</v>
      </c>
      <c r="I471" s="17" t="str">
        <f t="shared" si="36"/>
        <v>PN-470</v>
      </c>
      <c r="J471" s="18" t="s">
        <v>85</v>
      </c>
      <c r="K471" s="19" t="e">
        <f>IF(J471="","SEM #CH",VLOOKUP(J471,#REF!,2,0))</f>
        <v>#REF!</v>
      </c>
      <c r="L471" s="19" t="e">
        <f>IF(J471="","SEM #CH",VLOOKUP(J471,#REF!,3,0))</f>
        <v>#REF!</v>
      </c>
      <c r="M471" s="19" t="e">
        <f>IF(J471="","SEM #CH",VLOOKUP(J471,#REF!,4,0))</f>
        <v>#REF!</v>
      </c>
      <c r="N471" s="19" t="e">
        <f>IF(J471="","SEM #CH",VLOOKUP(J471,#REF!,5,0))</f>
        <v>#REF!</v>
      </c>
      <c r="O471" s="19" t="e">
        <f>IF(J471="","SEM #CH",VLOOKUP(J471,#REF!,6,0))</f>
        <v>#REF!</v>
      </c>
      <c r="P471" s="19" t="e">
        <f>IF(J471="","SEM #CH",VLOOKUP(J471,#REF!,7,0))</f>
        <v>#REF!</v>
      </c>
      <c r="Q471" s="77" t="str">
        <f>VLOOKUP(J471,'p1'!$B$2:$C$30,2,0)</f>
        <v>NÃO TEM CHAPA</v>
      </c>
      <c r="R471" s="94">
        <v>45911</v>
      </c>
      <c r="S471" s="90" t="s">
        <v>218</v>
      </c>
      <c r="T471" s="90">
        <f t="shared" si="38"/>
        <v>1</v>
      </c>
      <c r="U471" s="94">
        <v>45918</v>
      </c>
      <c r="V471" s="90" t="s">
        <v>86</v>
      </c>
      <c r="W471" s="92">
        <v>2533</v>
      </c>
      <c r="X471" s="93">
        <f t="shared" si="37"/>
        <v>1</v>
      </c>
      <c r="Y471" s="92"/>
      <c r="Z471" s="92"/>
      <c r="AA471" s="13" t="str">
        <f t="shared" si="39"/>
        <v>set/2025</v>
      </c>
    </row>
    <row r="472" spans="1:27" x14ac:dyDescent="0.25">
      <c r="A472" s="89">
        <v>471</v>
      </c>
      <c r="B472" s="68">
        <v>45891</v>
      </c>
      <c r="C472" s="40">
        <v>75</v>
      </c>
      <c r="D472" s="40">
        <f t="shared" si="35"/>
        <v>1</v>
      </c>
      <c r="E472" s="51" t="s">
        <v>132</v>
      </c>
      <c r="F472" s="17" t="s">
        <v>58</v>
      </c>
      <c r="G472" s="17" t="s">
        <v>86</v>
      </c>
      <c r="H472" s="42" t="s">
        <v>704</v>
      </c>
      <c r="I472" s="17" t="str">
        <f t="shared" si="36"/>
        <v>PN-471</v>
      </c>
      <c r="J472" s="18" t="s">
        <v>85</v>
      </c>
      <c r="K472" s="19" t="e">
        <f>IF(J472="","SEM #CH",VLOOKUP(J472,#REF!,2,0))</f>
        <v>#REF!</v>
      </c>
      <c r="L472" s="19" t="e">
        <f>IF(J472="","SEM #CH",VLOOKUP(J472,#REF!,3,0))</f>
        <v>#REF!</v>
      </c>
      <c r="M472" s="19" t="e">
        <f>IF(J472="","SEM #CH",VLOOKUP(J472,#REF!,4,0))</f>
        <v>#REF!</v>
      </c>
      <c r="N472" s="19" t="e">
        <f>IF(J472="","SEM #CH",VLOOKUP(J472,#REF!,5,0))</f>
        <v>#REF!</v>
      </c>
      <c r="O472" s="19" t="e">
        <f>IF(J472="","SEM #CH",VLOOKUP(J472,#REF!,6,0))</f>
        <v>#REF!</v>
      </c>
      <c r="P472" s="19" t="e">
        <f>IF(J472="","SEM #CH",VLOOKUP(J472,#REF!,7,0))</f>
        <v>#REF!</v>
      </c>
      <c r="Q472" s="77" t="str">
        <f>VLOOKUP(J472,'p1'!$B$2:$C$30,2,0)</f>
        <v>NÃO TEM CHAPA</v>
      </c>
      <c r="R472" s="94">
        <v>45911</v>
      </c>
      <c r="S472" s="90" t="s">
        <v>218</v>
      </c>
      <c r="T472" s="90">
        <f t="shared" si="38"/>
        <v>1</v>
      </c>
      <c r="U472" s="94">
        <v>45926</v>
      </c>
      <c r="V472" s="90" t="s">
        <v>86</v>
      </c>
      <c r="W472" s="92">
        <v>2546</v>
      </c>
      <c r="X472" s="93">
        <f t="shared" si="37"/>
        <v>1</v>
      </c>
      <c r="Y472" s="92"/>
      <c r="Z472" s="92"/>
      <c r="AA472" s="13" t="str">
        <f t="shared" si="39"/>
        <v>set/2025</v>
      </c>
    </row>
    <row r="473" spans="1:27" x14ac:dyDescent="0.25">
      <c r="A473" s="89">
        <v>472</v>
      </c>
      <c r="B473" s="68">
        <v>45891</v>
      </c>
      <c r="C473" s="40">
        <v>75</v>
      </c>
      <c r="D473" s="40">
        <f t="shared" si="35"/>
        <v>1</v>
      </c>
      <c r="E473" s="51" t="s">
        <v>132</v>
      </c>
      <c r="F473" s="17" t="s">
        <v>58</v>
      </c>
      <c r="G473" s="17" t="s">
        <v>86</v>
      </c>
      <c r="H473" s="42" t="s">
        <v>705</v>
      </c>
      <c r="I473" s="17" t="str">
        <f t="shared" si="36"/>
        <v>PN-472</v>
      </c>
      <c r="J473" s="18" t="s">
        <v>85</v>
      </c>
      <c r="K473" s="19" t="e">
        <f>IF(J473="","SEM #CH",VLOOKUP(J473,#REF!,2,0))</f>
        <v>#REF!</v>
      </c>
      <c r="L473" s="19" t="e">
        <f>IF(J473="","SEM #CH",VLOOKUP(J473,#REF!,3,0))</f>
        <v>#REF!</v>
      </c>
      <c r="M473" s="19" t="e">
        <f>IF(J473="","SEM #CH",VLOOKUP(J473,#REF!,4,0))</f>
        <v>#REF!</v>
      </c>
      <c r="N473" s="19" t="e">
        <f>IF(J473="","SEM #CH",VLOOKUP(J473,#REF!,5,0))</f>
        <v>#REF!</v>
      </c>
      <c r="O473" s="19" t="e">
        <f>IF(J473="","SEM #CH",VLOOKUP(J473,#REF!,6,0))</f>
        <v>#REF!</v>
      </c>
      <c r="P473" s="19" t="e">
        <f>IF(J473="","SEM #CH",VLOOKUP(J473,#REF!,7,0))</f>
        <v>#REF!</v>
      </c>
      <c r="Q473" s="77" t="str">
        <f>VLOOKUP(J473,'p1'!$B$2:$C$30,2,0)</f>
        <v>NÃO TEM CHAPA</v>
      </c>
      <c r="R473" s="94">
        <v>45911</v>
      </c>
      <c r="S473" s="90" t="s">
        <v>218</v>
      </c>
      <c r="T473" s="90">
        <f t="shared" si="38"/>
        <v>1</v>
      </c>
      <c r="U473" s="94">
        <v>45926</v>
      </c>
      <c r="V473" s="90" t="s">
        <v>86</v>
      </c>
      <c r="W473" s="92">
        <v>2546</v>
      </c>
      <c r="X473" s="93">
        <f t="shared" si="37"/>
        <v>1</v>
      </c>
      <c r="Y473" s="92"/>
      <c r="Z473" s="92"/>
      <c r="AA473" s="13" t="str">
        <f t="shared" si="39"/>
        <v>set/2025</v>
      </c>
    </row>
    <row r="474" spans="1:27" x14ac:dyDescent="0.25">
      <c r="A474" s="89">
        <v>473</v>
      </c>
      <c r="B474" s="68">
        <v>45892</v>
      </c>
      <c r="C474" s="40">
        <v>76</v>
      </c>
      <c r="D474" s="40">
        <f t="shared" si="35"/>
        <v>1</v>
      </c>
      <c r="E474" s="51" t="s">
        <v>132</v>
      </c>
      <c r="F474" s="17" t="s">
        <v>58</v>
      </c>
      <c r="G474" s="17" t="s">
        <v>86</v>
      </c>
      <c r="H474" s="42" t="s">
        <v>706</v>
      </c>
      <c r="I474" s="17" t="str">
        <f t="shared" si="36"/>
        <v>PN-473</v>
      </c>
      <c r="J474" s="18" t="s">
        <v>85</v>
      </c>
      <c r="K474" s="19" t="e">
        <f>IF(J474="","SEM #CH",VLOOKUP(J474,#REF!,2,0))</f>
        <v>#REF!</v>
      </c>
      <c r="L474" s="19" t="e">
        <f>IF(J474="","SEM #CH",VLOOKUP(J474,#REF!,3,0))</f>
        <v>#REF!</v>
      </c>
      <c r="M474" s="19" t="e">
        <f>IF(J474="","SEM #CH",VLOOKUP(J474,#REF!,4,0))</f>
        <v>#REF!</v>
      </c>
      <c r="N474" s="19" t="e">
        <f>IF(J474="","SEM #CH",VLOOKUP(J474,#REF!,5,0))</f>
        <v>#REF!</v>
      </c>
      <c r="O474" s="19" t="e">
        <f>IF(J474="","SEM #CH",VLOOKUP(J474,#REF!,6,0))</f>
        <v>#REF!</v>
      </c>
      <c r="P474" s="19" t="e">
        <f>IF(J474="","SEM #CH",VLOOKUP(J474,#REF!,7,0))</f>
        <v>#REF!</v>
      </c>
      <c r="Q474" s="77" t="str">
        <f>VLOOKUP(J474,'p1'!$B$2:$C$30,2,0)</f>
        <v>NÃO TEM CHAPA</v>
      </c>
      <c r="R474" s="94">
        <v>45938</v>
      </c>
      <c r="S474" s="90" t="s">
        <v>217</v>
      </c>
      <c r="T474" s="90">
        <f t="shared" si="38"/>
        <v>1</v>
      </c>
      <c r="U474" s="94">
        <v>45939</v>
      </c>
      <c r="V474" s="90" t="s">
        <v>86</v>
      </c>
      <c r="W474" s="92">
        <v>2572</v>
      </c>
      <c r="X474" s="93">
        <f t="shared" si="37"/>
        <v>1</v>
      </c>
      <c r="Y474" s="92"/>
      <c r="Z474" s="92"/>
      <c r="AA474" s="13" t="str">
        <f t="shared" si="39"/>
        <v>out/2025</v>
      </c>
    </row>
    <row r="475" spans="1:27" x14ac:dyDescent="0.25">
      <c r="A475" s="89">
        <v>474</v>
      </c>
      <c r="B475" s="68">
        <v>45913</v>
      </c>
      <c r="C475" s="40">
        <v>91</v>
      </c>
      <c r="D475" s="40">
        <f t="shared" si="35"/>
        <v>1</v>
      </c>
      <c r="E475" s="51" t="s">
        <v>132</v>
      </c>
      <c r="F475" s="17" t="s">
        <v>60</v>
      </c>
      <c r="G475" s="17" t="s">
        <v>86</v>
      </c>
      <c r="H475" s="42" t="s">
        <v>707</v>
      </c>
      <c r="I475" s="21" t="str">
        <f t="shared" si="36"/>
        <v>PE-474</v>
      </c>
      <c r="J475" s="18" t="s">
        <v>90</v>
      </c>
      <c r="K475" s="19" t="e">
        <f>IF(J475="","SEM #CH",VLOOKUP(J475,#REF!,2,0))</f>
        <v>#REF!</v>
      </c>
      <c r="L475" s="19" t="e">
        <f>IF(J475="","SEM #CH",VLOOKUP(J475,#REF!,3,0))</f>
        <v>#REF!</v>
      </c>
      <c r="M475" s="19" t="e">
        <f>IF(J475="","SEM #CH",VLOOKUP(J475,#REF!,4,0))</f>
        <v>#REF!</v>
      </c>
      <c r="N475" s="19" t="e">
        <f>IF(J475="","SEM #CH",VLOOKUP(J475,#REF!,5,0))</f>
        <v>#REF!</v>
      </c>
      <c r="O475" s="19" t="e">
        <f>IF(J475="","SEM #CH",VLOOKUP(J475,#REF!,6,0))</f>
        <v>#REF!</v>
      </c>
      <c r="P475" s="19" t="e">
        <f>IF(J475="","SEM #CH",VLOOKUP(J475,#REF!,7,0))</f>
        <v>#REF!</v>
      </c>
      <c r="Q475" s="77" t="str">
        <f>VLOOKUP(J475,'p1'!$B$2:$C$30,2,0)</f>
        <v>#3/8-530X530</v>
      </c>
      <c r="R475" s="94">
        <v>45916</v>
      </c>
      <c r="S475" s="90" t="s">
        <v>218</v>
      </c>
      <c r="T475" s="90">
        <f t="shared" si="38"/>
        <v>1</v>
      </c>
      <c r="U475" s="94">
        <v>45916</v>
      </c>
      <c r="V475" s="90" t="s">
        <v>86</v>
      </c>
      <c r="W475" s="92">
        <v>2528</v>
      </c>
      <c r="X475" s="93">
        <f t="shared" si="37"/>
        <v>1</v>
      </c>
      <c r="Y475" s="92"/>
      <c r="Z475" s="92"/>
      <c r="AA475" s="13" t="str">
        <f t="shared" si="39"/>
        <v>set/2025</v>
      </c>
    </row>
    <row r="476" spans="1:27" x14ac:dyDescent="0.25">
      <c r="A476" s="89">
        <v>475</v>
      </c>
      <c r="B476" s="68">
        <v>45892</v>
      </c>
      <c r="C476" s="40">
        <v>76</v>
      </c>
      <c r="D476" s="40">
        <f t="shared" si="35"/>
        <v>1</v>
      </c>
      <c r="E476" s="51" t="s">
        <v>132</v>
      </c>
      <c r="F476" s="17" t="s">
        <v>58</v>
      </c>
      <c r="G476" s="17" t="s">
        <v>86</v>
      </c>
      <c r="H476" s="42" t="s">
        <v>708</v>
      </c>
      <c r="I476" s="17" t="str">
        <f t="shared" si="36"/>
        <v>PN-475</v>
      </c>
      <c r="J476" s="18" t="s">
        <v>85</v>
      </c>
      <c r="K476" s="19" t="e">
        <f>IF(J476="","SEM #CH",VLOOKUP(J476,#REF!,2,0))</f>
        <v>#REF!</v>
      </c>
      <c r="L476" s="19" t="e">
        <f>IF(J476="","SEM #CH",VLOOKUP(J476,#REF!,3,0))</f>
        <v>#REF!</v>
      </c>
      <c r="M476" s="19" t="e">
        <f>IF(J476="","SEM #CH",VLOOKUP(J476,#REF!,4,0))</f>
        <v>#REF!</v>
      </c>
      <c r="N476" s="19" t="e">
        <f>IF(J476="","SEM #CH",VLOOKUP(J476,#REF!,5,0))</f>
        <v>#REF!</v>
      </c>
      <c r="O476" s="19" t="e">
        <f>IF(J476="","SEM #CH",VLOOKUP(J476,#REF!,6,0))</f>
        <v>#REF!</v>
      </c>
      <c r="P476" s="19" t="e">
        <f>IF(J476="","SEM #CH",VLOOKUP(J476,#REF!,7,0))</f>
        <v>#REF!</v>
      </c>
      <c r="Q476" s="77" t="str">
        <f>VLOOKUP(J476,'p1'!$B$2:$C$30,2,0)</f>
        <v>NÃO TEM CHAPA</v>
      </c>
      <c r="R476" s="94">
        <v>45938</v>
      </c>
      <c r="S476" s="90" t="s">
        <v>217</v>
      </c>
      <c r="T476" s="90">
        <f t="shared" si="38"/>
        <v>1</v>
      </c>
      <c r="U476" s="94">
        <v>45951</v>
      </c>
      <c r="V476" s="90" t="s">
        <v>86</v>
      </c>
      <c r="W476" s="92">
        <v>2587</v>
      </c>
      <c r="X476" s="93">
        <f t="shared" si="37"/>
        <v>1</v>
      </c>
      <c r="Y476" s="92"/>
      <c r="Z476" s="92"/>
      <c r="AA476" s="13" t="str">
        <f t="shared" si="39"/>
        <v>out/2025</v>
      </c>
    </row>
    <row r="477" spans="1:27" x14ac:dyDescent="0.25">
      <c r="A477" s="89">
        <v>476</v>
      </c>
      <c r="B477" s="68">
        <v>45892</v>
      </c>
      <c r="C477" s="40">
        <v>76</v>
      </c>
      <c r="D477" s="40">
        <f t="shared" si="35"/>
        <v>1</v>
      </c>
      <c r="E477" s="51" t="s">
        <v>132</v>
      </c>
      <c r="F477" s="17" t="s">
        <v>58</v>
      </c>
      <c r="G477" s="17" t="s">
        <v>86</v>
      </c>
      <c r="H477" s="42" t="s">
        <v>709</v>
      </c>
      <c r="I477" s="17" t="str">
        <f t="shared" si="36"/>
        <v>PN-476</v>
      </c>
      <c r="J477" s="18" t="s">
        <v>85</v>
      </c>
      <c r="K477" s="19" t="e">
        <f>IF(J477="","SEM #CH",VLOOKUP(J477,#REF!,2,0))</f>
        <v>#REF!</v>
      </c>
      <c r="L477" s="19" t="e">
        <f>IF(J477="","SEM #CH",VLOOKUP(J477,#REF!,3,0))</f>
        <v>#REF!</v>
      </c>
      <c r="M477" s="19" t="e">
        <f>IF(J477="","SEM #CH",VLOOKUP(J477,#REF!,4,0))</f>
        <v>#REF!</v>
      </c>
      <c r="N477" s="19" t="e">
        <f>IF(J477="","SEM #CH",VLOOKUP(J477,#REF!,5,0))</f>
        <v>#REF!</v>
      </c>
      <c r="O477" s="19" t="e">
        <f>IF(J477="","SEM #CH",VLOOKUP(J477,#REF!,6,0))</f>
        <v>#REF!</v>
      </c>
      <c r="P477" s="19" t="e">
        <f>IF(J477="","SEM #CH",VLOOKUP(J477,#REF!,7,0))</f>
        <v>#REF!</v>
      </c>
      <c r="Q477" s="77" t="str">
        <f>VLOOKUP(J477,'p1'!$B$2:$C$30,2,0)</f>
        <v>NÃO TEM CHAPA</v>
      </c>
      <c r="R477" s="94">
        <v>45937</v>
      </c>
      <c r="S477" s="90" t="s">
        <v>217</v>
      </c>
      <c r="T477" s="90">
        <f t="shared" si="38"/>
        <v>1</v>
      </c>
      <c r="U477" s="94">
        <v>45938</v>
      </c>
      <c r="V477" s="90" t="s">
        <v>86</v>
      </c>
      <c r="W477" s="92">
        <v>2570</v>
      </c>
      <c r="X477" s="93">
        <f t="shared" si="37"/>
        <v>1</v>
      </c>
      <c r="Y477" s="92"/>
      <c r="Z477" s="92"/>
      <c r="AA477" s="13" t="str">
        <f t="shared" si="39"/>
        <v>out/2025</v>
      </c>
    </row>
    <row r="478" spans="1:27" x14ac:dyDescent="0.25">
      <c r="A478" s="89">
        <v>477</v>
      </c>
      <c r="B478" s="68">
        <v>45892</v>
      </c>
      <c r="C478" s="40">
        <v>76</v>
      </c>
      <c r="D478" s="40">
        <f t="shared" si="35"/>
        <v>1</v>
      </c>
      <c r="E478" s="51" t="s">
        <v>132</v>
      </c>
      <c r="F478" s="17" t="s">
        <v>58</v>
      </c>
      <c r="G478" s="17" t="s">
        <v>86</v>
      </c>
      <c r="H478" s="42" t="s">
        <v>710</v>
      </c>
      <c r="I478" s="17" t="str">
        <f t="shared" si="36"/>
        <v>PN-477</v>
      </c>
      <c r="J478" s="18" t="s">
        <v>85</v>
      </c>
      <c r="K478" s="19" t="e">
        <f>IF(J478="","SEM #CH",VLOOKUP(J478,#REF!,2,0))</f>
        <v>#REF!</v>
      </c>
      <c r="L478" s="19" t="e">
        <f>IF(J478="","SEM #CH",VLOOKUP(J478,#REF!,3,0))</f>
        <v>#REF!</v>
      </c>
      <c r="M478" s="19" t="e">
        <f>IF(J478="","SEM #CH",VLOOKUP(J478,#REF!,4,0))</f>
        <v>#REF!</v>
      </c>
      <c r="N478" s="19" t="e">
        <f>IF(J478="","SEM #CH",VLOOKUP(J478,#REF!,5,0))</f>
        <v>#REF!</v>
      </c>
      <c r="O478" s="19" t="e">
        <f>IF(J478="","SEM #CH",VLOOKUP(J478,#REF!,6,0))</f>
        <v>#REF!</v>
      </c>
      <c r="P478" s="19" t="e">
        <f>IF(J478="","SEM #CH",VLOOKUP(J478,#REF!,7,0))</f>
        <v>#REF!</v>
      </c>
      <c r="Q478" s="77" t="str">
        <f>VLOOKUP(J478,'p1'!$B$2:$C$30,2,0)</f>
        <v>NÃO TEM CHAPA</v>
      </c>
      <c r="R478" s="94">
        <v>45941</v>
      </c>
      <c r="S478" s="90" t="s">
        <v>217</v>
      </c>
      <c r="T478" s="90">
        <f t="shared" si="38"/>
        <v>1</v>
      </c>
      <c r="U478" s="94">
        <v>45951</v>
      </c>
      <c r="V478" s="90" t="s">
        <v>86</v>
      </c>
      <c r="W478" s="92">
        <v>2586</v>
      </c>
      <c r="X478" s="93">
        <f t="shared" si="37"/>
        <v>1</v>
      </c>
      <c r="Y478" s="92"/>
      <c r="Z478" s="92"/>
      <c r="AA478" s="13" t="str">
        <f t="shared" si="39"/>
        <v>out/2025</v>
      </c>
    </row>
    <row r="479" spans="1:27" x14ac:dyDescent="0.25">
      <c r="A479" s="89">
        <v>478</v>
      </c>
      <c r="B479" s="68">
        <v>45892</v>
      </c>
      <c r="C479" s="40">
        <v>76</v>
      </c>
      <c r="D479" s="40">
        <f t="shared" si="35"/>
        <v>1</v>
      </c>
      <c r="E479" s="51" t="s">
        <v>132</v>
      </c>
      <c r="F479" s="17" t="s">
        <v>58</v>
      </c>
      <c r="G479" s="17" t="s">
        <v>86</v>
      </c>
      <c r="H479" s="42" t="s">
        <v>711</v>
      </c>
      <c r="I479" s="17" t="str">
        <f t="shared" si="36"/>
        <v>PN-478</v>
      </c>
      <c r="J479" s="18" t="s">
        <v>85</v>
      </c>
      <c r="K479" s="19" t="e">
        <f>IF(J479="","SEM #CH",VLOOKUP(J479,#REF!,2,0))</f>
        <v>#REF!</v>
      </c>
      <c r="L479" s="19" t="e">
        <f>IF(J479="","SEM #CH",VLOOKUP(J479,#REF!,3,0))</f>
        <v>#REF!</v>
      </c>
      <c r="M479" s="19" t="e">
        <f>IF(J479="","SEM #CH",VLOOKUP(J479,#REF!,4,0))</f>
        <v>#REF!</v>
      </c>
      <c r="N479" s="19" t="e">
        <f>IF(J479="","SEM #CH",VLOOKUP(J479,#REF!,5,0))</f>
        <v>#REF!</v>
      </c>
      <c r="O479" s="19" t="e">
        <f>IF(J479="","SEM #CH",VLOOKUP(J479,#REF!,6,0))</f>
        <v>#REF!</v>
      </c>
      <c r="P479" s="19" t="e">
        <f>IF(J479="","SEM #CH",VLOOKUP(J479,#REF!,7,0))</f>
        <v>#REF!</v>
      </c>
      <c r="Q479" s="77" t="str">
        <f>VLOOKUP(J479,'p1'!$B$2:$C$30,2,0)</f>
        <v>NÃO TEM CHAPA</v>
      </c>
      <c r="R479" s="94">
        <v>45938</v>
      </c>
      <c r="S479" s="90" t="s">
        <v>217</v>
      </c>
      <c r="T479" s="90">
        <f t="shared" si="38"/>
        <v>1</v>
      </c>
      <c r="U479" s="94">
        <v>45951</v>
      </c>
      <c r="V479" s="90" t="s">
        <v>86</v>
      </c>
      <c r="W479" s="92">
        <v>2587</v>
      </c>
      <c r="X479" s="93">
        <f t="shared" si="37"/>
        <v>1</v>
      </c>
      <c r="Y479" s="92"/>
      <c r="Z479" s="92"/>
      <c r="AA479" s="13" t="str">
        <f t="shared" si="39"/>
        <v>out/2025</v>
      </c>
    </row>
    <row r="480" spans="1:27" x14ac:dyDescent="0.25">
      <c r="A480" s="89">
        <v>479</v>
      </c>
      <c r="B480" s="68">
        <v>45892</v>
      </c>
      <c r="C480" s="40">
        <v>76</v>
      </c>
      <c r="D480" s="40">
        <f t="shared" si="35"/>
        <v>1</v>
      </c>
      <c r="E480" s="51" t="s">
        <v>132</v>
      </c>
      <c r="F480" s="17" t="s">
        <v>58</v>
      </c>
      <c r="G480" s="17" t="s">
        <v>86</v>
      </c>
      <c r="H480" s="42" t="s">
        <v>712</v>
      </c>
      <c r="I480" s="17" t="str">
        <f t="shared" si="36"/>
        <v>PN-479</v>
      </c>
      <c r="J480" s="18" t="s">
        <v>85</v>
      </c>
      <c r="K480" s="19" t="e">
        <f>IF(J480="","SEM #CH",VLOOKUP(J480,#REF!,2,0))</f>
        <v>#REF!</v>
      </c>
      <c r="L480" s="19" t="e">
        <f>IF(J480="","SEM #CH",VLOOKUP(J480,#REF!,3,0))</f>
        <v>#REF!</v>
      </c>
      <c r="M480" s="19" t="e">
        <f>IF(J480="","SEM #CH",VLOOKUP(J480,#REF!,4,0))</f>
        <v>#REF!</v>
      </c>
      <c r="N480" s="19" t="e">
        <f>IF(J480="","SEM #CH",VLOOKUP(J480,#REF!,5,0))</f>
        <v>#REF!</v>
      </c>
      <c r="O480" s="19" t="e">
        <f>IF(J480="","SEM #CH",VLOOKUP(J480,#REF!,6,0))</f>
        <v>#REF!</v>
      </c>
      <c r="P480" s="19" t="e">
        <f>IF(J480="","SEM #CH",VLOOKUP(J480,#REF!,7,0))</f>
        <v>#REF!</v>
      </c>
      <c r="Q480" s="77" t="str">
        <f>VLOOKUP(J480,'p1'!$B$2:$C$30,2,0)</f>
        <v>NÃO TEM CHAPA</v>
      </c>
      <c r="R480" s="94">
        <v>45933</v>
      </c>
      <c r="S480" s="90" t="s">
        <v>217</v>
      </c>
      <c r="T480" s="90">
        <f t="shared" si="38"/>
        <v>1</v>
      </c>
      <c r="U480" s="94">
        <v>45933</v>
      </c>
      <c r="V480" s="90" t="s">
        <v>86</v>
      </c>
      <c r="W480" s="92">
        <v>2560</v>
      </c>
      <c r="X480" s="93">
        <f t="shared" si="37"/>
        <v>1</v>
      </c>
      <c r="Y480" s="92"/>
      <c r="Z480" s="92"/>
      <c r="AA480" s="13" t="str">
        <f t="shared" si="39"/>
        <v>out/2025</v>
      </c>
    </row>
    <row r="481" spans="1:27" x14ac:dyDescent="0.25">
      <c r="A481" s="89">
        <v>480</v>
      </c>
      <c r="B481" s="68">
        <v>45895</v>
      </c>
      <c r="C481" s="40">
        <v>78</v>
      </c>
      <c r="D481" s="40">
        <f t="shared" si="35"/>
        <v>1</v>
      </c>
      <c r="E481" s="51" t="s">
        <v>132</v>
      </c>
      <c r="F481" s="17" t="s">
        <v>58</v>
      </c>
      <c r="G481" s="17" t="s">
        <v>86</v>
      </c>
      <c r="H481" s="42" t="s">
        <v>713</v>
      </c>
      <c r="I481" s="17" t="str">
        <f t="shared" si="36"/>
        <v>PN-480</v>
      </c>
      <c r="J481" s="18" t="s">
        <v>85</v>
      </c>
      <c r="K481" s="19" t="e">
        <f>IF(J481="","SEM #CH",VLOOKUP(J481,#REF!,2,0))</f>
        <v>#REF!</v>
      </c>
      <c r="L481" s="19" t="e">
        <f>IF(J481="","SEM #CH",VLOOKUP(J481,#REF!,3,0))</f>
        <v>#REF!</v>
      </c>
      <c r="M481" s="19" t="e">
        <f>IF(J481="","SEM #CH",VLOOKUP(J481,#REF!,4,0))</f>
        <v>#REF!</v>
      </c>
      <c r="N481" s="19" t="e">
        <f>IF(J481="","SEM #CH",VLOOKUP(J481,#REF!,5,0))</f>
        <v>#REF!</v>
      </c>
      <c r="O481" s="19" t="e">
        <f>IF(J481="","SEM #CH",VLOOKUP(J481,#REF!,6,0))</f>
        <v>#REF!</v>
      </c>
      <c r="P481" s="19" t="e">
        <f>IF(J481="","SEM #CH",VLOOKUP(J481,#REF!,7,0))</f>
        <v>#REF!</v>
      </c>
      <c r="Q481" s="77" t="str">
        <f>VLOOKUP(J481,'p1'!$B$2:$C$30,2,0)</f>
        <v>NÃO TEM CHAPA</v>
      </c>
      <c r="R481" s="94">
        <v>45903</v>
      </c>
      <c r="S481" s="90" t="s">
        <v>218</v>
      </c>
      <c r="T481" s="90">
        <f t="shared" si="38"/>
        <v>1</v>
      </c>
      <c r="U481" s="94">
        <v>45909</v>
      </c>
      <c r="V481" s="90" t="s">
        <v>86</v>
      </c>
      <c r="W481" s="92">
        <v>2512</v>
      </c>
      <c r="X481" s="93">
        <f t="shared" si="37"/>
        <v>1</v>
      </c>
      <c r="Y481" s="92"/>
      <c r="Z481" s="92"/>
      <c r="AA481" s="13" t="str">
        <f t="shared" si="39"/>
        <v>set/2025</v>
      </c>
    </row>
    <row r="482" spans="1:27" x14ac:dyDescent="0.25">
      <c r="A482" s="89">
        <v>481</v>
      </c>
      <c r="B482" s="68">
        <v>45895</v>
      </c>
      <c r="C482" s="40">
        <v>78</v>
      </c>
      <c r="D482" s="40">
        <f t="shared" si="35"/>
        <v>1</v>
      </c>
      <c r="E482" s="51" t="s">
        <v>132</v>
      </c>
      <c r="F482" s="17" t="s">
        <v>58</v>
      </c>
      <c r="G482" s="17" t="s">
        <v>86</v>
      </c>
      <c r="H482" s="42" t="s">
        <v>714</v>
      </c>
      <c r="I482" s="17" t="str">
        <f t="shared" si="36"/>
        <v>PN-481</v>
      </c>
      <c r="J482" s="18" t="s">
        <v>85</v>
      </c>
      <c r="K482" s="19" t="e">
        <f>IF(J482="","SEM #CH",VLOOKUP(J482,#REF!,2,0))</f>
        <v>#REF!</v>
      </c>
      <c r="L482" s="19" t="e">
        <f>IF(J482="","SEM #CH",VLOOKUP(J482,#REF!,3,0))</f>
        <v>#REF!</v>
      </c>
      <c r="M482" s="19" t="e">
        <f>IF(J482="","SEM #CH",VLOOKUP(J482,#REF!,4,0))</f>
        <v>#REF!</v>
      </c>
      <c r="N482" s="19" t="e">
        <f>IF(J482="","SEM #CH",VLOOKUP(J482,#REF!,5,0))</f>
        <v>#REF!</v>
      </c>
      <c r="O482" s="19" t="e">
        <f>IF(J482="","SEM #CH",VLOOKUP(J482,#REF!,6,0))</f>
        <v>#REF!</v>
      </c>
      <c r="P482" s="19" t="e">
        <f>IF(J482="","SEM #CH",VLOOKUP(J482,#REF!,7,0))</f>
        <v>#REF!</v>
      </c>
      <c r="Q482" s="77" t="str">
        <f>VLOOKUP(J482,'p1'!$B$2:$C$30,2,0)</f>
        <v>NÃO TEM CHAPA</v>
      </c>
      <c r="R482" s="94">
        <v>45903</v>
      </c>
      <c r="S482" s="90" t="s">
        <v>218</v>
      </c>
      <c r="T482" s="90">
        <f t="shared" si="38"/>
        <v>1</v>
      </c>
      <c r="U482" s="94">
        <v>45909</v>
      </c>
      <c r="V482" s="90" t="s">
        <v>86</v>
      </c>
      <c r="W482" s="92">
        <v>2512</v>
      </c>
      <c r="X482" s="93">
        <f t="shared" si="37"/>
        <v>1</v>
      </c>
      <c r="Y482" s="92"/>
      <c r="Z482" s="92"/>
      <c r="AA482" s="13" t="str">
        <f t="shared" si="39"/>
        <v>set/2025</v>
      </c>
    </row>
    <row r="483" spans="1:27" x14ac:dyDescent="0.25">
      <c r="A483" s="89">
        <v>482</v>
      </c>
      <c r="B483" s="68">
        <v>45895</v>
      </c>
      <c r="C483" s="40">
        <v>78</v>
      </c>
      <c r="D483" s="40">
        <f t="shared" si="35"/>
        <v>1</v>
      </c>
      <c r="E483" s="51" t="s">
        <v>132</v>
      </c>
      <c r="F483" s="17" t="s">
        <v>58</v>
      </c>
      <c r="G483" s="17" t="s">
        <v>86</v>
      </c>
      <c r="H483" s="42" t="s">
        <v>715</v>
      </c>
      <c r="I483" s="17" t="str">
        <f t="shared" si="36"/>
        <v>PN-482</v>
      </c>
      <c r="J483" s="18" t="s">
        <v>85</v>
      </c>
      <c r="K483" s="19" t="e">
        <f>IF(J483="","SEM #CH",VLOOKUP(J483,#REF!,2,0))</f>
        <v>#REF!</v>
      </c>
      <c r="L483" s="19" t="e">
        <f>IF(J483="","SEM #CH",VLOOKUP(J483,#REF!,3,0))</f>
        <v>#REF!</v>
      </c>
      <c r="M483" s="19" t="e">
        <f>IF(J483="","SEM #CH",VLOOKUP(J483,#REF!,4,0))</f>
        <v>#REF!</v>
      </c>
      <c r="N483" s="19" t="e">
        <f>IF(J483="","SEM #CH",VLOOKUP(J483,#REF!,5,0))</f>
        <v>#REF!</v>
      </c>
      <c r="O483" s="19" t="e">
        <f>IF(J483="","SEM #CH",VLOOKUP(J483,#REF!,6,0))</f>
        <v>#REF!</v>
      </c>
      <c r="P483" s="19" t="e">
        <f>IF(J483="","SEM #CH",VLOOKUP(J483,#REF!,7,0))</f>
        <v>#REF!</v>
      </c>
      <c r="Q483" s="77" t="str">
        <f>VLOOKUP(J483,'p1'!$B$2:$C$30,2,0)</f>
        <v>NÃO TEM CHAPA</v>
      </c>
      <c r="R483" s="94">
        <v>45904</v>
      </c>
      <c r="S483" s="90" t="s">
        <v>218</v>
      </c>
      <c r="T483" s="90">
        <f t="shared" si="38"/>
        <v>1</v>
      </c>
      <c r="U483" s="94">
        <v>45909</v>
      </c>
      <c r="V483" s="90" t="s">
        <v>86</v>
      </c>
      <c r="W483" s="92">
        <v>2511</v>
      </c>
      <c r="X483" s="93">
        <f t="shared" si="37"/>
        <v>1</v>
      </c>
      <c r="Y483" s="92"/>
      <c r="Z483" s="92"/>
      <c r="AA483" s="13" t="str">
        <f t="shared" si="39"/>
        <v>set/2025</v>
      </c>
    </row>
    <row r="484" spans="1:27" x14ac:dyDescent="0.25">
      <c r="A484" s="89">
        <v>483</v>
      </c>
      <c r="B484" s="68">
        <v>45895</v>
      </c>
      <c r="C484" s="40">
        <v>78</v>
      </c>
      <c r="D484" s="40">
        <f t="shared" si="35"/>
        <v>1</v>
      </c>
      <c r="E484" s="51" t="s">
        <v>132</v>
      </c>
      <c r="F484" s="17" t="s">
        <v>58</v>
      </c>
      <c r="G484" s="17" t="s">
        <v>86</v>
      </c>
      <c r="H484" s="42" t="s">
        <v>716</v>
      </c>
      <c r="I484" s="17" t="str">
        <f t="shared" si="36"/>
        <v>PN-483</v>
      </c>
      <c r="J484" s="18" t="s">
        <v>85</v>
      </c>
      <c r="K484" s="19" t="e">
        <f>IF(J484="","SEM #CH",VLOOKUP(J484,#REF!,2,0))</f>
        <v>#REF!</v>
      </c>
      <c r="L484" s="19" t="e">
        <f>IF(J484="","SEM #CH",VLOOKUP(J484,#REF!,3,0))</f>
        <v>#REF!</v>
      </c>
      <c r="M484" s="19" t="e">
        <f>IF(J484="","SEM #CH",VLOOKUP(J484,#REF!,4,0))</f>
        <v>#REF!</v>
      </c>
      <c r="N484" s="19" t="e">
        <f>IF(J484="","SEM #CH",VLOOKUP(J484,#REF!,5,0))</f>
        <v>#REF!</v>
      </c>
      <c r="O484" s="19" t="e">
        <f>IF(J484="","SEM #CH",VLOOKUP(J484,#REF!,6,0))</f>
        <v>#REF!</v>
      </c>
      <c r="P484" s="19" t="e">
        <f>IF(J484="","SEM #CH",VLOOKUP(J484,#REF!,7,0))</f>
        <v>#REF!</v>
      </c>
      <c r="Q484" s="77" t="str">
        <f>VLOOKUP(J484,'p1'!$B$2:$C$30,2,0)</f>
        <v>NÃO TEM CHAPA</v>
      </c>
      <c r="R484" s="94">
        <v>45904</v>
      </c>
      <c r="S484" s="90" t="s">
        <v>218</v>
      </c>
      <c r="T484" s="90">
        <f t="shared" si="38"/>
        <v>1</v>
      </c>
      <c r="U484" s="94">
        <v>45909</v>
      </c>
      <c r="V484" s="90" t="s">
        <v>86</v>
      </c>
      <c r="W484" s="92">
        <v>2511</v>
      </c>
      <c r="X484" s="93">
        <f t="shared" si="37"/>
        <v>1</v>
      </c>
      <c r="Y484" s="92"/>
      <c r="Z484" s="92"/>
      <c r="AA484" s="13" t="str">
        <f t="shared" si="39"/>
        <v>set/2025</v>
      </c>
    </row>
    <row r="485" spans="1:27" x14ac:dyDescent="0.25">
      <c r="A485" s="89">
        <v>484</v>
      </c>
      <c r="B485" s="68">
        <v>45895</v>
      </c>
      <c r="C485" s="40">
        <v>78</v>
      </c>
      <c r="D485" s="40">
        <f t="shared" si="35"/>
        <v>1</v>
      </c>
      <c r="E485" s="51" t="s">
        <v>132</v>
      </c>
      <c r="F485" s="17" t="s">
        <v>58</v>
      </c>
      <c r="G485" s="17" t="s">
        <v>86</v>
      </c>
      <c r="H485" s="42" t="s">
        <v>717</v>
      </c>
      <c r="I485" s="17" t="str">
        <f t="shared" si="36"/>
        <v>PN-484</v>
      </c>
      <c r="J485" s="18" t="s">
        <v>85</v>
      </c>
      <c r="K485" s="19" t="e">
        <f>IF(J485="","SEM #CH",VLOOKUP(J485,#REF!,2,0))</f>
        <v>#REF!</v>
      </c>
      <c r="L485" s="19" t="e">
        <f>IF(J485="","SEM #CH",VLOOKUP(J485,#REF!,3,0))</f>
        <v>#REF!</v>
      </c>
      <c r="M485" s="19" t="e">
        <f>IF(J485="","SEM #CH",VLOOKUP(J485,#REF!,4,0))</f>
        <v>#REF!</v>
      </c>
      <c r="N485" s="19" t="e">
        <f>IF(J485="","SEM #CH",VLOOKUP(J485,#REF!,5,0))</f>
        <v>#REF!</v>
      </c>
      <c r="O485" s="19" t="e">
        <f>IF(J485="","SEM #CH",VLOOKUP(J485,#REF!,6,0))</f>
        <v>#REF!</v>
      </c>
      <c r="P485" s="19" t="e">
        <f>IF(J485="","SEM #CH",VLOOKUP(J485,#REF!,7,0))</f>
        <v>#REF!</v>
      </c>
      <c r="Q485" s="77" t="str">
        <f>VLOOKUP(J485,'p1'!$B$2:$C$30,2,0)</f>
        <v>NÃO TEM CHAPA</v>
      </c>
      <c r="R485" s="94">
        <v>45904</v>
      </c>
      <c r="S485" s="90" t="s">
        <v>218</v>
      </c>
      <c r="T485" s="90">
        <f t="shared" si="38"/>
        <v>1</v>
      </c>
      <c r="U485" s="94">
        <v>45908</v>
      </c>
      <c r="V485" s="90" t="s">
        <v>86</v>
      </c>
      <c r="W485" s="92">
        <v>2509</v>
      </c>
      <c r="X485" s="93">
        <f t="shared" si="37"/>
        <v>1</v>
      </c>
      <c r="Y485" s="92"/>
      <c r="Z485" s="92"/>
      <c r="AA485" s="13" t="str">
        <f t="shared" si="39"/>
        <v>set/2025</v>
      </c>
    </row>
    <row r="486" spans="1:27" x14ac:dyDescent="0.25">
      <c r="A486" s="89">
        <v>485</v>
      </c>
      <c r="B486" s="68">
        <v>45895</v>
      </c>
      <c r="C486" s="40">
        <v>78</v>
      </c>
      <c r="D486" s="40">
        <f t="shared" si="35"/>
        <v>1</v>
      </c>
      <c r="E486" s="51" t="s">
        <v>132</v>
      </c>
      <c r="F486" s="17" t="s">
        <v>58</v>
      </c>
      <c r="G486" s="17" t="s">
        <v>86</v>
      </c>
      <c r="H486" s="42" t="s">
        <v>718</v>
      </c>
      <c r="I486" s="17" t="str">
        <f t="shared" si="36"/>
        <v>PN-485</v>
      </c>
      <c r="J486" s="18" t="s">
        <v>85</v>
      </c>
      <c r="K486" s="19" t="e">
        <f>IF(J486="","SEM #CH",VLOOKUP(J486,#REF!,2,0))</f>
        <v>#REF!</v>
      </c>
      <c r="L486" s="19" t="e">
        <f>IF(J486="","SEM #CH",VLOOKUP(J486,#REF!,3,0))</f>
        <v>#REF!</v>
      </c>
      <c r="M486" s="19" t="e">
        <f>IF(J486="","SEM #CH",VLOOKUP(J486,#REF!,4,0))</f>
        <v>#REF!</v>
      </c>
      <c r="N486" s="19" t="e">
        <f>IF(J486="","SEM #CH",VLOOKUP(J486,#REF!,5,0))</f>
        <v>#REF!</v>
      </c>
      <c r="O486" s="19" t="e">
        <f>IF(J486="","SEM #CH",VLOOKUP(J486,#REF!,6,0))</f>
        <v>#REF!</v>
      </c>
      <c r="P486" s="19" t="e">
        <f>IF(J486="","SEM #CH",VLOOKUP(J486,#REF!,7,0))</f>
        <v>#REF!</v>
      </c>
      <c r="Q486" s="77" t="str">
        <f>VLOOKUP(J486,'p1'!$B$2:$C$30,2,0)</f>
        <v>NÃO TEM CHAPA</v>
      </c>
      <c r="R486" s="94">
        <v>45904</v>
      </c>
      <c r="S486" s="90" t="s">
        <v>218</v>
      </c>
      <c r="T486" s="90">
        <f t="shared" si="38"/>
        <v>1</v>
      </c>
      <c r="U486" s="94">
        <v>45908</v>
      </c>
      <c r="V486" s="90" t="s">
        <v>86</v>
      </c>
      <c r="W486" s="92">
        <v>2509</v>
      </c>
      <c r="X486" s="93">
        <f t="shared" si="37"/>
        <v>1</v>
      </c>
      <c r="Y486" s="92"/>
      <c r="Z486" s="92"/>
      <c r="AA486" s="13" t="str">
        <f t="shared" si="39"/>
        <v>set/2025</v>
      </c>
    </row>
    <row r="487" spans="1:27" x14ac:dyDescent="0.25">
      <c r="A487" s="89">
        <v>486</v>
      </c>
      <c r="B487" s="68">
        <v>45895</v>
      </c>
      <c r="C487" s="40">
        <v>78</v>
      </c>
      <c r="D487" s="40">
        <f t="shared" si="35"/>
        <v>1</v>
      </c>
      <c r="E487" s="51" t="s">
        <v>132</v>
      </c>
      <c r="F487" s="17" t="s">
        <v>58</v>
      </c>
      <c r="G487" s="17" t="s">
        <v>86</v>
      </c>
      <c r="H487" s="42" t="s">
        <v>719</v>
      </c>
      <c r="I487" s="17" t="str">
        <f t="shared" si="36"/>
        <v>PN-486</v>
      </c>
      <c r="J487" s="18" t="s">
        <v>85</v>
      </c>
      <c r="K487" s="19" t="e">
        <f>IF(J487="","SEM #CH",VLOOKUP(J487,#REF!,2,0))</f>
        <v>#REF!</v>
      </c>
      <c r="L487" s="19" t="e">
        <f>IF(J487="","SEM #CH",VLOOKUP(J487,#REF!,3,0))</f>
        <v>#REF!</v>
      </c>
      <c r="M487" s="19" t="e">
        <f>IF(J487="","SEM #CH",VLOOKUP(J487,#REF!,4,0))</f>
        <v>#REF!</v>
      </c>
      <c r="N487" s="19" t="e">
        <f>IF(J487="","SEM #CH",VLOOKUP(J487,#REF!,5,0))</f>
        <v>#REF!</v>
      </c>
      <c r="O487" s="19" t="e">
        <f>IF(J487="","SEM #CH",VLOOKUP(J487,#REF!,6,0))</f>
        <v>#REF!</v>
      </c>
      <c r="P487" s="19" t="e">
        <f>IF(J487="","SEM #CH",VLOOKUP(J487,#REF!,7,0))</f>
        <v>#REF!</v>
      </c>
      <c r="Q487" s="77" t="str">
        <f>VLOOKUP(J487,'p1'!$B$2:$C$30,2,0)</f>
        <v>NÃO TEM CHAPA</v>
      </c>
      <c r="R487" s="94">
        <v>45905</v>
      </c>
      <c r="S487" s="90" t="s">
        <v>218</v>
      </c>
      <c r="T487" s="90">
        <f t="shared" si="38"/>
        <v>1</v>
      </c>
      <c r="U487" s="94">
        <v>45908</v>
      </c>
      <c r="V487" s="90" t="s">
        <v>86</v>
      </c>
      <c r="W487" s="92">
        <v>2508</v>
      </c>
      <c r="X487" s="93">
        <f t="shared" si="37"/>
        <v>1</v>
      </c>
      <c r="Y487" s="92"/>
      <c r="Z487" s="92"/>
      <c r="AA487" s="13" t="str">
        <f t="shared" si="39"/>
        <v>set/2025</v>
      </c>
    </row>
    <row r="488" spans="1:27" x14ac:dyDescent="0.25">
      <c r="A488" s="89">
        <v>487</v>
      </c>
      <c r="B488" s="68">
        <v>45897</v>
      </c>
      <c r="C488" s="40">
        <v>79</v>
      </c>
      <c r="D488" s="40">
        <f t="shared" si="35"/>
        <v>1</v>
      </c>
      <c r="E488" s="51" t="s">
        <v>132</v>
      </c>
      <c r="F488" s="17" t="s">
        <v>58</v>
      </c>
      <c r="G488" s="17" t="s">
        <v>86</v>
      </c>
      <c r="H488" s="42" t="s">
        <v>720</v>
      </c>
      <c r="I488" s="17" t="str">
        <f t="shared" si="36"/>
        <v>PN-487</v>
      </c>
      <c r="J488" s="18" t="s">
        <v>85</v>
      </c>
      <c r="K488" s="19" t="e">
        <f>IF(J488="","SEM #CH",VLOOKUP(J488,#REF!,2,0))</f>
        <v>#REF!</v>
      </c>
      <c r="L488" s="19" t="e">
        <f>IF(J488="","SEM #CH",VLOOKUP(J488,#REF!,3,0))</f>
        <v>#REF!</v>
      </c>
      <c r="M488" s="19" t="e">
        <f>IF(J488="","SEM #CH",VLOOKUP(J488,#REF!,4,0))</f>
        <v>#REF!</v>
      </c>
      <c r="N488" s="19" t="e">
        <f>IF(J488="","SEM #CH",VLOOKUP(J488,#REF!,5,0))</f>
        <v>#REF!</v>
      </c>
      <c r="O488" s="19" t="e">
        <f>IF(J488="","SEM #CH",VLOOKUP(J488,#REF!,6,0))</f>
        <v>#REF!</v>
      </c>
      <c r="P488" s="19" t="e">
        <f>IF(J488="","SEM #CH",VLOOKUP(J488,#REF!,7,0))</f>
        <v>#REF!</v>
      </c>
      <c r="Q488" s="77" t="str">
        <f>VLOOKUP(J488,'p1'!$B$2:$C$30,2,0)</f>
        <v>NÃO TEM CHAPA</v>
      </c>
      <c r="R488" s="94">
        <v>45950</v>
      </c>
      <c r="S488" s="90" t="s">
        <v>217</v>
      </c>
      <c r="T488" s="90">
        <f t="shared" si="38"/>
        <v>1</v>
      </c>
      <c r="U488" s="94">
        <v>45950</v>
      </c>
      <c r="V488" s="90" t="s">
        <v>86</v>
      </c>
      <c r="W488" s="92">
        <v>2582</v>
      </c>
      <c r="X488" s="93">
        <f t="shared" si="37"/>
        <v>1</v>
      </c>
      <c r="Y488" s="92"/>
      <c r="Z488" s="92"/>
      <c r="AA488" s="13" t="str">
        <f t="shared" si="39"/>
        <v>out/2025</v>
      </c>
    </row>
    <row r="489" spans="1:27" x14ac:dyDescent="0.25">
      <c r="A489" s="89">
        <v>488</v>
      </c>
      <c r="B489" s="68">
        <v>45897</v>
      </c>
      <c r="C489" s="40">
        <v>79</v>
      </c>
      <c r="D489" s="40">
        <f t="shared" si="35"/>
        <v>1</v>
      </c>
      <c r="E489" s="51" t="s">
        <v>132</v>
      </c>
      <c r="F489" s="17" t="s">
        <v>58</v>
      </c>
      <c r="G489" s="17" t="s">
        <v>86</v>
      </c>
      <c r="H489" s="42" t="s">
        <v>721</v>
      </c>
      <c r="I489" s="17" t="str">
        <f t="shared" si="36"/>
        <v>PN-488</v>
      </c>
      <c r="J489" s="18" t="s">
        <v>85</v>
      </c>
      <c r="K489" s="19" t="e">
        <f>IF(J489="","SEM #CH",VLOOKUP(J489,#REF!,2,0))</f>
        <v>#REF!</v>
      </c>
      <c r="L489" s="19" t="e">
        <f>IF(J489="","SEM #CH",VLOOKUP(J489,#REF!,3,0))</f>
        <v>#REF!</v>
      </c>
      <c r="M489" s="19" t="e">
        <f>IF(J489="","SEM #CH",VLOOKUP(J489,#REF!,4,0))</f>
        <v>#REF!</v>
      </c>
      <c r="N489" s="19" t="e">
        <f>IF(J489="","SEM #CH",VLOOKUP(J489,#REF!,5,0))</f>
        <v>#REF!</v>
      </c>
      <c r="O489" s="19" t="e">
        <f>IF(J489="","SEM #CH",VLOOKUP(J489,#REF!,6,0))</f>
        <v>#REF!</v>
      </c>
      <c r="P489" s="19" t="e">
        <f>IF(J489="","SEM #CH",VLOOKUP(J489,#REF!,7,0))</f>
        <v>#REF!</v>
      </c>
      <c r="Q489" s="77" t="str">
        <f>VLOOKUP(J489,'p1'!$B$2:$C$30,2,0)</f>
        <v>NÃO TEM CHAPA</v>
      </c>
      <c r="R489" s="94">
        <v>45918</v>
      </c>
      <c r="S489" s="90" t="s">
        <v>217</v>
      </c>
      <c r="T489" s="90">
        <f t="shared" si="38"/>
        <v>1</v>
      </c>
      <c r="U489" s="94">
        <v>45922</v>
      </c>
      <c r="V489" s="90" t="s">
        <v>86</v>
      </c>
      <c r="W489" s="92">
        <v>2538</v>
      </c>
      <c r="X489" s="93">
        <f t="shared" si="37"/>
        <v>1</v>
      </c>
      <c r="Y489" s="92"/>
      <c r="Z489" s="92"/>
      <c r="AA489" s="13" t="str">
        <f t="shared" si="39"/>
        <v>set/2025</v>
      </c>
    </row>
    <row r="490" spans="1:27" x14ac:dyDescent="0.25">
      <c r="A490" s="89">
        <v>489</v>
      </c>
      <c r="B490" s="68">
        <v>45897</v>
      </c>
      <c r="C490" s="40">
        <v>79</v>
      </c>
      <c r="D490" s="40">
        <f t="shared" si="35"/>
        <v>1</v>
      </c>
      <c r="E490" s="51" t="s">
        <v>132</v>
      </c>
      <c r="F490" s="17" t="s">
        <v>58</v>
      </c>
      <c r="G490" s="17" t="s">
        <v>86</v>
      </c>
      <c r="H490" s="42" t="s">
        <v>722</v>
      </c>
      <c r="I490" s="17" t="str">
        <f t="shared" si="36"/>
        <v>PN-489</v>
      </c>
      <c r="J490" s="18" t="s">
        <v>85</v>
      </c>
      <c r="K490" s="19" t="e">
        <f>IF(J490="","SEM #CH",VLOOKUP(J490,#REF!,2,0))</f>
        <v>#REF!</v>
      </c>
      <c r="L490" s="19" t="e">
        <f>IF(J490="","SEM #CH",VLOOKUP(J490,#REF!,3,0))</f>
        <v>#REF!</v>
      </c>
      <c r="M490" s="19" t="e">
        <f>IF(J490="","SEM #CH",VLOOKUP(J490,#REF!,4,0))</f>
        <v>#REF!</v>
      </c>
      <c r="N490" s="19" t="e">
        <f>IF(J490="","SEM #CH",VLOOKUP(J490,#REF!,5,0))</f>
        <v>#REF!</v>
      </c>
      <c r="O490" s="19" t="e">
        <f>IF(J490="","SEM #CH",VLOOKUP(J490,#REF!,6,0))</f>
        <v>#REF!</v>
      </c>
      <c r="P490" s="19" t="e">
        <f>IF(J490="","SEM #CH",VLOOKUP(J490,#REF!,7,0))</f>
        <v>#REF!</v>
      </c>
      <c r="Q490" s="77" t="str">
        <f>VLOOKUP(J490,'p1'!$B$2:$C$30,2,0)</f>
        <v>NÃO TEM CHAPA</v>
      </c>
      <c r="R490" s="94">
        <v>45918</v>
      </c>
      <c r="S490" s="90" t="s">
        <v>217</v>
      </c>
      <c r="T490" s="90">
        <f t="shared" si="38"/>
        <v>1</v>
      </c>
      <c r="U490" s="94">
        <v>45919</v>
      </c>
      <c r="V490" s="90" t="s">
        <v>86</v>
      </c>
      <c r="W490" s="92">
        <v>2534</v>
      </c>
      <c r="X490" s="93">
        <f t="shared" si="37"/>
        <v>1</v>
      </c>
      <c r="Y490" s="92"/>
      <c r="Z490" s="92"/>
      <c r="AA490" s="13" t="str">
        <f t="shared" si="39"/>
        <v>set/2025</v>
      </c>
    </row>
    <row r="491" spans="1:27" x14ac:dyDescent="0.25">
      <c r="A491" s="89">
        <v>490</v>
      </c>
      <c r="B491" s="68">
        <v>45923</v>
      </c>
      <c r="C491" s="40">
        <v>99</v>
      </c>
      <c r="D491" s="40">
        <f t="shared" si="35"/>
        <v>1</v>
      </c>
      <c r="E491" s="51" t="s">
        <v>132</v>
      </c>
      <c r="F491" s="17" t="s">
        <v>60</v>
      </c>
      <c r="G491" s="17" t="s">
        <v>86</v>
      </c>
      <c r="H491" s="42" t="s">
        <v>723</v>
      </c>
      <c r="I491" s="17" t="str">
        <f t="shared" si="36"/>
        <v>PE-490</v>
      </c>
      <c r="J491" s="18" t="s">
        <v>88</v>
      </c>
      <c r="K491" s="19" t="e">
        <f>IF(J491="","SEM #CH",VLOOKUP(J491,#REF!,2,0))</f>
        <v>#REF!</v>
      </c>
      <c r="L491" s="19" t="e">
        <f>IF(J491="","SEM #CH",VLOOKUP(J491,#REF!,3,0))</f>
        <v>#REF!</v>
      </c>
      <c r="M491" s="19" t="e">
        <f>IF(J491="","SEM #CH",VLOOKUP(J491,#REF!,4,0))</f>
        <v>#REF!</v>
      </c>
      <c r="N491" s="19" t="e">
        <f>IF(J491="","SEM #CH",VLOOKUP(J491,#REF!,5,0))</f>
        <v>#REF!</v>
      </c>
      <c r="O491" s="19" t="e">
        <f>IF(J491="","SEM #CH",VLOOKUP(J491,#REF!,6,0))</f>
        <v>#REF!</v>
      </c>
      <c r="P491" s="19" t="e">
        <f>IF(J491="","SEM #CH",VLOOKUP(J491,#REF!,7,0))</f>
        <v>#REF!</v>
      </c>
      <c r="Q491" s="77" t="str">
        <f>VLOOKUP(J491,'p1'!$B$2:$C$30,2,0)</f>
        <v>#3/8-1315X1315</v>
      </c>
      <c r="R491" s="94">
        <v>45929</v>
      </c>
      <c r="S491" s="90" t="s">
        <v>218</v>
      </c>
      <c r="T491" s="90">
        <f t="shared" si="38"/>
        <v>1</v>
      </c>
      <c r="U491" s="94">
        <v>45929</v>
      </c>
      <c r="V491" s="90" t="s">
        <v>86</v>
      </c>
      <c r="W491" s="92">
        <v>2548</v>
      </c>
      <c r="X491" s="93">
        <f t="shared" si="37"/>
        <v>1</v>
      </c>
      <c r="Y491" s="92"/>
      <c r="Z491" s="92"/>
      <c r="AA491" s="13" t="str">
        <f t="shared" si="39"/>
        <v>set/2025</v>
      </c>
    </row>
    <row r="492" spans="1:27" x14ac:dyDescent="0.25">
      <c r="A492" s="89">
        <v>491</v>
      </c>
      <c r="B492" s="68">
        <v>45897</v>
      </c>
      <c r="C492" s="40">
        <v>79</v>
      </c>
      <c r="D492" s="40">
        <f t="shared" si="35"/>
        <v>1</v>
      </c>
      <c r="E492" s="51" t="s">
        <v>132</v>
      </c>
      <c r="F492" s="17" t="s">
        <v>58</v>
      </c>
      <c r="G492" s="17" t="s">
        <v>86</v>
      </c>
      <c r="H492" s="42" t="s">
        <v>724</v>
      </c>
      <c r="I492" s="17" t="str">
        <f t="shared" si="36"/>
        <v>PN-491</v>
      </c>
      <c r="J492" s="18" t="s">
        <v>85</v>
      </c>
      <c r="K492" s="19" t="e">
        <f>IF(J492="","SEM #CH",VLOOKUP(J492,#REF!,2,0))</f>
        <v>#REF!</v>
      </c>
      <c r="L492" s="19" t="e">
        <f>IF(J492="","SEM #CH",VLOOKUP(J492,#REF!,3,0))</f>
        <v>#REF!</v>
      </c>
      <c r="M492" s="19" t="e">
        <f>IF(J492="","SEM #CH",VLOOKUP(J492,#REF!,4,0))</f>
        <v>#REF!</v>
      </c>
      <c r="N492" s="19" t="e">
        <f>IF(J492="","SEM #CH",VLOOKUP(J492,#REF!,5,0))</f>
        <v>#REF!</v>
      </c>
      <c r="O492" s="19" t="e">
        <f>IF(J492="","SEM #CH",VLOOKUP(J492,#REF!,6,0))</f>
        <v>#REF!</v>
      </c>
      <c r="P492" s="19" t="e">
        <f>IF(J492="","SEM #CH",VLOOKUP(J492,#REF!,7,0))</f>
        <v>#REF!</v>
      </c>
      <c r="Q492" s="77" t="str">
        <f>VLOOKUP(J492,'p1'!$B$2:$C$30,2,0)</f>
        <v>NÃO TEM CHAPA</v>
      </c>
      <c r="R492" s="94">
        <v>45916</v>
      </c>
      <c r="S492" s="90" t="s">
        <v>217</v>
      </c>
      <c r="T492" s="90">
        <f t="shared" si="38"/>
        <v>1</v>
      </c>
      <c r="U492" s="94">
        <v>45919</v>
      </c>
      <c r="V492" s="90" t="s">
        <v>86</v>
      </c>
      <c r="W492" s="92">
        <v>2534</v>
      </c>
      <c r="X492" s="93">
        <f t="shared" si="37"/>
        <v>1</v>
      </c>
      <c r="Y492" s="92"/>
      <c r="Z492" s="92"/>
      <c r="AA492" s="13" t="str">
        <f t="shared" si="39"/>
        <v>set/2025</v>
      </c>
    </row>
    <row r="493" spans="1:27" x14ac:dyDescent="0.25">
      <c r="A493" s="89">
        <v>492</v>
      </c>
      <c r="B493" s="68">
        <v>45897</v>
      </c>
      <c r="C493" s="40">
        <v>79</v>
      </c>
      <c r="D493" s="40">
        <f t="shared" si="35"/>
        <v>1</v>
      </c>
      <c r="E493" s="51" t="s">
        <v>132</v>
      </c>
      <c r="F493" s="17" t="s">
        <v>58</v>
      </c>
      <c r="G493" s="17" t="s">
        <v>86</v>
      </c>
      <c r="H493" s="42" t="s">
        <v>725</v>
      </c>
      <c r="I493" s="17" t="str">
        <f t="shared" si="36"/>
        <v>PN-492</v>
      </c>
      <c r="J493" s="18" t="s">
        <v>85</v>
      </c>
      <c r="K493" s="19" t="e">
        <f>IF(J493="","SEM #CH",VLOOKUP(J493,#REF!,2,0))</f>
        <v>#REF!</v>
      </c>
      <c r="L493" s="19" t="e">
        <f>IF(J493="","SEM #CH",VLOOKUP(J493,#REF!,3,0))</f>
        <v>#REF!</v>
      </c>
      <c r="M493" s="19" t="e">
        <f>IF(J493="","SEM #CH",VLOOKUP(J493,#REF!,4,0))</f>
        <v>#REF!</v>
      </c>
      <c r="N493" s="19" t="e">
        <f>IF(J493="","SEM #CH",VLOOKUP(J493,#REF!,5,0))</f>
        <v>#REF!</v>
      </c>
      <c r="O493" s="19" t="e">
        <f>IF(J493="","SEM #CH",VLOOKUP(J493,#REF!,6,0))</f>
        <v>#REF!</v>
      </c>
      <c r="P493" s="19" t="e">
        <f>IF(J493="","SEM #CH",VLOOKUP(J493,#REF!,7,0))</f>
        <v>#REF!</v>
      </c>
      <c r="Q493" s="77" t="str">
        <f>VLOOKUP(J493,'p1'!$B$2:$C$30,2,0)</f>
        <v>NÃO TEM CHAPA</v>
      </c>
      <c r="R493" s="94">
        <v>45950</v>
      </c>
      <c r="S493" s="90" t="s">
        <v>217</v>
      </c>
      <c r="T493" s="90">
        <f t="shared" si="38"/>
        <v>1</v>
      </c>
      <c r="U493" s="94">
        <v>45951</v>
      </c>
      <c r="V493" s="90" t="s">
        <v>86</v>
      </c>
      <c r="W493" s="92">
        <v>2587</v>
      </c>
      <c r="X493" s="93">
        <f t="shared" si="37"/>
        <v>1</v>
      </c>
      <c r="Y493" s="92"/>
      <c r="Z493" s="92"/>
      <c r="AA493" s="13" t="str">
        <f t="shared" si="39"/>
        <v>out/2025</v>
      </c>
    </row>
    <row r="494" spans="1:27" x14ac:dyDescent="0.25">
      <c r="A494" s="89">
        <v>493</v>
      </c>
      <c r="B494" s="68">
        <v>45897</v>
      </c>
      <c r="C494" s="40">
        <v>79</v>
      </c>
      <c r="D494" s="40">
        <f t="shared" si="35"/>
        <v>1</v>
      </c>
      <c r="E494" s="51" t="s">
        <v>132</v>
      </c>
      <c r="F494" s="17" t="s">
        <v>58</v>
      </c>
      <c r="G494" s="17" t="s">
        <v>86</v>
      </c>
      <c r="H494" s="42" t="s">
        <v>726</v>
      </c>
      <c r="I494" s="17" t="str">
        <f t="shared" si="36"/>
        <v>PN-493</v>
      </c>
      <c r="J494" s="18" t="s">
        <v>85</v>
      </c>
      <c r="K494" s="19" t="e">
        <f>IF(J494="","SEM #CH",VLOOKUP(J494,#REF!,2,0))</f>
        <v>#REF!</v>
      </c>
      <c r="L494" s="19" t="e">
        <f>IF(J494="","SEM #CH",VLOOKUP(J494,#REF!,3,0))</f>
        <v>#REF!</v>
      </c>
      <c r="M494" s="19" t="e">
        <f>IF(J494="","SEM #CH",VLOOKUP(J494,#REF!,4,0))</f>
        <v>#REF!</v>
      </c>
      <c r="N494" s="19" t="e">
        <f>IF(J494="","SEM #CH",VLOOKUP(J494,#REF!,5,0))</f>
        <v>#REF!</v>
      </c>
      <c r="O494" s="19" t="e">
        <f>IF(J494="","SEM #CH",VLOOKUP(J494,#REF!,6,0))</f>
        <v>#REF!</v>
      </c>
      <c r="P494" s="19" t="e">
        <f>IF(J494="","SEM #CH",VLOOKUP(J494,#REF!,7,0))</f>
        <v>#REF!</v>
      </c>
      <c r="Q494" s="77" t="str">
        <f>VLOOKUP(J494,'p1'!$B$2:$C$30,2,0)</f>
        <v>NÃO TEM CHAPA</v>
      </c>
      <c r="R494" s="94">
        <v>45950</v>
      </c>
      <c r="S494" s="90" t="s">
        <v>217</v>
      </c>
      <c r="T494" s="90">
        <f t="shared" si="38"/>
        <v>1</v>
      </c>
      <c r="U494" s="94">
        <v>45951</v>
      </c>
      <c r="V494" s="90" t="s">
        <v>86</v>
      </c>
      <c r="W494" s="92">
        <v>2587</v>
      </c>
      <c r="X494" s="93">
        <f t="shared" si="37"/>
        <v>1</v>
      </c>
      <c r="Y494" s="92"/>
      <c r="Z494" s="92"/>
      <c r="AA494" s="13" t="str">
        <f t="shared" si="39"/>
        <v>out/2025</v>
      </c>
    </row>
    <row r="495" spans="1:27" x14ac:dyDescent="0.25">
      <c r="A495" s="89">
        <v>494</v>
      </c>
      <c r="B495" s="68">
        <v>45897</v>
      </c>
      <c r="C495" s="40">
        <v>79</v>
      </c>
      <c r="D495" s="40">
        <f t="shared" si="35"/>
        <v>1</v>
      </c>
      <c r="E495" s="51" t="s">
        <v>132</v>
      </c>
      <c r="F495" s="17" t="s">
        <v>58</v>
      </c>
      <c r="G495" s="17" t="s">
        <v>86</v>
      </c>
      <c r="H495" s="42" t="s">
        <v>727</v>
      </c>
      <c r="I495" s="17" t="str">
        <f t="shared" si="36"/>
        <v>PN-494</v>
      </c>
      <c r="J495" s="18" t="s">
        <v>85</v>
      </c>
      <c r="K495" s="19" t="e">
        <f>IF(J495="","SEM #CH",VLOOKUP(J495,#REF!,2,0))</f>
        <v>#REF!</v>
      </c>
      <c r="L495" s="19" t="e">
        <f>IF(J495="","SEM #CH",VLOOKUP(J495,#REF!,3,0))</f>
        <v>#REF!</v>
      </c>
      <c r="M495" s="19" t="e">
        <f>IF(J495="","SEM #CH",VLOOKUP(J495,#REF!,4,0))</f>
        <v>#REF!</v>
      </c>
      <c r="N495" s="19" t="e">
        <f>IF(J495="","SEM #CH",VLOOKUP(J495,#REF!,5,0))</f>
        <v>#REF!</v>
      </c>
      <c r="O495" s="19" t="e">
        <f>IF(J495="","SEM #CH",VLOOKUP(J495,#REF!,6,0))</f>
        <v>#REF!</v>
      </c>
      <c r="P495" s="19" t="e">
        <f>IF(J495="","SEM #CH",VLOOKUP(J495,#REF!,7,0))</f>
        <v>#REF!</v>
      </c>
      <c r="Q495" s="77" t="str">
        <f>VLOOKUP(J495,'p1'!$B$2:$C$30,2,0)</f>
        <v>NÃO TEM CHAPA</v>
      </c>
      <c r="R495" s="94">
        <v>45950</v>
      </c>
      <c r="S495" s="90" t="s">
        <v>217</v>
      </c>
      <c r="T495" s="90">
        <f t="shared" si="38"/>
        <v>1</v>
      </c>
      <c r="U495" s="94">
        <v>45951</v>
      </c>
      <c r="V495" s="90" t="s">
        <v>86</v>
      </c>
      <c r="W495" s="92">
        <v>2588</v>
      </c>
      <c r="X495" s="93">
        <f t="shared" si="37"/>
        <v>1</v>
      </c>
      <c r="Y495" s="92"/>
      <c r="Z495" s="92"/>
      <c r="AA495" s="13" t="str">
        <f t="shared" si="39"/>
        <v>out/2025</v>
      </c>
    </row>
    <row r="496" spans="1:27" x14ac:dyDescent="0.25">
      <c r="A496" s="89">
        <v>495</v>
      </c>
      <c r="B496" s="68">
        <v>45899</v>
      </c>
      <c r="C496" s="40">
        <v>80</v>
      </c>
      <c r="D496" s="40">
        <f t="shared" si="35"/>
        <v>1</v>
      </c>
      <c r="E496" s="51" t="s">
        <v>132</v>
      </c>
      <c r="F496" s="17" t="s">
        <v>58</v>
      </c>
      <c r="G496" s="17" t="s">
        <v>86</v>
      </c>
      <c r="H496" s="42" t="s">
        <v>728</v>
      </c>
      <c r="I496" s="17" t="str">
        <f t="shared" si="36"/>
        <v>PN-495</v>
      </c>
      <c r="J496" s="18" t="s">
        <v>85</v>
      </c>
      <c r="K496" s="19" t="e">
        <f>IF(J496="","SEM #CH",VLOOKUP(J496,#REF!,2,0))</f>
        <v>#REF!</v>
      </c>
      <c r="L496" s="19" t="e">
        <f>IF(J496="","SEM #CH",VLOOKUP(J496,#REF!,3,0))</f>
        <v>#REF!</v>
      </c>
      <c r="M496" s="19" t="e">
        <f>IF(J496="","SEM #CH",VLOOKUP(J496,#REF!,4,0))</f>
        <v>#REF!</v>
      </c>
      <c r="N496" s="19" t="e">
        <f>IF(J496="","SEM #CH",VLOOKUP(J496,#REF!,5,0))</f>
        <v>#REF!</v>
      </c>
      <c r="O496" s="19" t="e">
        <f>IF(J496="","SEM #CH",VLOOKUP(J496,#REF!,6,0))</f>
        <v>#REF!</v>
      </c>
      <c r="P496" s="19" t="e">
        <f>IF(J496="","SEM #CH",VLOOKUP(J496,#REF!,7,0))</f>
        <v>#REF!</v>
      </c>
      <c r="Q496" s="77" t="str">
        <f>VLOOKUP(J496,'p1'!$B$2:$C$30,2,0)</f>
        <v>NÃO TEM CHAPA</v>
      </c>
      <c r="R496" s="94">
        <v>45915</v>
      </c>
      <c r="S496" s="90" t="s">
        <v>218</v>
      </c>
      <c r="T496" s="90">
        <f t="shared" si="38"/>
        <v>1</v>
      </c>
      <c r="U496" s="94">
        <v>45916</v>
      </c>
      <c r="V496" s="90" t="s">
        <v>86</v>
      </c>
      <c r="W496" s="92">
        <v>2526</v>
      </c>
      <c r="X496" s="93">
        <f t="shared" si="37"/>
        <v>1</v>
      </c>
      <c r="Y496" s="92"/>
      <c r="Z496" s="92"/>
      <c r="AA496" s="13" t="str">
        <f t="shared" si="39"/>
        <v>set/2025</v>
      </c>
    </row>
    <row r="497" spans="1:27" x14ac:dyDescent="0.25">
      <c r="A497" s="89">
        <v>496</v>
      </c>
      <c r="B497" s="68">
        <v>45899</v>
      </c>
      <c r="C497" s="40">
        <v>80</v>
      </c>
      <c r="D497" s="40">
        <f t="shared" si="35"/>
        <v>1</v>
      </c>
      <c r="E497" s="51" t="s">
        <v>132</v>
      </c>
      <c r="F497" s="17" t="s">
        <v>58</v>
      </c>
      <c r="G497" s="17" t="s">
        <v>86</v>
      </c>
      <c r="H497" s="42" t="s">
        <v>729</v>
      </c>
      <c r="I497" s="17" t="str">
        <f t="shared" si="36"/>
        <v>PN-496</v>
      </c>
      <c r="J497" s="18" t="s">
        <v>85</v>
      </c>
      <c r="K497" s="19" t="e">
        <f>IF(J497="","SEM #CH",VLOOKUP(J497,#REF!,2,0))</f>
        <v>#REF!</v>
      </c>
      <c r="L497" s="19" t="e">
        <f>IF(J497="","SEM #CH",VLOOKUP(J497,#REF!,3,0))</f>
        <v>#REF!</v>
      </c>
      <c r="M497" s="19" t="e">
        <f>IF(J497="","SEM #CH",VLOOKUP(J497,#REF!,4,0))</f>
        <v>#REF!</v>
      </c>
      <c r="N497" s="19" t="e">
        <f>IF(J497="","SEM #CH",VLOOKUP(J497,#REF!,5,0))</f>
        <v>#REF!</v>
      </c>
      <c r="O497" s="19" t="e">
        <f>IF(J497="","SEM #CH",VLOOKUP(J497,#REF!,6,0))</f>
        <v>#REF!</v>
      </c>
      <c r="P497" s="19" t="e">
        <f>IF(J497="","SEM #CH",VLOOKUP(J497,#REF!,7,0))</f>
        <v>#REF!</v>
      </c>
      <c r="Q497" s="77" t="str">
        <f>VLOOKUP(J497,'p1'!$B$2:$C$30,2,0)</f>
        <v>NÃO TEM CHAPA</v>
      </c>
      <c r="R497" s="94">
        <v>45917</v>
      </c>
      <c r="S497" s="90" t="s">
        <v>218</v>
      </c>
      <c r="T497" s="90">
        <f t="shared" si="38"/>
        <v>1</v>
      </c>
      <c r="U497" s="94">
        <v>45919</v>
      </c>
      <c r="V497" s="90" t="s">
        <v>86</v>
      </c>
      <c r="W497" s="92">
        <v>2535</v>
      </c>
      <c r="X497" s="93">
        <f t="shared" si="37"/>
        <v>1</v>
      </c>
      <c r="Y497" s="92"/>
      <c r="Z497" s="92"/>
      <c r="AA497" s="13" t="str">
        <f t="shared" si="39"/>
        <v>set/2025</v>
      </c>
    </row>
    <row r="498" spans="1:27" x14ac:dyDescent="0.25">
      <c r="A498" s="89">
        <v>497</v>
      </c>
      <c r="B498" s="68">
        <v>45929</v>
      </c>
      <c r="C498" s="40">
        <v>104</v>
      </c>
      <c r="D498" s="40">
        <f t="shared" si="35"/>
        <v>1</v>
      </c>
      <c r="E498" s="44" t="s">
        <v>169</v>
      </c>
      <c r="F498" s="17" t="s">
        <v>61</v>
      </c>
      <c r="G498" s="17" t="s">
        <v>86</v>
      </c>
      <c r="H498" s="42" t="s">
        <v>730</v>
      </c>
      <c r="I498" s="17" t="str">
        <f t="shared" si="36"/>
        <v>PF-497</v>
      </c>
      <c r="J498" s="18" t="s">
        <v>61</v>
      </c>
      <c r="K498" s="19" t="e">
        <f>IF(J498="","SEM #CH",VLOOKUP(J498,#REF!,2,0))</f>
        <v>#REF!</v>
      </c>
      <c r="L498" s="19" t="e">
        <f>IF(J498="","SEM #CH",VLOOKUP(J498,#REF!,3,0))</f>
        <v>#REF!</v>
      </c>
      <c r="M498" s="19" t="e">
        <f>IF(J498="","SEM #CH",VLOOKUP(J498,#REF!,4,0))</f>
        <v>#REF!</v>
      </c>
      <c r="N498" s="19" t="e">
        <f>IF(J498="","SEM #CH",VLOOKUP(J498,#REF!,5,0))</f>
        <v>#REF!</v>
      </c>
      <c r="O498" s="19" t="e">
        <f>IF(J498="","SEM #CH",VLOOKUP(J498,#REF!,6,0))</f>
        <v>#REF!</v>
      </c>
      <c r="P498" s="19" t="e">
        <f>IF(J498="","SEM #CH",VLOOKUP(J498,#REF!,7,0))</f>
        <v>#REF!</v>
      </c>
      <c r="Q498" s="77" t="str">
        <f>VLOOKUP(J498,'p1'!$B$2:$C$30,2,0)</f>
        <v>SEM CHAPA</v>
      </c>
      <c r="R498" s="94">
        <v>45931</v>
      </c>
      <c r="S498" s="90" t="s">
        <v>217</v>
      </c>
      <c r="T498" s="90">
        <f t="shared" si="38"/>
        <v>1</v>
      </c>
      <c r="U498" s="94">
        <v>45931</v>
      </c>
      <c r="V498" s="90" t="s">
        <v>86</v>
      </c>
      <c r="W498" s="92">
        <v>2555</v>
      </c>
      <c r="X498" s="93">
        <f t="shared" si="37"/>
        <v>1</v>
      </c>
      <c r="Y498" s="92"/>
      <c r="Z498" s="92"/>
      <c r="AA498" s="13" t="str">
        <f t="shared" si="39"/>
        <v>out/2025</v>
      </c>
    </row>
    <row r="499" spans="1:27" x14ac:dyDescent="0.25">
      <c r="A499" s="89">
        <v>498</v>
      </c>
      <c r="B499" s="68">
        <v>45899</v>
      </c>
      <c r="C499" s="40">
        <v>80</v>
      </c>
      <c r="D499" s="40">
        <f t="shared" si="35"/>
        <v>1</v>
      </c>
      <c r="E499" s="44" t="s">
        <v>169</v>
      </c>
      <c r="F499" s="17" t="s">
        <v>58</v>
      </c>
      <c r="G499" s="17" t="s">
        <v>86</v>
      </c>
      <c r="H499" s="42" t="s">
        <v>731</v>
      </c>
      <c r="I499" s="17" t="str">
        <f t="shared" si="36"/>
        <v>PN-498</v>
      </c>
      <c r="J499" s="18" t="s">
        <v>85</v>
      </c>
      <c r="K499" s="19" t="e">
        <f>IF(J499="","SEM #CH",VLOOKUP(J499,#REF!,2,0))</f>
        <v>#REF!</v>
      </c>
      <c r="L499" s="19" t="e">
        <f>IF(J499="","SEM #CH",VLOOKUP(J499,#REF!,3,0))</f>
        <v>#REF!</v>
      </c>
      <c r="M499" s="19" t="e">
        <f>IF(J499="","SEM #CH",VLOOKUP(J499,#REF!,4,0))</f>
        <v>#REF!</v>
      </c>
      <c r="N499" s="19" t="e">
        <f>IF(J499="","SEM #CH",VLOOKUP(J499,#REF!,5,0))</f>
        <v>#REF!</v>
      </c>
      <c r="O499" s="19" t="e">
        <f>IF(J499="","SEM #CH",VLOOKUP(J499,#REF!,6,0))</f>
        <v>#REF!</v>
      </c>
      <c r="P499" s="19" t="e">
        <f>IF(J499="","SEM #CH",VLOOKUP(J499,#REF!,7,0))</f>
        <v>#REF!</v>
      </c>
      <c r="Q499" s="77" t="str">
        <f>VLOOKUP(J499,'p1'!$B$2:$C$30,2,0)</f>
        <v>NÃO TEM CHAPA</v>
      </c>
      <c r="R499" s="94">
        <v>45917</v>
      </c>
      <c r="S499" s="90" t="s">
        <v>218</v>
      </c>
      <c r="T499" s="90">
        <f t="shared" si="38"/>
        <v>1</v>
      </c>
      <c r="U499" s="94">
        <v>45919</v>
      </c>
      <c r="V499" s="90" t="s">
        <v>86</v>
      </c>
      <c r="W499" s="92">
        <v>2535</v>
      </c>
      <c r="X499" s="93">
        <f t="shared" si="37"/>
        <v>1</v>
      </c>
      <c r="Y499" s="92"/>
      <c r="Z499" s="92"/>
      <c r="AA499" s="13" t="str">
        <f t="shared" si="39"/>
        <v>set/2025</v>
      </c>
    </row>
    <row r="500" spans="1:27" x14ac:dyDescent="0.25">
      <c r="A500" s="89">
        <v>499</v>
      </c>
      <c r="B500" s="68">
        <v>45899</v>
      </c>
      <c r="C500" s="40">
        <v>80</v>
      </c>
      <c r="D500" s="40">
        <f t="shared" si="35"/>
        <v>1</v>
      </c>
      <c r="E500" s="44" t="s">
        <v>169</v>
      </c>
      <c r="F500" s="17" t="s">
        <v>58</v>
      </c>
      <c r="G500" s="17" t="s">
        <v>86</v>
      </c>
      <c r="H500" s="42" t="s">
        <v>732</v>
      </c>
      <c r="I500" s="17" t="str">
        <f t="shared" si="36"/>
        <v>PN-499</v>
      </c>
      <c r="J500" s="18" t="s">
        <v>85</v>
      </c>
      <c r="K500" s="19" t="e">
        <f>IF(J500="","SEM #CH",VLOOKUP(J500,#REF!,2,0))</f>
        <v>#REF!</v>
      </c>
      <c r="L500" s="19" t="e">
        <f>IF(J500="","SEM #CH",VLOOKUP(J500,#REF!,3,0))</f>
        <v>#REF!</v>
      </c>
      <c r="M500" s="19" t="e">
        <f>IF(J500="","SEM #CH",VLOOKUP(J500,#REF!,4,0))</f>
        <v>#REF!</v>
      </c>
      <c r="N500" s="19" t="e">
        <f>IF(J500="","SEM #CH",VLOOKUP(J500,#REF!,5,0))</f>
        <v>#REF!</v>
      </c>
      <c r="O500" s="19" t="e">
        <f>IF(J500="","SEM #CH",VLOOKUP(J500,#REF!,6,0))</f>
        <v>#REF!</v>
      </c>
      <c r="P500" s="19" t="e">
        <f>IF(J500="","SEM #CH",VLOOKUP(J500,#REF!,7,0))</f>
        <v>#REF!</v>
      </c>
      <c r="Q500" s="77" t="str">
        <f>VLOOKUP(J500,'p1'!$B$2:$C$30,2,0)</f>
        <v>NÃO TEM CHAPA</v>
      </c>
      <c r="R500" s="94">
        <v>45917</v>
      </c>
      <c r="S500" s="90" t="s">
        <v>218</v>
      </c>
      <c r="T500" s="90">
        <f t="shared" si="38"/>
        <v>1</v>
      </c>
      <c r="U500" s="94">
        <v>45919</v>
      </c>
      <c r="V500" s="90" t="s">
        <v>86</v>
      </c>
      <c r="W500" s="92">
        <v>2536</v>
      </c>
      <c r="X500" s="93">
        <f t="shared" si="37"/>
        <v>1</v>
      </c>
      <c r="Y500" s="92"/>
      <c r="Z500" s="92"/>
      <c r="AA500" s="13" t="str">
        <f t="shared" si="39"/>
        <v>set/2025</v>
      </c>
    </row>
    <row r="501" spans="1:27" x14ac:dyDescent="0.25">
      <c r="A501" s="89">
        <v>500</v>
      </c>
      <c r="B501" s="68">
        <v>45899</v>
      </c>
      <c r="C501" s="40">
        <v>80</v>
      </c>
      <c r="D501" s="40">
        <f t="shared" si="35"/>
        <v>1</v>
      </c>
      <c r="E501" s="44" t="s">
        <v>169</v>
      </c>
      <c r="F501" s="17" t="s">
        <v>58</v>
      </c>
      <c r="G501" s="17" t="s">
        <v>86</v>
      </c>
      <c r="H501" s="42" t="s">
        <v>733</v>
      </c>
      <c r="I501" s="17" t="str">
        <f t="shared" si="36"/>
        <v>PN-500</v>
      </c>
      <c r="J501" s="18" t="s">
        <v>85</v>
      </c>
      <c r="K501" s="19" t="e">
        <f>IF(J501="","SEM #CH",VLOOKUP(J501,#REF!,2,0))</f>
        <v>#REF!</v>
      </c>
      <c r="L501" s="19" t="e">
        <f>IF(J501="","SEM #CH",VLOOKUP(J501,#REF!,3,0))</f>
        <v>#REF!</v>
      </c>
      <c r="M501" s="19" t="e">
        <f>IF(J501="","SEM #CH",VLOOKUP(J501,#REF!,4,0))</f>
        <v>#REF!</v>
      </c>
      <c r="N501" s="19" t="e">
        <f>IF(J501="","SEM #CH",VLOOKUP(J501,#REF!,5,0))</f>
        <v>#REF!</v>
      </c>
      <c r="O501" s="19" t="e">
        <f>IF(J501="","SEM #CH",VLOOKUP(J501,#REF!,6,0))</f>
        <v>#REF!</v>
      </c>
      <c r="P501" s="19" t="e">
        <f>IF(J501="","SEM #CH",VLOOKUP(J501,#REF!,7,0))</f>
        <v>#REF!</v>
      </c>
      <c r="Q501" s="77" t="str">
        <f>VLOOKUP(J501,'p1'!$B$2:$C$30,2,0)</f>
        <v>NÃO TEM CHAPA</v>
      </c>
      <c r="R501" s="94">
        <v>45917</v>
      </c>
      <c r="S501" s="90" t="s">
        <v>218</v>
      </c>
      <c r="T501" s="90">
        <f t="shared" si="38"/>
        <v>1</v>
      </c>
      <c r="U501" s="94">
        <v>45919</v>
      </c>
      <c r="V501" s="90" t="s">
        <v>86</v>
      </c>
      <c r="W501" s="92">
        <v>2535</v>
      </c>
      <c r="X501" s="93">
        <f t="shared" si="37"/>
        <v>1</v>
      </c>
      <c r="Y501" s="92"/>
      <c r="Z501" s="92"/>
      <c r="AA501" s="13" t="str">
        <f t="shared" si="39"/>
        <v>set/2025</v>
      </c>
    </row>
    <row r="502" spans="1:27" x14ac:dyDescent="0.25">
      <c r="A502" s="89">
        <v>501</v>
      </c>
      <c r="B502" s="68">
        <v>45899</v>
      </c>
      <c r="C502" s="40">
        <v>81</v>
      </c>
      <c r="D502" s="40">
        <f t="shared" si="35"/>
        <v>1</v>
      </c>
      <c r="E502" s="44" t="s">
        <v>169</v>
      </c>
      <c r="F502" s="17" t="s">
        <v>58</v>
      </c>
      <c r="G502" s="17" t="s">
        <v>86</v>
      </c>
      <c r="H502" s="42" t="s">
        <v>734</v>
      </c>
      <c r="I502" s="17" t="str">
        <f t="shared" si="36"/>
        <v>PN-501</v>
      </c>
      <c r="J502" s="18" t="s">
        <v>85</v>
      </c>
      <c r="K502" s="19" t="e">
        <f>IF(J502="","SEM #CH",VLOOKUP(J502,#REF!,2,0))</f>
        <v>#REF!</v>
      </c>
      <c r="L502" s="19" t="e">
        <f>IF(J502="","SEM #CH",VLOOKUP(J502,#REF!,3,0))</f>
        <v>#REF!</v>
      </c>
      <c r="M502" s="19" t="e">
        <f>IF(J502="","SEM #CH",VLOOKUP(J502,#REF!,4,0))</f>
        <v>#REF!</v>
      </c>
      <c r="N502" s="19" t="e">
        <f>IF(J502="","SEM #CH",VLOOKUP(J502,#REF!,5,0))</f>
        <v>#REF!</v>
      </c>
      <c r="O502" s="19" t="e">
        <f>IF(J502="","SEM #CH",VLOOKUP(J502,#REF!,6,0))</f>
        <v>#REF!</v>
      </c>
      <c r="P502" s="19" t="e">
        <f>IF(J502="","SEM #CH",VLOOKUP(J502,#REF!,7,0))</f>
        <v>#REF!</v>
      </c>
      <c r="Q502" s="77" t="str">
        <f>VLOOKUP(J502,'p1'!$B$2:$C$30,2,0)</f>
        <v>NÃO TEM CHAPA</v>
      </c>
      <c r="R502" s="94">
        <v>45936</v>
      </c>
      <c r="S502" s="90" t="s">
        <v>217</v>
      </c>
      <c r="T502" s="90">
        <f t="shared" si="38"/>
        <v>1</v>
      </c>
      <c r="U502" s="94">
        <v>45937</v>
      </c>
      <c r="V502" s="90" t="s">
        <v>86</v>
      </c>
      <c r="W502" s="92">
        <v>2567</v>
      </c>
      <c r="X502" s="93">
        <f t="shared" si="37"/>
        <v>1</v>
      </c>
      <c r="Y502" s="92"/>
      <c r="Z502" s="92"/>
      <c r="AA502" s="13" t="str">
        <f t="shared" si="39"/>
        <v>out/2025</v>
      </c>
    </row>
    <row r="503" spans="1:27" x14ac:dyDescent="0.25">
      <c r="A503" s="89">
        <v>502</v>
      </c>
      <c r="B503" s="68">
        <v>45899</v>
      </c>
      <c r="C503" s="40">
        <v>81</v>
      </c>
      <c r="D503" s="40">
        <f t="shared" si="35"/>
        <v>1</v>
      </c>
      <c r="E503" s="44" t="s">
        <v>169</v>
      </c>
      <c r="F503" s="17" t="s">
        <v>58</v>
      </c>
      <c r="G503" s="17" t="s">
        <v>86</v>
      </c>
      <c r="H503" s="42" t="s">
        <v>735</v>
      </c>
      <c r="I503" s="17" t="str">
        <f t="shared" si="36"/>
        <v>PN-502</v>
      </c>
      <c r="J503" s="18" t="s">
        <v>85</v>
      </c>
      <c r="K503" s="19" t="e">
        <f>IF(J503="","SEM #CH",VLOOKUP(J503,#REF!,2,0))</f>
        <v>#REF!</v>
      </c>
      <c r="L503" s="19" t="e">
        <f>IF(J503="","SEM #CH",VLOOKUP(J503,#REF!,3,0))</f>
        <v>#REF!</v>
      </c>
      <c r="M503" s="19" t="e">
        <f>IF(J503="","SEM #CH",VLOOKUP(J503,#REF!,4,0))</f>
        <v>#REF!</v>
      </c>
      <c r="N503" s="19" t="e">
        <f>IF(J503="","SEM #CH",VLOOKUP(J503,#REF!,5,0))</f>
        <v>#REF!</v>
      </c>
      <c r="O503" s="19" t="e">
        <f>IF(J503="","SEM #CH",VLOOKUP(J503,#REF!,6,0))</f>
        <v>#REF!</v>
      </c>
      <c r="P503" s="19" t="e">
        <f>IF(J503="","SEM #CH",VLOOKUP(J503,#REF!,7,0))</f>
        <v>#REF!</v>
      </c>
      <c r="Q503" s="77" t="str">
        <f>VLOOKUP(J503,'p1'!$B$2:$C$30,2,0)</f>
        <v>NÃO TEM CHAPA</v>
      </c>
      <c r="R503" s="94">
        <v>45936</v>
      </c>
      <c r="S503" s="90" t="s">
        <v>217</v>
      </c>
      <c r="T503" s="90">
        <f t="shared" si="38"/>
        <v>1</v>
      </c>
      <c r="U503" s="94">
        <v>45936</v>
      </c>
      <c r="V503" s="90" t="s">
        <v>86</v>
      </c>
      <c r="W503" s="92">
        <v>2563</v>
      </c>
      <c r="X503" s="93">
        <f t="shared" si="37"/>
        <v>1</v>
      </c>
      <c r="Y503" s="92"/>
      <c r="Z503" s="92"/>
      <c r="AA503" s="13" t="str">
        <f t="shared" si="39"/>
        <v>out/2025</v>
      </c>
    </row>
    <row r="504" spans="1:27" x14ac:dyDescent="0.25">
      <c r="A504" s="89">
        <v>503</v>
      </c>
      <c r="B504" s="68">
        <v>45899</v>
      </c>
      <c r="C504" s="40">
        <v>81</v>
      </c>
      <c r="D504" s="40">
        <f t="shared" si="35"/>
        <v>1</v>
      </c>
      <c r="E504" s="44" t="s">
        <v>169</v>
      </c>
      <c r="F504" s="17" t="s">
        <v>58</v>
      </c>
      <c r="G504" s="17" t="s">
        <v>86</v>
      </c>
      <c r="H504" s="42" t="s">
        <v>736</v>
      </c>
      <c r="I504" s="17" t="str">
        <f t="shared" si="36"/>
        <v>PN-503</v>
      </c>
      <c r="J504" s="18" t="s">
        <v>85</v>
      </c>
      <c r="K504" s="19" t="e">
        <f>IF(J504="","SEM #CH",VLOOKUP(J504,#REF!,2,0))</f>
        <v>#REF!</v>
      </c>
      <c r="L504" s="19" t="e">
        <f>IF(J504="","SEM #CH",VLOOKUP(J504,#REF!,3,0))</f>
        <v>#REF!</v>
      </c>
      <c r="M504" s="19" t="e">
        <f>IF(J504="","SEM #CH",VLOOKUP(J504,#REF!,4,0))</f>
        <v>#REF!</v>
      </c>
      <c r="N504" s="19" t="e">
        <f>IF(J504="","SEM #CH",VLOOKUP(J504,#REF!,5,0))</f>
        <v>#REF!</v>
      </c>
      <c r="O504" s="19" t="e">
        <f>IF(J504="","SEM #CH",VLOOKUP(J504,#REF!,6,0))</f>
        <v>#REF!</v>
      </c>
      <c r="P504" s="19" t="e">
        <f>IF(J504="","SEM #CH",VLOOKUP(J504,#REF!,7,0))</f>
        <v>#REF!</v>
      </c>
      <c r="Q504" s="77" t="str">
        <f>VLOOKUP(J504,'p1'!$B$2:$C$30,2,0)</f>
        <v>NÃO TEM CHAPA</v>
      </c>
      <c r="R504" s="94">
        <v>45934</v>
      </c>
      <c r="S504" s="90" t="s">
        <v>217</v>
      </c>
      <c r="T504" s="90">
        <f t="shared" si="38"/>
        <v>1</v>
      </c>
      <c r="U504" s="94">
        <v>45936</v>
      </c>
      <c r="V504" s="90" t="s">
        <v>86</v>
      </c>
      <c r="W504" s="92">
        <v>2563</v>
      </c>
      <c r="X504" s="93">
        <f t="shared" si="37"/>
        <v>1</v>
      </c>
      <c r="Y504" s="92"/>
      <c r="Z504" s="92"/>
      <c r="AA504" s="13" t="str">
        <f t="shared" si="39"/>
        <v>out/2025</v>
      </c>
    </row>
    <row r="505" spans="1:27" x14ac:dyDescent="0.25">
      <c r="A505" s="89">
        <v>504</v>
      </c>
      <c r="B505" s="68">
        <v>45899</v>
      </c>
      <c r="C505" s="40">
        <v>81</v>
      </c>
      <c r="D505" s="40">
        <f t="shared" si="35"/>
        <v>1</v>
      </c>
      <c r="E505" s="44" t="s">
        <v>169</v>
      </c>
      <c r="F505" s="17" t="s">
        <v>58</v>
      </c>
      <c r="G505" s="17" t="s">
        <v>86</v>
      </c>
      <c r="H505" s="42" t="s">
        <v>737</v>
      </c>
      <c r="I505" s="17" t="str">
        <f t="shared" si="36"/>
        <v>PN-504</v>
      </c>
      <c r="J505" s="18" t="s">
        <v>85</v>
      </c>
      <c r="K505" s="19" t="e">
        <f>IF(J505="","SEM #CH",VLOOKUP(J505,#REF!,2,0))</f>
        <v>#REF!</v>
      </c>
      <c r="L505" s="19" t="e">
        <f>IF(J505="","SEM #CH",VLOOKUP(J505,#REF!,3,0))</f>
        <v>#REF!</v>
      </c>
      <c r="M505" s="19" t="e">
        <f>IF(J505="","SEM #CH",VLOOKUP(J505,#REF!,4,0))</f>
        <v>#REF!</v>
      </c>
      <c r="N505" s="19" t="e">
        <f>IF(J505="","SEM #CH",VLOOKUP(J505,#REF!,5,0))</f>
        <v>#REF!</v>
      </c>
      <c r="O505" s="19" t="e">
        <f>IF(J505="","SEM #CH",VLOOKUP(J505,#REF!,6,0))</f>
        <v>#REF!</v>
      </c>
      <c r="P505" s="19" t="e">
        <f>IF(J505="","SEM #CH",VLOOKUP(J505,#REF!,7,0))</f>
        <v>#REF!</v>
      </c>
      <c r="Q505" s="77" t="str">
        <f>VLOOKUP(J505,'p1'!$B$2:$C$30,2,0)</f>
        <v>NÃO TEM CHAPA</v>
      </c>
      <c r="R505" s="94">
        <v>45934</v>
      </c>
      <c r="S505" s="90" t="s">
        <v>217</v>
      </c>
      <c r="T505" s="90">
        <f t="shared" si="38"/>
        <v>1</v>
      </c>
      <c r="U505" s="94">
        <v>45936</v>
      </c>
      <c r="V505" s="90" t="s">
        <v>86</v>
      </c>
      <c r="W505" s="92">
        <v>2563</v>
      </c>
      <c r="X505" s="93">
        <f t="shared" si="37"/>
        <v>1</v>
      </c>
      <c r="Y505" s="92"/>
      <c r="Z505" s="92"/>
      <c r="AA505" s="13" t="str">
        <f t="shared" si="39"/>
        <v>out/2025</v>
      </c>
    </row>
    <row r="506" spans="1:27" x14ac:dyDescent="0.25">
      <c r="A506" s="89">
        <v>505</v>
      </c>
      <c r="B506" s="68">
        <v>45899</v>
      </c>
      <c r="C506" s="40">
        <v>81</v>
      </c>
      <c r="D506" s="40">
        <f t="shared" si="35"/>
        <v>1</v>
      </c>
      <c r="E506" s="44" t="s">
        <v>169</v>
      </c>
      <c r="F506" s="17" t="s">
        <v>58</v>
      </c>
      <c r="G506" s="17" t="s">
        <v>86</v>
      </c>
      <c r="H506" s="42" t="s">
        <v>738</v>
      </c>
      <c r="I506" s="17" t="str">
        <f t="shared" si="36"/>
        <v>PN-505</v>
      </c>
      <c r="J506" s="18" t="s">
        <v>85</v>
      </c>
      <c r="K506" s="19" t="e">
        <f>IF(J506="","SEM #CH",VLOOKUP(J506,#REF!,2,0))</f>
        <v>#REF!</v>
      </c>
      <c r="L506" s="19" t="e">
        <f>IF(J506="","SEM #CH",VLOOKUP(J506,#REF!,3,0))</f>
        <v>#REF!</v>
      </c>
      <c r="M506" s="19" t="e">
        <f>IF(J506="","SEM #CH",VLOOKUP(J506,#REF!,4,0))</f>
        <v>#REF!</v>
      </c>
      <c r="N506" s="19" t="e">
        <f>IF(J506="","SEM #CH",VLOOKUP(J506,#REF!,5,0))</f>
        <v>#REF!</v>
      </c>
      <c r="O506" s="19" t="e">
        <f>IF(J506="","SEM #CH",VLOOKUP(J506,#REF!,6,0))</f>
        <v>#REF!</v>
      </c>
      <c r="P506" s="19" t="e">
        <f>IF(J506="","SEM #CH",VLOOKUP(J506,#REF!,7,0))</f>
        <v>#REF!</v>
      </c>
      <c r="Q506" s="77" t="str">
        <f>VLOOKUP(J506,'p1'!$B$2:$C$30,2,0)</f>
        <v>NÃO TEM CHAPA</v>
      </c>
      <c r="R506" s="94">
        <v>45934</v>
      </c>
      <c r="S506" s="90" t="s">
        <v>217</v>
      </c>
      <c r="T506" s="90">
        <f t="shared" si="38"/>
        <v>1</v>
      </c>
      <c r="U506" s="94">
        <v>45936</v>
      </c>
      <c r="V506" s="90" t="s">
        <v>86</v>
      </c>
      <c r="W506" s="92">
        <v>2566</v>
      </c>
      <c r="X506" s="93">
        <f t="shared" si="37"/>
        <v>1</v>
      </c>
      <c r="Y506" s="92"/>
      <c r="Z506" s="92"/>
      <c r="AA506" s="13" t="str">
        <f t="shared" si="39"/>
        <v>out/2025</v>
      </c>
    </row>
    <row r="507" spans="1:27" x14ac:dyDescent="0.25">
      <c r="A507" s="89">
        <v>506</v>
      </c>
      <c r="B507" s="68">
        <v>45899</v>
      </c>
      <c r="C507" s="40">
        <v>81</v>
      </c>
      <c r="D507" s="40">
        <f t="shared" si="35"/>
        <v>1</v>
      </c>
      <c r="E507" s="44" t="s">
        <v>169</v>
      </c>
      <c r="F507" s="17" t="s">
        <v>58</v>
      </c>
      <c r="G507" s="17" t="s">
        <v>86</v>
      </c>
      <c r="H507" s="42" t="s">
        <v>739</v>
      </c>
      <c r="I507" s="17" t="str">
        <f t="shared" si="36"/>
        <v>PN-506</v>
      </c>
      <c r="J507" s="18" t="s">
        <v>85</v>
      </c>
      <c r="K507" s="19" t="e">
        <f>IF(J507="","SEM #CH",VLOOKUP(J507,#REF!,2,0))</f>
        <v>#REF!</v>
      </c>
      <c r="L507" s="19" t="e">
        <f>IF(J507="","SEM #CH",VLOOKUP(J507,#REF!,3,0))</f>
        <v>#REF!</v>
      </c>
      <c r="M507" s="19" t="e">
        <f>IF(J507="","SEM #CH",VLOOKUP(J507,#REF!,4,0))</f>
        <v>#REF!</v>
      </c>
      <c r="N507" s="19" t="e">
        <f>IF(J507="","SEM #CH",VLOOKUP(J507,#REF!,5,0))</f>
        <v>#REF!</v>
      </c>
      <c r="O507" s="19" t="e">
        <f>IF(J507="","SEM #CH",VLOOKUP(J507,#REF!,6,0))</f>
        <v>#REF!</v>
      </c>
      <c r="P507" s="19" t="e">
        <f>IF(J507="","SEM #CH",VLOOKUP(J507,#REF!,7,0))</f>
        <v>#REF!</v>
      </c>
      <c r="Q507" s="77" t="str">
        <f>VLOOKUP(J507,'p1'!$B$2:$C$30,2,0)</f>
        <v>NÃO TEM CHAPA</v>
      </c>
      <c r="R507" s="94">
        <v>45934</v>
      </c>
      <c r="S507" s="90" t="s">
        <v>217</v>
      </c>
      <c r="T507" s="90">
        <f t="shared" si="38"/>
        <v>1</v>
      </c>
      <c r="U507" s="94">
        <v>45936</v>
      </c>
      <c r="V507" s="90" t="s">
        <v>86</v>
      </c>
      <c r="W507" s="92">
        <v>2563</v>
      </c>
      <c r="X507" s="93">
        <f t="shared" si="37"/>
        <v>1</v>
      </c>
      <c r="Y507" s="92"/>
      <c r="Z507" s="92"/>
      <c r="AA507" s="13" t="str">
        <f t="shared" si="39"/>
        <v>out/2025</v>
      </c>
    </row>
    <row r="508" spans="1:27" x14ac:dyDescent="0.25">
      <c r="A508" s="89">
        <v>507</v>
      </c>
      <c r="B508" s="68">
        <v>45899</v>
      </c>
      <c r="C508" s="40">
        <v>81</v>
      </c>
      <c r="D508" s="40">
        <f t="shared" si="35"/>
        <v>1</v>
      </c>
      <c r="E508" s="44" t="s">
        <v>169</v>
      </c>
      <c r="F508" s="17" t="s">
        <v>58</v>
      </c>
      <c r="G508" s="17" t="s">
        <v>86</v>
      </c>
      <c r="H508" s="42" t="s">
        <v>740</v>
      </c>
      <c r="I508" s="17" t="str">
        <f t="shared" si="36"/>
        <v>PN-507</v>
      </c>
      <c r="J508" s="18" t="s">
        <v>85</v>
      </c>
      <c r="K508" s="19" t="e">
        <f>IF(J508="","SEM #CH",VLOOKUP(J508,#REF!,2,0))</f>
        <v>#REF!</v>
      </c>
      <c r="L508" s="19" t="e">
        <f>IF(J508="","SEM #CH",VLOOKUP(J508,#REF!,3,0))</f>
        <v>#REF!</v>
      </c>
      <c r="M508" s="19" t="e">
        <f>IF(J508="","SEM #CH",VLOOKUP(J508,#REF!,4,0))</f>
        <v>#REF!</v>
      </c>
      <c r="N508" s="19" t="e">
        <f>IF(J508="","SEM #CH",VLOOKUP(J508,#REF!,5,0))</f>
        <v>#REF!</v>
      </c>
      <c r="O508" s="19" t="e">
        <f>IF(J508="","SEM #CH",VLOOKUP(J508,#REF!,6,0))</f>
        <v>#REF!</v>
      </c>
      <c r="P508" s="19" t="e">
        <f>IF(J508="","SEM #CH",VLOOKUP(J508,#REF!,7,0))</f>
        <v>#REF!</v>
      </c>
      <c r="Q508" s="77" t="str">
        <f>VLOOKUP(J508,'p1'!$B$2:$C$30,2,0)</f>
        <v>NÃO TEM CHAPA</v>
      </c>
      <c r="R508" s="94">
        <v>45934</v>
      </c>
      <c r="S508" s="90" t="s">
        <v>217</v>
      </c>
      <c r="T508" s="90">
        <f t="shared" si="38"/>
        <v>1</v>
      </c>
      <c r="U508" s="94">
        <v>45936</v>
      </c>
      <c r="V508" s="90" t="s">
        <v>86</v>
      </c>
      <c r="W508" s="92">
        <v>2564</v>
      </c>
      <c r="X508" s="93">
        <f t="shared" si="37"/>
        <v>1</v>
      </c>
      <c r="Y508" s="92"/>
      <c r="Z508" s="92"/>
      <c r="AA508" s="13" t="str">
        <f t="shared" si="39"/>
        <v>out/2025</v>
      </c>
    </row>
    <row r="509" spans="1:27" x14ac:dyDescent="0.25">
      <c r="A509" s="89">
        <v>508</v>
      </c>
      <c r="B509" s="68">
        <v>45917</v>
      </c>
      <c r="C509" s="40">
        <v>94</v>
      </c>
      <c r="D509" s="40">
        <f t="shared" si="35"/>
        <v>1</v>
      </c>
      <c r="E509" s="44" t="s">
        <v>169</v>
      </c>
      <c r="F509" s="17" t="s">
        <v>60</v>
      </c>
      <c r="G509" s="17" t="s">
        <v>86</v>
      </c>
      <c r="H509" s="42" t="s">
        <v>741</v>
      </c>
      <c r="I509" s="17" t="str">
        <f t="shared" si="36"/>
        <v>PE-508</v>
      </c>
      <c r="J509" s="18" t="s">
        <v>90</v>
      </c>
      <c r="K509" s="19" t="e">
        <f>IF(J509="","SEM #CH",VLOOKUP(J509,#REF!,2,0))</f>
        <v>#REF!</v>
      </c>
      <c r="L509" s="19" t="e">
        <f>IF(J509="","SEM #CH",VLOOKUP(J509,#REF!,3,0))</f>
        <v>#REF!</v>
      </c>
      <c r="M509" s="19" t="e">
        <f>IF(J509="","SEM #CH",VLOOKUP(J509,#REF!,4,0))</f>
        <v>#REF!</v>
      </c>
      <c r="N509" s="19" t="e">
        <f>IF(J509="","SEM #CH",VLOOKUP(J509,#REF!,5,0))</f>
        <v>#REF!</v>
      </c>
      <c r="O509" s="19" t="e">
        <f>IF(J509="","SEM #CH",VLOOKUP(J509,#REF!,6,0))</f>
        <v>#REF!</v>
      </c>
      <c r="P509" s="19" t="e">
        <f>IF(J509="","SEM #CH",VLOOKUP(J509,#REF!,7,0))</f>
        <v>#REF!</v>
      </c>
      <c r="Q509" s="77" t="str">
        <f>VLOOKUP(J509,'p1'!$B$2:$C$30,2,0)</f>
        <v>#3/8-530X530</v>
      </c>
      <c r="R509" s="94">
        <v>45920</v>
      </c>
      <c r="S509" s="90" t="s">
        <v>218</v>
      </c>
      <c r="T509" s="90">
        <f t="shared" si="38"/>
        <v>1</v>
      </c>
      <c r="U509" s="94">
        <v>45933</v>
      </c>
      <c r="V509" s="90" t="s">
        <v>86</v>
      </c>
      <c r="W509" s="92">
        <v>2561</v>
      </c>
      <c r="X509" s="93">
        <f t="shared" si="37"/>
        <v>1</v>
      </c>
      <c r="Y509" s="92"/>
      <c r="Z509" s="92"/>
      <c r="AA509" s="13" t="str">
        <f t="shared" si="39"/>
        <v>set/2025</v>
      </c>
    </row>
    <row r="510" spans="1:27" x14ac:dyDescent="0.25">
      <c r="A510" s="89">
        <v>509</v>
      </c>
      <c r="B510" s="68">
        <v>45904</v>
      </c>
      <c r="C510" s="40">
        <v>83</v>
      </c>
      <c r="D510" s="40">
        <f t="shared" si="35"/>
        <v>1</v>
      </c>
      <c r="E510" s="44" t="s">
        <v>169</v>
      </c>
      <c r="F510" s="17" t="s">
        <v>58</v>
      </c>
      <c r="G510" s="17" t="s">
        <v>86</v>
      </c>
      <c r="H510" s="42" t="s">
        <v>742</v>
      </c>
      <c r="I510" s="17" t="str">
        <f t="shared" si="36"/>
        <v>PN-509</v>
      </c>
      <c r="J510" s="18" t="s">
        <v>85</v>
      </c>
      <c r="K510" s="19" t="e">
        <f>IF(J510="","SEM #CH",VLOOKUP(J510,#REF!,2,0))</f>
        <v>#REF!</v>
      </c>
      <c r="L510" s="19" t="e">
        <f>IF(J510="","SEM #CH",VLOOKUP(J510,#REF!,3,0))</f>
        <v>#REF!</v>
      </c>
      <c r="M510" s="19" t="e">
        <f>IF(J510="","SEM #CH",VLOOKUP(J510,#REF!,4,0))</f>
        <v>#REF!</v>
      </c>
      <c r="N510" s="19" t="e">
        <f>IF(J510="","SEM #CH",VLOOKUP(J510,#REF!,5,0))</f>
        <v>#REF!</v>
      </c>
      <c r="O510" s="19" t="e">
        <f>IF(J510="","SEM #CH",VLOOKUP(J510,#REF!,6,0))</f>
        <v>#REF!</v>
      </c>
      <c r="P510" s="19" t="e">
        <f>IF(J510="","SEM #CH",VLOOKUP(J510,#REF!,7,0))</f>
        <v>#REF!</v>
      </c>
      <c r="Q510" s="77" t="str">
        <f>VLOOKUP(J510,'p1'!$B$2:$C$30,2,0)</f>
        <v>NÃO TEM CHAPA</v>
      </c>
      <c r="R510" s="94">
        <v>45908</v>
      </c>
      <c r="S510" s="90" t="s">
        <v>218</v>
      </c>
      <c r="T510" s="90">
        <f t="shared" si="38"/>
        <v>1</v>
      </c>
      <c r="U510" s="94">
        <v>45909</v>
      </c>
      <c r="V510" s="90" t="s">
        <v>86</v>
      </c>
      <c r="W510" s="92">
        <v>2510</v>
      </c>
      <c r="X510" s="93">
        <f t="shared" si="37"/>
        <v>1</v>
      </c>
      <c r="Y510" s="92"/>
      <c r="Z510" s="92"/>
      <c r="AA510" s="13" t="str">
        <f t="shared" si="39"/>
        <v>set/2025</v>
      </c>
    </row>
    <row r="511" spans="1:27" x14ac:dyDescent="0.25">
      <c r="A511" s="89">
        <v>510</v>
      </c>
      <c r="B511" s="68">
        <v>45904</v>
      </c>
      <c r="C511" s="40">
        <v>83</v>
      </c>
      <c r="D511" s="40">
        <f t="shared" si="35"/>
        <v>1</v>
      </c>
      <c r="E511" s="44" t="s">
        <v>169</v>
      </c>
      <c r="F511" s="17" t="s">
        <v>58</v>
      </c>
      <c r="G511" s="17" t="s">
        <v>86</v>
      </c>
      <c r="H511" s="42" t="s">
        <v>743</v>
      </c>
      <c r="I511" s="17" t="str">
        <f t="shared" si="36"/>
        <v>PN-510</v>
      </c>
      <c r="J511" s="18" t="s">
        <v>85</v>
      </c>
      <c r="K511" s="19" t="e">
        <f>IF(J511="","SEM #CH",VLOOKUP(J511,#REF!,2,0))</f>
        <v>#REF!</v>
      </c>
      <c r="L511" s="19" t="e">
        <f>IF(J511="","SEM #CH",VLOOKUP(J511,#REF!,3,0))</f>
        <v>#REF!</v>
      </c>
      <c r="M511" s="19" t="e">
        <f>IF(J511="","SEM #CH",VLOOKUP(J511,#REF!,4,0))</f>
        <v>#REF!</v>
      </c>
      <c r="N511" s="19" t="e">
        <f>IF(J511="","SEM #CH",VLOOKUP(J511,#REF!,5,0))</f>
        <v>#REF!</v>
      </c>
      <c r="O511" s="19" t="e">
        <f>IF(J511="","SEM #CH",VLOOKUP(J511,#REF!,6,0))</f>
        <v>#REF!</v>
      </c>
      <c r="P511" s="19" t="e">
        <f>IF(J511="","SEM #CH",VLOOKUP(J511,#REF!,7,0))</f>
        <v>#REF!</v>
      </c>
      <c r="Q511" s="77" t="str">
        <f>VLOOKUP(J511,'p1'!$B$2:$C$30,2,0)</f>
        <v>NÃO TEM CHAPA</v>
      </c>
      <c r="R511" s="94">
        <v>45926</v>
      </c>
      <c r="S511" s="90" t="s">
        <v>218</v>
      </c>
      <c r="T511" s="90">
        <f t="shared" si="38"/>
        <v>1</v>
      </c>
      <c r="U511" s="94">
        <v>45929</v>
      </c>
      <c r="V511" s="90" t="s">
        <v>86</v>
      </c>
      <c r="W511" s="92">
        <v>2549</v>
      </c>
      <c r="X511" s="93">
        <f t="shared" si="37"/>
        <v>1</v>
      </c>
      <c r="Y511" s="92"/>
      <c r="Z511" s="92"/>
      <c r="AA511" s="13" t="str">
        <f t="shared" si="39"/>
        <v>set/2025</v>
      </c>
    </row>
    <row r="512" spans="1:27" x14ac:dyDescent="0.25">
      <c r="A512" s="89">
        <v>511</v>
      </c>
      <c r="B512" s="68">
        <v>45906</v>
      </c>
      <c r="C512" s="40">
        <v>85</v>
      </c>
      <c r="D512" s="40">
        <f t="shared" si="35"/>
        <v>1</v>
      </c>
      <c r="E512" s="44" t="s">
        <v>169</v>
      </c>
      <c r="F512" s="17" t="s">
        <v>58</v>
      </c>
      <c r="G512" s="17" t="s">
        <v>86</v>
      </c>
      <c r="H512" s="42" t="s">
        <v>744</v>
      </c>
      <c r="I512" s="17" t="str">
        <f t="shared" si="36"/>
        <v>PN-511</v>
      </c>
      <c r="J512" s="18" t="s">
        <v>85</v>
      </c>
      <c r="K512" s="19" t="e">
        <f>IF(J512="","SEM #CH",VLOOKUP(J512,#REF!,2,0))</f>
        <v>#REF!</v>
      </c>
      <c r="L512" s="19" t="e">
        <f>IF(J512="","SEM #CH",VLOOKUP(J512,#REF!,3,0))</f>
        <v>#REF!</v>
      </c>
      <c r="M512" s="19" t="e">
        <f>IF(J512="","SEM #CH",VLOOKUP(J512,#REF!,4,0))</f>
        <v>#REF!</v>
      </c>
      <c r="N512" s="19" t="e">
        <f>IF(J512="","SEM #CH",VLOOKUP(J512,#REF!,5,0))</f>
        <v>#REF!</v>
      </c>
      <c r="O512" s="19" t="e">
        <f>IF(J512="","SEM #CH",VLOOKUP(J512,#REF!,6,0))</f>
        <v>#REF!</v>
      </c>
      <c r="P512" s="19" t="e">
        <f>IF(J512="","SEM #CH",VLOOKUP(J512,#REF!,7,0))</f>
        <v>#REF!</v>
      </c>
      <c r="Q512" s="77" t="str">
        <f>VLOOKUP(J512,'p1'!$B$2:$C$30,2,0)</f>
        <v>NÃO TEM CHAPA</v>
      </c>
      <c r="R512" s="94">
        <v>45915</v>
      </c>
      <c r="S512" s="90" t="s">
        <v>218</v>
      </c>
      <c r="T512" s="90">
        <f t="shared" si="38"/>
        <v>1</v>
      </c>
      <c r="U512" s="94">
        <v>45917</v>
      </c>
      <c r="V512" s="90" t="s">
        <v>86</v>
      </c>
      <c r="W512" s="92">
        <v>2529</v>
      </c>
      <c r="X512" s="93">
        <f t="shared" si="37"/>
        <v>1</v>
      </c>
      <c r="Y512" s="92"/>
      <c r="Z512" s="92"/>
      <c r="AA512" s="13" t="str">
        <f t="shared" si="39"/>
        <v>set/2025</v>
      </c>
    </row>
    <row r="513" spans="1:27" x14ac:dyDescent="0.25">
      <c r="A513" s="89">
        <v>512</v>
      </c>
      <c r="B513" s="68">
        <v>45906</v>
      </c>
      <c r="C513" s="40">
        <v>85</v>
      </c>
      <c r="D513" s="40">
        <f t="shared" si="35"/>
        <v>1</v>
      </c>
      <c r="E513" s="44" t="s">
        <v>169</v>
      </c>
      <c r="F513" s="17" t="s">
        <v>58</v>
      </c>
      <c r="G513" s="17" t="s">
        <v>86</v>
      </c>
      <c r="H513" s="42" t="s">
        <v>745</v>
      </c>
      <c r="I513" s="17" t="str">
        <f t="shared" si="36"/>
        <v>PN-512</v>
      </c>
      <c r="J513" s="18" t="s">
        <v>85</v>
      </c>
      <c r="K513" s="19" t="e">
        <f>IF(J513="","SEM #CH",VLOOKUP(J513,#REF!,2,0))</f>
        <v>#REF!</v>
      </c>
      <c r="L513" s="19" t="e">
        <f>IF(J513="","SEM #CH",VLOOKUP(J513,#REF!,3,0))</f>
        <v>#REF!</v>
      </c>
      <c r="M513" s="19" t="e">
        <f>IF(J513="","SEM #CH",VLOOKUP(J513,#REF!,4,0))</f>
        <v>#REF!</v>
      </c>
      <c r="N513" s="19" t="e">
        <f>IF(J513="","SEM #CH",VLOOKUP(J513,#REF!,5,0))</f>
        <v>#REF!</v>
      </c>
      <c r="O513" s="19" t="e">
        <f>IF(J513="","SEM #CH",VLOOKUP(J513,#REF!,6,0))</f>
        <v>#REF!</v>
      </c>
      <c r="P513" s="19" t="e">
        <f>IF(J513="","SEM #CH",VLOOKUP(J513,#REF!,7,0))</f>
        <v>#REF!</v>
      </c>
      <c r="Q513" s="77" t="str">
        <f>VLOOKUP(J513,'p1'!$B$2:$C$30,2,0)</f>
        <v>NÃO TEM CHAPA</v>
      </c>
      <c r="R513" s="94">
        <v>45915</v>
      </c>
      <c r="S513" s="90" t="s">
        <v>218</v>
      </c>
      <c r="T513" s="90">
        <f t="shared" si="38"/>
        <v>1</v>
      </c>
      <c r="U513" s="94">
        <v>45917</v>
      </c>
      <c r="V513" s="90" t="s">
        <v>86</v>
      </c>
      <c r="W513" s="92">
        <v>2529</v>
      </c>
      <c r="X513" s="93">
        <f t="shared" si="37"/>
        <v>1</v>
      </c>
      <c r="Y513" s="92"/>
      <c r="Z513" s="92"/>
      <c r="AA513" s="13" t="str">
        <f t="shared" si="39"/>
        <v>set/2025</v>
      </c>
    </row>
    <row r="514" spans="1:27" x14ac:dyDescent="0.25">
      <c r="A514" s="89">
        <v>513</v>
      </c>
      <c r="B514" s="68">
        <v>45906</v>
      </c>
      <c r="C514" s="40">
        <v>85</v>
      </c>
      <c r="D514" s="40">
        <f t="shared" ref="D514:D577" si="40">IF(B514&gt;0,1,"")</f>
        <v>1</v>
      </c>
      <c r="E514" s="44" t="s">
        <v>169</v>
      </c>
      <c r="F514" s="17" t="s">
        <v>58</v>
      </c>
      <c r="G514" s="17" t="s">
        <v>86</v>
      </c>
      <c r="H514" s="42" t="s">
        <v>746</v>
      </c>
      <c r="I514" s="17" t="str">
        <f t="shared" ref="I514:I577" si="41">_xlfn.CONCAT(F514,G514,H514)</f>
        <v>PN-513</v>
      </c>
      <c r="J514" s="18" t="s">
        <v>85</v>
      </c>
      <c r="K514" s="19" t="e">
        <f>IF(J514="","SEM #CH",VLOOKUP(J514,#REF!,2,0))</f>
        <v>#REF!</v>
      </c>
      <c r="L514" s="19" t="e">
        <f>IF(J514="","SEM #CH",VLOOKUP(J514,#REF!,3,0))</f>
        <v>#REF!</v>
      </c>
      <c r="M514" s="19" t="e">
        <f>IF(J514="","SEM #CH",VLOOKUP(J514,#REF!,4,0))</f>
        <v>#REF!</v>
      </c>
      <c r="N514" s="19" t="e">
        <f>IF(J514="","SEM #CH",VLOOKUP(J514,#REF!,5,0))</f>
        <v>#REF!</v>
      </c>
      <c r="O514" s="19" t="e">
        <f>IF(J514="","SEM #CH",VLOOKUP(J514,#REF!,6,0))</f>
        <v>#REF!</v>
      </c>
      <c r="P514" s="19" t="e">
        <f>IF(J514="","SEM #CH",VLOOKUP(J514,#REF!,7,0))</f>
        <v>#REF!</v>
      </c>
      <c r="Q514" s="77" t="str">
        <f>VLOOKUP(J514,'p1'!$B$2:$C$30,2,0)</f>
        <v>NÃO TEM CHAPA</v>
      </c>
      <c r="R514" s="94">
        <v>45910</v>
      </c>
      <c r="S514" s="90" t="s">
        <v>218</v>
      </c>
      <c r="T514" s="90">
        <f t="shared" si="38"/>
        <v>1</v>
      </c>
      <c r="U514" s="94">
        <v>45929</v>
      </c>
      <c r="V514" s="90" t="s">
        <v>86</v>
      </c>
      <c r="W514" s="92">
        <v>2550</v>
      </c>
      <c r="X514" s="93">
        <f t="shared" ref="X514:X577" si="42">IF(U514&gt;0,1,"")</f>
        <v>1</v>
      </c>
      <c r="Y514" s="92"/>
      <c r="Z514" s="92"/>
      <c r="AA514" s="13" t="str">
        <f t="shared" si="39"/>
        <v>set/2025</v>
      </c>
    </row>
    <row r="515" spans="1:27" x14ac:dyDescent="0.25">
      <c r="A515" s="89">
        <v>514</v>
      </c>
      <c r="B515" s="68">
        <v>45906</v>
      </c>
      <c r="C515" s="40">
        <v>85</v>
      </c>
      <c r="D515" s="40">
        <f t="shared" si="40"/>
        <v>1</v>
      </c>
      <c r="E515" s="44" t="s">
        <v>169</v>
      </c>
      <c r="F515" s="17" t="s">
        <v>58</v>
      </c>
      <c r="G515" s="17" t="s">
        <v>86</v>
      </c>
      <c r="H515" s="42" t="s">
        <v>747</v>
      </c>
      <c r="I515" s="17" t="str">
        <f t="shared" si="41"/>
        <v>PN-514</v>
      </c>
      <c r="J515" s="18" t="s">
        <v>85</v>
      </c>
      <c r="K515" s="19" t="e">
        <f>IF(J515="","SEM #CH",VLOOKUP(J515,#REF!,2,0))</f>
        <v>#REF!</v>
      </c>
      <c r="L515" s="19" t="e">
        <f>IF(J515="","SEM #CH",VLOOKUP(J515,#REF!,3,0))</f>
        <v>#REF!</v>
      </c>
      <c r="M515" s="19" t="e">
        <f>IF(J515="","SEM #CH",VLOOKUP(J515,#REF!,4,0))</f>
        <v>#REF!</v>
      </c>
      <c r="N515" s="19" t="e">
        <f>IF(J515="","SEM #CH",VLOOKUP(J515,#REF!,5,0))</f>
        <v>#REF!</v>
      </c>
      <c r="O515" s="19" t="e">
        <f>IF(J515="","SEM #CH",VLOOKUP(J515,#REF!,6,0))</f>
        <v>#REF!</v>
      </c>
      <c r="P515" s="19" t="e">
        <f>IF(J515="","SEM #CH",VLOOKUP(J515,#REF!,7,0))</f>
        <v>#REF!</v>
      </c>
      <c r="Q515" s="77" t="str">
        <f>VLOOKUP(J515,'p1'!$B$2:$C$30,2,0)</f>
        <v>NÃO TEM CHAPA</v>
      </c>
      <c r="R515" s="94">
        <v>45910</v>
      </c>
      <c r="S515" s="90" t="s">
        <v>218</v>
      </c>
      <c r="T515" s="90">
        <f t="shared" ref="T515:T578" si="43">IF(R515="",0,1)</f>
        <v>1</v>
      </c>
      <c r="U515" s="94">
        <v>45929</v>
      </c>
      <c r="V515" s="90" t="s">
        <v>86</v>
      </c>
      <c r="W515" s="92">
        <v>2550</v>
      </c>
      <c r="X515" s="93">
        <f t="shared" si="42"/>
        <v>1</v>
      </c>
      <c r="Y515" s="92"/>
      <c r="Z515" s="92"/>
      <c r="AA515" s="13" t="str">
        <f t="shared" ref="AA515:AA578" si="44">TEXT(R515,"mmm/aaaa")</f>
        <v>set/2025</v>
      </c>
    </row>
    <row r="516" spans="1:27" x14ac:dyDescent="0.25">
      <c r="A516" s="89">
        <v>515</v>
      </c>
      <c r="B516" s="68">
        <v>45906</v>
      </c>
      <c r="C516" s="40">
        <v>85</v>
      </c>
      <c r="D516" s="40">
        <f t="shared" si="40"/>
        <v>1</v>
      </c>
      <c r="E516" s="44" t="s">
        <v>169</v>
      </c>
      <c r="F516" s="17" t="s">
        <v>58</v>
      </c>
      <c r="G516" s="17" t="s">
        <v>86</v>
      </c>
      <c r="H516" s="42" t="s">
        <v>748</v>
      </c>
      <c r="I516" s="17" t="str">
        <f t="shared" si="41"/>
        <v>PN-515</v>
      </c>
      <c r="J516" s="18" t="s">
        <v>85</v>
      </c>
      <c r="K516" s="19" t="e">
        <f>IF(J516="","SEM #CH",VLOOKUP(J516,#REF!,2,0))</f>
        <v>#REF!</v>
      </c>
      <c r="L516" s="19" t="e">
        <f>IF(J516="","SEM #CH",VLOOKUP(J516,#REF!,3,0))</f>
        <v>#REF!</v>
      </c>
      <c r="M516" s="19" t="e">
        <f>IF(J516="","SEM #CH",VLOOKUP(J516,#REF!,4,0))</f>
        <v>#REF!</v>
      </c>
      <c r="N516" s="19" t="e">
        <f>IF(J516="","SEM #CH",VLOOKUP(J516,#REF!,5,0))</f>
        <v>#REF!</v>
      </c>
      <c r="O516" s="19" t="e">
        <f>IF(J516="","SEM #CH",VLOOKUP(J516,#REF!,6,0))</f>
        <v>#REF!</v>
      </c>
      <c r="P516" s="19" t="e">
        <f>IF(J516="","SEM #CH",VLOOKUP(J516,#REF!,7,0))</f>
        <v>#REF!</v>
      </c>
      <c r="Q516" s="77" t="str">
        <f>VLOOKUP(J516,'p1'!$B$2:$C$30,2,0)</f>
        <v>NÃO TEM CHAPA</v>
      </c>
      <c r="R516" s="94">
        <v>45910</v>
      </c>
      <c r="S516" s="90" t="s">
        <v>218</v>
      </c>
      <c r="T516" s="90">
        <f t="shared" si="43"/>
        <v>1</v>
      </c>
      <c r="U516" s="94">
        <v>45929</v>
      </c>
      <c r="V516" s="90" t="s">
        <v>86</v>
      </c>
      <c r="W516" s="92">
        <v>2550</v>
      </c>
      <c r="X516" s="93">
        <f t="shared" si="42"/>
        <v>1</v>
      </c>
      <c r="Y516" s="92"/>
      <c r="Z516" s="92"/>
      <c r="AA516" s="13" t="str">
        <f t="shared" si="44"/>
        <v>set/2025</v>
      </c>
    </row>
    <row r="517" spans="1:27" x14ac:dyDescent="0.25">
      <c r="A517" s="89">
        <v>516</v>
      </c>
      <c r="B517" s="68">
        <v>45906</v>
      </c>
      <c r="C517" s="40">
        <v>85</v>
      </c>
      <c r="D517" s="40">
        <f t="shared" si="40"/>
        <v>1</v>
      </c>
      <c r="E517" s="44" t="s">
        <v>169</v>
      </c>
      <c r="F517" s="17" t="s">
        <v>58</v>
      </c>
      <c r="G517" s="17" t="s">
        <v>86</v>
      </c>
      <c r="H517" s="42" t="s">
        <v>749</v>
      </c>
      <c r="I517" s="17" t="str">
        <f t="shared" si="41"/>
        <v>PN-516</v>
      </c>
      <c r="J517" s="18" t="s">
        <v>85</v>
      </c>
      <c r="K517" s="19" t="e">
        <f>IF(J517="","SEM #CH",VLOOKUP(J517,#REF!,2,0))</f>
        <v>#REF!</v>
      </c>
      <c r="L517" s="19" t="e">
        <f>IF(J517="","SEM #CH",VLOOKUP(J517,#REF!,3,0))</f>
        <v>#REF!</v>
      </c>
      <c r="M517" s="19" t="e">
        <f>IF(J517="","SEM #CH",VLOOKUP(J517,#REF!,4,0))</f>
        <v>#REF!</v>
      </c>
      <c r="N517" s="19" t="e">
        <f>IF(J517="","SEM #CH",VLOOKUP(J517,#REF!,5,0))</f>
        <v>#REF!</v>
      </c>
      <c r="O517" s="19" t="e">
        <f>IF(J517="","SEM #CH",VLOOKUP(J517,#REF!,6,0))</f>
        <v>#REF!</v>
      </c>
      <c r="P517" s="19" t="e">
        <f>IF(J517="","SEM #CH",VLOOKUP(J517,#REF!,7,0))</f>
        <v>#REF!</v>
      </c>
      <c r="Q517" s="77" t="str">
        <f>VLOOKUP(J517,'p1'!$B$2:$C$30,2,0)</f>
        <v>NÃO TEM CHAPA</v>
      </c>
      <c r="R517" s="94">
        <v>45929</v>
      </c>
      <c r="S517" s="90" t="s">
        <v>218</v>
      </c>
      <c r="T517" s="90">
        <f t="shared" si="43"/>
        <v>1</v>
      </c>
      <c r="U517" s="94">
        <v>45929</v>
      </c>
      <c r="V517" s="90" t="s">
        <v>86</v>
      </c>
      <c r="W517" s="92">
        <v>2548</v>
      </c>
      <c r="X517" s="93">
        <f t="shared" si="42"/>
        <v>1</v>
      </c>
      <c r="Y517" s="92"/>
      <c r="Z517" s="92"/>
      <c r="AA517" s="13" t="str">
        <f t="shared" si="44"/>
        <v>set/2025</v>
      </c>
    </row>
    <row r="518" spans="1:27" x14ac:dyDescent="0.25">
      <c r="A518" s="89">
        <v>517</v>
      </c>
      <c r="B518" s="68">
        <v>45906</v>
      </c>
      <c r="C518" s="40">
        <v>85</v>
      </c>
      <c r="D518" s="40">
        <f t="shared" si="40"/>
        <v>1</v>
      </c>
      <c r="E518" s="44" t="s">
        <v>169</v>
      </c>
      <c r="F518" s="17" t="s">
        <v>58</v>
      </c>
      <c r="G518" s="17" t="s">
        <v>86</v>
      </c>
      <c r="H518" s="42" t="s">
        <v>750</v>
      </c>
      <c r="I518" s="17" t="str">
        <f t="shared" si="41"/>
        <v>PN-517</v>
      </c>
      <c r="J518" s="18" t="s">
        <v>85</v>
      </c>
      <c r="K518" s="19" t="e">
        <f>IF(J518="","SEM #CH",VLOOKUP(J518,#REF!,2,0))</f>
        <v>#REF!</v>
      </c>
      <c r="L518" s="19" t="e">
        <f>IF(J518="","SEM #CH",VLOOKUP(J518,#REF!,3,0))</f>
        <v>#REF!</v>
      </c>
      <c r="M518" s="19" t="e">
        <f>IF(J518="","SEM #CH",VLOOKUP(J518,#REF!,4,0))</f>
        <v>#REF!</v>
      </c>
      <c r="N518" s="19" t="e">
        <f>IF(J518="","SEM #CH",VLOOKUP(J518,#REF!,5,0))</f>
        <v>#REF!</v>
      </c>
      <c r="O518" s="19" t="e">
        <f>IF(J518="","SEM #CH",VLOOKUP(J518,#REF!,6,0))</f>
        <v>#REF!</v>
      </c>
      <c r="P518" s="19" t="e">
        <f>IF(J518="","SEM #CH",VLOOKUP(J518,#REF!,7,0))</f>
        <v>#REF!</v>
      </c>
      <c r="Q518" s="77" t="str">
        <f>VLOOKUP(J518,'p1'!$B$2:$C$30,2,0)</f>
        <v>NÃO TEM CHAPA</v>
      </c>
      <c r="R518" s="94">
        <v>45929</v>
      </c>
      <c r="S518" s="90" t="s">
        <v>218</v>
      </c>
      <c r="T518" s="90">
        <f t="shared" si="43"/>
        <v>1</v>
      </c>
      <c r="U518" s="94">
        <v>45929</v>
      </c>
      <c r="V518" s="90" t="s">
        <v>86</v>
      </c>
      <c r="W518" s="92">
        <v>2548</v>
      </c>
      <c r="X518" s="93">
        <f t="shared" si="42"/>
        <v>1</v>
      </c>
      <c r="Y518" s="92"/>
      <c r="Z518" s="92"/>
      <c r="AA518" s="13" t="str">
        <f t="shared" si="44"/>
        <v>set/2025</v>
      </c>
    </row>
    <row r="519" spans="1:27" x14ac:dyDescent="0.25">
      <c r="A519" s="89">
        <v>518</v>
      </c>
      <c r="B519" s="68">
        <v>45909</v>
      </c>
      <c r="C519" s="40">
        <v>87</v>
      </c>
      <c r="D519" s="40">
        <f t="shared" si="40"/>
        <v>1</v>
      </c>
      <c r="E519" s="44" t="s">
        <v>169</v>
      </c>
      <c r="F519" s="17" t="s">
        <v>58</v>
      </c>
      <c r="G519" s="17" t="s">
        <v>86</v>
      </c>
      <c r="H519" s="42" t="s">
        <v>751</v>
      </c>
      <c r="I519" s="17" t="str">
        <f t="shared" si="41"/>
        <v>PN-518</v>
      </c>
      <c r="J519" s="18" t="s">
        <v>85</v>
      </c>
      <c r="K519" s="19" t="e">
        <f>IF(J519="","SEM #CH",VLOOKUP(J519,#REF!,2,0))</f>
        <v>#REF!</v>
      </c>
      <c r="L519" s="19" t="e">
        <f>IF(J519="","SEM #CH",VLOOKUP(J519,#REF!,3,0))</f>
        <v>#REF!</v>
      </c>
      <c r="M519" s="19" t="e">
        <f>IF(J519="","SEM #CH",VLOOKUP(J519,#REF!,4,0))</f>
        <v>#REF!</v>
      </c>
      <c r="N519" s="19" t="e">
        <f>IF(J519="","SEM #CH",VLOOKUP(J519,#REF!,5,0))</f>
        <v>#REF!</v>
      </c>
      <c r="O519" s="19" t="e">
        <f>IF(J519="","SEM #CH",VLOOKUP(J519,#REF!,6,0))</f>
        <v>#REF!</v>
      </c>
      <c r="P519" s="19" t="e">
        <f>IF(J519="","SEM #CH",VLOOKUP(J519,#REF!,7,0))</f>
        <v>#REF!</v>
      </c>
      <c r="Q519" s="77" t="str">
        <f>VLOOKUP(J519,'p1'!$B$2:$C$30,2,0)</f>
        <v>NÃO TEM CHAPA</v>
      </c>
      <c r="R519" s="94">
        <v>45918</v>
      </c>
      <c r="S519" s="90" t="s">
        <v>218</v>
      </c>
      <c r="T519" s="90">
        <f t="shared" si="43"/>
        <v>1</v>
      </c>
      <c r="U519" s="94">
        <v>45918</v>
      </c>
      <c r="V519" s="90" t="s">
        <v>86</v>
      </c>
      <c r="W519" s="92">
        <v>2533</v>
      </c>
      <c r="X519" s="93">
        <f t="shared" si="42"/>
        <v>1</v>
      </c>
      <c r="Y519" s="92"/>
      <c r="Z519" s="92"/>
      <c r="AA519" s="13" t="str">
        <f t="shared" si="44"/>
        <v>set/2025</v>
      </c>
    </row>
    <row r="520" spans="1:27" x14ac:dyDescent="0.25">
      <c r="A520" s="89">
        <v>519</v>
      </c>
      <c r="B520" s="68">
        <v>45909</v>
      </c>
      <c r="C520" s="40">
        <v>87</v>
      </c>
      <c r="D520" s="40">
        <f t="shared" si="40"/>
        <v>1</v>
      </c>
      <c r="E520" s="44" t="s">
        <v>169</v>
      </c>
      <c r="F520" s="17" t="s">
        <v>58</v>
      </c>
      <c r="G520" s="17" t="s">
        <v>86</v>
      </c>
      <c r="H520" s="42" t="s">
        <v>752</v>
      </c>
      <c r="I520" s="17" t="str">
        <f t="shared" si="41"/>
        <v>PN-519</v>
      </c>
      <c r="J520" s="18" t="s">
        <v>85</v>
      </c>
      <c r="K520" s="19" t="e">
        <f>IF(J520="","SEM #CH",VLOOKUP(J520,#REF!,2,0))</f>
        <v>#REF!</v>
      </c>
      <c r="L520" s="19" t="e">
        <f>IF(J520="","SEM #CH",VLOOKUP(J520,#REF!,3,0))</f>
        <v>#REF!</v>
      </c>
      <c r="M520" s="19" t="e">
        <f>IF(J520="","SEM #CH",VLOOKUP(J520,#REF!,4,0))</f>
        <v>#REF!</v>
      </c>
      <c r="N520" s="19" t="e">
        <f>IF(J520="","SEM #CH",VLOOKUP(J520,#REF!,5,0))</f>
        <v>#REF!</v>
      </c>
      <c r="O520" s="19" t="e">
        <f>IF(J520="","SEM #CH",VLOOKUP(J520,#REF!,6,0))</f>
        <v>#REF!</v>
      </c>
      <c r="P520" s="19" t="e">
        <f>IF(J520="","SEM #CH",VLOOKUP(J520,#REF!,7,0))</f>
        <v>#REF!</v>
      </c>
      <c r="Q520" s="77" t="str">
        <f>VLOOKUP(J520,'p1'!$B$2:$C$30,2,0)</f>
        <v>NÃO TEM CHAPA</v>
      </c>
      <c r="R520" s="94">
        <v>45918</v>
      </c>
      <c r="S520" s="90" t="s">
        <v>218</v>
      </c>
      <c r="T520" s="90">
        <f t="shared" si="43"/>
        <v>1</v>
      </c>
      <c r="U520" s="94">
        <v>45930</v>
      </c>
      <c r="V520" s="90" t="s">
        <v>86</v>
      </c>
      <c r="W520" s="92">
        <v>2552</v>
      </c>
      <c r="X520" s="93">
        <f t="shared" si="42"/>
        <v>1</v>
      </c>
      <c r="Y520" s="92"/>
      <c r="Z520" s="92"/>
      <c r="AA520" s="13" t="str">
        <f t="shared" si="44"/>
        <v>set/2025</v>
      </c>
    </row>
    <row r="521" spans="1:27" x14ac:dyDescent="0.25">
      <c r="A521" s="89">
        <v>520</v>
      </c>
      <c r="B521" s="68">
        <v>45909</v>
      </c>
      <c r="C521" s="40">
        <v>87</v>
      </c>
      <c r="D521" s="40">
        <f t="shared" si="40"/>
        <v>1</v>
      </c>
      <c r="E521" s="44" t="s">
        <v>169</v>
      </c>
      <c r="F521" s="17" t="s">
        <v>58</v>
      </c>
      <c r="G521" s="17" t="s">
        <v>86</v>
      </c>
      <c r="H521" s="42" t="s">
        <v>753</v>
      </c>
      <c r="I521" s="17" t="str">
        <f t="shared" si="41"/>
        <v>PN-520</v>
      </c>
      <c r="J521" s="18" t="s">
        <v>85</v>
      </c>
      <c r="K521" s="19" t="e">
        <f>IF(J521="","SEM #CH",VLOOKUP(J521,#REF!,2,0))</f>
        <v>#REF!</v>
      </c>
      <c r="L521" s="19" t="e">
        <f>IF(J521="","SEM #CH",VLOOKUP(J521,#REF!,3,0))</f>
        <v>#REF!</v>
      </c>
      <c r="M521" s="19" t="e">
        <f>IF(J521="","SEM #CH",VLOOKUP(J521,#REF!,4,0))</f>
        <v>#REF!</v>
      </c>
      <c r="N521" s="19" t="e">
        <f>IF(J521="","SEM #CH",VLOOKUP(J521,#REF!,5,0))</f>
        <v>#REF!</v>
      </c>
      <c r="O521" s="19" t="e">
        <f>IF(J521="","SEM #CH",VLOOKUP(J521,#REF!,6,0))</f>
        <v>#REF!</v>
      </c>
      <c r="P521" s="19" t="e">
        <f>IF(J521="","SEM #CH",VLOOKUP(J521,#REF!,7,0))</f>
        <v>#REF!</v>
      </c>
      <c r="Q521" s="77" t="str">
        <f>VLOOKUP(J521,'p1'!$B$2:$C$30,2,0)</f>
        <v>NÃO TEM CHAPA</v>
      </c>
      <c r="R521" s="94">
        <v>45920</v>
      </c>
      <c r="S521" s="90" t="s">
        <v>218</v>
      </c>
      <c r="T521" s="90">
        <f t="shared" si="43"/>
        <v>1</v>
      </c>
      <c r="U521" s="94">
        <v>45930</v>
      </c>
      <c r="V521" s="90" t="s">
        <v>86</v>
      </c>
      <c r="W521" s="92">
        <v>2552</v>
      </c>
      <c r="X521" s="93">
        <f t="shared" si="42"/>
        <v>1</v>
      </c>
      <c r="Y521" s="92"/>
      <c r="Z521" s="92"/>
      <c r="AA521" s="13" t="str">
        <f t="shared" si="44"/>
        <v>set/2025</v>
      </c>
    </row>
    <row r="522" spans="1:27" x14ac:dyDescent="0.25">
      <c r="A522" s="89">
        <v>521</v>
      </c>
      <c r="B522" s="68">
        <v>45909</v>
      </c>
      <c r="C522" s="40">
        <v>87</v>
      </c>
      <c r="D522" s="40">
        <f t="shared" si="40"/>
        <v>1</v>
      </c>
      <c r="E522" s="44" t="s">
        <v>169</v>
      </c>
      <c r="F522" s="17" t="s">
        <v>58</v>
      </c>
      <c r="G522" s="17" t="s">
        <v>86</v>
      </c>
      <c r="H522" s="42" t="s">
        <v>754</v>
      </c>
      <c r="I522" s="17" t="str">
        <f t="shared" si="41"/>
        <v>PN-521</v>
      </c>
      <c r="J522" s="18" t="s">
        <v>85</v>
      </c>
      <c r="K522" s="19" t="e">
        <f>IF(J522="","SEM #CH",VLOOKUP(J522,#REF!,2,0))</f>
        <v>#REF!</v>
      </c>
      <c r="L522" s="19" t="e">
        <f>IF(J522="","SEM #CH",VLOOKUP(J522,#REF!,3,0))</f>
        <v>#REF!</v>
      </c>
      <c r="M522" s="19" t="e">
        <f>IF(J522="","SEM #CH",VLOOKUP(J522,#REF!,4,0))</f>
        <v>#REF!</v>
      </c>
      <c r="N522" s="19" t="e">
        <f>IF(J522="","SEM #CH",VLOOKUP(J522,#REF!,5,0))</f>
        <v>#REF!</v>
      </c>
      <c r="O522" s="19" t="e">
        <f>IF(J522="","SEM #CH",VLOOKUP(J522,#REF!,6,0))</f>
        <v>#REF!</v>
      </c>
      <c r="P522" s="19" t="e">
        <f>IF(J522="","SEM #CH",VLOOKUP(J522,#REF!,7,0))</f>
        <v>#REF!</v>
      </c>
      <c r="Q522" s="77" t="str">
        <f>VLOOKUP(J522,'p1'!$B$2:$C$30,2,0)</f>
        <v>NÃO TEM CHAPA</v>
      </c>
      <c r="R522" s="94">
        <v>45922</v>
      </c>
      <c r="S522" s="90" t="s">
        <v>218</v>
      </c>
      <c r="T522" s="90">
        <f t="shared" si="43"/>
        <v>1</v>
      </c>
      <c r="U522" s="94">
        <v>45925</v>
      </c>
      <c r="V522" s="90" t="s">
        <v>86</v>
      </c>
      <c r="W522" s="92">
        <v>2544</v>
      </c>
      <c r="X522" s="93">
        <f t="shared" si="42"/>
        <v>1</v>
      </c>
      <c r="Y522" s="92"/>
      <c r="Z522" s="92"/>
      <c r="AA522" s="13" t="str">
        <f t="shared" si="44"/>
        <v>set/2025</v>
      </c>
    </row>
    <row r="523" spans="1:27" x14ac:dyDescent="0.25">
      <c r="A523" s="89">
        <v>522</v>
      </c>
      <c r="B523" s="68">
        <v>45917</v>
      </c>
      <c r="C523" s="40">
        <v>94</v>
      </c>
      <c r="D523" s="40">
        <f t="shared" si="40"/>
        <v>1</v>
      </c>
      <c r="E523" s="44" t="s">
        <v>169</v>
      </c>
      <c r="F523" s="17" t="s">
        <v>60</v>
      </c>
      <c r="G523" s="17" t="s">
        <v>86</v>
      </c>
      <c r="H523" s="42" t="s">
        <v>755</v>
      </c>
      <c r="I523" s="17" t="str">
        <f t="shared" si="41"/>
        <v>PE-522</v>
      </c>
      <c r="J523" s="18" t="s">
        <v>90</v>
      </c>
      <c r="K523" s="19" t="e">
        <f>IF(J523="","SEM #CH",VLOOKUP(J523,#REF!,2,0))</f>
        <v>#REF!</v>
      </c>
      <c r="L523" s="19" t="e">
        <f>IF(J523="","SEM #CH",VLOOKUP(J523,#REF!,3,0))</f>
        <v>#REF!</v>
      </c>
      <c r="M523" s="19" t="e">
        <f>IF(J523="","SEM #CH",VLOOKUP(J523,#REF!,4,0))</f>
        <v>#REF!</v>
      </c>
      <c r="N523" s="19" t="e">
        <f>IF(J523="","SEM #CH",VLOOKUP(J523,#REF!,5,0))</f>
        <v>#REF!</v>
      </c>
      <c r="O523" s="19" t="e">
        <f>IF(J523="","SEM #CH",VLOOKUP(J523,#REF!,6,0))</f>
        <v>#REF!</v>
      </c>
      <c r="P523" s="19" t="e">
        <f>IF(J523="","SEM #CH",VLOOKUP(J523,#REF!,7,0))</f>
        <v>#REF!</v>
      </c>
      <c r="Q523" s="77" t="str">
        <f>VLOOKUP(J523,'p1'!$B$2:$C$30,2,0)</f>
        <v>#3/8-530X530</v>
      </c>
      <c r="R523" s="94">
        <v>45920</v>
      </c>
      <c r="S523" s="90" t="s">
        <v>218</v>
      </c>
      <c r="T523" s="90">
        <f t="shared" si="43"/>
        <v>1</v>
      </c>
      <c r="U523" s="94">
        <v>45924</v>
      </c>
      <c r="V523" s="90" t="s">
        <v>86</v>
      </c>
      <c r="W523" s="92">
        <v>2543</v>
      </c>
      <c r="X523" s="93">
        <f t="shared" si="42"/>
        <v>1</v>
      </c>
      <c r="Y523" s="92"/>
      <c r="Z523" s="92"/>
      <c r="AA523" s="13" t="str">
        <f t="shared" si="44"/>
        <v>set/2025</v>
      </c>
    </row>
    <row r="524" spans="1:27" x14ac:dyDescent="0.25">
      <c r="A524" s="89">
        <v>523</v>
      </c>
      <c r="B524" s="68">
        <v>45940</v>
      </c>
      <c r="C524" s="40">
        <v>116</v>
      </c>
      <c r="D524" s="40">
        <f t="shared" si="40"/>
        <v>1</v>
      </c>
      <c r="E524" s="44" t="s">
        <v>169</v>
      </c>
      <c r="F524" s="17" t="s">
        <v>60</v>
      </c>
      <c r="G524" s="17" t="s">
        <v>86</v>
      </c>
      <c r="H524" s="42" t="s">
        <v>756</v>
      </c>
      <c r="I524" s="17" t="str">
        <f t="shared" si="41"/>
        <v>PE-523</v>
      </c>
      <c r="J524" s="18" t="s">
        <v>89</v>
      </c>
      <c r="K524" s="19" t="e">
        <f>IF(J524="","SEM #CH",VLOOKUP(J524,#REF!,2,0))</f>
        <v>#REF!</v>
      </c>
      <c r="L524" s="19" t="e">
        <f>IF(J524="","SEM #CH",VLOOKUP(J524,#REF!,3,0))</f>
        <v>#REF!</v>
      </c>
      <c r="M524" s="19" t="e">
        <f>IF(J524="","SEM #CH",VLOOKUP(J524,#REF!,4,0))</f>
        <v>#REF!</v>
      </c>
      <c r="N524" s="19" t="e">
        <f>IF(J524="","SEM #CH",VLOOKUP(J524,#REF!,5,0))</f>
        <v>#REF!</v>
      </c>
      <c r="O524" s="19" t="e">
        <f>IF(J524="","SEM #CH",VLOOKUP(J524,#REF!,6,0))</f>
        <v>#REF!</v>
      </c>
      <c r="P524" s="19" t="e">
        <f>IF(J524="","SEM #CH",VLOOKUP(J524,#REF!,7,0))</f>
        <v>#REF!</v>
      </c>
      <c r="Q524" s="77" t="str">
        <f>VLOOKUP(J524,'p1'!$B$2:$C$30,2,0)</f>
        <v>#3/8-1200X1200</v>
      </c>
      <c r="R524" s="94">
        <v>45946</v>
      </c>
      <c r="S524" s="90" t="s">
        <v>218</v>
      </c>
      <c r="T524" s="90">
        <f t="shared" si="43"/>
        <v>1</v>
      </c>
      <c r="U524" s="94">
        <v>45957</v>
      </c>
      <c r="V524" s="90" t="s">
        <v>86</v>
      </c>
      <c r="W524" s="92">
        <v>2603</v>
      </c>
      <c r="X524" s="93">
        <f t="shared" si="42"/>
        <v>1</v>
      </c>
      <c r="Y524" s="92"/>
      <c r="Z524" s="92"/>
      <c r="AA524" s="13" t="str">
        <f t="shared" si="44"/>
        <v>out/2025</v>
      </c>
    </row>
    <row r="525" spans="1:27" x14ac:dyDescent="0.25">
      <c r="A525" s="89">
        <v>524</v>
      </c>
      <c r="B525" s="68">
        <v>45937</v>
      </c>
      <c r="C525" s="40">
        <v>112</v>
      </c>
      <c r="D525" s="40">
        <f t="shared" si="40"/>
        <v>1</v>
      </c>
      <c r="E525" s="44" t="s">
        <v>169</v>
      </c>
      <c r="F525" s="17" t="s">
        <v>60</v>
      </c>
      <c r="G525" s="17" t="s">
        <v>86</v>
      </c>
      <c r="H525" s="42" t="s">
        <v>757</v>
      </c>
      <c r="I525" s="17" t="str">
        <f t="shared" si="41"/>
        <v>PE-524</v>
      </c>
      <c r="J525" s="18" t="s">
        <v>87</v>
      </c>
      <c r="K525" s="19" t="e">
        <f>IF(J525="","SEM #CH",VLOOKUP(J525,#REF!,2,0))</f>
        <v>#REF!</v>
      </c>
      <c r="L525" s="19" t="e">
        <f>IF(J525="","SEM #CH",VLOOKUP(J525,#REF!,3,0))</f>
        <v>#REF!</v>
      </c>
      <c r="M525" s="19" t="e">
        <f>IF(J525="","SEM #CH",VLOOKUP(J525,#REF!,4,0))</f>
        <v>#REF!</v>
      </c>
      <c r="N525" s="19" t="e">
        <f>IF(J525="","SEM #CH",VLOOKUP(J525,#REF!,5,0))</f>
        <v>#REF!</v>
      </c>
      <c r="O525" s="19" t="e">
        <f>IF(J525="","SEM #CH",VLOOKUP(J525,#REF!,6,0))</f>
        <v>#REF!</v>
      </c>
      <c r="P525" s="19" t="e">
        <f>IF(J525="","SEM #CH",VLOOKUP(J525,#REF!,7,0))</f>
        <v>#REF!</v>
      </c>
      <c r="Q525" s="77" t="str">
        <f>VLOOKUP(J525,'p1'!$B$2:$C$30,2,0)</f>
        <v>#3/8-1620X1620</v>
      </c>
      <c r="R525" s="94">
        <v>45940</v>
      </c>
      <c r="S525" s="90" t="s">
        <v>218</v>
      </c>
      <c r="T525" s="90">
        <f t="shared" si="43"/>
        <v>1</v>
      </c>
      <c r="U525" s="94">
        <v>45940</v>
      </c>
      <c r="V525" s="90" t="s">
        <v>86</v>
      </c>
      <c r="W525" s="92">
        <v>2574</v>
      </c>
      <c r="X525" s="93">
        <f t="shared" si="42"/>
        <v>1</v>
      </c>
      <c r="Y525" s="92"/>
      <c r="Z525" s="92"/>
      <c r="AA525" s="13" t="str">
        <f t="shared" si="44"/>
        <v>out/2025</v>
      </c>
    </row>
    <row r="526" spans="1:27" x14ac:dyDescent="0.25">
      <c r="A526" s="89">
        <v>525</v>
      </c>
      <c r="B526" s="68">
        <v>45931</v>
      </c>
      <c r="C526" s="40">
        <v>107</v>
      </c>
      <c r="D526" s="40">
        <f t="shared" si="40"/>
        <v>1</v>
      </c>
      <c r="E526" s="44" t="s">
        <v>169</v>
      </c>
      <c r="F526" s="17" t="s">
        <v>60</v>
      </c>
      <c r="G526" s="17" t="s">
        <v>86</v>
      </c>
      <c r="H526" s="42" t="s">
        <v>758</v>
      </c>
      <c r="I526" s="17" t="str">
        <f t="shared" si="41"/>
        <v>PE-525</v>
      </c>
      <c r="J526" s="18" t="s">
        <v>88</v>
      </c>
      <c r="K526" s="19" t="e">
        <f>IF(J526="","SEM #CH",VLOOKUP(J526,#REF!,2,0))</f>
        <v>#REF!</v>
      </c>
      <c r="L526" s="19" t="e">
        <f>IF(J526="","SEM #CH",VLOOKUP(J526,#REF!,3,0))</f>
        <v>#REF!</v>
      </c>
      <c r="M526" s="19" t="e">
        <f>IF(J526="","SEM #CH",VLOOKUP(J526,#REF!,4,0))</f>
        <v>#REF!</v>
      </c>
      <c r="N526" s="19" t="e">
        <f>IF(J526="","SEM #CH",VLOOKUP(J526,#REF!,5,0))</f>
        <v>#REF!</v>
      </c>
      <c r="O526" s="19" t="e">
        <f>IF(J526="","SEM #CH",VLOOKUP(J526,#REF!,6,0))</f>
        <v>#REF!</v>
      </c>
      <c r="P526" s="19" t="e">
        <f>IF(J526="","SEM #CH",VLOOKUP(J526,#REF!,7,0))</f>
        <v>#REF!</v>
      </c>
      <c r="Q526" s="77" t="str">
        <f>VLOOKUP(J526,'p1'!$B$2:$C$30,2,0)</f>
        <v>#3/8-1315X1315</v>
      </c>
      <c r="R526" s="94">
        <v>45933</v>
      </c>
      <c r="S526" s="90" t="s">
        <v>218</v>
      </c>
      <c r="T526" s="90">
        <f t="shared" si="43"/>
        <v>1</v>
      </c>
      <c r="U526" s="94">
        <v>45936</v>
      </c>
      <c r="V526" s="90" t="s">
        <v>86</v>
      </c>
      <c r="W526" s="92">
        <v>2565</v>
      </c>
      <c r="X526" s="93">
        <f t="shared" si="42"/>
        <v>1</v>
      </c>
      <c r="Y526" s="92"/>
      <c r="Z526" s="92"/>
      <c r="AA526" s="13" t="str">
        <f t="shared" si="44"/>
        <v>out/2025</v>
      </c>
    </row>
    <row r="527" spans="1:27" x14ac:dyDescent="0.25">
      <c r="A527" s="89">
        <v>526</v>
      </c>
      <c r="B527" s="68">
        <v>45909</v>
      </c>
      <c r="C527" s="40">
        <v>87</v>
      </c>
      <c r="D527" s="40">
        <f t="shared" si="40"/>
        <v>1</v>
      </c>
      <c r="E527" s="44" t="s">
        <v>169</v>
      </c>
      <c r="F527" s="17" t="s">
        <v>58</v>
      </c>
      <c r="G527" s="17" t="s">
        <v>86</v>
      </c>
      <c r="H527" s="42" t="s">
        <v>759</v>
      </c>
      <c r="I527" s="17" t="str">
        <f t="shared" si="41"/>
        <v>PN-526</v>
      </c>
      <c r="J527" s="18" t="s">
        <v>85</v>
      </c>
      <c r="K527" s="19" t="e">
        <f>IF(J527="","SEM #CH",VLOOKUP(J527,#REF!,2,0))</f>
        <v>#REF!</v>
      </c>
      <c r="L527" s="19" t="e">
        <f>IF(J527="","SEM #CH",VLOOKUP(J527,#REF!,3,0))</f>
        <v>#REF!</v>
      </c>
      <c r="M527" s="19" t="e">
        <f>IF(J527="","SEM #CH",VLOOKUP(J527,#REF!,4,0))</f>
        <v>#REF!</v>
      </c>
      <c r="N527" s="19" t="e">
        <f>IF(J527="","SEM #CH",VLOOKUP(J527,#REF!,5,0))</f>
        <v>#REF!</v>
      </c>
      <c r="O527" s="19" t="e">
        <f>IF(J527="","SEM #CH",VLOOKUP(J527,#REF!,6,0))</f>
        <v>#REF!</v>
      </c>
      <c r="P527" s="19" t="e">
        <f>IF(J527="","SEM #CH",VLOOKUP(J527,#REF!,7,0))</f>
        <v>#REF!</v>
      </c>
      <c r="Q527" s="77" t="str">
        <f>VLOOKUP(J527,'p1'!$B$2:$C$30,2,0)</f>
        <v>NÃO TEM CHAPA</v>
      </c>
      <c r="R527" s="94">
        <v>45922</v>
      </c>
      <c r="S527" s="90" t="s">
        <v>218</v>
      </c>
      <c r="T527" s="90">
        <f t="shared" si="43"/>
        <v>1</v>
      </c>
      <c r="U527" s="94">
        <v>45925</v>
      </c>
      <c r="V527" s="90" t="s">
        <v>86</v>
      </c>
      <c r="W527" s="92">
        <v>2544</v>
      </c>
      <c r="X527" s="93">
        <f t="shared" si="42"/>
        <v>1</v>
      </c>
      <c r="Y527" s="92"/>
      <c r="Z527" s="92"/>
      <c r="AA527" s="13" t="str">
        <f t="shared" si="44"/>
        <v>set/2025</v>
      </c>
    </row>
    <row r="528" spans="1:27" x14ac:dyDescent="0.25">
      <c r="A528" s="89">
        <v>527</v>
      </c>
      <c r="B528" s="68">
        <v>45909</v>
      </c>
      <c r="C528" s="40">
        <v>87</v>
      </c>
      <c r="D528" s="40">
        <f t="shared" si="40"/>
        <v>1</v>
      </c>
      <c r="E528" s="44" t="s">
        <v>169</v>
      </c>
      <c r="F528" s="17" t="s">
        <v>58</v>
      </c>
      <c r="G528" s="17" t="s">
        <v>86</v>
      </c>
      <c r="H528" s="42" t="s">
        <v>760</v>
      </c>
      <c r="I528" s="17" t="str">
        <f t="shared" si="41"/>
        <v>PN-527</v>
      </c>
      <c r="J528" s="18" t="s">
        <v>85</v>
      </c>
      <c r="K528" s="19" t="e">
        <f>IF(J528="","SEM #CH",VLOOKUP(J528,#REF!,2,0))</f>
        <v>#REF!</v>
      </c>
      <c r="L528" s="19" t="e">
        <f>IF(J528="","SEM #CH",VLOOKUP(J528,#REF!,3,0))</f>
        <v>#REF!</v>
      </c>
      <c r="M528" s="19" t="e">
        <f>IF(J528="","SEM #CH",VLOOKUP(J528,#REF!,4,0))</f>
        <v>#REF!</v>
      </c>
      <c r="N528" s="19" t="e">
        <f>IF(J528="","SEM #CH",VLOOKUP(J528,#REF!,5,0))</f>
        <v>#REF!</v>
      </c>
      <c r="O528" s="19" t="e">
        <f>IF(J528="","SEM #CH",VLOOKUP(J528,#REF!,6,0))</f>
        <v>#REF!</v>
      </c>
      <c r="P528" s="19" t="e">
        <f>IF(J528="","SEM #CH",VLOOKUP(J528,#REF!,7,0))</f>
        <v>#REF!</v>
      </c>
      <c r="Q528" s="77" t="str">
        <f>VLOOKUP(J528,'p1'!$B$2:$C$30,2,0)</f>
        <v>NÃO TEM CHAPA</v>
      </c>
      <c r="R528" s="94">
        <v>45918</v>
      </c>
      <c r="S528" s="90" t="s">
        <v>218</v>
      </c>
      <c r="T528" s="90">
        <f t="shared" si="43"/>
        <v>1</v>
      </c>
      <c r="U528" s="94">
        <v>45919</v>
      </c>
      <c r="V528" s="90" t="s">
        <v>86</v>
      </c>
      <c r="W528" s="92">
        <v>2536</v>
      </c>
      <c r="X528" s="93">
        <f t="shared" si="42"/>
        <v>1</v>
      </c>
      <c r="Y528" s="92"/>
      <c r="Z528" s="92"/>
      <c r="AA528" s="13" t="str">
        <f t="shared" si="44"/>
        <v>set/2025</v>
      </c>
    </row>
    <row r="529" spans="1:27" x14ac:dyDescent="0.25">
      <c r="A529" s="89">
        <v>528</v>
      </c>
      <c r="B529" s="68">
        <v>45934</v>
      </c>
      <c r="C529" s="40">
        <v>110</v>
      </c>
      <c r="D529" s="40">
        <f t="shared" si="40"/>
        <v>1</v>
      </c>
      <c r="E529" s="44" t="s">
        <v>169</v>
      </c>
      <c r="F529" s="17" t="s">
        <v>61</v>
      </c>
      <c r="G529" s="17" t="s">
        <v>86</v>
      </c>
      <c r="H529" s="42" t="s">
        <v>761</v>
      </c>
      <c r="I529" s="17" t="str">
        <f t="shared" si="41"/>
        <v>PF-528</v>
      </c>
      <c r="J529" s="18" t="s">
        <v>61</v>
      </c>
      <c r="K529" s="19" t="e">
        <f>IF(J529="","SEM #CH",VLOOKUP(J529,#REF!,2,0))</f>
        <v>#REF!</v>
      </c>
      <c r="L529" s="19" t="e">
        <f>IF(J529="","SEM #CH",VLOOKUP(J529,#REF!,3,0))</f>
        <v>#REF!</v>
      </c>
      <c r="M529" s="19" t="e">
        <f>IF(J529="","SEM #CH",VLOOKUP(J529,#REF!,4,0))</f>
        <v>#REF!</v>
      </c>
      <c r="N529" s="19" t="e">
        <f>IF(J529="","SEM #CH",VLOOKUP(J529,#REF!,5,0))</f>
        <v>#REF!</v>
      </c>
      <c r="O529" s="19" t="e">
        <f>IF(J529="","SEM #CH",VLOOKUP(J529,#REF!,6,0))</f>
        <v>#REF!</v>
      </c>
      <c r="P529" s="19" t="e">
        <f>IF(J529="","SEM #CH",VLOOKUP(J529,#REF!,7,0))</f>
        <v>#REF!</v>
      </c>
      <c r="Q529" s="77" t="str">
        <f>VLOOKUP(J529,'p1'!$B$2:$C$30,2,0)</f>
        <v>SEM CHAPA</v>
      </c>
      <c r="R529" s="94">
        <v>45936</v>
      </c>
      <c r="S529" s="90" t="s">
        <v>217</v>
      </c>
      <c r="T529" s="90">
        <f t="shared" si="43"/>
        <v>1</v>
      </c>
      <c r="U529" s="94">
        <v>45936</v>
      </c>
      <c r="V529" s="90" t="s">
        <v>86</v>
      </c>
      <c r="W529" s="92">
        <v>2566</v>
      </c>
      <c r="X529" s="93">
        <f t="shared" si="42"/>
        <v>1</v>
      </c>
      <c r="Y529" s="92"/>
      <c r="Z529" s="92"/>
      <c r="AA529" s="13" t="str">
        <f t="shared" si="44"/>
        <v>out/2025</v>
      </c>
    </row>
    <row r="530" spans="1:27" x14ac:dyDescent="0.25">
      <c r="A530" s="89">
        <v>529</v>
      </c>
      <c r="B530" s="68">
        <v>45909</v>
      </c>
      <c r="C530" s="40">
        <v>87</v>
      </c>
      <c r="D530" s="40">
        <f t="shared" si="40"/>
        <v>1</v>
      </c>
      <c r="E530" s="44" t="s">
        <v>169</v>
      </c>
      <c r="F530" s="17" t="s">
        <v>58</v>
      </c>
      <c r="G530" s="17" t="s">
        <v>86</v>
      </c>
      <c r="H530" s="42" t="s">
        <v>762</v>
      </c>
      <c r="I530" s="17" t="str">
        <f t="shared" si="41"/>
        <v>PN-529</v>
      </c>
      <c r="J530" s="18" t="s">
        <v>85</v>
      </c>
      <c r="K530" s="19" t="e">
        <f>IF(J530="","SEM #CH",VLOOKUP(J530,#REF!,2,0))</f>
        <v>#REF!</v>
      </c>
      <c r="L530" s="19" t="e">
        <f>IF(J530="","SEM #CH",VLOOKUP(J530,#REF!,3,0))</f>
        <v>#REF!</v>
      </c>
      <c r="M530" s="19" t="e">
        <f>IF(J530="","SEM #CH",VLOOKUP(J530,#REF!,4,0))</f>
        <v>#REF!</v>
      </c>
      <c r="N530" s="19" t="e">
        <f>IF(J530="","SEM #CH",VLOOKUP(J530,#REF!,5,0))</f>
        <v>#REF!</v>
      </c>
      <c r="O530" s="19" t="e">
        <f>IF(J530="","SEM #CH",VLOOKUP(J530,#REF!,6,0))</f>
        <v>#REF!</v>
      </c>
      <c r="P530" s="19" t="e">
        <f>IF(J530="","SEM #CH",VLOOKUP(J530,#REF!,7,0))</f>
        <v>#REF!</v>
      </c>
      <c r="Q530" s="77" t="str">
        <f>VLOOKUP(J530,'p1'!$B$2:$C$30,2,0)</f>
        <v>NÃO TEM CHAPA</v>
      </c>
      <c r="R530" s="94">
        <v>45922</v>
      </c>
      <c r="S530" s="90" t="s">
        <v>218</v>
      </c>
      <c r="T530" s="90">
        <f t="shared" si="43"/>
        <v>1</v>
      </c>
      <c r="U530" s="94">
        <v>45925</v>
      </c>
      <c r="V530" s="90" t="s">
        <v>86</v>
      </c>
      <c r="W530" s="92">
        <v>2545</v>
      </c>
      <c r="X530" s="93">
        <f t="shared" si="42"/>
        <v>1</v>
      </c>
      <c r="Y530" s="92"/>
      <c r="Z530" s="92"/>
      <c r="AA530" s="13" t="str">
        <f t="shared" si="44"/>
        <v>set/2025</v>
      </c>
    </row>
    <row r="531" spans="1:27" x14ac:dyDescent="0.25">
      <c r="A531" s="89">
        <v>530</v>
      </c>
      <c r="B531" s="68">
        <v>45911</v>
      </c>
      <c r="C531" s="40">
        <v>89</v>
      </c>
      <c r="D531" s="40">
        <f t="shared" si="40"/>
        <v>1</v>
      </c>
      <c r="E531" s="44" t="s">
        <v>169</v>
      </c>
      <c r="F531" s="17" t="s">
        <v>58</v>
      </c>
      <c r="G531" s="17" t="s">
        <v>86</v>
      </c>
      <c r="H531" s="42" t="s">
        <v>763</v>
      </c>
      <c r="I531" s="17" t="str">
        <f t="shared" si="41"/>
        <v>PN-530</v>
      </c>
      <c r="J531" s="18" t="s">
        <v>85</v>
      </c>
      <c r="K531" s="19" t="e">
        <f>IF(J531="","SEM #CH",VLOOKUP(J531,#REF!,2,0))</f>
        <v>#REF!</v>
      </c>
      <c r="L531" s="19" t="e">
        <f>IF(J531="","SEM #CH",VLOOKUP(J531,#REF!,3,0))</f>
        <v>#REF!</v>
      </c>
      <c r="M531" s="19" t="e">
        <f>IF(J531="","SEM #CH",VLOOKUP(J531,#REF!,4,0))</f>
        <v>#REF!</v>
      </c>
      <c r="N531" s="19" t="e">
        <f>IF(J531="","SEM #CH",VLOOKUP(J531,#REF!,5,0))</f>
        <v>#REF!</v>
      </c>
      <c r="O531" s="19" t="e">
        <f>IF(J531="","SEM #CH",VLOOKUP(J531,#REF!,6,0))</f>
        <v>#REF!</v>
      </c>
      <c r="P531" s="19" t="e">
        <f>IF(J531="","SEM #CH",VLOOKUP(J531,#REF!,7,0))</f>
        <v>#REF!</v>
      </c>
      <c r="Q531" s="77" t="str">
        <f>VLOOKUP(J531,'p1'!$B$2:$C$30,2,0)</f>
        <v>NÃO TEM CHAPA</v>
      </c>
      <c r="R531" s="94">
        <v>45931</v>
      </c>
      <c r="S531" s="90" t="s">
        <v>218</v>
      </c>
      <c r="T531" s="90">
        <f t="shared" si="43"/>
        <v>1</v>
      </c>
      <c r="U531" s="94">
        <v>45933</v>
      </c>
      <c r="V531" s="90" t="s">
        <v>86</v>
      </c>
      <c r="W531" s="92">
        <v>2561</v>
      </c>
      <c r="X531" s="93">
        <f t="shared" si="42"/>
        <v>1</v>
      </c>
      <c r="Y531" s="92"/>
      <c r="Z531" s="92"/>
      <c r="AA531" s="13" t="str">
        <f t="shared" si="44"/>
        <v>out/2025</v>
      </c>
    </row>
    <row r="532" spans="1:27" x14ac:dyDescent="0.25">
      <c r="A532" s="89">
        <v>531</v>
      </c>
      <c r="B532" s="68">
        <v>45911</v>
      </c>
      <c r="C532" s="40">
        <v>89</v>
      </c>
      <c r="D532" s="40">
        <f t="shared" si="40"/>
        <v>1</v>
      </c>
      <c r="E532" s="44" t="s">
        <v>169</v>
      </c>
      <c r="F532" s="17" t="s">
        <v>58</v>
      </c>
      <c r="G532" s="17" t="s">
        <v>86</v>
      </c>
      <c r="H532" s="42" t="s">
        <v>764</v>
      </c>
      <c r="I532" s="17" t="str">
        <f t="shared" si="41"/>
        <v>PN-531</v>
      </c>
      <c r="J532" s="18" t="s">
        <v>85</v>
      </c>
      <c r="K532" s="19" t="e">
        <f>IF(J532="","SEM #CH",VLOOKUP(J532,#REF!,2,0))</f>
        <v>#REF!</v>
      </c>
      <c r="L532" s="19" t="e">
        <f>IF(J532="","SEM #CH",VLOOKUP(J532,#REF!,3,0))</f>
        <v>#REF!</v>
      </c>
      <c r="M532" s="19" t="e">
        <f>IF(J532="","SEM #CH",VLOOKUP(J532,#REF!,4,0))</f>
        <v>#REF!</v>
      </c>
      <c r="N532" s="19" t="e">
        <f>IF(J532="","SEM #CH",VLOOKUP(J532,#REF!,5,0))</f>
        <v>#REF!</v>
      </c>
      <c r="O532" s="19" t="e">
        <f>IF(J532="","SEM #CH",VLOOKUP(J532,#REF!,6,0))</f>
        <v>#REF!</v>
      </c>
      <c r="P532" s="19" t="e">
        <f>IF(J532="","SEM #CH",VLOOKUP(J532,#REF!,7,0))</f>
        <v>#REF!</v>
      </c>
      <c r="Q532" s="77" t="str">
        <f>VLOOKUP(J532,'p1'!$B$2:$C$30,2,0)</f>
        <v>NÃO TEM CHAPA</v>
      </c>
      <c r="R532" s="94">
        <v>45924</v>
      </c>
      <c r="S532" s="90" t="s">
        <v>218</v>
      </c>
      <c r="T532" s="90">
        <f t="shared" si="43"/>
        <v>1</v>
      </c>
      <c r="U532" s="94">
        <v>45925</v>
      </c>
      <c r="V532" s="90" t="s">
        <v>86</v>
      </c>
      <c r="W532" s="92">
        <v>2545</v>
      </c>
      <c r="X532" s="93">
        <f t="shared" si="42"/>
        <v>1</v>
      </c>
      <c r="Y532" s="92"/>
      <c r="Z532" s="92"/>
      <c r="AA532" s="13" t="str">
        <f t="shared" si="44"/>
        <v>set/2025</v>
      </c>
    </row>
    <row r="533" spans="1:27" x14ac:dyDescent="0.25">
      <c r="A533" s="89">
        <v>532</v>
      </c>
      <c r="B533" s="68">
        <v>45911</v>
      </c>
      <c r="C533" s="40">
        <v>89</v>
      </c>
      <c r="D533" s="40">
        <f t="shared" si="40"/>
        <v>1</v>
      </c>
      <c r="E533" s="44" t="s">
        <v>169</v>
      </c>
      <c r="F533" s="17" t="s">
        <v>58</v>
      </c>
      <c r="G533" s="17" t="s">
        <v>86</v>
      </c>
      <c r="H533" s="42" t="s">
        <v>765</v>
      </c>
      <c r="I533" s="17" t="str">
        <f t="shared" si="41"/>
        <v>PN-532</v>
      </c>
      <c r="J533" s="18" t="s">
        <v>85</v>
      </c>
      <c r="K533" s="19" t="e">
        <f>IF(J533="","SEM #CH",VLOOKUP(J533,#REF!,2,0))</f>
        <v>#REF!</v>
      </c>
      <c r="L533" s="19" t="e">
        <f>IF(J533="","SEM #CH",VLOOKUP(J533,#REF!,3,0))</f>
        <v>#REF!</v>
      </c>
      <c r="M533" s="19" t="e">
        <f>IF(J533="","SEM #CH",VLOOKUP(J533,#REF!,4,0))</f>
        <v>#REF!</v>
      </c>
      <c r="N533" s="19" t="e">
        <f>IF(J533="","SEM #CH",VLOOKUP(J533,#REF!,5,0))</f>
        <v>#REF!</v>
      </c>
      <c r="O533" s="19" t="e">
        <f>IF(J533="","SEM #CH",VLOOKUP(J533,#REF!,6,0))</f>
        <v>#REF!</v>
      </c>
      <c r="P533" s="19" t="e">
        <f>IF(J533="","SEM #CH",VLOOKUP(J533,#REF!,7,0))</f>
        <v>#REF!</v>
      </c>
      <c r="Q533" s="77" t="str">
        <f>VLOOKUP(J533,'p1'!$B$2:$C$30,2,0)</f>
        <v>NÃO TEM CHAPA</v>
      </c>
      <c r="R533" s="94">
        <v>45924</v>
      </c>
      <c r="S533" s="90" t="s">
        <v>218</v>
      </c>
      <c r="T533" s="90">
        <f t="shared" si="43"/>
        <v>1</v>
      </c>
      <c r="U533" s="94">
        <v>45925</v>
      </c>
      <c r="V533" s="90" t="s">
        <v>86</v>
      </c>
      <c r="W533" s="92">
        <v>2545</v>
      </c>
      <c r="X533" s="93">
        <f t="shared" si="42"/>
        <v>1</v>
      </c>
      <c r="Y533" s="92"/>
      <c r="Z533" s="92"/>
      <c r="AA533" s="13" t="str">
        <f t="shared" si="44"/>
        <v>set/2025</v>
      </c>
    </row>
    <row r="534" spans="1:27" x14ac:dyDescent="0.25">
      <c r="A534" s="89">
        <v>533</v>
      </c>
      <c r="B534" s="68">
        <v>45911</v>
      </c>
      <c r="C534" s="40">
        <v>89</v>
      </c>
      <c r="D534" s="40">
        <f t="shared" si="40"/>
        <v>1</v>
      </c>
      <c r="E534" s="44" t="s">
        <v>169</v>
      </c>
      <c r="F534" s="17" t="s">
        <v>58</v>
      </c>
      <c r="G534" s="17" t="s">
        <v>86</v>
      </c>
      <c r="H534" s="42" t="s">
        <v>766</v>
      </c>
      <c r="I534" s="17" t="str">
        <f t="shared" si="41"/>
        <v>PN-533</v>
      </c>
      <c r="J534" s="18" t="s">
        <v>85</v>
      </c>
      <c r="K534" s="19" t="e">
        <f>IF(J534="","SEM #CH",VLOOKUP(J534,#REF!,2,0))</f>
        <v>#REF!</v>
      </c>
      <c r="L534" s="19" t="e">
        <f>IF(J534="","SEM #CH",VLOOKUP(J534,#REF!,3,0))</f>
        <v>#REF!</v>
      </c>
      <c r="M534" s="19" t="e">
        <f>IF(J534="","SEM #CH",VLOOKUP(J534,#REF!,4,0))</f>
        <v>#REF!</v>
      </c>
      <c r="N534" s="19" t="e">
        <f>IF(J534="","SEM #CH",VLOOKUP(J534,#REF!,5,0))</f>
        <v>#REF!</v>
      </c>
      <c r="O534" s="19" t="e">
        <f>IF(J534="","SEM #CH",VLOOKUP(J534,#REF!,6,0))</f>
        <v>#REF!</v>
      </c>
      <c r="P534" s="19" t="e">
        <f>IF(J534="","SEM #CH",VLOOKUP(J534,#REF!,7,0))</f>
        <v>#REF!</v>
      </c>
      <c r="Q534" s="77" t="str">
        <f>VLOOKUP(J534,'p1'!$B$2:$C$30,2,0)</f>
        <v>NÃO TEM CHAPA</v>
      </c>
      <c r="R534" s="94">
        <v>45924</v>
      </c>
      <c r="S534" s="90" t="s">
        <v>218</v>
      </c>
      <c r="T534" s="90">
        <f t="shared" si="43"/>
        <v>1</v>
      </c>
      <c r="U534" s="94">
        <v>45924</v>
      </c>
      <c r="V534" s="90" t="s">
        <v>86</v>
      </c>
      <c r="W534" s="92">
        <v>2543</v>
      </c>
      <c r="X534" s="93">
        <f t="shared" si="42"/>
        <v>1</v>
      </c>
      <c r="Y534" s="92"/>
      <c r="Z534" s="92"/>
      <c r="AA534" s="13" t="str">
        <f t="shared" si="44"/>
        <v>set/2025</v>
      </c>
    </row>
    <row r="535" spans="1:27" x14ac:dyDescent="0.25">
      <c r="A535" s="89">
        <v>534</v>
      </c>
      <c r="B535" s="68">
        <v>45911</v>
      </c>
      <c r="C535" s="40">
        <v>89</v>
      </c>
      <c r="D535" s="40">
        <f t="shared" si="40"/>
        <v>1</v>
      </c>
      <c r="E535" s="44" t="s">
        <v>169</v>
      </c>
      <c r="F535" s="17" t="s">
        <v>58</v>
      </c>
      <c r="G535" s="17" t="s">
        <v>86</v>
      </c>
      <c r="H535" s="42" t="s">
        <v>767</v>
      </c>
      <c r="I535" s="17" t="str">
        <f t="shared" si="41"/>
        <v>PN-534</v>
      </c>
      <c r="J535" s="18" t="s">
        <v>85</v>
      </c>
      <c r="K535" s="19" t="e">
        <f>IF(J535="","SEM #CH",VLOOKUP(J535,#REF!,2,0))</f>
        <v>#REF!</v>
      </c>
      <c r="L535" s="19" t="e">
        <f>IF(J535="","SEM #CH",VLOOKUP(J535,#REF!,3,0))</f>
        <v>#REF!</v>
      </c>
      <c r="M535" s="19" t="e">
        <f>IF(J535="","SEM #CH",VLOOKUP(J535,#REF!,4,0))</f>
        <v>#REF!</v>
      </c>
      <c r="N535" s="19" t="e">
        <f>IF(J535="","SEM #CH",VLOOKUP(J535,#REF!,5,0))</f>
        <v>#REF!</v>
      </c>
      <c r="O535" s="19" t="e">
        <f>IF(J535="","SEM #CH",VLOOKUP(J535,#REF!,6,0))</f>
        <v>#REF!</v>
      </c>
      <c r="P535" s="19" t="e">
        <f>IF(J535="","SEM #CH",VLOOKUP(J535,#REF!,7,0))</f>
        <v>#REF!</v>
      </c>
      <c r="Q535" s="77" t="str">
        <f>VLOOKUP(J535,'p1'!$B$2:$C$30,2,0)</f>
        <v>NÃO TEM CHAPA</v>
      </c>
      <c r="R535" s="94">
        <v>45923</v>
      </c>
      <c r="S535" s="90" t="s">
        <v>218</v>
      </c>
      <c r="T535" s="90">
        <f t="shared" si="43"/>
        <v>1</v>
      </c>
      <c r="U535" s="94">
        <v>45931</v>
      </c>
      <c r="V535" s="90" t="s">
        <v>86</v>
      </c>
      <c r="W535" s="92">
        <v>2557</v>
      </c>
      <c r="X535" s="93">
        <f t="shared" si="42"/>
        <v>1</v>
      </c>
      <c r="Y535" s="92"/>
      <c r="Z535" s="92"/>
      <c r="AA535" s="13" t="str">
        <f t="shared" si="44"/>
        <v>set/2025</v>
      </c>
    </row>
    <row r="536" spans="1:27" x14ac:dyDescent="0.25">
      <c r="A536" s="89">
        <v>535</v>
      </c>
      <c r="B536" s="68">
        <v>45911</v>
      </c>
      <c r="C536" s="40">
        <v>89</v>
      </c>
      <c r="D536" s="40">
        <f t="shared" si="40"/>
        <v>1</v>
      </c>
      <c r="E536" s="44" t="s">
        <v>169</v>
      </c>
      <c r="F536" s="17" t="s">
        <v>58</v>
      </c>
      <c r="G536" s="17" t="s">
        <v>86</v>
      </c>
      <c r="H536" s="42" t="s">
        <v>768</v>
      </c>
      <c r="I536" s="17" t="str">
        <f t="shared" si="41"/>
        <v>PN-535</v>
      </c>
      <c r="J536" s="18" t="s">
        <v>85</v>
      </c>
      <c r="K536" s="19" t="e">
        <f>IF(J536="","SEM #CH",VLOOKUP(J536,#REF!,2,0))</f>
        <v>#REF!</v>
      </c>
      <c r="L536" s="19" t="e">
        <f>IF(J536="","SEM #CH",VLOOKUP(J536,#REF!,3,0))</f>
        <v>#REF!</v>
      </c>
      <c r="M536" s="19" t="e">
        <f>IF(J536="","SEM #CH",VLOOKUP(J536,#REF!,4,0))</f>
        <v>#REF!</v>
      </c>
      <c r="N536" s="19" t="e">
        <f>IF(J536="","SEM #CH",VLOOKUP(J536,#REF!,5,0))</f>
        <v>#REF!</v>
      </c>
      <c r="O536" s="19" t="e">
        <f>IF(J536="","SEM #CH",VLOOKUP(J536,#REF!,6,0))</f>
        <v>#REF!</v>
      </c>
      <c r="P536" s="19" t="e">
        <f>IF(J536="","SEM #CH",VLOOKUP(J536,#REF!,7,0))</f>
        <v>#REF!</v>
      </c>
      <c r="Q536" s="77" t="str">
        <f>VLOOKUP(J536,'p1'!$B$2:$C$30,2,0)</f>
        <v>NÃO TEM CHAPA</v>
      </c>
      <c r="R536" s="94">
        <v>45923</v>
      </c>
      <c r="S536" s="90" t="s">
        <v>218</v>
      </c>
      <c r="T536" s="90">
        <f t="shared" si="43"/>
        <v>1</v>
      </c>
      <c r="U536" s="94">
        <v>45931</v>
      </c>
      <c r="V536" s="90" t="s">
        <v>86</v>
      </c>
      <c r="W536" s="92">
        <v>2557</v>
      </c>
      <c r="X536" s="93">
        <f t="shared" si="42"/>
        <v>1</v>
      </c>
      <c r="Y536" s="92"/>
      <c r="Z536" s="92"/>
      <c r="AA536" s="13" t="str">
        <f t="shared" si="44"/>
        <v>set/2025</v>
      </c>
    </row>
    <row r="537" spans="1:27" x14ac:dyDescent="0.25">
      <c r="A537" s="89">
        <v>536</v>
      </c>
      <c r="B537" s="68">
        <v>45911</v>
      </c>
      <c r="C537" s="40">
        <v>89</v>
      </c>
      <c r="D537" s="40">
        <f t="shared" si="40"/>
        <v>1</v>
      </c>
      <c r="E537" s="44" t="s">
        <v>169</v>
      </c>
      <c r="F537" s="17" t="s">
        <v>58</v>
      </c>
      <c r="G537" s="17" t="s">
        <v>86</v>
      </c>
      <c r="H537" s="42" t="s">
        <v>769</v>
      </c>
      <c r="I537" s="17" t="str">
        <f t="shared" si="41"/>
        <v>PN-536</v>
      </c>
      <c r="J537" s="18" t="s">
        <v>85</v>
      </c>
      <c r="K537" s="19" t="e">
        <f>IF(J537="","SEM #CH",VLOOKUP(J537,#REF!,2,0))</f>
        <v>#REF!</v>
      </c>
      <c r="L537" s="19" t="e">
        <f>IF(J537="","SEM #CH",VLOOKUP(J537,#REF!,3,0))</f>
        <v>#REF!</v>
      </c>
      <c r="M537" s="19" t="e">
        <f>IF(J537="","SEM #CH",VLOOKUP(J537,#REF!,4,0))</f>
        <v>#REF!</v>
      </c>
      <c r="N537" s="19" t="e">
        <f>IF(J537="","SEM #CH",VLOOKUP(J537,#REF!,5,0))</f>
        <v>#REF!</v>
      </c>
      <c r="O537" s="19" t="e">
        <f>IF(J537="","SEM #CH",VLOOKUP(J537,#REF!,6,0))</f>
        <v>#REF!</v>
      </c>
      <c r="P537" s="19" t="e">
        <f>IF(J537="","SEM #CH",VLOOKUP(J537,#REF!,7,0))</f>
        <v>#REF!</v>
      </c>
      <c r="Q537" s="77" t="str">
        <f>VLOOKUP(J537,'p1'!$B$2:$C$30,2,0)</f>
        <v>NÃO TEM CHAPA</v>
      </c>
      <c r="R537" s="94">
        <v>45923</v>
      </c>
      <c r="S537" s="90" t="s">
        <v>218</v>
      </c>
      <c r="T537" s="90">
        <f t="shared" si="43"/>
        <v>1</v>
      </c>
      <c r="U537" s="94">
        <v>45931</v>
      </c>
      <c r="V537" s="90" t="s">
        <v>86</v>
      </c>
      <c r="W537" s="92">
        <v>2557</v>
      </c>
      <c r="X537" s="93">
        <f t="shared" si="42"/>
        <v>1</v>
      </c>
      <c r="Y537" s="92"/>
      <c r="Z537" s="92"/>
      <c r="AA537" s="13" t="str">
        <f t="shared" si="44"/>
        <v>set/2025</v>
      </c>
    </row>
    <row r="538" spans="1:27" x14ac:dyDescent="0.25">
      <c r="A538" s="89">
        <v>537</v>
      </c>
      <c r="B538" s="68">
        <v>45913</v>
      </c>
      <c r="C538" s="40">
        <v>91</v>
      </c>
      <c r="D538" s="40">
        <f t="shared" si="40"/>
        <v>1</v>
      </c>
      <c r="E538" s="44" t="s">
        <v>169</v>
      </c>
      <c r="F538" s="17" t="s">
        <v>58</v>
      </c>
      <c r="G538" s="17" t="s">
        <v>86</v>
      </c>
      <c r="H538" s="42" t="s">
        <v>770</v>
      </c>
      <c r="I538" s="21" t="str">
        <f t="shared" si="41"/>
        <v>PN-537</v>
      </c>
      <c r="J538" s="18" t="s">
        <v>85</v>
      </c>
      <c r="K538" s="19" t="e">
        <f>IF(J538="","SEM #CH",VLOOKUP(J538,#REF!,2,0))</f>
        <v>#REF!</v>
      </c>
      <c r="L538" s="19" t="e">
        <f>IF(J538="","SEM #CH",VLOOKUP(J538,#REF!,3,0))</f>
        <v>#REF!</v>
      </c>
      <c r="M538" s="19" t="e">
        <f>IF(J538="","SEM #CH",VLOOKUP(J538,#REF!,4,0))</f>
        <v>#REF!</v>
      </c>
      <c r="N538" s="19" t="e">
        <f>IF(J538="","SEM #CH",VLOOKUP(J538,#REF!,5,0))</f>
        <v>#REF!</v>
      </c>
      <c r="O538" s="19" t="e">
        <f>IF(J538="","SEM #CH",VLOOKUP(J538,#REF!,6,0))</f>
        <v>#REF!</v>
      </c>
      <c r="P538" s="19" t="e">
        <f>IF(J538="","SEM #CH",VLOOKUP(J538,#REF!,7,0))</f>
        <v>#REF!</v>
      </c>
      <c r="Q538" s="77" t="str">
        <f>VLOOKUP(J538,'p1'!$B$2:$C$30,2,0)</f>
        <v>NÃO TEM CHAPA</v>
      </c>
      <c r="R538" s="94">
        <v>45926</v>
      </c>
      <c r="S538" s="90" t="s">
        <v>218</v>
      </c>
      <c r="T538" s="90">
        <f t="shared" si="43"/>
        <v>1</v>
      </c>
      <c r="U538" s="94">
        <v>45929</v>
      </c>
      <c r="V538" s="90" t="s">
        <v>86</v>
      </c>
      <c r="W538" s="92">
        <v>2549</v>
      </c>
      <c r="X538" s="93">
        <f t="shared" si="42"/>
        <v>1</v>
      </c>
      <c r="Y538" s="92"/>
      <c r="Z538" s="92"/>
      <c r="AA538" s="13" t="str">
        <f t="shared" si="44"/>
        <v>set/2025</v>
      </c>
    </row>
    <row r="539" spans="1:27" x14ac:dyDescent="0.25">
      <c r="A539" s="89">
        <v>538</v>
      </c>
      <c r="B539" s="68">
        <v>45913</v>
      </c>
      <c r="C539" s="40">
        <v>91</v>
      </c>
      <c r="D539" s="40">
        <f t="shared" si="40"/>
        <v>1</v>
      </c>
      <c r="E539" s="44" t="s">
        <v>169</v>
      </c>
      <c r="F539" s="17" t="s">
        <v>58</v>
      </c>
      <c r="G539" s="17" t="s">
        <v>86</v>
      </c>
      <c r="H539" s="42" t="s">
        <v>771</v>
      </c>
      <c r="I539" s="21" t="str">
        <f t="shared" si="41"/>
        <v>PN-538</v>
      </c>
      <c r="J539" s="18" t="s">
        <v>85</v>
      </c>
      <c r="K539" s="19" t="e">
        <f>IF(J539="","SEM #CH",VLOOKUP(J539,#REF!,2,0))</f>
        <v>#REF!</v>
      </c>
      <c r="L539" s="19" t="e">
        <f>IF(J539="","SEM #CH",VLOOKUP(J539,#REF!,3,0))</f>
        <v>#REF!</v>
      </c>
      <c r="M539" s="19" t="e">
        <f>IF(J539="","SEM #CH",VLOOKUP(J539,#REF!,4,0))</f>
        <v>#REF!</v>
      </c>
      <c r="N539" s="19" t="e">
        <f>IF(J539="","SEM #CH",VLOOKUP(J539,#REF!,5,0))</f>
        <v>#REF!</v>
      </c>
      <c r="O539" s="19" t="e">
        <f>IF(J539="","SEM #CH",VLOOKUP(J539,#REF!,6,0))</f>
        <v>#REF!</v>
      </c>
      <c r="P539" s="19" t="e">
        <f>IF(J539="","SEM #CH",VLOOKUP(J539,#REF!,7,0))</f>
        <v>#REF!</v>
      </c>
      <c r="Q539" s="77" t="str">
        <f>VLOOKUP(J539,'p1'!$B$2:$C$30,2,0)</f>
        <v>NÃO TEM CHAPA</v>
      </c>
      <c r="R539" s="94">
        <v>45926</v>
      </c>
      <c r="S539" s="90" t="s">
        <v>218</v>
      </c>
      <c r="T539" s="90">
        <f t="shared" si="43"/>
        <v>1</v>
      </c>
      <c r="U539" s="94">
        <v>45929</v>
      </c>
      <c r="V539" s="90" t="s">
        <v>86</v>
      </c>
      <c r="W539" s="92">
        <v>2549</v>
      </c>
      <c r="X539" s="93">
        <f t="shared" si="42"/>
        <v>1</v>
      </c>
      <c r="Y539" s="92"/>
      <c r="Z539" s="92"/>
      <c r="AA539" s="13" t="str">
        <f t="shared" si="44"/>
        <v>set/2025</v>
      </c>
    </row>
    <row r="540" spans="1:27" x14ac:dyDescent="0.25">
      <c r="A540" s="89">
        <v>539</v>
      </c>
      <c r="B540" s="68">
        <v>45920</v>
      </c>
      <c r="C540" s="40">
        <v>97</v>
      </c>
      <c r="D540" s="40">
        <f t="shared" si="40"/>
        <v>1</v>
      </c>
      <c r="E540" s="44" t="s">
        <v>169</v>
      </c>
      <c r="F540" s="17" t="s">
        <v>60</v>
      </c>
      <c r="G540" s="17" t="s">
        <v>86</v>
      </c>
      <c r="H540" s="42" t="s">
        <v>772</v>
      </c>
      <c r="I540" s="17" t="str">
        <f t="shared" si="41"/>
        <v>PE-539</v>
      </c>
      <c r="J540" s="18" t="s">
        <v>90</v>
      </c>
      <c r="K540" s="19" t="e">
        <f>IF(J540="","SEM #CH",VLOOKUP(J540,#REF!,2,0))</f>
        <v>#REF!</v>
      </c>
      <c r="L540" s="19" t="e">
        <f>IF(J540="","SEM #CH",VLOOKUP(J540,#REF!,3,0))</f>
        <v>#REF!</v>
      </c>
      <c r="M540" s="19" t="e">
        <f>IF(J540="","SEM #CH",VLOOKUP(J540,#REF!,4,0))</f>
        <v>#REF!</v>
      </c>
      <c r="N540" s="19" t="e">
        <f>IF(J540="","SEM #CH",VLOOKUP(J540,#REF!,5,0))</f>
        <v>#REF!</v>
      </c>
      <c r="O540" s="19" t="e">
        <f>IF(J540="","SEM #CH",VLOOKUP(J540,#REF!,6,0))</f>
        <v>#REF!</v>
      </c>
      <c r="P540" s="19" t="e">
        <f>IF(J540="","SEM #CH",VLOOKUP(J540,#REF!,7,0))</f>
        <v>#REF!</v>
      </c>
      <c r="Q540" s="77" t="str">
        <f>VLOOKUP(J540,'p1'!$B$2:$C$30,2,0)</f>
        <v>#3/8-530X530</v>
      </c>
      <c r="R540" s="94">
        <v>45925</v>
      </c>
      <c r="S540" s="90" t="s">
        <v>218</v>
      </c>
      <c r="T540" s="90">
        <f t="shared" si="43"/>
        <v>1</v>
      </c>
      <c r="U540" s="94">
        <v>45938</v>
      </c>
      <c r="V540" s="90" t="s">
        <v>86</v>
      </c>
      <c r="W540" s="92">
        <v>2570</v>
      </c>
      <c r="X540" s="93">
        <f t="shared" si="42"/>
        <v>1</v>
      </c>
      <c r="Y540" s="92"/>
      <c r="Z540" s="92"/>
      <c r="AA540" s="13" t="str">
        <f t="shared" si="44"/>
        <v>set/2025</v>
      </c>
    </row>
    <row r="541" spans="1:27" x14ac:dyDescent="0.25">
      <c r="A541" s="89">
        <v>540</v>
      </c>
      <c r="B541" s="68">
        <v>45913</v>
      </c>
      <c r="C541" s="40">
        <v>91</v>
      </c>
      <c r="D541" s="40">
        <f t="shared" si="40"/>
        <v>1</v>
      </c>
      <c r="E541" s="44" t="s">
        <v>169</v>
      </c>
      <c r="F541" s="17" t="s">
        <v>58</v>
      </c>
      <c r="G541" s="17" t="s">
        <v>86</v>
      </c>
      <c r="H541" s="42" t="s">
        <v>773</v>
      </c>
      <c r="I541" s="21" t="str">
        <f t="shared" si="41"/>
        <v>PN-540</v>
      </c>
      <c r="J541" s="18" t="s">
        <v>85</v>
      </c>
      <c r="K541" s="19" t="e">
        <f>IF(J541="","SEM #CH",VLOOKUP(J541,#REF!,2,0))</f>
        <v>#REF!</v>
      </c>
      <c r="L541" s="19" t="e">
        <f>IF(J541="","SEM #CH",VLOOKUP(J541,#REF!,3,0))</f>
        <v>#REF!</v>
      </c>
      <c r="M541" s="19" t="e">
        <f>IF(J541="","SEM #CH",VLOOKUP(J541,#REF!,4,0))</f>
        <v>#REF!</v>
      </c>
      <c r="N541" s="19" t="e">
        <f>IF(J541="","SEM #CH",VLOOKUP(J541,#REF!,5,0))</f>
        <v>#REF!</v>
      </c>
      <c r="O541" s="19" t="e">
        <f>IF(J541="","SEM #CH",VLOOKUP(J541,#REF!,6,0))</f>
        <v>#REF!</v>
      </c>
      <c r="P541" s="19" t="e">
        <f>IF(J541="","SEM #CH",VLOOKUP(J541,#REF!,7,0))</f>
        <v>#REF!</v>
      </c>
      <c r="Q541" s="77" t="str">
        <f>VLOOKUP(J541,'p1'!$B$2:$C$30,2,0)</f>
        <v>NÃO TEM CHAPA</v>
      </c>
      <c r="R541" s="94">
        <v>45926</v>
      </c>
      <c r="S541" s="90" t="s">
        <v>218</v>
      </c>
      <c r="T541" s="90">
        <f t="shared" si="43"/>
        <v>1</v>
      </c>
      <c r="U541" s="94">
        <v>45929</v>
      </c>
      <c r="V541" s="90" t="s">
        <v>86</v>
      </c>
      <c r="W541" s="92">
        <v>2549</v>
      </c>
      <c r="X541" s="93">
        <f t="shared" si="42"/>
        <v>1</v>
      </c>
      <c r="Y541" s="92"/>
      <c r="Z541" s="92"/>
      <c r="AA541" s="13" t="str">
        <f t="shared" si="44"/>
        <v>set/2025</v>
      </c>
    </row>
    <row r="542" spans="1:27" x14ac:dyDescent="0.25">
      <c r="A542" s="89">
        <v>541</v>
      </c>
      <c r="B542" s="68">
        <v>45917</v>
      </c>
      <c r="C542" s="40">
        <v>94</v>
      </c>
      <c r="D542" s="40">
        <f t="shared" si="40"/>
        <v>1</v>
      </c>
      <c r="E542" s="44" t="s">
        <v>169</v>
      </c>
      <c r="F542" s="17" t="s">
        <v>58</v>
      </c>
      <c r="G542" s="17" t="s">
        <v>86</v>
      </c>
      <c r="H542" s="42" t="s">
        <v>774</v>
      </c>
      <c r="I542" s="17" t="str">
        <f t="shared" si="41"/>
        <v>PN-541</v>
      </c>
      <c r="J542" s="18" t="s">
        <v>85</v>
      </c>
      <c r="K542" s="19" t="e">
        <f>IF(J542="","SEM #CH",VLOOKUP(J542,#REF!,2,0))</f>
        <v>#REF!</v>
      </c>
      <c r="L542" s="19" t="e">
        <f>IF(J542="","SEM #CH",VLOOKUP(J542,#REF!,3,0))</f>
        <v>#REF!</v>
      </c>
      <c r="M542" s="19" t="e">
        <f>IF(J542="","SEM #CH",VLOOKUP(J542,#REF!,4,0))</f>
        <v>#REF!</v>
      </c>
      <c r="N542" s="19" t="e">
        <f>IF(J542="","SEM #CH",VLOOKUP(J542,#REF!,5,0))</f>
        <v>#REF!</v>
      </c>
      <c r="O542" s="19" t="e">
        <f>IF(J542="","SEM #CH",VLOOKUP(J542,#REF!,6,0))</f>
        <v>#REF!</v>
      </c>
      <c r="P542" s="19" t="e">
        <f>IF(J542="","SEM #CH",VLOOKUP(J542,#REF!,7,0))</f>
        <v>#REF!</v>
      </c>
      <c r="Q542" s="77" t="str">
        <f>VLOOKUP(J542,'p1'!$B$2:$C$30,2,0)</f>
        <v>NÃO TEM CHAPA</v>
      </c>
      <c r="R542" s="94">
        <v>45925</v>
      </c>
      <c r="S542" s="90" t="s">
        <v>218</v>
      </c>
      <c r="T542" s="90">
        <f t="shared" si="43"/>
        <v>1</v>
      </c>
      <c r="U542" s="94">
        <v>45926</v>
      </c>
      <c r="V542" s="90" t="s">
        <v>86</v>
      </c>
      <c r="W542" s="92">
        <v>2546</v>
      </c>
      <c r="X542" s="93">
        <f t="shared" si="42"/>
        <v>1</v>
      </c>
      <c r="Y542" s="92"/>
      <c r="Z542" s="92"/>
      <c r="AA542" s="13" t="str">
        <f t="shared" si="44"/>
        <v>set/2025</v>
      </c>
    </row>
    <row r="543" spans="1:27" x14ac:dyDescent="0.25">
      <c r="A543" s="89">
        <v>542</v>
      </c>
      <c r="B543" s="68">
        <v>45917</v>
      </c>
      <c r="C543" s="40">
        <v>94</v>
      </c>
      <c r="D543" s="40">
        <f t="shared" si="40"/>
        <v>1</v>
      </c>
      <c r="E543" s="44" t="s">
        <v>169</v>
      </c>
      <c r="F543" s="17" t="s">
        <v>58</v>
      </c>
      <c r="G543" s="17" t="s">
        <v>86</v>
      </c>
      <c r="H543" s="42" t="s">
        <v>775</v>
      </c>
      <c r="I543" s="17" t="str">
        <f t="shared" si="41"/>
        <v>PN-542</v>
      </c>
      <c r="J543" s="18" t="s">
        <v>85</v>
      </c>
      <c r="K543" s="19" t="e">
        <f>IF(J543="","SEM #CH",VLOOKUP(J543,#REF!,2,0))</f>
        <v>#REF!</v>
      </c>
      <c r="L543" s="19" t="e">
        <f>IF(J543="","SEM #CH",VLOOKUP(J543,#REF!,3,0))</f>
        <v>#REF!</v>
      </c>
      <c r="M543" s="19" t="e">
        <f>IF(J543="","SEM #CH",VLOOKUP(J543,#REF!,4,0))</f>
        <v>#REF!</v>
      </c>
      <c r="N543" s="19" t="e">
        <f>IF(J543="","SEM #CH",VLOOKUP(J543,#REF!,5,0))</f>
        <v>#REF!</v>
      </c>
      <c r="O543" s="19" t="e">
        <f>IF(J543="","SEM #CH",VLOOKUP(J543,#REF!,6,0))</f>
        <v>#REF!</v>
      </c>
      <c r="P543" s="19" t="e">
        <f>IF(J543="","SEM #CH",VLOOKUP(J543,#REF!,7,0))</f>
        <v>#REF!</v>
      </c>
      <c r="Q543" s="77" t="str">
        <f>VLOOKUP(J543,'p1'!$B$2:$C$30,2,0)</f>
        <v>NÃO TEM CHAPA</v>
      </c>
      <c r="R543" s="94">
        <v>45930</v>
      </c>
      <c r="S543" s="90" t="s">
        <v>218</v>
      </c>
      <c r="T543" s="90">
        <f t="shared" si="43"/>
        <v>1</v>
      </c>
      <c r="U543" s="94">
        <v>45930</v>
      </c>
      <c r="V543" s="90" t="s">
        <v>86</v>
      </c>
      <c r="W543" s="92">
        <v>2552</v>
      </c>
      <c r="X543" s="93">
        <f t="shared" si="42"/>
        <v>1</v>
      </c>
      <c r="Y543" s="92"/>
      <c r="Z543" s="92"/>
      <c r="AA543" s="13" t="str">
        <f t="shared" si="44"/>
        <v>set/2025</v>
      </c>
    </row>
    <row r="544" spans="1:27" x14ac:dyDescent="0.25">
      <c r="A544" s="89">
        <v>543</v>
      </c>
      <c r="B544" s="68">
        <v>45917</v>
      </c>
      <c r="C544" s="40">
        <v>94</v>
      </c>
      <c r="D544" s="40">
        <f t="shared" si="40"/>
        <v>1</v>
      </c>
      <c r="E544" s="44" t="s">
        <v>169</v>
      </c>
      <c r="F544" s="17" t="s">
        <v>58</v>
      </c>
      <c r="G544" s="17" t="s">
        <v>86</v>
      </c>
      <c r="H544" s="42" t="s">
        <v>776</v>
      </c>
      <c r="I544" s="17" t="str">
        <f t="shared" si="41"/>
        <v>PN-543</v>
      </c>
      <c r="J544" s="18" t="s">
        <v>85</v>
      </c>
      <c r="K544" s="19" t="e">
        <f>IF(J544="","SEM #CH",VLOOKUP(J544,#REF!,2,0))</f>
        <v>#REF!</v>
      </c>
      <c r="L544" s="19" t="e">
        <f>IF(J544="","SEM #CH",VLOOKUP(J544,#REF!,3,0))</f>
        <v>#REF!</v>
      </c>
      <c r="M544" s="19" t="e">
        <f>IF(J544="","SEM #CH",VLOOKUP(J544,#REF!,4,0))</f>
        <v>#REF!</v>
      </c>
      <c r="N544" s="19" t="e">
        <f>IF(J544="","SEM #CH",VLOOKUP(J544,#REF!,5,0))</f>
        <v>#REF!</v>
      </c>
      <c r="O544" s="19" t="e">
        <f>IF(J544="","SEM #CH",VLOOKUP(J544,#REF!,6,0))</f>
        <v>#REF!</v>
      </c>
      <c r="P544" s="19" t="e">
        <f>IF(J544="","SEM #CH",VLOOKUP(J544,#REF!,7,0))</f>
        <v>#REF!</v>
      </c>
      <c r="Q544" s="77" t="str">
        <f>VLOOKUP(J544,'p1'!$B$2:$C$30,2,0)</f>
        <v>NÃO TEM CHAPA</v>
      </c>
      <c r="R544" s="94">
        <v>45930</v>
      </c>
      <c r="S544" s="90" t="s">
        <v>218</v>
      </c>
      <c r="T544" s="90">
        <f t="shared" si="43"/>
        <v>1</v>
      </c>
      <c r="U544" s="94">
        <v>45930</v>
      </c>
      <c r="V544" s="90" t="s">
        <v>86</v>
      </c>
      <c r="W544" s="92">
        <v>2552</v>
      </c>
      <c r="X544" s="93">
        <f t="shared" si="42"/>
        <v>1</v>
      </c>
      <c r="Y544" s="92"/>
      <c r="Z544" s="92"/>
      <c r="AA544" s="13" t="str">
        <f t="shared" si="44"/>
        <v>set/2025</v>
      </c>
    </row>
    <row r="545" spans="1:27" x14ac:dyDescent="0.25">
      <c r="A545" s="89">
        <v>544</v>
      </c>
      <c r="B545" s="68">
        <v>45920</v>
      </c>
      <c r="C545" s="40">
        <v>97</v>
      </c>
      <c r="D545" s="40">
        <f t="shared" si="40"/>
        <v>1</v>
      </c>
      <c r="E545" s="44" t="s">
        <v>169</v>
      </c>
      <c r="F545" s="17" t="s">
        <v>58</v>
      </c>
      <c r="G545" s="17" t="s">
        <v>86</v>
      </c>
      <c r="H545" s="42" t="s">
        <v>777</v>
      </c>
      <c r="I545" s="17" t="str">
        <f t="shared" si="41"/>
        <v>PN-544</v>
      </c>
      <c r="J545" s="18" t="s">
        <v>85</v>
      </c>
      <c r="K545" s="19" t="e">
        <f>IF(J545="","SEM #CH",VLOOKUP(J545,#REF!,2,0))</f>
        <v>#REF!</v>
      </c>
      <c r="L545" s="19" t="e">
        <f>IF(J545="","SEM #CH",VLOOKUP(J545,#REF!,3,0))</f>
        <v>#REF!</v>
      </c>
      <c r="M545" s="19" t="e">
        <f>IF(J545="","SEM #CH",VLOOKUP(J545,#REF!,4,0))</f>
        <v>#REF!</v>
      </c>
      <c r="N545" s="19" t="e">
        <f>IF(J545="","SEM #CH",VLOOKUP(J545,#REF!,5,0))</f>
        <v>#REF!</v>
      </c>
      <c r="O545" s="19" t="e">
        <f>IF(J545="","SEM #CH",VLOOKUP(J545,#REF!,6,0))</f>
        <v>#REF!</v>
      </c>
      <c r="P545" s="19" t="e">
        <f>IF(J545="","SEM #CH",VLOOKUP(J545,#REF!,7,0))</f>
        <v>#REF!</v>
      </c>
      <c r="Q545" s="77" t="str">
        <f>VLOOKUP(J545,'p1'!$B$2:$C$30,2,0)</f>
        <v>NÃO TEM CHAPA</v>
      </c>
      <c r="R545" s="94">
        <v>45924</v>
      </c>
      <c r="S545" s="90" t="s">
        <v>218</v>
      </c>
      <c r="T545" s="90">
        <f t="shared" si="43"/>
        <v>1</v>
      </c>
      <c r="U545" s="94">
        <v>45925</v>
      </c>
      <c r="V545" s="90" t="s">
        <v>86</v>
      </c>
      <c r="W545" s="92">
        <v>2545</v>
      </c>
      <c r="X545" s="93">
        <f t="shared" si="42"/>
        <v>1</v>
      </c>
      <c r="Y545" s="92"/>
      <c r="Z545" s="92"/>
      <c r="AA545" s="13" t="str">
        <f t="shared" si="44"/>
        <v>set/2025</v>
      </c>
    </row>
    <row r="546" spans="1:27" x14ac:dyDescent="0.25">
      <c r="A546" s="89">
        <v>545</v>
      </c>
      <c r="B546" s="68">
        <v>45920</v>
      </c>
      <c r="C546" s="40">
        <v>97</v>
      </c>
      <c r="D546" s="40">
        <f t="shared" si="40"/>
        <v>1</v>
      </c>
      <c r="E546" s="44" t="s">
        <v>169</v>
      </c>
      <c r="F546" s="17" t="s">
        <v>58</v>
      </c>
      <c r="G546" s="17" t="s">
        <v>86</v>
      </c>
      <c r="H546" s="42" t="s">
        <v>778</v>
      </c>
      <c r="I546" s="17" t="str">
        <f t="shared" si="41"/>
        <v>PN-545</v>
      </c>
      <c r="J546" s="18" t="s">
        <v>85</v>
      </c>
      <c r="K546" s="19" t="e">
        <f>IF(J546="","SEM #CH",VLOOKUP(J546,#REF!,2,0))</f>
        <v>#REF!</v>
      </c>
      <c r="L546" s="19" t="e">
        <f>IF(J546="","SEM #CH",VLOOKUP(J546,#REF!,3,0))</f>
        <v>#REF!</v>
      </c>
      <c r="M546" s="19" t="e">
        <f>IF(J546="","SEM #CH",VLOOKUP(J546,#REF!,4,0))</f>
        <v>#REF!</v>
      </c>
      <c r="N546" s="19" t="e">
        <f>IF(J546="","SEM #CH",VLOOKUP(J546,#REF!,5,0))</f>
        <v>#REF!</v>
      </c>
      <c r="O546" s="19" t="e">
        <f>IF(J546="","SEM #CH",VLOOKUP(J546,#REF!,6,0))</f>
        <v>#REF!</v>
      </c>
      <c r="P546" s="19" t="e">
        <f>IF(J546="","SEM #CH",VLOOKUP(J546,#REF!,7,0))</f>
        <v>#REF!</v>
      </c>
      <c r="Q546" s="77" t="str">
        <f>VLOOKUP(J546,'p1'!$B$2:$C$30,2,0)</f>
        <v>NÃO TEM CHAPA</v>
      </c>
      <c r="R546" s="94">
        <v>45925</v>
      </c>
      <c r="S546" s="90" t="s">
        <v>218</v>
      </c>
      <c r="T546" s="90">
        <f t="shared" si="43"/>
        <v>1</v>
      </c>
      <c r="U546" s="94">
        <v>45924</v>
      </c>
      <c r="V546" s="90" t="s">
        <v>86</v>
      </c>
      <c r="W546" s="92">
        <v>2543</v>
      </c>
      <c r="X546" s="93">
        <f t="shared" si="42"/>
        <v>1</v>
      </c>
      <c r="Y546" s="92"/>
      <c r="Z546" s="92"/>
      <c r="AA546" s="13" t="str">
        <f t="shared" si="44"/>
        <v>set/2025</v>
      </c>
    </row>
    <row r="547" spans="1:27" x14ac:dyDescent="0.25">
      <c r="A547" s="89">
        <v>546</v>
      </c>
      <c r="B547" s="68">
        <v>45920</v>
      </c>
      <c r="C547" s="40">
        <v>97</v>
      </c>
      <c r="D547" s="40">
        <f t="shared" si="40"/>
        <v>1</v>
      </c>
      <c r="E547" s="44" t="s">
        <v>169</v>
      </c>
      <c r="F547" s="17" t="s">
        <v>58</v>
      </c>
      <c r="G547" s="17" t="s">
        <v>86</v>
      </c>
      <c r="H547" s="42" t="s">
        <v>779</v>
      </c>
      <c r="I547" s="17" t="str">
        <f t="shared" si="41"/>
        <v>PN-546</v>
      </c>
      <c r="J547" s="18" t="s">
        <v>85</v>
      </c>
      <c r="K547" s="19" t="e">
        <f>IF(J547="","SEM #CH",VLOOKUP(J547,#REF!,2,0))</f>
        <v>#REF!</v>
      </c>
      <c r="L547" s="19" t="e">
        <f>IF(J547="","SEM #CH",VLOOKUP(J547,#REF!,3,0))</f>
        <v>#REF!</v>
      </c>
      <c r="M547" s="19" t="e">
        <f>IF(J547="","SEM #CH",VLOOKUP(J547,#REF!,4,0))</f>
        <v>#REF!</v>
      </c>
      <c r="N547" s="19" t="e">
        <f>IF(J547="","SEM #CH",VLOOKUP(J547,#REF!,5,0))</f>
        <v>#REF!</v>
      </c>
      <c r="O547" s="19" t="e">
        <f>IF(J547="","SEM #CH",VLOOKUP(J547,#REF!,6,0))</f>
        <v>#REF!</v>
      </c>
      <c r="P547" s="19" t="e">
        <f>IF(J547="","SEM #CH",VLOOKUP(J547,#REF!,7,0))</f>
        <v>#REF!</v>
      </c>
      <c r="Q547" s="77" t="str">
        <f>VLOOKUP(J547,'p1'!$B$2:$C$30,2,0)</f>
        <v>NÃO TEM CHAPA</v>
      </c>
      <c r="R547" s="94">
        <v>45925</v>
      </c>
      <c r="S547" s="90" t="s">
        <v>218</v>
      </c>
      <c r="T547" s="90">
        <f t="shared" si="43"/>
        <v>1</v>
      </c>
      <c r="U547" s="94">
        <v>45924</v>
      </c>
      <c r="V547" s="90" t="s">
        <v>86</v>
      </c>
      <c r="W547" s="92">
        <v>2543</v>
      </c>
      <c r="X547" s="93">
        <f t="shared" si="42"/>
        <v>1</v>
      </c>
      <c r="Y547" s="92"/>
      <c r="Z547" s="92"/>
      <c r="AA547" s="13" t="str">
        <f t="shared" si="44"/>
        <v>set/2025</v>
      </c>
    </row>
    <row r="548" spans="1:27" x14ac:dyDescent="0.25">
      <c r="A548" s="89">
        <v>547</v>
      </c>
      <c r="B548" s="68">
        <v>45920</v>
      </c>
      <c r="C548" s="40">
        <v>97</v>
      </c>
      <c r="D548" s="40">
        <f t="shared" si="40"/>
        <v>1</v>
      </c>
      <c r="E548" s="44" t="s">
        <v>169</v>
      </c>
      <c r="F548" s="17" t="s">
        <v>58</v>
      </c>
      <c r="G548" s="17" t="s">
        <v>86</v>
      </c>
      <c r="H548" s="42" t="s">
        <v>780</v>
      </c>
      <c r="I548" s="17" t="str">
        <f t="shared" si="41"/>
        <v>PN-547</v>
      </c>
      <c r="J548" s="18" t="s">
        <v>85</v>
      </c>
      <c r="K548" s="19" t="e">
        <f>IF(J548="","SEM #CH",VLOOKUP(J548,#REF!,2,0))</f>
        <v>#REF!</v>
      </c>
      <c r="L548" s="19" t="e">
        <f>IF(J548="","SEM #CH",VLOOKUP(J548,#REF!,3,0))</f>
        <v>#REF!</v>
      </c>
      <c r="M548" s="19" t="e">
        <f>IF(J548="","SEM #CH",VLOOKUP(J548,#REF!,4,0))</f>
        <v>#REF!</v>
      </c>
      <c r="N548" s="19" t="e">
        <f>IF(J548="","SEM #CH",VLOOKUP(J548,#REF!,5,0))</f>
        <v>#REF!</v>
      </c>
      <c r="O548" s="19" t="e">
        <f>IF(J548="","SEM #CH",VLOOKUP(J548,#REF!,6,0))</f>
        <v>#REF!</v>
      </c>
      <c r="P548" s="19" t="e">
        <f>IF(J548="","SEM #CH",VLOOKUP(J548,#REF!,7,0))</f>
        <v>#REF!</v>
      </c>
      <c r="Q548" s="77" t="str">
        <f>VLOOKUP(J548,'p1'!$B$2:$C$30,2,0)</f>
        <v>NÃO TEM CHAPA</v>
      </c>
      <c r="R548" s="94">
        <v>45925</v>
      </c>
      <c r="S548" s="90" t="s">
        <v>218</v>
      </c>
      <c r="T548" s="90">
        <f t="shared" si="43"/>
        <v>1</v>
      </c>
      <c r="U548" s="94">
        <v>45925</v>
      </c>
      <c r="V548" s="90" t="s">
        <v>86</v>
      </c>
      <c r="W548" s="92">
        <v>2544</v>
      </c>
      <c r="X548" s="93">
        <f t="shared" si="42"/>
        <v>1</v>
      </c>
      <c r="Y548" s="92"/>
      <c r="Z548" s="92"/>
      <c r="AA548" s="13" t="str">
        <f t="shared" si="44"/>
        <v>set/2025</v>
      </c>
    </row>
    <row r="549" spans="1:27" x14ac:dyDescent="0.25">
      <c r="A549" s="89">
        <v>548</v>
      </c>
      <c r="B549" s="68">
        <v>45920</v>
      </c>
      <c r="C549" s="40">
        <v>97</v>
      </c>
      <c r="D549" s="40">
        <f t="shared" si="40"/>
        <v>1</v>
      </c>
      <c r="E549" s="44" t="s">
        <v>169</v>
      </c>
      <c r="F549" s="17" t="s">
        <v>58</v>
      </c>
      <c r="G549" s="17" t="s">
        <v>86</v>
      </c>
      <c r="H549" s="42" t="s">
        <v>781</v>
      </c>
      <c r="I549" s="17" t="str">
        <f t="shared" si="41"/>
        <v>PN-548</v>
      </c>
      <c r="J549" s="18" t="s">
        <v>85</v>
      </c>
      <c r="K549" s="19" t="e">
        <f>IF(J549="","SEM #CH",VLOOKUP(J549,#REF!,2,0))</f>
        <v>#REF!</v>
      </c>
      <c r="L549" s="19" t="e">
        <f>IF(J549="","SEM #CH",VLOOKUP(J549,#REF!,3,0))</f>
        <v>#REF!</v>
      </c>
      <c r="M549" s="19" t="e">
        <f>IF(J549="","SEM #CH",VLOOKUP(J549,#REF!,4,0))</f>
        <v>#REF!</v>
      </c>
      <c r="N549" s="19" t="e">
        <f>IF(J549="","SEM #CH",VLOOKUP(J549,#REF!,5,0))</f>
        <v>#REF!</v>
      </c>
      <c r="O549" s="19" t="e">
        <f>IF(J549="","SEM #CH",VLOOKUP(J549,#REF!,6,0))</f>
        <v>#REF!</v>
      </c>
      <c r="P549" s="19" t="e">
        <f>IF(J549="","SEM #CH",VLOOKUP(J549,#REF!,7,0))</f>
        <v>#REF!</v>
      </c>
      <c r="Q549" s="77" t="str">
        <f>VLOOKUP(J549,'p1'!$B$2:$C$30,2,0)</f>
        <v>NÃO TEM CHAPA</v>
      </c>
      <c r="R549" s="94">
        <v>45925</v>
      </c>
      <c r="S549" s="90" t="s">
        <v>218</v>
      </c>
      <c r="T549" s="90">
        <f t="shared" si="43"/>
        <v>1</v>
      </c>
      <c r="U549" s="94">
        <v>45925</v>
      </c>
      <c r="V549" s="90" t="s">
        <v>86</v>
      </c>
      <c r="W549" s="92">
        <v>2544</v>
      </c>
      <c r="X549" s="93">
        <f t="shared" si="42"/>
        <v>1</v>
      </c>
      <c r="Y549" s="92"/>
      <c r="Z549" s="92"/>
      <c r="AA549" s="13" t="str">
        <f t="shared" si="44"/>
        <v>set/2025</v>
      </c>
    </row>
    <row r="550" spans="1:27" x14ac:dyDescent="0.25">
      <c r="A550" s="89">
        <v>549</v>
      </c>
      <c r="B550" s="68">
        <v>45923</v>
      </c>
      <c r="C550" s="40">
        <v>99</v>
      </c>
      <c r="D550" s="40">
        <f t="shared" si="40"/>
        <v>1</v>
      </c>
      <c r="E550" s="44" t="s">
        <v>169</v>
      </c>
      <c r="F550" s="17" t="s">
        <v>58</v>
      </c>
      <c r="G550" s="17" t="s">
        <v>86</v>
      </c>
      <c r="H550" s="42" t="s">
        <v>782</v>
      </c>
      <c r="I550" s="17" t="str">
        <f t="shared" si="41"/>
        <v>PN-549</v>
      </c>
      <c r="J550" s="18" t="s">
        <v>85</v>
      </c>
      <c r="K550" s="19" t="e">
        <f>IF(J550="","SEM #CH",VLOOKUP(J550,#REF!,2,0))</f>
        <v>#REF!</v>
      </c>
      <c r="L550" s="19" t="e">
        <f>IF(J550="","SEM #CH",VLOOKUP(J550,#REF!,3,0))</f>
        <v>#REF!</v>
      </c>
      <c r="M550" s="19" t="e">
        <f>IF(J550="","SEM #CH",VLOOKUP(J550,#REF!,4,0))</f>
        <v>#REF!</v>
      </c>
      <c r="N550" s="19" t="e">
        <f>IF(J550="","SEM #CH",VLOOKUP(J550,#REF!,5,0))</f>
        <v>#REF!</v>
      </c>
      <c r="O550" s="19" t="e">
        <f>IF(J550="","SEM #CH",VLOOKUP(J550,#REF!,6,0))</f>
        <v>#REF!</v>
      </c>
      <c r="P550" s="19" t="e">
        <f>IF(J550="","SEM #CH",VLOOKUP(J550,#REF!,7,0))</f>
        <v>#REF!</v>
      </c>
      <c r="Q550" s="77" t="str">
        <f>VLOOKUP(J550,'p1'!$B$2:$C$30,2,0)</f>
        <v>NÃO TEM CHAPA</v>
      </c>
      <c r="R550" s="94">
        <v>45931</v>
      </c>
      <c r="S550" s="90" t="s">
        <v>218</v>
      </c>
      <c r="T550" s="90">
        <f t="shared" si="43"/>
        <v>1</v>
      </c>
      <c r="U550" s="94">
        <v>45931</v>
      </c>
      <c r="V550" s="90" t="s">
        <v>86</v>
      </c>
      <c r="W550" s="92">
        <v>2558</v>
      </c>
      <c r="X550" s="93">
        <f t="shared" si="42"/>
        <v>1</v>
      </c>
      <c r="Y550" s="92"/>
      <c r="Z550" s="92"/>
      <c r="AA550" s="13" t="str">
        <f t="shared" si="44"/>
        <v>out/2025</v>
      </c>
    </row>
    <row r="551" spans="1:27" x14ac:dyDescent="0.25">
      <c r="A551" s="89">
        <v>550</v>
      </c>
      <c r="B551" s="68">
        <v>45923</v>
      </c>
      <c r="C551" s="40">
        <v>99</v>
      </c>
      <c r="D551" s="40">
        <f t="shared" si="40"/>
        <v>1</v>
      </c>
      <c r="E551" s="44" t="s">
        <v>169</v>
      </c>
      <c r="F551" s="17" t="s">
        <v>58</v>
      </c>
      <c r="G551" s="17" t="s">
        <v>86</v>
      </c>
      <c r="H551" s="42" t="s">
        <v>783</v>
      </c>
      <c r="I551" s="17" t="str">
        <f t="shared" si="41"/>
        <v>PN-550</v>
      </c>
      <c r="J551" s="18" t="s">
        <v>85</v>
      </c>
      <c r="K551" s="19" t="e">
        <f>IF(J551="","SEM #CH",VLOOKUP(J551,#REF!,2,0))</f>
        <v>#REF!</v>
      </c>
      <c r="L551" s="19" t="e">
        <f>IF(J551="","SEM #CH",VLOOKUP(J551,#REF!,3,0))</f>
        <v>#REF!</v>
      </c>
      <c r="M551" s="19" t="e">
        <f>IF(J551="","SEM #CH",VLOOKUP(J551,#REF!,4,0))</f>
        <v>#REF!</v>
      </c>
      <c r="N551" s="19" t="e">
        <f>IF(J551="","SEM #CH",VLOOKUP(J551,#REF!,5,0))</f>
        <v>#REF!</v>
      </c>
      <c r="O551" s="19" t="e">
        <f>IF(J551="","SEM #CH",VLOOKUP(J551,#REF!,6,0))</f>
        <v>#REF!</v>
      </c>
      <c r="P551" s="19" t="e">
        <f>IF(J551="","SEM #CH",VLOOKUP(J551,#REF!,7,0))</f>
        <v>#REF!</v>
      </c>
      <c r="Q551" s="77" t="str">
        <f>VLOOKUP(J551,'p1'!$B$2:$C$30,2,0)</f>
        <v>NÃO TEM CHAPA</v>
      </c>
      <c r="R551" s="94">
        <v>45931</v>
      </c>
      <c r="S551" s="90" t="s">
        <v>218</v>
      </c>
      <c r="T551" s="90">
        <f t="shared" si="43"/>
        <v>1</v>
      </c>
      <c r="U551" s="94">
        <v>45931</v>
      </c>
      <c r="V551" s="90" t="s">
        <v>86</v>
      </c>
      <c r="W551" s="92">
        <v>2555</v>
      </c>
      <c r="X551" s="93">
        <f t="shared" si="42"/>
        <v>1</v>
      </c>
      <c r="Y551" s="92"/>
      <c r="Z551" s="92"/>
      <c r="AA551" s="13" t="str">
        <f t="shared" si="44"/>
        <v>out/2025</v>
      </c>
    </row>
    <row r="552" spans="1:27" x14ac:dyDescent="0.25">
      <c r="A552" s="89">
        <v>551</v>
      </c>
      <c r="B552" s="68">
        <v>45923</v>
      </c>
      <c r="C552" s="40">
        <v>99</v>
      </c>
      <c r="D552" s="40">
        <f t="shared" si="40"/>
        <v>1</v>
      </c>
      <c r="E552" s="44" t="s">
        <v>169</v>
      </c>
      <c r="F552" s="17" t="s">
        <v>58</v>
      </c>
      <c r="G552" s="17" t="s">
        <v>86</v>
      </c>
      <c r="H552" s="42" t="s">
        <v>784</v>
      </c>
      <c r="I552" s="17" t="str">
        <f t="shared" si="41"/>
        <v>PN-551</v>
      </c>
      <c r="J552" s="18" t="s">
        <v>85</v>
      </c>
      <c r="K552" s="19" t="e">
        <f>IF(J552="","SEM #CH",VLOOKUP(J552,#REF!,2,0))</f>
        <v>#REF!</v>
      </c>
      <c r="L552" s="19" t="e">
        <f>IF(J552="","SEM #CH",VLOOKUP(J552,#REF!,3,0))</f>
        <v>#REF!</v>
      </c>
      <c r="M552" s="19" t="e">
        <f>IF(J552="","SEM #CH",VLOOKUP(J552,#REF!,4,0))</f>
        <v>#REF!</v>
      </c>
      <c r="N552" s="19" t="e">
        <f>IF(J552="","SEM #CH",VLOOKUP(J552,#REF!,5,0))</f>
        <v>#REF!</v>
      </c>
      <c r="O552" s="19" t="e">
        <f>IF(J552="","SEM #CH",VLOOKUP(J552,#REF!,6,0))</f>
        <v>#REF!</v>
      </c>
      <c r="P552" s="19" t="e">
        <f>IF(J552="","SEM #CH",VLOOKUP(J552,#REF!,7,0))</f>
        <v>#REF!</v>
      </c>
      <c r="Q552" s="77" t="str">
        <f>VLOOKUP(J552,'p1'!$B$2:$C$30,2,0)</f>
        <v>NÃO TEM CHAPA</v>
      </c>
      <c r="R552" s="94">
        <v>45931</v>
      </c>
      <c r="S552" s="90" t="s">
        <v>218</v>
      </c>
      <c r="T552" s="90">
        <f t="shared" si="43"/>
        <v>1</v>
      </c>
      <c r="U552" s="94">
        <v>45938</v>
      </c>
      <c r="V552" s="90" t="s">
        <v>86</v>
      </c>
      <c r="W552" s="92">
        <v>2570</v>
      </c>
      <c r="X552" s="93">
        <f t="shared" si="42"/>
        <v>1</v>
      </c>
      <c r="Y552" s="92"/>
      <c r="Z552" s="92"/>
      <c r="AA552" s="13" t="str">
        <f t="shared" si="44"/>
        <v>out/2025</v>
      </c>
    </row>
    <row r="553" spans="1:27" x14ac:dyDescent="0.25">
      <c r="A553" s="89">
        <v>552</v>
      </c>
      <c r="B553" s="68">
        <v>45923</v>
      </c>
      <c r="C553" s="40">
        <v>99</v>
      </c>
      <c r="D553" s="40">
        <f t="shared" si="40"/>
        <v>1</v>
      </c>
      <c r="E553" s="44" t="s">
        <v>169</v>
      </c>
      <c r="F553" s="17" t="s">
        <v>58</v>
      </c>
      <c r="G553" s="17" t="s">
        <v>86</v>
      </c>
      <c r="H553" s="42" t="s">
        <v>785</v>
      </c>
      <c r="I553" s="17" t="str">
        <f t="shared" si="41"/>
        <v>PN-552</v>
      </c>
      <c r="J553" s="18" t="s">
        <v>85</v>
      </c>
      <c r="K553" s="19" t="e">
        <f>IF(J553="","SEM #CH",VLOOKUP(J553,#REF!,2,0))</f>
        <v>#REF!</v>
      </c>
      <c r="L553" s="19" t="e">
        <f>IF(J553="","SEM #CH",VLOOKUP(J553,#REF!,3,0))</f>
        <v>#REF!</v>
      </c>
      <c r="M553" s="19" t="e">
        <f>IF(J553="","SEM #CH",VLOOKUP(J553,#REF!,4,0))</f>
        <v>#REF!</v>
      </c>
      <c r="N553" s="19" t="e">
        <f>IF(J553="","SEM #CH",VLOOKUP(J553,#REF!,5,0))</f>
        <v>#REF!</v>
      </c>
      <c r="O553" s="19" t="e">
        <f>IF(J553="","SEM #CH",VLOOKUP(J553,#REF!,6,0))</f>
        <v>#REF!</v>
      </c>
      <c r="P553" s="19" t="e">
        <f>IF(J553="","SEM #CH",VLOOKUP(J553,#REF!,7,0))</f>
        <v>#REF!</v>
      </c>
      <c r="Q553" s="77" t="str">
        <f>VLOOKUP(J553,'p1'!$B$2:$C$30,2,0)</f>
        <v>NÃO TEM CHAPA</v>
      </c>
      <c r="R553" s="94">
        <v>45931</v>
      </c>
      <c r="S553" s="90" t="s">
        <v>218</v>
      </c>
      <c r="T553" s="90">
        <f t="shared" si="43"/>
        <v>1</v>
      </c>
      <c r="U553" s="94">
        <v>45933</v>
      </c>
      <c r="V553" s="90" t="s">
        <v>86</v>
      </c>
      <c r="W553" s="92">
        <v>2561</v>
      </c>
      <c r="X553" s="93">
        <f t="shared" si="42"/>
        <v>1</v>
      </c>
      <c r="Y553" s="92"/>
      <c r="Z553" s="92"/>
      <c r="AA553" s="13" t="str">
        <f t="shared" si="44"/>
        <v>out/2025</v>
      </c>
    </row>
    <row r="554" spans="1:27" x14ac:dyDescent="0.25">
      <c r="A554" s="89">
        <v>553</v>
      </c>
      <c r="B554" s="68">
        <v>45923</v>
      </c>
      <c r="C554" s="40">
        <v>99</v>
      </c>
      <c r="D554" s="40">
        <f t="shared" si="40"/>
        <v>1</v>
      </c>
      <c r="E554" s="44" t="s">
        <v>169</v>
      </c>
      <c r="F554" s="17" t="s">
        <v>58</v>
      </c>
      <c r="G554" s="17" t="s">
        <v>86</v>
      </c>
      <c r="H554" s="42" t="s">
        <v>786</v>
      </c>
      <c r="I554" s="17" t="str">
        <f t="shared" si="41"/>
        <v>PN-553</v>
      </c>
      <c r="J554" s="18" t="s">
        <v>85</v>
      </c>
      <c r="K554" s="19" t="e">
        <f>IF(J554="","SEM #CH",VLOOKUP(J554,#REF!,2,0))</f>
        <v>#REF!</v>
      </c>
      <c r="L554" s="19" t="e">
        <f>IF(J554="","SEM #CH",VLOOKUP(J554,#REF!,3,0))</f>
        <v>#REF!</v>
      </c>
      <c r="M554" s="19" t="e">
        <f>IF(J554="","SEM #CH",VLOOKUP(J554,#REF!,4,0))</f>
        <v>#REF!</v>
      </c>
      <c r="N554" s="19" t="e">
        <f>IF(J554="","SEM #CH",VLOOKUP(J554,#REF!,5,0))</f>
        <v>#REF!</v>
      </c>
      <c r="O554" s="19" t="e">
        <f>IF(J554="","SEM #CH",VLOOKUP(J554,#REF!,6,0))</f>
        <v>#REF!</v>
      </c>
      <c r="P554" s="19" t="e">
        <f>IF(J554="","SEM #CH",VLOOKUP(J554,#REF!,7,0))</f>
        <v>#REF!</v>
      </c>
      <c r="Q554" s="77" t="str">
        <f>VLOOKUP(J554,'p1'!$B$2:$C$30,2,0)</f>
        <v>NÃO TEM CHAPA</v>
      </c>
      <c r="R554" s="94">
        <v>45929</v>
      </c>
      <c r="S554" s="90" t="s">
        <v>218</v>
      </c>
      <c r="T554" s="90">
        <f t="shared" si="43"/>
        <v>1</v>
      </c>
      <c r="U554" s="94">
        <v>45929</v>
      </c>
      <c r="V554" s="90" t="s">
        <v>86</v>
      </c>
      <c r="W554" s="92">
        <v>2548</v>
      </c>
      <c r="X554" s="93">
        <f t="shared" si="42"/>
        <v>1</v>
      </c>
      <c r="Y554" s="92"/>
      <c r="Z554" s="92"/>
      <c r="AA554" s="13" t="str">
        <f t="shared" si="44"/>
        <v>set/2025</v>
      </c>
    </row>
    <row r="555" spans="1:27" x14ac:dyDescent="0.25">
      <c r="A555" s="89">
        <v>554</v>
      </c>
      <c r="B555" s="68">
        <v>45925</v>
      </c>
      <c r="C555" s="40">
        <v>102</v>
      </c>
      <c r="D555" s="40">
        <f t="shared" si="40"/>
        <v>1</v>
      </c>
      <c r="E555" s="44" t="s">
        <v>169</v>
      </c>
      <c r="F555" s="17" t="s">
        <v>58</v>
      </c>
      <c r="G555" s="17" t="s">
        <v>86</v>
      </c>
      <c r="H555" s="42" t="s">
        <v>787</v>
      </c>
      <c r="I555" s="17" t="str">
        <f t="shared" si="41"/>
        <v>PN-554</v>
      </c>
      <c r="J555" s="18" t="s">
        <v>85</v>
      </c>
      <c r="K555" s="19" t="e">
        <f>IF(J555="","SEM #CH",VLOOKUP(J555,#REF!,2,0))</f>
        <v>#REF!</v>
      </c>
      <c r="L555" s="19" t="e">
        <f>IF(J555="","SEM #CH",VLOOKUP(J555,#REF!,3,0))</f>
        <v>#REF!</v>
      </c>
      <c r="M555" s="19" t="e">
        <f>IF(J555="","SEM #CH",VLOOKUP(J555,#REF!,4,0))</f>
        <v>#REF!</v>
      </c>
      <c r="N555" s="19" t="e">
        <f>IF(J555="","SEM #CH",VLOOKUP(J555,#REF!,5,0))</f>
        <v>#REF!</v>
      </c>
      <c r="O555" s="19" t="e">
        <f>IF(J555="","SEM #CH",VLOOKUP(J555,#REF!,6,0))</f>
        <v>#REF!</v>
      </c>
      <c r="P555" s="19" t="e">
        <f>IF(J555="","SEM #CH",VLOOKUP(J555,#REF!,7,0))</f>
        <v>#REF!</v>
      </c>
      <c r="Q555" s="77" t="str">
        <f>VLOOKUP(J555,'p1'!$B$2:$C$30,2,0)</f>
        <v>NÃO TEM CHAPA</v>
      </c>
      <c r="R555" s="94">
        <v>45932</v>
      </c>
      <c r="S555" s="90" t="s">
        <v>218</v>
      </c>
      <c r="T555" s="90">
        <f t="shared" si="43"/>
        <v>1</v>
      </c>
      <c r="U555" s="94">
        <v>45933</v>
      </c>
      <c r="V555" s="90" t="s">
        <v>86</v>
      </c>
      <c r="W555" s="92">
        <v>2560</v>
      </c>
      <c r="X555" s="93">
        <f t="shared" si="42"/>
        <v>1</v>
      </c>
      <c r="Y555" s="92"/>
      <c r="Z555" s="92"/>
      <c r="AA555" s="13" t="str">
        <f t="shared" si="44"/>
        <v>out/2025</v>
      </c>
    </row>
    <row r="556" spans="1:27" x14ac:dyDescent="0.25">
      <c r="A556" s="89">
        <v>555</v>
      </c>
      <c r="B556" s="68">
        <v>45933</v>
      </c>
      <c r="C556" s="40">
        <v>109</v>
      </c>
      <c r="D556" s="40">
        <f t="shared" si="40"/>
        <v>1</v>
      </c>
      <c r="E556" s="44" t="s">
        <v>169</v>
      </c>
      <c r="F556" s="17" t="s">
        <v>60</v>
      </c>
      <c r="G556" s="17" t="s">
        <v>86</v>
      </c>
      <c r="H556" s="42" t="s">
        <v>788</v>
      </c>
      <c r="I556" s="17" t="str">
        <f t="shared" si="41"/>
        <v>PE-555</v>
      </c>
      <c r="J556" s="18" t="s">
        <v>88</v>
      </c>
      <c r="K556" s="19" t="e">
        <f>IF(J556="","SEM #CH",VLOOKUP(J556,#REF!,2,0))</f>
        <v>#REF!</v>
      </c>
      <c r="L556" s="19" t="e">
        <f>IF(J556="","SEM #CH",VLOOKUP(J556,#REF!,3,0))</f>
        <v>#REF!</v>
      </c>
      <c r="M556" s="19" t="e">
        <f>IF(J556="","SEM #CH",VLOOKUP(J556,#REF!,4,0))</f>
        <v>#REF!</v>
      </c>
      <c r="N556" s="19" t="e">
        <f>IF(J556="","SEM #CH",VLOOKUP(J556,#REF!,5,0))</f>
        <v>#REF!</v>
      </c>
      <c r="O556" s="19" t="e">
        <f>IF(J556="","SEM #CH",VLOOKUP(J556,#REF!,6,0))</f>
        <v>#REF!</v>
      </c>
      <c r="P556" s="19" t="e">
        <f>IF(J556="","SEM #CH",VLOOKUP(J556,#REF!,7,0))</f>
        <v>#REF!</v>
      </c>
      <c r="Q556" s="77" t="str">
        <f>VLOOKUP(J556,'p1'!$B$2:$C$30,2,0)</f>
        <v>#3/8-1315X1315</v>
      </c>
      <c r="R556" s="94">
        <v>45937</v>
      </c>
      <c r="S556" s="90" t="s">
        <v>218</v>
      </c>
      <c r="T556" s="90">
        <f t="shared" si="43"/>
        <v>1</v>
      </c>
      <c r="U556" s="94">
        <v>45940</v>
      </c>
      <c r="V556" s="90" t="s">
        <v>86</v>
      </c>
      <c r="W556" s="92">
        <v>2573</v>
      </c>
      <c r="X556" s="93">
        <f t="shared" si="42"/>
        <v>1</v>
      </c>
      <c r="Y556" s="92"/>
      <c r="Z556" s="92"/>
      <c r="AA556" s="13" t="str">
        <f t="shared" si="44"/>
        <v>out/2025</v>
      </c>
    </row>
    <row r="557" spans="1:27" x14ac:dyDescent="0.25">
      <c r="A557" s="89">
        <v>556</v>
      </c>
      <c r="B557" s="68">
        <v>45925</v>
      </c>
      <c r="C557" s="40">
        <v>102</v>
      </c>
      <c r="D557" s="40">
        <f t="shared" si="40"/>
        <v>1</v>
      </c>
      <c r="E557" s="44" t="s">
        <v>169</v>
      </c>
      <c r="F557" s="17" t="s">
        <v>58</v>
      </c>
      <c r="G557" s="17" t="s">
        <v>86</v>
      </c>
      <c r="H557" s="42" t="s">
        <v>789</v>
      </c>
      <c r="I557" s="17" t="str">
        <f t="shared" si="41"/>
        <v>PN-556</v>
      </c>
      <c r="J557" s="18" t="s">
        <v>85</v>
      </c>
      <c r="K557" s="19" t="e">
        <f>IF(J557="","SEM #CH",VLOOKUP(J557,#REF!,2,0))</f>
        <v>#REF!</v>
      </c>
      <c r="L557" s="19" t="e">
        <f>IF(J557="","SEM #CH",VLOOKUP(J557,#REF!,3,0))</f>
        <v>#REF!</v>
      </c>
      <c r="M557" s="19" t="e">
        <f>IF(J557="","SEM #CH",VLOOKUP(J557,#REF!,4,0))</f>
        <v>#REF!</v>
      </c>
      <c r="N557" s="19" t="e">
        <f>IF(J557="","SEM #CH",VLOOKUP(J557,#REF!,5,0))</f>
        <v>#REF!</v>
      </c>
      <c r="O557" s="19" t="e">
        <f>IF(J557="","SEM #CH",VLOOKUP(J557,#REF!,6,0))</f>
        <v>#REF!</v>
      </c>
      <c r="P557" s="19" t="e">
        <f>IF(J557="","SEM #CH",VLOOKUP(J557,#REF!,7,0))</f>
        <v>#REF!</v>
      </c>
      <c r="Q557" s="77" t="str">
        <f>VLOOKUP(J557,'p1'!$B$2:$C$30,2,0)</f>
        <v>NÃO TEM CHAPA</v>
      </c>
      <c r="R557" s="94">
        <v>45933</v>
      </c>
      <c r="S557" s="90" t="s">
        <v>218</v>
      </c>
      <c r="T557" s="90">
        <f t="shared" si="43"/>
        <v>1</v>
      </c>
      <c r="U557" s="94">
        <v>45937</v>
      </c>
      <c r="V557" s="90" t="s">
        <v>86</v>
      </c>
      <c r="W557" s="92">
        <v>2568</v>
      </c>
      <c r="X557" s="93">
        <f t="shared" si="42"/>
        <v>1</v>
      </c>
      <c r="Y557" s="92"/>
      <c r="Z557" s="92"/>
      <c r="AA557" s="13" t="str">
        <f t="shared" si="44"/>
        <v>out/2025</v>
      </c>
    </row>
    <row r="558" spans="1:27" x14ac:dyDescent="0.25">
      <c r="A558" s="89">
        <v>557</v>
      </c>
      <c r="B558" s="68">
        <v>45925</v>
      </c>
      <c r="C558" s="40">
        <v>102</v>
      </c>
      <c r="D558" s="40">
        <f t="shared" si="40"/>
        <v>1</v>
      </c>
      <c r="E558" s="44" t="s">
        <v>169</v>
      </c>
      <c r="F558" s="17" t="s">
        <v>58</v>
      </c>
      <c r="G558" s="17" t="s">
        <v>86</v>
      </c>
      <c r="H558" s="42" t="s">
        <v>790</v>
      </c>
      <c r="I558" s="17" t="str">
        <f t="shared" si="41"/>
        <v>PN-557</v>
      </c>
      <c r="J558" s="18" t="s">
        <v>85</v>
      </c>
      <c r="K558" s="19" t="e">
        <f>IF(J558="","SEM #CH",VLOOKUP(J558,#REF!,2,0))</f>
        <v>#REF!</v>
      </c>
      <c r="L558" s="19" t="e">
        <f>IF(J558="","SEM #CH",VLOOKUP(J558,#REF!,3,0))</f>
        <v>#REF!</v>
      </c>
      <c r="M558" s="19" t="e">
        <f>IF(J558="","SEM #CH",VLOOKUP(J558,#REF!,4,0))</f>
        <v>#REF!</v>
      </c>
      <c r="N558" s="19" t="e">
        <f>IF(J558="","SEM #CH",VLOOKUP(J558,#REF!,5,0))</f>
        <v>#REF!</v>
      </c>
      <c r="O558" s="19" t="e">
        <f>IF(J558="","SEM #CH",VLOOKUP(J558,#REF!,6,0))</f>
        <v>#REF!</v>
      </c>
      <c r="P558" s="19" t="e">
        <f>IF(J558="","SEM #CH",VLOOKUP(J558,#REF!,7,0))</f>
        <v>#REF!</v>
      </c>
      <c r="Q558" s="77" t="str">
        <f>VLOOKUP(J558,'p1'!$B$2:$C$30,2,0)</f>
        <v>NÃO TEM CHAPA</v>
      </c>
      <c r="R558" s="94">
        <v>45933</v>
      </c>
      <c r="S558" s="90" t="s">
        <v>218</v>
      </c>
      <c r="T558" s="90">
        <f t="shared" si="43"/>
        <v>1</v>
      </c>
      <c r="U558" s="94">
        <v>45933</v>
      </c>
      <c r="V558" s="90" t="s">
        <v>86</v>
      </c>
      <c r="W558" s="92">
        <v>2560</v>
      </c>
      <c r="X558" s="93">
        <f t="shared" si="42"/>
        <v>1</v>
      </c>
      <c r="Y558" s="92"/>
      <c r="Z558" s="92"/>
      <c r="AA558" s="13" t="str">
        <f t="shared" si="44"/>
        <v>out/2025</v>
      </c>
    </row>
    <row r="559" spans="1:27" x14ac:dyDescent="0.25">
      <c r="A559" s="89">
        <v>558</v>
      </c>
      <c r="B559" s="68">
        <v>45925</v>
      </c>
      <c r="C559" s="40">
        <v>102</v>
      </c>
      <c r="D559" s="40">
        <f t="shared" si="40"/>
        <v>1</v>
      </c>
      <c r="E559" s="44" t="s">
        <v>169</v>
      </c>
      <c r="F559" s="17" t="s">
        <v>58</v>
      </c>
      <c r="G559" s="17" t="s">
        <v>86</v>
      </c>
      <c r="H559" s="42" t="s">
        <v>791</v>
      </c>
      <c r="I559" s="17" t="str">
        <f t="shared" si="41"/>
        <v>PN-558</v>
      </c>
      <c r="J559" s="18" t="s">
        <v>85</v>
      </c>
      <c r="K559" s="19" t="e">
        <f>IF(J559="","SEM #CH",VLOOKUP(J559,#REF!,2,0))</f>
        <v>#REF!</v>
      </c>
      <c r="L559" s="19" t="e">
        <f>IF(J559="","SEM #CH",VLOOKUP(J559,#REF!,3,0))</f>
        <v>#REF!</v>
      </c>
      <c r="M559" s="19" t="e">
        <f>IF(J559="","SEM #CH",VLOOKUP(J559,#REF!,4,0))</f>
        <v>#REF!</v>
      </c>
      <c r="N559" s="19" t="e">
        <f>IF(J559="","SEM #CH",VLOOKUP(J559,#REF!,5,0))</f>
        <v>#REF!</v>
      </c>
      <c r="O559" s="19" t="e">
        <f>IF(J559="","SEM #CH",VLOOKUP(J559,#REF!,6,0))</f>
        <v>#REF!</v>
      </c>
      <c r="P559" s="19" t="e">
        <f>IF(J559="","SEM #CH",VLOOKUP(J559,#REF!,7,0))</f>
        <v>#REF!</v>
      </c>
      <c r="Q559" s="77" t="str">
        <f>VLOOKUP(J559,'p1'!$B$2:$C$30,2,0)</f>
        <v>NÃO TEM CHAPA</v>
      </c>
      <c r="R559" s="94">
        <v>45941</v>
      </c>
      <c r="S559" s="90" t="s">
        <v>218</v>
      </c>
      <c r="T559" s="90">
        <f t="shared" si="43"/>
        <v>1</v>
      </c>
      <c r="U559" s="94">
        <v>45951</v>
      </c>
      <c r="V559" s="90" t="s">
        <v>86</v>
      </c>
      <c r="W559" s="92">
        <v>2590</v>
      </c>
      <c r="X559" s="93">
        <f t="shared" si="42"/>
        <v>1</v>
      </c>
      <c r="Y559" s="92"/>
      <c r="Z559" s="92"/>
      <c r="AA559" s="13" t="str">
        <f t="shared" si="44"/>
        <v>out/2025</v>
      </c>
    </row>
    <row r="560" spans="1:27" x14ac:dyDescent="0.25">
      <c r="A560" s="89">
        <v>559</v>
      </c>
      <c r="B560" s="68">
        <v>45937</v>
      </c>
      <c r="C560" s="40">
        <v>113</v>
      </c>
      <c r="D560" s="40">
        <f t="shared" si="40"/>
        <v>1</v>
      </c>
      <c r="E560" s="47" t="s">
        <v>170</v>
      </c>
      <c r="F560" s="17" t="s">
        <v>61</v>
      </c>
      <c r="G560" s="17" t="s">
        <v>86</v>
      </c>
      <c r="H560" s="42" t="s">
        <v>792</v>
      </c>
      <c r="I560" s="17" t="str">
        <f t="shared" si="41"/>
        <v>PF-559</v>
      </c>
      <c r="J560" s="18" t="s">
        <v>61</v>
      </c>
      <c r="K560" s="19" t="e">
        <f>IF(J560="","SEM #CH",VLOOKUP(J560,#REF!,2,0))</f>
        <v>#REF!</v>
      </c>
      <c r="L560" s="19" t="e">
        <f>IF(J560="","SEM #CH",VLOOKUP(J560,#REF!,3,0))</f>
        <v>#REF!</v>
      </c>
      <c r="M560" s="19" t="e">
        <f>IF(J560="","SEM #CH",VLOOKUP(J560,#REF!,4,0))</f>
        <v>#REF!</v>
      </c>
      <c r="N560" s="19" t="e">
        <f>IF(J560="","SEM #CH",VLOOKUP(J560,#REF!,5,0))</f>
        <v>#REF!</v>
      </c>
      <c r="O560" s="19" t="e">
        <f>IF(J560="","SEM #CH",VLOOKUP(J560,#REF!,6,0))</f>
        <v>#REF!</v>
      </c>
      <c r="P560" s="19" t="e">
        <f>IF(J560="","SEM #CH",VLOOKUP(J560,#REF!,7,0))</f>
        <v>#REF!</v>
      </c>
      <c r="Q560" s="77" t="str">
        <f>VLOOKUP(J560,'p1'!$B$2:$C$30,2,0)</f>
        <v>SEM CHAPA</v>
      </c>
      <c r="R560" s="94">
        <v>45939</v>
      </c>
      <c r="S560" s="90" t="s">
        <v>217</v>
      </c>
      <c r="T560" s="90">
        <f t="shared" si="43"/>
        <v>1</v>
      </c>
      <c r="U560" s="94">
        <v>45939</v>
      </c>
      <c r="V560" s="90" t="s">
        <v>86</v>
      </c>
      <c r="W560" s="92">
        <v>2571</v>
      </c>
      <c r="X560" s="93">
        <f t="shared" si="42"/>
        <v>1</v>
      </c>
      <c r="Y560" s="92"/>
      <c r="Z560" s="92"/>
      <c r="AA560" s="13" t="str">
        <f t="shared" si="44"/>
        <v>out/2025</v>
      </c>
    </row>
    <row r="561" spans="1:27" x14ac:dyDescent="0.25">
      <c r="A561" s="89">
        <v>560</v>
      </c>
      <c r="B561" s="68">
        <v>45925</v>
      </c>
      <c r="C561" s="40">
        <v>102</v>
      </c>
      <c r="D561" s="40">
        <f t="shared" si="40"/>
        <v>1</v>
      </c>
      <c r="E561" s="47" t="s">
        <v>170</v>
      </c>
      <c r="F561" s="17" t="s">
        <v>58</v>
      </c>
      <c r="G561" s="17" t="s">
        <v>86</v>
      </c>
      <c r="H561" s="42" t="s">
        <v>793</v>
      </c>
      <c r="I561" s="17" t="str">
        <f t="shared" si="41"/>
        <v>PN-560</v>
      </c>
      <c r="J561" s="18" t="s">
        <v>85</v>
      </c>
      <c r="K561" s="19" t="e">
        <f>IF(J561="","SEM #CH",VLOOKUP(J561,#REF!,2,0))</f>
        <v>#REF!</v>
      </c>
      <c r="L561" s="19" t="e">
        <f>IF(J561="","SEM #CH",VLOOKUP(J561,#REF!,3,0))</f>
        <v>#REF!</v>
      </c>
      <c r="M561" s="19" t="e">
        <f>IF(J561="","SEM #CH",VLOOKUP(J561,#REF!,4,0))</f>
        <v>#REF!</v>
      </c>
      <c r="N561" s="19" t="e">
        <f>IF(J561="","SEM #CH",VLOOKUP(J561,#REF!,5,0))</f>
        <v>#REF!</v>
      </c>
      <c r="O561" s="19" t="e">
        <f>IF(J561="","SEM #CH",VLOOKUP(J561,#REF!,6,0))</f>
        <v>#REF!</v>
      </c>
      <c r="P561" s="19" t="e">
        <f>IF(J561="","SEM #CH",VLOOKUP(J561,#REF!,7,0))</f>
        <v>#REF!</v>
      </c>
      <c r="Q561" s="77" t="str">
        <f>VLOOKUP(J561,'p1'!$B$2:$C$30,2,0)</f>
        <v>NÃO TEM CHAPA</v>
      </c>
      <c r="R561" s="94">
        <v>45941</v>
      </c>
      <c r="S561" s="90" t="s">
        <v>218</v>
      </c>
      <c r="T561" s="90">
        <f t="shared" si="43"/>
        <v>1</v>
      </c>
      <c r="U561" s="94">
        <v>45951</v>
      </c>
      <c r="V561" s="90" t="s">
        <v>86</v>
      </c>
      <c r="W561" s="92">
        <v>2586</v>
      </c>
      <c r="X561" s="93">
        <f t="shared" si="42"/>
        <v>1</v>
      </c>
      <c r="Y561" s="92"/>
      <c r="Z561" s="92"/>
      <c r="AA561" s="13" t="str">
        <f t="shared" si="44"/>
        <v>out/2025</v>
      </c>
    </row>
    <row r="562" spans="1:27" x14ac:dyDescent="0.25">
      <c r="A562" s="89">
        <v>561</v>
      </c>
      <c r="B562" s="68">
        <v>45929</v>
      </c>
      <c r="C562" s="40">
        <v>105</v>
      </c>
      <c r="D562" s="40">
        <f t="shared" si="40"/>
        <v>1</v>
      </c>
      <c r="E562" s="47" t="s">
        <v>170</v>
      </c>
      <c r="F562" s="17" t="s">
        <v>58</v>
      </c>
      <c r="G562" s="17" t="s">
        <v>86</v>
      </c>
      <c r="H562" s="42" t="s">
        <v>794</v>
      </c>
      <c r="I562" s="17" t="str">
        <f t="shared" si="41"/>
        <v>PN-561</v>
      </c>
      <c r="J562" s="18" t="s">
        <v>85</v>
      </c>
      <c r="K562" s="19" t="e">
        <f>IF(J562="","SEM #CH",VLOOKUP(J562,#REF!,2,0))</f>
        <v>#REF!</v>
      </c>
      <c r="L562" s="19" t="e">
        <f>IF(J562="","SEM #CH",VLOOKUP(J562,#REF!,3,0))</f>
        <v>#REF!</v>
      </c>
      <c r="M562" s="19" t="e">
        <f>IF(J562="","SEM #CH",VLOOKUP(J562,#REF!,4,0))</f>
        <v>#REF!</v>
      </c>
      <c r="N562" s="19" t="e">
        <f>IF(J562="","SEM #CH",VLOOKUP(J562,#REF!,5,0))</f>
        <v>#REF!</v>
      </c>
      <c r="O562" s="19" t="e">
        <f>IF(J562="","SEM #CH",VLOOKUP(J562,#REF!,6,0))</f>
        <v>#REF!</v>
      </c>
      <c r="P562" s="19" t="e">
        <f>IF(J562="","SEM #CH",VLOOKUP(J562,#REF!,7,0))</f>
        <v>#REF!</v>
      </c>
      <c r="Q562" s="77" t="str">
        <f>VLOOKUP(J562,'p1'!$B$2:$C$30,2,0)</f>
        <v>NÃO TEM CHAPA</v>
      </c>
      <c r="R562" s="94">
        <v>45940</v>
      </c>
      <c r="S562" s="90" t="s">
        <v>218</v>
      </c>
      <c r="T562" s="90">
        <f t="shared" si="43"/>
        <v>1</v>
      </c>
      <c r="U562" s="94">
        <v>45947</v>
      </c>
      <c r="V562" s="90" t="s">
        <v>86</v>
      </c>
      <c r="W562" s="92">
        <v>2580</v>
      </c>
      <c r="X562" s="93">
        <f t="shared" si="42"/>
        <v>1</v>
      </c>
      <c r="Y562" s="92"/>
      <c r="Z562" s="92"/>
      <c r="AA562" s="13" t="str">
        <f t="shared" si="44"/>
        <v>out/2025</v>
      </c>
    </row>
    <row r="563" spans="1:27" x14ac:dyDescent="0.25">
      <c r="A563" s="89">
        <v>562</v>
      </c>
      <c r="B563" s="68">
        <v>45929</v>
      </c>
      <c r="C563" s="40">
        <v>105</v>
      </c>
      <c r="D563" s="40">
        <f t="shared" si="40"/>
        <v>1</v>
      </c>
      <c r="E563" s="47" t="s">
        <v>170</v>
      </c>
      <c r="F563" s="17" t="s">
        <v>58</v>
      </c>
      <c r="G563" s="17" t="s">
        <v>86</v>
      </c>
      <c r="H563" s="42" t="s">
        <v>795</v>
      </c>
      <c r="I563" s="17" t="str">
        <f t="shared" si="41"/>
        <v>PN-562</v>
      </c>
      <c r="J563" s="18" t="s">
        <v>85</v>
      </c>
      <c r="K563" s="19" t="e">
        <f>IF(J563="","SEM #CH",VLOOKUP(J563,#REF!,2,0))</f>
        <v>#REF!</v>
      </c>
      <c r="L563" s="19" t="e">
        <f>IF(J563="","SEM #CH",VLOOKUP(J563,#REF!,3,0))</f>
        <v>#REF!</v>
      </c>
      <c r="M563" s="19" t="e">
        <f>IF(J563="","SEM #CH",VLOOKUP(J563,#REF!,4,0))</f>
        <v>#REF!</v>
      </c>
      <c r="N563" s="19" t="e">
        <f>IF(J563="","SEM #CH",VLOOKUP(J563,#REF!,5,0))</f>
        <v>#REF!</v>
      </c>
      <c r="O563" s="19" t="e">
        <f>IF(J563="","SEM #CH",VLOOKUP(J563,#REF!,6,0))</f>
        <v>#REF!</v>
      </c>
      <c r="P563" s="19" t="e">
        <f>IF(J563="","SEM #CH",VLOOKUP(J563,#REF!,7,0))</f>
        <v>#REF!</v>
      </c>
      <c r="Q563" s="77" t="str">
        <f>VLOOKUP(J563,'p1'!$B$2:$C$30,2,0)</f>
        <v>NÃO TEM CHAPA</v>
      </c>
      <c r="R563" s="94">
        <v>45939</v>
      </c>
      <c r="S563" s="90" t="s">
        <v>218</v>
      </c>
      <c r="T563" s="90">
        <f t="shared" si="43"/>
        <v>1</v>
      </c>
      <c r="U563" s="94">
        <v>45947</v>
      </c>
      <c r="V563" s="90" t="s">
        <v>86</v>
      </c>
      <c r="W563" s="92">
        <v>2578</v>
      </c>
      <c r="X563" s="93">
        <f t="shared" si="42"/>
        <v>1</v>
      </c>
      <c r="Y563" s="92"/>
      <c r="Z563" s="92"/>
      <c r="AA563" s="13" t="str">
        <f t="shared" si="44"/>
        <v>out/2025</v>
      </c>
    </row>
    <row r="564" spans="1:27" x14ac:dyDescent="0.25">
      <c r="A564" s="89">
        <v>563</v>
      </c>
      <c r="B564" s="68">
        <v>45929</v>
      </c>
      <c r="C564" s="40">
        <v>105</v>
      </c>
      <c r="D564" s="40">
        <f t="shared" si="40"/>
        <v>1</v>
      </c>
      <c r="E564" s="47" t="s">
        <v>170</v>
      </c>
      <c r="F564" s="17" t="s">
        <v>58</v>
      </c>
      <c r="G564" s="17" t="s">
        <v>86</v>
      </c>
      <c r="H564" s="42" t="s">
        <v>796</v>
      </c>
      <c r="I564" s="17" t="str">
        <f t="shared" si="41"/>
        <v>PN-563</v>
      </c>
      <c r="J564" s="18" t="s">
        <v>85</v>
      </c>
      <c r="K564" s="19" t="e">
        <f>IF(J564="","SEM #CH",VLOOKUP(J564,#REF!,2,0))</f>
        <v>#REF!</v>
      </c>
      <c r="L564" s="19" t="e">
        <f>IF(J564="","SEM #CH",VLOOKUP(J564,#REF!,3,0))</f>
        <v>#REF!</v>
      </c>
      <c r="M564" s="19" t="e">
        <f>IF(J564="","SEM #CH",VLOOKUP(J564,#REF!,4,0))</f>
        <v>#REF!</v>
      </c>
      <c r="N564" s="19" t="e">
        <f>IF(J564="","SEM #CH",VLOOKUP(J564,#REF!,5,0))</f>
        <v>#REF!</v>
      </c>
      <c r="O564" s="19" t="e">
        <f>IF(J564="","SEM #CH",VLOOKUP(J564,#REF!,6,0))</f>
        <v>#REF!</v>
      </c>
      <c r="P564" s="19" t="e">
        <f>IF(J564="","SEM #CH",VLOOKUP(J564,#REF!,7,0))</f>
        <v>#REF!</v>
      </c>
      <c r="Q564" s="77" t="str">
        <f>VLOOKUP(J564,'p1'!$B$2:$C$30,2,0)</f>
        <v>NÃO TEM CHAPA</v>
      </c>
      <c r="R564" s="94">
        <v>45939</v>
      </c>
      <c r="S564" s="90" t="s">
        <v>218</v>
      </c>
      <c r="T564" s="90">
        <f t="shared" si="43"/>
        <v>1</v>
      </c>
      <c r="U564" s="94">
        <v>45939</v>
      </c>
      <c r="V564" s="90" t="s">
        <v>86</v>
      </c>
      <c r="W564" s="92">
        <v>2572</v>
      </c>
      <c r="X564" s="93">
        <f t="shared" si="42"/>
        <v>1</v>
      </c>
      <c r="Y564" s="92"/>
      <c r="Z564" s="92"/>
      <c r="AA564" s="13" t="str">
        <f t="shared" si="44"/>
        <v>out/2025</v>
      </c>
    </row>
    <row r="565" spans="1:27" x14ac:dyDescent="0.25">
      <c r="A565" s="89">
        <v>564</v>
      </c>
      <c r="B565" s="68">
        <v>45929</v>
      </c>
      <c r="C565" s="40">
        <v>105</v>
      </c>
      <c r="D565" s="40">
        <f t="shared" si="40"/>
        <v>1</v>
      </c>
      <c r="E565" s="47" t="s">
        <v>170</v>
      </c>
      <c r="F565" s="17" t="s">
        <v>58</v>
      </c>
      <c r="G565" s="17" t="s">
        <v>86</v>
      </c>
      <c r="H565" s="42" t="s">
        <v>797</v>
      </c>
      <c r="I565" s="17" t="str">
        <f t="shared" si="41"/>
        <v>PN-564</v>
      </c>
      <c r="J565" s="18" t="s">
        <v>85</v>
      </c>
      <c r="K565" s="19" t="e">
        <f>IF(J565="","SEM #CH",VLOOKUP(J565,#REF!,2,0))</f>
        <v>#REF!</v>
      </c>
      <c r="L565" s="19" t="e">
        <f>IF(J565="","SEM #CH",VLOOKUP(J565,#REF!,3,0))</f>
        <v>#REF!</v>
      </c>
      <c r="M565" s="19" t="e">
        <f>IF(J565="","SEM #CH",VLOOKUP(J565,#REF!,4,0))</f>
        <v>#REF!</v>
      </c>
      <c r="N565" s="19" t="e">
        <f>IF(J565="","SEM #CH",VLOOKUP(J565,#REF!,5,0))</f>
        <v>#REF!</v>
      </c>
      <c r="O565" s="19" t="e">
        <f>IF(J565="","SEM #CH",VLOOKUP(J565,#REF!,6,0))</f>
        <v>#REF!</v>
      </c>
      <c r="P565" s="19" t="e">
        <f>IF(J565="","SEM #CH",VLOOKUP(J565,#REF!,7,0))</f>
        <v>#REF!</v>
      </c>
      <c r="Q565" s="77" t="str">
        <f>VLOOKUP(J565,'p1'!$B$2:$C$30,2,0)</f>
        <v>NÃO TEM CHAPA</v>
      </c>
      <c r="R565" s="94">
        <v>45939</v>
      </c>
      <c r="S565" s="90" t="s">
        <v>218</v>
      </c>
      <c r="T565" s="90">
        <f t="shared" si="43"/>
        <v>1</v>
      </c>
      <c r="U565" s="94">
        <v>45939</v>
      </c>
      <c r="V565" s="90" t="s">
        <v>86</v>
      </c>
      <c r="W565" s="92">
        <v>2572</v>
      </c>
      <c r="X565" s="93">
        <f t="shared" si="42"/>
        <v>1</v>
      </c>
      <c r="Y565" s="92"/>
      <c r="Z565" s="92"/>
      <c r="AA565" s="13" t="str">
        <f t="shared" si="44"/>
        <v>out/2025</v>
      </c>
    </row>
    <row r="566" spans="1:27" x14ac:dyDescent="0.25">
      <c r="A566" s="89">
        <v>565</v>
      </c>
      <c r="B566" s="68">
        <v>45929</v>
      </c>
      <c r="C566" s="40">
        <v>105</v>
      </c>
      <c r="D566" s="40">
        <f t="shared" si="40"/>
        <v>1</v>
      </c>
      <c r="E566" s="47" t="s">
        <v>170</v>
      </c>
      <c r="F566" s="17" t="s">
        <v>58</v>
      </c>
      <c r="G566" s="17" t="s">
        <v>86</v>
      </c>
      <c r="H566" s="42" t="s">
        <v>798</v>
      </c>
      <c r="I566" s="17" t="str">
        <f t="shared" si="41"/>
        <v>PN-565</v>
      </c>
      <c r="J566" s="18" t="s">
        <v>85</v>
      </c>
      <c r="K566" s="19" t="e">
        <f>IF(J566="","SEM #CH",VLOOKUP(J566,#REF!,2,0))</f>
        <v>#REF!</v>
      </c>
      <c r="L566" s="19" t="e">
        <f>IF(J566="","SEM #CH",VLOOKUP(J566,#REF!,3,0))</f>
        <v>#REF!</v>
      </c>
      <c r="M566" s="19" t="e">
        <f>IF(J566="","SEM #CH",VLOOKUP(J566,#REF!,4,0))</f>
        <v>#REF!</v>
      </c>
      <c r="N566" s="19" t="e">
        <f>IF(J566="","SEM #CH",VLOOKUP(J566,#REF!,5,0))</f>
        <v>#REF!</v>
      </c>
      <c r="O566" s="19" t="e">
        <f>IF(J566="","SEM #CH",VLOOKUP(J566,#REF!,6,0))</f>
        <v>#REF!</v>
      </c>
      <c r="P566" s="19" t="e">
        <f>IF(J566="","SEM #CH",VLOOKUP(J566,#REF!,7,0))</f>
        <v>#REF!</v>
      </c>
      <c r="Q566" s="77" t="str">
        <f>VLOOKUP(J566,'p1'!$B$2:$C$30,2,0)</f>
        <v>NÃO TEM CHAPA</v>
      </c>
      <c r="R566" s="94">
        <v>45939</v>
      </c>
      <c r="S566" s="90" t="s">
        <v>218</v>
      </c>
      <c r="T566" s="90">
        <f t="shared" si="43"/>
        <v>1</v>
      </c>
      <c r="U566" s="94">
        <v>45940</v>
      </c>
      <c r="V566" s="90" t="s">
        <v>86</v>
      </c>
      <c r="W566" s="92">
        <v>2573</v>
      </c>
      <c r="X566" s="93">
        <f t="shared" si="42"/>
        <v>1</v>
      </c>
      <c r="Y566" s="92"/>
      <c r="Z566" s="92"/>
      <c r="AA566" s="13" t="str">
        <f t="shared" si="44"/>
        <v>out/2025</v>
      </c>
    </row>
    <row r="567" spans="1:27" x14ac:dyDescent="0.25">
      <c r="A567" s="89">
        <v>566</v>
      </c>
      <c r="B567" s="68">
        <v>45929</v>
      </c>
      <c r="C567" s="40">
        <v>105</v>
      </c>
      <c r="D567" s="40">
        <f t="shared" si="40"/>
        <v>1</v>
      </c>
      <c r="E567" s="47" t="s">
        <v>170</v>
      </c>
      <c r="F567" s="17" t="s">
        <v>58</v>
      </c>
      <c r="G567" s="17" t="s">
        <v>86</v>
      </c>
      <c r="H567" s="42" t="s">
        <v>799</v>
      </c>
      <c r="I567" s="17" t="str">
        <f t="shared" si="41"/>
        <v>PN-566</v>
      </c>
      <c r="J567" s="18" t="s">
        <v>85</v>
      </c>
      <c r="K567" s="19" t="e">
        <f>IF(J567="","SEM #CH",VLOOKUP(J567,#REF!,2,0))</f>
        <v>#REF!</v>
      </c>
      <c r="L567" s="19" t="e">
        <f>IF(J567="","SEM #CH",VLOOKUP(J567,#REF!,3,0))</f>
        <v>#REF!</v>
      </c>
      <c r="M567" s="19" t="e">
        <f>IF(J567="","SEM #CH",VLOOKUP(J567,#REF!,4,0))</f>
        <v>#REF!</v>
      </c>
      <c r="N567" s="19" t="e">
        <f>IF(J567="","SEM #CH",VLOOKUP(J567,#REF!,5,0))</f>
        <v>#REF!</v>
      </c>
      <c r="O567" s="19" t="e">
        <f>IF(J567="","SEM #CH",VLOOKUP(J567,#REF!,6,0))</f>
        <v>#REF!</v>
      </c>
      <c r="P567" s="19" t="e">
        <f>IF(J567="","SEM #CH",VLOOKUP(J567,#REF!,7,0))</f>
        <v>#REF!</v>
      </c>
      <c r="Q567" s="77" t="str">
        <f>VLOOKUP(J567,'p1'!$B$2:$C$30,2,0)</f>
        <v>NÃO TEM CHAPA</v>
      </c>
      <c r="R567" s="94">
        <v>45938</v>
      </c>
      <c r="S567" s="90" t="s">
        <v>218</v>
      </c>
      <c r="T567" s="90">
        <f t="shared" si="43"/>
        <v>1</v>
      </c>
      <c r="U567" s="94">
        <v>45939</v>
      </c>
      <c r="V567" s="90" t="s">
        <v>86</v>
      </c>
      <c r="W567" s="92">
        <v>2572</v>
      </c>
      <c r="X567" s="93">
        <f t="shared" si="42"/>
        <v>1</v>
      </c>
      <c r="Y567" s="92"/>
      <c r="Z567" s="92"/>
      <c r="AA567" s="13" t="str">
        <f t="shared" si="44"/>
        <v>out/2025</v>
      </c>
    </row>
    <row r="568" spans="1:27" x14ac:dyDescent="0.25">
      <c r="A568" s="89">
        <v>567</v>
      </c>
      <c r="B568" s="68">
        <v>45923</v>
      </c>
      <c r="C568" s="40">
        <v>99</v>
      </c>
      <c r="D568" s="40">
        <f t="shared" si="40"/>
        <v>1</v>
      </c>
      <c r="E568" s="47" t="s">
        <v>170</v>
      </c>
      <c r="F568" s="17" t="s">
        <v>60</v>
      </c>
      <c r="G568" s="17" t="s">
        <v>86</v>
      </c>
      <c r="H568" s="42" t="s">
        <v>800</v>
      </c>
      <c r="I568" s="17" t="str">
        <f t="shared" si="41"/>
        <v>PE-567</v>
      </c>
      <c r="J568" s="18" t="s">
        <v>90</v>
      </c>
      <c r="K568" s="19" t="e">
        <f>IF(J568="","SEM #CH",VLOOKUP(J568,#REF!,2,0))</f>
        <v>#REF!</v>
      </c>
      <c r="L568" s="19" t="e">
        <f>IF(J568="","SEM #CH",VLOOKUP(J568,#REF!,3,0))</f>
        <v>#REF!</v>
      </c>
      <c r="M568" s="19" t="e">
        <f>IF(J568="","SEM #CH",VLOOKUP(J568,#REF!,4,0))</f>
        <v>#REF!</v>
      </c>
      <c r="N568" s="19" t="e">
        <f>IF(J568="","SEM #CH",VLOOKUP(J568,#REF!,5,0))</f>
        <v>#REF!</v>
      </c>
      <c r="O568" s="19" t="e">
        <f>IF(J568="","SEM #CH",VLOOKUP(J568,#REF!,6,0))</f>
        <v>#REF!</v>
      </c>
      <c r="P568" s="19" t="e">
        <f>IF(J568="","SEM #CH",VLOOKUP(J568,#REF!,7,0))</f>
        <v>#REF!</v>
      </c>
      <c r="Q568" s="77" t="str">
        <f>VLOOKUP(J568,'p1'!$B$2:$C$30,2,0)</f>
        <v>#3/8-530X530</v>
      </c>
      <c r="R568" s="94">
        <v>45931</v>
      </c>
      <c r="S568" s="90" t="s">
        <v>218</v>
      </c>
      <c r="T568" s="90">
        <f t="shared" si="43"/>
        <v>1</v>
      </c>
      <c r="U568" s="94">
        <v>45944</v>
      </c>
      <c r="V568" s="90" t="s">
        <v>86</v>
      </c>
      <c r="W568" s="92">
        <v>2577</v>
      </c>
      <c r="X568" s="93">
        <f t="shared" si="42"/>
        <v>1</v>
      </c>
      <c r="Y568" s="92"/>
      <c r="Z568" s="92"/>
      <c r="AA568" s="13" t="str">
        <f t="shared" si="44"/>
        <v>out/2025</v>
      </c>
    </row>
    <row r="569" spans="1:27" x14ac:dyDescent="0.25">
      <c r="A569" s="89">
        <v>568</v>
      </c>
      <c r="B569" s="68">
        <v>45929</v>
      </c>
      <c r="C569" s="40">
        <v>105</v>
      </c>
      <c r="D569" s="40">
        <f t="shared" si="40"/>
        <v>1</v>
      </c>
      <c r="E569" s="47" t="s">
        <v>170</v>
      </c>
      <c r="F569" s="17" t="s">
        <v>58</v>
      </c>
      <c r="G569" s="17" t="s">
        <v>86</v>
      </c>
      <c r="H569" s="42" t="s">
        <v>801</v>
      </c>
      <c r="I569" s="17" t="str">
        <f t="shared" si="41"/>
        <v>PN-568</v>
      </c>
      <c r="J569" s="18" t="s">
        <v>85</v>
      </c>
      <c r="K569" s="19" t="e">
        <f>IF(J569="","SEM #CH",VLOOKUP(J569,#REF!,2,0))</f>
        <v>#REF!</v>
      </c>
      <c r="L569" s="19" t="e">
        <f>IF(J569="","SEM #CH",VLOOKUP(J569,#REF!,3,0))</f>
        <v>#REF!</v>
      </c>
      <c r="M569" s="19" t="e">
        <f>IF(J569="","SEM #CH",VLOOKUP(J569,#REF!,4,0))</f>
        <v>#REF!</v>
      </c>
      <c r="N569" s="19" t="e">
        <f>IF(J569="","SEM #CH",VLOOKUP(J569,#REF!,5,0))</f>
        <v>#REF!</v>
      </c>
      <c r="O569" s="19" t="e">
        <f>IF(J569="","SEM #CH",VLOOKUP(J569,#REF!,6,0))</f>
        <v>#REF!</v>
      </c>
      <c r="P569" s="19" t="e">
        <f>IF(J569="","SEM #CH",VLOOKUP(J569,#REF!,7,0))</f>
        <v>#REF!</v>
      </c>
      <c r="Q569" s="77" t="str">
        <f>VLOOKUP(J569,'p1'!$B$2:$C$30,2,0)</f>
        <v>NÃO TEM CHAPA</v>
      </c>
      <c r="R569" s="94">
        <v>45932</v>
      </c>
      <c r="S569" s="90" t="s">
        <v>218</v>
      </c>
      <c r="T569" s="90">
        <f t="shared" si="43"/>
        <v>1</v>
      </c>
      <c r="U569" s="94">
        <v>45933</v>
      </c>
      <c r="V569" s="90" t="s">
        <v>86</v>
      </c>
      <c r="W569" s="92">
        <v>2560</v>
      </c>
      <c r="X569" s="93">
        <f t="shared" si="42"/>
        <v>1</v>
      </c>
      <c r="Y569" s="92"/>
      <c r="Z569" s="92"/>
      <c r="AA569" s="13" t="str">
        <f t="shared" si="44"/>
        <v>out/2025</v>
      </c>
    </row>
    <row r="570" spans="1:27" x14ac:dyDescent="0.25">
      <c r="A570" s="89">
        <v>569</v>
      </c>
      <c r="B570" s="68">
        <v>45931</v>
      </c>
      <c r="C570" s="40">
        <v>107</v>
      </c>
      <c r="D570" s="40">
        <f t="shared" si="40"/>
        <v>1</v>
      </c>
      <c r="E570" s="47" t="s">
        <v>170</v>
      </c>
      <c r="F570" s="17" t="s">
        <v>58</v>
      </c>
      <c r="G570" s="17" t="s">
        <v>86</v>
      </c>
      <c r="H570" s="42" t="s">
        <v>802</v>
      </c>
      <c r="I570" s="17" t="str">
        <f t="shared" si="41"/>
        <v>PN-569</v>
      </c>
      <c r="J570" s="18" t="s">
        <v>85</v>
      </c>
      <c r="K570" s="19" t="e">
        <f>IF(J570="","SEM #CH",VLOOKUP(J570,#REF!,2,0))</f>
        <v>#REF!</v>
      </c>
      <c r="L570" s="19" t="e">
        <f>IF(J570="","SEM #CH",VLOOKUP(J570,#REF!,3,0))</f>
        <v>#REF!</v>
      </c>
      <c r="M570" s="19" t="e">
        <f>IF(J570="","SEM #CH",VLOOKUP(J570,#REF!,4,0))</f>
        <v>#REF!</v>
      </c>
      <c r="N570" s="19" t="e">
        <f>IF(J570="","SEM #CH",VLOOKUP(J570,#REF!,5,0))</f>
        <v>#REF!</v>
      </c>
      <c r="O570" s="19" t="e">
        <f>IF(J570="","SEM #CH",VLOOKUP(J570,#REF!,6,0))</f>
        <v>#REF!</v>
      </c>
      <c r="P570" s="19" t="e">
        <f>IF(J570="","SEM #CH",VLOOKUP(J570,#REF!,7,0))</f>
        <v>#REF!</v>
      </c>
      <c r="Q570" s="77" t="str">
        <f>VLOOKUP(J570,'p1'!$B$2:$C$30,2,0)</f>
        <v>NÃO TEM CHAPA</v>
      </c>
      <c r="R570" s="94">
        <v>45937</v>
      </c>
      <c r="S570" s="90" t="s">
        <v>218</v>
      </c>
      <c r="T570" s="90">
        <f t="shared" si="43"/>
        <v>1</v>
      </c>
      <c r="U570" s="94">
        <v>45938</v>
      </c>
      <c r="V570" s="90" t="s">
        <v>86</v>
      </c>
      <c r="W570" s="92">
        <v>2570</v>
      </c>
      <c r="X570" s="93">
        <f t="shared" si="42"/>
        <v>1</v>
      </c>
      <c r="Y570" s="92"/>
      <c r="Z570" s="92"/>
      <c r="AA570" s="13" t="str">
        <f t="shared" si="44"/>
        <v>out/2025</v>
      </c>
    </row>
    <row r="571" spans="1:27" x14ac:dyDescent="0.25">
      <c r="A571" s="89">
        <v>570</v>
      </c>
      <c r="B571" s="68">
        <v>45931</v>
      </c>
      <c r="C571" s="40">
        <v>107</v>
      </c>
      <c r="D571" s="40">
        <f t="shared" si="40"/>
        <v>1</v>
      </c>
      <c r="E571" s="47" t="s">
        <v>170</v>
      </c>
      <c r="F571" s="17" t="s">
        <v>58</v>
      </c>
      <c r="G571" s="17" t="s">
        <v>86</v>
      </c>
      <c r="H571" s="42" t="s">
        <v>803</v>
      </c>
      <c r="I571" s="17" t="str">
        <f t="shared" si="41"/>
        <v>PN-570</v>
      </c>
      <c r="J571" s="18" t="s">
        <v>85</v>
      </c>
      <c r="K571" s="19" t="e">
        <f>IF(J571="","SEM #CH",VLOOKUP(J571,#REF!,2,0))</f>
        <v>#REF!</v>
      </c>
      <c r="L571" s="19" t="e">
        <f>IF(J571="","SEM #CH",VLOOKUP(J571,#REF!,3,0))</f>
        <v>#REF!</v>
      </c>
      <c r="M571" s="19" t="e">
        <f>IF(J571="","SEM #CH",VLOOKUP(J571,#REF!,4,0))</f>
        <v>#REF!</v>
      </c>
      <c r="N571" s="19" t="e">
        <f>IF(J571="","SEM #CH",VLOOKUP(J571,#REF!,5,0))</f>
        <v>#REF!</v>
      </c>
      <c r="O571" s="19" t="e">
        <f>IF(J571="","SEM #CH",VLOOKUP(J571,#REF!,6,0))</f>
        <v>#REF!</v>
      </c>
      <c r="P571" s="19" t="e">
        <f>IF(J571="","SEM #CH",VLOOKUP(J571,#REF!,7,0))</f>
        <v>#REF!</v>
      </c>
      <c r="Q571" s="77" t="str">
        <f>VLOOKUP(J571,'p1'!$B$2:$C$30,2,0)</f>
        <v>NÃO TEM CHAPA</v>
      </c>
      <c r="R571" s="94">
        <v>45937</v>
      </c>
      <c r="S571" s="90" t="s">
        <v>218</v>
      </c>
      <c r="T571" s="90">
        <f t="shared" si="43"/>
        <v>1</v>
      </c>
      <c r="U571" s="94">
        <v>45937</v>
      </c>
      <c r="V571" s="90" t="s">
        <v>86</v>
      </c>
      <c r="W571" s="92">
        <v>2568</v>
      </c>
      <c r="X571" s="93">
        <f t="shared" si="42"/>
        <v>1</v>
      </c>
      <c r="Y571" s="92"/>
      <c r="Z571" s="92"/>
      <c r="AA571" s="13" t="str">
        <f t="shared" si="44"/>
        <v>out/2025</v>
      </c>
    </row>
    <row r="572" spans="1:27" x14ac:dyDescent="0.25">
      <c r="A572" s="89">
        <v>571</v>
      </c>
      <c r="B572" s="68">
        <v>45931</v>
      </c>
      <c r="C572" s="40">
        <v>107</v>
      </c>
      <c r="D572" s="40">
        <f t="shared" si="40"/>
        <v>1</v>
      </c>
      <c r="E572" s="47" t="s">
        <v>170</v>
      </c>
      <c r="F572" s="17" t="s">
        <v>58</v>
      </c>
      <c r="G572" s="17" t="s">
        <v>86</v>
      </c>
      <c r="H572" s="42" t="s">
        <v>804</v>
      </c>
      <c r="I572" s="17" t="str">
        <f t="shared" si="41"/>
        <v>PN-571</v>
      </c>
      <c r="J572" s="18" t="s">
        <v>85</v>
      </c>
      <c r="K572" s="19" t="e">
        <f>IF(J572="","SEM #CH",VLOOKUP(J572,#REF!,2,0))</f>
        <v>#REF!</v>
      </c>
      <c r="L572" s="19" t="e">
        <f>IF(J572="","SEM #CH",VLOOKUP(J572,#REF!,3,0))</f>
        <v>#REF!</v>
      </c>
      <c r="M572" s="19" t="e">
        <f>IF(J572="","SEM #CH",VLOOKUP(J572,#REF!,4,0))</f>
        <v>#REF!</v>
      </c>
      <c r="N572" s="19" t="e">
        <f>IF(J572="","SEM #CH",VLOOKUP(J572,#REF!,5,0))</f>
        <v>#REF!</v>
      </c>
      <c r="O572" s="19" t="e">
        <f>IF(J572="","SEM #CH",VLOOKUP(J572,#REF!,6,0))</f>
        <v>#REF!</v>
      </c>
      <c r="P572" s="19" t="e">
        <f>IF(J572="","SEM #CH",VLOOKUP(J572,#REF!,7,0))</f>
        <v>#REF!</v>
      </c>
      <c r="Q572" s="77" t="str">
        <f>VLOOKUP(J572,'p1'!$B$2:$C$30,2,0)</f>
        <v>NÃO TEM CHAPA</v>
      </c>
      <c r="R572" s="94">
        <v>45937</v>
      </c>
      <c r="S572" s="90" t="s">
        <v>218</v>
      </c>
      <c r="T572" s="90">
        <f t="shared" si="43"/>
        <v>1</v>
      </c>
      <c r="U572" s="94">
        <v>45937</v>
      </c>
      <c r="V572" s="90" t="s">
        <v>86</v>
      </c>
      <c r="W572" s="92">
        <v>2568</v>
      </c>
      <c r="X572" s="93">
        <f t="shared" si="42"/>
        <v>1</v>
      </c>
      <c r="Y572" s="92"/>
      <c r="Z572" s="92"/>
      <c r="AA572" s="13" t="str">
        <f t="shared" si="44"/>
        <v>out/2025</v>
      </c>
    </row>
    <row r="573" spans="1:27" x14ac:dyDescent="0.25">
      <c r="A573" s="89">
        <v>572</v>
      </c>
      <c r="B573" s="68">
        <v>45931</v>
      </c>
      <c r="C573" s="40">
        <v>107</v>
      </c>
      <c r="D573" s="40">
        <f t="shared" si="40"/>
        <v>1</v>
      </c>
      <c r="E573" s="47" t="s">
        <v>170</v>
      </c>
      <c r="F573" s="17" t="s">
        <v>58</v>
      </c>
      <c r="G573" s="17" t="s">
        <v>86</v>
      </c>
      <c r="H573" s="42" t="s">
        <v>805</v>
      </c>
      <c r="I573" s="17" t="str">
        <f t="shared" si="41"/>
        <v>PN-572</v>
      </c>
      <c r="J573" s="18" t="s">
        <v>85</v>
      </c>
      <c r="K573" s="19" t="e">
        <f>IF(J573="","SEM #CH",VLOOKUP(J573,#REF!,2,0))</f>
        <v>#REF!</v>
      </c>
      <c r="L573" s="19" t="e">
        <f>IF(J573="","SEM #CH",VLOOKUP(J573,#REF!,3,0))</f>
        <v>#REF!</v>
      </c>
      <c r="M573" s="19" t="e">
        <f>IF(J573="","SEM #CH",VLOOKUP(J573,#REF!,4,0))</f>
        <v>#REF!</v>
      </c>
      <c r="N573" s="19" t="e">
        <f>IF(J573="","SEM #CH",VLOOKUP(J573,#REF!,5,0))</f>
        <v>#REF!</v>
      </c>
      <c r="O573" s="19" t="e">
        <f>IF(J573="","SEM #CH",VLOOKUP(J573,#REF!,6,0))</f>
        <v>#REF!</v>
      </c>
      <c r="P573" s="19" t="e">
        <f>IF(J573="","SEM #CH",VLOOKUP(J573,#REF!,7,0))</f>
        <v>#REF!</v>
      </c>
      <c r="Q573" s="77" t="str">
        <f>VLOOKUP(J573,'p1'!$B$2:$C$30,2,0)</f>
        <v>NÃO TEM CHAPA</v>
      </c>
      <c r="R573" s="94">
        <v>45936</v>
      </c>
      <c r="S573" s="90" t="s">
        <v>218</v>
      </c>
      <c r="T573" s="90">
        <f t="shared" si="43"/>
        <v>1</v>
      </c>
      <c r="U573" s="94">
        <v>45937</v>
      </c>
      <c r="V573" s="90" t="s">
        <v>86</v>
      </c>
      <c r="W573" s="92">
        <v>2568</v>
      </c>
      <c r="X573" s="93">
        <f t="shared" si="42"/>
        <v>1</v>
      </c>
      <c r="Y573" s="92"/>
      <c r="Z573" s="92"/>
      <c r="AA573" s="13" t="str">
        <f t="shared" si="44"/>
        <v>out/2025</v>
      </c>
    </row>
    <row r="574" spans="1:27" x14ac:dyDescent="0.25">
      <c r="A574" s="89">
        <v>573</v>
      </c>
      <c r="B574" s="68">
        <v>45931</v>
      </c>
      <c r="C574" s="40">
        <v>107</v>
      </c>
      <c r="D574" s="40">
        <f t="shared" si="40"/>
        <v>1</v>
      </c>
      <c r="E574" s="47" t="s">
        <v>170</v>
      </c>
      <c r="F574" s="17" t="s">
        <v>58</v>
      </c>
      <c r="G574" s="17" t="s">
        <v>86</v>
      </c>
      <c r="H574" s="42" t="s">
        <v>806</v>
      </c>
      <c r="I574" s="17" t="str">
        <f t="shared" si="41"/>
        <v>PN-573</v>
      </c>
      <c r="J574" s="18" t="s">
        <v>85</v>
      </c>
      <c r="K574" s="19" t="e">
        <f>IF(J574="","SEM #CH",VLOOKUP(J574,#REF!,2,0))</f>
        <v>#REF!</v>
      </c>
      <c r="L574" s="19" t="e">
        <f>IF(J574="","SEM #CH",VLOOKUP(J574,#REF!,3,0))</f>
        <v>#REF!</v>
      </c>
      <c r="M574" s="19" t="e">
        <f>IF(J574="","SEM #CH",VLOOKUP(J574,#REF!,4,0))</f>
        <v>#REF!</v>
      </c>
      <c r="N574" s="19" t="e">
        <f>IF(J574="","SEM #CH",VLOOKUP(J574,#REF!,5,0))</f>
        <v>#REF!</v>
      </c>
      <c r="O574" s="19" t="e">
        <f>IF(J574="","SEM #CH",VLOOKUP(J574,#REF!,6,0))</f>
        <v>#REF!</v>
      </c>
      <c r="P574" s="19" t="e">
        <f>IF(J574="","SEM #CH",VLOOKUP(J574,#REF!,7,0))</f>
        <v>#REF!</v>
      </c>
      <c r="Q574" s="77" t="str">
        <f>VLOOKUP(J574,'p1'!$B$2:$C$30,2,0)</f>
        <v>NÃO TEM CHAPA</v>
      </c>
      <c r="R574" s="94">
        <v>45936</v>
      </c>
      <c r="S574" s="90" t="s">
        <v>218</v>
      </c>
      <c r="T574" s="90">
        <f t="shared" si="43"/>
        <v>1</v>
      </c>
      <c r="U574" s="94">
        <v>45937</v>
      </c>
      <c r="V574" s="90" t="s">
        <v>86</v>
      </c>
      <c r="W574" s="92">
        <v>2569</v>
      </c>
      <c r="X574" s="93">
        <f t="shared" si="42"/>
        <v>1</v>
      </c>
      <c r="Y574" s="92"/>
      <c r="Z574" s="92"/>
      <c r="AA574" s="13" t="str">
        <f t="shared" si="44"/>
        <v>out/2025</v>
      </c>
    </row>
    <row r="575" spans="1:27" x14ac:dyDescent="0.25">
      <c r="A575" s="89">
        <v>574</v>
      </c>
      <c r="B575" s="68">
        <v>45931</v>
      </c>
      <c r="C575" s="40">
        <v>107</v>
      </c>
      <c r="D575" s="40">
        <f t="shared" si="40"/>
        <v>1</v>
      </c>
      <c r="E575" s="47" t="s">
        <v>170</v>
      </c>
      <c r="F575" s="17" t="s">
        <v>58</v>
      </c>
      <c r="G575" s="17" t="s">
        <v>86</v>
      </c>
      <c r="H575" s="42" t="s">
        <v>807</v>
      </c>
      <c r="I575" s="17" t="str">
        <f t="shared" si="41"/>
        <v>PN-574</v>
      </c>
      <c r="J575" s="18" t="s">
        <v>85</v>
      </c>
      <c r="K575" s="19" t="e">
        <f>IF(J575="","SEM #CH",VLOOKUP(J575,#REF!,2,0))</f>
        <v>#REF!</v>
      </c>
      <c r="L575" s="19" t="e">
        <f>IF(J575="","SEM #CH",VLOOKUP(J575,#REF!,3,0))</f>
        <v>#REF!</v>
      </c>
      <c r="M575" s="19" t="e">
        <f>IF(J575="","SEM #CH",VLOOKUP(J575,#REF!,4,0))</f>
        <v>#REF!</v>
      </c>
      <c r="N575" s="19" t="e">
        <f>IF(J575="","SEM #CH",VLOOKUP(J575,#REF!,5,0))</f>
        <v>#REF!</v>
      </c>
      <c r="O575" s="19" t="e">
        <f>IF(J575="","SEM #CH",VLOOKUP(J575,#REF!,6,0))</f>
        <v>#REF!</v>
      </c>
      <c r="P575" s="19" t="e">
        <f>IF(J575="","SEM #CH",VLOOKUP(J575,#REF!,7,0))</f>
        <v>#REF!</v>
      </c>
      <c r="Q575" s="77" t="str">
        <f>VLOOKUP(J575,'p1'!$B$2:$C$30,2,0)</f>
        <v>NÃO TEM CHAPA</v>
      </c>
      <c r="R575" s="94">
        <v>45936</v>
      </c>
      <c r="S575" s="90" t="s">
        <v>218</v>
      </c>
      <c r="T575" s="90">
        <f t="shared" si="43"/>
        <v>1</v>
      </c>
      <c r="U575" s="94">
        <v>45936</v>
      </c>
      <c r="V575" s="90" t="s">
        <v>86</v>
      </c>
      <c r="W575" s="92">
        <v>2565</v>
      </c>
      <c r="X575" s="93">
        <f t="shared" si="42"/>
        <v>1</v>
      </c>
      <c r="Y575" s="92"/>
      <c r="Z575" s="92"/>
      <c r="AA575" s="13" t="str">
        <f t="shared" si="44"/>
        <v>out/2025</v>
      </c>
    </row>
    <row r="576" spans="1:27" x14ac:dyDescent="0.25">
      <c r="A576" s="89">
        <v>575</v>
      </c>
      <c r="B576" s="68">
        <v>45933</v>
      </c>
      <c r="C576" s="40">
        <v>109</v>
      </c>
      <c r="D576" s="40">
        <f t="shared" si="40"/>
        <v>1</v>
      </c>
      <c r="E576" s="47" t="s">
        <v>170</v>
      </c>
      <c r="F576" s="17" t="s">
        <v>58</v>
      </c>
      <c r="G576" s="17" t="s">
        <v>86</v>
      </c>
      <c r="H576" s="42" t="s">
        <v>808</v>
      </c>
      <c r="I576" s="17" t="str">
        <f t="shared" si="41"/>
        <v>PN-575</v>
      </c>
      <c r="J576" s="18" t="s">
        <v>85</v>
      </c>
      <c r="K576" s="19" t="e">
        <f>IF(J576="","SEM #CH",VLOOKUP(J576,#REF!,2,0))</f>
        <v>#REF!</v>
      </c>
      <c r="L576" s="19" t="e">
        <f>IF(J576="","SEM #CH",VLOOKUP(J576,#REF!,3,0))</f>
        <v>#REF!</v>
      </c>
      <c r="M576" s="19" t="e">
        <f>IF(J576="","SEM #CH",VLOOKUP(J576,#REF!,4,0))</f>
        <v>#REF!</v>
      </c>
      <c r="N576" s="19" t="e">
        <f>IF(J576="","SEM #CH",VLOOKUP(J576,#REF!,5,0))</f>
        <v>#REF!</v>
      </c>
      <c r="O576" s="19" t="e">
        <f>IF(J576="","SEM #CH",VLOOKUP(J576,#REF!,6,0))</f>
        <v>#REF!</v>
      </c>
      <c r="P576" s="19" t="e">
        <f>IF(J576="","SEM #CH",VLOOKUP(J576,#REF!,7,0))</f>
        <v>#REF!</v>
      </c>
      <c r="Q576" s="77" t="str">
        <f>VLOOKUP(J576,'p1'!$B$2:$C$30,2,0)</f>
        <v>NÃO TEM CHAPA</v>
      </c>
      <c r="R576" s="94">
        <v>45941</v>
      </c>
      <c r="S576" s="90" t="s">
        <v>218</v>
      </c>
      <c r="T576" s="90">
        <f t="shared" si="43"/>
        <v>1</v>
      </c>
      <c r="U576" s="94">
        <v>45944</v>
      </c>
      <c r="V576" s="90" t="s">
        <v>86</v>
      </c>
      <c r="W576" s="92">
        <v>2577</v>
      </c>
      <c r="X576" s="93">
        <f t="shared" si="42"/>
        <v>1</v>
      </c>
      <c r="Y576" s="92"/>
      <c r="Z576" s="92"/>
      <c r="AA576" s="13" t="str">
        <f t="shared" si="44"/>
        <v>out/2025</v>
      </c>
    </row>
    <row r="577" spans="1:27" x14ac:dyDescent="0.25">
      <c r="A577" s="89">
        <v>576</v>
      </c>
      <c r="B577" s="68">
        <v>45933</v>
      </c>
      <c r="C577" s="40">
        <v>109</v>
      </c>
      <c r="D577" s="40">
        <f t="shared" si="40"/>
        <v>1</v>
      </c>
      <c r="E577" s="47" t="s">
        <v>170</v>
      </c>
      <c r="F577" s="17" t="s">
        <v>58</v>
      </c>
      <c r="G577" s="17" t="s">
        <v>86</v>
      </c>
      <c r="H577" s="42" t="s">
        <v>809</v>
      </c>
      <c r="I577" s="17" t="str">
        <f t="shared" si="41"/>
        <v>PN-576</v>
      </c>
      <c r="J577" s="18" t="s">
        <v>85</v>
      </c>
      <c r="K577" s="19" t="e">
        <f>IF(J577="","SEM #CH",VLOOKUP(J577,#REF!,2,0))</f>
        <v>#REF!</v>
      </c>
      <c r="L577" s="19" t="e">
        <f>IF(J577="","SEM #CH",VLOOKUP(J577,#REF!,3,0))</f>
        <v>#REF!</v>
      </c>
      <c r="M577" s="19" t="e">
        <f>IF(J577="","SEM #CH",VLOOKUP(J577,#REF!,4,0))</f>
        <v>#REF!</v>
      </c>
      <c r="N577" s="19" t="e">
        <f>IF(J577="","SEM #CH",VLOOKUP(J577,#REF!,5,0))</f>
        <v>#REF!</v>
      </c>
      <c r="O577" s="19" t="e">
        <f>IF(J577="","SEM #CH",VLOOKUP(J577,#REF!,6,0))</f>
        <v>#REF!</v>
      </c>
      <c r="P577" s="19" t="e">
        <f>IF(J577="","SEM #CH",VLOOKUP(J577,#REF!,7,0))</f>
        <v>#REF!</v>
      </c>
      <c r="Q577" s="77" t="str">
        <f>VLOOKUP(J577,'p1'!$B$2:$C$30,2,0)</f>
        <v>NÃO TEM CHAPA</v>
      </c>
      <c r="R577" s="94">
        <v>45941</v>
      </c>
      <c r="S577" s="90" t="s">
        <v>218</v>
      </c>
      <c r="T577" s="90">
        <f t="shared" si="43"/>
        <v>1</v>
      </c>
      <c r="U577" s="94">
        <v>45952</v>
      </c>
      <c r="V577" s="90" t="s">
        <v>86</v>
      </c>
      <c r="W577" s="92">
        <v>2591</v>
      </c>
      <c r="X577" s="93">
        <f t="shared" si="42"/>
        <v>1</v>
      </c>
      <c r="Y577" s="92"/>
      <c r="Z577" s="92"/>
      <c r="AA577" s="13" t="str">
        <f t="shared" si="44"/>
        <v>out/2025</v>
      </c>
    </row>
    <row r="578" spans="1:27" x14ac:dyDescent="0.25">
      <c r="A578" s="89">
        <v>577</v>
      </c>
      <c r="B578" s="68">
        <v>45933</v>
      </c>
      <c r="C578" s="40">
        <v>109</v>
      </c>
      <c r="D578" s="40">
        <f t="shared" ref="D578:D641" si="45">IF(B578&gt;0,1,"")</f>
        <v>1</v>
      </c>
      <c r="E578" s="47" t="s">
        <v>170</v>
      </c>
      <c r="F578" s="17" t="s">
        <v>58</v>
      </c>
      <c r="G578" s="17" t="s">
        <v>86</v>
      </c>
      <c r="H578" s="42" t="s">
        <v>810</v>
      </c>
      <c r="I578" s="17" t="str">
        <f t="shared" ref="I578:I641" si="46">_xlfn.CONCAT(F578,G578,H578)</f>
        <v>PN-577</v>
      </c>
      <c r="J578" s="18" t="s">
        <v>85</v>
      </c>
      <c r="K578" s="19" t="e">
        <f>IF(J578="","SEM #CH",VLOOKUP(J578,#REF!,2,0))</f>
        <v>#REF!</v>
      </c>
      <c r="L578" s="19" t="e">
        <f>IF(J578="","SEM #CH",VLOOKUP(J578,#REF!,3,0))</f>
        <v>#REF!</v>
      </c>
      <c r="M578" s="19" t="e">
        <f>IF(J578="","SEM #CH",VLOOKUP(J578,#REF!,4,0))</f>
        <v>#REF!</v>
      </c>
      <c r="N578" s="19" t="e">
        <f>IF(J578="","SEM #CH",VLOOKUP(J578,#REF!,5,0))</f>
        <v>#REF!</v>
      </c>
      <c r="O578" s="19" t="e">
        <f>IF(J578="","SEM #CH",VLOOKUP(J578,#REF!,6,0))</f>
        <v>#REF!</v>
      </c>
      <c r="P578" s="19" t="e">
        <f>IF(J578="","SEM #CH",VLOOKUP(J578,#REF!,7,0))</f>
        <v>#REF!</v>
      </c>
      <c r="Q578" s="77" t="str">
        <f>VLOOKUP(J578,'p1'!$B$2:$C$30,2,0)</f>
        <v>NÃO TEM CHAPA</v>
      </c>
      <c r="R578" s="94">
        <v>45941</v>
      </c>
      <c r="S578" s="90" t="s">
        <v>218</v>
      </c>
      <c r="T578" s="90">
        <f t="shared" si="43"/>
        <v>1</v>
      </c>
      <c r="U578" s="94">
        <v>45944</v>
      </c>
      <c r="V578" s="90" t="s">
        <v>86</v>
      </c>
      <c r="W578" s="92">
        <v>2577</v>
      </c>
      <c r="X578" s="93">
        <f t="shared" ref="X578:X641" si="47">IF(U578&gt;0,1,"")</f>
        <v>1</v>
      </c>
      <c r="Y578" s="92"/>
      <c r="Z578" s="92"/>
      <c r="AA578" s="13" t="str">
        <f t="shared" si="44"/>
        <v>out/2025</v>
      </c>
    </row>
    <row r="579" spans="1:27" x14ac:dyDescent="0.25">
      <c r="A579" s="89">
        <v>578</v>
      </c>
      <c r="B579" s="68">
        <v>45933</v>
      </c>
      <c r="C579" s="40">
        <v>109</v>
      </c>
      <c r="D579" s="40">
        <f t="shared" si="45"/>
        <v>1</v>
      </c>
      <c r="E579" s="47" t="s">
        <v>170</v>
      </c>
      <c r="F579" s="17" t="s">
        <v>58</v>
      </c>
      <c r="G579" s="17" t="s">
        <v>86</v>
      </c>
      <c r="H579" s="42" t="s">
        <v>811</v>
      </c>
      <c r="I579" s="17" t="str">
        <f t="shared" si="46"/>
        <v>PN-578</v>
      </c>
      <c r="J579" s="18" t="s">
        <v>85</v>
      </c>
      <c r="K579" s="19" t="e">
        <f>IF(J579="","SEM #CH",VLOOKUP(J579,#REF!,2,0))</f>
        <v>#REF!</v>
      </c>
      <c r="L579" s="19" t="e">
        <f>IF(J579="","SEM #CH",VLOOKUP(J579,#REF!,3,0))</f>
        <v>#REF!</v>
      </c>
      <c r="M579" s="19" t="e">
        <f>IF(J579="","SEM #CH",VLOOKUP(J579,#REF!,4,0))</f>
        <v>#REF!</v>
      </c>
      <c r="N579" s="19" t="e">
        <f>IF(J579="","SEM #CH",VLOOKUP(J579,#REF!,5,0))</f>
        <v>#REF!</v>
      </c>
      <c r="O579" s="19" t="e">
        <f>IF(J579="","SEM #CH",VLOOKUP(J579,#REF!,6,0))</f>
        <v>#REF!</v>
      </c>
      <c r="P579" s="19" t="e">
        <f>IF(J579="","SEM #CH",VLOOKUP(J579,#REF!,7,0))</f>
        <v>#REF!</v>
      </c>
      <c r="Q579" s="77" t="str">
        <f>VLOOKUP(J579,'p1'!$B$2:$C$30,2,0)</f>
        <v>NÃO TEM CHAPA</v>
      </c>
      <c r="R579" s="94">
        <v>45940</v>
      </c>
      <c r="S579" s="90" t="s">
        <v>218</v>
      </c>
      <c r="T579" s="90">
        <f t="shared" ref="T579:T642" si="48">IF(R579="",0,1)</f>
        <v>1</v>
      </c>
      <c r="U579" s="94">
        <v>45947</v>
      </c>
      <c r="V579" s="90" t="s">
        <v>86</v>
      </c>
      <c r="W579" s="92">
        <v>2578</v>
      </c>
      <c r="X579" s="93">
        <f t="shared" si="47"/>
        <v>1</v>
      </c>
      <c r="Y579" s="92"/>
      <c r="Z579" s="92"/>
      <c r="AA579" s="13" t="str">
        <f t="shared" ref="AA579:AA642" si="49">TEXT(R579,"mmm/aaaa")</f>
        <v>out/2025</v>
      </c>
    </row>
    <row r="580" spans="1:27" x14ac:dyDescent="0.25">
      <c r="A580" s="89">
        <v>579</v>
      </c>
      <c r="B580" s="68">
        <v>45933</v>
      </c>
      <c r="C580" s="40">
        <v>109</v>
      </c>
      <c r="D580" s="40">
        <f t="shared" si="45"/>
        <v>1</v>
      </c>
      <c r="E580" s="47" t="s">
        <v>170</v>
      </c>
      <c r="F580" s="17" t="s">
        <v>58</v>
      </c>
      <c r="G580" s="17" t="s">
        <v>86</v>
      </c>
      <c r="H580" s="42" t="s">
        <v>812</v>
      </c>
      <c r="I580" s="17" t="str">
        <f t="shared" si="46"/>
        <v>PN-579</v>
      </c>
      <c r="J580" s="18" t="s">
        <v>85</v>
      </c>
      <c r="K580" s="19" t="e">
        <f>IF(J580="","SEM #CH",VLOOKUP(J580,#REF!,2,0))</f>
        <v>#REF!</v>
      </c>
      <c r="L580" s="19" t="e">
        <f>IF(J580="","SEM #CH",VLOOKUP(J580,#REF!,3,0))</f>
        <v>#REF!</v>
      </c>
      <c r="M580" s="19" t="e">
        <f>IF(J580="","SEM #CH",VLOOKUP(J580,#REF!,4,0))</f>
        <v>#REF!</v>
      </c>
      <c r="N580" s="19" t="e">
        <f>IF(J580="","SEM #CH",VLOOKUP(J580,#REF!,5,0))</f>
        <v>#REF!</v>
      </c>
      <c r="O580" s="19" t="e">
        <f>IF(J580="","SEM #CH",VLOOKUP(J580,#REF!,6,0))</f>
        <v>#REF!</v>
      </c>
      <c r="P580" s="19" t="e">
        <f>IF(J580="","SEM #CH",VLOOKUP(J580,#REF!,7,0))</f>
        <v>#REF!</v>
      </c>
      <c r="Q580" s="77" t="str">
        <f>VLOOKUP(J580,'p1'!$B$2:$C$30,2,0)</f>
        <v>NÃO TEM CHAPA</v>
      </c>
      <c r="R580" s="94">
        <v>45940</v>
      </c>
      <c r="S580" s="90" t="s">
        <v>218</v>
      </c>
      <c r="T580" s="90">
        <f t="shared" si="48"/>
        <v>1</v>
      </c>
      <c r="U580" s="94">
        <v>45947</v>
      </c>
      <c r="V580" s="90" t="s">
        <v>86</v>
      </c>
      <c r="W580" s="92">
        <v>2578</v>
      </c>
      <c r="X580" s="93">
        <f t="shared" si="47"/>
        <v>1</v>
      </c>
      <c r="Y580" s="92"/>
      <c r="Z580" s="92"/>
      <c r="AA580" s="13" t="str">
        <f t="shared" si="49"/>
        <v>out/2025</v>
      </c>
    </row>
    <row r="581" spans="1:27" x14ac:dyDescent="0.25">
      <c r="A581" s="89">
        <v>580</v>
      </c>
      <c r="B581" s="68">
        <v>45933</v>
      </c>
      <c r="C581" s="40">
        <v>109</v>
      </c>
      <c r="D581" s="40">
        <f t="shared" si="45"/>
        <v>1</v>
      </c>
      <c r="E581" s="47" t="s">
        <v>170</v>
      </c>
      <c r="F581" s="17" t="s">
        <v>58</v>
      </c>
      <c r="G581" s="17" t="s">
        <v>86</v>
      </c>
      <c r="H581" s="42" t="s">
        <v>813</v>
      </c>
      <c r="I581" s="17" t="str">
        <f t="shared" si="46"/>
        <v>PN-580</v>
      </c>
      <c r="J581" s="18" t="s">
        <v>85</v>
      </c>
      <c r="K581" s="19" t="e">
        <f>IF(J581="","SEM #CH",VLOOKUP(J581,#REF!,2,0))</f>
        <v>#REF!</v>
      </c>
      <c r="L581" s="19" t="e">
        <f>IF(J581="","SEM #CH",VLOOKUP(J581,#REF!,3,0))</f>
        <v>#REF!</v>
      </c>
      <c r="M581" s="19" t="e">
        <f>IF(J581="","SEM #CH",VLOOKUP(J581,#REF!,4,0))</f>
        <v>#REF!</v>
      </c>
      <c r="N581" s="19" t="e">
        <f>IF(J581="","SEM #CH",VLOOKUP(J581,#REF!,5,0))</f>
        <v>#REF!</v>
      </c>
      <c r="O581" s="19" t="e">
        <f>IF(J581="","SEM #CH",VLOOKUP(J581,#REF!,6,0))</f>
        <v>#REF!</v>
      </c>
      <c r="P581" s="19" t="e">
        <f>IF(J581="","SEM #CH",VLOOKUP(J581,#REF!,7,0))</f>
        <v>#REF!</v>
      </c>
      <c r="Q581" s="77" t="str">
        <f>VLOOKUP(J581,'p1'!$B$2:$C$30,2,0)</f>
        <v>NÃO TEM CHAPA</v>
      </c>
      <c r="R581" s="94">
        <v>45940</v>
      </c>
      <c r="S581" s="90" t="s">
        <v>218</v>
      </c>
      <c r="T581" s="90">
        <f t="shared" si="48"/>
        <v>1</v>
      </c>
      <c r="U581" s="94">
        <v>45944</v>
      </c>
      <c r="V581" s="90" t="s">
        <v>86</v>
      </c>
      <c r="W581" s="92">
        <v>2577</v>
      </c>
      <c r="X581" s="93">
        <f t="shared" si="47"/>
        <v>1</v>
      </c>
      <c r="Y581" s="92"/>
      <c r="Z581" s="92"/>
      <c r="AA581" s="13" t="str">
        <f t="shared" si="49"/>
        <v>out/2025</v>
      </c>
    </row>
    <row r="582" spans="1:27" x14ac:dyDescent="0.25">
      <c r="A582" s="89">
        <v>581</v>
      </c>
      <c r="B582" s="68">
        <v>45937</v>
      </c>
      <c r="C582" s="40">
        <v>112</v>
      </c>
      <c r="D582" s="40">
        <f t="shared" si="45"/>
        <v>1</v>
      </c>
      <c r="E582" s="47" t="s">
        <v>170</v>
      </c>
      <c r="F582" s="17" t="s">
        <v>58</v>
      </c>
      <c r="G582" s="17" t="s">
        <v>86</v>
      </c>
      <c r="H582" s="42" t="s">
        <v>814</v>
      </c>
      <c r="I582" s="17" t="str">
        <f t="shared" si="46"/>
        <v>PN-581</v>
      </c>
      <c r="J582" s="18" t="s">
        <v>85</v>
      </c>
      <c r="K582" s="19" t="e">
        <f>IF(J582="","SEM #CH",VLOOKUP(J582,#REF!,2,0))</f>
        <v>#REF!</v>
      </c>
      <c r="L582" s="19" t="e">
        <f>IF(J582="","SEM #CH",VLOOKUP(J582,#REF!,3,0))</f>
        <v>#REF!</v>
      </c>
      <c r="M582" s="19" t="e">
        <f>IF(J582="","SEM #CH",VLOOKUP(J582,#REF!,4,0))</f>
        <v>#REF!</v>
      </c>
      <c r="N582" s="19" t="e">
        <f>IF(J582="","SEM #CH",VLOOKUP(J582,#REF!,5,0))</f>
        <v>#REF!</v>
      </c>
      <c r="O582" s="19" t="e">
        <f>IF(J582="","SEM #CH",VLOOKUP(J582,#REF!,6,0))</f>
        <v>#REF!</v>
      </c>
      <c r="P582" s="19" t="e">
        <f>IF(J582="","SEM #CH",VLOOKUP(J582,#REF!,7,0))</f>
        <v>#REF!</v>
      </c>
      <c r="Q582" s="77" t="str">
        <f>VLOOKUP(J582,'p1'!$B$2:$C$30,2,0)</f>
        <v>NÃO TEM CHAPA</v>
      </c>
      <c r="R582" s="94">
        <v>45954</v>
      </c>
      <c r="S582" s="90" t="s">
        <v>218</v>
      </c>
      <c r="T582" s="90">
        <f t="shared" si="48"/>
        <v>1</v>
      </c>
      <c r="U582" s="94">
        <v>45954</v>
      </c>
      <c r="V582" s="90" t="s">
        <v>86</v>
      </c>
      <c r="W582" s="92">
        <v>2600</v>
      </c>
      <c r="X582" s="93">
        <f t="shared" si="47"/>
        <v>1</v>
      </c>
      <c r="Y582" s="92"/>
      <c r="Z582" s="92"/>
      <c r="AA582" s="13" t="str">
        <f t="shared" si="49"/>
        <v>out/2025</v>
      </c>
    </row>
    <row r="583" spans="1:27" x14ac:dyDescent="0.25">
      <c r="A583" s="89">
        <v>582</v>
      </c>
      <c r="B583" s="68">
        <v>45937</v>
      </c>
      <c r="C583" s="40">
        <v>112</v>
      </c>
      <c r="D583" s="40">
        <f t="shared" si="45"/>
        <v>1</v>
      </c>
      <c r="E583" s="47" t="s">
        <v>170</v>
      </c>
      <c r="F583" s="17" t="s">
        <v>58</v>
      </c>
      <c r="G583" s="17" t="s">
        <v>86</v>
      </c>
      <c r="H583" s="42" t="s">
        <v>815</v>
      </c>
      <c r="I583" s="17" t="str">
        <f t="shared" si="46"/>
        <v>PN-582</v>
      </c>
      <c r="J583" s="18" t="s">
        <v>85</v>
      </c>
      <c r="K583" s="19" t="e">
        <f>IF(J583="","SEM #CH",VLOOKUP(J583,#REF!,2,0))</f>
        <v>#REF!</v>
      </c>
      <c r="L583" s="19" t="e">
        <f>IF(J583="","SEM #CH",VLOOKUP(J583,#REF!,3,0))</f>
        <v>#REF!</v>
      </c>
      <c r="M583" s="19" t="e">
        <f>IF(J583="","SEM #CH",VLOOKUP(J583,#REF!,4,0))</f>
        <v>#REF!</v>
      </c>
      <c r="N583" s="19" t="e">
        <f>IF(J583="","SEM #CH",VLOOKUP(J583,#REF!,5,0))</f>
        <v>#REF!</v>
      </c>
      <c r="O583" s="19" t="e">
        <f>IF(J583="","SEM #CH",VLOOKUP(J583,#REF!,6,0))</f>
        <v>#REF!</v>
      </c>
      <c r="P583" s="19" t="e">
        <f>IF(J583="","SEM #CH",VLOOKUP(J583,#REF!,7,0))</f>
        <v>#REF!</v>
      </c>
      <c r="Q583" s="77" t="str">
        <f>VLOOKUP(J583,'p1'!$B$2:$C$30,2,0)</f>
        <v>NÃO TEM CHAPA</v>
      </c>
      <c r="R583" s="94">
        <v>45946</v>
      </c>
      <c r="S583" s="90" t="s">
        <v>218</v>
      </c>
      <c r="T583" s="90">
        <f t="shared" si="48"/>
        <v>1</v>
      </c>
      <c r="U583" s="94">
        <v>45950</v>
      </c>
      <c r="V583" s="90" t="s">
        <v>86</v>
      </c>
      <c r="W583" s="92">
        <v>2582</v>
      </c>
      <c r="X583" s="93">
        <f t="shared" si="47"/>
        <v>1</v>
      </c>
      <c r="Y583" s="92"/>
      <c r="Z583" s="92"/>
      <c r="AA583" s="13" t="str">
        <f t="shared" si="49"/>
        <v>out/2025</v>
      </c>
    </row>
    <row r="584" spans="1:27" x14ac:dyDescent="0.25">
      <c r="A584" s="89">
        <v>583</v>
      </c>
      <c r="B584" s="68">
        <v>45944</v>
      </c>
      <c r="C584" s="40">
        <v>119</v>
      </c>
      <c r="D584" s="40">
        <f t="shared" si="45"/>
        <v>1</v>
      </c>
      <c r="E584" s="47" t="s">
        <v>170</v>
      </c>
      <c r="F584" s="17" t="s">
        <v>60</v>
      </c>
      <c r="G584" s="17" t="s">
        <v>86</v>
      </c>
      <c r="H584" s="42" t="s">
        <v>816</v>
      </c>
      <c r="I584" s="17" t="str">
        <f t="shared" si="46"/>
        <v>PE-583</v>
      </c>
      <c r="J584" s="18" t="s">
        <v>88</v>
      </c>
      <c r="K584" s="19" t="e">
        <f>IF(J584="","SEM #CH",VLOOKUP(J584,#REF!,2,0))</f>
        <v>#REF!</v>
      </c>
      <c r="L584" s="19" t="e">
        <f>IF(J584="","SEM #CH",VLOOKUP(J584,#REF!,3,0))</f>
        <v>#REF!</v>
      </c>
      <c r="M584" s="19" t="e">
        <f>IF(J584="","SEM #CH",VLOOKUP(J584,#REF!,4,0))</f>
        <v>#REF!</v>
      </c>
      <c r="N584" s="19" t="e">
        <f>IF(J584="","SEM #CH",VLOOKUP(J584,#REF!,5,0))</f>
        <v>#REF!</v>
      </c>
      <c r="O584" s="19" t="e">
        <f>IF(J584="","SEM #CH",VLOOKUP(J584,#REF!,6,0))</f>
        <v>#REF!</v>
      </c>
      <c r="P584" s="19" t="e">
        <f>IF(J584="","SEM #CH",VLOOKUP(J584,#REF!,7,0))</f>
        <v>#REF!</v>
      </c>
      <c r="Q584" s="77" t="str">
        <f>VLOOKUP(J584,'p1'!$B$2:$C$30,2,0)</f>
        <v>#3/8-1315X1315</v>
      </c>
      <c r="R584" s="94">
        <v>45946</v>
      </c>
      <c r="S584" s="90" t="s">
        <v>218</v>
      </c>
      <c r="T584" s="90">
        <f t="shared" si="48"/>
        <v>1</v>
      </c>
      <c r="U584" s="94">
        <v>45950</v>
      </c>
      <c r="V584" s="90" t="s">
        <v>86</v>
      </c>
      <c r="W584" s="92">
        <v>2582</v>
      </c>
      <c r="X584" s="93">
        <f t="shared" si="47"/>
        <v>1</v>
      </c>
      <c r="Y584" s="92"/>
      <c r="Z584" s="92"/>
      <c r="AA584" s="13" t="str">
        <f t="shared" si="49"/>
        <v>out/2025</v>
      </c>
    </row>
    <row r="585" spans="1:27" x14ac:dyDescent="0.25">
      <c r="A585" s="89">
        <v>584</v>
      </c>
      <c r="B585" s="68">
        <v>45937</v>
      </c>
      <c r="C585" s="40">
        <v>112</v>
      </c>
      <c r="D585" s="40">
        <f t="shared" si="45"/>
        <v>1</v>
      </c>
      <c r="E585" s="47" t="s">
        <v>170</v>
      </c>
      <c r="F585" s="17" t="s">
        <v>58</v>
      </c>
      <c r="G585" s="17" t="s">
        <v>86</v>
      </c>
      <c r="H585" s="42" t="s">
        <v>817</v>
      </c>
      <c r="I585" s="17" t="str">
        <f t="shared" si="46"/>
        <v>PN-584</v>
      </c>
      <c r="J585" s="18" t="s">
        <v>85</v>
      </c>
      <c r="K585" s="19" t="e">
        <f>IF(J585="","SEM #CH",VLOOKUP(J585,#REF!,2,0))</f>
        <v>#REF!</v>
      </c>
      <c r="L585" s="19" t="e">
        <f>IF(J585="","SEM #CH",VLOOKUP(J585,#REF!,3,0))</f>
        <v>#REF!</v>
      </c>
      <c r="M585" s="19" t="e">
        <f>IF(J585="","SEM #CH",VLOOKUP(J585,#REF!,4,0))</f>
        <v>#REF!</v>
      </c>
      <c r="N585" s="19" t="e">
        <f>IF(J585="","SEM #CH",VLOOKUP(J585,#REF!,5,0))</f>
        <v>#REF!</v>
      </c>
      <c r="O585" s="19" t="e">
        <f>IF(J585="","SEM #CH",VLOOKUP(J585,#REF!,6,0))</f>
        <v>#REF!</v>
      </c>
      <c r="P585" s="19" t="e">
        <f>IF(J585="","SEM #CH",VLOOKUP(J585,#REF!,7,0))</f>
        <v>#REF!</v>
      </c>
      <c r="Q585" s="77" t="str">
        <f>VLOOKUP(J585,'p1'!$B$2:$C$30,2,0)</f>
        <v>NÃO TEM CHAPA</v>
      </c>
      <c r="R585" s="94">
        <v>45945</v>
      </c>
      <c r="S585" s="90" t="s">
        <v>218</v>
      </c>
      <c r="T585" s="90">
        <f t="shared" si="48"/>
        <v>1</v>
      </c>
      <c r="U585" s="94">
        <v>45947</v>
      </c>
      <c r="V585" s="90" t="s">
        <v>86</v>
      </c>
      <c r="W585" s="92">
        <v>2580</v>
      </c>
      <c r="X585" s="93">
        <f t="shared" si="47"/>
        <v>1</v>
      </c>
      <c r="Y585" s="92"/>
      <c r="Z585" s="92"/>
      <c r="AA585" s="13" t="str">
        <f t="shared" si="49"/>
        <v>out/2025</v>
      </c>
    </row>
    <row r="586" spans="1:27" x14ac:dyDescent="0.25">
      <c r="A586" s="89">
        <v>585</v>
      </c>
      <c r="B586" s="68">
        <v>45937</v>
      </c>
      <c r="C586" s="40">
        <v>112</v>
      </c>
      <c r="D586" s="40">
        <f t="shared" si="45"/>
        <v>1</v>
      </c>
      <c r="E586" s="47" t="s">
        <v>170</v>
      </c>
      <c r="F586" s="17" t="s">
        <v>58</v>
      </c>
      <c r="G586" s="17" t="s">
        <v>86</v>
      </c>
      <c r="H586" s="42" t="s">
        <v>818</v>
      </c>
      <c r="I586" s="17" t="str">
        <f t="shared" si="46"/>
        <v>PN-585</v>
      </c>
      <c r="J586" s="18" t="s">
        <v>85</v>
      </c>
      <c r="K586" s="19" t="e">
        <f>IF(J586="","SEM #CH",VLOOKUP(J586,#REF!,2,0))</f>
        <v>#REF!</v>
      </c>
      <c r="L586" s="19" t="e">
        <f>IF(J586="","SEM #CH",VLOOKUP(J586,#REF!,3,0))</f>
        <v>#REF!</v>
      </c>
      <c r="M586" s="19" t="e">
        <f>IF(J586="","SEM #CH",VLOOKUP(J586,#REF!,4,0))</f>
        <v>#REF!</v>
      </c>
      <c r="N586" s="19" t="e">
        <f>IF(J586="","SEM #CH",VLOOKUP(J586,#REF!,5,0))</f>
        <v>#REF!</v>
      </c>
      <c r="O586" s="19" t="e">
        <f>IF(J586="","SEM #CH",VLOOKUP(J586,#REF!,6,0))</f>
        <v>#REF!</v>
      </c>
      <c r="P586" s="19" t="e">
        <f>IF(J586="","SEM #CH",VLOOKUP(J586,#REF!,7,0))</f>
        <v>#REF!</v>
      </c>
      <c r="Q586" s="77" t="str">
        <f>VLOOKUP(J586,'p1'!$B$2:$C$30,2,0)</f>
        <v>NÃO TEM CHAPA</v>
      </c>
      <c r="R586" s="94">
        <v>45945</v>
      </c>
      <c r="S586" s="90" t="s">
        <v>218</v>
      </c>
      <c r="T586" s="90">
        <f t="shared" si="48"/>
        <v>1</v>
      </c>
      <c r="U586" s="94">
        <v>45950</v>
      </c>
      <c r="V586" s="90" t="s">
        <v>86</v>
      </c>
      <c r="W586" s="92">
        <v>2583</v>
      </c>
      <c r="X586" s="93">
        <f t="shared" si="47"/>
        <v>1</v>
      </c>
      <c r="Y586" s="92"/>
      <c r="Z586" s="92"/>
      <c r="AA586" s="13" t="str">
        <f t="shared" si="49"/>
        <v>out/2025</v>
      </c>
    </row>
    <row r="587" spans="1:27" x14ac:dyDescent="0.25">
      <c r="A587" s="89">
        <v>586</v>
      </c>
      <c r="B587" s="68">
        <v>45937</v>
      </c>
      <c r="C587" s="40">
        <v>112</v>
      </c>
      <c r="D587" s="40">
        <f t="shared" si="45"/>
        <v>1</v>
      </c>
      <c r="E587" s="47" t="s">
        <v>170</v>
      </c>
      <c r="F587" s="17" t="s">
        <v>58</v>
      </c>
      <c r="G587" s="17" t="s">
        <v>86</v>
      </c>
      <c r="H587" s="42" t="s">
        <v>819</v>
      </c>
      <c r="I587" s="17" t="str">
        <f t="shared" si="46"/>
        <v>PN-586</v>
      </c>
      <c r="J587" s="18" t="s">
        <v>85</v>
      </c>
      <c r="K587" s="19" t="e">
        <f>IF(J587="","SEM #CH",VLOOKUP(J587,#REF!,2,0))</f>
        <v>#REF!</v>
      </c>
      <c r="L587" s="19" t="e">
        <f>IF(J587="","SEM #CH",VLOOKUP(J587,#REF!,3,0))</f>
        <v>#REF!</v>
      </c>
      <c r="M587" s="19" t="e">
        <f>IF(J587="","SEM #CH",VLOOKUP(J587,#REF!,4,0))</f>
        <v>#REF!</v>
      </c>
      <c r="N587" s="19" t="e">
        <f>IF(J587="","SEM #CH",VLOOKUP(J587,#REF!,5,0))</f>
        <v>#REF!</v>
      </c>
      <c r="O587" s="19" t="e">
        <f>IF(J587="","SEM #CH",VLOOKUP(J587,#REF!,6,0))</f>
        <v>#REF!</v>
      </c>
      <c r="P587" s="19" t="e">
        <f>IF(J587="","SEM #CH",VLOOKUP(J587,#REF!,7,0))</f>
        <v>#REF!</v>
      </c>
      <c r="Q587" s="77" t="str">
        <f>VLOOKUP(J587,'p1'!$B$2:$C$30,2,0)</f>
        <v>NÃO TEM CHAPA</v>
      </c>
      <c r="R587" s="94">
        <v>45944</v>
      </c>
      <c r="S587" s="90" t="s">
        <v>218</v>
      </c>
      <c r="T587" s="90">
        <f t="shared" si="48"/>
        <v>1</v>
      </c>
      <c r="U587" s="94">
        <v>45947</v>
      </c>
      <c r="V587" s="90" t="s">
        <v>86</v>
      </c>
      <c r="W587" s="92">
        <v>2579</v>
      </c>
      <c r="X587" s="93">
        <f t="shared" si="47"/>
        <v>1</v>
      </c>
      <c r="Y587" s="92"/>
      <c r="Z587" s="92"/>
      <c r="AA587" s="13" t="str">
        <f t="shared" si="49"/>
        <v>out/2025</v>
      </c>
    </row>
    <row r="588" spans="1:27" x14ac:dyDescent="0.25">
      <c r="A588" s="89">
        <v>587</v>
      </c>
      <c r="B588" s="68">
        <v>45937</v>
      </c>
      <c r="C588" s="40">
        <v>112</v>
      </c>
      <c r="D588" s="40">
        <f t="shared" si="45"/>
        <v>1</v>
      </c>
      <c r="E588" s="47" t="s">
        <v>170</v>
      </c>
      <c r="F588" s="17" t="s">
        <v>58</v>
      </c>
      <c r="G588" s="17" t="s">
        <v>86</v>
      </c>
      <c r="H588" s="42" t="s">
        <v>820</v>
      </c>
      <c r="I588" s="17" t="str">
        <f t="shared" si="46"/>
        <v>PN-587</v>
      </c>
      <c r="J588" s="18" t="s">
        <v>85</v>
      </c>
      <c r="K588" s="19" t="e">
        <f>IF(J588="","SEM #CH",VLOOKUP(J588,#REF!,2,0))</f>
        <v>#REF!</v>
      </c>
      <c r="L588" s="19" t="e">
        <f>IF(J588="","SEM #CH",VLOOKUP(J588,#REF!,3,0))</f>
        <v>#REF!</v>
      </c>
      <c r="M588" s="19" t="e">
        <f>IF(J588="","SEM #CH",VLOOKUP(J588,#REF!,4,0))</f>
        <v>#REF!</v>
      </c>
      <c r="N588" s="19" t="e">
        <f>IF(J588="","SEM #CH",VLOOKUP(J588,#REF!,5,0))</f>
        <v>#REF!</v>
      </c>
      <c r="O588" s="19" t="e">
        <f>IF(J588="","SEM #CH",VLOOKUP(J588,#REF!,6,0))</f>
        <v>#REF!</v>
      </c>
      <c r="P588" s="19" t="e">
        <f>IF(J588="","SEM #CH",VLOOKUP(J588,#REF!,7,0))</f>
        <v>#REF!</v>
      </c>
      <c r="Q588" s="77" t="str">
        <f>VLOOKUP(J588,'p1'!$B$2:$C$30,2,0)</f>
        <v>NÃO TEM CHAPA</v>
      </c>
      <c r="R588" s="90"/>
      <c r="S588" s="90" t="s">
        <v>218</v>
      </c>
      <c r="T588" s="90">
        <f t="shared" si="48"/>
        <v>0</v>
      </c>
      <c r="U588" s="90"/>
      <c r="V588" s="90"/>
      <c r="W588" s="92"/>
      <c r="X588" s="93" t="str">
        <f t="shared" si="47"/>
        <v/>
      </c>
      <c r="Y588" s="92"/>
      <c r="Z588" s="92"/>
      <c r="AA588" s="13" t="str">
        <f t="shared" si="49"/>
        <v>jan/1900</v>
      </c>
    </row>
    <row r="589" spans="1:27" x14ac:dyDescent="0.25">
      <c r="A589" s="89">
        <v>588</v>
      </c>
      <c r="B589" s="68">
        <v>45940</v>
      </c>
      <c r="C589" s="40">
        <v>116</v>
      </c>
      <c r="D589" s="40">
        <f t="shared" si="45"/>
        <v>1</v>
      </c>
      <c r="E589" s="47" t="s">
        <v>170</v>
      </c>
      <c r="F589" s="17" t="s">
        <v>58</v>
      </c>
      <c r="G589" s="17" t="s">
        <v>86</v>
      </c>
      <c r="H589" s="42" t="s">
        <v>821</v>
      </c>
      <c r="I589" s="17" t="str">
        <f t="shared" si="46"/>
        <v>PN-588</v>
      </c>
      <c r="J589" s="18" t="s">
        <v>85</v>
      </c>
      <c r="K589" s="19" t="e">
        <f>IF(J589="","SEM #CH",VLOOKUP(J589,#REF!,2,0))</f>
        <v>#REF!</v>
      </c>
      <c r="L589" s="19" t="e">
        <f>IF(J589="","SEM #CH",VLOOKUP(J589,#REF!,3,0))</f>
        <v>#REF!</v>
      </c>
      <c r="M589" s="19" t="e">
        <f>IF(J589="","SEM #CH",VLOOKUP(J589,#REF!,4,0))</f>
        <v>#REF!</v>
      </c>
      <c r="N589" s="19" t="e">
        <f>IF(J589="","SEM #CH",VLOOKUP(J589,#REF!,5,0))</f>
        <v>#REF!</v>
      </c>
      <c r="O589" s="19" t="e">
        <f>IF(J589="","SEM #CH",VLOOKUP(J589,#REF!,6,0))</f>
        <v>#REF!</v>
      </c>
      <c r="P589" s="19" t="e">
        <f>IF(J589="","SEM #CH",VLOOKUP(J589,#REF!,7,0))</f>
        <v>#REF!</v>
      </c>
      <c r="Q589" s="77" t="str">
        <f>VLOOKUP(J589,'p1'!$B$2:$C$30,2,0)</f>
        <v>NÃO TEM CHAPA</v>
      </c>
      <c r="R589" s="94">
        <v>45947</v>
      </c>
      <c r="S589" s="90" t="s">
        <v>218</v>
      </c>
      <c r="T589" s="90">
        <f t="shared" si="48"/>
        <v>1</v>
      </c>
      <c r="U589" s="94">
        <v>45947</v>
      </c>
      <c r="V589" s="90" t="s">
        <v>86</v>
      </c>
      <c r="W589" s="92">
        <v>2581</v>
      </c>
      <c r="X589" s="93">
        <f t="shared" si="47"/>
        <v>1</v>
      </c>
      <c r="Y589" s="92"/>
      <c r="Z589" s="92"/>
      <c r="AA589" s="13" t="str">
        <f t="shared" si="49"/>
        <v>out/2025</v>
      </c>
    </row>
    <row r="590" spans="1:27" x14ac:dyDescent="0.25">
      <c r="A590" s="89">
        <v>589</v>
      </c>
      <c r="B590" s="68">
        <v>45940</v>
      </c>
      <c r="C590" s="40">
        <v>116</v>
      </c>
      <c r="D590" s="40">
        <f t="shared" si="45"/>
        <v>1</v>
      </c>
      <c r="E590" s="47" t="s">
        <v>170</v>
      </c>
      <c r="F590" s="17" t="s">
        <v>58</v>
      </c>
      <c r="G590" s="17" t="s">
        <v>86</v>
      </c>
      <c r="H590" s="42" t="s">
        <v>822</v>
      </c>
      <c r="I590" s="17" t="str">
        <f t="shared" si="46"/>
        <v>PN-589</v>
      </c>
      <c r="J590" s="18" t="s">
        <v>85</v>
      </c>
      <c r="K590" s="19" t="e">
        <f>IF(J590="","SEM #CH",VLOOKUP(J590,#REF!,2,0))</f>
        <v>#REF!</v>
      </c>
      <c r="L590" s="19" t="e">
        <f>IF(J590="","SEM #CH",VLOOKUP(J590,#REF!,3,0))</f>
        <v>#REF!</v>
      </c>
      <c r="M590" s="19" t="e">
        <f>IF(J590="","SEM #CH",VLOOKUP(J590,#REF!,4,0))</f>
        <v>#REF!</v>
      </c>
      <c r="N590" s="19" t="e">
        <f>IF(J590="","SEM #CH",VLOOKUP(J590,#REF!,5,0))</f>
        <v>#REF!</v>
      </c>
      <c r="O590" s="19" t="e">
        <f>IF(J590="","SEM #CH",VLOOKUP(J590,#REF!,6,0))</f>
        <v>#REF!</v>
      </c>
      <c r="P590" s="19" t="e">
        <f>IF(J590="","SEM #CH",VLOOKUP(J590,#REF!,7,0))</f>
        <v>#REF!</v>
      </c>
      <c r="Q590" s="77" t="str">
        <f>VLOOKUP(J590,'p1'!$B$2:$C$30,2,0)</f>
        <v>NÃO TEM CHAPA</v>
      </c>
      <c r="R590" s="94">
        <v>45946</v>
      </c>
      <c r="S590" s="90" t="s">
        <v>218</v>
      </c>
      <c r="T590" s="90">
        <f t="shared" si="48"/>
        <v>1</v>
      </c>
      <c r="U590" s="94">
        <v>45950</v>
      </c>
      <c r="V590" s="90" t="s">
        <v>86</v>
      </c>
      <c r="W590" s="92">
        <v>2583</v>
      </c>
      <c r="X590" s="93">
        <f t="shared" si="47"/>
        <v>1</v>
      </c>
      <c r="Y590" s="92"/>
      <c r="Z590" s="92"/>
      <c r="AA590" s="13" t="str">
        <f t="shared" si="49"/>
        <v>out/2025</v>
      </c>
    </row>
    <row r="591" spans="1:27" x14ac:dyDescent="0.25">
      <c r="A591" s="89">
        <v>590</v>
      </c>
      <c r="B591" s="68">
        <v>45940</v>
      </c>
      <c r="C591" s="40">
        <v>115</v>
      </c>
      <c r="D591" s="40">
        <f t="shared" si="45"/>
        <v>1</v>
      </c>
      <c r="E591" s="47" t="s">
        <v>170</v>
      </c>
      <c r="F591" s="17" t="s">
        <v>61</v>
      </c>
      <c r="G591" s="17" t="s">
        <v>86</v>
      </c>
      <c r="H591" s="42" t="s">
        <v>823</v>
      </c>
      <c r="I591" s="17" t="str">
        <f t="shared" si="46"/>
        <v>PF-590</v>
      </c>
      <c r="J591" s="18" t="s">
        <v>61</v>
      </c>
      <c r="K591" s="19" t="e">
        <f>IF(J591="","SEM #CH",VLOOKUP(J591,#REF!,2,0))</f>
        <v>#REF!</v>
      </c>
      <c r="L591" s="19" t="e">
        <f>IF(J591="","SEM #CH",VLOOKUP(J591,#REF!,3,0))</f>
        <v>#REF!</v>
      </c>
      <c r="M591" s="19" t="e">
        <f>IF(J591="","SEM #CH",VLOOKUP(J591,#REF!,4,0))</f>
        <v>#REF!</v>
      </c>
      <c r="N591" s="19" t="e">
        <f>IF(J591="","SEM #CH",VLOOKUP(J591,#REF!,5,0))</f>
        <v>#REF!</v>
      </c>
      <c r="O591" s="19" t="e">
        <f>IF(J591="","SEM #CH",VLOOKUP(J591,#REF!,6,0))</f>
        <v>#REF!</v>
      </c>
      <c r="P591" s="19" t="e">
        <f>IF(J591="","SEM #CH",VLOOKUP(J591,#REF!,7,0))</f>
        <v>#REF!</v>
      </c>
      <c r="Q591" s="77" t="str">
        <f>VLOOKUP(J591,'p1'!$B$2:$C$30,2,0)</f>
        <v>SEM CHAPA</v>
      </c>
      <c r="R591" s="94">
        <v>45945</v>
      </c>
      <c r="S591" s="90" t="s">
        <v>217</v>
      </c>
      <c r="T591" s="90">
        <f t="shared" si="48"/>
        <v>1</v>
      </c>
      <c r="U591" s="94">
        <v>45947</v>
      </c>
      <c r="V591" s="90" t="s">
        <v>86</v>
      </c>
      <c r="W591" s="92">
        <v>2579</v>
      </c>
      <c r="X591" s="93">
        <f t="shared" si="47"/>
        <v>1</v>
      </c>
      <c r="Y591" s="92"/>
      <c r="Z591" s="92"/>
      <c r="AA591" s="13" t="str">
        <f t="shared" si="49"/>
        <v>out/2025</v>
      </c>
    </row>
    <row r="592" spans="1:27" x14ac:dyDescent="0.25">
      <c r="A592" s="89">
        <v>591</v>
      </c>
      <c r="B592" s="68">
        <v>45940</v>
      </c>
      <c r="C592" s="40">
        <v>116</v>
      </c>
      <c r="D592" s="40">
        <f t="shared" si="45"/>
        <v>1</v>
      </c>
      <c r="E592" s="47" t="s">
        <v>170</v>
      </c>
      <c r="F592" s="17" t="s">
        <v>58</v>
      </c>
      <c r="G592" s="17" t="s">
        <v>86</v>
      </c>
      <c r="H592" s="42" t="s">
        <v>824</v>
      </c>
      <c r="I592" s="17" t="str">
        <f t="shared" si="46"/>
        <v>PN-591</v>
      </c>
      <c r="J592" s="18" t="s">
        <v>85</v>
      </c>
      <c r="K592" s="19" t="e">
        <f>IF(J592="","SEM #CH",VLOOKUP(J592,#REF!,2,0))</f>
        <v>#REF!</v>
      </c>
      <c r="L592" s="19" t="e">
        <f>IF(J592="","SEM #CH",VLOOKUP(J592,#REF!,3,0))</f>
        <v>#REF!</v>
      </c>
      <c r="M592" s="19" t="e">
        <f>IF(J592="","SEM #CH",VLOOKUP(J592,#REF!,4,0))</f>
        <v>#REF!</v>
      </c>
      <c r="N592" s="19" t="e">
        <f>IF(J592="","SEM #CH",VLOOKUP(J592,#REF!,5,0))</f>
        <v>#REF!</v>
      </c>
      <c r="O592" s="19" t="e">
        <f>IF(J592="","SEM #CH",VLOOKUP(J592,#REF!,6,0))</f>
        <v>#REF!</v>
      </c>
      <c r="P592" s="19" t="e">
        <f>IF(J592="","SEM #CH",VLOOKUP(J592,#REF!,7,0))</f>
        <v>#REF!</v>
      </c>
      <c r="Q592" s="77" t="str">
        <f>VLOOKUP(J592,'p1'!$B$2:$C$30,2,0)</f>
        <v>NÃO TEM CHAPA</v>
      </c>
      <c r="R592" s="94">
        <v>45946</v>
      </c>
      <c r="S592" s="90" t="s">
        <v>218</v>
      </c>
      <c r="T592" s="90">
        <f t="shared" si="48"/>
        <v>1</v>
      </c>
      <c r="U592" s="94">
        <v>45950</v>
      </c>
      <c r="V592" s="90" t="s">
        <v>86</v>
      </c>
      <c r="W592" s="92">
        <v>2583</v>
      </c>
      <c r="X592" s="93">
        <f t="shared" si="47"/>
        <v>1</v>
      </c>
      <c r="Y592" s="92"/>
      <c r="Z592" s="92"/>
      <c r="AA592" s="13" t="str">
        <f t="shared" si="49"/>
        <v>out/2025</v>
      </c>
    </row>
    <row r="593" spans="1:27" x14ac:dyDescent="0.25">
      <c r="A593" s="89">
        <v>592</v>
      </c>
      <c r="B593" s="68">
        <v>45944</v>
      </c>
      <c r="C593" s="40">
        <v>119</v>
      </c>
      <c r="D593" s="40">
        <f t="shared" si="45"/>
        <v>1</v>
      </c>
      <c r="E593" s="47" t="s">
        <v>170</v>
      </c>
      <c r="F593" s="17" t="s">
        <v>58</v>
      </c>
      <c r="G593" s="17" t="s">
        <v>86</v>
      </c>
      <c r="H593" s="42" t="s">
        <v>825</v>
      </c>
      <c r="I593" s="17" t="str">
        <f t="shared" si="46"/>
        <v>PN-592</v>
      </c>
      <c r="J593" s="18" t="s">
        <v>85</v>
      </c>
      <c r="K593" s="19" t="e">
        <f>IF(J593="","SEM #CH",VLOOKUP(J593,#REF!,2,0))</f>
        <v>#REF!</v>
      </c>
      <c r="L593" s="19" t="e">
        <f>IF(J593="","SEM #CH",VLOOKUP(J593,#REF!,3,0))</f>
        <v>#REF!</v>
      </c>
      <c r="M593" s="19" t="e">
        <f>IF(J593="","SEM #CH",VLOOKUP(J593,#REF!,4,0))</f>
        <v>#REF!</v>
      </c>
      <c r="N593" s="19" t="e">
        <f>IF(J593="","SEM #CH",VLOOKUP(J593,#REF!,5,0))</f>
        <v>#REF!</v>
      </c>
      <c r="O593" s="19" t="e">
        <f>IF(J593="","SEM #CH",VLOOKUP(J593,#REF!,6,0))</f>
        <v>#REF!</v>
      </c>
      <c r="P593" s="19" t="e">
        <f>IF(J593="","SEM #CH",VLOOKUP(J593,#REF!,7,0))</f>
        <v>#REF!</v>
      </c>
      <c r="Q593" s="77" t="str">
        <f>VLOOKUP(J593,'p1'!$B$2:$C$30,2,0)</f>
        <v>NÃO TEM CHAPA</v>
      </c>
      <c r="R593" s="94">
        <v>45952</v>
      </c>
      <c r="S593" s="90" t="s">
        <v>218</v>
      </c>
      <c r="T593" s="90">
        <f t="shared" si="48"/>
        <v>1</v>
      </c>
      <c r="U593" s="94">
        <v>45952</v>
      </c>
      <c r="V593" s="90" t="s">
        <v>86</v>
      </c>
      <c r="W593" s="92">
        <v>2594</v>
      </c>
      <c r="X593" s="93">
        <f t="shared" si="47"/>
        <v>1</v>
      </c>
      <c r="Y593" s="92"/>
      <c r="Z593" s="92"/>
      <c r="AA593" s="13" t="str">
        <f t="shared" si="49"/>
        <v>out/2025</v>
      </c>
    </row>
    <row r="594" spans="1:27" x14ac:dyDescent="0.25">
      <c r="A594" s="89">
        <v>593</v>
      </c>
      <c r="B594" s="68">
        <v>45944</v>
      </c>
      <c r="C594" s="40">
        <v>119</v>
      </c>
      <c r="D594" s="40">
        <f t="shared" si="45"/>
        <v>1</v>
      </c>
      <c r="E594" s="47" t="s">
        <v>170</v>
      </c>
      <c r="F594" s="17" t="s">
        <v>58</v>
      </c>
      <c r="G594" s="17" t="s">
        <v>86</v>
      </c>
      <c r="H594" s="42" t="s">
        <v>826</v>
      </c>
      <c r="I594" s="17" t="str">
        <f t="shared" si="46"/>
        <v>PN-593</v>
      </c>
      <c r="J594" s="18" t="s">
        <v>85</v>
      </c>
      <c r="K594" s="19" t="e">
        <f>IF(J594="","SEM #CH",VLOOKUP(J594,#REF!,2,0))</f>
        <v>#REF!</v>
      </c>
      <c r="L594" s="19" t="e">
        <f>IF(J594="","SEM #CH",VLOOKUP(J594,#REF!,3,0))</f>
        <v>#REF!</v>
      </c>
      <c r="M594" s="19" t="e">
        <f>IF(J594="","SEM #CH",VLOOKUP(J594,#REF!,4,0))</f>
        <v>#REF!</v>
      </c>
      <c r="N594" s="19" t="e">
        <f>IF(J594="","SEM #CH",VLOOKUP(J594,#REF!,5,0))</f>
        <v>#REF!</v>
      </c>
      <c r="O594" s="19" t="e">
        <f>IF(J594="","SEM #CH",VLOOKUP(J594,#REF!,6,0))</f>
        <v>#REF!</v>
      </c>
      <c r="P594" s="19" t="e">
        <f>IF(J594="","SEM #CH",VLOOKUP(J594,#REF!,7,0))</f>
        <v>#REF!</v>
      </c>
      <c r="Q594" s="77" t="str">
        <f>VLOOKUP(J594,'p1'!$B$2:$C$30,2,0)</f>
        <v>NÃO TEM CHAPA</v>
      </c>
      <c r="R594" s="94">
        <v>45953</v>
      </c>
      <c r="S594" s="90" t="s">
        <v>218</v>
      </c>
      <c r="T594" s="90">
        <f t="shared" si="48"/>
        <v>1</v>
      </c>
      <c r="U594" s="94">
        <v>45954</v>
      </c>
      <c r="V594" s="90" t="s">
        <v>86</v>
      </c>
      <c r="W594" s="92">
        <v>2601</v>
      </c>
      <c r="X594" s="93">
        <f t="shared" si="47"/>
        <v>1</v>
      </c>
      <c r="Y594" s="92"/>
      <c r="Z594" s="92"/>
      <c r="AA594" s="13" t="str">
        <f t="shared" si="49"/>
        <v>out/2025</v>
      </c>
    </row>
    <row r="595" spans="1:27" x14ac:dyDescent="0.25">
      <c r="A595" s="89">
        <v>594</v>
      </c>
      <c r="B595" s="68">
        <v>45944</v>
      </c>
      <c r="C595" s="40">
        <v>119</v>
      </c>
      <c r="D595" s="40">
        <f t="shared" si="45"/>
        <v>1</v>
      </c>
      <c r="E595" s="47" t="s">
        <v>170</v>
      </c>
      <c r="F595" s="17" t="s">
        <v>58</v>
      </c>
      <c r="G595" s="17" t="s">
        <v>86</v>
      </c>
      <c r="H595" s="42" t="s">
        <v>827</v>
      </c>
      <c r="I595" s="17" t="str">
        <f t="shared" si="46"/>
        <v>PN-594</v>
      </c>
      <c r="J595" s="18" t="s">
        <v>85</v>
      </c>
      <c r="K595" s="19" t="e">
        <f>IF(J595="","SEM #CH",VLOOKUP(J595,#REF!,2,0))</f>
        <v>#REF!</v>
      </c>
      <c r="L595" s="19" t="e">
        <f>IF(J595="","SEM #CH",VLOOKUP(J595,#REF!,3,0))</f>
        <v>#REF!</v>
      </c>
      <c r="M595" s="19" t="e">
        <f>IF(J595="","SEM #CH",VLOOKUP(J595,#REF!,4,0))</f>
        <v>#REF!</v>
      </c>
      <c r="N595" s="19" t="e">
        <f>IF(J595="","SEM #CH",VLOOKUP(J595,#REF!,5,0))</f>
        <v>#REF!</v>
      </c>
      <c r="O595" s="19" t="e">
        <f>IF(J595="","SEM #CH",VLOOKUP(J595,#REF!,6,0))</f>
        <v>#REF!</v>
      </c>
      <c r="P595" s="19" t="e">
        <f>IF(J595="","SEM #CH",VLOOKUP(J595,#REF!,7,0))</f>
        <v>#REF!</v>
      </c>
      <c r="Q595" s="77" t="str">
        <f>VLOOKUP(J595,'p1'!$B$2:$C$30,2,0)</f>
        <v>NÃO TEM CHAPA</v>
      </c>
      <c r="R595" s="94">
        <v>45953</v>
      </c>
      <c r="S595" s="90" t="s">
        <v>218</v>
      </c>
      <c r="T595" s="90">
        <f t="shared" si="48"/>
        <v>1</v>
      </c>
      <c r="U595" s="94">
        <v>45954</v>
      </c>
      <c r="V595" s="90" t="s">
        <v>86</v>
      </c>
      <c r="W595" s="92">
        <v>2600</v>
      </c>
      <c r="X595" s="93">
        <f t="shared" si="47"/>
        <v>1</v>
      </c>
      <c r="Y595" s="92"/>
      <c r="Z595" s="92"/>
      <c r="AA595" s="13" t="str">
        <f t="shared" si="49"/>
        <v>out/2025</v>
      </c>
    </row>
    <row r="596" spans="1:27" x14ac:dyDescent="0.25">
      <c r="A596" s="89">
        <v>595</v>
      </c>
      <c r="B596" s="68">
        <v>45944</v>
      </c>
      <c r="C596" s="40">
        <v>119</v>
      </c>
      <c r="D596" s="40">
        <f t="shared" si="45"/>
        <v>1</v>
      </c>
      <c r="E596" s="47" t="s">
        <v>170</v>
      </c>
      <c r="F596" s="17" t="s">
        <v>58</v>
      </c>
      <c r="G596" s="17" t="s">
        <v>86</v>
      </c>
      <c r="H596" s="42" t="s">
        <v>828</v>
      </c>
      <c r="I596" s="17" t="str">
        <f t="shared" si="46"/>
        <v>PN-595</v>
      </c>
      <c r="J596" s="18" t="s">
        <v>85</v>
      </c>
      <c r="K596" s="19" t="e">
        <f>IF(J596="","SEM #CH",VLOOKUP(J596,#REF!,2,0))</f>
        <v>#REF!</v>
      </c>
      <c r="L596" s="19" t="e">
        <f>IF(J596="","SEM #CH",VLOOKUP(J596,#REF!,3,0))</f>
        <v>#REF!</v>
      </c>
      <c r="M596" s="19" t="e">
        <f>IF(J596="","SEM #CH",VLOOKUP(J596,#REF!,4,0))</f>
        <v>#REF!</v>
      </c>
      <c r="N596" s="19" t="e">
        <f>IF(J596="","SEM #CH",VLOOKUP(J596,#REF!,5,0))</f>
        <v>#REF!</v>
      </c>
      <c r="O596" s="19" t="e">
        <f>IF(J596="","SEM #CH",VLOOKUP(J596,#REF!,6,0))</f>
        <v>#REF!</v>
      </c>
      <c r="P596" s="19" t="e">
        <f>IF(J596="","SEM #CH",VLOOKUP(J596,#REF!,7,0))</f>
        <v>#REF!</v>
      </c>
      <c r="Q596" s="77" t="str">
        <f>VLOOKUP(J596,'p1'!$B$2:$C$30,2,0)</f>
        <v>NÃO TEM CHAPA</v>
      </c>
      <c r="R596" s="94">
        <v>45954</v>
      </c>
      <c r="S596" s="90" t="s">
        <v>218</v>
      </c>
      <c r="T596" s="90">
        <f t="shared" si="48"/>
        <v>1</v>
      </c>
      <c r="U596" s="94">
        <v>45954</v>
      </c>
      <c r="V596" s="90" t="s">
        <v>86</v>
      </c>
      <c r="W596" s="92">
        <v>2598</v>
      </c>
      <c r="X596" s="93">
        <f t="shared" si="47"/>
        <v>1</v>
      </c>
      <c r="Y596" s="92"/>
      <c r="Z596" s="92"/>
      <c r="AA596" s="13" t="str">
        <f t="shared" si="49"/>
        <v>out/2025</v>
      </c>
    </row>
    <row r="597" spans="1:27" x14ac:dyDescent="0.25">
      <c r="A597" s="89">
        <v>596</v>
      </c>
      <c r="B597" s="68">
        <v>45944</v>
      </c>
      <c r="C597" s="40">
        <v>119</v>
      </c>
      <c r="D597" s="40">
        <f t="shared" si="45"/>
        <v>1</v>
      </c>
      <c r="E597" s="47" t="s">
        <v>170</v>
      </c>
      <c r="F597" s="17" t="s">
        <v>58</v>
      </c>
      <c r="G597" s="17" t="s">
        <v>86</v>
      </c>
      <c r="H597" s="42" t="s">
        <v>829</v>
      </c>
      <c r="I597" s="17" t="str">
        <f t="shared" si="46"/>
        <v>PN-596</v>
      </c>
      <c r="J597" s="18" t="s">
        <v>85</v>
      </c>
      <c r="K597" s="19" t="e">
        <f>IF(J597="","SEM #CH",VLOOKUP(J597,#REF!,2,0))</f>
        <v>#REF!</v>
      </c>
      <c r="L597" s="19" t="e">
        <f>IF(J597="","SEM #CH",VLOOKUP(J597,#REF!,3,0))</f>
        <v>#REF!</v>
      </c>
      <c r="M597" s="19" t="e">
        <f>IF(J597="","SEM #CH",VLOOKUP(J597,#REF!,4,0))</f>
        <v>#REF!</v>
      </c>
      <c r="N597" s="19" t="e">
        <f>IF(J597="","SEM #CH",VLOOKUP(J597,#REF!,5,0))</f>
        <v>#REF!</v>
      </c>
      <c r="O597" s="19" t="e">
        <f>IF(J597="","SEM #CH",VLOOKUP(J597,#REF!,6,0))</f>
        <v>#REF!</v>
      </c>
      <c r="P597" s="19" t="e">
        <f>IF(J597="","SEM #CH",VLOOKUP(J597,#REF!,7,0))</f>
        <v>#REF!</v>
      </c>
      <c r="Q597" s="77" t="str">
        <f>VLOOKUP(J597,'p1'!$B$2:$C$30,2,0)</f>
        <v>NÃO TEM CHAPA</v>
      </c>
      <c r="R597" s="94">
        <v>45954</v>
      </c>
      <c r="S597" s="90" t="s">
        <v>218</v>
      </c>
      <c r="T597" s="90">
        <f t="shared" si="48"/>
        <v>1</v>
      </c>
      <c r="U597" s="94">
        <v>45954</v>
      </c>
      <c r="V597" s="90" t="s">
        <v>86</v>
      </c>
      <c r="W597" s="92">
        <v>2598</v>
      </c>
      <c r="X597" s="93">
        <f t="shared" si="47"/>
        <v>1</v>
      </c>
      <c r="Y597" s="92"/>
      <c r="Z597" s="92"/>
      <c r="AA597" s="13" t="str">
        <f t="shared" si="49"/>
        <v>out/2025</v>
      </c>
    </row>
    <row r="598" spans="1:27" x14ac:dyDescent="0.25">
      <c r="A598" s="89">
        <v>597</v>
      </c>
      <c r="B598" s="68">
        <v>45944</v>
      </c>
      <c r="C598" s="40">
        <v>119</v>
      </c>
      <c r="D598" s="40">
        <f t="shared" si="45"/>
        <v>1</v>
      </c>
      <c r="E598" s="47" t="s">
        <v>170</v>
      </c>
      <c r="F598" s="17" t="s">
        <v>58</v>
      </c>
      <c r="G598" s="17" t="s">
        <v>86</v>
      </c>
      <c r="H598" s="42" t="s">
        <v>830</v>
      </c>
      <c r="I598" s="17" t="str">
        <f t="shared" si="46"/>
        <v>PN-597</v>
      </c>
      <c r="J598" s="18" t="s">
        <v>85</v>
      </c>
      <c r="K598" s="19" t="e">
        <f>IF(J598="","SEM #CH",VLOOKUP(J598,#REF!,2,0))</f>
        <v>#REF!</v>
      </c>
      <c r="L598" s="19" t="e">
        <f>IF(J598="","SEM #CH",VLOOKUP(J598,#REF!,3,0))</f>
        <v>#REF!</v>
      </c>
      <c r="M598" s="19" t="e">
        <f>IF(J598="","SEM #CH",VLOOKUP(J598,#REF!,4,0))</f>
        <v>#REF!</v>
      </c>
      <c r="N598" s="19" t="e">
        <f>IF(J598="","SEM #CH",VLOOKUP(J598,#REF!,5,0))</f>
        <v>#REF!</v>
      </c>
      <c r="O598" s="19" t="e">
        <f>IF(J598="","SEM #CH",VLOOKUP(J598,#REF!,6,0))</f>
        <v>#REF!</v>
      </c>
      <c r="P598" s="19" t="e">
        <f>IF(J598="","SEM #CH",VLOOKUP(J598,#REF!,7,0))</f>
        <v>#REF!</v>
      </c>
      <c r="Q598" s="77" t="str">
        <f>VLOOKUP(J598,'p1'!$B$2:$C$30,2,0)</f>
        <v>NÃO TEM CHAPA</v>
      </c>
      <c r="R598" s="94">
        <v>45954</v>
      </c>
      <c r="S598" s="90" t="s">
        <v>218</v>
      </c>
      <c r="T598" s="90">
        <f t="shared" si="48"/>
        <v>1</v>
      </c>
      <c r="U598" s="94">
        <v>45954</v>
      </c>
      <c r="V598" s="90" t="s">
        <v>86</v>
      </c>
      <c r="W598" s="92">
        <v>2601</v>
      </c>
      <c r="X598" s="93">
        <f t="shared" si="47"/>
        <v>1</v>
      </c>
      <c r="Y598" s="92"/>
      <c r="Z598" s="92"/>
      <c r="AA598" s="13" t="str">
        <f t="shared" si="49"/>
        <v>out/2025</v>
      </c>
    </row>
    <row r="599" spans="1:27" x14ac:dyDescent="0.25">
      <c r="A599" s="89">
        <v>598</v>
      </c>
      <c r="B599" s="68">
        <v>45940</v>
      </c>
      <c r="C599" s="40">
        <v>116</v>
      </c>
      <c r="D599" s="40">
        <f t="shared" si="45"/>
        <v>1</v>
      </c>
      <c r="E599" s="47" t="s">
        <v>170</v>
      </c>
      <c r="F599" s="17" t="s">
        <v>60</v>
      </c>
      <c r="G599" s="17" t="s">
        <v>86</v>
      </c>
      <c r="H599" s="42" t="s">
        <v>831</v>
      </c>
      <c r="I599" s="17" t="str">
        <f t="shared" si="46"/>
        <v>PE-598</v>
      </c>
      <c r="J599" s="18" t="s">
        <v>90</v>
      </c>
      <c r="K599" s="19" t="e">
        <f>IF(J599="","SEM #CH",VLOOKUP(J599,#REF!,2,0))</f>
        <v>#REF!</v>
      </c>
      <c r="L599" s="19" t="e">
        <f>IF(J599="","SEM #CH",VLOOKUP(J599,#REF!,3,0))</f>
        <v>#REF!</v>
      </c>
      <c r="M599" s="19" t="e">
        <f>IF(J599="","SEM #CH",VLOOKUP(J599,#REF!,4,0))</f>
        <v>#REF!</v>
      </c>
      <c r="N599" s="19" t="e">
        <f>IF(J599="","SEM #CH",VLOOKUP(J599,#REF!,5,0))</f>
        <v>#REF!</v>
      </c>
      <c r="O599" s="19" t="e">
        <f>IF(J599="","SEM #CH",VLOOKUP(J599,#REF!,6,0))</f>
        <v>#REF!</v>
      </c>
      <c r="P599" s="19" t="e">
        <f>IF(J599="","SEM #CH",VLOOKUP(J599,#REF!,7,0))</f>
        <v>#REF!</v>
      </c>
      <c r="Q599" s="77" t="str">
        <f>VLOOKUP(J599,'p1'!$B$2:$C$30,2,0)</f>
        <v>#3/8-530X530</v>
      </c>
      <c r="R599" s="94">
        <v>45947</v>
      </c>
      <c r="S599" s="90" t="s">
        <v>218</v>
      </c>
      <c r="T599" s="90">
        <f t="shared" si="48"/>
        <v>1</v>
      </c>
      <c r="U599" s="94">
        <v>45947</v>
      </c>
      <c r="V599" s="90" t="s">
        <v>86</v>
      </c>
      <c r="W599" s="92">
        <v>2578</v>
      </c>
      <c r="X599" s="93">
        <f t="shared" si="47"/>
        <v>1</v>
      </c>
      <c r="Y599" s="92"/>
      <c r="Z599" s="92"/>
      <c r="AA599" s="13" t="str">
        <f t="shared" si="49"/>
        <v>out/2025</v>
      </c>
    </row>
    <row r="600" spans="1:27" x14ac:dyDescent="0.25">
      <c r="A600" s="89">
        <v>599</v>
      </c>
      <c r="B600" s="68">
        <v>45946</v>
      </c>
      <c r="C600" s="40">
        <v>121</v>
      </c>
      <c r="D600" s="40">
        <f t="shared" si="45"/>
        <v>1</v>
      </c>
      <c r="E600" s="47" t="s">
        <v>170</v>
      </c>
      <c r="F600" s="17" t="s">
        <v>58</v>
      </c>
      <c r="G600" s="17" t="s">
        <v>86</v>
      </c>
      <c r="H600" s="42" t="s">
        <v>832</v>
      </c>
      <c r="I600" s="17" t="str">
        <f t="shared" si="46"/>
        <v>PN-599</v>
      </c>
      <c r="J600" s="18" t="s">
        <v>85</v>
      </c>
      <c r="K600" s="19" t="e">
        <f>IF(J600="","SEM #CH",VLOOKUP(J600,#REF!,2,0))</f>
        <v>#REF!</v>
      </c>
      <c r="L600" s="19" t="e">
        <f>IF(J600="","SEM #CH",VLOOKUP(J600,#REF!,3,0))</f>
        <v>#REF!</v>
      </c>
      <c r="M600" s="19" t="e">
        <f>IF(J600="","SEM #CH",VLOOKUP(J600,#REF!,4,0))</f>
        <v>#REF!</v>
      </c>
      <c r="N600" s="19" t="e">
        <f>IF(J600="","SEM #CH",VLOOKUP(J600,#REF!,5,0))</f>
        <v>#REF!</v>
      </c>
      <c r="O600" s="19" t="e">
        <f>IF(J600="","SEM #CH",VLOOKUP(J600,#REF!,6,0))</f>
        <v>#REF!</v>
      </c>
      <c r="P600" s="19" t="e">
        <f>IF(J600="","SEM #CH",VLOOKUP(J600,#REF!,7,0))</f>
        <v>#REF!</v>
      </c>
      <c r="Q600" s="77" t="str">
        <f>VLOOKUP(J600,'p1'!$B$2:$C$30,2,0)</f>
        <v>NÃO TEM CHAPA</v>
      </c>
      <c r="R600" s="94">
        <v>45952</v>
      </c>
      <c r="S600" s="90" t="s">
        <v>218</v>
      </c>
      <c r="T600" s="90">
        <f t="shared" si="48"/>
        <v>1</v>
      </c>
      <c r="U600" s="94">
        <v>45952</v>
      </c>
      <c r="V600" s="90" t="s">
        <v>86</v>
      </c>
      <c r="W600" s="92">
        <v>2594</v>
      </c>
      <c r="X600" s="93">
        <f t="shared" si="47"/>
        <v>1</v>
      </c>
      <c r="Y600" s="92"/>
      <c r="Z600" s="92"/>
      <c r="AA600" s="13" t="str">
        <f t="shared" si="49"/>
        <v>out/2025</v>
      </c>
    </row>
    <row r="601" spans="1:27" x14ac:dyDescent="0.25">
      <c r="A601" s="89">
        <v>600</v>
      </c>
      <c r="B601" s="68">
        <v>45946</v>
      </c>
      <c r="C601" s="40">
        <v>121</v>
      </c>
      <c r="D601" s="40">
        <f t="shared" si="45"/>
        <v>1</v>
      </c>
      <c r="E601" s="47" t="s">
        <v>170</v>
      </c>
      <c r="F601" s="17" t="s">
        <v>58</v>
      </c>
      <c r="G601" s="17" t="s">
        <v>86</v>
      </c>
      <c r="H601" s="42" t="s">
        <v>833</v>
      </c>
      <c r="I601" s="17" t="str">
        <f t="shared" si="46"/>
        <v>PN-600</v>
      </c>
      <c r="J601" s="18" t="s">
        <v>85</v>
      </c>
      <c r="K601" s="19" t="e">
        <f>IF(J601="","SEM #CH",VLOOKUP(J601,#REF!,2,0))</f>
        <v>#REF!</v>
      </c>
      <c r="L601" s="19" t="e">
        <f>IF(J601="","SEM #CH",VLOOKUP(J601,#REF!,3,0))</f>
        <v>#REF!</v>
      </c>
      <c r="M601" s="19" t="e">
        <f>IF(J601="","SEM #CH",VLOOKUP(J601,#REF!,4,0))</f>
        <v>#REF!</v>
      </c>
      <c r="N601" s="19" t="e">
        <f>IF(J601="","SEM #CH",VLOOKUP(J601,#REF!,5,0))</f>
        <v>#REF!</v>
      </c>
      <c r="O601" s="19" t="e">
        <f>IF(J601="","SEM #CH",VLOOKUP(J601,#REF!,6,0))</f>
        <v>#REF!</v>
      </c>
      <c r="P601" s="19" t="e">
        <f>IF(J601="","SEM #CH",VLOOKUP(J601,#REF!,7,0))</f>
        <v>#REF!</v>
      </c>
      <c r="Q601" s="77" t="str">
        <f>VLOOKUP(J601,'p1'!$B$2:$C$30,2,0)</f>
        <v>NÃO TEM CHAPA</v>
      </c>
      <c r="R601" s="94">
        <v>45952</v>
      </c>
      <c r="S601" s="90" t="s">
        <v>218</v>
      </c>
      <c r="T601" s="90">
        <f t="shared" si="48"/>
        <v>1</v>
      </c>
      <c r="U601" s="94">
        <v>45952</v>
      </c>
      <c r="V601" s="90" t="s">
        <v>86</v>
      </c>
      <c r="W601" s="92">
        <v>2594</v>
      </c>
      <c r="X601" s="93">
        <f t="shared" si="47"/>
        <v>1</v>
      </c>
      <c r="Y601" s="92"/>
      <c r="Z601" s="92"/>
      <c r="AA601" s="13" t="str">
        <f t="shared" si="49"/>
        <v>out/2025</v>
      </c>
    </row>
    <row r="602" spans="1:27" x14ac:dyDescent="0.25">
      <c r="A602" s="89">
        <v>601</v>
      </c>
      <c r="B602" s="68">
        <v>45946</v>
      </c>
      <c r="C602" s="40">
        <v>121</v>
      </c>
      <c r="D602" s="40">
        <f t="shared" si="45"/>
        <v>1</v>
      </c>
      <c r="E602" s="47" t="s">
        <v>170</v>
      </c>
      <c r="F602" s="17" t="s">
        <v>58</v>
      </c>
      <c r="G602" s="17" t="s">
        <v>86</v>
      </c>
      <c r="H602" s="42" t="s">
        <v>834</v>
      </c>
      <c r="I602" s="17" t="str">
        <f t="shared" si="46"/>
        <v>PN-601</v>
      </c>
      <c r="J602" s="18" t="s">
        <v>85</v>
      </c>
      <c r="K602" s="19" t="e">
        <f>IF(J602="","SEM #CH",VLOOKUP(J602,#REF!,2,0))</f>
        <v>#REF!</v>
      </c>
      <c r="L602" s="19" t="e">
        <f>IF(J602="","SEM #CH",VLOOKUP(J602,#REF!,3,0))</f>
        <v>#REF!</v>
      </c>
      <c r="M602" s="19" t="e">
        <f>IF(J602="","SEM #CH",VLOOKUP(J602,#REF!,4,0))</f>
        <v>#REF!</v>
      </c>
      <c r="N602" s="19" t="e">
        <f>IF(J602="","SEM #CH",VLOOKUP(J602,#REF!,5,0))</f>
        <v>#REF!</v>
      </c>
      <c r="O602" s="19" t="e">
        <f>IF(J602="","SEM #CH",VLOOKUP(J602,#REF!,6,0))</f>
        <v>#REF!</v>
      </c>
      <c r="P602" s="19" t="e">
        <f>IF(J602="","SEM #CH",VLOOKUP(J602,#REF!,7,0))</f>
        <v>#REF!</v>
      </c>
      <c r="Q602" s="77" t="str">
        <f>VLOOKUP(J602,'p1'!$B$2:$C$30,2,0)</f>
        <v>NÃO TEM CHAPA</v>
      </c>
      <c r="R602" s="94">
        <v>45952</v>
      </c>
      <c r="S602" s="90" t="s">
        <v>218</v>
      </c>
      <c r="T602" s="90">
        <f t="shared" si="48"/>
        <v>1</v>
      </c>
      <c r="U602" s="94">
        <v>45952</v>
      </c>
      <c r="V602" s="90" t="s">
        <v>86</v>
      </c>
      <c r="W602" s="92">
        <v>2591</v>
      </c>
      <c r="X602" s="93">
        <f t="shared" si="47"/>
        <v>1</v>
      </c>
      <c r="Y602" s="92"/>
      <c r="Z602" s="92"/>
      <c r="AA602" s="13" t="str">
        <f t="shared" si="49"/>
        <v>out/2025</v>
      </c>
    </row>
    <row r="603" spans="1:27" x14ac:dyDescent="0.25">
      <c r="A603" s="89">
        <v>602</v>
      </c>
      <c r="B603" s="68">
        <v>45946</v>
      </c>
      <c r="C603" s="40">
        <v>121</v>
      </c>
      <c r="D603" s="40">
        <f t="shared" si="45"/>
        <v>1</v>
      </c>
      <c r="E603" s="47" t="s">
        <v>170</v>
      </c>
      <c r="F603" s="17" t="s">
        <v>58</v>
      </c>
      <c r="G603" s="17" t="s">
        <v>86</v>
      </c>
      <c r="H603" s="42" t="s">
        <v>835</v>
      </c>
      <c r="I603" s="17" t="str">
        <f t="shared" si="46"/>
        <v>PN-602</v>
      </c>
      <c r="J603" s="18" t="s">
        <v>85</v>
      </c>
      <c r="K603" s="19" t="e">
        <f>IF(J603="","SEM #CH",VLOOKUP(J603,#REF!,2,0))</f>
        <v>#REF!</v>
      </c>
      <c r="L603" s="19" t="e">
        <f>IF(J603="","SEM #CH",VLOOKUP(J603,#REF!,3,0))</f>
        <v>#REF!</v>
      </c>
      <c r="M603" s="19" t="e">
        <f>IF(J603="","SEM #CH",VLOOKUP(J603,#REF!,4,0))</f>
        <v>#REF!</v>
      </c>
      <c r="N603" s="19" t="e">
        <f>IF(J603="","SEM #CH",VLOOKUP(J603,#REF!,5,0))</f>
        <v>#REF!</v>
      </c>
      <c r="O603" s="19" t="e">
        <f>IF(J603="","SEM #CH",VLOOKUP(J603,#REF!,6,0))</f>
        <v>#REF!</v>
      </c>
      <c r="P603" s="19" t="e">
        <f>IF(J603="","SEM #CH",VLOOKUP(J603,#REF!,7,0))</f>
        <v>#REF!</v>
      </c>
      <c r="Q603" s="77" t="str">
        <f>VLOOKUP(J603,'p1'!$B$2:$C$30,2,0)</f>
        <v>NÃO TEM CHAPA</v>
      </c>
      <c r="R603" s="94">
        <v>45952</v>
      </c>
      <c r="S603" s="90" t="s">
        <v>218</v>
      </c>
      <c r="T603" s="90">
        <f t="shared" si="48"/>
        <v>1</v>
      </c>
      <c r="U603" s="94">
        <v>45952</v>
      </c>
      <c r="V603" s="90" t="s">
        <v>86</v>
      </c>
      <c r="W603" s="92">
        <v>2591</v>
      </c>
      <c r="X603" s="93">
        <f t="shared" si="47"/>
        <v>1</v>
      </c>
      <c r="Y603" s="92"/>
      <c r="Z603" s="92"/>
      <c r="AA603" s="13" t="str">
        <f t="shared" si="49"/>
        <v>out/2025</v>
      </c>
    </row>
    <row r="604" spans="1:27" x14ac:dyDescent="0.25">
      <c r="A604" s="89">
        <v>603</v>
      </c>
      <c r="B604" s="68">
        <v>45946</v>
      </c>
      <c r="C604" s="40">
        <v>121</v>
      </c>
      <c r="D604" s="40">
        <f t="shared" si="45"/>
        <v>1</v>
      </c>
      <c r="E604" s="47" t="s">
        <v>170</v>
      </c>
      <c r="F604" s="17" t="s">
        <v>58</v>
      </c>
      <c r="G604" s="17" t="s">
        <v>86</v>
      </c>
      <c r="H604" s="42" t="s">
        <v>836</v>
      </c>
      <c r="I604" s="17" t="str">
        <f t="shared" si="46"/>
        <v>PN-603</v>
      </c>
      <c r="J604" s="18" t="s">
        <v>85</v>
      </c>
      <c r="K604" s="19" t="e">
        <f>IF(J604="","SEM #CH",VLOOKUP(J604,#REF!,2,0))</f>
        <v>#REF!</v>
      </c>
      <c r="L604" s="19" t="e">
        <f>IF(J604="","SEM #CH",VLOOKUP(J604,#REF!,3,0))</f>
        <v>#REF!</v>
      </c>
      <c r="M604" s="19" t="e">
        <f>IF(J604="","SEM #CH",VLOOKUP(J604,#REF!,4,0))</f>
        <v>#REF!</v>
      </c>
      <c r="N604" s="19" t="e">
        <f>IF(J604="","SEM #CH",VLOOKUP(J604,#REF!,5,0))</f>
        <v>#REF!</v>
      </c>
      <c r="O604" s="19" t="e">
        <f>IF(J604="","SEM #CH",VLOOKUP(J604,#REF!,6,0))</f>
        <v>#REF!</v>
      </c>
      <c r="P604" s="19" t="e">
        <f>IF(J604="","SEM #CH",VLOOKUP(J604,#REF!,7,0))</f>
        <v>#REF!</v>
      </c>
      <c r="Q604" s="77" t="str">
        <f>VLOOKUP(J604,'p1'!$B$2:$C$30,2,0)</f>
        <v>NÃO TEM CHAPA</v>
      </c>
      <c r="R604" s="94">
        <v>45952</v>
      </c>
      <c r="S604" s="90" t="s">
        <v>218</v>
      </c>
      <c r="T604" s="90">
        <f t="shared" si="48"/>
        <v>1</v>
      </c>
      <c r="U604" s="94">
        <v>45952</v>
      </c>
      <c r="V604" s="90" t="s">
        <v>86</v>
      </c>
      <c r="W604" s="92">
        <v>2591</v>
      </c>
      <c r="X604" s="93">
        <f t="shared" si="47"/>
        <v>1</v>
      </c>
      <c r="Y604" s="92"/>
      <c r="Z604" s="92"/>
      <c r="AA604" s="13" t="str">
        <f t="shared" si="49"/>
        <v>out/2025</v>
      </c>
    </row>
    <row r="605" spans="1:27" x14ac:dyDescent="0.25">
      <c r="A605" s="89">
        <v>604</v>
      </c>
      <c r="B605" s="68">
        <v>45946</v>
      </c>
      <c r="C605" s="40">
        <v>121</v>
      </c>
      <c r="D605" s="40">
        <f t="shared" si="45"/>
        <v>1</v>
      </c>
      <c r="E605" s="47" t="s">
        <v>170</v>
      </c>
      <c r="F605" s="17" t="s">
        <v>58</v>
      </c>
      <c r="G605" s="17" t="s">
        <v>86</v>
      </c>
      <c r="H605" s="42" t="s">
        <v>837</v>
      </c>
      <c r="I605" s="17" t="str">
        <f t="shared" si="46"/>
        <v>PN-604</v>
      </c>
      <c r="J605" s="18" t="s">
        <v>85</v>
      </c>
      <c r="K605" s="19" t="e">
        <f>IF(J605="","SEM #CH",VLOOKUP(J605,#REF!,2,0))</f>
        <v>#REF!</v>
      </c>
      <c r="L605" s="19" t="e">
        <f>IF(J605="","SEM #CH",VLOOKUP(J605,#REF!,3,0))</f>
        <v>#REF!</v>
      </c>
      <c r="M605" s="19" t="e">
        <f>IF(J605="","SEM #CH",VLOOKUP(J605,#REF!,4,0))</f>
        <v>#REF!</v>
      </c>
      <c r="N605" s="19" t="e">
        <f>IF(J605="","SEM #CH",VLOOKUP(J605,#REF!,5,0))</f>
        <v>#REF!</v>
      </c>
      <c r="O605" s="19" t="e">
        <f>IF(J605="","SEM #CH",VLOOKUP(J605,#REF!,6,0))</f>
        <v>#REF!</v>
      </c>
      <c r="P605" s="19" t="e">
        <f>IF(J605="","SEM #CH",VLOOKUP(J605,#REF!,7,0))</f>
        <v>#REF!</v>
      </c>
      <c r="Q605" s="77" t="str">
        <f>VLOOKUP(J605,'p1'!$B$2:$C$30,2,0)</f>
        <v>NÃO TEM CHAPA</v>
      </c>
      <c r="R605" s="94">
        <v>45951</v>
      </c>
      <c r="S605" s="90" t="s">
        <v>218</v>
      </c>
      <c r="T605" s="90">
        <f t="shared" si="48"/>
        <v>1</v>
      </c>
      <c r="U605" s="94">
        <v>45951</v>
      </c>
      <c r="V605" s="90" t="s">
        <v>86</v>
      </c>
      <c r="W605" s="92">
        <v>2590</v>
      </c>
      <c r="X605" s="93">
        <f t="shared" si="47"/>
        <v>1</v>
      </c>
      <c r="Y605" s="92"/>
      <c r="Z605" s="92"/>
      <c r="AA605" s="13" t="str">
        <f t="shared" si="49"/>
        <v>out/2025</v>
      </c>
    </row>
    <row r="606" spans="1:27" x14ac:dyDescent="0.25">
      <c r="A606" s="89">
        <v>605</v>
      </c>
      <c r="B606" s="68">
        <v>45948</v>
      </c>
      <c r="C606" s="40">
        <v>123</v>
      </c>
      <c r="D606" s="40">
        <f t="shared" si="45"/>
        <v>1</v>
      </c>
      <c r="E606" s="47" t="s">
        <v>170</v>
      </c>
      <c r="F606" s="17" t="s">
        <v>58</v>
      </c>
      <c r="G606" s="17" t="s">
        <v>86</v>
      </c>
      <c r="H606" s="42" t="s">
        <v>838</v>
      </c>
      <c r="I606" s="17" t="str">
        <f t="shared" si="46"/>
        <v>PN-605</v>
      </c>
      <c r="J606" s="18" t="s">
        <v>85</v>
      </c>
      <c r="K606" s="19" t="e">
        <f>IF(J606="","SEM #CH",VLOOKUP(J606,#REF!,2,0))</f>
        <v>#REF!</v>
      </c>
      <c r="L606" s="19" t="e">
        <f>IF(J606="","SEM #CH",VLOOKUP(J606,#REF!,3,0))</f>
        <v>#REF!</v>
      </c>
      <c r="M606" s="19" t="e">
        <f>IF(J606="","SEM #CH",VLOOKUP(J606,#REF!,4,0))</f>
        <v>#REF!</v>
      </c>
      <c r="N606" s="19" t="e">
        <f>IF(J606="","SEM #CH",VLOOKUP(J606,#REF!,5,0))</f>
        <v>#REF!</v>
      </c>
      <c r="O606" s="19" t="e">
        <f>IF(J606="","SEM #CH",VLOOKUP(J606,#REF!,6,0))</f>
        <v>#REF!</v>
      </c>
      <c r="P606" s="19" t="e">
        <f>IF(J606="","SEM #CH",VLOOKUP(J606,#REF!,7,0))</f>
        <v>#REF!</v>
      </c>
      <c r="Q606" s="77" t="str">
        <f>VLOOKUP(J606,'p1'!$B$2:$C$30,2,0)</f>
        <v>NÃO TEM CHAPA</v>
      </c>
      <c r="R606" s="94">
        <v>45954</v>
      </c>
      <c r="S606" s="90" t="s">
        <v>218</v>
      </c>
      <c r="T606" s="90">
        <f t="shared" si="48"/>
        <v>1</v>
      </c>
      <c r="U606" s="94">
        <v>45954</v>
      </c>
      <c r="V606" s="90" t="s">
        <v>86</v>
      </c>
      <c r="W606" s="92">
        <v>2600</v>
      </c>
      <c r="X606" s="93">
        <f t="shared" si="47"/>
        <v>1</v>
      </c>
      <c r="Y606" s="92"/>
      <c r="Z606" s="92"/>
      <c r="AA606" s="13" t="str">
        <f t="shared" si="49"/>
        <v>out/2025</v>
      </c>
    </row>
    <row r="607" spans="1:27" x14ac:dyDescent="0.25">
      <c r="A607" s="89">
        <v>606</v>
      </c>
      <c r="B607" s="68">
        <v>45948</v>
      </c>
      <c r="C607" s="40">
        <v>123</v>
      </c>
      <c r="D607" s="40">
        <f t="shared" si="45"/>
        <v>1</v>
      </c>
      <c r="E607" s="47" t="s">
        <v>170</v>
      </c>
      <c r="F607" s="17" t="s">
        <v>58</v>
      </c>
      <c r="G607" s="17" t="s">
        <v>86</v>
      </c>
      <c r="H607" s="42" t="s">
        <v>839</v>
      </c>
      <c r="I607" s="17" t="str">
        <f t="shared" si="46"/>
        <v>PN-606</v>
      </c>
      <c r="J607" s="18" t="s">
        <v>85</v>
      </c>
      <c r="K607" s="19" t="e">
        <f>IF(J607="","SEM #CH",VLOOKUP(J607,#REF!,2,0))</f>
        <v>#REF!</v>
      </c>
      <c r="L607" s="19" t="e">
        <f>IF(J607="","SEM #CH",VLOOKUP(J607,#REF!,3,0))</f>
        <v>#REF!</v>
      </c>
      <c r="M607" s="19" t="e">
        <f>IF(J607="","SEM #CH",VLOOKUP(J607,#REF!,4,0))</f>
        <v>#REF!</v>
      </c>
      <c r="N607" s="19" t="e">
        <f>IF(J607="","SEM #CH",VLOOKUP(J607,#REF!,5,0))</f>
        <v>#REF!</v>
      </c>
      <c r="O607" s="19" t="e">
        <f>IF(J607="","SEM #CH",VLOOKUP(J607,#REF!,6,0))</f>
        <v>#REF!</v>
      </c>
      <c r="P607" s="19" t="e">
        <f>IF(J607="","SEM #CH",VLOOKUP(J607,#REF!,7,0))</f>
        <v>#REF!</v>
      </c>
      <c r="Q607" s="77" t="str">
        <f>VLOOKUP(J607,'p1'!$B$2:$C$30,2,0)</f>
        <v>NÃO TEM CHAPA</v>
      </c>
      <c r="R607" s="94">
        <v>45954</v>
      </c>
      <c r="S607" s="90" t="s">
        <v>218</v>
      </c>
      <c r="T607" s="90">
        <f t="shared" si="48"/>
        <v>1</v>
      </c>
      <c r="U607" s="94">
        <v>45954</v>
      </c>
      <c r="V607" s="90" t="s">
        <v>86</v>
      </c>
      <c r="W607" s="92">
        <v>2601</v>
      </c>
      <c r="X607" s="93">
        <f t="shared" si="47"/>
        <v>1</v>
      </c>
      <c r="Y607" s="92"/>
      <c r="Z607" s="92"/>
      <c r="AA607" s="13" t="str">
        <f t="shared" si="49"/>
        <v>out/2025</v>
      </c>
    </row>
    <row r="608" spans="1:27" x14ac:dyDescent="0.25">
      <c r="A608" s="89">
        <v>607</v>
      </c>
      <c r="B608" s="68">
        <v>45948</v>
      </c>
      <c r="C608" s="40">
        <v>123</v>
      </c>
      <c r="D608" s="40">
        <f t="shared" si="45"/>
        <v>1</v>
      </c>
      <c r="E608" s="47" t="s">
        <v>170</v>
      </c>
      <c r="F608" s="17" t="s">
        <v>58</v>
      </c>
      <c r="G608" s="17" t="s">
        <v>86</v>
      </c>
      <c r="H608" s="42" t="s">
        <v>840</v>
      </c>
      <c r="I608" s="17" t="str">
        <f t="shared" si="46"/>
        <v>PN-607</v>
      </c>
      <c r="J608" s="18" t="s">
        <v>85</v>
      </c>
      <c r="K608" s="19" t="e">
        <f>IF(J608="","SEM #CH",VLOOKUP(J608,#REF!,2,0))</f>
        <v>#REF!</v>
      </c>
      <c r="L608" s="19" t="e">
        <f>IF(J608="","SEM #CH",VLOOKUP(J608,#REF!,3,0))</f>
        <v>#REF!</v>
      </c>
      <c r="M608" s="19" t="e">
        <f>IF(J608="","SEM #CH",VLOOKUP(J608,#REF!,4,0))</f>
        <v>#REF!</v>
      </c>
      <c r="N608" s="19" t="e">
        <f>IF(J608="","SEM #CH",VLOOKUP(J608,#REF!,5,0))</f>
        <v>#REF!</v>
      </c>
      <c r="O608" s="19" t="e">
        <f>IF(J608="","SEM #CH",VLOOKUP(J608,#REF!,6,0))</f>
        <v>#REF!</v>
      </c>
      <c r="P608" s="19" t="e">
        <f>IF(J608="","SEM #CH",VLOOKUP(J608,#REF!,7,0))</f>
        <v>#REF!</v>
      </c>
      <c r="Q608" s="77" t="str">
        <f>VLOOKUP(J608,'p1'!$B$2:$C$30,2,0)</f>
        <v>NÃO TEM CHAPA</v>
      </c>
      <c r="R608" s="94">
        <v>45954</v>
      </c>
      <c r="S608" s="90" t="s">
        <v>218</v>
      </c>
      <c r="T608" s="90">
        <f t="shared" si="48"/>
        <v>1</v>
      </c>
      <c r="U608" s="94">
        <v>45954</v>
      </c>
      <c r="V608" s="90" t="s">
        <v>86</v>
      </c>
      <c r="W608" s="92">
        <v>2601</v>
      </c>
      <c r="X608" s="93">
        <f t="shared" si="47"/>
        <v>1</v>
      </c>
      <c r="Y608" s="92"/>
      <c r="Z608" s="92"/>
      <c r="AA608" s="13" t="str">
        <f t="shared" si="49"/>
        <v>out/2025</v>
      </c>
    </row>
    <row r="609" spans="1:27" x14ac:dyDescent="0.25">
      <c r="A609" s="89">
        <v>608</v>
      </c>
      <c r="B609" s="68">
        <v>45948</v>
      </c>
      <c r="C609" s="40">
        <v>123</v>
      </c>
      <c r="D609" s="40">
        <f t="shared" si="45"/>
        <v>1</v>
      </c>
      <c r="E609" s="47" t="s">
        <v>170</v>
      </c>
      <c r="F609" s="17" t="s">
        <v>58</v>
      </c>
      <c r="G609" s="17" t="s">
        <v>86</v>
      </c>
      <c r="H609" s="42" t="s">
        <v>841</v>
      </c>
      <c r="I609" s="17" t="str">
        <f t="shared" si="46"/>
        <v>PN-608</v>
      </c>
      <c r="J609" s="18" t="s">
        <v>85</v>
      </c>
      <c r="K609" s="19" t="e">
        <f>IF(J609="","SEM #CH",VLOOKUP(J609,#REF!,2,0))</f>
        <v>#REF!</v>
      </c>
      <c r="L609" s="19" t="e">
        <f>IF(J609="","SEM #CH",VLOOKUP(J609,#REF!,3,0))</f>
        <v>#REF!</v>
      </c>
      <c r="M609" s="19" t="e">
        <f>IF(J609="","SEM #CH",VLOOKUP(J609,#REF!,4,0))</f>
        <v>#REF!</v>
      </c>
      <c r="N609" s="19" t="e">
        <f>IF(J609="","SEM #CH",VLOOKUP(J609,#REF!,5,0))</f>
        <v>#REF!</v>
      </c>
      <c r="O609" s="19" t="e">
        <f>IF(J609="","SEM #CH",VLOOKUP(J609,#REF!,6,0))</f>
        <v>#REF!</v>
      </c>
      <c r="P609" s="19" t="e">
        <f>IF(J609="","SEM #CH",VLOOKUP(J609,#REF!,7,0))</f>
        <v>#REF!</v>
      </c>
      <c r="Q609" s="77" t="str">
        <f>VLOOKUP(J609,'p1'!$B$2:$C$30,2,0)</f>
        <v>NÃO TEM CHAPA</v>
      </c>
      <c r="R609" s="94">
        <v>45957</v>
      </c>
      <c r="S609" s="90" t="s">
        <v>218</v>
      </c>
      <c r="T609" s="90">
        <f t="shared" si="48"/>
        <v>1</v>
      </c>
      <c r="U609" s="94">
        <v>45957</v>
      </c>
      <c r="V609" s="90" t="s">
        <v>86</v>
      </c>
      <c r="W609" s="92">
        <v>2603</v>
      </c>
      <c r="X609" s="93">
        <f t="shared" si="47"/>
        <v>1</v>
      </c>
      <c r="Y609" s="92"/>
      <c r="Z609" s="92"/>
      <c r="AA609" s="13" t="str">
        <f t="shared" si="49"/>
        <v>out/2025</v>
      </c>
    </row>
    <row r="610" spans="1:27" x14ac:dyDescent="0.25">
      <c r="A610" s="89">
        <v>609</v>
      </c>
      <c r="B610" s="68">
        <v>45948</v>
      </c>
      <c r="C610" s="40">
        <v>123</v>
      </c>
      <c r="D610" s="40">
        <f t="shared" si="45"/>
        <v>1</v>
      </c>
      <c r="E610" s="47" t="s">
        <v>170</v>
      </c>
      <c r="F610" s="17" t="s">
        <v>58</v>
      </c>
      <c r="G610" s="17" t="s">
        <v>86</v>
      </c>
      <c r="H610" s="42" t="s">
        <v>842</v>
      </c>
      <c r="I610" s="17" t="str">
        <f t="shared" si="46"/>
        <v>PN-609</v>
      </c>
      <c r="J610" s="18" t="s">
        <v>85</v>
      </c>
      <c r="K610" s="19" t="e">
        <f>IF(J610="","SEM #CH",VLOOKUP(J610,#REF!,2,0))</f>
        <v>#REF!</v>
      </c>
      <c r="L610" s="19" t="e">
        <f>IF(J610="","SEM #CH",VLOOKUP(J610,#REF!,3,0))</f>
        <v>#REF!</v>
      </c>
      <c r="M610" s="19" t="e">
        <f>IF(J610="","SEM #CH",VLOOKUP(J610,#REF!,4,0))</f>
        <v>#REF!</v>
      </c>
      <c r="N610" s="19" t="e">
        <f>IF(J610="","SEM #CH",VLOOKUP(J610,#REF!,5,0))</f>
        <v>#REF!</v>
      </c>
      <c r="O610" s="19" t="e">
        <f>IF(J610="","SEM #CH",VLOOKUP(J610,#REF!,6,0))</f>
        <v>#REF!</v>
      </c>
      <c r="P610" s="19" t="e">
        <f>IF(J610="","SEM #CH",VLOOKUP(J610,#REF!,7,0))</f>
        <v>#REF!</v>
      </c>
      <c r="Q610" s="77" t="str">
        <f>VLOOKUP(J610,'p1'!$B$2:$C$30,2,0)</f>
        <v>NÃO TEM CHAPA</v>
      </c>
      <c r="R610" s="94">
        <v>45957</v>
      </c>
      <c r="S610" s="90" t="s">
        <v>218</v>
      </c>
      <c r="T610" s="90">
        <f t="shared" si="48"/>
        <v>1</v>
      </c>
      <c r="U610" s="94">
        <v>45957</v>
      </c>
      <c r="V610" s="90" t="s">
        <v>86</v>
      </c>
      <c r="W610" s="92">
        <v>2603</v>
      </c>
      <c r="X610" s="93">
        <f t="shared" si="47"/>
        <v>1</v>
      </c>
      <c r="Y610" s="92"/>
      <c r="Z610" s="92"/>
      <c r="AA610" s="13" t="str">
        <f t="shared" si="49"/>
        <v>out/2025</v>
      </c>
    </row>
    <row r="611" spans="1:27" x14ac:dyDescent="0.25">
      <c r="A611" s="89">
        <v>610</v>
      </c>
      <c r="B611" s="68">
        <v>45948</v>
      </c>
      <c r="C611" s="40">
        <v>123</v>
      </c>
      <c r="D611" s="40">
        <f t="shared" si="45"/>
        <v>1</v>
      </c>
      <c r="E611" s="47" t="s">
        <v>170</v>
      </c>
      <c r="F611" s="17" t="s">
        <v>58</v>
      </c>
      <c r="G611" s="17" t="s">
        <v>86</v>
      </c>
      <c r="H611" s="42" t="s">
        <v>843</v>
      </c>
      <c r="I611" s="17" t="str">
        <f t="shared" si="46"/>
        <v>PN-610</v>
      </c>
      <c r="J611" s="18" t="s">
        <v>85</v>
      </c>
      <c r="K611" s="19" t="e">
        <f>IF(J611="","SEM #CH",VLOOKUP(J611,#REF!,2,0))</f>
        <v>#REF!</v>
      </c>
      <c r="L611" s="19" t="e">
        <f>IF(J611="","SEM #CH",VLOOKUP(J611,#REF!,3,0))</f>
        <v>#REF!</v>
      </c>
      <c r="M611" s="19" t="e">
        <f>IF(J611="","SEM #CH",VLOOKUP(J611,#REF!,4,0))</f>
        <v>#REF!</v>
      </c>
      <c r="N611" s="19" t="e">
        <f>IF(J611="","SEM #CH",VLOOKUP(J611,#REF!,5,0))</f>
        <v>#REF!</v>
      </c>
      <c r="O611" s="19" t="e">
        <f>IF(J611="","SEM #CH",VLOOKUP(J611,#REF!,6,0))</f>
        <v>#REF!</v>
      </c>
      <c r="P611" s="19" t="e">
        <f>IF(J611="","SEM #CH",VLOOKUP(J611,#REF!,7,0))</f>
        <v>#REF!</v>
      </c>
      <c r="Q611" s="77" t="str">
        <f>VLOOKUP(J611,'p1'!$B$2:$C$30,2,0)</f>
        <v>NÃO TEM CHAPA</v>
      </c>
      <c r="R611" s="94">
        <v>45958</v>
      </c>
      <c r="S611" s="90" t="s">
        <v>218</v>
      </c>
      <c r="T611" s="90">
        <f t="shared" si="48"/>
        <v>1</v>
      </c>
      <c r="U611" s="94">
        <v>45959</v>
      </c>
      <c r="V611" s="90" t="s">
        <v>86</v>
      </c>
      <c r="W611" s="92">
        <v>2604</v>
      </c>
      <c r="X611" s="93">
        <f t="shared" si="47"/>
        <v>1</v>
      </c>
      <c r="Y611" s="92"/>
      <c r="Z611" s="92"/>
      <c r="AA611" s="13" t="str">
        <f t="shared" si="49"/>
        <v>out/2025</v>
      </c>
    </row>
    <row r="612" spans="1:27" x14ac:dyDescent="0.25">
      <c r="A612" s="89">
        <v>611</v>
      </c>
      <c r="B612" s="68">
        <v>45951</v>
      </c>
      <c r="C612" s="40">
        <v>125</v>
      </c>
      <c r="D612" s="40">
        <f t="shared" si="45"/>
        <v>1</v>
      </c>
      <c r="E612" s="47" t="s">
        <v>170</v>
      </c>
      <c r="F612" s="17" t="s">
        <v>58</v>
      </c>
      <c r="G612" s="17" t="s">
        <v>86</v>
      </c>
      <c r="H612" s="42" t="s">
        <v>844</v>
      </c>
      <c r="I612" s="17" t="str">
        <f t="shared" si="46"/>
        <v>PN-611</v>
      </c>
      <c r="J612" s="18" t="s">
        <v>85</v>
      </c>
      <c r="K612" s="19" t="e">
        <f>IF(J612="","SEM #CH",VLOOKUP(J612,#REF!,2,0))</f>
        <v>#REF!</v>
      </c>
      <c r="L612" s="19" t="e">
        <f>IF(J612="","SEM #CH",VLOOKUP(J612,#REF!,3,0))</f>
        <v>#REF!</v>
      </c>
      <c r="M612" s="19" t="e">
        <f>IF(J612="","SEM #CH",VLOOKUP(J612,#REF!,4,0))</f>
        <v>#REF!</v>
      </c>
      <c r="N612" s="19" t="e">
        <f>IF(J612="","SEM #CH",VLOOKUP(J612,#REF!,5,0))</f>
        <v>#REF!</v>
      </c>
      <c r="O612" s="19" t="e">
        <f>IF(J612="","SEM #CH",VLOOKUP(J612,#REF!,6,0))</f>
        <v>#REF!</v>
      </c>
      <c r="P612" s="19" t="e">
        <f>IF(J612="","SEM #CH",VLOOKUP(J612,#REF!,7,0))</f>
        <v>#REF!</v>
      </c>
      <c r="Q612" s="77" t="str">
        <f>VLOOKUP(J612,'p1'!$B$2:$C$30,2,0)</f>
        <v>NÃO TEM CHAPA</v>
      </c>
      <c r="R612" s="94">
        <v>45959</v>
      </c>
      <c r="S612" s="90" t="s">
        <v>218</v>
      </c>
      <c r="T612" s="90">
        <f t="shared" si="48"/>
        <v>1</v>
      </c>
      <c r="U612" s="94">
        <v>45959</v>
      </c>
      <c r="V612" s="90" t="s">
        <v>86</v>
      </c>
      <c r="W612" s="92">
        <v>2604</v>
      </c>
      <c r="X612" s="93">
        <f t="shared" si="47"/>
        <v>1</v>
      </c>
      <c r="Y612" s="92"/>
      <c r="Z612" s="92"/>
      <c r="AA612" s="13" t="str">
        <f t="shared" si="49"/>
        <v>out/2025</v>
      </c>
    </row>
    <row r="613" spans="1:27" x14ac:dyDescent="0.25">
      <c r="A613" s="89">
        <v>612</v>
      </c>
      <c r="B613" s="68">
        <v>45940</v>
      </c>
      <c r="C613" s="40">
        <v>116</v>
      </c>
      <c r="D613" s="40">
        <f t="shared" si="45"/>
        <v>1</v>
      </c>
      <c r="E613" s="47" t="s">
        <v>170</v>
      </c>
      <c r="F613" s="17" t="s">
        <v>60</v>
      </c>
      <c r="G613" s="17" t="s">
        <v>86</v>
      </c>
      <c r="H613" s="42" t="s">
        <v>845</v>
      </c>
      <c r="I613" s="17" t="str">
        <f t="shared" si="46"/>
        <v>PE-612</v>
      </c>
      <c r="J613" s="18" t="s">
        <v>90</v>
      </c>
      <c r="K613" s="19" t="e">
        <f>IF(J613="","SEM #CH",VLOOKUP(J613,#REF!,2,0))</f>
        <v>#REF!</v>
      </c>
      <c r="L613" s="19" t="e">
        <f>IF(J613="","SEM #CH",VLOOKUP(J613,#REF!,3,0))</f>
        <v>#REF!</v>
      </c>
      <c r="M613" s="19" t="e">
        <f>IF(J613="","SEM #CH",VLOOKUP(J613,#REF!,4,0))</f>
        <v>#REF!</v>
      </c>
      <c r="N613" s="19" t="e">
        <f>IF(J613="","SEM #CH",VLOOKUP(J613,#REF!,5,0))</f>
        <v>#REF!</v>
      </c>
      <c r="O613" s="19" t="e">
        <f>IF(J613="","SEM #CH",VLOOKUP(J613,#REF!,6,0))</f>
        <v>#REF!</v>
      </c>
      <c r="P613" s="19" t="e">
        <f>IF(J613="","SEM #CH",VLOOKUP(J613,#REF!,7,0))</f>
        <v>#REF!</v>
      </c>
      <c r="Q613" s="77" t="str">
        <f>VLOOKUP(J613,'p1'!$B$2:$C$30,2,0)</f>
        <v>#3/8-530X530</v>
      </c>
      <c r="R613" s="94">
        <v>45947</v>
      </c>
      <c r="S613" s="90" t="s">
        <v>218</v>
      </c>
      <c r="T613" s="90">
        <f t="shared" si="48"/>
        <v>1</v>
      </c>
      <c r="U613" s="94">
        <v>45951</v>
      </c>
      <c r="V613" s="90" t="s">
        <v>86</v>
      </c>
      <c r="W613" s="92">
        <v>2586</v>
      </c>
      <c r="X613" s="93">
        <f t="shared" si="47"/>
        <v>1</v>
      </c>
      <c r="Y613" s="92"/>
      <c r="Z613" s="92"/>
      <c r="AA613" s="13" t="str">
        <f t="shared" si="49"/>
        <v>out/2025</v>
      </c>
    </row>
    <row r="614" spans="1:27" x14ac:dyDescent="0.25">
      <c r="A614" s="89">
        <v>613</v>
      </c>
      <c r="B614" s="68">
        <v>45951</v>
      </c>
      <c r="C614" s="40">
        <v>125</v>
      </c>
      <c r="D614" s="40">
        <f t="shared" si="45"/>
        <v>1</v>
      </c>
      <c r="E614" s="47" t="s">
        <v>170</v>
      </c>
      <c r="F614" s="17" t="s">
        <v>60</v>
      </c>
      <c r="G614" s="17" t="s">
        <v>86</v>
      </c>
      <c r="H614" s="42" t="s">
        <v>846</v>
      </c>
      <c r="I614" s="17" t="str">
        <f t="shared" si="46"/>
        <v>PE-613</v>
      </c>
      <c r="J614" s="18" t="s">
        <v>89</v>
      </c>
      <c r="K614" s="19" t="e">
        <f>IF(J614="","SEM #CH",VLOOKUP(J614,#REF!,2,0))</f>
        <v>#REF!</v>
      </c>
      <c r="L614" s="19" t="e">
        <f>IF(J614="","SEM #CH",VLOOKUP(J614,#REF!,3,0))</f>
        <v>#REF!</v>
      </c>
      <c r="M614" s="19" t="e">
        <f>IF(J614="","SEM #CH",VLOOKUP(J614,#REF!,4,0))</f>
        <v>#REF!</v>
      </c>
      <c r="N614" s="19" t="e">
        <f>IF(J614="","SEM #CH",VLOOKUP(J614,#REF!,5,0))</f>
        <v>#REF!</v>
      </c>
      <c r="O614" s="19" t="e">
        <f>IF(J614="","SEM #CH",VLOOKUP(J614,#REF!,6,0))</f>
        <v>#REF!</v>
      </c>
      <c r="P614" s="19" t="e">
        <f>IF(J614="","SEM #CH",VLOOKUP(J614,#REF!,7,0))</f>
        <v>#REF!</v>
      </c>
      <c r="Q614" s="77" t="str">
        <f>VLOOKUP(J614,'p1'!$B$2:$C$30,2,0)</f>
        <v>#3/8-1200X1200</v>
      </c>
      <c r="R614" s="94">
        <v>45961</v>
      </c>
      <c r="S614" s="90" t="s">
        <v>218</v>
      </c>
      <c r="T614" s="90">
        <f t="shared" si="48"/>
        <v>1</v>
      </c>
      <c r="U614" s="94">
        <v>45965</v>
      </c>
      <c r="V614" s="90" t="s">
        <v>86</v>
      </c>
      <c r="W614" s="92">
        <v>2618</v>
      </c>
      <c r="X614" s="93">
        <f t="shared" si="47"/>
        <v>1</v>
      </c>
      <c r="Y614" s="92"/>
      <c r="Z614" s="92"/>
      <c r="AA614" s="13" t="str">
        <f t="shared" si="49"/>
        <v>out/2025</v>
      </c>
    </row>
    <row r="615" spans="1:27" x14ac:dyDescent="0.25">
      <c r="A615" s="89">
        <v>614</v>
      </c>
      <c r="B615" s="68">
        <v>45948</v>
      </c>
      <c r="C615" s="40">
        <v>123</v>
      </c>
      <c r="D615" s="40">
        <f t="shared" si="45"/>
        <v>1</v>
      </c>
      <c r="E615" s="47" t="s">
        <v>170</v>
      </c>
      <c r="F615" s="17" t="s">
        <v>60</v>
      </c>
      <c r="G615" s="17" t="s">
        <v>86</v>
      </c>
      <c r="H615" s="42" t="s">
        <v>847</v>
      </c>
      <c r="I615" s="17" t="str">
        <f t="shared" si="46"/>
        <v>PE-614</v>
      </c>
      <c r="J615" s="18" t="s">
        <v>87</v>
      </c>
      <c r="K615" s="19" t="e">
        <f>IF(J615="","SEM #CH",VLOOKUP(J615,#REF!,2,0))</f>
        <v>#REF!</v>
      </c>
      <c r="L615" s="19" t="e">
        <f>IF(J615="","SEM #CH",VLOOKUP(J615,#REF!,3,0))</f>
        <v>#REF!</v>
      </c>
      <c r="M615" s="19" t="e">
        <f>IF(J615="","SEM #CH",VLOOKUP(J615,#REF!,4,0))</f>
        <v>#REF!</v>
      </c>
      <c r="N615" s="19" t="e">
        <f>IF(J615="","SEM #CH",VLOOKUP(J615,#REF!,5,0))</f>
        <v>#REF!</v>
      </c>
      <c r="O615" s="19" t="e">
        <f>IF(J615="","SEM #CH",VLOOKUP(J615,#REF!,6,0))</f>
        <v>#REF!</v>
      </c>
      <c r="P615" s="19" t="e">
        <f>IF(J615="","SEM #CH",VLOOKUP(J615,#REF!,7,0))</f>
        <v>#REF!</v>
      </c>
      <c r="Q615" s="77" t="str">
        <f>VLOOKUP(J615,'p1'!$B$2:$C$30,2,0)</f>
        <v>#3/8-1620X1620</v>
      </c>
      <c r="R615" s="94">
        <v>45953</v>
      </c>
      <c r="S615" s="90" t="s">
        <v>218</v>
      </c>
      <c r="T615" s="90">
        <f t="shared" si="48"/>
        <v>1</v>
      </c>
      <c r="U615" s="94">
        <v>45954</v>
      </c>
      <c r="V615" s="90" t="s">
        <v>86</v>
      </c>
      <c r="W615" s="92">
        <v>2598</v>
      </c>
      <c r="X615" s="93">
        <f t="shared" si="47"/>
        <v>1</v>
      </c>
      <c r="Y615" s="92"/>
      <c r="Z615" s="92"/>
      <c r="AA615" s="13" t="str">
        <f t="shared" si="49"/>
        <v>out/2025</v>
      </c>
    </row>
    <row r="616" spans="1:27" x14ac:dyDescent="0.25">
      <c r="A616" s="89">
        <v>615</v>
      </c>
      <c r="B616" s="68">
        <v>45946</v>
      </c>
      <c r="C616" s="40">
        <v>121</v>
      </c>
      <c r="D616" s="40">
        <f t="shared" si="45"/>
        <v>1</v>
      </c>
      <c r="E616" s="47" t="s">
        <v>170</v>
      </c>
      <c r="F616" s="17" t="s">
        <v>60</v>
      </c>
      <c r="G616" s="17" t="s">
        <v>86</v>
      </c>
      <c r="H616" s="42" t="s">
        <v>848</v>
      </c>
      <c r="I616" s="17" t="str">
        <f t="shared" si="46"/>
        <v>PE-615</v>
      </c>
      <c r="J616" s="18" t="s">
        <v>88</v>
      </c>
      <c r="K616" s="19" t="e">
        <f>IF(J616="","SEM #CH",VLOOKUP(J616,#REF!,2,0))</f>
        <v>#REF!</v>
      </c>
      <c r="L616" s="19" t="e">
        <f>IF(J616="","SEM #CH",VLOOKUP(J616,#REF!,3,0))</f>
        <v>#REF!</v>
      </c>
      <c r="M616" s="19" t="e">
        <f>IF(J616="","SEM #CH",VLOOKUP(J616,#REF!,4,0))</f>
        <v>#REF!</v>
      </c>
      <c r="N616" s="19" t="e">
        <f>IF(J616="","SEM #CH",VLOOKUP(J616,#REF!,5,0))</f>
        <v>#REF!</v>
      </c>
      <c r="O616" s="19" t="e">
        <f>IF(J616="","SEM #CH",VLOOKUP(J616,#REF!,6,0))</f>
        <v>#REF!</v>
      </c>
      <c r="P616" s="19" t="e">
        <f>IF(J616="","SEM #CH",VLOOKUP(J616,#REF!,7,0))</f>
        <v>#REF!</v>
      </c>
      <c r="Q616" s="77" t="str">
        <f>VLOOKUP(J616,'p1'!$B$2:$C$30,2,0)</f>
        <v>#3/8-1315X1315</v>
      </c>
      <c r="R616" s="94">
        <v>45952</v>
      </c>
      <c r="S616" s="90" t="s">
        <v>218</v>
      </c>
      <c r="T616" s="90">
        <f t="shared" si="48"/>
        <v>1</v>
      </c>
      <c r="U616" s="94">
        <v>45952</v>
      </c>
      <c r="V616" s="90" t="s">
        <v>86</v>
      </c>
      <c r="W616" s="92">
        <v>2594</v>
      </c>
      <c r="X616" s="93">
        <f t="shared" si="47"/>
        <v>1</v>
      </c>
      <c r="Y616" s="92"/>
      <c r="Z616" s="92"/>
      <c r="AA616" s="13" t="str">
        <f t="shared" si="49"/>
        <v>out/2025</v>
      </c>
    </row>
    <row r="617" spans="1:27" x14ac:dyDescent="0.25">
      <c r="A617" s="89">
        <v>616</v>
      </c>
      <c r="B617" s="68">
        <v>45951</v>
      </c>
      <c r="C617" s="40">
        <v>125</v>
      </c>
      <c r="D617" s="40">
        <f t="shared" si="45"/>
        <v>1</v>
      </c>
      <c r="E617" s="47" t="s">
        <v>170</v>
      </c>
      <c r="F617" s="17" t="s">
        <v>58</v>
      </c>
      <c r="G617" s="17" t="s">
        <v>86</v>
      </c>
      <c r="H617" s="42" t="s">
        <v>849</v>
      </c>
      <c r="I617" s="17" t="str">
        <f t="shared" si="46"/>
        <v>PN-616</v>
      </c>
      <c r="J617" s="18" t="s">
        <v>85</v>
      </c>
      <c r="K617" s="19" t="e">
        <f>IF(J617="","SEM #CH",VLOOKUP(J617,#REF!,2,0))</f>
        <v>#REF!</v>
      </c>
      <c r="L617" s="19" t="e">
        <f>IF(J617="","SEM #CH",VLOOKUP(J617,#REF!,3,0))</f>
        <v>#REF!</v>
      </c>
      <c r="M617" s="19" t="e">
        <f>IF(J617="","SEM #CH",VLOOKUP(J617,#REF!,4,0))</f>
        <v>#REF!</v>
      </c>
      <c r="N617" s="19" t="e">
        <f>IF(J617="","SEM #CH",VLOOKUP(J617,#REF!,5,0))</f>
        <v>#REF!</v>
      </c>
      <c r="O617" s="19" t="e">
        <f>IF(J617="","SEM #CH",VLOOKUP(J617,#REF!,6,0))</f>
        <v>#REF!</v>
      </c>
      <c r="P617" s="19" t="e">
        <f>IF(J617="","SEM #CH",VLOOKUP(J617,#REF!,7,0))</f>
        <v>#REF!</v>
      </c>
      <c r="Q617" s="77" t="str">
        <f>VLOOKUP(J617,'p1'!$B$2:$C$30,2,0)</f>
        <v>NÃO TEM CHAPA</v>
      </c>
      <c r="R617" s="94">
        <v>45960</v>
      </c>
      <c r="S617" s="90" t="s">
        <v>218</v>
      </c>
      <c r="T617" s="90">
        <f t="shared" si="48"/>
        <v>1</v>
      </c>
      <c r="U617" s="94">
        <v>45965</v>
      </c>
      <c r="V617" s="90" t="s">
        <v>86</v>
      </c>
      <c r="W617" s="92">
        <v>2617</v>
      </c>
      <c r="X617" s="93">
        <f t="shared" si="47"/>
        <v>1</v>
      </c>
      <c r="Y617" s="92"/>
      <c r="Z617" s="92"/>
      <c r="AA617" s="13" t="str">
        <f t="shared" si="49"/>
        <v>out/2025</v>
      </c>
    </row>
    <row r="618" spans="1:27" x14ac:dyDescent="0.25">
      <c r="A618" s="89">
        <v>617</v>
      </c>
      <c r="B618" s="68">
        <v>45951</v>
      </c>
      <c r="C618" s="40">
        <v>125</v>
      </c>
      <c r="D618" s="40">
        <f t="shared" si="45"/>
        <v>1</v>
      </c>
      <c r="E618" s="47" t="s">
        <v>170</v>
      </c>
      <c r="F618" s="17" t="s">
        <v>58</v>
      </c>
      <c r="G618" s="17" t="s">
        <v>86</v>
      </c>
      <c r="H618" s="42" t="s">
        <v>850</v>
      </c>
      <c r="I618" s="17" t="str">
        <f t="shared" si="46"/>
        <v>PN-617</v>
      </c>
      <c r="J618" s="18" t="s">
        <v>85</v>
      </c>
      <c r="K618" s="19" t="e">
        <f>IF(J618="","SEM #CH",VLOOKUP(J618,#REF!,2,0))</f>
        <v>#REF!</v>
      </c>
      <c r="L618" s="19" t="e">
        <f>IF(J618="","SEM #CH",VLOOKUP(J618,#REF!,3,0))</f>
        <v>#REF!</v>
      </c>
      <c r="M618" s="19" t="e">
        <f>IF(J618="","SEM #CH",VLOOKUP(J618,#REF!,4,0))</f>
        <v>#REF!</v>
      </c>
      <c r="N618" s="19" t="e">
        <f>IF(J618="","SEM #CH",VLOOKUP(J618,#REF!,5,0))</f>
        <v>#REF!</v>
      </c>
      <c r="O618" s="19" t="e">
        <f>IF(J618="","SEM #CH",VLOOKUP(J618,#REF!,6,0))</f>
        <v>#REF!</v>
      </c>
      <c r="P618" s="19" t="e">
        <f>IF(J618="","SEM #CH",VLOOKUP(J618,#REF!,7,0))</f>
        <v>#REF!</v>
      </c>
      <c r="Q618" s="77" t="str">
        <f>VLOOKUP(J618,'p1'!$B$2:$C$30,2,0)</f>
        <v>NÃO TEM CHAPA</v>
      </c>
      <c r="R618" s="94">
        <v>45959</v>
      </c>
      <c r="S618" s="90" t="s">
        <v>218</v>
      </c>
      <c r="T618" s="90">
        <f t="shared" si="48"/>
        <v>1</v>
      </c>
      <c r="U618" s="94">
        <v>45965</v>
      </c>
      <c r="V618" s="90" t="s">
        <v>86</v>
      </c>
      <c r="W618" s="92">
        <v>2618</v>
      </c>
      <c r="X618" s="93">
        <f t="shared" si="47"/>
        <v>1</v>
      </c>
      <c r="Y618" s="92"/>
      <c r="Z618" s="92"/>
      <c r="AA618" s="13" t="str">
        <f t="shared" si="49"/>
        <v>out/2025</v>
      </c>
    </row>
    <row r="619" spans="1:27" x14ac:dyDescent="0.25">
      <c r="A619" s="89">
        <v>618</v>
      </c>
      <c r="B619" s="68">
        <v>45951</v>
      </c>
      <c r="C619" s="40">
        <v>125</v>
      </c>
      <c r="D619" s="40">
        <f t="shared" si="45"/>
        <v>1</v>
      </c>
      <c r="E619" s="47" t="s">
        <v>170</v>
      </c>
      <c r="F619" s="17" t="s">
        <v>58</v>
      </c>
      <c r="G619" s="17" t="s">
        <v>86</v>
      </c>
      <c r="H619" s="42" t="s">
        <v>851</v>
      </c>
      <c r="I619" s="17" t="str">
        <f t="shared" si="46"/>
        <v>PN-618</v>
      </c>
      <c r="J619" s="18" t="s">
        <v>85</v>
      </c>
      <c r="K619" s="19" t="e">
        <f>IF(J619="","SEM #CH",VLOOKUP(J619,#REF!,2,0))</f>
        <v>#REF!</v>
      </c>
      <c r="L619" s="19" t="e">
        <f>IF(J619="","SEM #CH",VLOOKUP(J619,#REF!,3,0))</f>
        <v>#REF!</v>
      </c>
      <c r="M619" s="19" t="e">
        <f>IF(J619="","SEM #CH",VLOOKUP(J619,#REF!,4,0))</f>
        <v>#REF!</v>
      </c>
      <c r="N619" s="19" t="e">
        <f>IF(J619="","SEM #CH",VLOOKUP(J619,#REF!,5,0))</f>
        <v>#REF!</v>
      </c>
      <c r="O619" s="19" t="e">
        <f>IF(J619="","SEM #CH",VLOOKUP(J619,#REF!,6,0))</f>
        <v>#REF!</v>
      </c>
      <c r="P619" s="19" t="e">
        <f>IF(J619="","SEM #CH",VLOOKUP(J619,#REF!,7,0))</f>
        <v>#REF!</v>
      </c>
      <c r="Q619" s="77" t="str">
        <f>VLOOKUP(J619,'p1'!$B$2:$C$30,2,0)</f>
        <v>NÃO TEM CHAPA</v>
      </c>
      <c r="R619" s="94">
        <v>45959</v>
      </c>
      <c r="S619" s="90" t="s">
        <v>218</v>
      </c>
      <c r="T619" s="90">
        <f t="shared" si="48"/>
        <v>1</v>
      </c>
      <c r="U619" s="94">
        <v>45959</v>
      </c>
      <c r="V619" s="90" t="s">
        <v>86</v>
      </c>
      <c r="W619" s="92">
        <v>2604</v>
      </c>
      <c r="X619" s="93">
        <f t="shared" si="47"/>
        <v>1</v>
      </c>
      <c r="Y619" s="92"/>
      <c r="Z619" s="92"/>
      <c r="AA619" s="13" t="str">
        <f t="shared" si="49"/>
        <v>out/2025</v>
      </c>
    </row>
    <row r="620" spans="1:27" x14ac:dyDescent="0.25">
      <c r="A620" s="89">
        <v>619</v>
      </c>
      <c r="B620" s="68">
        <v>45951</v>
      </c>
      <c r="C620" s="40">
        <v>125</v>
      </c>
      <c r="D620" s="40">
        <f t="shared" si="45"/>
        <v>1</v>
      </c>
      <c r="E620" s="47" t="s">
        <v>170</v>
      </c>
      <c r="F620" s="17" t="s">
        <v>58</v>
      </c>
      <c r="G620" s="17" t="s">
        <v>86</v>
      </c>
      <c r="H620" s="42" t="s">
        <v>852</v>
      </c>
      <c r="I620" s="17" t="str">
        <f t="shared" si="46"/>
        <v>PN-619</v>
      </c>
      <c r="J620" s="18" t="s">
        <v>85</v>
      </c>
      <c r="K620" s="19" t="e">
        <f>IF(J620="","SEM #CH",VLOOKUP(J620,#REF!,2,0))</f>
        <v>#REF!</v>
      </c>
      <c r="L620" s="19" t="e">
        <f>IF(J620="","SEM #CH",VLOOKUP(J620,#REF!,3,0))</f>
        <v>#REF!</v>
      </c>
      <c r="M620" s="19" t="e">
        <f>IF(J620="","SEM #CH",VLOOKUP(J620,#REF!,4,0))</f>
        <v>#REF!</v>
      </c>
      <c r="N620" s="19" t="e">
        <f>IF(J620="","SEM #CH",VLOOKUP(J620,#REF!,5,0))</f>
        <v>#REF!</v>
      </c>
      <c r="O620" s="19" t="e">
        <f>IF(J620="","SEM #CH",VLOOKUP(J620,#REF!,6,0))</f>
        <v>#REF!</v>
      </c>
      <c r="P620" s="19" t="e">
        <f>IF(J620="","SEM #CH",VLOOKUP(J620,#REF!,7,0))</f>
        <v>#REF!</v>
      </c>
      <c r="Q620" s="77" t="str">
        <f>VLOOKUP(J620,'p1'!$B$2:$C$30,2,0)</f>
        <v>NÃO TEM CHAPA</v>
      </c>
      <c r="R620" s="94">
        <v>45959</v>
      </c>
      <c r="S620" s="90" t="s">
        <v>218</v>
      </c>
      <c r="T620" s="90">
        <f t="shared" si="48"/>
        <v>1</v>
      </c>
      <c r="U620" s="94">
        <v>45959</v>
      </c>
      <c r="V620" s="90" t="s">
        <v>86</v>
      </c>
      <c r="W620" s="92">
        <v>2604</v>
      </c>
      <c r="X620" s="93">
        <f t="shared" si="47"/>
        <v>1</v>
      </c>
      <c r="Y620" s="92"/>
      <c r="Z620" s="92"/>
      <c r="AA620" s="13" t="str">
        <f t="shared" si="49"/>
        <v>out/2025</v>
      </c>
    </row>
    <row r="621" spans="1:27" x14ac:dyDescent="0.25">
      <c r="A621" s="89">
        <v>620</v>
      </c>
      <c r="B621" s="68">
        <v>45953</v>
      </c>
      <c r="C621" s="40">
        <v>127</v>
      </c>
      <c r="D621" s="40">
        <f t="shared" si="45"/>
        <v>1</v>
      </c>
      <c r="E621" s="47" t="s">
        <v>170</v>
      </c>
      <c r="F621" s="17" t="s">
        <v>58</v>
      </c>
      <c r="G621" s="17" t="s">
        <v>86</v>
      </c>
      <c r="H621" s="42" t="s">
        <v>853</v>
      </c>
      <c r="I621" s="17" t="str">
        <f t="shared" si="46"/>
        <v>PN-620</v>
      </c>
      <c r="J621" s="18" t="s">
        <v>85</v>
      </c>
      <c r="K621" s="19" t="e">
        <f>IF(J621="","SEM #CH",VLOOKUP(J621,#REF!,2,0))</f>
        <v>#REF!</v>
      </c>
      <c r="L621" s="19" t="e">
        <f>IF(J621="","SEM #CH",VLOOKUP(J621,#REF!,3,0))</f>
        <v>#REF!</v>
      </c>
      <c r="M621" s="19" t="e">
        <f>IF(J621="","SEM #CH",VLOOKUP(J621,#REF!,4,0))</f>
        <v>#REF!</v>
      </c>
      <c r="N621" s="19" t="e">
        <f>IF(J621="","SEM #CH",VLOOKUP(J621,#REF!,5,0))</f>
        <v>#REF!</v>
      </c>
      <c r="O621" s="19" t="e">
        <f>IF(J621="","SEM #CH",VLOOKUP(J621,#REF!,6,0))</f>
        <v>#REF!</v>
      </c>
      <c r="P621" s="19" t="e">
        <f>IF(J621="","SEM #CH",VLOOKUP(J621,#REF!,7,0))</f>
        <v>#REF!</v>
      </c>
      <c r="Q621" s="77" t="str">
        <f>VLOOKUP(J621,'p1'!$B$2:$C$30,2,0)</f>
        <v>NÃO TEM CHAPA</v>
      </c>
      <c r="R621" s="94">
        <v>45960</v>
      </c>
      <c r="S621" s="90" t="s">
        <v>218</v>
      </c>
      <c r="T621" s="90">
        <f t="shared" si="48"/>
        <v>1</v>
      </c>
      <c r="U621" s="94">
        <v>45965</v>
      </c>
      <c r="V621" s="90" t="s">
        <v>86</v>
      </c>
      <c r="W621" s="92">
        <v>2617</v>
      </c>
      <c r="X621" s="93">
        <f t="shared" si="47"/>
        <v>1</v>
      </c>
      <c r="Y621" s="92"/>
      <c r="Z621" s="92"/>
      <c r="AA621" s="13" t="str">
        <f t="shared" si="49"/>
        <v>out/2025</v>
      </c>
    </row>
    <row r="622" spans="1:27" x14ac:dyDescent="0.25">
      <c r="A622" s="89">
        <v>621</v>
      </c>
      <c r="B622" s="68">
        <v>45945</v>
      </c>
      <c r="C622" s="40">
        <v>120</v>
      </c>
      <c r="D622" s="40">
        <f t="shared" si="45"/>
        <v>1</v>
      </c>
      <c r="E622" s="66" t="s">
        <v>171</v>
      </c>
      <c r="F622" s="17" t="s">
        <v>61</v>
      </c>
      <c r="G622" s="17" t="s">
        <v>86</v>
      </c>
      <c r="H622" s="42" t="s">
        <v>854</v>
      </c>
      <c r="I622" s="17" t="str">
        <f t="shared" si="46"/>
        <v>PF-621</v>
      </c>
      <c r="J622" s="18" t="s">
        <v>61</v>
      </c>
      <c r="K622" s="19" t="e">
        <f>IF(J622="","SEM #CH",VLOOKUP(J622,#REF!,2,0))</f>
        <v>#REF!</v>
      </c>
      <c r="L622" s="19" t="e">
        <f>IF(J622="","SEM #CH",VLOOKUP(J622,#REF!,3,0))</f>
        <v>#REF!</v>
      </c>
      <c r="M622" s="19" t="e">
        <f>IF(J622="","SEM #CH",VLOOKUP(J622,#REF!,4,0))</f>
        <v>#REF!</v>
      </c>
      <c r="N622" s="19" t="e">
        <f>IF(J622="","SEM #CH",VLOOKUP(J622,#REF!,5,0))</f>
        <v>#REF!</v>
      </c>
      <c r="O622" s="19" t="e">
        <f>IF(J622="","SEM #CH",VLOOKUP(J622,#REF!,6,0))</f>
        <v>#REF!</v>
      </c>
      <c r="P622" s="19" t="e">
        <f>IF(J622="","SEM #CH",VLOOKUP(J622,#REF!,7,0))</f>
        <v>#REF!</v>
      </c>
      <c r="Q622" s="77" t="str">
        <f>VLOOKUP(J622,'p1'!$B$2:$C$30,2,0)</f>
        <v>SEM CHAPA</v>
      </c>
      <c r="R622" s="94">
        <v>45948</v>
      </c>
      <c r="S622" s="90" t="s">
        <v>217</v>
      </c>
      <c r="T622" s="90">
        <f t="shared" si="48"/>
        <v>1</v>
      </c>
      <c r="U622" s="94">
        <v>45951</v>
      </c>
      <c r="V622" s="90" t="s">
        <v>86</v>
      </c>
      <c r="W622" s="92">
        <v>2588</v>
      </c>
      <c r="X622" s="93">
        <f t="shared" si="47"/>
        <v>1</v>
      </c>
      <c r="Y622" s="92"/>
      <c r="Z622" s="92"/>
      <c r="AA622" s="13" t="str">
        <f t="shared" si="49"/>
        <v>out/2025</v>
      </c>
    </row>
    <row r="623" spans="1:27" x14ac:dyDescent="0.25">
      <c r="A623" s="89">
        <v>622</v>
      </c>
      <c r="B623" s="68">
        <v>45953</v>
      </c>
      <c r="C623" s="40">
        <v>127</v>
      </c>
      <c r="D623" s="40">
        <f t="shared" si="45"/>
        <v>1</v>
      </c>
      <c r="E623" s="66" t="s">
        <v>171</v>
      </c>
      <c r="F623" s="17" t="s">
        <v>58</v>
      </c>
      <c r="G623" s="17" t="s">
        <v>86</v>
      </c>
      <c r="H623" s="42" t="s">
        <v>855</v>
      </c>
      <c r="I623" s="17" t="str">
        <f t="shared" si="46"/>
        <v>PN-622</v>
      </c>
      <c r="J623" s="18" t="s">
        <v>85</v>
      </c>
      <c r="K623" s="19" t="e">
        <f>IF(J623="","SEM #CH",VLOOKUP(J623,#REF!,2,0))</f>
        <v>#REF!</v>
      </c>
      <c r="L623" s="19" t="e">
        <f>IF(J623="","SEM #CH",VLOOKUP(J623,#REF!,3,0))</f>
        <v>#REF!</v>
      </c>
      <c r="M623" s="19" t="e">
        <f>IF(J623="","SEM #CH",VLOOKUP(J623,#REF!,4,0))</f>
        <v>#REF!</v>
      </c>
      <c r="N623" s="19" t="e">
        <f>IF(J623="","SEM #CH",VLOOKUP(J623,#REF!,5,0))</f>
        <v>#REF!</v>
      </c>
      <c r="O623" s="19" t="e">
        <f>IF(J623="","SEM #CH",VLOOKUP(J623,#REF!,6,0))</f>
        <v>#REF!</v>
      </c>
      <c r="P623" s="19" t="e">
        <f>IF(J623="","SEM #CH",VLOOKUP(J623,#REF!,7,0))</f>
        <v>#REF!</v>
      </c>
      <c r="Q623" s="77" t="str">
        <f>VLOOKUP(J623,'p1'!$B$2:$C$30,2,0)</f>
        <v>NÃO TEM CHAPA</v>
      </c>
      <c r="R623" s="94">
        <v>45960</v>
      </c>
      <c r="S623" s="90" t="s">
        <v>218</v>
      </c>
      <c r="T623" s="90">
        <f t="shared" si="48"/>
        <v>1</v>
      </c>
      <c r="U623" s="94">
        <v>45965</v>
      </c>
      <c r="V623" s="90" t="s">
        <v>86</v>
      </c>
      <c r="W623" s="92">
        <v>2617</v>
      </c>
      <c r="X623" s="93">
        <f t="shared" si="47"/>
        <v>1</v>
      </c>
      <c r="Y623" s="92"/>
      <c r="Z623" s="92"/>
      <c r="AA623" s="13" t="str">
        <f t="shared" si="49"/>
        <v>out/2025</v>
      </c>
    </row>
    <row r="624" spans="1:27" x14ac:dyDescent="0.25">
      <c r="A624" s="89">
        <v>623</v>
      </c>
      <c r="B624" s="68">
        <v>45953</v>
      </c>
      <c r="C624" s="40">
        <v>127</v>
      </c>
      <c r="D624" s="40">
        <f t="shared" si="45"/>
        <v>1</v>
      </c>
      <c r="E624" s="66" t="s">
        <v>171</v>
      </c>
      <c r="F624" s="17" t="s">
        <v>58</v>
      </c>
      <c r="G624" s="17" t="s">
        <v>86</v>
      </c>
      <c r="H624" s="42" t="s">
        <v>856</v>
      </c>
      <c r="I624" s="17" t="str">
        <f t="shared" si="46"/>
        <v>PN-623</v>
      </c>
      <c r="J624" s="18" t="s">
        <v>85</v>
      </c>
      <c r="K624" s="19" t="e">
        <f>IF(J624="","SEM #CH",VLOOKUP(J624,#REF!,2,0))</f>
        <v>#REF!</v>
      </c>
      <c r="L624" s="19" t="e">
        <f>IF(J624="","SEM #CH",VLOOKUP(J624,#REF!,3,0))</f>
        <v>#REF!</v>
      </c>
      <c r="M624" s="19" t="e">
        <f>IF(J624="","SEM #CH",VLOOKUP(J624,#REF!,4,0))</f>
        <v>#REF!</v>
      </c>
      <c r="N624" s="19" t="e">
        <f>IF(J624="","SEM #CH",VLOOKUP(J624,#REF!,5,0))</f>
        <v>#REF!</v>
      </c>
      <c r="O624" s="19" t="e">
        <f>IF(J624="","SEM #CH",VLOOKUP(J624,#REF!,6,0))</f>
        <v>#REF!</v>
      </c>
      <c r="P624" s="19" t="e">
        <f>IF(J624="","SEM #CH",VLOOKUP(J624,#REF!,7,0))</f>
        <v>#REF!</v>
      </c>
      <c r="Q624" s="77" t="str">
        <f>VLOOKUP(J624,'p1'!$B$2:$C$30,2,0)</f>
        <v>NÃO TEM CHAPA</v>
      </c>
      <c r="R624" s="94">
        <v>45960</v>
      </c>
      <c r="S624" s="90" t="s">
        <v>218</v>
      </c>
      <c r="T624" s="90">
        <f t="shared" si="48"/>
        <v>1</v>
      </c>
      <c r="U624" s="94">
        <v>45965</v>
      </c>
      <c r="V624" s="90" t="s">
        <v>86</v>
      </c>
      <c r="W624" s="92">
        <v>2616</v>
      </c>
      <c r="X624" s="93">
        <f t="shared" si="47"/>
        <v>1</v>
      </c>
      <c r="Y624" s="92"/>
      <c r="Z624" s="92"/>
      <c r="AA624" s="13" t="str">
        <f t="shared" si="49"/>
        <v>out/2025</v>
      </c>
    </row>
    <row r="625" spans="1:27" x14ac:dyDescent="0.25">
      <c r="A625" s="89">
        <v>624</v>
      </c>
      <c r="B625" s="68">
        <v>45953</v>
      </c>
      <c r="C625" s="40">
        <v>127</v>
      </c>
      <c r="D625" s="40">
        <f t="shared" si="45"/>
        <v>1</v>
      </c>
      <c r="E625" s="66" t="s">
        <v>171</v>
      </c>
      <c r="F625" s="17" t="s">
        <v>58</v>
      </c>
      <c r="G625" s="17" t="s">
        <v>86</v>
      </c>
      <c r="H625" s="42" t="s">
        <v>857</v>
      </c>
      <c r="I625" s="17" t="str">
        <f t="shared" si="46"/>
        <v>PN-624</v>
      </c>
      <c r="J625" s="18" t="s">
        <v>85</v>
      </c>
      <c r="K625" s="19" t="e">
        <f>IF(J625="","SEM #CH",VLOOKUP(J625,#REF!,2,0))</f>
        <v>#REF!</v>
      </c>
      <c r="L625" s="19" t="e">
        <f>IF(J625="","SEM #CH",VLOOKUP(J625,#REF!,3,0))</f>
        <v>#REF!</v>
      </c>
      <c r="M625" s="19" t="e">
        <f>IF(J625="","SEM #CH",VLOOKUP(J625,#REF!,4,0))</f>
        <v>#REF!</v>
      </c>
      <c r="N625" s="19" t="e">
        <f>IF(J625="","SEM #CH",VLOOKUP(J625,#REF!,5,0))</f>
        <v>#REF!</v>
      </c>
      <c r="O625" s="19" t="e">
        <f>IF(J625="","SEM #CH",VLOOKUP(J625,#REF!,6,0))</f>
        <v>#REF!</v>
      </c>
      <c r="P625" s="19" t="e">
        <f>IF(J625="","SEM #CH",VLOOKUP(J625,#REF!,7,0))</f>
        <v>#REF!</v>
      </c>
      <c r="Q625" s="77" t="str">
        <f>VLOOKUP(J625,'p1'!$B$2:$C$30,2,0)</f>
        <v>NÃO TEM CHAPA</v>
      </c>
      <c r="R625" s="94">
        <v>45960</v>
      </c>
      <c r="S625" s="90" t="s">
        <v>218</v>
      </c>
      <c r="T625" s="90">
        <f t="shared" si="48"/>
        <v>1</v>
      </c>
      <c r="U625" s="94">
        <v>45965</v>
      </c>
      <c r="V625" s="90" t="s">
        <v>86</v>
      </c>
      <c r="W625" s="92">
        <v>2616</v>
      </c>
      <c r="X625" s="93">
        <f t="shared" si="47"/>
        <v>1</v>
      </c>
      <c r="Y625" s="92"/>
      <c r="Z625" s="92"/>
      <c r="AA625" s="13" t="str">
        <f t="shared" si="49"/>
        <v>out/2025</v>
      </c>
    </row>
    <row r="626" spans="1:27" x14ac:dyDescent="0.25">
      <c r="A626" s="89">
        <v>625</v>
      </c>
      <c r="B626" s="68">
        <v>45953</v>
      </c>
      <c r="C626" s="40">
        <v>127</v>
      </c>
      <c r="D626" s="40">
        <f t="shared" si="45"/>
        <v>1</v>
      </c>
      <c r="E626" s="66" t="s">
        <v>171</v>
      </c>
      <c r="F626" s="17" t="s">
        <v>58</v>
      </c>
      <c r="G626" s="17" t="s">
        <v>86</v>
      </c>
      <c r="H626" s="42" t="s">
        <v>858</v>
      </c>
      <c r="I626" s="17" t="str">
        <f t="shared" si="46"/>
        <v>PN-625</v>
      </c>
      <c r="J626" s="18" t="s">
        <v>85</v>
      </c>
      <c r="K626" s="19" t="e">
        <f>IF(J626="","SEM #CH",VLOOKUP(J626,#REF!,2,0))</f>
        <v>#REF!</v>
      </c>
      <c r="L626" s="19" t="e">
        <f>IF(J626="","SEM #CH",VLOOKUP(J626,#REF!,3,0))</f>
        <v>#REF!</v>
      </c>
      <c r="M626" s="19" t="e">
        <f>IF(J626="","SEM #CH",VLOOKUP(J626,#REF!,4,0))</f>
        <v>#REF!</v>
      </c>
      <c r="N626" s="19" t="e">
        <f>IF(J626="","SEM #CH",VLOOKUP(J626,#REF!,5,0))</f>
        <v>#REF!</v>
      </c>
      <c r="O626" s="19" t="e">
        <f>IF(J626="","SEM #CH",VLOOKUP(J626,#REF!,6,0))</f>
        <v>#REF!</v>
      </c>
      <c r="P626" s="19" t="e">
        <f>IF(J626="","SEM #CH",VLOOKUP(J626,#REF!,7,0))</f>
        <v>#REF!</v>
      </c>
      <c r="Q626" s="77" t="str">
        <f>VLOOKUP(J626,'p1'!$B$2:$C$30,2,0)</f>
        <v>NÃO TEM CHAPA</v>
      </c>
      <c r="R626" s="94">
        <v>45960</v>
      </c>
      <c r="S626" s="90" t="s">
        <v>218</v>
      </c>
      <c r="T626" s="90">
        <f t="shared" si="48"/>
        <v>1</v>
      </c>
      <c r="U626" s="94">
        <v>45965</v>
      </c>
      <c r="V626" s="90" t="s">
        <v>86</v>
      </c>
      <c r="W626" s="92">
        <v>2616</v>
      </c>
      <c r="X626" s="93">
        <f t="shared" si="47"/>
        <v>1</v>
      </c>
      <c r="Y626" s="92"/>
      <c r="Z626" s="92"/>
      <c r="AA626" s="13" t="str">
        <f t="shared" si="49"/>
        <v>out/2025</v>
      </c>
    </row>
    <row r="627" spans="1:27" x14ac:dyDescent="0.25">
      <c r="A627" s="89">
        <v>626</v>
      </c>
      <c r="B627" s="68">
        <v>45953</v>
      </c>
      <c r="C627" s="40">
        <v>127</v>
      </c>
      <c r="D627" s="40">
        <f t="shared" si="45"/>
        <v>1</v>
      </c>
      <c r="E627" s="66" t="s">
        <v>171</v>
      </c>
      <c r="F627" s="17" t="s">
        <v>58</v>
      </c>
      <c r="G627" s="17" t="s">
        <v>86</v>
      </c>
      <c r="H627" s="42" t="s">
        <v>859</v>
      </c>
      <c r="I627" s="17" t="str">
        <f t="shared" si="46"/>
        <v>PN-626</v>
      </c>
      <c r="J627" s="18" t="s">
        <v>85</v>
      </c>
      <c r="K627" s="19" t="e">
        <f>IF(J627="","SEM #CH",VLOOKUP(J627,#REF!,2,0))</f>
        <v>#REF!</v>
      </c>
      <c r="L627" s="19" t="e">
        <f>IF(J627="","SEM #CH",VLOOKUP(J627,#REF!,3,0))</f>
        <v>#REF!</v>
      </c>
      <c r="M627" s="19" t="e">
        <f>IF(J627="","SEM #CH",VLOOKUP(J627,#REF!,4,0))</f>
        <v>#REF!</v>
      </c>
      <c r="N627" s="19" t="e">
        <f>IF(J627="","SEM #CH",VLOOKUP(J627,#REF!,5,0))</f>
        <v>#REF!</v>
      </c>
      <c r="O627" s="19" t="e">
        <f>IF(J627="","SEM #CH",VLOOKUP(J627,#REF!,6,0))</f>
        <v>#REF!</v>
      </c>
      <c r="P627" s="19" t="e">
        <f>IF(J627="","SEM #CH",VLOOKUP(J627,#REF!,7,0))</f>
        <v>#REF!</v>
      </c>
      <c r="Q627" s="77" t="str">
        <f>VLOOKUP(J627,'p1'!$B$2:$C$30,2,0)</f>
        <v>NÃO TEM CHAPA</v>
      </c>
      <c r="R627" s="94">
        <v>45961</v>
      </c>
      <c r="S627" s="90" t="s">
        <v>218</v>
      </c>
      <c r="T627" s="90">
        <f t="shared" si="48"/>
        <v>1</v>
      </c>
      <c r="U627" s="94">
        <v>45965</v>
      </c>
      <c r="V627" s="90" t="s">
        <v>86</v>
      </c>
      <c r="W627" s="92">
        <v>2616</v>
      </c>
      <c r="X627" s="93">
        <f t="shared" si="47"/>
        <v>1</v>
      </c>
      <c r="Y627" s="92"/>
      <c r="Z627" s="92"/>
      <c r="AA627" s="13" t="str">
        <f t="shared" si="49"/>
        <v>out/2025</v>
      </c>
    </row>
    <row r="628" spans="1:27" x14ac:dyDescent="0.25">
      <c r="A628" s="89">
        <v>627</v>
      </c>
      <c r="B628" s="68">
        <v>45953</v>
      </c>
      <c r="C628" s="40">
        <v>127</v>
      </c>
      <c r="D628" s="40">
        <f t="shared" si="45"/>
        <v>1</v>
      </c>
      <c r="E628" s="66" t="s">
        <v>171</v>
      </c>
      <c r="F628" s="17" t="s">
        <v>58</v>
      </c>
      <c r="G628" s="17" t="s">
        <v>86</v>
      </c>
      <c r="H628" s="42" t="s">
        <v>860</v>
      </c>
      <c r="I628" s="21" t="str">
        <f t="shared" si="46"/>
        <v>PN-627</v>
      </c>
      <c r="J628" s="18" t="s">
        <v>85</v>
      </c>
      <c r="K628" s="19" t="e">
        <f>IF(J628="","SEM #CH",VLOOKUP(J628,#REF!,2,0))</f>
        <v>#REF!</v>
      </c>
      <c r="L628" s="19" t="e">
        <f>IF(J628="","SEM #CH",VLOOKUP(J628,#REF!,3,0))</f>
        <v>#REF!</v>
      </c>
      <c r="M628" s="19" t="e">
        <f>IF(J628="","SEM #CH",VLOOKUP(J628,#REF!,4,0))</f>
        <v>#REF!</v>
      </c>
      <c r="N628" s="19" t="e">
        <f>IF(J628="","SEM #CH",VLOOKUP(J628,#REF!,5,0))</f>
        <v>#REF!</v>
      </c>
      <c r="O628" s="19" t="e">
        <f>IF(J628="","SEM #CH",VLOOKUP(J628,#REF!,6,0))</f>
        <v>#REF!</v>
      </c>
      <c r="P628" s="19" t="e">
        <f>IF(J628="","SEM #CH",VLOOKUP(J628,#REF!,7,0))</f>
        <v>#REF!</v>
      </c>
      <c r="Q628" s="77" t="str">
        <f>VLOOKUP(J628,'p1'!$B$2:$C$30,2,0)</f>
        <v>NÃO TEM CHAPA</v>
      </c>
      <c r="R628" s="94">
        <v>45961</v>
      </c>
      <c r="S628" s="90" t="s">
        <v>218</v>
      </c>
      <c r="T628" s="90">
        <f t="shared" si="48"/>
        <v>1</v>
      </c>
      <c r="U628" s="94">
        <v>45978</v>
      </c>
      <c r="V628" s="90" t="s">
        <v>86</v>
      </c>
      <c r="W628" s="92">
        <v>2650</v>
      </c>
      <c r="X628" s="93">
        <f t="shared" si="47"/>
        <v>1</v>
      </c>
      <c r="Y628" s="92"/>
      <c r="Z628" s="92"/>
      <c r="AA628" s="13" t="str">
        <f t="shared" si="49"/>
        <v>out/2025</v>
      </c>
    </row>
    <row r="629" spans="1:27" x14ac:dyDescent="0.25">
      <c r="A629" s="89">
        <v>628</v>
      </c>
      <c r="B629" s="68">
        <v>45960</v>
      </c>
      <c r="C629" s="40">
        <v>134</v>
      </c>
      <c r="D629" s="40">
        <f t="shared" si="45"/>
        <v>1</v>
      </c>
      <c r="E629" s="66" t="s">
        <v>171</v>
      </c>
      <c r="F629" s="17" t="s">
        <v>60</v>
      </c>
      <c r="G629" s="17" t="s">
        <v>86</v>
      </c>
      <c r="H629" s="42" t="s">
        <v>861</v>
      </c>
      <c r="I629" s="21" t="str">
        <f t="shared" si="46"/>
        <v>PE-628</v>
      </c>
      <c r="J629" s="18" t="s">
        <v>88</v>
      </c>
      <c r="K629" s="19" t="e">
        <f>IF(J629="","SEM #CH",VLOOKUP(J629,#REF!,2,0))</f>
        <v>#REF!</v>
      </c>
      <c r="L629" s="19" t="e">
        <f>IF(J629="","SEM #CH",VLOOKUP(J629,#REF!,3,0))</f>
        <v>#REF!</v>
      </c>
      <c r="M629" s="19" t="e">
        <f>IF(J629="","SEM #CH",VLOOKUP(J629,#REF!,4,0))</f>
        <v>#REF!</v>
      </c>
      <c r="N629" s="19" t="e">
        <f>IF(J629="","SEM #CH",VLOOKUP(J629,#REF!,5,0))</f>
        <v>#REF!</v>
      </c>
      <c r="O629" s="19" t="e">
        <f>IF(J629="","SEM #CH",VLOOKUP(J629,#REF!,6,0))</f>
        <v>#REF!</v>
      </c>
      <c r="P629" s="19" t="e">
        <f>IF(J629="","SEM #CH",VLOOKUP(J629,#REF!,7,0))</f>
        <v>#REF!</v>
      </c>
      <c r="Q629" s="77" t="str">
        <f>VLOOKUP(J629,'p1'!$B$2:$C$30,2,0)</f>
        <v>#3/8-1315X1315</v>
      </c>
      <c r="R629" s="94">
        <v>45966</v>
      </c>
      <c r="S629" s="90" t="s">
        <v>218</v>
      </c>
      <c r="T629" s="90">
        <f t="shared" si="48"/>
        <v>1</v>
      </c>
      <c r="U629" s="94">
        <v>45966</v>
      </c>
      <c r="V629" s="90" t="s">
        <v>86</v>
      </c>
      <c r="W629" s="92">
        <v>2623</v>
      </c>
      <c r="X629" s="93">
        <f t="shared" si="47"/>
        <v>1</v>
      </c>
      <c r="Y629" s="92"/>
      <c r="Z629" s="92"/>
      <c r="AA629" s="13" t="str">
        <f t="shared" si="49"/>
        <v>nov/2025</v>
      </c>
    </row>
    <row r="630" spans="1:27" x14ac:dyDescent="0.25">
      <c r="A630" s="89">
        <v>629</v>
      </c>
      <c r="B630" s="68">
        <v>45957</v>
      </c>
      <c r="C630" s="40">
        <v>130</v>
      </c>
      <c r="D630" s="40">
        <f t="shared" si="45"/>
        <v>1</v>
      </c>
      <c r="E630" s="66" t="s">
        <v>171</v>
      </c>
      <c r="F630" s="17" t="s">
        <v>58</v>
      </c>
      <c r="G630" s="17" t="s">
        <v>86</v>
      </c>
      <c r="H630" s="42" t="s">
        <v>862</v>
      </c>
      <c r="I630" s="17" t="str">
        <f t="shared" si="46"/>
        <v>PN-629</v>
      </c>
      <c r="J630" s="18" t="s">
        <v>85</v>
      </c>
      <c r="K630" s="19" t="e">
        <f>IF(J630="","SEM #CH",VLOOKUP(J630,#REF!,2,0))</f>
        <v>#REF!</v>
      </c>
      <c r="L630" s="19" t="e">
        <f>IF(J630="","SEM #CH",VLOOKUP(J630,#REF!,3,0))</f>
        <v>#REF!</v>
      </c>
      <c r="M630" s="19" t="e">
        <f>IF(J630="","SEM #CH",VLOOKUP(J630,#REF!,4,0))</f>
        <v>#REF!</v>
      </c>
      <c r="N630" s="19" t="e">
        <f>IF(J630="","SEM #CH",VLOOKUP(J630,#REF!,5,0))</f>
        <v>#REF!</v>
      </c>
      <c r="O630" s="19" t="e">
        <f>IF(J630="","SEM #CH",VLOOKUP(J630,#REF!,6,0))</f>
        <v>#REF!</v>
      </c>
      <c r="P630" s="19" t="e">
        <f>IF(J630="","SEM #CH",VLOOKUP(J630,#REF!,7,0))</f>
        <v>#REF!</v>
      </c>
      <c r="Q630" s="77" t="str">
        <f>VLOOKUP(J630,'p1'!$B$2:$C$30,2,0)</f>
        <v>NÃO TEM CHAPA</v>
      </c>
      <c r="R630" s="94">
        <v>45961</v>
      </c>
      <c r="S630" s="90" t="s">
        <v>218</v>
      </c>
      <c r="T630" s="90">
        <f t="shared" si="48"/>
        <v>1</v>
      </c>
      <c r="U630" s="94">
        <v>45965</v>
      </c>
      <c r="V630" s="90" t="s">
        <v>86</v>
      </c>
      <c r="W630" s="92">
        <v>2618</v>
      </c>
      <c r="X630" s="93">
        <f t="shared" si="47"/>
        <v>1</v>
      </c>
      <c r="Y630" s="92"/>
      <c r="Z630" s="92"/>
      <c r="AA630" s="13" t="str">
        <f t="shared" si="49"/>
        <v>out/2025</v>
      </c>
    </row>
    <row r="631" spans="1:27" x14ac:dyDescent="0.25">
      <c r="A631" s="89">
        <v>630</v>
      </c>
      <c r="B631" s="68">
        <v>45957</v>
      </c>
      <c r="C631" s="40">
        <v>130</v>
      </c>
      <c r="D631" s="40">
        <f t="shared" si="45"/>
        <v>1</v>
      </c>
      <c r="E631" s="66" t="s">
        <v>171</v>
      </c>
      <c r="F631" s="17" t="s">
        <v>58</v>
      </c>
      <c r="G631" s="17" t="s">
        <v>86</v>
      </c>
      <c r="H631" s="42" t="s">
        <v>863</v>
      </c>
      <c r="I631" s="21" t="str">
        <f t="shared" si="46"/>
        <v>PN-630</v>
      </c>
      <c r="J631" s="18" t="s">
        <v>85</v>
      </c>
      <c r="K631" s="19" t="e">
        <f>IF(J631="","SEM #CH",VLOOKUP(J631,#REF!,2,0))</f>
        <v>#REF!</v>
      </c>
      <c r="L631" s="19" t="e">
        <f>IF(J631="","SEM #CH",VLOOKUP(J631,#REF!,3,0))</f>
        <v>#REF!</v>
      </c>
      <c r="M631" s="19" t="e">
        <f>IF(J631="","SEM #CH",VLOOKUP(J631,#REF!,4,0))</f>
        <v>#REF!</v>
      </c>
      <c r="N631" s="19" t="e">
        <f>IF(J631="","SEM #CH",VLOOKUP(J631,#REF!,5,0))</f>
        <v>#REF!</v>
      </c>
      <c r="O631" s="19" t="e">
        <f>IF(J631="","SEM #CH",VLOOKUP(J631,#REF!,6,0))</f>
        <v>#REF!</v>
      </c>
      <c r="P631" s="19" t="e">
        <f>IF(J631="","SEM #CH",VLOOKUP(J631,#REF!,7,0))</f>
        <v>#REF!</v>
      </c>
      <c r="Q631" s="77" t="str">
        <f>VLOOKUP(J631,'p1'!$B$2:$C$30,2,0)</f>
        <v>NÃO TEM CHAPA</v>
      </c>
      <c r="R631" s="94">
        <v>45961</v>
      </c>
      <c r="S631" s="90" t="s">
        <v>218</v>
      </c>
      <c r="T631" s="90">
        <f t="shared" si="48"/>
        <v>1</v>
      </c>
      <c r="U631" s="90"/>
      <c r="V631" s="90"/>
      <c r="W631" s="92"/>
      <c r="X631" s="93" t="str">
        <f t="shared" si="47"/>
        <v/>
      </c>
      <c r="Y631" s="92"/>
      <c r="Z631" s="92"/>
      <c r="AA631" s="13" t="str">
        <f t="shared" si="49"/>
        <v>out/2025</v>
      </c>
    </row>
    <row r="632" spans="1:27" x14ac:dyDescent="0.25">
      <c r="A632" s="89">
        <v>631</v>
      </c>
      <c r="B632" s="68">
        <v>45957</v>
      </c>
      <c r="C632" s="40">
        <v>130</v>
      </c>
      <c r="D632" s="40">
        <f t="shared" si="45"/>
        <v>1</v>
      </c>
      <c r="E632" s="66" t="s">
        <v>171</v>
      </c>
      <c r="F632" s="17" t="s">
        <v>58</v>
      </c>
      <c r="G632" s="17" t="s">
        <v>86</v>
      </c>
      <c r="H632" s="42" t="s">
        <v>864</v>
      </c>
      <c r="I632" s="17" t="str">
        <f t="shared" si="46"/>
        <v>PN-631</v>
      </c>
      <c r="J632" s="18" t="s">
        <v>85</v>
      </c>
      <c r="K632" s="19" t="e">
        <f>IF(J632="","SEM #CH",VLOOKUP(J632,#REF!,2,0))</f>
        <v>#REF!</v>
      </c>
      <c r="L632" s="19" t="e">
        <f>IF(J632="","SEM #CH",VLOOKUP(J632,#REF!,3,0))</f>
        <v>#REF!</v>
      </c>
      <c r="M632" s="19" t="e">
        <f>IF(J632="","SEM #CH",VLOOKUP(J632,#REF!,4,0))</f>
        <v>#REF!</v>
      </c>
      <c r="N632" s="19" t="e">
        <f>IF(J632="","SEM #CH",VLOOKUP(J632,#REF!,5,0))</f>
        <v>#REF!</v>
      </c>
      <c r="O632" s="19" t="e">
        <f>IF(J632="","SEM #CH",VLOOKUP(J632,#REF!,6,0))</f>
        <v>#REF!</v>
      </c>
      <c r="P632" s="19" t="e">
        <f>IF(J632="","SEM #CH",VLOOKUP(J632,#REF!,7,0))</f>
        <v>#REF!</v>
      </c>
      <c r="Q632" s="77" t="str">
        <f>VLOOKUP(J632,'p1'!$B$2:$C$30,2,0)</f>
        <v>NÃO TEM CHAPA</v>
      </c>
      <c r="R632" s="94">
        <v>45961</v>
      </c>
      <c r="S632" s="90" t="s">
        <v>218</v>
      </c>
      <c r="T632" s="90">
        <f t="shared" si="48"/>
        <v>1</v>
      </c>
      <c r="U632" s="94">
        <v>45965</v>
      </c>
      <c r="V632" s="90" t="s">
        <v>86</v>
      </c>
      <c r="W632" s="92">
        <v>2617</v>
      </c>
      <c r="X632" s="93">
        <f t="shared" si="47"/>
        <v>1</v>
      </c>
      <c r="Y632" s="92"/>
      <c r="Z632" s="92"/>
      <c r="AA632" s="13" t="str">
        <f t="shared" si="49"/>
        <v>out/2025</v>
      </c>
    </row>
    <row r="633" spans="1:27" x14ac:dyDescent="0.25">
      <c r="A633" s="89">
        <v>632</v>
      </c>
      <c r="B633" s="68">
        <v>45957</v>
      </c>
      <c r="C633" s="40">
        <v>130</v>
      </c>
      <c r="D633" s="40">
        <f t="shared" si="45"/>
        <v>1</v>
      </c>
      <c r="E633" s="66" t="s">
        <v>171</v>
      </c>
      <c r="F633" s="17" t="s">
        <v>58</v>
      </c>
      <c r="G633" s="17" t="s">
        <v>86</v>
      </c>
      <c r="H633" s="42" t="s">
        <v>865</v>
      </c>
      <c r="I633" s="17" t="str">
        <f t="shared" si="46"/>
        <v>PN-632</v>
      </c>
      <c r="J633" s="18" t="s">
        <v>85</v>
      </c>
      <c r="K633" s="19" t="e">
        <f>IF(J633="","SEM #CH",VLOOKUP(J633,#REF!,2,0))</f>
        <v>#REF!</v>
      </c>
      <c r="L633" s="19" t="e">
        <f>IF(J633="","SEM #CH",VLOOKUP(J633,#REF!,3,0))</f>
        <v>#REF!</v>
      </c>
      <c r="M633" s="19" t="e">
        <f>IF(J633="","SEM #CH",VLOOKUP(J633,#REF!,4,0))</f>
        <v>#REF!</v>
      </c>
      <c r="N633" s="19" t="e">
        <f>IF(J633="","SEM #CH",VLOOKUP(J633,#REF!,5,0))</f>
        <v>#REF!</v>
      </c>
      <c r="O633" s="19" t="e">
        <f>IF(J633="","SEM #CH",VLOOKUP(J633,#REF!,6,0))</f>
        <v>#REF!</v>
      </c>
      <c r="P633" s="19" t="e">
        <f>IF(J633="","SEM #CH",VLOOKUP(J633,#REF!,7,0))</f>
        <v>#REF!</v>
      </c>
      <c r="Q633" s="77" t="str">
        <f>VLOOKUP(J633,'p1'!$B$2:$C$30,2,0)</f>
        <v>NÃO TEM CHAPA</v>
      </c>
      <c r="R633" s="94">
        <v>45965</v>
      </c>
      <c r="S633" s="90" t="s">
        <v>218</v>
      </c>
      <c r="T633" s="90">
        <f t="shared" si="48"/>
        <v>1</v>
      </c>
      <c r="U633" s="94">
        <v>45966</v>
      </c>
      <c r="V633" s="90" t="s">
        <v>86</v>
      </c>
      <c r="W633" s="92">
        <v>2623</v>
      </c>
      <c r="X633" s="93">
        <f t="shared" si="47"/>
        <v>1</v>
      </c>
      <c r="Y633" s="92"/>
      <c r="Z633" s="92"/>
      <c r="AA633" s="13" t="str">
        <f t="shared" si="49"/>
        <v>nov/2025</v>
      </c>
    </row>
    <row r="634" spans="1:27" x14ac:dyDescent="0.25">
      <c r="A634" s="89">
        <v>633</v>
      </c>
      <c r="B634" s="68">
        <v>45957</v>
      </c>
      <c r="C634" s="40">
        <v>130</v>
      </c>
      <c r="D634" s="40">
        <f t="shared" si="45"/>
        <v>1</v>
      </c>
      <c r="E634" s="66" t="s">
        <v>171</v>
      </c>
      <c r="F634" s="17" t="s">
        <v>58</v>
      </c>
      <c r="G634" s="17" t="s">
        <v>86</v>
      </c>
      <c r="H634" s="42" t="s">
        <v>866</v>
      </c>
      <c r="I634" s="17" t="str">
        <f t="shared" si="46"/>
        <v>PN-633</v>
      </c>
      <c r="J634" s="18" t="s">
        <v>85</v>
      </c>
      <c r="K634" s="19" t="e">
        <f>IF(J634="","SEM #CH",VLOOKUP(J634,#REF!,2,0))</f>
        <v>#REF!</v>
      </c>
      <c r="L634" s="19" t="e">
        <f>IF(J634="","SEM #CH",VLOOKUP(J634,#REF!,3,0))</f>
        <v>#REF!</v>
      </c>
      <c r="M634" s="19" t="e">
        <f>IF(J634="","SEM #CH",VLOOKUP(J634,#REF!,4,0))</f>
        <v>#REF!</v>
      </c>
      <c r="N634" s="19" t="e">
        <f>IF(J634="","SEM #CH",VLOOKUP(J634,#REF!,5,0))</f>
        <v>#REF!</v>
      </c>
      <c r="O634" s="19" t="e">
        <f>IF(J634="","SEM #CH",VLOOKUP(J634,#REF!,6,0))</f>
        <v>#REF!</v>
      </c>
      <c r="P634" s="19" t="e">
        <f>IF(J634="","SEM #CH",VLOOKUP(J634,#REF!,7,0))</f>
        <v>#REF!</v>
      </c>
      <c r="Q634" s="77" t="str">
        <f>VLOOKUP(J634,'p1'!$B$2:$C$30,2,0)</f>
        <v>NÃO TEM CHAPA</v>
      </c>
      <c r="R634" s="94">
        <v>45965</v>
      </c>
      <c r="S634" s="90" t="s">
        <v>218</v>
      </c>
      <c r="T634" s="90">
        <f t="shared" si="48"/>
        <v>1</v>
      </c>
      <c r="U634" s="94">
        <v>45966</v>
      </c>
      <c r="V634" s="90" t="s">
        <v>86</v>
      </c>
      <c r="W634" s="92">
        <v>2623</v>
      </c>
      <c r="X634" s="93">
        <f t="shared" si="47"/>
        <v>1</v>
      </c>
      <c r="Y634" s="92"/>
      <c r="Z634" s="92"/>
      <c r="AA634" s="13" t="str">
        <f t="shared" si="49"/>
        <v>nov/2025</v>
      </c>
    </row>
    <row r="635" spans="1:27" x14ac:dyDescent="0.25">
      <c r="A635" s="89">
        <v>634</v>
      </c>
      <c r="B635" s="68">
        <v>45960</v>
      </c>
      <c r="C635" s="40">
        <v>134</v>
      </c>
      <c r="D635" s="40">
        <f t="shared" si="45"/>
        <v>1</v>
      </c>
      <c r="E635" s="66" t="s">
        <v>171</v>
      </c>
      <c r="F635" s="17" t="s">
        <v>58</v>
      </c>
      <c r="G635" s="17" t="s">
        <v>86</v>
      </c>
      <c r="H635" s="42" t="s">
        <v>867</v>
      </c>
      <c r="I635" s="21" t="str">
        <f t="shared" si="46"/>
        <v>PN-634</v>
      </c>
      <c r="J635" s="18" t="s">
        <v>85</v>
      </c>
      <c r="K635" s="19" t="e">
        <f>IF(J635="","SEM #CH",VLOOKUP(J635,#REF!,2,0))</f>
        <v>#REF!</v>
      </c>
      <c r="L635" s="19" t="e">
        <f>IF(J635="","SEM #CH",VLOOKUP(J635,#REF!,3,0))</f>
        <v>#REF!</v>
      </c>
      <c r="M635" s="19" t="e">
        <f>IF(J635="","SEM #CH",VLOOKUP(J635,#REF!,4,0))</f>
        <v>#REF!</v>
      </c>
      <c r="N635" s="19" t="e">
        <f>IF(J635="","SEM #CH",VLOOKUP(J635,#REF!,5,0))</f>
        <v>#REF!</v>
      </c>
      <c r="O635" s="19" t="e">
        <f>IF(J635="","SEM #CH",VLOOKUP(J635,#REF!,6,0))</f>
        <v>#REF!</v>
      </c>
      <c r="P635" s="19" t="e">
        <f>IF(J635="","SEM #CH",VLOOKUP(J635,#REF!,7,0))</f>
        <v>#REF!</v>
      </c>
      <c r="Q635" s="77" t="str">
        <f>VLOOKUP(J635,'p1'!$B$2:$C$30,2,0)</f>
        <v>NÃO TEM CHAPA</v>
      </c>
      <c r="R635" s="94">
        <v>45969</v>
      </c>
      <c r="S635" s="90" t="s">
        <v>218</v>
      </c>
      <c r="T635" s="90">
        <f t="shared" si="48"/>
        <v>1</v>
      </c>
      <c r="U635" s="94">
        <v>45978</v>
      </c>
      <c r="V635" s="90" t="s">
        <v>86</v>
      </c>
      <c r="W635" s="92">
        <v>2650</v>
      </c>
      <c r="X635" s="93">
        <f t="shared" si="47"/>
        <v>1</v>
      </c>
      <c r="Y635" s="92"/>
      <c r="Z635" s="92"/>
      <c r="AA635" s="13" t="str">
        <f t="shared" si="49"/>
        <v>nov/2025</v>
      </c>
    </row>
    <row r="636" spans="1:27" x14ac:dyDescent="0.25">
      <c r="A636" s="89">
        <v>635</v>
      </c>
      <c r="B636" s="68">
        <v>45960</v>
      </c>
      <c r="C636" s="40">
        <v>134</v>
      </c>
      <c r="D636" s="40">
        <f t="shared" si="45"/>
        <v>1</v>
      </c>
      <c r="E636" s="66" t="s">
        <v>171</v>
      </c>
      <c r="F636" s="17" t="s">
        <v>58</v>
      </c>
      <c r="G636" s="17" t="s">
        <v>86</v>
      </c>
      <c r="H636" s="42" t="s">
        <v>868</v>
      </c>
      <c r="I636" s="21" t="str">
        <f t="shared" si="46"/>
        <v>PN-635</v>
      </c>
      <c r="J636" s="18" t="s">
        <v>85</v>
      </c>
      <c r="K636" s="19" t="e">
        <f>IF(J636="","SEM #CH",VLOOKUP(J636,#REF!,2,0))</f>
        <v>#REF!</v>
      </c>
      <c r="L636" s="19" t="e">
        <f>IF(J636="","SEM #CH",VLOOKUP(J636,#REF!,3,0))</f>
        <v>#REF!</v>
      </c>
      <c r="M636" s="19" t="e">
        <f>IF(J636="","SEM #CH",VLOOKUP(J636,#REF!,4,0))</f>
        <v>#REF!</v>
      </c>
      <c r="N636" s="19" t="e">
        <f>IF(J636="","SEM #CH",VLOOKUP(J636,#REF!,5,0))</f>
        <v>#REF!</v>
      </c>
      <c r="O636" s="19" t="e">
        <f>IF(J636="","SEM #CH",VLOOKUP(J636,#REF!,6,0))</f>
        <v>#REF!</v>
      </c>
      <c r="P636" s="19" t="e">
        <f>IF(J636="","SEM #CH",VLOOKUP(J636,#REF!,7,0))</f>
        <v>#REF!</v>
      </c>
      <c r="Q636" s="77" t="str">
        <f>VLOOKUP(J636,'p1'!$B$2:$C$30,2,0)</f>
        <v>NÃO TEM CHAPA</v>
      </c>
      <c r="R636" s="94">
        <v>45969</v>
      </c>
      <c r="S636" s="90" t="s">
        <v>218</v>
      </c>
      <c r="T636" s="90">
        <f t="shared" si="48"/>
        <v>1</v>
      </c>
      <c r="U636" s="94">
        <v>45978</v>
      </c>
      <c r="V636" s="90" t="s">
        <v>86</v>
      </c>
      <c r="W636" s="92">
        <v>2648</v>
      </c>
      <c r="X636" s="93">
        <f t="shared" si="47"/>
        <v>1</v>
      </c>
      <c r="Y636" s="92"/>
      <c r="Z636" s="92"/>
      <c r="AA636" s="13" t="str">
        <f t="shared" si="49"/>
        <v>nov/2025</v>
      </c>
    </row>
    <row r="637" spans="1:27" x14ac:dyDescent="0.25">
      <c r="A637" s="89">
        <v>636</v>
      </c>
      <c r="B637" s="68">
        <v>45960</v>
      </c>
      <c r="C637" s="40">
        <v>134</v>
      </c>
      <c r="D637" s="40">
        <f t="shared" si="45"/>
        <v>1</v>
      </c>
      <c r="E637" s="66" t="s">
        <v>171</v>
      </c>
      <c r="F637" s="17" t="s">
        <v>58</v>
      </c>
      <c r="G637" s="17" t="s">
        <v>86</v>
      </c>
      <c r="H637" s="42" t="s">
        <v>869</v>
      </c>
      <c r="I637" s="17" t="str">
        <f t="shared" si="46"/>
        <v>PN-636</v>
      </c>
      <c r="J637" s="18" t="s">
        <v>85</v>
      </c>
      <c r="K637" s="19" t="e">
        <f>IF(J637="","SEM #CH",VLOOKUP(J637,#REF!,2,0))</f>
        <v>#REF!</v>
      </c>
      <c r="L637" s="19" t="e">
        <f>IF(J637="","SEM #CH",VLOOKUP(J637,#REF!,3,0))</f>
        <v>#REF!</v>
      </c>
      <c r="M637" s="19" t="e">
        <f>IF(J637="","SEM #CH",VLOOKUP(J637,#REF!,4,0))</f>
        <v>#REF!</v>
      </c>
      <c r="N637" s="19" t="e">
        <f>IF(J637="","SEM #CH",VLOOKUP(J637,#REF!,5,0))</f>
        <v>#REF!</v>
      </c>
      <c r="O637" s="19" t="e">
        <f>IF(J637="","SEM #CH",VLOOKUP(J637,#REF!,6,0))</f>
        <v>#REF!</v>
      </c>
      <c r="P637" s="19" t="e">
        <f>IF(J637="","SEM #CH",VLOOKUP(J637,#REF!,7,0))</f>
        <v>#REF!</v>
      </c>
      <c r="Q637" s="77" t="str">
        <f>VLOOKUP(J637,'p1'!$B$2:$C$30,2,0)</f>
        <v>NÃO TEM CHAPA</v>
      </c>
      <c r="R637" s="94">
        <v>45971</v>
      </c>
      <c r="S637" s="90" t="s">
        <v>218</v>
      </c>
      <c r="T637" s="90">
        <f t="shared" si="48"/>
        <v>1</v>
      </c>
      <c r="U637" s="94">
        <v>45978</v>
      </c>
      <c r="V637" s="90" t="s">
        <v>86</v>
      </c>
      <c r="W637" s="92">
        <v>2649</v>
      </c>
      <c r="X637" s="93">
        <f t="shared" si="47"/>
        <v>1</v>
      </c>
      <c r="Y637" s="92"/>
      <c r="Z637" s="92"/>
      <c r="AA637" s="13" t="str">
        <f t="shared" si="49"/>
        <v>nov/2025</v>
      </c>
    </row>
    <row r="638" spans="1:27" x14ac:dyDescent="0.25">
      <c r="A638" s="89">
        <v>637</v>
      </c>
      <c r="B638" s="68">
        <v>45960</v>
      </c>
      <c r="C638" s="40">
        <v>134</v>
      </c>
      <c r="D638" s="40">
        <f t="shared" si="45"/>
        <v>1</v>
      </c>
      <c r="E638" s="66" t="s">
        <v>171</v>
      </c>
      <c r="F638" s="17" t="s">
        <v>58</v>
      </c>
      <c r="G638" s="17" t="s">
        <v>86</v>
      </c>
      <c r="H638" s="42" t="s">
        <v>870</v>
      </c>
      <c r="I638" s="17" t="str">
        <f t="shared" si="46"/>
        <v>PN-637</v>
      </c>
      <c r="J638" s="18" t="s">
        <v>85</v>
      </c>
      <c r="K638" s="19" t="e">
        <f>IF(J638="","SEM #CH",VLOOKUP(J638,#REF!,2,0))</f>
        <v>#REF!</v>
      </c>
      <c r="L638" s="19" t="e">
        <f>IF(J638="","SEM #CH",VLOOKUP(J638,#REF!,3,0))</f>
        <v>#REF!</v>
      </c>
      <c r="M638" s="19" t="e">
        <f>IF(J638="","SEM #CH",VLOOKUP(J638,#REF!,4,0))</f>
        <v>#REF!</v>
      </c>
      <c r="N638" s="19" t="e">
        <f>IF(J638="","SEM #CH",VLOOKUP(J638,#REF!,5,0))</f>
        <v>#REF!</v>
      </c>
      <c r="O638" s="19" t="e">
        <f>IF(J638="","SEM #CH",VLOOKUP(J638,#REF!,6,0))</f>
        <v>#REF!</v>
      </c>
      <c r="P638" s="19" t="e">
        <f>IF(J638="","SEM #CH",VLOOKUP(J638,#REF!,7,0))</f>
        <v>#REF!</v>
      </c>
      <c r="Q638" s="77" t="str">
        <f>VLOOKUP(J638,'p1'!$B$2:$C$30,2,0)</f>
        <v>NÃO TEM CHAPA</v>
      </c>
      <c r="R638" s="94">
        <v>45971</v>
      </c>
      <c r="S638" s="90" t="s">
        <v>218</v>
      </c>
      <c r="T638" s="90">
        <f t="shared" si="48"/>
        <v>1</v>
      </c>
      <c r="U638" s="94">
        <v>45974</v>
      </c>
      <c r="V638" s="90" t="s">
        <v>86</v>
      </c>
      <c r="W638" s="92">
        <v>2642</v>
      </c>
      <c r="X638" s="93">
        <f t="shared" si="47"/>
        <v>1</v>
      </c>
      <c r="Y638" s="92"/>
      <c r="Z638" s="92"/>
      <c r="AA638" s="13" t="str">
        <f t="shared" si="49"/>
        <v>nov/2025</v>
      </c>
    </row>
    <row r="639" spans="1:27" x14ac:dyDescent="0.25">
      <c r="A639" s="89">
        <v>638</v>
      </c>
      <c r="B639" s="68">
        <v>45960</v>
      </c>
      <c r="C639" s="40">
        <v>134</v>
      </c>
      <c r="D639" s="40">
        <f t="shared" si="45"/>
        <v>1</v>
      </c>
      <c r="E639" s="66" t="s">
        <v>171</v>
      </c>
      <c r="F639" s="17" t="s">
        <v>58</v>
      </c>
      <c r="G639" s="17" t="s">
        <v>86</v>
      </c>
      <c r="H639" s="42" t="s">
        <v>871</v>
      </c>
      <c r="I639" s="17" t="str">
        <f t="shared" si="46"/>
        <v>PN-638</v>
      </c>
      <c r="J639" s="18" t="s">
        <v>85</v>
      </c>
      <c r="K639" s="19" t="e">
        <f>IF(J639="","SEM #CH",VLOOKUP(J639,#REF!,2,0))</f>
        <v>#REF!</v>
      </c>
      <c r="L639" s="19" t="e">
        <f>IF(J639="","SEM #CH",VLOOKUP(J639,#REF!,3,0))</f>
        <v>#REF!</v>
      </c>
      <c r="M639" s="19" t="e">
        <f>IF(J639="","SEM #CH",VLOOKUP(J639,#REF!,4,0))</f>
        <v>#REF!</v>
      </c>
      <c r="N639" s="19" t="e">
        <f>IF(J639="","SEM #CH",VLOOKUP(J639,#REF!,5,0))</f>
        <v>#REF!</v>
      </c>
      <c r="O639" s="19" t="e">
        <f>IF(J639="","SEM #CH",VLOOKUP(J639,#REF!,6,0))</f>
        <v>#REF!</v>
      </c>
      <c r="P639" s="19" t="e">
        <f>IF(J639="","SEM #CH",VLOOKUP(J639,#REF!,7,0))</f>
        <v>#REF!</v>
      </c>
      <c r="Q639" s="77" t="str">
        <f>VLOOKUP(J639,'p1'!$B$2:$C$30,2,0)</f>
        <v>NÃO TEM CHAPA</v>
      </c>
      <c r="R639" s="94">
        <v>45971</v>
      </c>
      <c r="S639" s="90" t="s">
        <v>218</v>
      </c>
      <c r="T639" s="90">
        <f t="shared" si="48"/>
        <v>1</v>
      </c>
      <c r="U639" s="94">
        <v>45974</v>
      </c>
      <c r="V639" s="90" t="s">
        <v>86</v>
      </c>
      <c r="W639" s="92">
        <v>2642</v>
      </c>
      <c r="X639" s="93">
        <f t="shared" si="47"/>
        <v>1</v>
      </c>
      <c r="Y639" s="92"/>
      <c r="Z639" s="92"/>
      <c r="AA639" s="13" t="str">
        <f t="shared" si="49"/>
        <v>nov/2025</v>
      </c>
    </row>
    <row r="640" spans="1:27" x14ac:dyDescent="0.25">
      <c r="A640" s="89">
        <v>639</v>
      </c>
      <c r="B640" s="68">
        <v>45964</v>
      </c>
      <c r="C640" s="40">
        <v>137</v>
      </c>
      <c r="D640" s="40">
        <f t="shared" si="45"/>
        <v>1</v>
      </c>
      <c r="E640" s="66" t="s">
        <v>171</v>
      </c>
      <c r="F640" s="17" t="s">
        <v>58</v>
      </c>
      <c r="G640" s="17" t="s">
        <v>86</v>
      </c>
      <c r="H640" s="42" t="s">
        <v>872</v>
      </c>
      <c r="I640" s="21" t="str">
        <f t="shared" si="46"/>
        <v>PN-639</v>
      </c>
      <c r="J640" s="18" t="s">
        <v>85</v>
      </c>
      <c r="K640" s="19" t="e">
        <f>IF(J640="","SEM #CH",VLOOKUP(J640,#REF!,2,0))</f>
        <v>#REF!</v>
      </c>
      <c r="L640" s="19" t="e">
        <f>IF(J640="","SEM #CH",VLOOKUP(J640,#REF!,3,0))</f>
        <v>#REF!</v>
      </c>
      <c r="M640" s="19" t="e">
        <f>IF(J640="","SEM #CH",VLOOKUP(J640,#REF!,4,0))</f>
        <v>#REF!</v>
      </c>
      <c r="N640" s="19" t="e">
        <f>IF(J640="","SEM #CH",VLOOKUP(J640,#REF!,5,0))</f>
        <v>#REF!</v>
      </c>
      <c r="O640" s="19" t="e">
        <f>IF(J640="","SEM #CH",VLOOKUP(J640,#REF!,6,0))</f>
        <v>#REF!</v>
      </c>
      <c r="P640" s="19" t="e">
        <f>IF(J640="","SEM #CH",VLOOKUP(J640,#REF!,7,0))</f>
        <v>#REF!</v>
      </c>
      <c r="Q640" s="77" t="str">
        <f>VLOOKUP(J640,'p1'!$B$2:$C$30,2,0)</f>
        <v>NÃO TEM CHAPA</v>
      </c>
      <c r="R640" s="94">
        <v>45967</v>
      </c>
      <c r="S640" s="90" t="s">
        <v>218</v>
      </c>
      <c r="T640" s="90">
        <f t="shared" si="48"/>
        <v>1</v>
      </c>
      <c r="U640" s="94">
        <v>45978</v>
      </c>
      <c r="V640" s="90" t="s">
        <v>86</v>
      </c>
      <c r="W640" s="92">
        <v>2648</v>
      </c>
      <c r="X640" s="93">
        <f t="shared" si="47"/>
        <v>1</v>
      </c>
      <c r="Y640" s="92"/>
      <c r="Z640" s="92"/>
      <c r="AA640" s="13" t="str">
        <f t="shared" si="49"/>
        <v>nov/2025</v>
      </c>
    </row>
    <row r="641" spans="1:27" x14ac:dyDescent="0.25">
      <c r="A641" s="89">
        <v>640</v>
      </c>
      <c r="B641" s="68">
        <v>45964</v>
      </c>
      <c r="C641" s="40">
        <v>137</v>
      </c>
      <c r="D641" s="40">
        <f t="shared" si="45"/>
        <v>1</v>
      </c>
      <c r="E641" s="66" t="s">
        <v>171</v>
      </c>
      <c r="F641" s="17" t="s">
        <v>58</v>
      </c>
      <c r="G641" s="17" t="s">
        <v>86</v>
      </c>
      <c r="H641" s="42" t="s">
        <v>873</v>
      </c>
      <c r="I641" s="17" t="str">
        <f t="shared" si="46"/>
        <v>PN-640</v>
      </c>
      <c r="J641" s="18" t="s">
        <v>85</v>
      </c>
      <c r="K641" s="19" t="e">
        <f>IF(J641="","SEM #CH",VLOOKUP(J641,#REF!,2,0))</f>
        <v>#REF!</v>
      </c>
      <c r="L641" s="19" t="e">
        <f>IF(J641="","SEM #CH",VLOOKUP(J641,#REF!,3,0))</f>
        <v>#REF!</v>
      </c>
      <c r="M641" s="19" t="e">
        <f>IF(J641="","SEM #CH",VLOOKUP(J641,#REF!,4,0))</f>
        <v>#REF!</v>
      </c>
      <c r="N641" s="19" t="e">
        <f>IF(J641="","SEM #CH",VLOOKUP(J641,#REF!,5,0))</f>
        <v>#REF!</v>
      </c>
      <c r="O641" s="19" t="e">
        <f>IF(J641="","SEM #CH",VLOOKUP(J641,#REF!,6,0))</f>
        <v>#REF!</v>
      </c>
      <c r="P641" s="19" t="e">
        <f>IF(J641="","SEM #CH",VLOOKUP(J641,#REF!,7,0))</f>
        <v>#REF!</v>
      </c>
      <c r="Q641" s="77" t="str">
        <f>VLOOKUP(J641,'p1'!$B$2:$C$30,2,0)</f>
        <v>NÃO TEM CHAPA</v>
      </c>
      <c r="R641" s="94">
        <v>45967</v>
      </c>
      <c r="S641" s="90" t="s">
        <v>218</v>
      </c>
      <c r="T641" s="90">
        <f t="shared" si="48"/>
        <v>1</v>
      </c>
      <c r="U641" s="94">
        <v>45967</v>
      </c>
      <c r="V641" s="90" t="s">
        <v>86</v>
      </c>
      <c r="W641" s="92">
        <v>2625</v>
      </c>
      <c r="X641" s="93">
        <f t="shared" si="47"/>
        <v>1</v>
      </c>
      <c r="Y641" s="92"/>
      <c r="Z641" s="92"/>
      <c r="AA641" s="13" t="str">
        <f t="shared" si="49"/>
        <v>nov/2025</v>
      </c>
    </row>
    <row r="642" spans="1:27" x14ac:dyDescent="0.25">
      <c r="A642" s="89">
        <v>641</v>
      </c>
      <c r="B642" s="68">
        <v>45964</v>
      </c>
      <c r="C642" s="40">
        <v>137</v>
      </c>
      <c r="D642" s="40">
        <f t="shared" ref="D642:D705" si="50">IF(B642&gt;0,1,"")</f>
        <v>1</v>
      </c>
      <c r="E642" s="66" t="s">
        <v>171</v>
      </c>
      <c r="F642" s="17" t="s">
        <v>58</v>
      </c>
      <c r="G642" s="17" t="s">
        <v>86</v>
      </c>
      <c r="H642" s="42" t="s">
        <v>874</v>
      </c>
      <c r="I642" s="17" t="str">
        <f t="shared" ref="I642:I705" si="51">_xlfn.CONCAT(F642,G642,H642)</f>
        <v>PN-641</v>
      </c>
      <c r="J642" s="18" t="s">
        <v>85</v>
      </c>
      <c r="K642" s="19" t="e">
        <f>IF(J642="","SEM #CH",VLOOKUP(J642,#REF!,2,0))</f>
        <v>#REF!</v>
      </c>
      <c r="L642" s="19" t="e">
        <f>IF(J642="","SEM #CH",VLOOKUP(J642,#REF!,3,0))</f>
        <v>#REF!</v>
      </c>
      <c r="M642" s="19" t="e">
        <f>IF(J642="","SEM #CH",VLOOKUP(J642,#REF!,4,0))</f>
        <v>#REF!</v>
      </c>
      <c r="N642" s="19" t="e">
        <f>IF(J642="","SEM #CH",VLOOKUP(J642,#REF!,5,0))</f>
        <v>#REF!</v>
      </c>
      <c r="O642" s="19" t="e">
        <f>IF(J642="","SEM #CH",VLOOKUP(J642,#REF!,6,0))</f>
        <v>#REF!</v>
      </c>
      <c r="P642" s="19" t="e">
        <f>IF(J642="","SEM #CH",VLOOKUP(J642,#REF!,7,0))</f>
        <v>#REF!</v>
      </c>
      <c r="Q642" s="77" t="str">
        <f>VLOOKUP(J642,'p1'!$B$2:$C$30,2,0)</f>
        <v>NÃO TEM CHAPA</v>
      </c>
      <c r="R642" s="94">
        <v>45967</v>
      </c>
      <c r="S642" s="90" t="s">
        <v>218</v>
      </c>
      <c r="T642" s="90">
        <f t="shared" si="48"/>
        <v>1</v>
      </c>
      <c r="U642" s="94">
        <v>45967</v>
      </c>
      <c r="V642" s="90" t="s">
        <v>86</v>
      </c>
      <c r="W642" s="92">
        <v>2625</v>
      </c>
      <c r="X642" s="93">
        <f t="shared" ref="X642:X705" si="52">IF(U642&gt;0,1,"")</f>
        <v>1</v>
      </c>
      <c r="Y642" s="92"/>
      <c r="Z642" s="92"/>
      <c r="AA642" s="13" t="str">
        <f t="shared" si="49"/>
        <v>nov/2025</v>
      </c>
    </row>
    <row r="643" spans="1:27" x14ac:dyDescent="0.25">
      <c r="A643" s="89">
        <v>642</v>
      </c>
      <c r="B643" s="68">
        <v>45964</v>
      </c>
      <c r="C643" s="40">
        <v>137</v>
      </c>
      <c r="D643" s="40">
        <f t="shared" si="50"/>
        <v>1</v>
      </c>
      <c r="E643" s="66" t="s">
        <v>171</v>
      </c>
      <c r="F643" s="17" t="s">
        <v>58</v>
      </c>
      <c r="G643" s="17" t="s">
        <v>86</v>
      </c>
      <c r="H643" s="42" t="s">
        <v>875</v>
      </c>
      <c r="I643" s="17" t="str">
        <f t="shared" si="51"/>
        <v>PN-642</v>
      </c>
      <c r="J643" s="18" t="s">
        <v>85</v>
      </c>
      <c r="K643" s="19" t="e">
        <f>IF(J643="","SEM #CH",VLOOKUP(J643,#REF!,2,0))</f>
        <v>#REF!</v>
      </c>
      <c r="L643" s="19" t="e">
        <f>IF(J643="","SEM #CH",VLOOKUP(J643,#REF!,3,0))</f>
        <v>#REF!</v>
      </c>
      <c r="M643" s="19" t="e">
        <f>IF(J643="","SEM #CH",VLOOKUP(J643,#REF!,4,0))</f>
        <v>#REF!</v>
      </c>
      <c r="N643" s="19" t="e">
        <f>IF(J643="","SEM #CH",VLOOKUP(J643,#REF!,5,0))</f>
        <v>#REF!</v>
      </c>
      <c r="O643" s="19" t="e">
        <f>IF(J643="","SEM #CH",VLOOKUP(J643,#REF!,6,0))</f>
        <v>#REF!</v>
      </c>
      <c r="P643" s="19" t="e">
        <f>IF(J643="","SEM #CH",VLOOKUP(J643,#REF!,7,0))</f>
        <v>#REF!</v>
      </c>
      <c r="Q643" s="77" t="str">
        <f>VLOOKUP(J643,'p1'!$B$2:$C$30,2,0)</f>
        <v>NÃO TEM CHAPA</v>
      </c>
      <c r="R643" s="94">
        <v>45972</v>
      </c>
      <c r="S643" s="90" t="s">
        <v>218</v>
      </c>
      <c r="T643" s="90">
        <f t="shared" ref="T643:T706" si="53">IF(R643="",0,1)</f>
        <v>1</v>
      </c>
      <c r="U643" s="94">
        <v>45974</v>
      </c>
      <c r="V643" s="90" t="s">
        <v>86</v>
      </c>
      <c r="W643" s="92">
        <v>2642</v>
      </c>
      <c r="X643" s="93">
        <f t="shared" si="52"/>
        <v>1</v>
      </c>
      <c r="Y643" s="92"/>
      <c r="Z643" s="92"/>
      <c r="AA643" s="13" t="str">
        <f t="shared" ref="AA643:AA706" si="54">TEXT(R643,"mmm/aaaa")</f>
        <v>nov/2025</v>
      </c>
    </row>
    <row r="644" spans="1:27" x14ac:dyDescent="0.25">
      <c r="A644" s="89">
        <v>643</v>
      </c>
      <c r="B644" s="68">
        <v>45964</v>
      </c>
      <c r="C644" s="40">
        <v>137</v>
      </c>
      <c r="D644" s="40">
        <f t="shared" si="50"/>
        <v>1</v>
      </c>
      <c r="E644" s="66" t="s">
        <v>171</v>
      </c>
      <c r="F644" s="17" t="s">
        <v>58</v>
      </c>
      <c r="G644" s="17" t="s">
        <v>86</v>
      </c>
      <c r="H644" s="42" t="s">
        <v>876</v>
      </c>
      <c r="I644" s="17" t="str">
        <f t="shared" si="51"/>
        <v>PN-643</v>
      </c>
      <c r="J644" s="18" t="s">
        <v>85</v>
      </c>
      <c r="K644" s="19" t="e">
        <f>IF(J644="","SEM #CH",VLOOKUP(J644,#REF!,2,0))</f>
        <v>#REF!</v>
      </c>
      <c r="L644" s="19" t="e">
        <f>IF(J644="","SEM #CH",VLOOKUP(J644,#REF!,3,0))</f>
        <v>#REF!</v>
      </c>
      <c r="M644" s="19" t="e">
        <f>IF(J644="","SEM #CH",VLOOKUP(J644,#REF!,4,0))</f>
        <v>#REF!</v>
      </c>
      <c r="N644" s="19" t="e">
        <f>IF(J644="","SEM #CH",VLOOKUP(J644,#REF!,5,0))</f>
        <v>#REF!</v>
      </c>
      <c r="O644" s="19" t="e">
        <f>IF(J644="","SEM #CH",VLOOKUP(J644,#REF!,6,0))</f>
        <v>#REF!</v>
      </c>
      <c r="P644" s="19" t="e">
        <f>IF(J644="","SEM #CH",VLOOKUP(J644,#REF!,7,0))</f>
        <v>#REF!</v>
      </c>
      <c r="Q644" s="77" t="str">
        <f>VLOOKUP(J644,'p1'!$B$2:$C$30,2,0)</f>
        <v>NÃO TEM CHAPA</v>
      </c>
      <c r="R644" s="94">
        <v>45972</v>
      </c>
      <c r="S644" s="90" t="s">
        <v>218</v>
      </c>
      <c r="T644" s="90">
        <f t="shared" si="53"/>
        <v>1</v>
      </c>
      <c r="U644" s="94">
        <v>45974</v>
      </c>
      <c r="V644" s="90" t="s">
        <v>86</v>
      </c>
      <c r="W644" s="92">
        <v>2642</v>
      </c>
      <c r="X644" s="93">
        <f t="shared" si="52"/>
        <v>1</v>
      </c>
      <c r="Y644" s="92"/>
      <c r="Z644" s="92"/>
      <c r="AA644" s="13" t="str">
        <f t="shared" si="54"/>
        <v>nov/2025</v>
      </c>
    </row>
    <row r="645" spans="1:27" x14ac:dyDescent="0.25">
      <c r="A645" s="89">
        <v>644</v>
      </c>
      <c r="B645" s="68">
        <v>45940</v>
      </c>
      <c r="C645" s="40">
        <v>116</v>
      </c>
      <c r="D645" s="40">
        <f t="shared" si="50"/>
        <v>1</v>
      </c>
      <c r="E645" s="66" t="s">
        <v>171</v>
      </c>
      <c r="F645" s="17" t="s">
        <v>60</v>
      </c>
      <c r="G645" s="17" t="s">
        <v>86</v>
      </c>
      <c r="H645" s="42" t="s">
        <v>877</v>
      </c>
      <c r="I645" s="17" t="str">
        <f t="shared" si="51"/>
        <v>PE-644</v>
      </c>
      <c r="J645" s="18" t="s">
        <v>90</v>
      </c>
      <c r="K645" s="19" t="e">
        <f>IF(J645="","SEM #CH",VLOOKUP(J645,#REF!,2,0))</f>
        <v>#REF!</v>
      </c>
      <c r="L645" s="19" t="e">
        <f>IF(J645="","SEM #CH",VLOOKUP(J645,#REF!,3,0))</f>
        <v>#REF!</v>
      </c>
      <c r="M645" s="19" t="e">
        <f>IF(J645="","SEM #CH",VLOOKUP(J645,#REF!,4,0))</f>
        <v>#REF!</v>
      </c>
      <c r="N645" s="19" t="e">
        <f>IF(J645="","SEM #CH",VLOOKUP(J645,#REF!,5,0))</f>
        <v>#REF!</v>
      </c>
      <c r="O645" s="19" t="e">
        <f>IF(J645="","SEM #CH",VLOOKUP(J645,#REF!,6,0))</f>
        <v>#REF!</v>
      </c>
      <c r="P645" s="19" t="e">
        <f>IF(J645="","SEM #CH",VLOOKUP(J645,#REF!,7,0))</f>
        <v>#REF!</v>
      </c>
      <c r="Q645" s="77" t="str">
        <f>VLOOKUP(J645,'p1'!$B$2:$C$30,2,0)</f>
        <v>#3/8-530X530</v>
      </c>
      <c r="R645" s="94">
        <v>45957</v>
      </c>
      <c r="S645" s="90" t="s">
        <v>218</v>
      </c>
      <c r="T645" s="90">
        <f t="shared" si="53"/>
        <v>1</v>
      </c>
      <c r="U645" s="94">
        <v>45957</v>
      </c>
      <c r="V645" s="90" t="s">
        <v>86</v>
      </c>
      <c r="W645" s="92">
        <v>2603</v>
      </c>
      <c r="X645" s="93">
        <f t="shared" si="52"/>
        <v>1</v>
      </c>
      <c r="Y645" s="92"/>
      <c r="Z645" s="92"/>
      <c r="AA645" s="13" t="str">
        <f t="shared" si="54"/>
        <v>out/2025</v>
      </c>
    </row>
    <row r="646" spans="1:27" x14ac:dyDescent="0.25">
      <c r="A646" s="89">
        <v>645</v>
      </c>
      <c r="B646" s="68">
        <v>45964</v>
      </c>
      <c r="C646" s="40">
        <v>137</v>
      </c>
      <c r="D646" s="40">
        <f t="shared" si="50"/>
        <v>1</v>
      </c>
      <c r="E646" s="66" t="s">
        <v>171</v>
      </c>
      <c r="F646" s="17" t="s">
        <v>58</v>
      </c>
      <c r="G646" s="17" t="s">
        <v>86</v>
      </c>
      <c r="H646" s="42" t="s">
        <v>878</v>
      </c>
      <c r="I646" s="21" t="str">
        <f t="shared" si="51"/>
        <v>PN-645</v>
      </c>
      <c r="J646" s="18" t="s">
        <v>85</v>
      </c>
      <c r="K646" s="19" t="e">
        <f>IF(J646="","SEM #CH",VLOOKUP(J646,#REF!,2,0))</f>
        <v>#REF!</v>
      </c>
      <c r="L646" s="19" t="e">
        <f>IF(J646="","SEM #CH",VLOOKUP(J646,#REF!,3,0))</f>
        <v>#REF!</v>
      </c>
      <c r="M646" s="19" t="e">
        <f>IF(J646="","SEM #CH",VLOOKUP(J646,#REF!,4,0))</f>
        <v>#REF!</v>
      </c>
      <c r="N646" s="19" t="e">
        <f>IF(J646="","SEM #CH",VLOOKUP(J646,#REF!,5,0))</f>
        <v>#REF!</v>
      </c>
      <c r="O646" s="19" t="e">
        <f>IF(J646="","SEM #CH",VLOOKUP(J646,#REF!,6,0))</f>
        <v>#REF!</v>
      </c>
      <c r="P646" s="19" t="e">
        <f>IF(J646="","SEM #CH",VLOOKUP(J646,#REF!,7,0))</f>
        <v>#REF!</v>
      </c>
      <c r="Q646" s="77" t="str">
        <f>VLOOKUP(J646,'p1'!$B$2:$C$30,2,0)</f>
        <v>NÃO TEM CHAPA</v>
      </c>
      <c r="R646" s="94">
        <v>45969</v>
      </c>
      <c r="S646" s="90" t="s">
        <v>218</v>
      </c>
      <c r="T646" s="90">
        <f t="shared" si="53"/>
        <v>1</v>
      </c>
      <c r="U646" s="94">
        <v>45975</v>
      </c>
      <c r="V646" s="90" t="s">
        <v>86</v>
      </c>
      <c r="W646" s="92">
        <v>2645</v>
      </c>
      <c r="X646" s="93">
        <f t="shared" si="52"/>
        <v>1</v>
      </c>
      <c r="Y646" s="92"/>
      <c r="Z646" s="92"/>
      <c r="AA646" s="13" t="str">
        <f t="shared" si="54"/>
        <v>nov/2025</v>
      </c>
    </row>
    <row r="647" spans="1:27" x14ac:dyDescent="0.25">
      <c r="A647" s="89">
        <v>646</v>
      </c>
      <c r="B647" s="68">
        <v>45967</v>
      </c>
      <c r="C647" s="40">
        <v>139</v>
      </c>
      <c r="D647" s="40">
        <f t="shared" si="50"/>
        <v>1</v>
      </c>
      <c r="E647" s="66" t="s">
        <v>171</v>
      </c>
      <c r="F647" s="17" t="s">
        <v>58</v>
      </c>
      <c r="G647" s="17" t="s">
        <v>86</v>
      </c>
      <c r="H647" s="42" t="s">
        <v>879</v>
      </c>
      <c r="I647" s="17" t="str">
        <f t="shared" si="51"/>
        <v>PN-646</v>
      </c>
      <c r="J647" s="18" t="s">
        <v>85</v>
      </c>
      <c r="K647" s="19" t="e">
        <f>IF(J647="","SEM #CH",VLOOKUP(J647,#REF!,2,0))</f>
        <v>#REF!</v>
      </c>
      <c r="L647" s="19" t="e">
        <f>IF(J647="","SEM #CH",VLOOKUP(J647,#REF!,3,0))</f>
        <v>#REF!</v>
      </c>
      <c r="M647" s="19" t="e">
        <f>IF(J647="","SEM #CH",VLOOKUP(J647,#REF!,4,0))</f>
        <v>#REF!</v>
      </c>
      <c r="N647" s="19" t="e">
        <f>IF(J647="","SEM #CH",VLOOKUP(J647,#REF!,5,0))</f>
        <v>#REF!</v>
      </c>
      <c r="O647" s="19" t="e">
        <f>IF(J647="","SEM #CH",VLOOKUP(J647,#REF!,6,0))</f>
        <v>#REF!</v>
      </c>
      <c r="P647" s="19" t="e">
        <f>IF(J647="","SEM #CH",VLOOKUP(J647,#REF!,7,0))</f>
        <v>#REF!</v>
      </c>
      <c r="Q647" s="77" t="str">
        <f>VLOOKUP(J647,'p1'!$B$2:$C$30,2,0)</f>
        <v>NÃO TEM CHAPA</v>
      </c>
      <c r="R647" s="94">
        <v>45978</v>
      </c>
      <c r="S647" s="90" t="s">
        <v>218</v>
      </c>
      <c r="T647" s="90">
        <f t="shared" si="53"/>
        <v>1</v>
      </c>
      <c r="U647" s="94">
        <v>45978</v>
      </c>
      <c r="V647" s="90" t="s">
        <v>86</v>
      </c>
      <c r="W647" s="92">
        <v>2650</v>
      </c>
      <c r="X647" s="93">
        <f t="shared" si="52"/>
        <v>1</v>
      </c>
      <c r="Y647" s="92"/>
      <c r="Z647" s="92"/>
      <c r="AA647" s="13" t="str">
        <f t="shared" si="54"/>
        <v>nov/2025</v>
      </c>
    </row>
    <row r="648" spans="1:27" x14ac:dyDescent="0.25">
      <c r="A648" s="89">
        <v>647</v>
      </c>
      <c r="B648" s="68">
        <v>45967</v>
      </c>
      <c r="C648" s="40">
        <v>139</v>
      </c>
      <c r="D648" s="40">
        <f t="shared" si="50"/>
        <v>1</v>
      </c>
      <c r="E648" s="66" t="s">
        <v>171</v>
      </c>
      <c r="F648" s="17" t="s">
        <v>58</v>
      </c>
      <c r="G648" s="17" t="s">
        <v>86</v>
      </c>
      <c r="H648" s="42" t="s">
        <v>880</v>
      </c>
      <c r="I648" s="17" t="str">
        <f t="shared" si="51"/>
        <v>PN-647</v>
      </c>
      <c r="J648" s="18" t="s">
        <v>85</v>
      </c>
      <c r="K648" s="19" t="e">
        <f>IF(J648="","SEM #CH",VLOOKUP(J648,#REF!,2,0))</f>
        <v>#REF!</v>
      </c>
      <c r="L648" s="19" t="e">
        <f>IF(J648="","SEM #CH",VLOOKUP(J648,#REF!,3,0))</f>
        <v>#REF!</v>
      </c>
      <c r="M648" s="19" t="e">
        <f>IF(J648="","SEM #CH",VLOOKUP(J648,#REF!,4,0))</f>
        <v>#REF!</v>
      </c>
      <c r="N648" s="19" t="e">
        <f>IF(J648="","SEM #CH",VLOOKUP(J648,#REF!,5,0))</f>
        <v>#REF!</v>
      </c>
      <c r="O648" s="19" t="e">
        <f>IF(J648="","SEM #CH",VLOOKUP(J648,#REF!,6,0))</f>
        <v>#REF!</v>
      </c>
      <c r="P648" s="19" t="e">
        <f>IF(J648="","SEM #CH",VLOOKUP(J648,#REF!,7,0))</f>
        <v>#REF!</v>
      </c>
      <c r="Q648" s="77" t="str">
        <f>VLOOKUP(J648,'p1'!$B$2:$C$30,2,0)</f>
        <v>NÃO TEM CHAPA</v>
      </c>
      <c r="R648" s="94">
        <v>45978</v>
      </c>
      <c r="S648" s="90" t="s">
        <v>218</v>
      </c>
      <c r="T648" s="90">
        <f t="shared" si="53"/>
        <v>1</v>
      </c>
      <c r="U648" s="94">
        <v>45978</v>
      </c>
      <c r="V648" s="90" t="s">
        <v>86</v>
      </c>
      <c r="W648" s="92">
        <v>2650</v>
      </c>
      <c r="X648" s="93">
        <f t="shared" si="52"/>
        <v>1</v>
      </c>
      <c r="Y648" s="92"/>
      <c r="Z648" s="92"/>
      <c r="AA648" s="13" t="str">
        <f t="shared" si="54"/>
        <v>nov/2025</v>
      </c>
    </row>
    <row r="649" spans="1:27" x14ac:dyDescent="0.25">
      <c r="A649" s="89">
        <v>648</v>
      </c>
      <c r="B649" s="68">
        <v>45967</v>
      </c>
      <c r="C649" s="40">
        <v>139</v>
      </c>
      <c r="D649" s="40">
        <f t="shared" si="50"/>
        <v>1</v>
      </c>
      <c r="E649" s="66" t="s">
        <v>171</v>
      </c>
      <c r="F649" s="17" t="s">
        <v>58</v>
      </c>
      <c r="G649" s="17" t="s">
        <v>86</v>
      </c>
      <c r="H649" s="42" t="s">
        <v>881</v>
      </c>
      <c r="I649" s="17" t="str">
        <f t="shared" si="51"/>
        <v>PN-648</v>
      </c>
      <c r="J649" s="18" t="s">
        <v>85</v>
      </c>
      <c r="K649" s="19" t="e">
        <f>IF(J649="","SEM #CH",VLOOKUP(J649,#REF!,2,0))</f>
        <v>#REF!</v>
      </c>
      <c r="L649" s="19" t="e">
        <f>IF(J649="","SEM #CH",VLOOKUP(J649,#REF!,3,0))</f>
        <v>#REF!</v>
      </c>
      <c r="M649" s="19" t="e">
        <f>IF(J649="","SEM #CH",VLOOKUP(J649,#REF!,4,0))</f>
        <v>#REF!</v>
      </c>
      <c r="N649" s="19" t="e">
        <f>IF(J649="","SEM #CH",VLOOKUP(J649,#REF!,5,0))</f>
        <v>#REF!</v>
      </c>
      <c r="O649" s="19" t="e">
        <f>IF(J649="","SEM #CH",VLOOKUP(J649,#REF!,6,0))</f>
        <v>#REF!</v>
      </c>
      <c r="P649" s="19" t="e">
        <f>IF(J649="","SEM #CH",VLOOKUP(J649,#REF!,7,0))</f>
        <v>#REF!</v>
      </c>
      <c r="Q649" s="77" t="str">
        <f>VLOOKUP(J649,'p1'!$B$2:$C$30,2,0)</f>
        <v>NÃO TEM CHAPA</v>
      </c>
      <c r="R649" s="94">
        <v>45978</v>
      </c>
      <c r="S649" s="90" t="s">
        <v>218</v>
      </c>
      <c r="T649" s="90">
        <f t="shared" si="53"/>
        <v>1</v>
      </c>
      <c r="U649" s="94">
        <v>45978</v>
      </c>
      <c r="V649" s="90" t="s">
        <v>86</v>
      </c>
      <c r="W649" s="92">
        <v>2648</v>
      </c>
      <c r="X649" s="93">
        <f t="shared" si="52"/>
        <v>1</v>
      </c>
      <c r="Y649" s="92"/>
      <c r="Z649" s="92"/>
      <c r="AA649" s="13" t="str">
        <f t="shared" si="54"/>
        <v>nov/2025</v>
      </c>
    </row>
    <row r="650" spans="1:27" x14ac:dyDescent="0.25">
      <c r="A650" s="89">
        <v>649</v>
      </c>
      <c r="B650" s="68">
        <v>45967</v>
      </c>
      <c r="C650" s="40">
        <v>139</v>
      </c>
      <c r="D650" s="40">
        <f t="shared" si="50"/>
        <v>1</v>
      </c>
      <c r="E650" s="66" t="s">
        <v>171</v>
      </c>
      <c r="F650" s="17" t="s">
        <v>58</v>
      </c>
      <c r="G650" s="17" t="s">
        <v>86</v>
      </c>
      <c r="H650" s="42" t="s">
        <v>882</v>
      </c>
      <c r="I650" s="17" t="str">
        <f t="shared" si="51"/>
        <v>PN-649</v>
      </c>
      <c r="J650" s="18" t="s">
        <v>85</v>
      </c>
      <c r="K650" s="19" t="e">
        <f>IF(J650="","SEM #CH",VLOOKUP(J650,#REF!,2,0))</f>
        <v>#REF!</v>
      </c>
      <c r="L650" s="19" t="e">
        <f>IF(J650="","SEM #CH",VLOOKUP(J650,#REF!,3,0))</f>
        <v>#REF!</v>
      </c>
      <c r="M650" s="19" t="e">
        <f>IF(J650="","SEM #CH",VLOOKUP(J650,#REF!,4,0))</f>
        <v>#REF!</v>
      </c>
      <c r="N650" s="19" t="e">
        <f>IF(J650="","SEM #CH",VLOOKUP(J650,#REF!,5,0))</f>
        <v>#REF!</v>
      </c>
      <c r="O650" s="19" t="e">
        <f>IF(J650="","SEM #CH",VLOOKUP(J650,#REF!,6,0))</f>
        <v>#REF!</v>
      </c>
      <c r="P650" s="19" t="e">
        <f>IF(J650="","SEM #CH",VLOOKUP(J650,#REF!,7,0))</f>
        <v>#REF!</v>
      </c>
      <c r="Q650" s="77" t="str">
        <f>VLOOKUP(J650,'p1'!$B$2:$C$30,2,0)</f>
        <v>NÃO TEM CHAPA</v>
      </c>
      <c r="R650" s="94">
        <v>45976</v>
      </c>
      <c r="S650" s="90" t="s">
        <v>218</v>
      </c>
      <c r="T650" s="90">
        <f t="shared" si="53"/>
        <v>1</v>
      </c>
      <c r="U650" s="94">
        <v>45978</v>
      </c>
      <c r="V650" s="90" t="s">
        <v>86</v>
      </c>
      <c r="W650" s="92">
        <v>2648</v>
      </c>
      <c r="X650" s="93">
        <f t="shared" si="52"/>
        <v>1</v>
      </c>
      <c r="Y650" s="92"/>
      <c r="Z650" s="92"/>
      <c r="AA650" s="13" t="str">
        <f t="shared" si="54"/>
        <v>nov/2025</v>
      </c>
    </row>
    <row r="651" spans="1:27" x14ac:dyDescent="0.25">
      <c r="A651" s="89">
        <v>650</v>
      </c>
      <c r="B651" s="68">
        <v>45971</v>
      </c>
      <c r="C651" s="40">
        <v>141</v>
      </c>
      <c r="D651" s="40">
        <f t="shared" si="50"/>
        <v>1</v>
      </c>
      <c r="E651" s="66" t="s">
        <v>171</v>
      </c>
      <c r="F651" s="17" t="s">
        <v>58</v>
      </c>
      <c r="G651" s="17" t="s">
        <v>86</v>
      </c>
      <c r="H651" s="42" t="s">
        <v>883</v>
      </c>
      <c r="I651" s="17" t="str">
        <f t="shared" si="51"/>
        <v>PN-650</v>
      </c>
      <c r="J651" s="18" t="s">
        <v>85</v>
      </c>
      <c r="K651" s="19" t="e">
        <f>IF(J651="","SEM #CH",VLOOKUP(J651,#REF!,2,0))</f>
        <v>#REF!</v>
      </c>
      <c r="L651" s="19" t="e">
        <f>IF(J651="","SEM #CH",VLOOKUP(J651,#REF!,3,0))</f>
        <v>#REF!</v>
      </c>
      <c r="M651" s="19" t="e">
        <f>IF(J651="","SEM #CH",VLOOKUP(J651,#REF!,4,0))</f>
        <v>#REF!</v>
      </c>
      <c r="N651" s="19" t="e">
        <f>IF(J651="","SEM #CH",VLOOKUP(J651,#REF!,5,0))</f>
        <v>#REF!</v>
      </c>
      <c r="O651" s="19" t="e">
        <f>IF(J651="","SEM #CH",VLOOKUP(J651,#REF!,6,0))</f>
        <v>#REF!</v>
      </c>
      <c r="P651" s="19" t="e">
        <f>IF(J651="","SEM #CH",VLOOKUP(J651,#REF!,7,0))</f>
        <v>#REF!</v>
      </c>
      <c r="Q651" s="77" t="str">
        <f>VLOOKUP(J651,'p1'!$B$2:$C$30,2,0)</f>
        <v>NÃO TEM CHAPA</v>
      </c>
      <c r="R651" s="94">
        <v>45973</v>
      </c>
      <c r="S651" s="90" t="s">
        <v>218</v>
      </c>
      <c r="T651" s="90">
        <f t="shared" si="53"/>
        <v>1</v>
      </c>
      <c r="U651" s="94">
        <v>45974</v>
      </c>
      <c r="V651" s="90" t="s">
        <v>86</v>
      </c>
      <c r="W651" s="92">
        <v>2641</v>
      </c>
      <c r="X651" s="93">
        <f t="shared" si="52"/>
        <v>1</v>
      </c>
      <c r="Y651" s="92"/>
      <c r="Z651" s="92"/>
      <c r="AA651" s="13" t="str">
        <f t="shared" si="54"/>
        <v>nov/2025</v>
      </c>
    </row>
    <row r="652" spans="1:27" x14ac:dyDescent="0.25">
      <c r="A652" s="89">
        <v>651</v>
      </c>
      <c r="B652" s="68">
        <v>45971</v>
      </c>
      <c r="C652" s="40">
        <v>141</v>
      </c>
      <c r="D652" s="40">
        <f t="shared" si="50"/>
        <v>1</v>
      </c>
      <c r="E652" s="66" t="s">
        <v>171</v>
      </c>
      <c r="F652" s="17" t="s">
        <v>58</v>
      </c>
      <c r="G652" s="17" t="s">
        <v>86</v>
      </c>
      <c r="H652" s="42" t="s">
        <v>884</v>
      </c>
      <c r="I652" s="17" t="str">
        <f t="shared" si="51"/>
        <v>PN-651</v>
      </c>
      <c r="J652" s="18" t="s">
        <v>85</v>
      </c>
      <c r="K652" s="19" t="e">
        <f>IF(J652="","SEM #CH",VLOOKUP(J652,#REF!,2,0))</f>
        <v>#REF!</v>
      </c>
      <c r="L652" s="19" t="e">
        <f>IF(J652="","SEM #CH",VLOOKUP(J652,#REF!,3,0))</f>
        <v>#REF!</v>
      </c>
      <c r="M652" s="19" t="e">
        <f>IF(J652="","SEM #CH",VLOOKUP(J652,#REF!,4,0))</f>
        <v>#REF!</v>
      </c>
      <c r="N652" s="19" t="e">
        <f>IF(J652="","SEM #CH",VLOOKUP(J652,#REF!,5,0))</f>
        <v>#REF!</v>
      </c>
      <c r="O652" s="19" t="e">
        <f>IF(J652="","SEM #CH",VLOOKUP(J652,#REF!,6,0))</f>
        <v>#REF!</v>
      </c>
      <c r="P652" s="19" t="e">
        <f>IF(J652="","SEM #CH",VLOOKUP(J652,#REF!,7,0))</f>
        <v>#REF!</v>
      </c>
      <c r="Q652" s="77" t="str">
        <f>VLOOKUP(J652,'p1'!$B$2:$C$30,2,0)</f>
        <v>NÃO TEM CHAPA</v>
      </c>
      <c r="R652" s="94">
        <v>45973</v>
      </c>
      <c r="S652" s="90" t="s">
        <v>218</v>
      </c>
      <c r="T652" s="90">
        <f t="shared" si="53"/>
        <v>1</v>
      </c>
      <c r="U652" s="94">
        <v>45974</v>
      </c>
      <c r="V652" s="90" t="s">
        <v>86</v>
      </c>
      <c r="W652" s="92">
        <v>2641</v>
      </c>
      <c r="X652" s="93">
        <f t="shared" si="52"/>
        <v>1</v>
      </c>
      <c r="Y652" s="92"/>
      <c r="Z652" s="92"/>
      <c r="AA652" s="13" t="str">
        <f t="shared" si="54"/>
        <v>nov/2025</v>
      </c>
    </row>
    <row r="653" spans="1:27" x14ac:dyDescent="0.25">
      <c r="A653" s="89">
        <v>652</v>
      </c>
      <c r="B653" s="68">
        <v>45954</v>
      </c>
      <c r="C653" s="40">
        <v>128</v>
      </c>
      <c r="D653" s="40">
        <f t="shared" si="50"/>
        <v>1</v>
      </c>
      <c r="E653" s="66" t="s">
        <v>171</v>
      </c>
      <c r="F653" s="17" t="s">
        <v>61</v>
      </c>
      <c r="G653" s="17" t="s">
        <v>86</v>
      </c>
      <c r="H653" s="42" t="s">
        <v>885</v>
      </c>
      <c r="I653" s="17" t="str">
        <f t="shared" si="51"/>
        <v>PF-652</v>
      </c>
      <c r="J653" s="18" t="s">
        <v>61</v>
      </c>
      <c r="K653" s="19" t="e">
        <f>IF(J653="","SEM #CH",VLOOKUP(J653,#REF!,2,0))</f>
        <v>#REF!</v>
      </c>
      <c r="L653" s="19" t="e">
        <f>IF(J653="","SEM #CH",VLOOKUP(J653,#REF!,3,0))</f>
        <v>#REF!</v>
      </c>
      <c r="M653" s="19" t="e">
        <f>IF(J653="","SEM #CH",VLOOKUP(J653,#REF!,4,0))</f>
        <v>#REF!</v>
      </c>
      <c r="N653" s="19" t="e">
        <f>IF(J653="","SEM #CH",VLOOKUP(J653,#REF!,5,0))</f>
        <v>#REF!</v>
      </c>
      <c r="O653" s="19" t="e">
        <f>IF(J653="","SEM #CH",VLOOKUP(J653,#REF!,6,0))</f>
        <v>#REF!</v>
      </c>
      <c r="P653" s="19" t="e">
        <f>IF(J653="","SEM #CH",VLOOKUP(J653,#REF!,7,0))</f>
        <v>#REF!</v>
      </c>
      <c r="Q653" s="77" t="str">
        <f>VLOOKUP(J653,'p1'!$B$2:$C$30,2,0)</f>
        <v>SEM CHAPA</v>
      </c>
      <c r="R653" s="94">
        <v>45959</v>
      </c>
      <c r="S653" s="90" t="s">
        <v>217</v>
      </c>
      <c r="T653" s="90">
        <f t="shared" si="53"/>
        <v>1</v>
      </c>
      <c r="U653" s="94">
        <v>45975</v>
      </c>
      <c r="V653" s="90" t="s">
        <v>86</v>
      </c>
      <c r="W653" s="92">
        <v>2645</v>
      </c>
      <c r="X653" s="93">
        <f t="shared" si="52"/>
        <v>1</v>
      </c>
      <c r="Y653" s="92"/>
      <c r="Z653" s="92"/>
      <c r="AA653" s="13" t="str">
        <f t="shared" si="54"/>
        <v>out/2025</v>
      </c>
    </row>
    <row r="654" spans="1:27" x14ac:dyDescent="0.25">
      <c r="A654" s="89">
        <v>653</v>
      </c>
      <c r="B654" s="68">
        <v>45971</v>
      </c>
      <c r="C654" s="40">
        <v>141</v>
      </c>
      <c r="D654" s="40">
        <f t="shared" si="50"/>
        <v>1</v>
      </c>
      <c r="E654" s="66" t="s">
        <v>171</v>
      </c>
      <c r="F654" s="17" t="s">
        <v>58</v>
      </c>
      <c r="G654" s="17" t="s">
        <v>86</v>
      </c>
      <c r="H654" s="42" t="s">
        <v>886</v>
      </c>
      <c r="I654" s="17" t="str">
        <f t="shared" si="51"/>
        <v>PN-653</v>
      </c>
      <c r="J654" s="18" t="s">
        <v>85</v>
      </c>
      <c r="K654" s="19" t="e">
        <f>IF(J654="","SEM #CH",VLOOKUP(J654,#REF!,2,0))</f>
        <v>#REF!</v>
      </c>
      <c r="L654" s="19" t="e">
        <f>IF(J654="","SEM #CH",VLOOKUP(J654,#REF!,3,0))</f>
        <v>#REF!</v>
      </c>
      <c r="M654" s="19" t="e">
        <f>IF(J654="","SEM #CH",VLOOKUP(J654,#REF!,4,0))</f>
        <v>#REF!</v>
      </c>
      <c r="N654" s="19" t="e">
        <f>IF(J654="","SEM #CH",VLOOKUP(J654,#REF!,5,0))</f>
        <v>#REF!</v>
      </c>
      <c r="O654" s="19" t="e">
        <f>IF(J654="","SEM #CH",VLOOKUP(J654,#REF!,6,0))</f>
        <v>#REF!</v>
      </c>
      <c r="P654" s="19" t="e">
        <f>IF(J654="","SEM #CH",VLOOKUP(J654,#REF!,7,0))</f>
        <v>#REF!</v>
      </c>
      <c r="Q654" s="77" t="str">
        <f>VLOOKUP(J654,'p1'!$B$2:$C$30,2,0)</f>
        <v>NÃO TEM CHAPA</v>
      </c>
      <c r="R654" s="94">
        <v>45973</v>
      </c>
      <c r="S654" s="90" t="s">
        <v>218</v>
      </c>
      <c r="T654" s="90">
        <f t="shared" si="53"/>
        <v>1</v>
      </c>
      <c r="U654" s="94">
        <v>45974</v>
      </c>
      <c r="V654" s="90" t="s">
        <v>86</v>
      </c>
      <c r="W654" s="92">
        <v>2641</v>
      </c>
      <c r="X654" s="93">
        <f t="shared" si="52"/>
        <v>1</v>
      </c>
      <c r="Y654" s="92"/>
      <c r="Z654" s="92"/>
      <c r="AA654" s="13" t="str">
        <f t="shared" si="54"/>
        <v>nov/2025</v>
      </c>
    </row>
    <row r="655" spans="1:27" x14ac:dyDescent="0.25">
      <c r="A655" s="89">
        <v>654</v>
      </c>
      <c r="B655" s="68">
        <v>45971</v>
      </c>
      <c r="C655" s="40">
        <v>141</v>
      </c>
      <c r="D655" s="40">
        <f t="shared" si="50"/>
        <v>1</v>
      </c>
      <c r="E655" s="66" t="s">
        <v>171</v>
      </c>
      <c r="F655" s="17" t="s">
        <v>58</v>
      </c>
      <c r="G655" s="17" t="s">
        <v>86</v>
      </c>
      <c r="H655" s="42" t="s">
        <v>887</v>
      </c>
      <c r="I655" s="17" t="str">
        <f t="shared" si="51"/>
        <v>PN-654</v>
      </c>
      <c r="J655" s="18" t="s">
        <v>85</v>
      </c>
      <c r="K655" s="19" t="e">
        <f>IF(J655="","SEM #CH",VLOOKUP(J655,#REF!,2,0))</f>
        <v>#REF!</v>
      </c>
      <c r="L655" s="19" t="e">
        <f>IF(J655="","SEM #CH",VLOOKUP(J655,#REF!,3,0))</f>
        <v>#REF!</v>
      </c>
      <c r="M655" s="19" t="e">
        <f>IF(J655="","SEM #CH",VLOOKUP(J655,#REF!,4,0))</f>
        <v>#REF!</v>
      </c>
      <c r="N655" s="19" t="e">
        <f>IF(J655="","SEM #CH",VLOOKUP(J655,#REF!,5,0))</f>
        <v>#REF!</v>
      </c>
      <c r="O655" s="19" t="e">
        <f>IF(J655="","SEM #CH",VLOOKUP(J655,#REF!,6,0))</f>
        <v>#REF!</v>
      </c>
      <c r="P655" s="19" t="e">
        <f>IF(J655="","SEM #CH",VLOOKUP(J655,#REF!,7,0))</f>
        <v>#REF!</v>
      </c>
      <c r="Q655" s="77" t="str">
        <f>VLOOKUP(J655,'p1'!$B$2:$C$30,2,0)</f>
        <v>NÃO TEM CHAPA</v>
      </c>
      <c r="R655" s="94">
        <v>45973</v>
      </c>
      <c r="S655" s="90" t="s">
        <v>218</v>
      </c>
      <c r="T655" s="90">
        <f t="shared" si="53"/>
        <v>1</v>
      </c>
      <c r="U655" s="94">
        <v>45974</v>
      </c>
      <c r="V655" s="90" t="s">
        <v>86</v>
      </c>
      <c r="W655" s="92">
        <v>2641</v>
      </c>
      <c r="X655" s="93">
        <f t="shared" si="52"/>
        <v>1</v>
      </c>
      <c r="Y655" s="92"/>
      <c r="Z655" s="92"/>
      <c r="AA655" s="13" t="str">
        <f t="shared" si="54"/>
        <v>nov/2025</v>
      </c>
    </row>
    <row r="656" spans="1:27" x14ac:dyDescent="0.25">
      <c r="A656" s="89">
        <v>655</v>
      </c>
      <c r="B656" s="68">
        <v>45971</v>
      </c>
      <c r="C656" s="40">
        <v>141</v>
      </c>
      <c r="D656" s="40">
        <f t="shared" si="50"/>
        <v>1</v>
      </c>
      <c r="E656" s="66" t="s">
        <v>171</v>
      </c>
      <c r="F656" s="17" t="s">
        <v>58</v>
      </c>
      <c r="G656" s="17" t="s">
        <v>86</v>
      </c>
      <c r="H656" s="42" t="s">
        <v>888</v>
      </c>
      <c r="I656" s="17" t="str">
        <f t="shared" si="51"/>
        <v>PN-655</v>
      </c>
      <c r="J656" s="18" t="s">
        <v>85</v>
      </c>
      <c r="K656" s="19" t="e">
        <f>IF(J656="","SEM #CH",VLOOKUP(J656,#REF!,2,0))</f>
        <v>#REF!</v>
      </c>
      <c r="L656" s="19" t="e">
        <f>IF(J656="","SEM #CH",VLOOKUP(J656,#REF!,3,0))</f>
        <v>#REF!</v>
      </c>
      <c r="M656" s="19" t="e">
        <f>IF(J656="","SEM #CH",VLOOKUP(J656,#REF!,4,0))</f>
        <v>#REF!</v>
      </c>
      <c r="N656" s="19" t="e">
        <f>IF(J656="","SEM #CH",VLOOKUP(J656,#REF!,5,0))</f>
        <v>#REF!</v>
      </c>
      <c r="O656" s="19" t="e">
        <f>IF(J656="","SEM #CH",VLOOKUP(J656,#REF!,6,0))</f>
        <v>#REF!</v>
      </c>
      <c r="P656" s="19" t="e">
        <f>IF(J656="","SEM #CH",VLOOKUP(J656,#REF!,7,0))</f>
        <v>#REF!</v>
      </c>
      <c r="Q656" s="77" t="str">
        <f>VLOOKUP(J656,'p1'!$B$2:$C$30,2,0)</f>
        <v>NÃO TEM CHAPA</v>
      </c>
      <c r="R656" s="94">
        <v>45974</v>
      </c>
      <c r="S656" s="90" t="s">
        <v>218</v>
      </c>
      <c r="T656" s="90">
        <f t="shared" si="53"/>
        <v>1</v>
      </c>
      <c r="U656" s="94">
        <v>45978</v>
      </c>
      <c r="V656" s="90" t="s">
        <v>86</v>
      </c>
      <c r="W656" s="92">
        <v>2649</v>
      </c>
      <c r="X656" s="93">
        <f t="shared" si="52"/>
        <v>1</v>
      </c>
      <c r="Y656" s="92"/>
      <c r="Z656" s="92"/>
      <c r="AA656" s="13" t="str">
        <f t="shared" si="54"/>
        <v>nov/2025</v>
      </c>
    </row>
    <row r="657" spans="1:27" x14ac:dyDescent="0.25">
      <c r="A657" s="89">
        <v>656</v>
      </c>
      <c r="B657" s="68">
        <v>45971</v>
      </c>
      <c r="C657" s="40">
        <v>141</v>
      </c>
      <c r="D657" s="40">
        <f t="shared" si="50"/>
        <v>1</v>
      </c>
      <c r="E657" s="66" t="s">
        <v>171</v>
      </c>
      <c r="F657" s="17" t="s">
        <v>58</v>
      </c>
      <c r="G657" s="17" t="s">
        <v>86</v>
      </c>
      <c r="H657" s="42" t="s">
        <v>889</v>
      </c>
      <c r="I657" s="17" t="str">
        <f t="shared" si="51"/>
        <v>PN-656</v>
      </c>
      <c r="J657" s="18" t="s">
        <v>85</v>
      </c>
      <c r="K657" s="19" t="e">
        <f>IF(J657="","SEM #CH",VLOOKUP(J657,#REF!,2,0))</f>
        <v>#REF!</v>
      </c>
      <c r="L657" s="19" t="e">
        <f>IF(J657="","SEM #CH",VLOOKUP(J657,#REF!,3,0))</f>
        <v>#REF!</v>
      </c>
      <c r="M657" s="19" t="e">
        <f>IF(J657="","SEM #CH",VLOOKUP(J657,#REF!,4,0))</f>
        <v>#REF!</v>
      </c>
      <c r="N657" s="19" t="e">
        <f>IF(J657="","SEM #CH",VLOOKUP(J657,#REF!,5,0))</f>
        <v>#REF!</v>
      </c>
      <c r="O657" s="19" t="e">
        <f>IF(J657="","SEM #CH",VLOOKUP(J657,#REF!,6,0))</f>
        <v>#REF!</v>
      </c>
      <c r="P657" s="19" t="e">
        <f>IF(J657="","SEM #CH",VLOOKUP(J657,#REF!,7,0))</f>
        <v>#REF!</v>
      </c>
      <c r="Q657" s="77" t="str">
        <f>VLOOKUP(J657,'p1'!$B$2:$C$30,2,0)</f>
        <v>NÃO TEM CHAPA</v>
      </c>
      <c r="R657" s="94">
        <v>45974</v>
      </c>
      <c r="S657" s="90" t="s">
        <v>218</v>
      </c>
      <c r="T657" s="90">
        <f t="shared" si="53"/>
        <v>1</v>
      </c>
      <c r="U657" s="94">
        <v>45978</v>
      </c>
      <c r="V657" s="90" t="s">
        <v>86</v>
      </c>
      <c r="W657" s="92">
        <v>2649</v>
      </c>
      <c r="X657" s="93">
        <f t="shared" si="52"/>
        <v>1</v>
      </c>
      <c r="Y657" s="92"/>
      <c r="Z657" s="92"/>
      <c r="AA657" s="13" t="str">
        <f t="shared" si="54"/>
        <v>nov/2025</v>
      </c>
    </row>
    <row r="658" spans="1:27" x14ac:dyDescent="0.25">
      <c r="A658" s="89">
        <v>657</v>
      </c>
      <c r="B658" s="68">
        <v>45971</v>
      </c>
      <c r="C658" s="40">
        <v>141</v>
      </c>
      <c r="D658" s="40">
        <f t="shared" si="50"/>
        <v>1</v>
      </c>
      <c r="E658" s="66" t="s">
        <v>171</v>
      </c>
      <c r="F658" s="17" t="s">
        <v>58</v>
      </c>
      <c r="G658" s="17" t="s">
        <v>86</v>
      </c>
      <c r="H658" s="42" t="s">
        <v>890</v>
      </c>
      <c r="I658" s="17" t="str">
        <f t="shared" si="51"/>
        <v>PN-657</v>
      </c>
      <c r="J658" s="18" t="s">
        <v>85</v>
      </c>
      <c r="K658" s="19" t="e">
        <f>IF(J658="","SEM #CH",VLOOKUP(J658,#REF!,2,0))</f>
        <v>#REF!</v>
      </c>
      <c r="L658" s="19" t="e">
        <f>IF(J658="","SEM #CH",VLOOKUP(J658,#REF!,3,0))</f>
        <v>#REF!</v>
      </c>
      <c r="M658" s="19" t="e">
        <f>IF(J658="","SEM #CH",VLOOKUP(J658,#REF!,4,0))</f>
        <v>#REF!</v>
      </c>
      <c r="N658" s="19" t="e">
        <f>IF(J658="","SEM #CH",VLOOKUP(J658,#REF!,5,0))</f>
        <v>#REF!</v>
      </c>
      <c r="O658" s="19" t="e">
        <f>IF(J658="","SEM #CH",VLOOKUP(J658,#REF!,6,0))</f>
        <v>#REF!</v>
      </c>
      <c r="P658" s="19" t="e">
        <f>IF(J658="","SEM #CH",VLOOKUP(J658,#REF!,7,0))</f>
        <v>#REF!</v>
      </c>
      <c r="Q658" s="77" t="str">
        <f>VLOOKUP(J658,'p1'!$B$2:$C$30,2,0)</f>
        <v>NÃO TEM CHAPA</v>
      </c>
      <c r="R658" s="94">
        <v>45975</v>
      </c>
      <c r="S658" s="90" t="s">
        <v>218</v>
      </c>
      <c r="T658" s="90">
        <f t="shared" si="53"/>
        <v>1</v>
      </c>
      <c r="U658" s="94">
        <v>45978</v>
      </c>
      <c r="V658" s="90" t="s">
        <v>86</v>
      </c>
      <c r="W658" s="92">
        <v>2649</v>
      </c>
      <c r="X658" s="93">
        <f t="shared" si="52"/>
        <v>1</v>
      </c>
      <c r="Y658" s="92"/>
      <c r="Z658" s="92"/>
      <c r="AA658" s="13" t="str">
        <f t="shared" si="54"/>
        <v>nov/2025</v>
      </c>
    </row>
    <row r="659" spans="1:27" x14ac:dyDescent="0.25">
      <c r="A659" s="89">
        <v>658</v>
      </c>
      <c r="B659" s="68">
        <v>45967</v>
      </c>
      <c r="C659" s="40">
        <v>139</v>
      </c>
      <c r="D659" s="40">
        <f t="shared" si="50"/>
        <v>1</v>
      </c>
      <c r="E659" s="66" t="s">
        <v>171</v>
      </c>
      <c r="F659" s="17" t="s">
        <v>60</v>
      </c>
      <c r="G659" s="17" t="s">
        <v>86</v>
      </c>
      <c r="H659" s="42" t="s">
        <v>891</v>
      </c>
      <c r="I659" s="17" t="str">
        <f t="shared" si="51"/>
        <v>PE-658</v>
      </c>
      <c r="J659" s="18" t="s">
        <v>88</v>
      </c>
      <c r="K659" s="19" t="e">
        <f>IF(J659="","SEM #CH",VLOOKUP(J659,#REF!,2,0))</f>
        <v>#REF!</v>
      </c>
      <c r="L659" s="19" t="e">
        <f>IF(J659="","SEM #CH",VLOOKUP(J659,#REF!,3,0))</f>
        <v>#REF!</v>
      </c>
      <c r="M659" s="19" t="e">
        <f>IF(J659="","SEM #CH",VLOOKUP(J659,#REF!,4,0))</f>
        <v>#REF!</v>
      </c>
      <c r="N659" s="19" t="e">
        <f>IF(J659="","SEM #CH",VLOOKUP(J659,#REF!,5,0))</f>
        <v>#REF!</v>
      </c>
      <c r="O659" s="19" t="e">
        <f>IF(J659="","SEM #CH",VLOOKUP(J659,#REF!,6,0))</f>
        <v>#REF!</v>
      </c>
      <c r="P659" s="19" t="e">
        <f>IF(J659="","SEM #CH",VLOOKUP(J659,#REF!,7,0))</f>
        <v>#REF!</v>
      </c>
      <c r="Q659" s="77" t="str">
        <f>VLOOKUP(J659,'p1'!$B$2:$C$30,2,0)</f>
        <v>#3/8-1315X1315</v>
      </c>
      <c r="R659" s="94">
        <v>45979</v>
      </c>
      <c r="S659" s="90" t="s">
        <v>218</v>
      </c>
      <c r="T659" s="90">
        <f t="shared" si="53"/>
        <v>1</v>
      </c>
      <c r="U659" s="94">
        <v>45982</v>
      </c>
      <c r="V659" s="90" t="s">
        <v>86</v>
      </c>
      <c r="W659" s="92">
        <v>2660</v>
      </c>
      <c r="X659" s="93">
        <f t="shared" si="52"/>
        <v>1</v>
      </c>
      <c r="Y659" s="92"/>
      <c r="Z659" s="92"/>
      <c r="AA659" s="13" t="str">
        <f t="shared" si="54"/>
        <v>nov/2025</v>
      </c>
    </row>
    <row r="660" spans="1:27" x14ac:dyDescent="0.25">
      <c r="A660" s="89">
        <v>659</v>
      </c>
      <c r="B660" s="68">
        <v>45964</v>
      </c>
      <c r="C660" s="40">
        <v>137</v>
      </c>
      <c r="D660" s="40">
        <f t="shared" si="50"/>
        <v>1</v>
      </c>
      <c r="E660" s="66" t="s">
        <v>171</v>
      </c>
      <c r="F660" s="17" t="s">
        <v>60</v>
      </c>
      <c r="G660" s="17" t="s">
        <v>86</v>
      </c>
      <c r="H660" s="42" t="s">
        <v>892</v>
      </c>
      <c r="I660" s="17" t="str">
        <f t="shared" si="51"/>
        <v>PE-659</v>
      </c>
      <c r="J660" s="18" t="s">
        <v>87</v>
      </c>
      <c r="K660" s="19" t="e">
        <f>IF(J660="","SEM #CH",VLOOKUP(J660,#REF!,2,0))</f>
        <v>#REF!</v>
      </c>
      <c r="L660" s="19" t="e">
        <f>IF(J660="","SEM #CH",VLOOKUP(J660,#REF!,3,0))</f>
        <v>#REF!</v>
      </c>
      <c r="M660" s="19" t="e">
        <f>IF(J660="","SEM #CH",VLOOKUP(J660,#REF!,4,0))</f>
        <v>#REF!</v>
      </c>
      <c r="N660" s="19" t="e">
        <f>IF(J660="","SEM #CH",VLOOKUP(J660,#REF!,5,0))</f>
        <v>#REF!</v>
      </c>
      <c r="O660" s="19" t="e">
        <f>IF(J660="","SEM #CH",VLOOKUP(J660,#REF!,6,0))</f>
        <v>#REF!</v>
      </c>
      <c r="P660" s="19" t="e">
        <f>IF(J660="","SEM #CH",VLOOKUP(J660,#REF!,7,0))</f>
        <v>#REF!</v>
      </c>
      <c r="Q660" s="77" t="str">
        <f>VLOOKUP(J660,'p1'!$B$2:$C$30,2,0)</f>
        <v>#3/8-1620X1620</v>
      </c>
      <c r="R660" s="94">
        <v>45966</v>
      </c>
      <c r="S660" s="90" t="s">
        <v>218</v>
      </c>
      <c r="T660" s="90">
        <f t="shared" si="53"/>
        <v>1</v>
      </c>
      <c r="U660" s="94">
        <v>45966</v>
      </c>
      <c r="V660" s="90" t="s">
        <v>86</v>
      </c>
      <c r="W660" s="92">
        <v>2623</v>
      </c>
      <c r="X660" s="93">
        <f t="shared" si="52"/>
        <v>1</v>
      </c>
      <c r="Y660" s="92"/>
      <c r="Z660" s="92"/>
      <c r="AA660" s="13" t="str">
        <f t="shared" si="54"/>
        <v>nov/2025</v>
      </c>
    </row>
    <row r="661" spans="1:27" x14ac:dyDescent="0.25">
      <c r="A661" s="89">
        <v>660</v>
      </c>
      <c r="B661" s="68">
        <v>45960</v>
      </c>
      <c r="C661" s="40">
        <v>134</v>
      </c>
      <c r="D661" s="40">
        <f t="shared" si="50"/>
        <v>1</v>
      </c>
      <c r="E661" s="66" t="s">
        <v>171</v>
      </c>
      <c r="F661" s="17" t="s">
        <v>60</v>
      </c>
      <c r="G661" s="17" t="s">
        <v>86</v>
      </c>
      <c r="H661" s="42" t="s">
        <v>893</v>
      </c>
      <c r="I661" s="17" t="str">
        <f t="shared" si="51"/>
        <v>PE-660</v>
      </c>
      <c r="J661" s="18" t="s">
        <v>89</v>
      </c>
      <c r="K661" s="19" t="e">
        <f>IF(J661="","SEM #CH",VLOOKUP(J661,#REF!,2,0))</f>
        <v>#REF!</v>
      </c>
      <c r="L661" s="19" t="e">
        <f>IF(J661="","SEM #CH",VLOOKUP(J661,#REF!,3,0))</f>
        <v>#REF!</v>
      </c>
      <c r="M661" s="19" t="e">
        <f>IF(J661="","SEM #CH",VLOOKUP(J661,#REF!,4,0))</f>
        <v>#REF!</v>
      </c>
      <c r="N661" s="19" t="e">
        <f>IF(J661="","SEM #CH",VLOOKUP(J661,#REF!,5,0))</f>
        <v>#REF!</v>
      </c>
      <c r="O661" s="19" t="e">
        <f>IF(J661="","SEM #CH",VLOOKUP(J661,#REF!,6,0))</f>
        <v>#REF!</v>
      </c>
      <c r="P661" s="19" t="e">
        <f>IF(J661="","SEM #CH",VLOOKUP(J661,#REF!,7,0))</f>
        <v>#REF!</v>
      </c>
      <c r="Q661" s="77" t="str">
        <f>VLOOKUP(J661,'p1'!$B$2:$C$30,2,0)</f>
        <v>#3/8-1200X1200</v>
      </c>
      <c r="R661" s="94">
        <v>45966</v>
      </c>
      <c r="S661" s="90" t="s">
        <v>218</v>
      </c>
      <c r="T661" s="90">
        <f t="shared" si="53"/>
        <v>1</v>
      </c>
      <c r="U661" s="94">
        <v>45967</v>
      </c>
      <c r="V661" s="90" t="s">
        <v>86</v>
      </c>
      <c r="W661" s="92">
        <v>2625</v>
      </c>
      <c r="X661" s="93">
        <f t="shared" si="52"/>
        <v>1</v>
      </c>
      <c r="Y661" s="92"/>
      <c r="Z661" s="92"/>
      <c r="AA661" s="13" t="str">
        <f t="shared" si="54"/>
        <v>nov/2025</v>
      </c>
    </row>
    <row r="662" spans="1:27" x14ac:dyDescent="0.25">
      <c r="A662" s="89">
        <v>661</v>
      </c>
      <c r="B662" s="68">
        <v>45951</v>
      </c>
      <c r="C662" s="40">
        <v>125</v>
      </c>
      <c r="D662" s="40">
        <f t="shared" si="50"/>
        <v>1</v>
      </c>
      <c r="E662" s="66" t="s">
        <v>171</v>
      </c>
      <c r="F662" s="17" t="s">
        <v>60</v>
      </c>
      <c r="G662" s="17" t="s">
        <v>86</v>
      </c>
      <c r="H662" s="42" t="s">
        <v>894</v>
      </c>
      <c r="I662" s="17" t="str">
        <f t="shared" si="51"/>
        <v>PE-661</v>
      </c>
      <c r="J662" s="18" t="s">
        <v>90</v>
      </c>
      <c r="K662" s="19" t="e">
        <f>IF(J662="","SEM #CH",VLOOKUP(J662,#REF!,2,0))</f>
        <v>#REF!</v>
      </c>
      <c r="L662" s="19" t="e">
        <f>IF(J662="","SEM #CH",VLOOKUP(J662,#REF!,3,0))</f>
        <v>#REF!</v>
      </c>
      <c r="M662" s="19" t="e">
        <f>IF(J662="","SEM #CH",VLOOKUP(J662,#REF!,4,0))</f>
        <v>#REF!</v>
      </c>
      <c r="N662" s="19" t="e">
        <f>IF(J662="","SEM #CH",VLOOKUP(J662,#REF!,5,0))</f>
        <v>#REF!</v>
      </c>
      <c r="O662" s="19" t="e">
        <f>IF(J662="","SEM #CH",VLOOKUP(J662,#REF!,6,0))</f>
        <v>#REF!</v>
      </c>
      <c r="P662" s="19" t="e">
        <f>IF(J662="","SEM #CH",VLOOKUP(J662,#REF!,7,0))</f>
        <v>#REF!</v>
      </c>
      <c r="Q662" s="77" t="str">
        <f>VLOOKUP(J662,'p1'!$B$2:$C$30,2,0)</f>
        <v>#3/8-530X530</v>
      </c>
      <c r="R662" s="94">
        <v>45953</v>
      </c>
      <c r="S662" s="90" t="s">
        <v>218</v>
      </c>
      <c r="T662" s="90">
        <f t="shared" si="53"/>
        <v>1</v>
      </c>
      <c r="U662" s="94">
        <v>45954</v>
      </c>
      <c r="V662" s="90" t="s">
        <v>86</v>
      </c>
      <c r="W662" s="92">
        <v>2598</v>
      </c>
      <c r="X662" s="93">
        <f t="shared" si="52"/>
        <v>1</v>
      </c>
      <c r="Y662" s="92"/>
      <c r="Z662" s="92"/>
      <c r="AA662" s="13" t="str">
        <f t="shared" si="54"/>
        <v>out/2025</v>
      </c>
    </row>
    <row r="663" spans="1:27" x14ac:dyDescent="0.25">
      <c r="A663" s="89">
        <v>662</v>
      </c>
      <c r="B663" s="68">
        <v>45973</v>
      </c>
      <c r="C663" s="40">
        <v>143</v>
      </c>
      <c r="D663" s="40">
        <f t="shared" si="50"/>
        <v>1</v>
      </c>
      <c r="E663" s="66" t="s">
        <v>171</v>
      </c>
      <c r="F663" s="17" t="s">
        <v>58</v>
      </c>
      <c r="G663" s="17" t="s">
        <v>86</v>
      </c>
      <c r="H663" s="42" t="s">
        <v>895</v>
      </c>
      <c r="I663" s="17" t="str">
        <f t="shared" si="51"/>
        <v>PN-662</v>
      </c>
      <c r="J663" s="18" t="s">
        <v>85</v>
      </c>
      <c r="K663" s="19" t="e">
        <f>IF(J663="","SEM #CH",VLOOKUP(J663,#REF!,2,0))</f>
        <v>#REF!</v>
      </c>
      <c r="L663" s="19" t="e">
        <f>IF(J663="","SEM #CH",VLOOKUP(J663,#REF!,3,0))</f>
        <v>#REF!</v>
      </c>
      <c r="M663" s="19" t="e">
        <f>IF(J663="","SEM #CH",VLOOKUP(J663,#REF!,4,0))</f>
        <v>#REF!</v>
      </c>
      <c r="N663" s="19" t="e">
        <f>IF(J663="","SEM #CH",VLOOKUP(J663,#REF!,5,0))</f>
        <v>#REF!</v>
      </c>
      <c r="O663" s="19" t="e">
        <f>IF(J663="","SEM #CH",VLOOKUP(J663,#REF!,6,0))</f>
        <v>#REF!</v>
      </c>
      <c r="P663" s="19" t="e">
        <f>IF(J663="","SEM #CH",VLOOKUP(J663,#REF!,7,0))</f>
        <v>#REF!</v>
      </c>
      <c r="Q663" s="77" t="str">
        <f>VLOOKUP(J663,'p1'!$B$2:$C$30,2,0)</f>
        <v>NÃO TEM CHAPA</v>
      </c>
      <c r="R663" s="94">
        <v>45979</v>
      </c>
      <c r="S663" s="90" t="s">
        <v>218</v>
      </c>
      <c r="T663" s="90">
        <f t="shared" si="53"/>
        <v>1</v>
      </c>
      <c r="U663" s="94">
        <v>45982</v>
      </c>
      <c r="V663" s="90" t="s">
        <v>86</v>
      </c>
      <c r="W663" s="92">
        <v>2661</v>
      </c>
      <c r="X663" s="93">
        <f t="shared" si="52"/>
        <v>1</v>
      </c>
      <c r="Y663" s="92"/>
      <c r="Z663" s="92"/>
      <c r="AA663" s="13" t="str">
        <f t="shared" si="54"/>
        <v>nov/2025</v>
      </c>
    </row>
    <row r="664" spans="1:27" x14ac:dyDescent="0.25">
      <c r="A664" s="89">
        <v>663</v>
      </c>
      <c r="B664" s="68">
        <v>45973</v>
      </c>
      <c r="C664" s="40">
        <v>143</v>
      </c>
      <c r="D664" s="40">
        <f t="shared" si="50"/>
        <v>1</v>
      </c>
      <c r="E664" s="66" t="s">
        <v>171</v>
      </c>
      <c r="F664" s="17" t="s">
        <v>58</v>
      </c>
      <c r="G664" s="17" t="s">
        <v>86</v>
      </c>
      <c r="H664" s="42" t="s">
        <v>896</v>
      </c>
      <c r="I664" s="17" t="str">
        <f t="shared" si="51"/>
        <v>PN-663</v>
      </c>
      <c r="J664" s="18" t="s">
        <v>85</v>
      </c>
      <c r="K664" s="19" t="e">
        <f>IF(J664="","SEM #CH",VLOOKUP(J664,#REF!,2,0))</f>
        <v>#REF!</v>
      </c>
      <c r="L664" s="19" t="e">
        <f>IF(J664="","SEM #CH",VLOOKUP(J664,#REF!,3,0))</f>
        <v>#REF!</v>
      </c>
      <c r="M664" s="19" t="e">
        <f>IF(J664="","SEM #CH",VLOOKUP(J664,#REF!,4,0))</f>
        <v>#REF!</v>
      </c>
      <c r="N664" s="19" t="e">
        <f>IF(J664="","SEM #CH",VLOOKUP(J664,#REF!,5,0))</f>
        <v>#REF!</v>
      </c>
      <c r="O664" s="19" t="e">
        <f>IF(J664="","SEM #CH",VLOOKUP(J664,#REF!,6,0))</f>
        <v>#REF!</v>
      </c>
      <c r="P664" s="19" t="e">
        <f>IF(J664="","SEM #CH",VLOOKUP(J664,#REF!,7,0))</f>
        <v>#REF!</v>
      </c>
      <c r="Q664" s="77" t="str">
        <f>VLOOKUP(J664,'p1'!$B$2:$C$30,2,0)</f>
        <v>NÃO TEM CHAPA</v>
      </c>
      <c r="R664" s="94">
        <v>45980</v>
      </c>
      <c r="S664" s="90" t="s">
        <v>218</v>
      </c>
      <c r="T664" s="90">
        <f t="shared" si="53"/>
        <v>1</v>
      </c>
      <c r="U664" s="94">
        <v>45982</v>
      </c>
      <c r="V664" s="90" t="s">
        <v>86</v>
      </c>
      <c r="W664" s="92">
        <v>2661</v>
      </c>
      <c r="X664" s="93">
        <f t="shared" si="52"/>
        <v>1</v>
      </c>
      <c r="Y664" s="92"/>
      <c r="Z664" s="92"/>
      <c r="AA664" s="13" t="str">
        <f t="shared" si="54"/>
        <v>nov/2025</v>
      </c>
    </row>
    <row r="665" spans="1:27" x14ac:dyDescent="0.25">
      <c r="A665" s="89">
        <v>664</v>
      </c>
      <c r="B665" s="68">
        <v>45973</v>
      </c>
      <c r="C665" s="40">
        <v>143</v>
      </c>
      <c r="D665" s="40">
        <f t="shared" si="50"/>
        <v>1</v>
      </c>
      <c r="E665" s="66" t="s">
        <v>171</v>
      </c>
      <c r="F665" s="17" t="s">
        <v>58</v>
      </c>
      <c r="G665" s="17" t="s">
        <v>86</v>
      </c>
      <c r="H665" s="42" t="s">
        <v>897</v>
      </c>
      <c r="I665" s="17" t="str">
        <f t="shared" si="51"/>
        <v>PN-664</v>
      </c>
      <c r="J665" s="18" t="s">
        <v>85</v>
      </c>
      <c r="K665" s="19" t="e">
        <f>IF(J665="","SEM #CH",VLOOKUP(J665,#REF!,2,0))</f>
        <v>#REF!</v>
      </c>
      <c r="L665" s="19" t="e">
        <f>IF(J665="","SEM #CH",VLOOKUP(J665,#REF!,3,0))</f>
        <v>#REF!</v>
      </c>
      <c r="M665" s="19" t="e">
        <f>IF(J665="","SEM #CH",VLOOKUP(J665,#REF!,4,0))</f>
        <v>#REF!</v>
      </c>
      <c r="N665" s="19" t="e">
        <f>IF(J665="","SEM #CH",VLOOKUP(J665,#REF!,5,0))</f>
        <v>#REF!</v>
      </c>
      <c r="O665" s="19" t="e">
        <f>IF(J665="","SEM #CH",VLOOKUP(J665,#REF!,6,0))</f>
        <v>#REF!</v>
      </c>
      <c r="P665" s="19" t="e">
        <f>IF(J665="","SEM #CH",VLOOKUP(J665,#REF!,7,0))</f>
        <v>#REF!</v>
      </c>
      <c r="Q665" s="77" t="str">
        <f>VLOOKUP(J665,'p1'!$B$2:$C$30,2,0)</f>
        <v>NÃO TEM CHAPA</v>
      </c>
      <c r="R665" s="94">
        <v>45980</v>
      </c>
      <c r="S665" s="90" t="s">
        <v>218</v>
      </c>
      <c r="T665" s="90">
        <f t="shared" si="53"/>
        <v>1</v>
      </c>
      <c r="U665" s="94">
        <v>45982</v>
      </c>
      <c r="V665" s="90" t="s">
        <v>86</v>
      </c>
      <c r="W665" s="92">
        <v>2662</v>
      </c>
      <c r="X665" s="93">
        <f t="shared" si="52"/>
        <v>1</v>
      </c>
      <c r="Y665" s="92"/>
      <c r="Z665" s="92"/>
      <c r="AA665" s="13" t="str">
        <f t="shared" si="54"/>
        <v>nov/2025</v>
      </c>
    </row>
    <row r="666" spans="1:27" x14ac:dyDescent="0.25">
      <c r="A666" s="89">
        <v>665</v>
      </c>
      <c r="B666" s="68">
        <v>45973</v>
      </c>
      <c r="C666" s="40">
        <v>143</v>
      </c>
      <c r="D666" s="40">
        <f t="shared" si="50"/>
        <v>1</v>
      </c>
      <c r="E666" s="66" t="s">
        <v>171</v>
      </c>
      <c r="F666" s="17" t="s">
        <v>58</v>
      </c>
      <c r="G666" s="17" t="s">
        <v>86</v>
      </c>
      <c r="H666" s="42" t="s">
        <v>898</v>
      </c>
      <c r="I666" s="17" t="str">
        <f t="shared" si="51"/>
        <v>PN-665</v>
      </c>
      <c r="J666" s="18" t="s">
        <v>85</v>
      </c>
      <c r="K666" s="19" t="e">
        <f>IF(J666="","SEM #CH",VLOOKUP(J666,#REF!,2,0))</f>
        <v>#REF!</v>
      </c>
      <c r="L666" s="19" t="e">
        <f>IF(J666="","SEM #CH",VLOOKUP(J666,#REF!,3,0))</f>
        <v>#REF!</v>
      </c>
      <c r="M666" s="19" t="e">
        <f>IF(J666="","SEM #CH",VLOOKUP(J666,#REF!,4,0))</f>
        <v>#REF!</v>
      </c>
      <c r="N666" s="19" t="e">
        <f>IF(J666="","SEM #CH",VLOOKUP(J666,#REF!,5,0))</f>
        <v>#REF!</v>
      </c>
      <c r="O666" s="19" t="e">
        <f>IF(J666="","SEM #CH",VLOOKUP(J666,#REF!,6,0))</f>
        <v>#REF!</v>
      </c>
      <c r="P666" s="19" t="e">
        <f>IF(J666="","SEM #CH",VLOOKUP(J666,#REF!,7,0))</f>
        <v>#REF!</v>
      </c>
      <c r="Q666" s="77" t="str">
        <f>VLOOKUP(J666,'p1'!$B$2:$C$30,2,0)</f>
        <v>NÃO TEM CHAPA</v>
      </c>
      <c r="R666" s="94">
        <v>45981</v>
      </c>
      <c r="S666" s="90" t="s">
        <v>218</v>
      </c>
      <c r="T666" s="90">
        <f t="shared" si="53"/>
        <v>1</v>
      </c>
      <c r="U666" s="94">
        <v>45982</v>
      </c>
      <c r="V666" s="90" t="s">
        <v>86</v>
      </c>
      <c r="W666" s="92">
        <v>2660</v>
      </c>
      <c r="X666" s="93">
        <f t="shared" si="52"/>
        <v>1</v>
      </c>
      <c r="Y666" s="92"/>
      <c r="Z666" s="92"/>
      <c r="AA666" s="13" t="str">
        <f t="shared" si="54"/>
        <v>nov/2025</v>
      </c>
    </row>
    <row r="667" spans="1:27" x14ac:dyDescent="0.25">
      <c r="A667" s="89">
        <v>666</v>
      </c>
      <c r="B667" s="68">
        <v>45973</v>
      </c>
      <c r="C667" s="40">
        <v>143</v>
      </c>
      <c r="D667" s="40">
        <f t="shared" si="50"/>
        <v>1</v>
      </c>
      <c r="E667" s="66" t="s">
        <v>171</v>
      </c>
      <c r="F667" s="17" t="s">
        <v>58</v>
      </c>
      <c r="G667" s="17" t="s">
        <v>86</v>
      </c>
      <c r="H667" s="42" t="s">
        <v>899</v>
      </c>
      <c r="I667" s="17" t="str">
        <f t="shared" si="51"/>
        <v>PN-666</v>
      </c>
      <c r="J667" s="18" t="s">
        <v>85</v>
      </c>
      <c r="K667" s="19" t="e">
        <f>IF(J667="","SEM #CH",VLOOKUP(J667,#REF!,2,0))</f>
        <v>#REF!</v>
      </c>
      <c r="L667" s="19" t="e">
        <f>IF(J667="","SEM #CH",VLOOKUP(J667,#REF!,3,0))</f>
        <v>#REF!</v>
      </c>
      <c r="M667" s="19" t="e">
        <f>IF(J667="","SEM #CH",VLOOKUP(J667,#REF!,4,0))</f>
        <v>#REF!</v>
      </c>
      <c r="N667" s="19" t="e">
        <f>IF(J667="","SEM #CH",VLOOKUP(J667,#REF!,5,0))</f>
        <v>#REF!</v>
      </c>
      <c r="O667" s="19" t="e">
        <f>IF(J667="","SEM #CH",VLOOKUP(J667,#REF!,6,0))</f>
        <v>#REF!</v>
      </c>
      <c r="P667" s="19" t="e">
        <f>IF(J667="","SEM #CH",VLOOKUP(J667,#REF!,7,0))</f>
        <v>#REF!</v>
      </c>
      <c r="Q667" s="77" t="str">
        <f>VLOOKUP(J667,'p1'!$B$2:$C$30,2,0)</f>
        <v>NÃO TEM CHAPA</v>
      </c>
      <c r="R667" s="94">
        <v>45981</v>
      </c>
      <c r="S667" s="90" t="s">
        <v>218</v>
      </c>
      <c r="T667" s="90">
        <f t="shared" si="53"/>
        <v>1</v>
      </c>
      <c r="U667" s="94">
        <v>45982</v>
      </c>
      <c r="V667" s="90" t="s">
        <v>86</v>
      </c>
      <c r="W667" s="92">
        <v>2660</v>
      </c>
      <c r="X667" s="93">
        <f t="shared" si="52"/>
        <v>1</v>
      </c>
      <c r="Y667" s="92"/>
      <c r="Z667" s="92"/>
      <c r="AA667" s="13" t="str">
        <f t="shared" si="54"/>
        <v>nov/2025</v>
      </c>
    </row>
    <row r="668" spans="1:27" x14ac:dyDescent="0.25">
      <c r="A668" s="89">
        <v>667</v>
      </c>
      <c r="B668" s="68">
        <v>45973</v>
      </c>
      <c r="C668" s="40">
        <v>143</v>
      </c>
      <c r="D668" s="40">
        <f t="shared" si="50"/>
        <v>1</v>
      </c>
      <c r="E668" s="66" t="s">
        <v>171</v>
      </c>
      <c r="F668" s="17" t="s">
        <v>58</v>
      </c>
      <c r="G668" s="17" t="s">
        <v>86</v>
      </c>
      <c r="H668" s="42" t="s">
        <v>900</v>
      </c>
      <c r="I668" s="17" t="str">
        <f t="shared" si="51"/>
        <v>PN-667</v>
      </c>
      <c r="J668" s="18" t="s">
        <v>85</v>
      </c>
      <c r="K668" s="19" t="e">
        <f>IF(J668="","SEM #CH",VLOOKUP(J668,#REF!,2,0))</f>
        <v>#REF!</v>
      </c>
      <c r="L668" s="19" t="e">
        <f>IF(J668="","SEM #CH",VLOOKUP(J668,#REF!,3,0))</f>
        <v>#REF!</v>
      </c>
      <c r="M668" s="19" t="e">
        <f>IF(J668="","SEM #CH",VLOOKUP(J668,#REF!,4,0))</f>
        <v>#REF!</v>
      </c>
      <c r="N668" s="19" t="e">
        <f>IF(J668="","SEM #CH",VLOOKUP(J668,#REF!,5,0))</f>
        <v>#REF!</v>
      </c>
      <c r="O668" s="19" t="e">
        <f>IF(J668="","SEM #CH",VLOOKUP(J668,#REF!,6,0))</f>
        <v>#REF!</v>
      </c>
      <c r="P668" s="19" t="e">
        <f>IF(J668="","SEM #CH",VLOOKUP(J668,#REF!,7,0))</f>
        <v>#REF!</v>
      </c>
      <c r="Q668" s="77" t="str">
        <f>VLOOKUP(J668,'p1'!$B$2:$C$30,2,0)</f>
        <v>NÃO TEM CHAPA</v>
      </c>
      <c r="R668" s="94">
        <v>45980</v>
      </c>
      <c r="S668" s="90" t="s">
        <v>218</v>
      </c>
      <c r="T668" s="90">
        <f t="shared" si="53"/>
        <v>1</v>
      </c>
      <c r="U668" s="94">
        <v>45982</v>
      </c>
      <c r="V668" s="90" t="s">
        <v>86</v>
      </c>
      <c r="W668" s="92">
        <v>2660</v>
      </c>
      <c r="X668" s="93">
        <f t="shared" si="52"/>
        <v>1</v>
      </c>
      <c r="Y668" s="92"/>
      <c r="Z668" s="92"/>
      <c r="AA668" s="13" t="str">
        <f t="shared" si="54"/>
        <v>nov/2025</v>
      </c>
    </row>
    <row r="669" spans="1:27" x14ac:dyDescent="0.25">
      <c r="A669" s="89">
        <v>668</v>
      </c>
      <c r="B669" s="68">
        <v>45973</v>
      </c>
      <c r="C669" s="40">
        <v>143</v>
      </c>
      <c r="D669" s="40">
        <f t="shared" si="50"/>
        <v>1</v>
      </c>
      <c r="E669" s="66" t="s">
        <v>171</v>
      </c>
      <c r="F669" s="17" t="s">
        <v>58</v>
      </c>
      <c r="G669" s="17" t="s">
        <v>86</v>
      </c>
      <c r="H669" s="42" t="s">
        <v>901</v>
      </c>
      <c r="I669" s="17" t="str">
        <f t="shared" si="51"/>
        <v>PN-668</v>
      </c>
      <c r="J669" s="18" t="s">
        <v>85</v>
      </c>
      <c r="K669" s="19" t="e">
        <f>IF(J669="","SEM #CH",VLOOKUP(J669,#REF!,2,0))</f>
        <v>#REF!</v>
      </c>
      <c r="L669" s="19" t="e">
        <f>IF(J669="","SEM #CH",VLOOKUP(J669,#REF!,3,0))</f>
        <v>#REF!</v>
      </c>
      <c r="M669" s="19" t="e">
        <f>IF(J669="","SEM #CH",VLOOKUP(J669,#REF!,4,0))</f>
        <v>#REF!</v>
      </c>
      <c r="N669" s="19" t="e">
        <f>IF(J669="","SEM #CH",VLOOKUP(J669,#REF!,5,0))</f>
        <v>#REF!</v>
      </c>
      <c r="O669" s="19" t="e">
        <f>IF(J669="","SEM #CH",VLOOKUP(J669,#REF!,6,0))</f>
        <v>#REF!</v>
      </c>
      <c r="P669" s="19" t="e">
        <f>IF(J669="","SEM #CH",VLOOKUP(J669,#REF!,7,0))</f>
        <v>#REF!</v>
      </c>
      <c r="Q669" s="77" t="str">
        <f>VLOOKUP(J669,'p1'!$B$2:$C$30,2,0)</f>
        <v>NÃO TEM CHAPA</v>
      </c>
      <c r="R669" s="94">
        <v>45980</v>
      </c>
      <c r="S669" s="90" t="s">
        <v>218</v>
      </c>
      <c r="T669" s="90">
        <f t="shared" si="53"/>
        <v>1</v>
      </c>
      <c r="U669" s="94">
        <v>45982</v>
      </c>
      <c r="V669" s="90" t="s">
        <v>86</v>
      </c>
      <c r="W669" s="92">
        <v>2661</v>
      </c>
      <c r="X669" s="93">
        <f t="shared" si="52"/>
        <v>1</v>
      </c>
      <c r="Y669" s="92"/>
      <c r="Z669" s="92"/>
      <c r="AA669" s="13" t="str">
        <f t="shared" si="54"/>
        <v>nov/2025</v>
      </c>
    </row>
    <row r="670" spans="1:27" x14ac:dyDescent="0.25">
      <c r="A670" s="89">
        <v>669</v>
      </c>
      <c r="B670" s="68">
        <v>45975</v>
      </c>
      <c r="C670" s="40">
        <v>145</v>
      </c>
      <c r="D670" s="40">
        <f t="shared" si="50"/>
        <v>1</v>
      </c>
      <c r="E670" s="66" t="s">
        <v>171</v>
      </c>
      <c r="F670" s="17" t="s">
        <v>58</v>
      </c>
      <c r="G670" s="17" t="s">
        <v>86</v>
      </c>
      <c r="H670" s="42" t="s">
        <v>902</v>
      </c>
      <c r="I670" s="17" t="str">
        <f t="shared" si="51"/>
        <v>PN-669</v>
      </c>
      <c r="J670" s="18" t="s">
        <v>85</v>
      </c>
      <c r="K670" s="19" t="e">
        <f>IF(J670="","SEM #CH",VLOOKUP(J670,#REF!,2,0))</f>
        <v>#REF!</v>
      </c>
      <c r="L670" s="19" t="e">
        <f>IF(J670="","SEM #CH",VLOOKUP(J670,#REF!,3,0))</f>
        <v>#REF!</v>
      </c>
      <c r="M670" s="19" t="e">
        <f>IF(J670="","SEM #CH",VLOOKUP(J670,#REF!,4,0))</f>
        <v>#REF!</v>
      </c>
      <c r="N670" s="19" t="e">
        <f>IF(J670="","SEM #CH",VLOOKUP(J670,#REF!,5,0))</f>
        <v>#REF!</v>
      </c>
      <c r="O670" s="19" t="e">
        <f>IF(J670="","SEM #CH",VLOOKUP(J670,#REF!,6,0))</f>
        <v>#REF!</v>
      </c>
      <c r="P670" s="19" t="e">
        <f>IF(J670="","SEM #CH",VLOOKUP(J670,#REF!,7,0))</f>
        <v>#REF!</v>
      </c>
      <c r="Q670" s="77" t="str">
        <f>VLOOKUP(J670,'p1'!$B$2:$C$30,2,0)</f>
        <v>NÃO TEM CHAPA</v>
      </c>
      <c r="R670" s="94">
        <v>45979</v>
      </c>
      <c r="S670" s="90" t="s">
        <v>218</v>
      </c>
      <c r="T670" s="90">
        <f t="shared" si="53"/>
        <v>1</v>
      </c>
      <c r="U670" s="94">
        <v>45982</v>
      </c>
      <c r="V670" s="90" t="s">
        <v>86</v>
      </c>
      <c r="W670" s="92">
        <v>2662</v>
      </c>
      <c r="X670" s="93">
        <f t="shared" si="52"/>
        <v>1</v>
      </c>
      <c r="Y670" s="92"/>
      <c r="Z670" s="92"/>
      <c r="AA670" s="13" t="str">
        <f t="shared" si="54"/>
        <v>nov/2025</v>
      </c>
    </row>
    <row r="671" spans="1:27" x14ac:dyDescent="0.25">
      <c r="A671" s="89">
        <v>670</v>
      </c>
      <c r="B671" s="68">
        <v>45975</v>
      </c>
      <c r="C671" s="40">
        <v>145</v>
      </c>
      <c r="D671" s="40">
        <f t="shared" si="50"/>
        <v>1</v>
      </c>
      <c r="E671" s="66" t="s">
        <v>171</v>
      </c>
      <c r="F671" s="17" t="s">
        <v>58</v>
      </c>
      <c r="G671" s="17" t="s">
        <v>86</v>
      </c>
      <c r="H671" s="42" t="s">
        <v>903</v>
      </c>
      <c r="I671" s="17" t="str">
        <f t="shared" si="51"/>
        <v>PN-670</v>
      </c>
      <c r="J671" s="18" t="s">
        <v>85</v>
      </c>
      <c r="K671" s="19" t="e">
        <f>IF(J671="","SEM #CH",VLOOKUP(J671,#REF!,2,0))</f>
        <v>#REF!</v>
      </c>
      <c r="L671" s="19" t="e">
        <f>IF(J671="","SEM #CH",VLOOKUP(J671,#REF!,3,0))</f>
        <v>#REF!</v>
      </c>
      <c r="M671" s="19" t="e">
        <f>IF(J671="","SEM #CH",VLOOKUP(J671,#REF!,4,0))</f>
        <v>#REF!</v>
      </c>
      <c r="N671" s="19" t="e">
        <f>IF(J671="","SEM #CH",VLOOKUP(J671,#REF!,5,0))</f>
        <v>#REF!</v>
      </c>
      <c r="O671" s="19" t="e">
        <f>IF(J671="","SEM #CH",VLOOKUP(J671,#REF!,6,0))</f>
        <v>#REF!</v>
      </c>
      <c r="P671" s="19" t="e">
        <f>IF(J671="","SEM #CH",VLOOKUP(J671,#REF!,7,0))</f>
        <v>#REF!</v>
      </c>
      <c r="Q671" s="77" t="str">
        <f>VLOOKUP(J671,'p1'!$B$2:$C$30,2,0)</f>
        <v>NÃO TEM CHAPA</v>
      </c>
      <c r="R671" s="94">
        <v>45982</v>
      </c>
      <c r="S671" s="90" t="s">
        <v>218</v>
      </c>
      <c r="T671" s="90">
        <f t="shared" si="53"/>
        <v>1</v>
      </c>
      <c r="U671" s="94">
        <v>45982</v>
      </c>
      <c r="V671" s="90" t="s">
        <v>86</v>
      </c>
      <c r="W671" s="92">
        <v>2661</v>
      </c>
      <c r="X671" s="93">
        <f t="shared" si="52"/>
        <v>1</v>
      </c>
      <c r="Y671" s="92"/>
      <c r="Z671" s="92"/>
      <c r="AA671" s="13" t="str">
        <f t="shared" si="54"/>
        <v>nov/2025</v>
      </c>
    </row>
    <row r="672" spans="1:27" x14ac:dyDescent="0.25">
      <c r="A672" s="89">
        <v>671</v>
      </c>
      <c r="B672" s="68">
        <v>45975</v>
      </c>
      <c r="C672" s="40">
        <v>145</v>
      </c>
      <c r="D672" s="40">
        <f t="shared" si="50"/>
        <v>1</v>
      </c>
      <c r="E672" s="66" t="s">
        <v>171</v>
      </c>
      <c r="F672" s="17" t="s">
        <v>58</v>
      </c>
      <c r="G672" s="17" t="s">
        <v>86</v>
      </c>
      <c r="H672" s="42" t="s">
        <v>904</v>
      </c>
      <c r="I672" s="17" t="str">
        <f t="shared" si="51"/>
        <v>PN-671</v>
      </c>
      <c r="J672" s="18" t="s">
        <v>85</v>
      </c>
      <c r="K672" s="19" t="e">
        <f>IF(J672="","SEM #CH",VLOOKUP(J672,#REF!,2,0))</f>
        <v>#REF!</v>
      </c>
      <c r="L672" s="19" t="e">
        <f>IF(J672="","SEM #CH",VLOOKUP(J672,#REF!,3,0))</f>
        <v>#REF!</v>
      </c>
      <c r="M672" s="19" t="e">
        <f>IF(J672="","SEM #CH",VLOOKUP(J672,#REF!,4,0))</f>
        <v>#REF!</v>
      </c>
      <c r="N672" s="19" t="e">
        <f>IF(J672="","SEM #CH",VLOOKUP(J672,#REF!,5,0))</f>
        <v>#REF!</v>
      </c>
      <c r="O672" s="19" t="e">
        <f>IF(J672="","SEM #CH",VLOOKUP(J672,#REF!,6,0))</f>
        <v>#REF!</v>
      </c>
      <c r="P672" s="19" t="e">
        <f>IF(J672="","SEM #CH",VLOOKUP(J672,#REF!,7,0))</f>
        <v>#REF!</v>
      </c>
      <c r="Q672" s="77" t="str">
        <f>VLOOKUP(J672,'p1'!$B$2:$C$30,2,0)</f>
        <v>NÃO TEM CHAPA</v>
      </c>
      <c r="R672" s="94">
        <v>45982</v>
      </c>
      <c r="S672" s="90" t="s">
        <v>218</v>
      </c>
      <c r="T672" s="90">
        <f t="shared" si="53"/>
        <v>1</v>
      </c>
      <c r="U672" s="94">
        <v>45982</v>
      </c>
      <c r="V672" s="90" t="s">
        <v>86</v>
      </c>
      <c r="W672" s="92">
        <v>2662</v>
      </c>
      <c r="X672" s="93">
        <f t="shared" si="52"/>
        <v>1</v>
      </c>
      <c r="Y672" s="92"/>
      <c r="Z672" s="92"/>
      <c r="AA672" s="13" t="str">
        <f t="shared" si="54"/>
        <v>nov/2025</v>
      </c>
    </row>
    <row r="673" spans="1:27" x14ac:dyDescent="0.25">
      <c r="A673" s="89">
        <v>672</v>
      </c>
      <c r="B673" s="68">
        <v>45975</v>
      </c>
      <c r="C673" s="40">
        <v>145</v>
      </c>
      <c r="D673" s="40">
        <f t="shared" si="50"/>
        <v>1</v>
      </c>
      <c r="E673" s="66" t="s">
        <v>171</v>
      </c>
      <c r="F673" s="17" t="s">
        <v>58</v>
      </c>
      <c r="G673" s="17" t="s">
        <v>86</v>
      </c>
      <c r="H673" s="42" t="s">
        <v>905</v>
      </c>
      <c r="I673" s="17" t="str">
        <f t="shared" si="51"/>
        <v>PN-672</v>
      </c>
      <c r="J673" s="18" t="s">
        <v>85</v>
      </c>
      <c r="K673" s="19" t="e">
        <f>IF(J673="","SEM #CH",VLOOKUP(J673,#REF!,2,0))</f>
        <v>#REF!</v>
      </c>
      <c r="L673" s="19" t="e">
        <f>IF(J673="","SEM #CH",VLOOKUP(J673,#REF!,3,0))</f>
        <v>#REF!</v>
      </c>
      <c r="M673" s="19" t="e">
        <f>IF(J673="","SEM #CH",VLOOKUP(J673,#REF!,4,0))</f>
        <v>#REF!</v>
      </c>
      <c r="N673" s="19" t="e">
        <f>IF(J673="","SEM #CH",VLOOKUP(J673,#REF!,5,0))</f>
        <v>#REF!</v>
      </c>
      <c r="O673" s="19" t="e">
        <f>IF(J673="","SEM #CH",VLOOKUP(J673,#REF!,6,0))</f>
        <v>#REF!</v>
      </c>
      <c r="P673" s="19" t="e">
        <f>IF(J673="","SEM #CH",VLOOKUP(J673,#REF!,7,0))</f>
        <v>#REF!</v>
      </c>
      <c r="Q673" s="77" t="str">
        <f>VLOOKUP(J673,'p1'!$B$2:$C$30,2,0)</f>
        <v>NÃO TEM CHAPA</v>
      </c>
      <c r="R673" s="94">
        <v>45982</v>
      </c>
      <c r="S673" s="90" t="s">
        <v>218</v>
      </c>
      <c r="T673" s="90">
        <f t="shared" si="53"/>
        <v>1</v>
      </c>
      <c r="U673" s="94">
        <v>45982</v>
      </c>
      <c r="V673" s="90" t="s">
        <v>86</v>
      </c>
      <c r="W673" s="92">
        <v>2662</v>
      </c>
      <c r="X673" s="93">
        <f t="shared" si="52"/>
        <v>1</v>
      </c>
      <c r="Y673" s="92"/>
      <c r="Z673" s="92"/>
      <c r="AA673" s="13" t="str">
        <f t="shared" si="54"/>
        <v>nov/2025</v>
      </c>
    </row>
    <row r="674" spans="1:27" x14ac:dyDescent="0.25">
      <c r="A674" s="89">
        <v>673</v>
      </c>
      <c r="B674" s="68">
        <v>45975</v>
      </c>
      <c r="C674" s="40">
        <v>145</v>
      </c>
      <c r="D674" s="40">
        <f t="shared" si="50"/>
        <v>1</v>
      </c>
      <c r="E674" s="66" t="s">
        <v>171</v>
      </c>
      <c r="F674" s="17" t="s">
        <v>58</v>
      </c>
      <c r="G674" s="17" t="s">
        <v>86</v>
      </c>
      <c r="H674" s="42" t="s">
        <v>906</v>
      </c>
      <c r="I674" s="17" t="str">
        <f t="shared" si="51"/>
        <v>PN-673</v>
      </c>
      <c r="J674" s="18" t="s">
        <v>85</v>
      </c>
      <c r="K674" s="19" t="e">
        <f>IF(J674="","SEM #CH",VLOOKUP(J674,#REF!,2,0))</f>
        <v>#REF!</v>
      </c>
      <c r="L674" s="19" t="e">
        <f>IF(J674="","SEM #CH",VLOOKUP(J674,#REF!,3,0))</f>
        <v>#REF!</v>
      </c>
      <c r="M674" s="19" t="e">
        <f>IF(J674="","SEM #CH",VLOOKUP(J674,#REF!,4,0))</f>
        <v>#REF!</v>
      </c>
      <c r="N674" s="19" t="e">
        <f>IF(J674="","SEM #CH",VLOOKUP(J674,#REF!,5,0))</f>
        <v>#REF!</v>
      </c>
      <c r="O674" s="19" t="e">
        <f>IF(J674="","SEM #CH",VLOOKUP(J674,#REF!,6,0))</f>
        <v>#REF!</v>
      </c>
      <c r="P674" s="19" t="e">
        <f>IF(J674="","SEM #CH",VLOOKUP(J674,#REF!,7,0))</f>
        <v>#REF!</v>
      </c>
      <c r="Q674" s="77" t="str">
        <f>VLOOKUP(J674,'p1'!$B$2:$C$30,2,0)</f>
        <v>NÃO TEM CHAPA</v>
      </c>
      <c r="R674" s="94">
        <v>45985</v>
      </c>
      <c r="S674" s="90" t="s">
        <v>218</v>
      </c>
      <c r="T674" s="90">
        <f t="shared" si="53"/>
        <v>1</v>
      </c>
      <c r="U674" s="94">
        <v>45985</v>
      </c>
      <c r="V674" s="90" t="s">
        <v>86</v>
      </c>
      <c r="W674" s="92">
        <v>2669</v>
      </c>
      <c r="X674" s="93">
        <f t="shared" si="52"/>
        <v>1</v>
      </c>
      <c r="Y674" s="92"/>
      <c r="Z674" s="92"/>
      <c r="AA674" s="13" t="str">
        <f t="shared" si="54"/>
        <v>nov/2025</v>
      </c>
    </row>
    <row r="675" spans="1:27" x14ac:dyDescent="0.25">
      <c r="A675" s="89">
        <v>674</v>
      </c>
      <c r="B675" s="68">
        <v>45975</v>
      </c>
      <c r="C675" s="40">
        <v>145</v>
      </c>
      <c r="D675" s="40">
        <f t="shared" si="50"/>
        <v>1</v>
      </c>
      <c r="E675" s="66" t="s">
        <v>171</v>
      </c>
      <c r="F675" s="17" t="s">
        <v>58</v>
      </c>
      <c r="G675" s="17" t="s">
        <v>86</v>
      </c>
      <c r="H675" s="42" t="s">
        <v>907</v>
      </c>
      <c r="I675" s="17" t="str">
        <f t="shared" si="51"/>
        <v>PN-674</v>
      </c>
      <c r="J675" s="18" t="s">
        <v>85</v>
      </c>
      <c r="K675" s="19" t="e">
        <f>IF(J675="","SEM #CH",VLOOKUP(J675,#REF!,2,0))</f>
        <v>#REF!</v>
      </c>
      <c r="L675" s="19" t="e">
        <f>IF(J675="","SEM #CH",VLOOKUP(J675,#REF!,3,0))</f>
        <v>#REF!</v>
      </c>
      <c r="M675" s="19" t="e">
        <f>IF(J675="","SEM #CH",VLOOKUP(J675,#REF!,4,0))</f>
        <v>#REF!</v>
      </c>
      <c r="N675" s="19" t="e">
        <f>IF(J675="","SEM #CH",VLOOKUP(J675,#REF!,5,0))</f>
        <v>#REF!</v>
      </c>
      <c r="O675" s="19" t="e">
        <f>IF(J675="","SEM #CH",VLOOKUP(J675,#REF!,6,0))</f>
        <v>#REF!</v>
      </c>
      <c r="P675" s="19" t="e">
        <f>IF(J675="","SEM #CH",VLOOKUP(J675,#REF!,7,0))</f>
        <v>#REF!</v>
      </c>
      <c r="Q675" s="77" t="str">
        <f>VLOOKUP(J675,'p1'!$B$2:$C$30,2,0)</f>
        <v>NÃO TEM CHAPA</v>
      </c>
      <c r="R675" s="94">
        <v>45985</v>
      </c>
      <c r="S675" s="90" t="s">
        <v>218</v>
      </c>
      <c r="T675" s="90">
        <f t="shared" si="53"/>
        <v>1</v>
      </c>
      <c r="U675" s="94">
        <v>45985</v>
      </c>
      <c r="V675" s="90" t="s">
        <v>86</v>
      </c>
      <c r="W675" s="92">
        <v>2669</v>
      </c>
      <c r="X675" s="93">
        <f t="shared" si="52"/>
        <v>1</v>
      </c>
      <c r="Y675" s="92"/>
      <c r="Z675" s="92"/>
      <c r="AA675" s="13" t="str">
        <f t="shared" si="54"/>
        <v>nov/2025</v>
      </c>
    </row>
    <row r="676" spans="1:27" x14ac:dyDescent="0.25">
      <c r="A676" s="89">
        <v>675</v>
      </c>
      <c r="B676" s="68">
        <v>45957</v>
      </c>
      <c r="C676" s="40">
        <v>130</v>
      </c>
      <c r="D676" s="40">
        <f t="shared" si="50"/>
        <v>1</v>
      </c>
      <c r="E676" s="66" t="s">
        <v>171</v>
      </c>
      <c r="F676" s="17" t="s">
        <v>60</v>
      </c>
      <c r="G676" s="17" t="s">
        <v>86</v>
      </c>
      <c r="H676" s="42" t="s">
        <v>908</v>
      </c>
      <c r="I676" s="17" t="str">
        <f t="shared" si="51"/>
        <v>PE-675</v>
      </c>
      <c r="J676" s="18" t="s">
        <v>90</v>
      </c>
      <c r="K676" s="19" t="e">
        <f>IF(J676="","SEM #CH",VLOOKUP(J676,#REF!,2,0))</f>
        <v>#REF!</v>
      </c>
      <c r="L676" s="19" t="e">
        <f>IF(J676="","SEM #CH",VLOOKUP(J676,#REF!,3,0))</f>
        <v>#REF!</v>
      </c>
      <c r="M676" s="19" t="e">
        <f>IF(J676="","SEM #CH",VLOOKUP(J676,#REF!,4,0))</f>
        <v>#REF!</v>
      </c>
      <c r="N676" s="19" t="e">
        <f>IF(J676="","SEM #CH",VLOOKUP(J676,#REF!,5,0))</f>
        <v>#REF!</v>
      </c>
      <c r="O676" s="19" t="e">
        <f>IF(J676="","SEM #CH",VLOOKUP(J676,#REF!,6,0))</f>
        <v>#REF!</v>
      </c>
      <c r="P676" s="19" t="e">
        <f>IF(J676="","SEM #CH",VLOOKUP(J676,#REF!,7,0))</f>
        <v>#REF!</v>
      </c>
      <c r="Q676" s="77" t="str">
        <f>VLOOKUP(J676,'p1'!$B$2:$C$30,2,0)</f>
        <v>#3/8-530X530</v>
      </c>
      <c r="R676" s="94">
        <v>45965</v>
      </c>
      <c r="S676" s="90" t="s">
        <v>218</v>
      </c>
      <c r="T676" s="90">
        <f t="shared" si="53"/>
        <v>1</v>
      </c>
      <c r="U676" s="94">
        <v>45965</v>
      </c>
      <c r="V676" s="90" t="s">
        <v>86</v>
      </c>
      <c r="W676" s="92">
        <v>2618</v>
      </c>
      <c r="X676" s="93">
        <f t="shared" si="52"/>
        <v>1</v>
      </c>
      <c r="Y676" s="92"/>
      <c r="Z676" s="92"/>
      <c r="AA676" s="13" t="str">
        <f t="shared" si="54"/>
        <v>nov/2025</v>
      </c>
    </row>
    <row r="677" spans="1:27" x14ac:dyDescent="0.25">
      <c r="A677" s="89">
        <v>676</v>
      </c>
      <c r="B677" s="68">
        <v>45975</v>
      </c>
      <c r="C677" s="40">
        <v>145</v>
      </c>
      <c r="D677" s="40">
        <f t="shared" si="50"/>
        <v>1</v>
      </c>
      <c r="E677" s="66" t="s">
        <v>171</v>
      </c>
      <c r="F677" s="17" t="s">
        <v>58</v>
      </c>
      <c r="G677" s="17" t="s">
        <v>86</v>
      </c>
      <c r="H677" s="42" t="s">
        <v>909</v>
      </c>
      <c r="I677" s="17" t="str">
        <f t="shared" si="51"/>
        <v>PN-676</v>
      </c>
      <c r="J677" s="18" t="s">
        <v>85</v>
      </c>
      <c r="K677" s="19" t="e">
        <f>IF(J677="","SEM #CH",VLOOKUP(J677,#REF!,2,0))</f>
        <v>#REF!</v>
      </c>
      <c r="L677" s="19" t="e">
        <f>IF(J677="","SEM #CH",VLOOKUP(J677,#REF!,3,0))</f>
        <v>#REF!</v>
      </c>
      <c r="M677" s="19" t="e">
        <f>IF(J677="","SEM #CH",VLOOKUP(J677,#REF!,4,0))</f>
        <v>#REF!</v>
      </c>
      <c r="N677" s="19" t="e">
        <f>IF(J677="","SEM #CH",VLOOKUP(J677,#REF!,5,0))</f>
        <v>#REF!</v>
      </c>
      <c r="O677" s="19" t="e">
        <f>IF(J677="","SEM #CH",VLOOKUP(J677,#REF!,6,0))</f>
        <v>#REF!</v>
      </c>
      <c r="P677" s="19" t="e">
        <f>IF(J677="","SEM #CH",VLOOKUP(J677,#REF!,7,0))</f>
        <v>#REF!</v>
      </c>
      <c r="Q677" s="77" t="str">
        <f>VLOOKUP(J677,'p1'!$B$2:$C$30,2,0)</f>
        <v>NÃO TEM CHAPA</v>
      </c>
      <c r="R677" s="94">
        <v>45983</v>
      </c>
      <c r="S677" s="90" t="s">
        <v>218</v>
      </c>
      <c r="T677" s="90">
        <f t="shared" si="53"/>
        <v>1</v>
      </c>
      <c r="U677" s="94">
        <v>45985</v>
      </c>
      <c r="V677" s="90" t="s">
        <v>86</v>
      </c>
      <c r="W677" s="92">
        <v>2669</v>
      </c>
      <c r="X677" s="93">
        <f t="shared" si="52"/>
        <v>1</v>
      </c>
      <c r="Y677" s="92"/>
      <c r="Z677" s="92"/>
      <c r="AA677" s="13" t="str">
        <f t="shared" si="54"/>
        <v>nov/2025</v>
      </c>
    </row>
    <row r="678" spans="1:27" x14ac:dyDescent="0.25">
      <c r="A678" s="89">
        <v>677</v>
      </c>
      <c r="B678" s="68">
        <v>45979</v>
      </c>
      <c r="C678" s="40">
        <v>148</v>
      </c>
      <c r="D678" s="40">
        <f t="shared" si="50"/>
        <v>1</v>
      </c>
      <c r="E678" s="66" t="s">
        <v>171</v>
      </c>
      <c r="F678" s="17" t="s">
        <v>58</v>
      </c>
      <c r="G678" s="17" t="s">
        <v>86</v>
      </c>
      <c r="H678" s="42" t="s">
        <v>910</v>
      </c>
      <c r="I678" s="17" t="str">
        <f t="shared" si="51"/>
        <v>PN-677</v>
      </c>
      <c r="J678" s="18" t="s">
        <v>85</v>
      </c>
      <c r="K678" s="19" t="e">
        <f>IF(J678="","SEM #CH",VLOOKUP(J678,#REF!,2,0))</f>
        <v>#REF!</v>
      </c>
      <c r="L678" s="19" t="e">
        <f>IF(J678="","SEM #CH",VLOOKUP(J678,#REF!,3,0))</f>
        <v>#REF!</v>
      </c>
      <c r="M678" s="19" t="e">
        <f>IF(J678="","SEM #CH",VLOOKUP(J678,#REF!,4,0))</f>
        <v>#REF!</v>
      </c>
      <c r="N678" s="19" t="e">
        <f>IF(J678="","SEM #CH",VLOOKUP(J678,#REF!,5,0))</f>
        <v>#REF!</v>
      </c>
      <c r="O678" s="19" t="e">
        <f>IF(J678="","SEM #CH",VLOOKUP(J678,#REF!,6,0))</f>
        <v>#REF!</v>
      </c>
      <c r="P678" s="19" t="e">
        <f>IF(J678="","SEM #CH",VLOOKUP(J678,#REF!,7,0))</f>
        <v>#REF!</v>
      </c>
      <c r="Q678" s="77" t="str">
        <f>VLOOKUP(J678,'p1'!$B$2:$C$30,2,0)</f>
        <v>NÃO TEM CHAPA</v>
      </c>
      <c r="R678" s="94">
        <v>45985</v>
      </c>
      <c r="S678" s="90" t="s">
        <v>218</v>
      </c>
      <c r="T678" s="90">
        <f t="shared" si="53"/>
        <v>1</v>
      </c>
      <c r="U678" s="94">
        <v>45985</v>
      </c>
      <c r="V678" s="90" t="s">
        <v>86</v>
      </c>
      <c r="W678" s="92">
        <v>2669</v>
      </c>
      <c r="X678" s="93">
        <f t="shared" si="52"/>
        <v>1</v>
      </c>
      <c r="Y678" s="92"/>
      <c r="Z678" s="92"/>
      <c r="AA678" s="13" t="str">
        <f t="shared" si="54"/>
        <v>nov/2025</v>
      </c>
    </row>
    <row r="679" spans="1:27" x14ac:dyDescent="0.25">
      <c r="A679" s="89">
        <v>678</v>
      </c>
      <c r="B679" s="68">
        <v>45979</v>
      </c>
      <c r="C679" s="40">
        <v>148</v>
      </c>
      <c r="D679" s="40">
        <f t="shared" si="50"/>
        <v>1</v>
      </c>
      <c r="E679" s="66" t="s">
        <v>171</v>
      </c>
      <c r="F679" s="17" t="s">
        <v>58</v>
      </c>
      <c r="G679" s="17" t="s">
        <v>86</v>
      </c>
      <c r="H679" s="42" t="s">
        <v>911</v>
      </c>
      <c r="I679" s="17" t="str">
        <f t="shared" si="51"/>
        <v>PN-678</v>
      </c>
      <c r="J679" s="18" t="s">
        <v>85</v>
      </c>
      <c r="K679" s="19" t="e">
        <f>IF(J679="","SEM #CH",VLOOKUP(J679,#REF!,2,0))</f>
        <v>#REF!</v>
      </c>
      <c r="L679" s="19" t="e">
        <f>IF(J679="","SEM #CH",VLOOKUP(J679,#REF!,3,0))</f>
        <v>#REF!</v>
      </c>
      <c r="M679" s="19" t="e">
        <f>IF(J679="","SEM #CH",VLOOKUP(J679,#REF!,4,0))</f>
        <v>#REF!</v>
      </c>
      <c r="N679" s="19" t="e">
        <f>IF(J679="","SEM #CH",VLOOKUP(J679,#REF!,5,0))</f>
        <v>#REF!</v>
      </c>
      <c r="O679" s="19" t="e">
        <f>IF(J679="","SEM #CH",VLOOKUP(J679,#REF!,6,0))</f>
        <v>#REF!</v>
      </c>
      <c r="P679" s="19" t="e">
        <f>IF(J679="","SEM #CH",VLOOKUP(J679,#REF!,7,0))</f>
        <v>#REF!</v>
      </c>
      <c r="Q679" s="77" t="str">
        <f>VLOOKUP(J679,'p1'!$B$2:$C$30,2,0)</f>
        <v>NÃO TEM CHAPA</v>
      </c>
      <c r="R679" s="94">
        <v>45986</v>
      </c>
      <c r="S679" s="90" t="s">
        <v>218</v>
      </c>
      <c r="T679" s="90">
        <f t="shared" si="53"/>
        <v>1</v>
      </c>
      <c r="U679" s="94">
        <v>45987</v>
      </c>
      <c r="V679" s="90" t="s">
        <v>86</v>
      </c>
      <c r="W679" s="92">
        <v>2674</v>
      </c>
      <c r="X679" s="93">
        <f t="shared" si="52"/>
        <v>1</v>
      </c>
      <c r="Y679" s="92"/>
      <c r="Z679" s="92"/>
      <c r="AA679" s="13" t="str">
        <f t="shared" si="54"/>
        <v>nov/2025</v>
      </c>
    </row>
    <row r="680" spans="1:27" x14ac:dyDescent="0.25">
      <c r="A680" s="89">
        <v>679</v>
      </c>
      <c r="B680" s="68">
        <v>45979</v>
      </c>
      <c r="C680" s="40">
        <v>148</v>
      </c>
      <c r="D680" s="40">
        <f t="shared" si="50"/>
        <v>1</v>
      </c>
      <c r="E680" s="66" t="s">
        <v>171</v>
      </c>
      <c r="F680" s="17" t="s">
        <v>58</v>
      </c>
      <c r="G680" s="17" t="s">
        <v>86</v>
      </c>
      <c r="H680" s="42" t="s">
        <v>912</v>
      </c>
      <c r="I680" s="17" t="str">
        <f t="shared" si="51"/>
        <v>PN-679</v>
      </c>
      <c r="J680" s="18" t="s">
        <v>85</v>
      </c>
      <c r="K680" s="19" t="e">
        <f>IF(J680="","SEM #CH",VLOOKUP(J680,#REF!,2,0))</f>
        <v>#REF!</v>
      </c>
      <c r="L680" s="19" t="e">
        <f>IF(J680="","SEM #CH",VLOOKUP(J680,#REF!,3,0))</f>
        <v>#REF!</v>
      </c>
      <c r="M680" s="19" t="e">
        <f>IF(J680="","SEM #CH",VLOOKUP(J680,#REF!,4,0))</f>
        <v>#REF!</v>
      </c>
      <c r="N680" s="19" t="e">
        <f>IF(J680="","SEM #CH",VLOOKUP(J680,#REF!,5,0))</f>
        <v>#REF!</v>
      </c>
      <c r="O680" s="19" t="e">
        <f>IF(J680="","SEM #CH",VLOOKUP(J680,#REF!,6,0))</f>
        <v>#REF!</v>
      </c>
      <c r="P680" s="19" t="e">
        <f>IF(J680="","SEM #CH",VLOOKUP(J680,#REF!,7,0))</f>
        <v>#REF!</v>
      </c>
      <c r="Q680" s="77" t="str">
        <f>VLOOKUP(J680,'p1'!$B$2:$C$30,2,0)</f>
        <v>NÃO TEM CHAPA</v>
      </c>
      <c r="R680" s="94">
        <v>45988</v>
      </c>
      <c r="S680" s="90" t="s">
        <v>218</v>
      </c>
      <c r="T680" s="90">
        <f t="shared" si="53"/>
        <v>1</v>
      </c>
      <c r="U680" s="94">
        <v>45989</v>
      </c>
      <c r="V680" s="90" t="s">
        <v>86</v>
      </c>
      <c r="W680" s="92">
        <v>2682</v>
      </c>
      <c r="X680" s="93">
        <f t="shared" si="52"/>
        <v>1</v>
      </c>
      <c r="Y680" s="92"/>
      <c r="Z680" s="92"/>
      <c r="AA680" s="13" t="str">
        <f t="shared" si="54"/>
        <v>nov/2025</v>
      </c>
    </row>
    <row r="681" spans="1:27" x14ac:dyDescent="0.25">
      <c r="A681" s="89">
        <v>680</v>
      </c>
      <c r="B681" s="68">
        <v>45979</v>
      </c>
      <c r="C681" s="40">
        <v>148</v>
      </c>
      <c r="D681" s="40">
        <f t="shared" si="50"/>
        <v>1</v>
      </c>
      <c r="E681" s="66" t="s">
        <v>171</v>
      </c>
      <c r="F681" s="17" t="s">
        <v>58</v>
      </c>
      <c r="G681" s="17" t="s">
        <v>86</v>
      </c>
      <c r="H681" s="42" t="s">
        <v>913</v>
      </c>
      <c r="I681" s="17" t="str">
        <f t="shared" si="51"/>
        <v>PN-680</v>
      </c>
      <c r="J681" s="18" t="s">
        <v>85</v>
      </c>
      <c r="K681" s="19" t="e">
        <f>IF(J681="","SEM #CH",VLOOKUP(J681,#REF!,2,0))</f>
        <v>#REF!</v>
      </c>
      <c r="L681" s="19" t="e">
        <f>IF(J681="","SEM #CH",VLOOKUP(J681,#REF!,3,0))</f>
        <v>#REF!</v>
      </c>
      <c r="M681" s="19" t="e">
        <f>IF(J681="","SEM #CH",VLOOKUP(J681,#REF!,4,0))</f>
        <v>#REF!</v>
      </c>
      <c r="N681" s="19" t="e">
        <f>IF(J681="","SEM #CH",VLOOKUP(J681,#REF!,5,0))</f>
        <v>#REF!</v>
      </c>
      <c r="O681" s="19" t="e">
        <f>IF(J681="","SEM #CH",VLOOKUP(J681,#REF!,6,0))</f>
        <v>#REF!</v>
      </c>
      <c r="P681" s="19" t="e">
        <f>IF(J681="","SEM #CH",VLOOKUP(J681,#REF!,7,0))</f>
        <v>#REF!</v>
      </c>
      <c r="Q681" s="77" t="str">
        <f>VLOOKUP(J681,'p1'!$B$2:$C$30,2,0)</f>
        <v>NÃO TEM CHAPA</v>
      </c>
      <c r="R681" s="94">
        <v>45988</v>
      </c>
      <c r="S681" s="90" t="s">
        <v>218</v>
      </c>
      <c r="T681" s="90">
        <f t="shared" si="53"/>
        <v>1</v>
      </c>
      <c r="U681" s="94">
        <v>45989</v>
      </c>
      <c r="V681" s="90" t="s">
        <v>86</v>
      </c>
      <c r="W681" s="92">
        <v>2682</v>
      </c>
      <c r="X681" s="93">
        <f t="shared" si="52"/>
        <v>1</v>
      </c>
      <c r="Y681" s="92"/>
      <c r="Z681" s="92"/>
      <c r="AA681" s="13" t="str">
        <f t="shared" si="54"/>
        <v>nov/2025</v>
      </c>
    </row>
    <row r="682" spans="1:27" x14ac:dyDescent="0.25">
      <c r="A682" s="89">
        <v>681</v>
      </c>
      <c r="B682" s="68">
        <v>45979</v>
      </c>
      <c r="C682" s="40">
        <v>148</v>
      </c>
      <c r="D682" s="40">
        <f t="shared" si="50"/>
        <v>1</v>
      </c>
      <c r="E682" s="66" t="s">
        <v>171</v>
      </c>
      <c r="F682" s="17" t="s">
        <v>58</v>
      </c>
      <c r="G682" s="17" t="s">
        <v>86</v>
      </c>
      <c r="H682" s="42" t="s">
        <v>914</v>
      </c>
      <c r="I682" s="17" t="str">
        <f t="shared" si="51"/>
        <v>PN-681</v>
      </c>
      <c r="J682" s="18" t="s">
        <v>85</v>
      </c>
      <c r="K682" s="19" t="e">
        <f>IF(J682="","SEM #CH",VLOOKUP(J682,#REF!,2,0))</f>
        <v>#REF!</v>
      </c>
      <c r="L682" s="19" t="e">
        <f>IF(J682="","SEM #CH",VLOOKUP(J682,#REF!,3,0))</f>
        <v>#REF!</v>
      </c>
      <c r="M682" s="19" t="e">
        <f>IF(J682="","SEM #CH",VLOOKUP(J682,#REF!,4,0))</f>
        <v>#REF!</v>
      </c>
      <c r="N682" s="19" t="e">
        <f>IF(J682="","SEM #CH",VLOOKUP(J682,#REF!,5,0))</f>
        <v>#REF!</v>
      </c>
      <c r="O682" s="19" t="e">
        <f>IF(J682="","SEM #CH",VLOOKUP(J682,#REF!,6,0))</f>
        <v>#REF!</v>
      </c>
      <c r="P682" s="19" t="e">
        <f>IF(J682="","SEM #CH",VLOOKUP(J682,#REF!,7,0))</f>
        <v>#REF!</v>
      </c>
      <c r="Q682" s="77" t="str">
        <f>VLOOKUP(J682,'p1'!$B$2:$C$30,2,0)</f>
        <v>NÃO TEM CHAPA</v>
      </c>
      <c r="R682" s="94">
        <v>45989</v>
      </c>
      <c r="S682" s="90" t="s">
        <v>218</v>
      </c>
      <c r="T682" s="90">
        <f t="shared" si="53"/>
        <v>1</v>
      </c>
      <c r="U682" s="94">
        <v>45992</v>
      </c>
      <c r="V682" s="90" t="s">
        <v>86</v>
      </c>
      <c r="W682" s="92">
        <v>2686</v>
      </c>
      <c r="X682" s="93">
        <f t="shared" si="52"/>
        <v>1</v>
      </c>
      <c r="Y682" s="92"/>
      <c r="Z682" s="92"/>
      <c r="AA682" s="13" t="str">
        <f t="shared" si="54"/>
        <v>nov/2025</v>
      </c>
    </row>
    <row r="683" spans="1:27" x14ac:dyDescent="0.25">
      <c r="A683" s="89">
        <v>682</v>
      </c>
      <c r="B683" s="68">
        <v>45979</v>
      </c>
      <c r="C683" s="40">
        <v>148</v>
      </c>
      <c r="D683" s="40">
        <f t="shared" si="50"/>
        <v>1</v>
      </c>
      <c r="E683" s="66" t="s">
        <v>171</v>
      </c>
      <c r="F683" s="17" t="s">
        <v>58</v>
      </c>
      <c r="G683" s="17" t="s">
        <v>86</v>
      </c>
      <c r="H683" s="42" t="s">
        <v>915</v>
      </c>
      <c r="I683" s="17" t="str">
        <f t="shared" si="51"/>
        <v>PN-682</v>
      </c>
      <c r="J683" s="18" t="s">
        <v>85</v>
      </c>
      <c r="K683" s="19" t="e">
        <f>IF(J683="","SEM #CH",VLOOKUP(J683,#REF!,2,0))</f>
        <v>#REF!</v>
      </c>
      <c r="L683" s="19" t="e">
        <f>IF(J683="","SEM #CH",VLOOKUP(J683,#REF!,3,0))</f>
        <v>#REF!</v>
      </c>
      <c r="M683" s="19" t="e">
        <f>IF(J683="","SEM #CH",VLOOKUP(J683,#REF!,4,0))</f>
        <v>#REF!</v>
      </c>
      <c r="N683" s="19" t="e">
        <f>IF(J683="","SEM #CH",VLOOKUP(J683,#REF!,5,0))</f>
        <v>#REF!</v>
      </c>
      <c r="O683" s="19" t="e">
        <f>IF(J683="","SEM #CH",VLOOKUP(J683,#REF!,6,0))</f>
        <v>#REF!</v>
      </c>
      <c r="P683" s="19" t="e">
        <f>IF(J683="","SEM #CH",VLOOKUP(J683,#REF!,7,0))</f>
        <v>#REF!</v>
      </c>
      <c r="Q683" s="77" t="str">
        <f>VLOOKUP(J683,'p1'!$B$2:$C$30,2,0)</f>
        <v>NÃO TEM CHAPA</v>
      </c>
      <c r="R683" s="94">
        <v>45989</v>
      </c>
      <c r="S683" s="90" t="s">
        <v>218</v>
      </c>
      <c r="T683" s="90">
        <f t="shared" si="53"/>
        <v>1</v>
      </c>
      <c r="U683" s="94">
        <v>45992</v>
      </c>
      <c r="V683" s="90" t="s">
        <v>86</v>
      </c>
      <c r="W683" s="92">
        <v>2686</v>
      </c>
      <c r="X683" s="93">
        <f t="shared" si="52"/>
        <v>1</v>
      </c>
      <c r="Y683" s="92"/>
      <c r="Z683" s="92"/>
      <c r="AA683" s="13" t="str">
        <f t="shared" si="54"/>
        <v>nov/2025</v>
      </c>
    </row>
    <row r="684" spans="1:27" x14ac:dyDescent="0.25">
      <c r="A684" s="89">
        <v>683</v>
      </c>
      <c r="B684" s="68">
        <v>45957</v>
      </c>
      <c r="C684" s="40">
        <v>131</v>
      </c>
      <c r="D684" s="40">
        <f t="shared" si="50"/>
        <v>1</v>
      </c>
      <c r="E684" s="65" t="s">
        <v>162</v>
      </c>
      <c r="F684" s="17" t="s">
        <v>61</v>
      </c>
      <c r="G684" s="17" t="s">
        <v>86</v>
      </c>
      <c r="H684" s="42" t="s">
        <v>916</v>
      </c>
      <c r="I684" s="17" t="str">
        <f t="shared" si="51"/>
        <v>PF-683</v>
      </c>
      <c r="J684" s="18" t="s">
        <v>61</v>
      </c>
      <c r="K684" s="19" t="e">
        <f>IF(J684="","SEM #CH",VLOOKUP(J684,#REF!,2,0))</f>
        <v>#REF!</v>
      </c>
      <c r="L684" s="19" t="e">
        <f>IF(J684="","SEM #CH",VLOOKUP(J684,#REF!,3,0))</f>
        <v>#REF!</v>
      </c>
      <c r="M684" s="19" t="e">
        <f>IF(J684="","SEM #CH",VLOOKUP(J684,#REF!,4,0))</f>
        <v>#REF!</v>
      </c>
      <c r="N684" s="19" t="e">
        <f>IF(J684="","SEM #CH",VLOOKUP(J684,#REF!,5,0))</f>
        <v>#REF!</v>
      </c>
      <c r="O684" s="19" t="e">
        <f>IF(J684="","SEM #CH",VLOOKUP(J684,#REF!,6,0))</f>
        <v>#REF!</v>
      </c>
      <c r="P684" s="19" t="e">
        <f>IF(J684="","SEM #CH",VLOOKUP(J684,#REF!,7,0))</f>
        <v>#REF!</v>
      </c>
      <c r="Q684" s="77" t="str">
        <f>VLOOKUP(J684,'p1'!$B$2:$C$30,2,0)</f>
        <v>SEM CHAPA</v>
      </c>
      <c r="R684" s="94">
        <v>46000</v>
      </c>
      <c r="S684" s="90" t="s">
        <v>217</v>
      </c>
      <c r="T684" s="90">
        <f t="shared" si="53"/>
        <v>1</v>
      </c>
      <c r="U684" s="94">
        <v>46000</v>
      </c>
      <c r="V684" s="90" t="s">
        <v>86</v>
      </c>
      <c r="W684" s="251">
        <v>2705</v>
      </c>
      <c r="X684" s="93">
        <f t="shared" si="52"/>
        <v>1</v>
      </c>
      <c r="Y684" s="92"/>
      <c r="Z684" s="92"/>
      <c r="AA684" s="13" t="str">
        <f t="shared" si="54"/>
        <v>dez/2025</v>
      </c>
    </row>
    <row r="685" spans="1:27" x14ac:dyDescent="0.25">
      <c r="A685" s="89">
        <v>684</v>
      </c>
      <c r="B685" s="68">
        <v>45979</v>
      </c>
      <c r="C685" s="40">
        <v>148</v>
      </c>
      <c r="D685" s="40">
        <f t="shared" si="50"/>
        <v>1</v>
      </c>
      <c r="E685" s="65" t="s">
        <v>162</v>
      </c>
      <c r="F685" s="17" t="s">
        <v>58</v>
      </c>
      <c r="G685" s="17" t="s">
        <v>86</v>
      </c>
      <c r="H685" s="42" t="s">
        <v>917</v>
      </c>
      <c r="I685" s="17" t="str">
        <f t="shared" si="51"/>
        <v>PN-684</v>
      </c>
      <c r="J685" s="18" t="s">
        <v>85</v>
      </c>
      <c r="K685" s="19" t="e">
        <f>IF(J685="","SEM #CH",VLOOKUP(J685,#REF!,2,0))</f>
        <v>#REF!</v>
      </c>
      <c r="L685" s="19" t="e">
        <f>IF(J685="","SEM #CH",VLOOKUP(J685,#REF!,3,0))</f>
        <v>#REF!</v>
      </c>
      <c r="M685" s="19" t="e">
        <f>IF(J685="","SEM #CH",VLOOKUP(J685,#REF!,4,0))</f>
        <v>#REF!</v>
      </c>
      <c r="N685" s="19" t="e">
        <f>IF(J685="","SEM #CH",VLOOKUP(J685,#REF!,5,0))</f>
        <v>#REF!</v>
      </c>
      <c r="O685" s="19" t="e">
        <f>IF(J685="","SEM #CH",VLOOKUP(J685,#REF!,6,0))</f>
        <v>#REF!</v>
      </c>
      <c r="P685" s="19" t="e">
        <f>IF(J685="","SEM #CH",VLOOKUP(J685,#REF!,7,0))</f>
        <v>#REF!</v>
      </c>
      <c r="Q685" s="77" t="str">
        <f>VLOOKUP(J685,'p1'!$B$2:$C$30,2,0)</f>
        <v>NÃO TEM CHAPA</v>
      </c>
      <c r="R685" s="94">
        <v>45992</v>
      </c>
      <c r="S685" s="90" t="s">
        <v>218</v>
      </c>
      <c r="T685" s="90">
        <f t="shared" si="53"/>
        <v>1</v>
      </c>
      <c r="U685" s="94">
        <v>45992</v>
      </c>
      <c r="V685" s="90" t="s">
        <v>86</v>
      </c>
      <c r="W685" s="92">
        <v>2686</v>
      </c>
      <c r="X685" s="93">
        <f t="shared" si="52"/>
        <v>1</v>
      </c>
      <c r="Y685" s="92"/>
      <c r="Z685" s="92"/>
      <c r="AA685" s="13" t="str">
        <f t="shared" si="54"/>
        <v>dez/2025</v>
      </c>
    </row>
    <row r="686" spans="1:27" x14ac:dyDescent="0.25">
      <c r="A686" s="89">
        <v>685</v>
      </c>
      <c r="B686" s="68">
        <v>45981</v>
      </c>
      <c r="C686" s="40">
        <v>151</v>
      </c>
      <c r="D686" s="40">
        <f t="shared" si="50"/>
        <v>1</v>
      </c>
      <c r="E686" s="65" t="s">
        <v>162</v>
      </c>
      <c r="F686" s="17" t="s">
        <v>58</v>
      </c>
      <c r="G686" s="17" t="s">
        <v>86</v>
      </c>
      <c r="H686" s="42" t="s">
        <v>918</v>
      </c>
      <c r="I686" s="17" t="str">
        <f t="shared" si="51"/>
        <v>PN-685</v>
      </c>
      <c r="J686" s="18" t="s">
        <v>85</v>
      </c>
      <c r="K686" s="19" t="e">
        <f>IF(J686="","SEM #CH",VLOOKUP(J686,#REF!,2,0))</f>
        <v>#REF!</v>
      </c>
      <c r="L686" s="19" t="e">
        <f>IF(J686="","SEM #CH",VLOOKUP(J686,#REF!,3,0))</f>
        <v>#REF!</v>
      </c>
      <c r="M686" s="19" t="e">
        <f>IF(J686="","SEM #CH",VLOOKUP(J686,#REF!,4,0))</f>
        <v>#REF!</v>
      </c>
      <c r="N686" s="19" t="e">
        <f>IF(J686="","SEM #CH",VLOOKUP(J686,#REF!,5,0))</f>
        <v>#REF!</v>
      </c>
      <c r="O686" s="19" t="e">
        <f>IF(J686="","SEM #CH",VLOOKUP(J686,#REF!,6,0))</f>
        <v>#REF!</v>
      </c>
      <c r="P686" s="19" t="e">
        <f>IF(J686="","SEM #CH",VLOOKUP(J686,#REF!,7,0))</f>
        <v>#REF!</v>
      </c>
      <c r="Q686" s="77" t="str">
        <f>VLOOKUP(J686,'p1'!$B$2:$C$30,2,0)</f>
        <v>NÃO TEM CHAPA</v>
      </c>
      <c r="R686" s="94">
        <v>45995</v>
      </c>
      <c r="S686" s="90" t="s">
        <v>218</v>
      </c>
      <c r="T686" s="90">
        <f t="shared" si="53"/>
        <v>1</v>
      </c>
      <c r="U686" s="94">
        <v>46000</v>
      </c>
      <c r="V686" s="90" t="s">
        <v>86</v>
      </c>
      <c r="W686" s="92">
        <v>2704</v>
      </c>
      <c r="X686" s="93">
        <f t="shared" si="52"/>
        <v>1</v>
      </c>
      <c r="Y686" s="92"/>
      <c r="Z686" s="92"/>
      <c r="AA686" s="13" t="str">
        <f t="shared" si="54"/>
        <v>dez/2025</v>
      </c>
    </row>
    <row r="687" spans="1:27" x14ac:dyDescent="0.25">
      <c r="A687" s="89">
        <v>686</v>
      </c>
      <c r="B687" s="68">
        <v>45981</v>
      </c>
      <c r="C687" s="40">
        <v>151</v>
      </c>
      <c r="D687" s="40">
        <f t="shared" si="50"/>
        <v>1</v>
      </c>
      <c r="E687" s="65" t="s">
        <v>162</v>
      </c>
      <c r="F687" s="17" t="s">
        <v>58</v>
      </c>
      <c r="G687" s="17" t="s">
        <v>86</v>
      </c>
      <c r="H687" s="42" t="s">
        <v>919</v>
      </c>
      <c r="I687" s="17" t="str">
        <f t="shared" si="51"/>
        <v>PN-686</v>
      </c>
      <c r="J687" s="18" t="s">
        <v>85</v>
      </c>
      <c r="K687" s="19" t="e">
        <f>IF(J687="","SEM #CH",VLOOKUP(J687,#REF!,2,0))</f>
        <v>#REF!</v>
      </c>
      <c r="L687" s="19" t="e">
        <f>IF(J687="","SEM #CH",VLOOKUP(J687,#REF!,3,0))</f>
        <v>#REF!</v>
      </c>
      <c r="M687" s="19" t="e">
        <f>IF(J687="","SEM #CH",VLOOKUP(J687,#REF!,4,0))</f>
        <v>#REF!</v>
      </c>
      <c r="N687" s="19" t="e">
        <f>IF(J687="","SEM #CH",VLOOKUP(J687,#REF!,5,0))</f>
        <v>#REF!</v>
      </c>
      <c r="O687" s="19" t="e">
        <f>IF(J687="","SEM #CH",VLOOKUP(J687,#REF!,6,0))</f>
        <v>#REF!</v>
      </c>
      <c r="P687" s="19" t="e">
        <f>IF(J687="","SEM #CH",VLOOKUP(J687,#REF!,7,0))</f>
        <v>#REF!</v>
      </c>
      <c r="Q687" s="77" t="str">
        <f>VLOOKUP(J687,'p1'!$B$2:$C$30,2,0)</f>
        <v>NÃO TEM CHAPA</v>
      </c>
      <c r="R687" s="94">
        <v>45994</v>
      </c>
      <c r="S687" s="90" t="s">
        <v>218</v>
      </c>
      <c r="T687" s="90">
        <f t="shared" si="53"/>
        <v>1</v>
      </c>
      <c r="U687" s="94">
        <v>45995</v>
      </c>
      <c r="V687" s="90" t="s">
        <v>86</v>
      </c>
      <c r="W687" s="92">
        <v>2697</v>
      </c>
      <c r="X687" s="93">
        <f t="shared" si="52"/>
        <v>1</v>
      </c>
      <c r="Y687" s="92"/>
      <c r="Z687" s="92"/>
      <c r="AA687" s="13" t="str">
        <f t="shared" si="54"/>
        <v>dez/2025</v>
      </c>
    </row>
    <row r="688" spans="1:27" x14ac:dyDescent="0.25">
      <c r="A688" s="89">
        <v>687</v>
      </c>
      <c r="B688" s="68">
        <v>45981</v>
      </c>
      <c r="C688" s="40">
        <v>151</v>
      </c>
      <c r="D688" s="40">
        <f t="shared" si="50"/>
        <v>1</v>
      </c>
      <c r="E688" s="65" t="s">
        <v>162</v>
      </c>
      <c r="F688" s="17" t="s">
        <v>58</v>
      </c>
      <c r="G688" s="17" t="s">
        <v>86</v>
      </c>
      <c r="H688" s="42" t="s">
        <v>920</v>
      </c>
      <c r="I688" s="17" t="str">
        <f t="shared" si="51"/>
        <v>PN-687</v>
      </c>
      <c r="J688" s="18" t="s">
        <v>85</v>
      </c>
      <c r="K688" s="19" t="e">
        <f>IF(J688="","SEM #CH",VLOOKUP(J688,#REF!,2,0))</f>
        <v>#REF!</v>
      </c>
      <c r="L688" s="19" t="e">
        <f>IF(J688="","SEM #CH",VLOOKUP(J688,#REF!,3,0))</f>
        <v>#REF!</v>
      </c>
      <c r="M688" s="19" t="e">
        <f>IF(J688="","SEM #CH",VLOOKUP(J688,#REF!,4,0))</f>
        <v>#REF!</v>
      </c>
      <c r="N688" s="19" t="e">
        <f>IF(J688="","SEM #CH",VLOOKUP(J688,#REF!,5,0))</f>
        <v>#REF!</v>
      </c>
      <c r="O688" s="19" t="e">
        <f>IF(J688="","SEM #CH",VLOOKUP(J688,#REF!,6,0))</f>
        <v>#REF!</v>
      </c>
      <c r="P688" s="19" t="e">
        <f>IF(J688="","SEM #CH",VLOOKUP(J688,#REF!,7,0))</f>
        <v>#REF!</v>
      </c>
      <c r="Q688" s="77" t="str">
        <f>VLOOKUP(J688,'p1'!$B$2:$C$30,2,0)</f>
        <v>NÃO TEM CHAPA</v>
      </c>
      <c r="R688" s="90"/>
      <c r="S688" s="90" t="s">
        <v>218</v>
      </c>
      <c r="T688" s="90">
        <f t="shared" si="53"/>
        <v>0</v>
      </c>
      <c r="U688" s="94">
        <v>46000</v>
      </c>
      <c r="V688" s="90" t="s">
        <v>86</v>
      </c>
      <c r="W688" s="92">
        <v>2704</v>
      </c>
      <c r="X688" s="93">
        <f t="shared" si="52"/>
        <v>1</v>
      </c>
      <c r="Y688" s="92"/>
      <c r="Z688" s="92"/>
      <c r="AA688" s="13" t="str">
        <f t="shared" si="54"/>
        <v>jan/1900</v>
      </c>
    </row>
    <row r="689" spans="1:27" x14ac:dyDescent="0.25">
      <c r="A689" s="89">
        <v>688</v>
      </c>
      <c r="B689" s="68">
        <v>45981</v>
      </c>
      <c r="C689" s="40">
        <v>151</v>
      </c>
      <c r="D689" s="40">
        <f t="shared" si="50"/>
        <v>1</v>
      </c>
      <c r="E689" s="65" t="s">
        <v>162</v>
      </c>
      <c r="F689" s="17" t="s">
        <v>58</v>
      </c>
      <c r="G689" s="17" t="s">
        <v>86</v>
      </c>
      <c r="H689" s="42" t="s">
        <v>921</v>
      </c>
      <c r="I689" s="17" t="str">
        <f t="shared" si="51"/>
        <v>PN-688</v>
      </c>
      <c r="J689" s="18" t="s">
        <v>85</v>
      </c>
      <c r="K689" s="19" t="e">
        <f>IF(J689="","SEM #CH",VLOOKUP(J689,#REF!,2,0))</f>
        <v>#REF!</v>
      </c>
      <c r="L689" s="19" t="e">
        <f>IF(J689="","SEM #CH",VLOOKUP(J689,#REF!,3,0))</f>
        <v>#REF!</v>
      </c>
      <c r="M689" s="19" t="e">
        <f>IF(J689="","SEM #CH",VLOOKUP(J689,#REF!,4,0))</f>
        <v>#REF!</v>
      </c>
      <c r="N689" s="19" t="e">
        <f>IF(J689="","SEM #CH",VLOOKUP(J689,#REF!,5,0))</f>
        <v>#REF!</v>
      </c>
      <c r="O689" s="19" t="e">
        <f>IF(J689="","SEM #CH",VLOOKUP(J689,#REF!,6,0))</f>
        <v>#REF!</v>
      </c>
      <c r="P689" s="19" t="e">
        <f>IF(J689="","SEM #CH",VLOOKUP(J689,#REF!,7,0))</f>
        <v>#REF!</v>
      </c>
      <c r="Q689" s="77" t="str">
        <f>VLOOKUP(J689,'p1'!$B$2:$C$30,2,0)</f>
        <v>NÃO TEM CHAPA</v>
      </c>
      <c r="R689" s="94">
        <v>45999</v>
      </c>
      <c r="S689" s="90" t="s">
        <v>218</v>
      </c>
      <c r="T689" s="90">
        <f t="shared" si="53"/>
        <v>1</v>
      </c>
      <c r="U689" s="94">
        <v>46000</v>
      </c>
      <c r="V689" s="90" t="s">
        <v>86</v>
      </c>
      <c r="W689" s="92">
        <v>2704</v>
      </c>
      <c r="X689" s="93">
        <f t="shared" si="52"/>
        <v>1</v>
      </c>
      <c r="Y689" s="92"/>
      <c r="Z689" s="92"/>
      <c r="AA689" s="13" t="str">
        <f t="shared" si="54"/>
        <v>dez/2025</v>
      </c>
    </row>
    <row r="690" spans="1:27" x14ac:dyDescent="0.25">
      <c r="A690" s="89">
        <v>689</v>
      </c>
      <c r="B690" s="68">
        <v>45981</v>
      </c>
      <c r="C690" s="40">
        <v>151</v>
      </c>
      <c r="D690" s="40">
        <f t="shared" si="50"/>
        <v>1</v>
      </c>
      <c r="E690" s="65" t="s">
        <v>162</v>
      </c>
      <c r="F690" s="17" t="s">
        <v>58</v>
      </c>
      <c r="G690" s="17" t="s">
        <v>86</v>
      </c>
      <c r="H690" s="42" t="s">
        <v>922</v>
      </c>
      <c r="I690" s="17" t="str">
        <f t="shared" si="51"/>
        <v>PN-689</v>
      </c>
      <c r="J690" s="18" t="s">
        <v>85</v>
      </c>
      <c r="K690" s="19" t="e">
        <f>IF(J690="","SEM #CH",VLOOKUP(J690,#REF!,2,0))</f>
        <v>#REF!</v>
      </c>
      <c r="L690" s="19" t="e">
        <f>IF(J690="","SEM #CH",VLOOKUP(J690,#REF!,3,0))</f>
        <v>#REF!</v>
      </c>
      <c r="M690" s="19" t="e">
        <f>IF(J690="","SEM #CH",VLOOKUP(J690,#REF!,4,0))</f>
        <v>#REF!</v>
      </c>
      <c r="N690" s="19" t="e">
        <f>IF(J690="","SEM #CH",VLOOKUP(J690,#REF!,5,0))</f>
        <v>#REF!</v>
      </c>
      <c r="O690" s="19" t="e">
        <f>IF(J690="","SEM #CH",VLOOKUP(J690,#REF!,6,0))</f>
        <v>#REF!</v>
      </c>
      <c r="P690" s="19" t="e">
        <f>IF(J690="","SEM #CH",VLOOKUP(J690,#REF!,7,0))</f>
        <v>#REF!</v>
      </c>
      <c r="Q690" s="77" t="str">
        <f>VLOOKUP(J690,'p1'!$B$2:$C$30,2,0)</f>
        <v>NÃO TEM CHAPA</v>
      </c>
      <c r="R690" s="94">
        <v>46000</v>
      </c>
      <c r="S690" s="90" t="s">
        <v>218</v>
      </c>
      <c r="T690" s="90">
        <f t="shared" si="53"/>
        <v>1</v>
      </c>
      <c r="U690" s="94">
        <v>46000</v>
      </c>
      <c r="V690" s="90" t="s">
        <v>86</v>
      </c>
      <c r="W690" s="92">
        <v>2703</v>
      </c>
      <c r="X690" s="93">
        <f t="shared" si="52"/>
        <v>1</v>
      </c>
      <c r="Y690" s="92"/>
      <c r="Z690" s="92"/>
      <c r="AA690" s="13" t="str">
        <f t="shared" si="54"/>
        <v>dez/2025</v>
      </c>
    </row>
    <row r="691" spans="1:27" x14ac:dyDescent="0.25">
      <c r="A691" s="89">
        <v>690</v>
      </c>
      <c r="B691" s="68">
        <v>45986</v>
      </c>
      <c r="C691" s="40">
        <v>156</v>
      </c>
      <c r="D691" s="40">
        <f t="shared" si="50"/>
        <v>1</v>
      </c>
      <c r="E691" s="65" t="s">
        <v>162</v>
      </c>
      <c r="F691" s="17" t="s">
        <v>60</v>
      </c>
      <c r="G691" s="17" t="s">
        <v>86</v>
      </c>
      <c r="H691" s="42" t="s">
        <v>923</v>
      </c>
      <c r="I691" s="17" t="str">
        <f t="shared" si="51"/>
        <v>PE-690</v>
      </c>
      <c r="J691" s="18" t="s">
        <v>88</v>
      </c>
      <c r="K691" s="19" t="e">
        <f>IF(J691="","SEM #CH",VLOOKUP(J691,#REF!,2,0))</f>
        <v>#REF!</v>
      </c>
      <c r="L691" s="19" t="e">
        <f>IF(J691="","SEM #CH",VLOOKUP(J691,#REF!,3,0))</f>
        <v>#REF!</v>
      </c>
      <c r="M691" s="19" t="e">
        <f>IF(J691="","SEM #CH",VLOOKUP(J691,#REF!,4,0))</f>
        <v>#REF!</v>
      </c>
      <c r="N691" s="19" t="e">
        <f>IF(J691="","SEM #CH",VLOOKUP(J691,#REF!,5,0))</f>
        <v>#REF!</v>
      </c>
      <c r="O691" s="19" t="e">
        <f>IF(J691="","SEM #CH",VLOOKUP(J691,#REF!,6,0))</f>
        <v>#REF!</v>
      </c>
      <c r="P691" s="19" t="e">
        <f>IF(J691="","SEM #CH",VLOOKUP(J691,#REF!,7,0))</f>
        <v>#REF!</v>
      </c>
      <c r="Q691" s="77" t="str">
        <f>VLOOKUP(J691,'p1'!$B$2:$C$30,2,0)</f>
        <v>#3/8-1315X1315</v>
      </c>
      <c r="R691" s="94">
        <v>45999</v>
      </c>
      <c r="S691" s="90" t="s">
        <v>218</v>
      </c>
      <c r="T691" s="90">
        <f t="shared" si="53"/>
        <v>1</v>
      </c>
      <c r="U691" s="94">
        <v>46000</v>
      </c>
      <c r="V691" s="90" t="s">
        <v>86</v>
      </c>
      <c r="W691" s="92">
        <v>2703</v>
      </c>
      <c r="X691" s="93">
        <f t="shared" si="52"/>
        <v>1</v>
      </c>
      <c r="Y691" s="92"/>
      <c r="Z691" s="92"/>
      <c r="AA691" s="13" t="str">
        <f t="shared" si="54"/>
        <v>dez/2025</v>
      </c>
    </row>
    <row r="692" spans="1:27" x14ac:dyDescent="0.25">
      <c r="A692" s="89">
        <v>691</v>
      </c>
      <c r="B692" s="68">
        <v>45981</v>
      </c>
      <c r="C692" s="40">
        <v>151</v>
      </c>
      <c r="D692" s="40">
        <f t="shared" si="50"/>
        <v>1</v>
      </c>
      <c r="E692" s="65" t="s">
        <v>162</v>
      </c>
      <c r="F692" s="17" t="s">
        <v>58</v>
      </c>
      <c r="G692" s="17" t="s">
        <v>86</v>
      </c>
      <c r="H692" s="42" t="s">
        <v>924</v>
      </c>
      <c r="I692" s="17" t="str">
        <f t="shared" si="51"/>
        <v>PN-691</v>
      </c>
      <c r="J692" s="18" t="s">
        <v>85</v>
      </c>
      <c r="K692" s="19" t="e">
        <f>IF(J692="","SEM #CH",VLOOKUP(J692,#REF!,2,0))</f>
        <v>#REF!</v>
      </c>
      <c r="L692" s="19" t="e">
        <f>IF(J692="","SEM #CH",VLOOKUP(J692,#REF!,3,0))</f>
        <v>#REF!</v>
      </c>
      <c r="M692" s="19" t="e">
        <f>IF(J692="","SEM #CH",VLOOKUP(J692,#REF!,4,0))</f>
        <v>#REF!</v>
      </c>
      <c r="N692" s="19" t="e">
        <f>IF(J692="","SEM #CH",VLOOKUP(J692,#REF!,5,0))</f>
        <v>#REF!</v>
      </c>
      <c r="O692" s="19" t="e">
        <f>IF(J692="","SEM #CH",VLOOKUP(J692,#REF!,6,0))</f>
        <v>#REF!</v>
      </c>
      <c r="P692" s="19" t="e">
        <f>IF(J692="","SEM #CH",VLOOKUP(J692,#REF!,7,0))</f>
        <v>#REF!</v>
      </c>
      <c r="Q692" s="77" t="str">
        <f>VLOOKUP(J692,'p1'!$B$2:$C$30,2,0)</f>
        <v>NÃO TEM CHAPA</v>
      </c>
      <c r="R692" s="94">
        <v>46000</v>
      </c>
      <c r="S692" s="90" t="s">
        <v>218</v>
      </c>
      <c r="T692" s="90">
        <f t="shared" si="53"/>
        <v>1</v>
      </c>
      <c r="U692" s="94">
        <v>46000</v>
      </c>
      <c r="V692" s="90" t="s">
        <v>86</v>
      </c>
      <c r="W692" s="92">
        <v>2704</v>
      </c>
      <c r="X692" s="93">
        <f t="shared" si="52"/>
        <v>1</v>
      </c>
      <c r="Y692" s="92"/>
      <c r="Z692" s="92"/>
      <c r="AA692" s="13" t="str">
        <f t="shared" si="54"/>
        <v>dez/2025</v>
      </c>
    </row>
    <row r="693" spans="1:27" x14ac:dyDescent="0.25">
      <c r="A693" s="89">
        <v>692</v>
      </c>
      <c r="B693" s="68">
        <v>45981</v>
      </c>
      <c r="C693" s="40">
        <v>151</v>
      </c>
      <c r="D693" s="40">
        <f t="shared" si="50"/>
        <v>1</v>
      </c>
      <c r="E693" s="65" t="s">
        <v>162</v>
      </c>
      <c r="F693" s="17" t="s">
        <v>58</v>
      </c>
      <c r="G693" s="17" t="s">
        <v>86</v>
      </c>
      <c r="H693" s="42" t="s">
        <v>925</v>
      </c>
      <c r="I693" s="17" t="str">
        <f t="shared" si="51"/>
        <v>PN-692</v>
      </c>
      <c r="J693" s="18" t="s">
        <v>85</v>
      </c>
      <c r="K693" s="19" t="e">
        <f>IF(J693="","SEM #CH",VLOOKUP(J693,#REF!,2,0))</f>
        <v>#REF!</v>
      </c>
      <c r="L693" s="19" t="e">
        <f>IF(J693="","SEM #CH",VLOOKUP(J693,#REF!,3,0))</f>
        <v>#REF!</v>
      </c>
      <c r="M693" s="19" t="e">
        <f>IF(J693="","SEM #CH",VLOOKUP(J693,#REF!,4,0))</f>
        <v>#REF!</v>
      </c>
      <c r="N693" s="19" t="e">
        <f>IF(J693="","SEM #CH",VLOOKUP(J693,#REF!,5,0))</f>
        <v>#REF!</v>
      </c>
      <c r="O693" s="19" t="e">
        <f>IF(J693="","SEM #CH",VLOOKUP(J693,#REF!,6,0))</f>
        <v>#REF!</v>
      </c>
      <c r="P693" s="19" t="e">
        <f>IF(J693="","SEM #CH",VLOOKUP(J693,#REF!,7,0))</f>
        <v>#REF!</v>
      </c>
      <c r="Q693" s="77" t="str">
        <f>VLOOKUP(J693,'p1'!$B$2:$C$30,2,0)</f>
        <v>NÃO TEM CHAPA</v>
      </c>
      <c r="R693" s="94">
        <v>46000</v>
      </c>
      <c r="S693" s="90" t="s">
        <v>218</v>
      </c>
      <c r="T693" s="90">
        <f t="shared" si="53"/>
        <v>1</v>
      </c>
      <c r="U693" s="94">
        <v>46000</v>
      </c>
      <c r="V693" s="90" t="s">
        <v>86</v>
      </c>
      <c r="W693" s="251">
        <v>2705</v>
      </c>
      <c r="X693" s="93">
        <f t="shared" si="52"/>
        <v>1</v>
      </c>
      <c r="Y693" s="92"/>
      <c r="Z693" s="92"/>
      <c r="AA693" s="13" t="str">
        <f t="shared" si="54"/>
        <v>dez/2025</v>
      </c>
    </row>
    <row r="694" spans="1:27" x14ac:dyDescent="0.25">
      <c r="A694" s="89">
        <v>693</v>
      </c>
      <c r="B694" s="68">
        <v>45983</v>
      </c>
      <c r="C694" s="40">
        <v>153</v>
      </c>
      <c r="D694" s="40">
        <f t="shared" si="50"/>
        <v>1</v>
      </c>
      <c r="E694" s="65" t="s">
        <v>162</v>
      </c>
      <c r="F694" s="17" t="s">
        <v>58</v>
      </c>
      <c r="G694" s="17" t="s">
        <v>86</v>
      </c>
      <c r="H694" s="42" t="s">
        <v>926</v>
      </c>
      <c r="I694" s="17" t="str">
        <f t="shared" si="51"/>
        <v>PN-693</v>
      </c>
      <c r="J694" s="18" t="s">
        <v>85</v>
      </c>
      <c r="K694" s="19" t="e">
        <f>IF(J694="","SEM #CH",VLOOKUP(J694,#REF!,2,0))</f>
        <v>#REF!</v>
      </c>
      <c r="L694" s="19" t="e">
        <f>IF(J694="","SEM #CH",VLOOKUP(J694,#REF!,3,0))</f>
        <v>#REF!</v>
      </c>
      <c r="M694" s="19" t="e">
        <f>IF(J694="","SEM #CH",VLOOKUP(J694,#REF!,4,0))</f>
        <v>#REF!</v>
      </c>
      <c r="N694" s="19" t="e">
        <f>IF(J694="","SEM #CH",VLOOKUP(J694,#REF!,5,0))</f>
        <v>#REF!</v>
      </c>
      <c r="O694" s="19" t="e">
        <f>IF(J694="","SEM #CH",VLOOKUP(J694,#REF!,6,0))</f>
        <v>#REF!</v>
      </c>
      <c r="P694" s="19" t="e">
        <f>IF(J694="","SEM #CH",VLOOKUP(J694,#REF!,7,0))</f>
        <v>#REF!</v>
      </c>
      <c r="Q694" s="77" t="str">
        <f>VLOOKUP(J694,'p1'!$B$2:$C$30,2,0)</f>
        <v>NÃO TEM CHAPA</v>
      </c>
      <c r="R694" s="90"/>
      <c r="S694" s="90" t="s">
        <v>218</v>
      </c>
      <c r="T694" s="90">
        <f t="shared" si="53"/>
        <v>0</v>
      </c>
      <c r="U694" s="90"/>
      <c r="V694" s="90"/>
      <c r="W694" s="92"/>
      <c r="X694" s="93" t="str">
        <f t="shared" si="52"/>
        <v/>
      </c>
      <c r="Y694" s="92"/>
      <c r="Z694" s="92"/>
      <c r="AA694" s="13" t="str">
        <f t="shared" si="54"/>
        <v>jan/1900</v>
      </c>
    </row>
    <row r="695" spans="1:27" x14ac:dyDescent="0.25">
      <c r="A695" s="89">
        <v>694</v>
      </c>
      <c r="B695" s="68">
        <v>45983</v>
      </c>
      <c r="C695" s="40">
        <v>153</v>
      </c>
      <c r="D695" s="40">
        <f t="shared" si="50"/>
        <v>1</v>
      </c>
      <c r="E695" s="65" t="s">
        <v>162</v>
      </c>
      <c r="F695" s="17" t="s">
        <v>58</v>
      </c>
      <c r="G695" s="17" t="s">
        <v>86</v>
      </c>
      <c r="H695" s="42" t="s">
        <v>927</v>
      </c>
      <c r="I695" s="17" t="str">
        <f t="shared" si="51"/>
        <v>PN-694</v>
      </c>
      <c r="J695" s="18" t="s">
        <v>85</v>
      </c>
      <c r="K695" s="19" t="e">
        <f>IF(J695="","SEM #CH",VLOOKUP(J695,#REF!,2,0))</f>
        <v>#REF!</v>
      </c>
      <c r="L695" s="19" t="e">
        <f>IF(J695="","SEM #CH",VLOOKUP(J695,#REF!,3,0))</f>
        <v>#REF!</v>
      </c>
      <c r="M695" s="19" t="e">
        <f>IF(J695="","SEM #CH",VLOOKUP(J695,#REF!,4,0))</f>
        <v>#REF!</v>
      </c>
      <c r="N695" s="19" t="e">
        <f>IF(J695="","SEM #CH",VLOOKUP(J695,#REF!,5,0))</f>
        <v>#REF!</v>
      </c>
      <c r="O695" s="19" t="e">
        <f>IF(J695="","SEM #CH",VLOOKUP(J695,#REF!,6,0))</f>
        <v>#REF!</v>
      </c>
      <c r="P695" s="19" t="e">
        <f>IF(J695="","SEM #CH",VLOOKUP(J695,#REF!,7,0))</f>
        <v>#REF!</v>
      </c>
      <c r="Q695" s="77" t="str">
        <f>VLOOKUP(J695,'p1'!$B$2:$C$30,2,0)</f>
        <v>NÃO TEM CHAPA</v>
      </c>
      <c r="R695" s="94">
        <v>45986</v>
      </c>
      <c r="S695" s="90" t="s">
        <v>218</v>
      </c>
      <c r="T695" s="90">
        <f t="shared" si="53"/>
        <v>1</v>
      </c>
      <c r="U695" s="94">
        <v>45987</v>
      </c>
      <c r="V695" s="90" t="s">
        <v>86</v>
      </c>
      <c r="W695" s="92">
        <v>2674</v>
      </c>
      <c r="X695" s="93">
        <f t="shared" si="52"/>
        <v>1</v>
      </c>
      <c r="Y695" s="92"/>
      <c r="Z695" s="92"/>
      <c r="AA695" s="13" t="str">
        <f t="shared" si="54"/>
        <v>nov/2025</v>
      </c>
    </row>
    <row r="696" spans="1:27" x14ac:dyDescent="0.25">
      <c r="A696" s="89">
        <v>695</v>
      </c>
      <c r="B696" s="68">
        <v>45983</v>
      </c>
      <c r="C696" s="40">
        <v>153</v>
      </c>
      <c r="D696" s="40">
        <f t="shared" si="50"/>
        <v>1</v>
      </c>
      <c r="E696" s="65" t="s">
        <v>162</v>
      </c>
      <c r="F696" s="17" t="s">
        <v>58</v>
      </c>
      <c r="G696" s="17" t="s">
        <v>86</v>
      </c>
      <c r="H696" s="42" t="s">
        <v>928</v>
      </c>
      <c r="I696" s="17" t="str">
        <f t="shared" si="51"/>
        <v>PN-695</v>
      </c>
      <c r="J696" s="18" t="s">
        <v>85</v>
      </c>
      <c r="K696" s="19" t="e">
        <f>IF(J696="","SEM #CH",VLOOKUP(J696,#REF!,2,0))</f>
        <v>#REF!</v>
      </c>
      <c r="L696" s="19" t="e">
        <f>IF(J696="","SEM #CH",VLOOKUP(J696,#REF!,3,0))</f>
        <v>#REF!</v>
      </c>
      <c r="M696" s="19" t="e">
        <f>IF(J696="","SEM #CH",VLOOKUP(J696,#REF!,4,0))</f>
        <v>#REF!</v>
      </c>
      <c r="N696" s="19" t="e">
        <f>IF(J696="","SEM #CH",VLOOKUP(J696,#REF!,5,0))</f>
        <v>#REF!</v>
      </c>
      <c r="O696" s="19" t="e">
        <f>IF(J696="","SEM #CH",VLOOKUP(J696,#REF!,6,0))</f>
        <v>#REF!</v>
      </c>
      <c r="P696" s="19" t="e">
        <f>IF(J696="","SEM #CH",VLOOKUP(J696,#REF!,7,0))</f>
        <v>#REF!</v>
      </c>
      <c r="Q696" s="77" t="str">
        <f>VLOOKUP(J696,'p1'!$B$2:$C$30,2,0)</f>
        <v>NÃO TEM CHAPA</v>
      </c>
      <c r="R696" s="94">
        <v>45987</v>
      </c>
      <c r="S696" s="90" t="s">
        <v>218</v>
      </c>
      <c r="T696" s="90">
        <f t="shared" si="53"/>
        <v>1</v>
      </c>
      <c r="U696" s="94">
        <v>45989</v>
      </c>
      <c r="V696" s="90" t="s">
        <v>86</v>
      </c>
      <c r="W696" s="92">
        <v>2681</v>
      </c>
      <c r="X696" s="93">
        <f t="shared" si="52"/>
        <v>1</v>
      </c>
      <c r="Y696" s="92"/>
      <c r="Z696" s="92"/>
      <c r="AA696" s="13" t="str">
        <f t="shared" si="54"/>
        <v>nov/2025</v>
      </c>
    </row>
    <row r="697" spans="1:27" x14ac:dyDescent="0.25">
      <c r="A697" s="89">
        <v>696</v>
      </c>
      <c r="B697" s="68">
        <v>45983</v>
      </c>
      <c r="C697" s="40">
        <v>153</v>
      </c>
      <c r="D697" s="40">
        <f t="shared" si="50"/>
        <v>1</v>
      </c>
      <c r="E697" s="65" t="s">
        <v>162</v>
      </c>
      <c r="F697" s="17" t="s">
        <v>58</v>
      </c>
      <c r="G697" s="17" t="s">
        <v>86</v>
      </c>
      <c r="H697" s="42" t="s">
        <v>929</v>
      </c>
      <c r="I697" s="17" t="str">
        <f t="shared" si="51"/>
        <v>PN-696</v>
      </c>
      <c r="J697" s="18" t="s">
        <v>85</v>
      </c>
      <c r="K697" s="19" t="e">
        <f>IF(J697="","SEM #CH",VLOOKUP(J697,#REF!,2,0))</f>
        <v>#REF!</v>
      </c>
      <c r="L697" s="19" t="e">
        <f>IF(J697="","SEM #CH",VLOOKUP(J697,#REF!,3,0))</f>
        <v>#REF!</v>
      </c>
      <c r="M697" s="19" t="e">
        <f>IF(J697="","SEM #CH",VLOOKUP(J697,#REF!,4,0))</f>
        <v>#REF!</v>
      </c>
      <c r="N697" s="19" t="e">
        <f>IF(J697="","SEM #CH",VLOOKUP(J697,#REF!,5,0))</f>
        <v>#REF!</v>
      </c>
      <c r="O697" s="19" t="e">
        <f>IF(J697="","SEM #CH",VLOOKUP(J697,#REF!,6,0))</f>
        <v>#REF!</v>
      </c>
      <c r="P697" s="19" t="e">
        <f>IF(J697="","SEM #CH",VLOOKUP(J697,#REF!,7,0))</f>
        <v>#REF!</v>
      </c>
      <c r="Q697" s="77" t="str">
        <f>VLOOKUP(J697,'p1'!$B$2:$C$30,2,0)</f>
        <v>NÃO TEM CHAPA</v>
      </c>
      <c r="R697" s="94">
        <v>45987</v>
      </c>
      <c r="S697" s="90" t="s">
        <v>218</v>
      </c>
      <c r="T697" s="90">
        <f t="shared" si="53"/>
        <v>1</v>
      </c>
      <c r="U697" s="94">
        <v>45989</v>
      </c>
      <c r="V697" s="90" t="s">
        <v>86</v>
      </c>
      <c r="W697" s="92">
        <v>2681</v>
      </c>
      <c r="X697" s="93">
        <f t="shared" si="52"/>
        <v>1</v>
      </c>
      <c r="Y697" s="92"/>
      <c r="Z697" s="92"/>
      <c r="AA697" s="13" t="str">
        <f t="shared" si="54"/>
        <v>nov/2025</v>
      </c>
    </row>
    <row r="698" spans="1:27" x14ac:dyDescent="0.25">
      <c r="A698" s="89">
        <v>697</v>
      </c>
      <c r="B698" s="68">
        <v>45983</v>
      </c>
      <c r="C698" s="40">
        <v>153</v>
      </c>
      <c r="D698" s="40">
        <f t="shared" si="50"/>
        <v>1</v>
      </c>
      <c r="E698" s="65" t="s">
        <v>162</v>
      </c>
      <c r="F698" s="17" t="s">
        <v>58</v>
      </c>
      <c r="G698" s="17" t="s">
        <v>86</v>
      </c>
      <c r="H698" s="42" t="s">
        <v>930</v>
      </c>
      <c r="I698" s="17" t="str">
        <f t="shared" si="51"/>
        <v>PN-697</v>
      </c>
      <c r="J698" s="18" t="s">
        <v>85</v>
      </c>
      <c r="K698" s="19" t="e">
        <f>IF(J698="","SEM #CH",VLOOKUP(J698,#REF!,2,0))</f>
        <v>#REF!</v>
      </c>
      <c r="L698" s="19" t="e">
        <f>IF(J698="","SEM #CH",VLOOKUP(J698,#REF!,3,0))</f>
        <v>#REF!</v>
      </c>
      <c r="M698" s="19" t="e">
        <f>IF(J698="","SEM #CH",VLOOKUP(J698,#REF!,4,0))</f>
        <v>#REF!</v>
      </c>
      <c r="N698" s="19" t="e">
        <f>IF(J698="","SEM #CH",VLOOKUP(J698,#REF!,5,0))</f>
        <v>#REF!</v>
      </c>
      <c r="O698" s="19" t="e">
        <f>IF(J698="","SEM #CH",VLOOKUP(J698,#REF!,6,0))</f>
        <v>#REF!</v>
      </c>
      <c r="P698" s="19" t="e">
        <f>IF(J698="","SEM #CH",VLOOKUP(J698,#REF!,7,0))</f>
        <v>#REF!</v>
      </c>
      <c r="Q698" s="77" t="str">
        <f>VLOOKUP(J698,'p1'!$B$2:$C$30,2,0)</f>
        <v>NÃO TEM CHAPA</v>
      </c>
      <c r="R698" s="94">
        <v>45987</v>
      </c>
      <c r="S698" s="90" t="s">
        <v>218</v>
      </c>
      <c r="T698" s="90">
        <f t="shared" si="53"/>
        <v>1</v>
      </c>
      <c r="U698" s="94">
        <v>45989</v>
      </c>
      <c r="V698" s="90" t="s">
        <v>86</v>
      </c>
      <c r="W698" s="92">
        <v>2681</v>
      </c>
      <c r="X698" s="93">
        <f t="shared" si="52"/>
        <v>1</v>
      </c>
      <c r="Y698" s="92"/>
      <c r="Z698" s="92"/>
      <c r="AA698" s="13" t="str">
        <f t="shared" si="54"/>
        <v>nov/2025</v>
      </c>
    </row>
    <row r="699" spans="1:27" x14ac:dyDescent="0.25">
      <c r="A699" s="89">
        <v>698</v>
      </c>
      <c r="B699" s="68">
        <v>45983</v>
      </c>
      <c r="C699" s="40">
        <v>153</v>
      </c>
      <c r="D699" s="40">
        <f t="shared" si="50"/>
        <v>1</v>
      </c>
      <c r="E699" s="65" t="s">
        <v>162</v>
      </c>
      <c r="F699" s="17" t="s">
        <v>58</v>
      </c>
      <c r="G699" s="17" t="s">
        <v>86</v>
      </c>
      <c r="H699" s="42" t="s">
        <v>931</v>
      </c>
      <c r="I699" s="17" t="str">
        <f t="shared" si="51"/>
        <v>PN-698</v>
      </c>
      <c r="J699" s="18" t="s">
        <v>85</v>
      </c>
      <c r="K699" s="19" t="e">
        <f>IF(J699="","SEM #CH",VLOOKUP(J699,#REF!,2,0))</f>
        <v>#REF!</v>
      </c>
      <c r="L699" s="19" t="e">
        <f>IF(J699="","SEM #CH",VLOOKUP(J699,#REF!,3,0))</f>
        <v>#REF!</v>
      </c>
      <c r="M699" s="19" t="e">
        <f>IF(J699="","SEM #CH",VLOOKUP(J699,#REF!,4,0))</f>
        <v>#REF!</v>
      </c>
      <c r="N699" s="19" t="e">
        <f>IF(J699="","SEM #CH",VLOOKUP(J699,#REF!,5,0))</f>
        <v>#REF!</v>
      </c>
      <c r="O699" s="19" t="e">
        <f>IF(J699="","SEM #CH",VLOOKUP(J699,#REF!,6,0))</f>
        <v>#REF!</v>
      </c>
      <c r="P699" s="19" t="e">
        <f>IF(J699="","SEM #CH",VLOOKUP(J699,#REF!,7,0))</f>
        <v>#REF!</v>
      </c>
      <c r="Q699" s="77" t="str">
        <f>VLOOKUP(J699,'p1'!$B$2:$C$30,2,0)</f>
        <v>NÃO TEM CHAPA</v>
      </c>
      <c r="R699" s="94">
        <v>45988</v>
      </c>
      <c r="S699" s="90" t="s">
        <v>218</v>
      </c>
      <c r="T699" s="90">
        <f t="shared" si="53"/>
        <v>1</v>
      </c>
      <c r="U699" s="94">
        <v>45989</v>
      </c>
      <c r="V699" s="90" t="s">
        <v>86</v>
      </c>
      <c r="W699" s="92">
        <v>2681</v>
      </c>
      <c r="X699" s="93">
        <f t="shared" si="52"/>
        <v>1</v>
      </c>
      <c r="Y699" s="92"/>
      <c r="Z699" s="92"/>
      <c r="AA699" s="13" t="str">
        <f t="shared" si="54"/>
        <v>nov/2025</v>
      </c>
    </row>
    <row r="700" spans="1:27" x14ac:dyDescent="0.25">
      <c r="A700" s="89">
        <v>699</v>
      </c>
      <c r="B700" s="68">
        <v>45983</v>
      </c>
      <c r="C700" s="40">
        <v>153</v>
      </c>
      <c r="D700" s="40">
        <f t="shared" si="50"/>
        <v>1</v>
      </c>
      <c r="E700" s="65" t="s">
        <v>162</v>
      </c>
      <c r="F700" s="17" t="s">
        <v>58</v>
      </c>
      <c r="G700" s="17" t="s">
        <v>86</v>
      </c>
      <c r="H700" s="42" t="s">
        <v>932</v>
      </c>
      <c r="I700" s="17" t="str">
        <f t="shared" si="51"/>
        <v>PN-699</v>
      </c>
      <c r="J700" s="18" t="s">
        <v>85</v>
      </c>
      <c r="K700" s="19" t="e">
        <f>IF(J700="","SEM #CH",VLOOKUP(J700,#REF!,2,0))</f>
        <v>#REF!</v>
      </c>
      <c r="L700" s="19" t="e">
        <f>IF(J700="","SEM #CH",VLOOKUP(J700,#REF!,3,0))</f>
        <v>#REF!</v>
      </c>
      <c r="M700" s="19" t="e">
        <f>IF(J700="","SEM #CH",VLOOKUP(J700,#REF!,4,0))</f>
        <v>#REF!</v>
      </c>
      <c r="N700" s="19" t="e">
        <f>IF(J700="","SEM #CH",VLOOKUP(J700,#REF!,5,0))</f>
        <v>#REF!</v>
      </c>
      <c r="O700" s="19" t="e">
        <f>IF(J700="","SEM #CH",VLOOKUP(J700,#REF!,6,0))</f>
        <v>#REF!</v>
      </c>
      <c r="P700" s="19" t="e">
        <f>IF(J700="","SEM #CH",VLOOKUP(J700,#REF!,7,0))</f>
        <v>#REF!</v>
      </c>
      <c r="Q700" s="77" t="str">
        <f>VLOOKUP(J700,'p1'!$B$2:$C$30,2,0)</f>
        <v>NÃO TEM CHAPA</v>
      </c>
      <c r="R700" s="94">
        <v>45988</v>
      </c>
      <c r="S700" s="90" t="s">
        <v>218</v>
      </c>
      <c r="T700" s="90">
        <f t="shared" si="53"/>
        <v>1</v>
      </c>
      <c r="U700" s="94">
        <v>45989</v>
      </c>
      <c r="V700" s="90" t="s">
        <v>86</v>
      </c>
      <c r="W700" s="92">
        <v>2682</v>
      </c>
      <c r="X700" s="93">
        <f t="shared" si="52"/>
        <v>1</v>
      </c>
      <c r="Y700" s="92"/>
      <c r="Z700" s="92"/>
      <c r="AA700" s="13" t="str">
        <f t="shared" si="54"/>
        <v>nov/2025</v>
      </c>
    </row>
    <row r="701" spans="1:27" x14ac:dyDescent="0.25">
      <c r="A701" s="89">
        <v>700</v>
      </c>
      <c r="B701" s="68">
        <v>45986</v>
      </c>
      <c r="C701" s="40">
        <v>156</v>
      </c>
      <c r="D701" s="40">
        <f t="shared" si="50"/>
        <v>1</v>
      </c>
      <c r="E701" s="65" t="s">
        <v>162</v>
      </c>
      <c r="F701" s="17" t="s">
        <v>58</v>
      </c>
      <c r="G701" s="17" t="s">
        <v>86</v>
      </c>
      <c r="H701" s="42" t="s">
        <v>933</v>
      </c>
      <c r="I701" s="17" t="str">
        <f t="shared" si="51"/>
        <v>PN-700</v>
      </c>
      <c r="J701" s="18" t="s">
        <v>85</v>
      </c>
      <c r="K701" s="19" t="e">
        <f>IF(J701="","SEM #CH",VLOOKUP(J701,#REF!,2,0))</f>
        <v>#REF!</v>
      </c>
      <c r="L701" s="19" t="e">
        <f>IF(J701="","SEM #CH",VLOOKUP(J701,#REF!,3,0))</f>
        <v>#REF!</v>
      </c>
      <c r="M701" s="19" t="e">
        <f>IF(J701="","SEM #CH",VLOOKUP(J701,#REF!,4,0))</f>
        <v>#REF!</v>
      </c>
      <c r="N701" s="19" t="e">
        <f>IF(J701="","SEM #CH",VLOOKUP(J701,#REF!,5,0))</f>
        <v>#REF!</v>
      </c>
      <c r="O701" s="19" t="e">
        <f>IF(J701="","SEM #CH",VLOOKUP(J701,#REF!,6,0))</f>
        <v>#REF!</v>
      </c>
      <c r="P701" s="19" t="e">
        <f>IF(J701="","SEM #CH",VLOOKUP(J701,#REF!,7,0))</f>
        <v>#REF!</v>
      </c>
      <c r="Q701" s="77" t="str">
        <f>VLOOKUP(J701,'p1'!$B$2:$C$30,2,0)</f>
        <v>NÃO TEM CHAPA</v>
      </c>
      <c r="R701" s="94">
        <v>45992</v>
      </c>
      <c r="S701" s="90" t="s">
        <v>218</v>
      </c>
      <c r="T701" s="90">
        <f t="shared" si="53"/>
        <v>1</v>
      </c>
      <c r="U701" s="94">
        <v>45993</v>
      </c>
      <c r="V701" s="90" t="s">
        <v>86</v>
      </c>
      <c r="W701" s="92">
        <v>2689</v>
      </c>
      <c r="X701" s="93">
        <f t="shared" si="52"/>
        <v>1</v>
      </c>
      <c r="Y701" s="92"/>
      <c r="Z701" s="92"/>
      <c r="AA701" s="13" t="str">
        <f t="shared" si="54"/>
        <v>dez/2025</v>
      </c>
    </row>
    <row r="702" spans="1:27" x14ac:dyDescent="0.25">
      <c r="A702" s="89">
        <v>701</v>
      </c>
      <c r="B702" s="68">
        <v>45986</v>
      </c>
      <c r="C702" s="40">
        <v>156</v>
      </c>
      <c r="D702" s="40">
        <f t="shared" si="50"/>
        <v>1</v>
      </c>
      <c r="E702" s="65" t="s">
        <v>162</v>
      </c>
      <c r="F702" s="17" t="s">
        <v>58</v>
      </c>
      <c r="G702" s="17" t="s">
        <v>86</v>
      </c>
      <c r="H702" s="42" t="s">
        <v>934</v>
      </c>
      <c r="I702" s="17" t="str">
        <f t="shared" si="51"/>
        <v>PN-701</v>
      </c>
      <c r="J702" s="18" t="s">
        <v>85</v>
      </c>
      <c r="K702" s="19" t="e">
        <f>IF(J702="","SEM #CH",VLOOKUP(J702,#REF!,2,0))</f>
        <v>#REF!</v>
      </c>
      <c r="L702" s="19" t="e">
        <f>IF(J702="","SEM #CH",VLOOKUP(J702,#REF!,3,0))</f>
        <v>#REF!</v>
      </c>
      <c r="M702" s="19" t="e">
        <f>IF(J702="","SEM #CH",VLOOKUP(J702,#REF!,4,0))</f>
        <v>#REF!</v>
      </c>
      <c r="N702" s="19" t="e">
        <f>IF(J702="","SEM #CH",VLOOKUP(J702,#REF!,5,0))</f>
        <v>#REF!</v>
      </c>
      <c r="O702" s="19" t="e">
        <f>IF(J702="","SEM #CH",VLOOKUP(J702,#REF!,6,0))</f>
        <v>#REF!</v>
      </c>
      <c r="P702" s="19" t="e">
        <f>IF(J702="","SEM #CH",VLOOKUP(J702,#REF!,7,0))</f>
        <v>#REF!</v>
      </c>
      <c r="Q702" s="77" t="str">
        <f>VLOOKUP(J702,'p1'!$B$2:$C$30,2,0)</f>
        <v>NÃO TEM CHAPA</v>
      </c>
      <c r="R702" s="94">
        <v>45992</v>
      </c>
      <c r="S702" s="90" t="s">
        <v>218</v>
      </c>
      <c r="T702" s="90">
        <f t="shared" si="53"/>
        <v>1</v>
      </c>
      <c r="U702" s="94">
        <v>45993</v>
      </c>
      <c r="V702" s="90" t="s">
        <v>86</v>
      </c>
      <c r="W702" s="92">
        <v>2689</v>
      </c>
      <c r="X702" s="93">
        <f t="shared" si="52"/>
        <v>1</v>
      </c>
      <c r="Y702" s="92"/>
      <c r="Z702" s="92"/>
      <c r="AA702" s="13" t="str">
        <f t="shared" si="54"/>
        <v>dez/2025</v>
      </c>
    </row>
    <row r="703" spans="1:27" x14ac:dyDescent="0.25">
      <c r="A703" s="89">
        <v>702</v>
      </c>
      <c r="B703" s="68">
        <v>45986</v>
      </c>
      <c r="C703" s="40">
        <v>156</v>
      </c>
      <c r="D703" s="40">
        <f t="shared" si="50"/>
        <v>1</v>
      </c>
      <c r="E703" s="65" t="s">
        <v>162</v>
      </c>
      <c r="F703" s="17" t="s">
        <v>58</v>
      </c>
      <c r="G703" s="17" t="s">
        <v>86</v>
      </c>
      <c r="H703" s="42" t="s">
        <v>935</v>
      </c>
      <c r="I703" s="17" t="str">
        <f t="shared" si="51"/>
        <v>PN-702</v>
      </c>
      <c r="J703" s="18" t="s">
        <v>85</v>
      </c>
      <c r="K703" s="19" t="e">
        <f>IF(J703="","SEM #CH",VLOOKUP(J703,#REF!,2,0))</f>
        <v>#REF!</v>
      </c>
      <c r="L703" s="19" t="e">
        <f>IF(J703="","SEM #CH",VLOOKUP(J703,#REF!,3,0))</f>
        <v>#REF!</v>
      </c>
      <c r="M703" s="19" t="e">
        <f>IF(J703="","SEM #CH",VLOOKUP(J703,#REF!,4,0))</f>
        <v>#REF!</v>
      </c>
      <c r="N703" s="19" t="e">
        <f>IF(J703="","SEM #CH",VLOOKUP(J703,#REF!,5,0))</f>
        <v>#REF!</v>
      </c>
      <c r="O703" s="19" t="e">
        <f>IF(J703="","SEM #CH",VLOOKUP(J703,#REF!,6,0))</f>
        <v>#REF!</v>
      </c>
      <c r="P703" s="19" t="e">
        <f>IF(J703="","SEM #CH",VLOOKUP(J703,#REF!,7,0))</f>
        <v>#REF!</v>
      </c>
      <c r="Q703" s="77" t="str">
        <f>VLOOKUP(J703,'p1'!$B$2:$C$30,2,0)</f>
        <v>NÃO TEM CHAPA</v>
      </c>
      <c r="R703" s="94">
        <v>45993</v>
      </c>
      <c r="S703" s="90" t="s">
        <v>218</v>
      </c>
      <c r="T703" s="90">
        <f t="shared" si="53"/>
        <v>1</v>
      </c>
      <c r="U703" s="94">
        <v>45993</v>
      </c>
      <c r="V703" s="90" t="s">
        <v>86</v>
      </c>
      <c r="W703" s="92">
        <v>2689</v>
      </c>
      <c r="X703" s="93">
        <f t="shared" si="52"/>
        <v>1</v>
      </c>
      <c r="Y703" s="92"/>
      <c r="Z703" s="92"/>
      <c r="AA703" s="13" t="str">
        <f t="shared" si="54"/>
        <v>dez/2025</v>
      </c>
    </row>
    <row r="704" spans="1:27" x14ac:dyDescent="0.25">
      <c r="A704" s="89">
        <v>703</v>
      </c>
      <c r="B704" s="68">
        <v>45986</v>
      </c>
      <c r="C704" s="40">
        <v>156</v>
      </c>
      <c r="D704" s="40">
        <f t="shared" si="50"/>
        <v>1</v>
      </c>
      <c r="E704" s="65" t="s">
        <v>162</v>
      </c>
      <c r="F704" s="17" t="s">
        <v>58</v>
      </c>
      <c r="G704" s="17" t="s">
        <v>86</v>
      </c>
      <c r="H704" s="42" t="s">
        <v>936</v>
      </c>
      <c r="I704" s="17" t="str">
        <f t="shared" si="51"/>
        <v>PN-703</v>
      </c>
      <c r="J704" s="18" t="s">
        <v>85</v>
      </c>
      <c r="K704" s="19" t="e">
        <f>IF(J704="","SEM #CH",VLOOKUP(J704,#REF!,2,0))</f>
        <v>#REF!</v>
      </c>
      <c r="L704" s="19" t="e">
        <f>IF(J704="","SEM #CH",VLOOKUP(J704,#REF!,3,0))</f>
        <v>#REF!</v>
      </c>
      <c r="M704" s="19" t="e">
        <f>IF(J704="","SEM #CH",VLOOKUP(J704,#REF!,4,0))</f>
        <v>#REF!</v>
      </c>
      <c r="N704" s="19" t="e">
        <f>IF(J704="","SEM #CH",VLOOKUP(J704,#REF!,5,0))</f>
        <v>#REF!</v>
      </c>
      <c r="O704" s="19" t="e">
        <f>IF(J704="","SEM #CH",VLOOKUP(J704,#REF!,6,0))</f>
        <v>#REF!</v>
      </c>
      <c r="P704" s="19" t="e">
        <f>IF(J704="","SEM #CH",VLOOKUP(J704,#REF!,7,0))</f>
        <v>#REF!</v>
      </c>
      <c r="Q704" s="77" t="str">
        <f>VLOOKUP(J704,'p1'!$B$2:$C$30,2,0)</f>
        <v>NÃO TEM CHAPA</v>
      </c>
      <c r="R704" s="94">
        <v>45995</v>
      </c>
      <c r="S704" s="90" t="s">
        <v>218</v>
      </c>
      <c r="T704" s="90">
        <f t="shared" si="53"/>
        <v>1</v>
      </c>
      <c r="U704" s="94">
        <v>45995</v>
      </c>
      <c r="V704" s="90" t="s">
        <v>86</v>
      </c>
      <c r="W704" s="92">
        <v>2697</v>
      </c>
      <c r="X704" s="93">
        <f t="shared" si="52"/>
        <v>1</v>
      </c>
      <c r="Y704" s="92"/>
      <c r="Z704" s="92"/>
      <c r="AA704" s="13" t="str">
        <f t="shared" si="54"/>
        <v>dez/2025</v>
      </c>
    </row>
    <row r="705" spans="1:27" x14ac:dyDescent="0.25">
      <c r="A705" s="89">
        <v>704</v>
      </c>
      <c r="B705" s="68">
        <v>45990</v>
      </c>
      <c r="C705" s="40">
        <v>158</v>
      </c>
      <c r="D705" s="40">
        <f t="shared" si="50"/>
        <v>1</v>
      </c>
      <c r="E705" s="65" t="s">
        <v>162</v>
      </c>
      <c r="F705" s="17" t="s">
        <v>58</v>
      </c>
      <c r="G705" s="17" t="s">
        <v>86</v>
      </c>
      <c r="H705" s="42" t="s">
        <v>937</v>
      </c>
      <c r="I705" s="17" t="str">
        <f t="shared" si="51"/>
        <v>PN-704</v>
      </c>
      <c r="J705" s="18" t="s">
        <v>85</v>
      </c>
      <c r="K705" s="19" t="e">
        <f>IF(J705="","SEM #CH",VLOOKUP(J705,#REF!,2,0))</f>
        <v>#REF!</v>
      </c>
      <c r="L705" s="19" t="e">
        <f>IF(J705="","SEM #CH",VLOOKUP(J705,#REF!,3,0))</f>
        <v>#REF!</v>
      </c>
      <c r="M705" s="19" t="e">
        <f>IF(J705="","SEM #CH",VLOOKUP(J705,#REF!,4,0))</f>
        <v>#REF!</v>
      </c>
      <c r="N705" s="19" t="e">
        <f>IF(J705="","SEM #CH",VLOOKUP(J705,#REF!,5,0))</f>
        <v>#REF!</v>
      </c>
      <c r="O705" s="19" t="e">
        <f>IF(J705="","SEM #CH",VLOOKUP(J705,#REF!,6,0))</f>
        <v>#REF!</v>
      </c>
      <c r="P705" s="19" t="e">
        <f>IF(J705="","SEM #CH",VLOOKUP(J705,#REF!,7,0))</f>
        <v>#REF!</v>
      </c>
      <c r="Q705" s="77" t="str">
        <f>VLOOKUP(J705,'p1'!$B$2:$C$30,2,0)</f>
        <v>NÃO TEM CHAPA</v>
      </c>
      <c r="R705" s="94">
        <v>45996</v>
      </c>
      <c r="S705" s="90" t="s">
        <v>218</v>
      </c>
      <c r="T705" s="90">
        <f t="shared" si="53"/>
        <v>1</v>
      </c>
      <c r="U705" s="94">
        <v>45996</v>
      </c>
      <c r="V705" s="90" t="s">
        <v>86</v>
      </c>
      <c r="W705" s="92">
        <v>2700</v>
      </c>
      <c r="X705" s="93">
        <f t="shared" si="52"/>
        <v>1</v>
      </c>
      <c r="Y705" s="92"/>
      <c r="Z705" s="92"/>
      <c r="AA705" s="13" t="str">
        <f t="shared" si="54"/>
        <v>dez/2025</v>
      </c>
    </row>
    <row r="706" spans="1:27" x14ac:dyDescent="0.25">
      <c r="A706" s="89">
        <v>705</v>
      </c>
      <c r="B706" s="68">
        <v>45990</v>
      </c>
      <c r="C706" s="40">
        <v>158</v>
      </c>
      <c r="D706" s="40">
        <f t="shared" ref="D706:D751" si="55">IF(B706&gt;0,1,"")</f>
        <v>1</v>
      </c>
      <c r="E706" s="65" t="s">
        <v>162</v>
      </c>
      <c r="F706" s="17" t="s">
        <v>58</v>
      </c>
      <c r="G706" s="17" t="s">
        <v>86</v>
      </c>
      <c r="H706" s="42" t="s">
        <v>938</v>
      </c>
      <c r="I706" s="17" t="str">
        <f t="shared" ref="I706:I745" si="56">_xlfn.CONCAT(F706,G706,H706)</f>
        <v>PN-705</v>
      </c>
      <c r="J706" s="18" t="s">
        <v>85</v>
      </c>
      <c r="K706" s="19" t="e">
        <f>IF(J706="","SEM #CH",VLOOKUP(J706,#REF!,2,0))</f>
        <v>#REF!</v>
      </c>
      <c r="L706" s="19" t="e">
        <f>IF(J706="","SEM #CH",VLOOKUP(J706,#REF!,3,0))</f>
        <v>#REF!</v>
      </c>
      <c r="M706" s="19" t="e">
        <f>IF(J706="","SEM #CH",VLOOKUP(J706,#REF!,4,0))</f>
        <v>#REF!</v>
      </c>
      <c r="N706" s="19" t="e">
        <f>IF(J706="","SEM #CH",VLOOKUP(J706,#REF!,5,0))</f>
        <v>#REF!</v>
      </c>
      <c r="O706" s="19" t="e">
        <f>IF(J706="","SEM #CH",VLOOKUP(J706,#REF!,6,0))</f>
        <v>#REF!</v>
      </c>
      <c r="P706" s="19" t="e">
        <f>IF(J706="","SEM #CH",VLOOKUP(J706,#REF!,7,0))</f>
        <v>#REF!</v>
      </c>
      <c r="Q706" s="77" t="str">
        <f>VLOOKUP(J706,'p1'!$B$2:$C$30,2,0)</f>
        <v>NÃO TEM CHAPA</v>
      </c>
      <c r="R706" s="94">
        <v>45996</v>
      </c>
      <c r="S706" s="90" t="s">
        <v>218</v>
      </c>
      <c r="T706" s="90">
        <f t="shared" si="53"/>
        <v>1</v>
      </c>
      <c r="U706" s="94">
        <v>45996</v>
      </c>
      <c r="V706" s="90" t="s">
        <v>86</v>
      </c>
      <c r="W706" s="92">
        <v>2700</v>
      </c>
      <c r="X706" s="93">
        <f t="shared" ref="X706:X769" si="57">IF(U706&gt;0,1,"")</f>
        <v>1</v>
      </c>
      <c r="Y706" s="92"/>
      <c r="Z706" s="92"/>
      <c r="AA706" s="13" t="str">
        <f t="shared" si="54"/>
        <v>dez/2025</v>
      </c>
    </row>
    <row r="707" spans="1:27" x14ac:dyDescent="0.25">
      <c r="A707" s="89">
        <v>706</v>
      </c>
      <c r="B707" s="68">
        <v>45957</v>
      </c>
      <c r="C707" s="40">
        <v>130</v>
      </c>
      <c r="D707" s="40">
        <f t="shared" si="55"/>
        <v>1</v>
      </c>
      <c r="E707" s="65" t="s">
        <v>162</v>
      </c>
      <c r="F707" s="17" t="s">
        <v>60</v>
      </c>
      <c r="G707" s="17" t="s">
        <v>86</v>
      </c>
      <c r="H707" s="42" t="s">
        <v>939</v>
      </c>
      <c r="I707" s="17" t="str">
        <f t="shared" si="56"/>
        <v>PE-706</v>
      </c>
      <c r="J707" s="18" t="s">
        <v>90</v>
      </c>
      <c r="K707" s="19" t="e">
        <f>IF(J707="","SEM #CH",VLOOKUP(J707,#REF!,2,0))</f>
        <v>#REF!</v>
      </c>
      <c r="L707" s="19" t="e">
        <f>IF(J707="","SEM #CH",VLOOKUP(J707,#REF!,3,0))</f>
        <v>#REF!</v>
      </c>
      <c r="M707" s="19" t="e">
        <f>IF(J707="","SEM #CH",VLOOKUP(J707,#REF!,4,0))</f>
        <v>#REF!</v>
      </c>
      <c r="N707" s="19" t="e">
        <f>IF(J707="","SEM #CH",VLOOKUP(J707,#REF!,5,0))</f>
        <v>#REF!</v>
      </c>
      <c r="O707" s="19" t="e">
        <f>IF(J707="","SEM #CH",VLOOKUP(J707,#REF!,6,0))</f>
        <v>#REF!</v>
      </c>
      <c r="P707" s="19" t="e">
        <f>IF(J707="","SEM #CH",VLOOKUP(J707,#REF!,7,0))</f>
        <v>#REF!</v>
      </c>
      <c r="Q707" s="77" t="str">
        <f>VLOOKUP(J707,'p1'!$B$2:$C$30,2,0)</f>
        <v>#3/8-530X530</v>
      </c>
      <c r="R707" s="94">
        <v>45967</v>
      </c>
      <c r="S707" s="90" t="s">
        <v>218</v>
      </c>
      <c r="T707" s="90">
        <f t="shared" ref="T707:T770" si="58">IF(R707="",0,1)</f>
        <v>1</v>
      </c>
      <c r="U707" s="94">
        <v>45967</v>
      </c>
      <c r="V707" s="90" t="s">
        <v>86</v>
      </c>
      <c r="W707" s="92">
        <v>2625</v>
      </c>
      <c r="X707" s="93">
        <f t="shared" si="57"/>
        <v>1</v>
      </c>
      <c r="Y707" s="92"/>
      <c r="Z707" s="92"/>
      <c r="AA707" s="13" t="str">
        <f t="shared" ref="AA707:AA770" si="59">TEXT(R707,"mmm/aaaa")</f>
        <v>nov/2025</v>
      </c>
    </row>
    <row r="708" spans="1:27" x14ac:dyDescent="0.25">
      <c r="A708" s="89">
        <v>707</v>
      </c>
      <c r="B708" s="68">
        <v>45990</v>
      </c>
      <c r="C708" s="40">
        <v>158</v>
      </c>
      <c r="D708" s="40">
        <f t="shared" si="55"/>
        <v>1</v>
      </c>
      <c r="E708" s="65" t="s">
        <v>162</v>
      </c>
      <c r="F708" s="17" t="s">
        <v>58</v>
      </c>
      <c r="G708" s="17" t="s">
        <v>86</v>
      </c>
      <c r="H708" s="42" t="s">
        <v>940</v>
      </c>
      <c r="I708" s="17" t="str">
        <f t="shared" si="56"/>
        <v>PN-707</v>
      </c>
      <c r="J708" s="18" t="s">
        <v>85</v>
      </c>
      <c r="K708" s="19" t="e">
        <f>IF(J708="","SEM #CH",VLOOKUP(J708,#REF!,2,0))</f>
        <v>#REF!</v>
      </c>
      <c r="L708" s="19" t="e">
        <f>IF(J708="","SEM #CH",VLOOKUP(J708,#REF!,3,0))</f>
        <v>#REF!</v>
      </c>
      <c r="M708" s="19" t="e">
        <f>IF(J708="","SEM #CH",VLOOKUP(J708,#REF!,4,0))</f>
        <v>#REF!</v>
      </c>
      <c r="N708" s="19" t="e">
        <f>IF(J708="","SEM #CH",VLOOKUP(J708,#REF!,5,0))</f>
        <v>#REF!</v>
      </c>
      <c r="O708" s="19" t="e">
        <f>IF(J708="","SEM #CH",VLOOKUP(J708,#REF!,6,0))</f>
        <v>#REF!</v>
      </c>
      <c r="P708" s="19" t="e">
        <f>IF(J708="","SEM #CH",VLOOKUP(J708,#REF!,7,0))</f>
        <v>#REF!</v>
      </c>
      <c r="Q708" s="77" t="str">
        <f>VLOOKUP(J708,'p1'!$B$2:$C$30,2,0)</f>
        <v>NÃO TEM CHAPA</v>
      </c>
      <c r="R708" s="94">
        <v>45996</v>
      </c>
      <c r="S708" s="90" t="s">
        <v>218</v>
      </c>
      <c r="T708" s="90">
        <f t="shared" si="58"/>
        <v>1</v>
      </c>
      <c r="U708" s="94">
        <v>45996</v>
      </c>
      <c r="V708" s="90" t="s">
        <v>86</v>
      </c>
      <c r="W708" s="92">
        <v>2700</v>
      </c>
      <c r="X708" s="93">
        <f t="shared" si="57"/>
        <v>1</v>
      </c>
      <c r="Y708" s="92"/>
      <c r="Z708" s="92"/>
      <c r="AA708" s="13" t="str">
        <f t="shared" si="59"/>
        <v>dez/2025</v>
      </c>
    </row>
    <row r="709" spans="1:27" x14ac:dyDescent="0.25">
      <c r="A709" s="89">
        <v>708</v>
      </c>
      <c r="B709" s="68">
        <v>45990</v>
      </c>
      <c r="C709" s="40">
        <v>158</v>
      </c>
      <c r="D709" s="40">
        <f t="shared" si="55"/>
        <v>1</v>
      </c>
      <c r="E709" s="65" t="s">
        <v>162</v>
      </c>
      <c r="F709" s="17" t="s">
        <v>58</v>
      </c>
      <c r="G709" s="17" t="s">
        <v>86</v>
      </c>
      <c r="H709" s="42" t="s">
        <v>941</v>
      </c>
      <c r="I709" s="17" t="str">
        <f t="shared" si="56"/>
        <v>PN-708</v>
      </c>
      <c r="J709" s="18" t="s">
        <v>85</v>
      </c>
      <c r="K709" s="19" t="e">
        <f>IF(J709="","SEM #CH",VLOOKUP(J709,#REF!,2,0))</f>
        <v>#REF!</v>
      </c>
      <c r="L709" s="19" t="e">
        <f>IF(J709="","SEM #CH",VLOOKUP(J709,#REF!,3,0))</f>
        <v>#REF!</v>
      </c>
      <c r="M709" s="19" t="e">
        <f>IF(J709="","SEM #CH",VLOOKUP(J709,#REF!,4,0))</f>
        <v>#REF!</v>
      </c>
      <c r="N709" s="19" t="e">
        <f>IF(J709="","SEM #CH",VLOOKUP(J709,#REF!,5,0))</f>
        <v>#REF!</v>
      </c>
      <c r="O709" s="19" t="e">
        <f>IF(J709="","SEM #CH",VLOOKUP(J709,#REF!,6,0))</f>
        <v>#REF!</v>
      </c>
      <c r="P709" s="19" t="e">
        <f>IF(J709="","SEM #CH",VLOOKUP(J709,#REF!,7,0))</f>
        <v>#REF!</v>
      </c>
      <c r="Q709" s="77" t="str">
        <f>VLOOKUP(J709,'p1'!$B$2:$C$30,2,0)</f>
        <v>NÃO TEM CHAPA</v>
      </c>
      <c r="R709" s="94">
        <v>45997</v>
      </c>
      <c r="S709" s="90" t="s">
        <v>218</v>
      </c>
      <c r="T709" s="90">
        <f t="shared" si="58"/>
        <v>1</v>
      </c>
      <c r="U709" s="94">
        <v>46000</v>
      </c>
      <c r="V709" s="90" t="s">
        <v>86</v>
      </c>
      <c r="W709" s="92">
        <v>2703</v>
      </c>
      <c r="X709" s="93">
        <f t="shared" si="57"/>
        <v>1</v>
      </c>
      <c r="Y709" s="92"/>
      <c r="Z709" s="92"/>
      <c r="AA709" s="13" t="str">
        <f t="shared" si="59"/>
        <v>dez/2025</v>
      </c>
    </row>
    <row r="710" spans="1:27" x14ac:dyDescent="0.25">
      <c r="A710" s="89">
        <v>709</v>
      </c>
      <c r="B710" s="68">
        <v>45990</v>
      </c>
      <c r="C710" s="40">
        <v>158</v>
      </c>
      <c r="D710" s="40">
        <f t="shared" si="55"/>
        <v>1</v>
      </c>
      <c r="E710" s="65" t="s">
        <v>162</v>
      </c>
      <c r="F710" s="17" t="s">
        <v>58</v>
      </c>
      <c r="G710" s="17" t="s">
        <v>86</v>
      </c>
      <c r="H710" s="42" t="s">
        <v>942</v>
      </c>
      <c r="I710" s="17" t="str">
        <f t="shared" si="56"/>
        <v>PN-709</v>
      </c>
      <c r="J710" s="18" t="s">
        <v>85</v>
      </c>
      <c r="K710" s="19" t="e">
        <f>IF(J710="","SEM #CH",VLOOKUP(J710,#REF!,2,0))</f>
        <v>#REF!</v>
      </c>
      <c r="L710" s="19" t="e">
        <f>IF(J710="","SEM #CH",VLOOKUP(J710,#REF!,3,0))</f>
        <v>#REF!</v>
      </c>
      <c r="M710" s="19" t="e">
        <f>IF(J710="","SEM #CH",VLOOKUP(J710,#REF!,4,0))</f>
        <v>#REF!</v>
      </c>
      <c r="N710" s="19" t="e">
        <f>IF(J710="","SEM #CH",VLOOKUP(J710,#REF!,5,0))</f>
        <v>#REF!</v>
      </c>
      <c r="O710" s="19" t="e">
        <f>IF(J710="","SEM #CH",VLOOKUP(J710,#REF!,6,0))</f>
        <v>#REF!</v>
      </c>
      <c r="P710" s="19" t="e">
        <f>IF(J710="","SEM #CH",VLOOKUP(J710,#REF!,7,0))</f>
        <v>#REF!</v>
      </c>
      <c r="Q710" s="77" t="str">
        <f>VLOOKUP(J710,'p1'!$B$2:$C$30,2,0)</f>
        <v>NÃO TEM CHAPA</v>
      </c>
      <c r="R710" s="94">
        <v>45997</v>
      </c>
      <c r="S710" s="90" t="s">
        <v>218</v>
      </c>
      <c r="T710" s="90">
        <f t="shared" si="58"/>
        <v>1</v>
      </c>
      <c r="U710" s="94">
        <v>46000</v>
      </c>
      <c r="V710" s="90" t="s">
        <v>86</v>
      </c>
      <c r="W710" s="92">
        <v>2703</v>
      </c>
      <c r="X710" s="93">
        <f t="shared" si="57"/>
        <v>1</v>
      </c>
      <c r="Y710" s="92"/>
      <c r="Z710" s="92"/>
      <c r="AA710" s="13" t="str">
        <f t="shared" si="59"/>
        <v>dez/2025</v>
      </c>
    </row>
    <row r="711" spans="1:27" x14ac:dyDescent="0.25">
      <c r="A711" s="89">
        <v>710</v>
      </c>
      <c r="B711" s="68">
        <v>45993</v>
      </c>
      <c r="C711" s="40">
        <v>160</v>
      </c>
      <c r="D711" s="40">
        <f t="shared" si="55"/>
        <v>1</v>
      </c>
      <c r="E711" s="65" t="s">
        <v>162</v>
      </c>
      <c r="F711" s="17" t="s">
        <v>58</v>
      </c>
      <c r="G711" s="17" t="s">
        <v>86</v>
      </c>
      <c r="H711" s="42" t="s">
        <v>943</v>
      </c>
      <c r="I711" s="17" t="str">
        <f t="shared" si="56"/>
        <v>PN-710</v>
      </c>
      <c r="J711" s="18" t="s">
        <v>85</v>
      </c>
      <c r="K711" s="19" t="e">
        <f>IF(J711="","SEM #CH",VLOOKUP(J711,#REF!,2,0))</f>
        <v>#REF!</v>
      </c>
      <c r="L711" s="19" t="e">
        <f>IF(J711="","SEM #CH",VLOOKUP(J711,#REF!,3,0))</f>
        <v>#REF!</v>
      </c>
      <c r="M711" s="19" t="e">
        <f>IF(J711="","SEM #CH",VLOOKUP(J711,#REF!,4,0))</f>
        <v>#REF!</v>
      </c>
      <c r="N711" s="19" t="e">
        <f>IF(J711="","SEM #CH",VLOOKUP(J711,#REF!,5,0))</f>
        <v>#REF!</v>
      </c>
      <c r="O711" s="19" t="e">
        <f>IF(J711="","SEM #CH",VLOOKUP(J711,#REF!,6,0))</f>
        <v>#REF!</v>
      </c>
      <c r="P711" s="19" t="e">
        <f>IF(J711="","SEM #CH",VLOOKUP(J711,#REF!,7,0))</f>
        <v>#REF!</v>
      </c>
      <c r="Q711" s="77" t="str">
        <f>VLOOKUP(J711,'p1'!$B$2:$C$30,2,0)</f>
        <v>NÃO TEM CHAPA</v>
      </c>
      <c r="R711" s="94">
        <v>46000</v>
      </c>
      <c r="S711" s="90" t="s">
        <v>218</v>
      </c>
      <c r="T711" s="90">
        <f t="shared" si="58"/>
        <v>1</v>
      </c>
      <c r="U711" s="94">
        <v>46000</v>
      </c>
      <c r="V711" s="90" t="s">
        <v>86</v>
      </c>
      <c r="W711" s="251">
        <v>2705</v>
      </c>
      <c r="X711" s="93">
        <f t="shared" si="57"/>
        <v>1</v>
      </c>
      <c r="Y711" s="92"/>
      <c r="Z711" s="92"/>
      <c r="AA711" s="13" t="str">
        <f t="shared" si="59"/>
        <v>dez/2025</v>
      </c>
    </row>
    <row r="712" spans="1:27" x14ac:dyDescent="0.25">
      <c r="A712" s="89">
        <v>711</v>
      </c>
      <c r="B712" s="68">
        <v>45993</v>
      </c>
      <c r="C712" s="40">
        <v>160</v>
      </c>
      <c r="D712" s="40">
        <f t="shared" si="55"/>
        <v>1</v>
      </c>
      <c r="E712" s="65" t="s">
        <v>162</v>
      </c>
      <c r="F712" s="17" t="s">
        <v>58</v>
      </c>
      <c r="G712" s="17" t="s">
        <v>86</v>
      </c>
      <c r="H712" s="42" t="s">
        <v>944</v>
      </c>
      <c r="I712" s="17" t="str">
        <f t="shared" si="56"/>
        <v>PN-711</v>
      </c>
      <c r="J712" s="18" t="s">
        <v>85</v>
      </c>
      <c r="K712" s="19" t="e">
        <f>IF(J712="","SEM #CH",VLOOKUP(J712,#REF!,2,0))</f>
        <v>#REF!</v>
      </c>
      <c r="L712" s="19" t="e">
        <f>IF(J712="","SEM #CH",VLOOKUP(J712,#REF!,3,0))</f>
        <v>#REF!</v>
      </c>
      <c r="M712" s="19" t="e">
        <f>IF(J712="","SEM #CH",VLOOKUP(J712,#REF!,4,0))</f>
        <v>#REF!</v>
      </c>
      <c r="N712" s="19" t="e">
        <f>IF(J712="","SEM #CH",VLOOKUP(J712,#REF!,5,0))</f>
        <v>#REF!</v>
      </c>
      <c r="O712" s="19" t="e">
        <f>IF(J712="","SEM #CH",VLOOKUP(J712,#REF!,6,0))</f>
        <v>#REF!</v>
      </c>
      <c r="P712" s="19" t="e">
        <f>IF(J712="","SEM #CH",VLOOKUP(J712,#REF!,7,0))</f>
        <v>#REF!</v>
      </c>
      <c r="Q712" s="77" t="str">
        <f>VLOOKUP(J712,'p1'!$B$2:$C$30,2,0)</f>
        <v>NÃO TEM CHAPA</v>
      </c>
      <c r="R712" s="94">
        <v>46001</v>
      </c>
      <c r="S712" s="90" t="s">
        <v>218</v>
      </c>
      <c r="T712" s="90">
        <f t="shared" si="58"/>
        <v>1</v>
      </c>
      <c r="U712" s="94">
        <v>46001</v>
      </c>
      <c r="V712" s="90" t="s">
        <v>86</v>
      </c>
      <c r="W712" s="92">
        <v>2711</v>
      </c>
      <c r="X712" s="93">
        <f t="shared" si="57"/>
        <v>1</v>
      </c>
      <c r="Y712" s="92"/>
      <c r="Z712" s="92"/>
      <c r="AA712" s="13" t="str">
        <f t="shared" si="59"/>
        <v>dez/2025</v>
      </c>
    </row>
    <row r="713" spans="1:27" x14ac:dyDescent="0.25">
      <c r="A713" s="89">
        <v>712</v>
      </c>
      <c r="B713" s="68">
        <v>45993</v>
      </c>
      <c r="C713" s="40">
        <v>160</v>
      </c>
      <c r="D713" s="40">
        <f t="shared" si="55"/>
        <v>1</v>
      </c>
      <c r="E713" s="65" t="s">
        <v>162</v>
      </c>
      <c r="F713" s="17" t="s">
        <v>58</v>
      </c>
      <c r="G713" s="17" t="s">
        <v>86</v>
      </c>
      <c r="H713" s="42" t="s">
        <v>945</v>
      </c>
      <c r="I713" s="17" t="str">
        <f t="shared" si="56"/>
        <v>PN-712</v>
      </c>
      <c r="J713" s="18" t="s">
        <v>85</v>
      </c>
      <c r="K713" s="19" t="e">
        <f>IF(J713="","SEM #CH",VLOOKUP(J713,#REF!,2,0))</f>
        <v>#REF!</v>
      </c>
      <c r="L713" s="19" t="e">
        <f>IF(J713="","SEM #CH",VLOOKUP(J713,#REF!,3,0))</f>
        <v>#REF!</v>
      </c>
      <c r="M713" s="19" t="e">
        <f>IF(J713="","SEM #CH",VLOOKUP(J713,#REF!,4,0))</f>
        <v>#REF!</v>
      </c>
      <c r="N713" s="19" t="e">
        <f>IF(J713="","SEM #CH",VLOOKUP(J713,#REF!,5,0))</f>
        <v>#REF!</v>
      </c>
      <c r="O713" s="19" t="e">
        <f>IF(J713="","SEM #CH",VLOOKUP(J713,#REF!,6,0))</f>
        <v>#REF!</v>
      </c>
      <c r="P713" s="19" t="e">
        <f>IF(J713="","SEM #CH",VLOOKUP(J713,#REF!,7,0))</f>
        <v>#REF!</v>
      </c>
      <c r="Q713" s="77" t="str">
        <f>VLOOKUP(J713,'p1'!$B$2:$C$30,2,0)</f>
        <v>NÃO TEM CHAPA</v>
      </c>
      <c r="R713" s="94">
        <v>46001</v>
      </c>
      <c r="S713" s="90" t="s">
        <v>218</v>
      </c>
      <c r="T713" s="90">
        <f t="shared" si="58"/>
        <v>1</v>
      </c>
      <c r="U713" s="94">
        <v>46001</v>
      </c>
      <c r="V713" s="90" t="s">
        <v>86</v>
      </c>
      <c r="W713" s="92">
        <v>2707</v>
      </c>
      <c r="X713" s="93">
        <f t="shared" si="57"/>
        <v>1</v>
      </c>
      <c r="Y713" s="92"/>
      <c r="Z713" s="92"/>
      <c r="AA713" s="13" t="str">
        <f t="shared" si="59"/>
        <v>dez/2025</v>
      </c>
    </row>
    <row r="714" spans="1:27" x14ac:dyDescent="0.25">
      <c r="A714" s="89">
        <v>713</v>
      </c>
      <c r="B714" s="68">
        <v>45993</v>
      </c>
      <c r="C714" s="40">
        <v>160</v>
      </c>
      <c r="D714" s="40">
        <f t="shared" si="55"/>
        <v>1</v>
      </c>
      <c r="E714" s="65" t="s">
        <v>162</v>
      </c>
      <c r="F714" s="17" t="s">
        <v>58</v>
      </c>
      <c r="G714" s="17" t="s">
        <v>86</v>
      </c>
      <c r="H714" s="42" t="s">
        <v>946</v>
      </c>
      <c r="I714" s="17" t="str">
        <f t="shared" si="56"/>
        <v>PN-713</v>
      </c>
      <c r="J714" s="18" t="s">
        <v>85</v>
      </c>
      <c r="K714" s="19" t="e">
        <f>IF(J714="","SEM #CH",VLOOKUP(J714,#REF!,2,0))</f>
        <v>#REF!</v>
      </c>
      <c r="L714" s="19" t="e">
        <f>IF(J714="","SEM #CH",VLOOKUP(J714,#REF!,3,0))</f>
        <v>#REF!</v>
      </c>
      <c r="M714" s="19" t="e">
        <f>IF(J714="","SEM #CH",VLOOKUP(J714,#REF!,4,0))</f>
        <v>#REF!</v>
      </c>
      <c r="N714" s="19" t="e">
        <f>IF(J714="","SEM #CH",VLOOKUP(J714,#REF!,5,0))</f>
        <v>#REF!</v>
      </c>
      <c r="O714" s="19" t="e">
        <f>IF(J714="","SEM #CH",VLOOKUP(J714,#REF!,6,0))</f>
        <v>#REF!</v>
      </c>
      <c r="P714" s="19" t="e">
        <f>IF(J714="","SEM #CH",VLOOKUP(J714,#REF!,7,0))</f>
        <v>#REF!</v>
      </c>
      <c r="Q714" s="77" t="str">
        <f>VLOOKUP(J714,'p1'!$B$2:$C$30,2,0)</f>
        <v>NÃO TEM CHAPA</v>
      </c>
      <c r="R714" s="94">
        <v>46001</v>
      </c>
      <c r="S714" s="90" t="s">
        <v>218</v>
      </c>
      <c r="T714" s="90">
        <f t="shared" si="58"/>
        <v>1</v>
      </c>
      <c r="U714" s="94">
        <v>46001</v>
      </c>
      <c r="V714" s="90" t="s">
        <v>86</v>
      </c>
      <c r="W714" s="92">
        <v>2707</v>
      </c>
      <c r="X714" s="93">
        <f t="shared" si="57"/>
        <v>1</v>
      </c>
      <c r="Y714" s="92"/>
      <c r="Z714" s="92"/>
      <c r="AA714" s="13" t="str">
        <f t="shared" si="59"/>
        <v>dez/2025</v>
      </c>
    </row>
    <row r="715" spans="1:27" x14ac:dyDescent="0.25">
      <c r="A715" s="89">
        <v>714</v>
      </c>
      <c r="B715" s="68">
        <v>45959</v>
      </c>
      <c r="C715" s="40">
        <v>133</v>
      </c>
      <c r="D715" s="40">
        <f t="shared" si="55"/>
        <v>1</v>
      </c>
      <c r="E715" s="65" t="s">
        <v>162</v>
      </c>
      <c r="F715" s="17" t="s">
        <v>61</v>
      </c>
      <c r="G715" s="17" t="s">
        <v>86</v>
      </c>
      <c r="H715" s="42" t="s">
        <v>947</v>
      </c>
      <c r="I715" s="17" t="str">
        <f t="shared" si="56"/>
        <v>PF-714</v>
      </c>
      <c r="J715" s="18" t="s">
        <v>61</v>
      </c>
      <c r="K715" s="19" t="e">
        <f>IF(J715="","SEM #CH",VLOOKUP(J715,#REF!,2,0))</f>
        <v>#REF!</v>
      </c>
      <c r="L715" s="19" t="e">
        <f>IF(J715="","SEM #CH",VLOOKUP(J715,#REF!,3,0))</f>
        <v>#REF!</v>
      </c>
      <c r="M715" s="19" t="e">
        <f>IF(J715="","SEM #CH",VLOOKUP(J715,#REF!,4,0))</f>
        <v>#REF!</v>
      </c>
      <c r="N715" s="19" t="e">
        <f>IF(J715="","SEM #CH",VLOOKUP(J715,#REF!,5,0))</f>
        <v>#REF!</v>
      </c>
      <c r="O715" s="19" t="e">
        <f>IF(J715="","SEM #CH",VLOOKUP(J715,#REF!,6,0))</f>
        <v>#REF!</v>
      </c>
      <c r="P715" s="19" t="e">
        <f>IF(J715="","SEM #CH",VLOOKUP(J715,#REF!,7,0))</f>
        <v>#REF!</v>
      </c>
      <c r="Q715" s="77" t="str">
        <f>VLOOKUP(J715,'p1'!$B$2:$C$30,2,0)</f>
        <v>SEM CHAPA</v>
      </c>
      <c r="R715" s="94">
        <v>45986</v>
      </c>
      <c r="S715" s="90" t="s">
        <v>217</v>
      </c>
      <c r="T715" s="90">
        <f t="shared" si="58"/>
        <v>1</v>
      </c>
      <c r="U715" s="94">
        <v>45987</v>
      </c>
      <c r="V715" s="90" t="s">
        <v>86</v>
      </c>
      <c r="W715" s="92">
        <v>2674</v>
      </c>
      <c r="X715" s="93">
        <f t="shared" si="57"/>
        <v>1</v>
      </c>
      <c r="Y715" s="92"/>
      <c r="Z715" s="92"/>
      <c r="AA715" s="13" t="str">
        <f t="shared" si="59"/>
        <v>nov/2025</v>
      </c>
    </row>
    <row r="716" spans="1:27" x14ac:dyDescent="0.25">
      <c r="A716" s="89">
        <v>715</v>
      </c>
      <c r="B716" s="68">
        <v>45993</v>
      </c>
      <c r="C716" s="40">
        <v>160</v>
      </c>
      <c r="D716" s="40">
        <f t="shared" si="55"/>
        <v>1</v>
      </c>
      <c r="E716" s="65" t="s">
        <v>162</v>
      </c>
      <c r="F716" s="17" t="s">
        <v>58</v>
      </c>
      <c r="G716" s="17" t="s">
        <v>86</v>
      </c>
      <c r="H716" s="42" t="s">
        <v>948</v>
      </c>
      <c r="I716" s="17" t="str">
        <f t="shared" si="56"/>
        <v>PN-715</v>
      </c>
      <c r="J716" s="18" t="s">
        <v>85</v>
      </c>
      <c r="K716" s="19" t="e">
        <f>IF(J716="","SEM #CH",VLOOKUP(J716,#REF!,2,0))</f>
        <v>#REF!</v>
      </c>
      <c r="L716" s="19" t="e">
        <f>IF(J716="","SEM #CH",VLOOKUP(J716,#REF!,3,0))</f>
        <v>#REF!</v>
      </c>
      <c r="M716" s="19" t="e">
        <f>IF(J716="","SEM #CH",VLOOKUP(J716,#REF!,4,0))</f>
        <v>#REF!</v>
      </c>
      <c r="N716" s="19" t="e">
        <f>IF(J716="","SEM #CH",VLOOKUP(J716,#REF!,5,0))</f>
        <v>#REF!</v>
      </c>
      <c r="O716" s="19" t="e">
        <f>IF(J716="","SEM #CH",VLOOKUP(J716,#REF!,6,0))</f>
        <v>#REF!</v>
      </c>
      <c r="P716" s="19" t="e">
        <f>IF(J716="","SEM #CH",VLOOKUP(J716,#REF!,7,0))</f>
        <v>#REF!</v>
      </c>
      <c r="Q716" s="77" t="str">
        <f>VLOOKUP(J716,'p1'!$B$2:$C$30,2,0)</f>
        <v>NÃO TEM CHAPA</v>
      </c>
      <c r="R716" s="90"/>
      <c r="S716" s="90" t="s">
        <v>218</v>
      </c>
      <c r="T716" s="90">
        <f t="shared" si="58"/>
        <v>0</v>
      </c>
      <c r="U716" s="94">
        <v>46001</v>
      </c>
      <c r="V716" s="90" t="s">
        <v>86</v>
      </c>
      <c r="W716" s="92">
        <v>2707</v>
      </c>
      <c r="X716" s="93">
        <f t="shared" si="57"/>
        <v>1</v>
      </c>
      <c r="Y716" s="92"/>
      <c r="Z716" s="92"/>
      <c r="AA716" s="13" t="str">
        <f t="shared" si="59"/>
        <v>jan/1900</v>
      </c>
    </row>
    <row r="717" spans="1:27" x14ac:dyDescent="0.25">
      <c r="A717" s="89">
        <v>716</v>
      </c>
      <c r="B717" s="68">
        <v>45993</v>
      </c>
      <c r="C717" s="40">
        <v>160</v>
      </c>
      <c r="D717" s="40">
        <f t="shared" si="55"/>
        <v>1</v>
      </c>
      <c r="E717" s="65" t="s">
        <v>162</v>
      </c>
      <c r="F717" s="17" t="s">
        <v>58</v>
      </c>
      <c r="G717" s="17" t="s">
        <v>86</v>
      </c>
      <c r="H717" s="42" t="s">
        <v>949</v>
      </c>
      <c r="I717" s="17" t="str">
        <f t="shared" si="56"/>
        <v>PN-716</v>
      </c>
      <c r="J717" s="18" t="s">
        <v>85</v>
      </c>
      <c r="K717" s="19" t="e">
        <f>IF(J717="","SEM #CH",VLOOKUP(J717,#REF!,2,0))</f>
        <v>#REF!</v>
      </c>
      <c r="L717" s="19" t="e">
        <f>IF(J717="","SEM #CH",VLOOKUP(J717,#REF!,3,0))</f>
        <v>#REF!</v>
      </c>
      <c r="M717" s="19" t="e">
        <f>IF(J717="","SEM #CH",VLOOKUP(J717,#REF!,4,0))</f>
        <v>#REF!</v>
      </c>
      <c r="N717" s="19" t="e">
        <f>IF(J717="","SEM #CH",VLOOKUP(J717,#REF!,5,0))</f>
        <v>#REF!</v>
      </c>
      <c r="O717" s="19" t="e">
        <f>IF(J717="","SEM #CH",VLOOKUP(J717,#REF!,6,0))</f>
        <v>#REF!</v>
      </c>
      <c r="P717" s="19" t="e">
        <f>IF(J717="","SEM #CH",VLOOKUP(J717,#REF!,7,0))</f>
        <v>#REF!</v>
      </c>
      <c r="Q717" s="77" t="str">
        <f>VLOOKUP(J717,'p1'!$B$2:$C$30,2,0)</f>
        <v>NÃO TEM CHAPA</v>
      </c>
      <c r="R717" s="94">
        <v>46001</v>
      </c>
      <c r="S717" s="90" t="s">
        <v>218</v>
      </c>
      <c r="T717" s="90">
        <f t="shared" si="58"/>
        <v>1</v>
      </c>
      <c r="U717" s="94">
        <v>46001</v>
      </c>
      <c r="V717" s="90" t="s">
        <v>86</v>
      </c>
      <c r="W717" s="92">
        <v>2711</v>
      </c>
      <c r="X717" s="93">
        <f t="shared" si="57"/>
        <v>1</v>
      </c>
      <c r="Y717" s="92"/>
      <c r="Z717" s="92"/>
      <c r="AA717" s="13" t="str">
        <f t="shared" si="59"/>
        <v>dez/2025</v>
      </c>
    </row>
    <row r="718" spans="1:27" x14ac:dyDescent="0.25">
      <c r="A718" s="89">
        <v>717</v>
      </c>
      <c r="B718" s="68">
        <v>45993</v>
      </c>
      <c r="C718" s="40">
        <v>160</v>
      </c>
      <c r="D718" s="40">
        <f t="shared" si="55"/>
        <v>1</v>
      </c>
      <c r="E718" s="65" t="s">
        <v>162</v>
      </c>
      <c r="F718" s="17" t="s">
        <v>58</v>
      </c>
      <c r="G718" s="17" t="s">
        <v>86</v>
      </c>
      <c r="H718" s="42" t="s">
        <v>950</v>
      </c>
      <c r="I718" s="17" t="str">
        <f t="shared" si="56"/>
        <v>PN-717</v>
      </c>
      <c r="J718" s="18" t="s">
        <v>85</v>
      </c>
      <c r="K718" s="19" t="e">
        <f>IF(J718="","SEM #CH",VLOOKUP(J718,#REF!,2,0))</f>
        <v>#REF!</v>
      </c>
      <c r="L718" s="19" t="e">
        <f>IF(J718="","SEM #CH",VLOOKUP(J718,#REF!,3,0))</f>
        <v>#REF!</v>
      </c>
      <c r="M718" s="19" t="e">
        <f>IF(J718="","SEM #CH",VLOOKUP(J718,#REF!,4,0))</f>
        <v>#REF!</v>
      </c>
      <c r="N718" s="19" t="e">
        <f>IF(J718="","SEM #CH",VLOOKUP(J718,#REF!,5,0))</f>
        <v>#REF!</v>
      </c>
      <c r="O718" s="19" t="e">
        <f>IF(J718="","SEM #CH",VLOOKUP(J718,#REF!,6,0))</f>
        <v>#REF!</v>
      </c>
      <c r="P718" s="19" t="e">
        <f>IF(J718="","SEM #CH",VLOOKUP(J718,#REF!,7,0))</f>
        <v>#REF!</v>
      </c>
      <c r="Q718" s="77" t="str">
        <f>VLOOKUP(J718,'p1'!$B$2:$C$30,2,0)</f>
        <v>NÃO TEM CHAPA</v>
      </c>
      <c r="R718" s="94">
        <v>46001</v>
      </c>
      <c r="S718" s="90" t="s">
        <v>218</v>
      </c>
      <c r="T718" s="90">
        <f t="shared" si="58"/>
        <v>1</v>
      </c>
      <c r="U718" s="94">
        <v>46001</v>
      </c>
      <c r="V718" s="90" t="s">
        <v>86</v>
      </c>
      <c r="W718" s="92">
        <v>2707</v>
      </c>
      <c r="X718" s="93">
        <f t="shared" si="57"/>
        <v>1</v>
      </c>
      <c r="Y718" s="92"/>
      <c r="Z718" s="92"/>
      <c r="AA718" s="13" t="str">
        <f t="shared" si="59"/>
        <v>dez/2025</v>
      </c>
    </row>
    <row r="719" spans="1:27" x14ac:dyDescent="0.25">
      <c r="A719" s="89">
        <v>718</v>
      </c>
      <c r="B719" s="68">
        <v>45996</v>
      </c>
      <c r="C719" s="40">
        <v>163</v>
      </c>
      <c r="D719" s="40">
        <f t="shared" si="55"/>
        <v>1</v>
      </c>
      <c r="E719" s="65" t="s">
        <v>162</v>
      </c>
      <c r="F719" s="17" t="s">
        <v>58</v>
      </c>
      <c r="G719" s="17" t="s">
        <v>86</v>
      </c>
      <c r="H719" s="42" t="s">
        <v>951</v>
      </c>
      <c r="I719" s="17" t="str">
        <f t="shared" si="56"/>
        <v>PN-718</v>
      </c>
      <c r="J719" s="18" t="s">
        <v>85</v>
      </c>
      <c r="K719" s="19" t="e">
        <f>IF(J719="","SEM #CH",VLOOKUP(J719,#REF!,2,0))</f>
        <v>#REF!</v>
      </c>
      <c r="L719" s="19" t="e">
        <f>IF(J719="","SEM #CH",VLOOKUP(J719,#REF!,3,0))</f>
        <v>#REF!</v>
      </c>
      <c r="M719" s="19" t="e">
        <f>IF(J719="","SEM #CH",VLOOKUP(J719,#REF!,4,0))</f>
        <v>#REF!</v>
      </c>
      <c r="N719" s="19" t="e">
        <f>IF(J719="","SEM #CH",VLOOKUP(J719,#REF!,5,0))</f>
        <v>#REF!</v>
      </c>
      <c r="O719" s="19" t="e">
        <f>IF(J719="","SEM #CH",VLOOKUP(J719,#REF!,6,0))</f>
        <v>#REF!</v>
      </c>
      <c r="P719" s="19" t="e">
        <f>IF(J719="","SEM #CH",VLOOKUP(J719,#REF!,7,0))</f>
        <v>#REF!</v>
      </c>
      <c r="Q719" s="77" t="str">
        <f>VLOOKUP(J719,'p1'!$B$2:$C$30,2,0)</f>
        <v>NÃO TEM CHAPA</v>
      </c>
      <c r="R719" s="90"/>
      <c r="S719" s="90" t="s">
        <v>218</v>
      </c>
      <c r="T719" s="90">
        <f t="shared" si="58"/>
        <v>0</v>
      </c>
      <c r="U719" s="94">
        <v>46003</v>
      </c>
      <c r="V719" s="90" t="s">
        <v>86</v>
      </c>
      <c r="W719" s="92">
        <v>2712</v>
      </c>
      <c r="X719" s="93">
        <f t="shared" si="57"/>
        <v>1</v>
      </c>
      <c r="Y719" s="92"/>
      <c r="Z719" s="92"/>
      <c r="AA719" s="13" t="str">
        <f t="shared" si="59"/>
        <v>jan/1900</v>
      </c>
    </row>
    <row r="720" spans="1:27" x14ac:dyDescent="0.25">
      <c r="A720" s="89">
        <v>719</v>
      </c>
      <c r="B720" s="68">
        <v>45996</v>
      </c>
      <c r="C720" s="40">
        <v>163</v>
      </c>
      <c r="D720" s="40">
        <f t="shared" si="55"/>
        <v>1</v>
      </c>
      <c r="E720" s="65" t="s">
        <v>162</v>
      </c>
      <c r="F720" s="17" t="s">
        <v>58</v>
      </c>
      <c r="G720" s="17" t="s">
        <v>86</v>
      </c>
      <c r="H720" s="42" t="s">
        <v>952</v>
      </c>
      <c r="I720" s="17" t="str">
        <f t="shared" si="56"/>
        <v>PN-719</v>
      </c>
      <c r="J720" s="18" t="s">
        <v>85</v>
      </c>
      <c r="K720" s="19" t="e">
        <f>IF(J720="","SEM #CH",VLOOKUP(J720,#REF!,2,0))</f>
        <v>#REF!</v>
      </c>
      <c r="L720" s="19" t="e">
        <f>IF(J720="","SEM #CH",VLOOKUP(J720,#REF!,3,0))</f>
        <v>#REF!</v>
      </c>
      <c r="M720" s="19" t="e">
        <f>IF(J720="","SEM #CH",VLOOKUP(J720,#REF!,4,0))</f>
        <v>#REF!</v>
      </c>
      <c r="N720" s="19" t="e">
        <f>IF(J720="","SEM #CH",VLOOKUP(J720,#REF!,5,0))</f>
        <v>#REF!</v>
      </c>
      <c r="O720" s="19" t="e">
        <f>IF(J720="","SEM #CH",VLOOKUP(J720,#REF!,6,0))</f>
        <v>#REF!</v>
      </c>
      <c r="P720" s="19" t="e">
        <f>IF(J720="","SEM #CH",VLOOKUP(J720,#REF!,7,0))</f>
        <v>#REF!</v>
      </c>
      <c r="Q720" s="77" t="str">
        <f>VLOOKUP(J720,'p1'!$B$2:$C$30,2,0)</f>
        <v>NÃO TEM CHAPA</v>
      </c>
      <c r="R720" s="94">
        <v>46001</v>
      </c>
      <c r="S720" s="90" t="s">
        <v>218</v>
      </c>
      <c r="T720" s="90">
        <f t="shared" si="58"/>
        <v>1</v>
      </c>
      <c r="U720" s="94">
        <v>46001</v>
      </c>
      <c r="V720" s="90" t="s">
        <v>86</v>
      </c>
      <c r="W720" s="92">
        <v>2711</v>
      </c>
      <c r="X720" s="93">
        <f t="shared" si="57"/>
        <v>1</v>
      </c>
      <c r="Y720" s="92"/>
      <c r="Z720" s="92"/>
      <c r="AA720" s="13" t="str">
        <f t="shared" si="59"/>
        <v>dez/2025</v>
      </c>
    </row>
    <row r="721" spans="1:27" x14ac:dyDescent="0.25">
      <c r="A721" s="89">
        <v>720</v>
      </c>
      <c r="B721" s="68">
        <v>46003</v>
      </c>
      <c r="C721" s="40">
        <v>167</v>
      </c>
      <c r="D721" s="40">
        <f t="shared" si="55"/>
        <v>1</v>
      </c>
      <c r="E721" s="65" t="s">
        <v>162</v>
      </c>
      <c r="F721" s="17" t="s">
        <v>60</v>
      </c>
      <c r="G721" s="17" t="s">
        <v>86</v>
      </c>
      <c r="H721" s="42" t="s">
        <v>953</v>
      </c>
      <c r="I721" s="17" t="str">
        <f t="shared" si="56"/>
        <v>PE-720</v>
      </c>
      <c r="J721" s="18" t="s">
        <v>88</v>
      </c>
      <c r="K721" s="19" t="e">
        <f>IF(J721="","SEM #CH",VLOOKUP(J721,#REF!,2,0))</f>
        <v>#REF!</v>
      </c>
      <c r="L721" s="19" t="e">
        <f>IF(J721="","SEM #CH",VLOOKUP(J721,#REF!,3,0))</f>
        <v>#REF!</v>
      </c>
      <c r="M721" s="19" t="e">
        <f>IF(J721="","SEM #CH",VLOOKUP(J721,#REF!,4,0))</f>
        <v>#REF!</v>
      </c>
      <c r="N721" s="19" t="e">
        <f>IF(J721="","SEM #CH",VLOOKUP(J721,#REF!,5,0))</f>
        <v>#REF!</v>
      </c>
      <c r="O721" s="19" t="e">
        <f>IF(J721="","SEM #CH",VLOOKUP(J721,#REF!,6,0))</f>
        <v>#REF!</v>
      </c>
      <c r="P721" s="19" t="e">
        <f>IF(J721="","SEM #CH",VLOOKUP(J721,#REF!,7,0))</f>
        <v>#REF!</v>
      </c>
      <c r="Q721" s="77" t="str">
        <f>VLOOKUP(J721,'p1'!$B$2:$C$30,2,0)</f>
        <v>#3/8-1315X1315</v>
      </c>
      <c r="R721" s="90"/>
      <c r="S721" s="90" t="s">
        <v>218</v>
      </c>
      <c r="T721" s="90">
        <f t="shared" si="58"/>
        <v>0</v>
      </c>
      <c r="U721" s="90"/>
      <c r="V721" s="90"/>
      <c r="W721" s="92"/>
      <c r="X721" s="93" t="str">
        <f t="shared" si="57"/>
        <v/>
      </c>
      <c r="Y721" s="92"/>
      <c r="Z721" s="92"/>
      <c r="AA721" s="13" t="str">
        <f t="shared" si="59"/>
        <v>jan/1900</v>
      </c>
    </row>
    <row r="722" spans="1:27" x14ac:dyDescent="0.25">
      <c r="A722" s="89">
        <v>721</v>
      </c>
      <c r="B722" s="68">
        <v>45990</v>
      </c>
      <c r="C722" s="40">
        <v>158</v>
      </c>
      <c r="D722" s="40">
        <f t="shared" si="55"/>
        <v>1</v>
      </c>
      <c r="E722" s="65" t="s">
        <v>162</v>
      </c>
      <c r="F722" s="17" t="s">
        <v>60</v>
      </c>
      <c r="G722" s="17" t="s">
        <v>86</v>
      </c>
      <c r="H722" s="42" t="s">
        <v>954</v>
      </c>
      <c r="I722" s="17" t="str">
        <f t="shared" si="56"/>
        <v>PE-721</v>
      </c>
      <c r="J722" s="18" t="s">
        <v>87</v>
      </c>
      <c r="K722" s="19" t="e">
        <f>IF(J722="","SEM #CH",VLOOKUP(J722,#REF!,2,0))</f>
        <v>#REF!</v>
      </c>
      <c r="L722" s="19" t="e">
        <f>IF(J722="","SEM #CH",VLOOKUP(J722,#REF!,3,0))</f>
        <v>#REF!</v>
      </c>
      <c r="M722" s="19" t="e">
        <f>IF(J722="","SEM #CH",VLOOKUP(J722,#REF!,4,0))</f>
        <v>#REF!</v>
      </c>
      <c r="N722" s="19" t="e">
        <f>IF(J722="","SEM #CH",VLOOKUP(J722,#REF!,5,0))</f>
        <v>#REF!</v>
      </c>
      <c r="O722" s="19" t="e">
        <f>IF(J722="","SEM #CH",VLOOKUP(J722,#REF!,6,0))</f>
        <v>#REF!</v>
      </c>
      <c r="P722" s="19" t="e">
        <f>IF(J722="","SEM #CH",VLOOKUP(J722,#REF!,7,0))</f>
        <v>#REF!</v>
      </c>
      <c r="Q722" s="77" t="str">
        <f>VLOOKUP(J722,'p1'!$B$2:$C$30,2,0)</f>
        <v>#3/8-1620X1620</v>
      </c>
      <c r="R722" s="94">
        <v>45993</v>
      </c>
      <c r="S722" s="90" t="s">
        <v>218</v>
      </c>
      <c r="T722" s="90">
        <f t="shared" si="58"/>
        <v>1</v>
      </c>
      <c r="U722" s="94">
        <v>45995</v>
      </c>
      <c r="V722" s="90" t="s">
        <v>86</v>
      </c>
      <c r="W722" s="92">
        <v>2697</v>
      </c>
      <c r="X722" s="93">
        <f t="shared" si="57"/>
        <v>1</v>
      </c>
      <c r="Y722" s="92"/>
      <c r="Z722" s="92"/>
      <c r="AA722" s="13" t="str">
        <f t="shared" si="59"/>
        <v>dez/2025</v>
      </c>
    </row>
    <row r="723" spans="1:27" x14ac:dyDescent="0.25">
      <c r="A723" s="89">
        <v>722</v>
      </c>
      <c r="B723" s="68">
        <v>45990</v>
      </c>
      <c r="C723" s="40">
        <v>158</v>
      </c>
      <c r="D723" s="40">
        <f t="shared" si="55"/>
        <v>1</v>
      </c>
      <c r="E723" s="65" t="s">
        <v>162</v>
      </c>
      <c r="F723" s="17" t="s">
        <v>60</v>
      </c>
      <c r="G723" s="17" t="s">
        <v>86</v>
      </c>
      <c r="H723" s="42" t="s">
        <v>955</v>
      </c>
      <c r="I723" s="17" t="str">
        <f t="shared" si="56"/>
        <v>PE-722</v>
      </c>
      <c r="J723" s="18" t="s">
        <v>89</v>
      </c>
      <c r="K723" s="19" t="e">
        <f>IF(J723="","SEM #CH",VLOOKUP(J723,#REF!,2,0))</f>
        <v>#REF!</v>
      </c>
      <c r="L723" s="19" t="e">
        <f>IF(J723="","SEM #CH",VLOOKUP(J723,#REF!,3,0))</f>
        <v>#REF!</v>
      </c>
      <c r="M723" s="19" t="e">
        <f>IF(J723="","SEM #CH",VLOOKUP(J723,#REF!,4,0))</f>
        <v>#REF!</v>
      </c>
      <c r="N723" s="19" t="e">
        <f>IF(J723="","SEM #CH",VLOOKUP(J723,#REF!,5,0))</f>
        <v>#REF!</v>
      </c>
      <c r="O723" s="19" t="e">
        <f>IF(J723="","SEM #CH",VLOOKUP(J723,#REF!,6,0))</f>
        <v>#REF!</v>
      </c>
      <c r="P723" s="19" t="e">
        <f>IF(J723="","SEM #CH",VLOOKUP(J723,#REF!,7,0))</f>
        <v>#REF!</v>
      </c>
      <c r="Q723" s="77" t="str">
        <f>VLOOKUP(J723,'p1'!$B$2:$C$30,2,0)</f>
        <v>#3/8-1200X1200</v>
      </c>
      <c r="R723" s="94">
        <v>45994</v>
      </c>
      <c r="S723" s="90" t="s">
        <v>218</v>
      </c>
      <c r="T723" s="90">
        <f t="shared" si="58"/>
        <v>1</v>
      </c>
      <c r="U723" s="94">
        <v>45995</v>
      </c>
      <c r="V723" s="90" t="s">
        <v>86</v>
      </c>
      <c r="W723" s="92">
        <v>2697</v>
      </c>
      <c r="X723" s="93">
        <f t="shared" si="57"/>
        <v>1</v>
      </c>
      <c r="Y723" s="92"/>
      <c r="Z723" s="92"/>
      <c r="AA723" s="13" t="str">
        <f t="shared" si="59"/>
        <v>dez/2025</v>
      </c>
    </row>
    <row r="724" spans="1:27" x14ac:dyDescent="0.25">
      <c r="A724" s="89">
        <v>723</v>
      </c>
      <c r="B724" s="68">
        <v>45967</v>
      </c>
      <c r="C724" s="40">
        <v>139</v>
      </c>
      <c r="D724" s="40">
        <f t="shared" si="55"/>
        <v>1</v>
      </c>
      <c r="E724" s="65" t="s">
        <v>162</v>
      </c>
      <c r="F724" s="17" t="s">
        <v>60</v>
      </c>
      <c r="G724" s="17" t="s">
        <v>86</v>
      </c>
      <c r="H724" s="42" t="s">
        <v>956</v>
      </c>
      <c r="I724" s="17" t="str">
        <f t="shared" si="56"/>
        <v>PE-723</v>
      </c>
      <c r="J724" s="18" t="s">
        <v>90</v>
      </c>
      <c r="K724" s="19" t="e">
        <f>IF(J724="","SEM #CH",VLOOKUP(J724,#REF!,2,0))</f>
        <v>#REF!</v>
      </c>
      <c r="L724" s="19" t="e">
        <f>IF(J724="","SEM #CH",VLOOKUP(J724,#REF!,3,0))</f>
        <v>#REF!</v>
      </c>
      <c r="M724" s="19" t="e">
        <f>IF(J724="","SEM #CH",VLOOKUP(J724,#REF!,4,0))</f>
        <v>#REF!</v>
      </c>
      <c r="N724" s="19" t="e">
        <f>IF(J724="","SEM #CH",VLOOKUP(J724,#REF!,5,0))</f>
        <v>#REF!</v>
      </c>
      <c r="O724" s="19" t="e">
        <f>IF(J724="","SEM #CH",VLOOKUP(J724,#REF!,6,0))</f>
        <v>#REF!</v>
      </c>
      <c r="P724" s="19" t="e">
        <f>IF(J724="","SEM #CH",VLOOKUP(J724,#REF!,7,0))</f>
        <v>#REF!</v>
      </c>
      <c r="Q724" s="77" t="str">
        <f>VLOOKUP(J724,'p1'!$B$2:$C$30,2,0)</f>
        <v>#3/8-530X530</v>
      </c>
      <c r="R724" s="94">
        <v>45975</v>
      </c>
      <c r="S724" s="90" t="s">
        <v>218</v>
      </c>
      <c r="T724" s="90">
        <f t="shared" si="58"/>
        <v>1</v>
      </c>
      <c r="U724" s="94">
        <v>45975</v>
      </c>
      <c r="V724" s="90" t="s">
        <v>86</v>
      </c>
      <c r="W724" s="92">
        <v>2645</v>
      </c>
      <c r="X724" s="93">
        <f t="shared" si="57"/>
        <v>1</v>
      </c>
      <c r="Y724" s="92"/>
      <c r="Z724" s="92"/>
      <c r="AA724" s="13" t="str">
        <f t="shared" si="59"/>
        <v>nov/2025</v>
      </c>
    </row>
    <row r="725" spans="1:27" x14ac:dyDescent="0.25">
      <c r="A725" s="89">
        <v>724</v>
      </c>
      <c r="B725" s="68">
        <v>45996</v>
      </c>
      <c r="C725" s="40">
        <v>163</v>
      </c>
      <c r="D725" s="40">
        <f t="shared" si="55"/>
        <v>1</v>
      </c>
      <c r="E725" s="65" t="s">
        <v>162</v>
      </c>
      <c r="F725" s="17" t="s">
        <v>58</v>
      </c>
      <c r="G725" s="17" t="s">
        <v>86</v>
      </c>
      <c r="H725" s="42" t="s">
        <v>957</v>
      </c>
      <c r="I725" s="17" t="str">
        <f t="shared" si="56"/>
        <v>PN-724</v>
      </c>
      <c r="J725" s="18" t="s">
        <v>85</v>
      </c>
      <c r="K725" s="19" t="e">
        <f>IF(J725="","SEM #CH",VLOOKUP(J725,#REF!,2,0))</f>
        <v>#REF!</v>
      </c>
      <c r="L725" s="19" t="e">
        <f>IF(J725="","SEM #CH",VLOOKUP(J725,#REF!,3,0))</f>
        <v>#REF!</v>
      </c>
      <c r="M725" s="19" t="e">
        <f>IF(J725="","SEM #CH",VLOOKUP(J725,#REF!,4,0))</f>
        <v>#REF!</v>
      </c>
      <c r="N725" s="19" t="e">
        <f>IF(J725="","SEM #CH",VLOOKUP(J725,#REF!,5,0))</f>
        <v>#REF!</v>
      </c>
      <c r="O725" s="19" t="e">
        <f>IF(J725="","SEM #CH",VLOOKUP(J725,#REF!,6,0))</f>
        <v>#REF!</v>
      </c>
      <c r="P725" s="19" t="e">
        <f>IF(J725="","SEM #CH",VLOOKUP(J725,#REF!,7,0))</f>
        <v>#REF!</v>
      </c>
      <c r="Q725" s="77" t="str">
        <f>VLOOKUP(J725,'p1'!$B$2:$C$30,2,0)</f>
        <v>NÃO TEM CHAPA</v>
      </c>
      <c r="R725" s="94">
        <v>46002</v>
      </c>
      <c r="S725" s="90" t="s">
        <v>218</v>
      </c>
      <c r="T725" s="90">
        <f t="shared" si="58"/>
        <v>1</v>
      </c>
      <c r="U725" s="94">
        <v>46003</v>
      </c>
      <c r="V725" s="90" t="s">
        <v>86</v>
      </c>
      <c r="W725" s="92">
        <v>2713</v>
      </c>
      <c r="X725" s="93">
        <f t="shared" si="57"/>
        <v>1</v>
      </c>
      <c r="Y725" s="92"/>
      <c r="Z725" s="92"/>
      <c r="AA725" s="13" t="str">
        <f t="shared" si="59"/>
        <v>dez/2025</v>
      </c>
    </row>
    <row r="726" spans="1:27" x14ac:dyDescent="0.25">
      <c r="A726" s="89">
        <v>725</v>
      </c>
      <c r="B726" s="68">
        <v>45996</v>
      </c>
      <c r="C726" s="40">
        <v>163</v>
      </c>
      <c r="D726" s="40">
        <f t="shared" si="55"/>
        <v>1</v>
      </c>
      <c r="E726" s="65" t="s">
        <v>162</v>
      </c>
      <c r="F726" s="17" t="s">
        <v>58</v>
      </c>
      <c r="G726" s="17" t="s">
        <v>86</v>
      </c>
      <c r="H726" s="42" t="s">
        <v>958</v>
      </c>
      <c r="I726" s="17" t="str">
        <f t="shared" si="56"/>
        <v>PN-725</v>
      </c>
      <c r="J726" s="18" t="s">
        <v>85</v>
      </c>
      <c r="K726" s="19" t="e">
        <f>IF(J726="","SEM #CH",VLOOKUP(J726,#REF!,2,0))</f>
        <v>#REF!</v>
      </c>
      <c r="L726" s="19" t="e">
        <f>IF(J726="","SEM #CH",VLOOKUP(J726,#REF!,3,0))</f>
        <v>#REF!</v>
      </c>
      <c r="M726" s="19" t="e">
        <f>IF(J726="","SEM #CH",VLOOKUP(J726,#REF!,4,0))</f>
        <v>#REF!</v>
      </c>
      <c r="N726" s="19" t="e">
        <f>IF(J726="","SEM #CH",VLOOKUP(J726,#REF!,5,0))</f>
        <v>#REF!</v>
      </c>
      <c r="O726" s="19" t="e">
        <f>IF(J726="","SEM #CH",VLOOKUP(J726,#REF!,6,0))</f>
        <v>#REF!</v>
      </c>
      <c r="P726" s="19" t="e">
        <f>IF(J726="","SEM #CH",VLOOKUP(J726,#REF!,7,0))</f>
        <v>#REF!</v>
      </c>
      <c r="Q726" s="77" t="str">
        <f>VLOOKUP(J726,'p1'!$B$2:$C$30,2,0)</f>
        <v>NÃO TEM CHAPA</v>
      </c>
      <c r="R726" s="94">
        <v>46002</v>
      </c>
      <c r="S726" s="90" t="s">
        <v>218</v>
      </c>
      <c r="T726" s="90">
        <f t="shared" si="58"/>
        <v>1</v>
      </c>
      <c r="U726" s="94">
        <v>46003</v>
      </c>
      <c r="V726" s="90" t="s">
        <v>86</v>
      </c>
      <c r="W726" s="92">
        <v>2713</v>
      </c>
      <c r="X726" s="93">
        <f t="shared" si="57"/>
        <v>1</v>
      </c>
      <c r="Y726" s="92"/>
      <c r="Z726" s="92"/>
      <c r="AA726" s="13" t="str">
        <f t="shared" si="59"/>
        <v>dez/2025</v>
      </c>
    </row>
    <row r="727" spans="1:27" x14ac:dyDescent="0.25">
      <c r="A727" s="89">
        <v>726</v>
      </c>
      <c r="B727" s="68">
        <v>45996</v>
      </c>
      <c r="C727" s="40">
        <v>163</v>
      </c>
      <c r="D727" s="40">
        <f t="shared" si="55"/>
        <v>1</v>
      </c>
      <c r="E727" s="65" t="s">
        <v>162</v>
      </c>
      <c r="F727" s="17" t="s">
        <v>58</v>
      </c>
      <c r="G727" s="17" t="s">
        <v>86</v>
      </c>
      <c r="H727" s="42" t="s">
        <v>959</v>
      </c>
      <c r="I727" s="17" t="str">
        <f t="shared" si="56"/>
        <v>PN-726</v>
      </c>
      <c r="J727" s="18" t="s">
        <v>85</v>
      </c>
      <c r="K727" s="19" t="e">
        <f>IF(J727="","SEM #CH",VLOOKUP(J727,#REF!,2,0))</f>
        <v>#REF!</v>
      </c>
      <c r="L727" s="19" t="e">
        <f>IF(J727="","SEM #CH",VLOOKUP(J727,#REF!,3,0))</f>
        <v>#REF!</v>
      </c>
      <c r="M727" s="19" t="e">
        <f>IF(J727="","SEM #CH",VLOOKUP(J727,#REF!,4,0))</f>
        <v>#REF!</v>
      </c>
      <c r="N727" s="19" t="e">
        <f>IF(J727="","SEM #CH",VLOOKUP(J727,#REF!,5,0))</f>
        <v>#REF!</v>
      </c>
      <c r="O727" s="19" t="e">
        <f>IF(J727="","SEM #CH",VLOOKUP(J727,#REF!,6,0))</f>
        <v>#REF!</v>
      </c>
      <c r="P727" s="19" t="e">
        <f>IF(J727="","SEM #CH",VLOOKUP(J727,#REF!,7,0))</f>
        <v>#REF!</v>
      </c>
      <c r="Q727" s="77" t="str">
        <f>VLOOKUP(J727,'p1'!$B$2:$C$30,2,0)</f>
        <v>NÃO TEM CHAPA</v>
      </c>
      <c r="R727" s="90"/>
      <c r="S727" s="90" t="s">
        <v>218</v>
      </c>
      <c r="T727" s="90">
        <f t="shared" si="58"/>
        <v>0</v>
      </c>
      <c r="U727" s="94">
        <v>46003</v>
      </c>
      <c r="V727" s="90" t="s">
        <v>86</v>
      </c>
      <c r="W727" s="92">
        <v>2712</v>
      </c>
      <c r="X727" s="93">
        <f t="shared" si="57"/>
        <v>1</v>
      </c>
      <c r="Y727" s="92"/>
      <c r="Z727" s="92"/>
      <c r="AA727" s="13" t="str">
        <f t="shared" si="59"/>
        <v>jan/1900</v>
      </c>
    </row>
    <row r="728" spans="1:27" x14ac:dyDescent="0.25">
      <c r="A728" s="89">
        <v>727</v>
      </c>
      <c r="B728" s="68">
        <v>45996</v>
      </c>
      <c r="C728" s="40">
        <v>163</v>
      </c>
      <c r="D728" s="40">
        <f t="shared" si="55"/>
        <v>1</v>
      </c>
      <c r="E728" s="65" t="s">
        <v>162</v>
      </c>
      <c r="F728" s="17" t="s">
        <v>58</v>
      </c>
      <c r="G728" s="17" t="s">
        <v>86</v>
      </c>
      <c r="H728" s="42" t="s">
        <v>960</v>
      </c>
      <c r="I728" s="17" t="str">
        <f t="shared" si="56"/>
        <v>PN-727</v>
      </c>
      <c r="J728" s="18" t="s">
        <v>85</v>
      </c>
      <c r="K728" s="19" t="e">
        <f>IF(J728="","SEM #CH",VLOOKUP(J728,#REF!,2,0))</f>
        <v>#REF!</v>
      </c>
      <c r="L728" s="19" t="e">
        <f>IF(J728="","SEM #CH",VLOOKUP(J728,#REF!,3,0))</f>
        <v>#REF!</v>
      </c>
      <c r="M728" s="19" t="e">
        <f>IF(J728="","SEM #CH",VLOOKUP(J728,#REF!,4,0))</f>
        <v>#REF!</v>
      </c>
      <c r="N728" s="19" t="e">
        <f>IF(J728="","SEM #CH",VLOOKUP(J728,#REF!,5,0))</f>
        <v>#REF!</v>
      </c>
      <c r="O728" s="19" t="e">
        <f>IF(J728="","SEM #CH",VLOOKUP(J728,#REF!,6,0))</f>
        <v>#REF!</v>
      </c>
      <c r="P728" s="19" t="e">
        <f>IF(J728="","SEM #CH",VLOOKUP(J728,#REF!,7,0))</f>
        <v>#REF!</v>
      </c>
      <c r="Q728" s="77" t="str">
        <f>VLOOKUP(J728,'p1'!$B$2:$C$30,2,0)</f>
        <v>NÃO TEM CHAPA</v>
      </c>
      <c r="R728" s="90"/>
      <c r="S728" s="90" t="s">
        <v>218</v>
      </c>
      <c r="T728" s="90">
        <f t="shared" si="58"/>
        <v>0</v>
      </c>
      <c r="U728" s="94">
        <v>46003</v>
      </c>
      <c r="V728" s="90" t="s">
        <v>86</v>
      </c>
      <c r="W728" s="92">
        <v>2713</v>
      </c>
      <c r="X728" s="93">
        <f t="shared" si="57"/>
        <v>1</v>
      </c>
      <c r="Y728" s="92"/>
      <c r="Z728" s="92"/>
      <c r="AA728" s="13" t="str">
        <f t="shared" si="59"/>
        <v>jan/1900</v>
      </c>
    </row>
    <row r="729" spans="1:27" x14ac:dyDescent="0.25">
      <c r="A729" s="89">
        <v>728</v>
      </c>
      <c r="B729" s="68">
        <v>45996</v>
      </c>
      <c r="C729" s="40">
        <v>163</v>
      </c>
      <c r="D729" s="40">
        <f t="shared" si="55"/>
        <v>1</v>
      </c>
      <c r="E729" s="65" t="s">
        <v>162</v>
      </c>
      <c r="F729" s="17" t="s">
        <v>58</v>
      </c>
      <c r="G729" s="17" t="s">
        <v>86</v>
      </c>
      <c r="H729" s="42" t="s">
        <v>961</v>
      </c>
      <c r="I729" s="17" t="str">
        <f t="shared" si="56"/>
        <v>PN-728</v>
      </c>
      <c r="J729" s="18" t="s">
        <v>85</v>
      </c>
      <c r="K729" s="19" t="e">
        <f>IF(J729="","SEM #CH",VLOOKUP(J729,#REF!,2,0))</f>
        <v>#REF!</v>
      </c>
      <c r="L729" s="19" t="e">
        <f>IF(J729="","SEM #CH",VLOOKUP(J729,#REF!,3,0))</f>
        <v>#REF!</v>
      </c>
      <c r="M729" s="19" t="e">
        <f>IF(J729="","SEM #CH",VLOOKUP(J729,#REF!,4,0))</f>
        <v>#REF!</v>
      </c>
      <c r="N729" s="19" t="e">
        <f>IF(J729="","SEM #CH",VLOOKUP(J729,#REF!,5,0))</f>
        <v>#REF!</v>
      </c>
      <c r="O729" s="19" t="e">
        <f>IF(J729="","SEM #CH",VLOOKUP(J729,#REF!,6,0))</f>
        <v>#REF!</v>
      </c>
      <c r="P729" s="19" t="e">
        <f>IF(J729="","SEM #CH",VLOOKUP(J729,#REF!,7,0))</f>
        <v>#REF!</v>
      </c>
      <c r="Q729" s="77" t="str">
        <f>VLOOKUP(J729,'p1'!$B$2:$C$30,2,0)</f>
        <v>NÃO TEM CHAPA</v>
      </c>
      <c r="R729" s="90"/>
      <c r="S729" s="90" t="s">
        <v>218</v>
      </c>
      <c r="T729" s="90">
        <f t="shared" si="58"/>
        <v>0</v>
      </c>
      <c r="U729" s="94">
        <v>46003</v>
      </c>
      <c r="V729" s="90" t="s">
        <v>86</v>
      </c>
      <c r="W729" s="92">
        <v>2713</v>
      </c>
      <c r="X729" s="93">
        <f t="shared" si="57"/>
        <v>1</v>
      </c>
      <c r="Y729" s="92"/>
      <c r="Z729" s="92"/>
      <c r="AA729" s="13" t="str">
        <f t="shared" si="59"/>
        <v>jan/1900</v>
      </c>
    </row>
    <row r="730" spans="1:27" x14ac:dyDescent="0.25">
      <c r="A730" s="89">
        <v>729</v>
      </c>
      <c r="B730" s="68">
        <v>45999</v>
      </c>
      <c r="C730" s="40">
        <v>164</v>
      </c>
      <c r="D730" s="40">
        <f t="shared" si="55"/>
        <v>1</v>
      </c>
      <c r="E730" s="65" t="s">
        <v>162</v>
      </c>
      <c r="F730" s="17" t="s">
        <v>58</v>
      </c>
      <c r="G730" s="17" t="s">
        <v>86</v>
      </c>
      <c r="H730" s="42" t="s">
        <v>962</v>
      </c>
      <c r="I730" s="17" t="str">
        <f t="shared" si="56"/>
        <v>PN-729</v>
      </c>
      <c r="J730" s="18" t="s">
        <v>85</v>
      </c>
      <c r="K730" s="19" t="e">
        <f>IF(J730="","SEM #CH",VLOOKUP(J730,#REF!,2,0))</f>
        <v>#REF!</v>
      </c>
      <c r="L730" s="19" t="e">
        <f>IF(J730="","SEM #CH",VLOOKUP(J730,#REF!,3,0))</f>
        <v>#REF!</v>
      </c>
      <c r="M730" s="19" t="e">
        <f>IF(J730="","SEM #CH",VLOOKUP(J730,#REF!,4,0))</f>
        <v>#REF!</v>
      </c>
      <c r="N730" s="19" t="e">
        <f>IF(J730="","SEM #CH",VLOOKUP(J730,#REF!,5,0))</f>
        <v>#REF!</v>
      </c>
      <c r="O730" s="19" t="e">
        <f>IF(J730="","SEM #CH",VLOOKUP(J730,#REF!,6,0))</f>
        <v>#REF!</v>
      </c>
      <c r="P730" s="19" t="e">
        <f>IF(J730="","SEM #CH",VLOOKUP(J730,#REF!,7,0))</f>
        <v>#REF!</v>
      </c>
      <c r="Q730" s="77" t="str">
        <f>VLOOKUP(J730,'p1'!$B$2:$C$30,2,0)</f>
        <v>NÃO TEM CHAPA</v>
      </c>
      <c r="R730" s="90"/>
      <c r="S730" s="90" t="s">
        <v>218</v>
      </c>
      <c r="T730" s="90">
        <f t="shared" si="58"/>
        <v>0</v>
      </c>
      <c r="U730" s="90"/>
      <c r="V730" s="90"/>
      <c r="W730" s="92"/>
      <c r="X730" s="93" t="str">
        <f t="shared" si="57"/>
        <v/>
      </c>
      <c r="Y730" s="92"/>
      <c r="Z730" s="92"/>
      <c r="AA730" s="13" t="str">
        <f t="shared" si="59"/>
        <v>jan/1900</v>
      </c>
    </row>
    <row r="731" spans="1:27" x14ac:dyDescent="0.25">
      <c r="A731" s="89">
        <v>730</v>
      </c>
      <c r="B731" s="68">
        <v>45999</v>
      </c>
      <c r="C731" s="40">
        <v>164</v>
      </c>
      <c r="D731" s="40">
        <f t="shared" si="55"/>
        <v>1</v>
      </c>
      <c r="E731" s="65" t="s">
        <v>162</v>
      </c>
      <c r="F731" s="17" t="s">
        <v>58</v>
      </c>
      <c r="G731" s="17" t="s">
        <v>86</v>
      </c>
      <c r="H731" s="42" t="s">
        <v>963</v>
      </c>
      <c r="I731" s="17" t="str">
        <f t="shared" si="56"/>
        <v>PN-730</v>
      </c>
      <c r="J731" s="18" t="s">
        <v>85</v>
      </c>
      <c r="K731" s="19" t="e">
        <f>IF(J731="","SEM #CH",VLOOKUP(J731,#REF!,2,0))</f>
        <v>#REF!</v>
      </c>
      <c r="L731" s="19" t="e">
        <f>IF(J731="","SEM #CH",VLOOKUP(J731,#REF!,3,0))</f>
        <v>#REF!</v>
      </c>
      <c r="M731" s="19" t="e">
        <f>IF(J731="","SEM #CH",VLOOKUP(J731,#REF!,4,0))</f>
        <v>#REF!</v>
      </c>
      <c r="N731" s="19" t="e">
        <f>IF(J731="","SEM #CH",VLOOKUP(J731,#REF!,5,0))</f>
        <v>#REF!</v>
      </c>
      <c r="O731" s="19" t="e">
        <f>IF(J731="","SEM #CH",VLOOKUP(J731,#REF!,6,0))</f>
        <v>#REF!</v>
      </c>
      <c r="P731" s="19" t="e">
        <f>IF(J731="","SEM #CH",VLOOKUP(J731,#REF!,7,0))</f>
        <v>#REF!</v>
      </c>
      <c r="Q731" s="77" t="str">
        <f>VLOOKUP(J731,'p1'!$B$2:$C$30,2,0)</f>
        <v>NÃO TEM CHAPA</v>
      </c>
      <c r="R731" s="90"/>
      <c r="S731" s="90" t="s">
        <v>218</v>
      </c>
      <c r="T731" s="90">
        <f t="shared" si="58"/>
        <v>0</v>
      </c>
      <c r="U731" s="90"/>
      <c r="V731" s="90"/>
      <c r="W731" s="92"/>
      <c r="X731" s="93" t="str">
        <f t="shared" si="57"/>
        <v/>
      </c>
      <c r="Y731" s="92"/>
      <c r="Z731" s="92"/>
      <c r="AA731" s="13" t="str">
        <f t="shared" si="59"/>
        <v>jan/1900</v>
      </c>
    </row>
    <row r="732" spans="1:27" x14ac:dyDescent="0.25">
      <c r="A732" s="89">
        <v>731</v>
      </c>
      <c r="B732" s="68">
        <v>45999</v>
      </c>
      <c r="C732" s="40">
        <v>164</v>
      </c>
      <c r="D732" s="40">
        <f t="shared" si="55"/>
        <v>1</v>
      </c>
      <c r="E732" s="65" t="s">
        <v>162</v>
      </c>
      <c r="F732" s="17" t="s">
        <v>58</v>
      </c>
      <c r="G732" s="17" t="s">
        <v>86</v>
      </c>
      <c r="H732" s="42" t="s">
        <v>964</v>
      </c>
      <c r="I732" s="17" t="str">
        <f t="shared" si="56"/>
        <v>PN-731</v>
      </c>
      <c r="J732" s="18" t="s">
        <v>85</v>
      </c>
      <c r="K732" s="19" t="e">
        <f>IF(J732="","SEM #CH",VLOOKUP(J732,#REF!,2,0))</f>
        <v>#REF!</v>
      </c>
      <c r="L732" s="19" t="e">
        <f>IF(J732="","SEM #CH",VLOOKUP(J732,#REF!,3,0))</f>
        <v>#REF!</v>
      </c>
      <c r="M732" s="19" t="e">
        <f>IF(J732="","SEM #CH",VLOOKUP(J732,#REF!,4,0))</f>
        <v>#REF!</v>
      </c>
      <c r="N732" s="19" t="e">
        <f>IF(J732="","SEM #CH",VLOOKUP(J732,#REF!,5,0))</f>
        <v>#REF!</v>
      </c>
      <c r="O732" s="19" t="e">
        <f>IF(J732="","SEM #CH",VLOOKUP(J732,#REF!,6,0))</f>
        <v>#REF!</v>
      </c>
      <c r="P732" s="19" t="e">
        <f>IF(J732="","SEM #CH",VLOOKUP(J732,#REF!,7,0))</f>
        <v>#REF!</v>
      </c>
      <c r="Q732" s="77" t="str">
        <f>VLOOKUP(J732,'p1'!$B$2:$C$30,2,0)</f>
        <v>NÃO TEM CHAPA</v>
      </c>
      <c r="R732" s="90"/>
      <c r="S732" s="90" t="s">
        <v>218</v>
      </c>
      <c r="T732" s="90">
        <f t="shared" si="58"/>
        <v>0</v>
      </c>
      <c r="U732" s="90"/>
      <c r="V732" s="90"/>
      <c r="W732" s="92"/>
      <c r="X732" s="93" t="str">
        <f t="shared" si="57"/>
        <v/>
      </c>
      <c r="Y732" s="92"/>
      <c r="Z732" s="92"/>
      <c r="AA732" s="13" t="str">
        <f t="shared" si="59"/>
        <v>jan/1900</v>
      </c>
    </row>
    <row r="733" spans="1:27" x14ac:dyDescent="0.25">
      <c r="A733" s="89">
        <v>732</v>
      </c>
      <c r="B733" s="68">
        <v>45999</v>
      </c>
      <c r="C733" s="40">
        <v>164</v>
      </c>
      <c r="D733" s="40">
        <f t="shared" si="55"/>
        <v>1</v>
      </c>
      <c r="E733" s="65" t="s">
        <v>162</v>
      </c>
      <c r="F733" s="17" t="s">
        <v>58</v>
      </c>
      <c r="G733" s="17" t="s">
        <v>86</v>
      </c>
      <c r="H733" s="42" t="s">
        <v>965</v>
      </c>
      <c r="I733" s="17" t="str">
        <f t="shared" si="56"/>
        <v>PN-732</v>
      </c>
      <c r="J733" s="18" t="s">
        <v>85</v>
      </c>
      <c r="K733" s="19" t="e">
        <f>IF(J733="","SEM #CH",VLOOKUP(J733,#REF!,2,0))</f>
        <v>#REF!</v>
      </c>
      <c r="L733" s="19" t="e">
        <f>IF(J733="","SEM #CH",VLOOKUP(J733,#REF!,3,0))</f>
        <v>#REF!</v>
      </c>
      <c r="M733" s="19" t="e">
        <f>IF(J733="","SEM #CH",VLOOKUP(J733,#REF!,4,0))</f>
        <v>#REF!</v>
      </c>
      <c r="N733" s="19" t="e">
        <f>IF(J733="","SEM #CH",VLOOKUP(J733,#REF!,5,0))</f>
        <v>#REF!</v>
      </c>
      <c r="O733" s="19" t="e">
        <f>IF(J733="","SEM #CH",VLOOKUP(J733,#REF!,6,0))</f>
        <v>#REF!</v>
      </c>
      <c r="P733" s="19" t="e">
        <f>IF(J733="","SEM #CH",VLOOKUP(J733,#REF!,7,0))</f>
        <v>#REF!</v>
      </c>
      <c r="Q733" s="77" t="str">
        <f>VLOOKUP(J733,'p1'!$B$2:$C$30,2,0)</f>
        <v>NÃO TEM CHAPA</v>
      </c>
      <c r="R733" s="90"/>
      <c r="S733" s="90" t="s">
        <v>218</v>
      </c>
      <c r="T733" s="90">
        <f t="shared" si="58"/>
        <v>0</v>
      </c>
      <c r="U733" s="90"/>
      <c r="V733" s="90"/>
      <c r="W733" s="92"/>
      <c r="X733" s="93" t="str">
        <f t="shared" si="57"/>
        <v/>
      </c>
      <c r="Y733" s="92"/>
      <c r="Z733" s="92"/>
      <c r="AA733" s="13" t="str">
        <f t="shared" si="59"/>
        <v>jan/1900</v>
      </c>
    </row>
    <row r="734" spans="1:27" x14ac:dyDescent="0.25">
      <c r="A734" s="89">
        <v>733</v>
      </c>
      <c r="B734" s="68">
        <v>45999</v>
      </c>
      <c r="C734" s="40">
        <v>164</v>
      </c>
      <c r="D734" s="40">
        <f t="shared" si="55"/>
        <v>1</v>
      </c>
      <c r="E734" s="65" t="s">
        <v>162</v>
      </c>
      <c r="F734" s="17" t="s">
        <v>58</v>
      </c>
      <c r="G734" s="17" t="s">
        <v>86</v>
      </c>
      <c r="H734" s="42" t="s">
        <v>966</v>
      </c>
      <c r="I734" s="17" t="str">
        <f t="shared" si="56"/>
        <v>PN-733</v>
      </c>
      <c r="J734" s="18" t="s">
        <v>85</v>
      </c>
      <c r="K734" s="19" t="e">
        <f>IF(J734="","SEM #CH",VLOOKUP(J734,#REF!,2,0))</f>
        <v>#REF!</v>
      </c>
      <c r="L734" s="19" t="e">
        <f>IF(J734="","SEM #CH",VLOOKUP(J734,#REF!,3,0))</f>
        <v>#REF!</v>
      </c>
      <c r="M734" s="19" t="e">
        <f>IF(J734="","SEM #CH",VLOOKUP(J734,#REF!,4,0))</f>
        <v>#REF!</v>
      </c>
      <c r="N734" s="19" t="e">
        <f>IF(J734="","SEM #CH",VLOOKUP(J734,#REF!,5,0))</f>
        <v>#REF!</v>
      </c>
      <c r="O734" s="19" t="e">
        <f>IF(J734="","SEM #CH",VLOOKUP(J734,#REF!,6,0))</f>
        <v>#REF!</v>
      </c>
      <c r="P734" s="19" t="e">
        <f>IF(J734="","SEM #CH",VLOOKUP(J734,#REF!,7,0))</f>
        <v>#REF!</v>
      </c>
      <c r="Q734" s="77" t="str">
        <f>VLOOKUP(J734,'p1'!$B$2:$C$30,2,0)</f>
        <v>NÃO TEM CHAPA</v>
      </c>
      <c r="R734" s="90"/>
      <c r="S734" s="90" t="s">
        <v>218</v>
      </c>
      <c r="T734" s="90">
        <f t="shared" si="58"/>
        <v>0</v>
      </c>
      <c r="U734" s="94">
        <v>46003</v>
      </c>
      <c r="V734" s="90" t="s">
        <v>86</v>
      </c>
      <c r="W734" s="92">
        <v>2712</v>
      </c>
      <c r="X734" s="93">
        <f t="shared" si="57"/>
        <v>1</v>
      </c>
      <c r="Y734" s="92"/>
      <c r="Z734" s="92"/>
      <c r="AA734" s="13" t="str">
        <f t="shared" si="59"/>
        <v>jan/1900</v>
      </c>
    </row>
    <row r="735" spans="1:27" x14ac:dyDescent="0.25">
      <c r="A735" s="89">
        <v>734</v>
      </c>
      <c r="B735" s="68">
        <v>45999</v>
      </c>
      <c r="C735" s="40">
        <v>164</v>
      </c>
      <c r="D735" s="40">
        <f t="shared" si="55"/>
        <v>1</v>
      </c>
      <c r="E735" s="65" t="s">
        <v>162</v>
      </c>
      <c r="F735" s="17" t="s">
        <v>58</v>
      </c>
      <c r="G735" s="17" t="s">
        <v>86</v>
      </c>
      <c r="H735" s="42" t="s">
        <v>967</v>
      </c>
      <c r="I735" s="17" t="str">
        <f t="shared" si="56"/>
        <v>PN-734</v>
      </c>
      <c r="J735" s="18" t="s">
        <v>85</v>
      </c>
      <c r="K735" s="19" t="e">
        <f>IF(J735="","SEM #CH",VLOOKUP(J735,#REF!,2,0))</f>
        <v>#REF!</v>
      </c>
      <c r="L735" s="19" t="e">
        <f>IF(J735="","SEM #CH",VLOOKUP(J735,#REF!,3,0))</f>
        <v>#REF!</v>
      </c>
      <c r="M735" s="19" t="e">
        <f>IF(J735="","SEM #CH",VLOOKUP(J735,#REF!,4,0))</f>
        <v>#REF!</v>
      </c>
      <c r="N735" s="19" t="e">
        <f>IF(J735="","SEM #CH",VLOOKUP(J735,#REF!,5,0))</f>
        <v>#REF!</v>
      </c>
      <c r="O735" s="19" t="e">
        <f>IF(J735="","SEM #CH",VLOOKUP(J735,#REF!,6,0))</f>
        <v>#REF!</v>
      </c>
      <c r="P735" s="19" t="e">
        <f>IF(J735="","SEM #CH",VLOOKUP(J735,#REF!,7,0))</f>
        <v>#REF!</v>
      </c>
      <c r="Q735" s="77" t="str">
        <f>VLOOKUP(J735,'p1'!$B$2:$C$30,2,0)</f>
        <v>NÃO TEM CHAPA</v>
      </c>
      <c r="R735" s="90"/>
      <c r="S735" s="90" t="s">
        <v>218</v>
      </c>
      <c r="T735" s="90">
        <f t="shared" si="58"/>
        <v>0</v>
      </c>
      <c r="U735" s="94">
        <v>46003</v>
      </c>
      <c r="V735" s="90" t="s">
        <v>86</v>
      </c>
      <c r="W735" s="92">
        <v>2712</v>
      </c>
      <c r="X735" s="93">
        <f t="shared" si="57"/>
        <v>1</v>
      </c>
      <c r="Y735" s="92"/>
      <c r="Z735" s="92"/>
      <c r="AA735" s="13" t="str">
        <f t="shared" si="59"/>
        <v>jan/1900</v>
      </c>
    </row>
    <row r="736" spans="1:27" x14ac:dyDescent="0.25">
      <c r="A736" s="89">
        <v>735</v>
      </c>
      <c r="B736" s="68">
        <v>46003</v>
      </c>
      <c r="C736" s="40">
        <v>167</v>
      </c>
      <c r="D736" s="40">
        <f t="shared" si="55"/>
        <v>1</v>
      </c>
      <c r="E736" s="65" t="s">
        <v>162</v>
      </c>
      <c r="F736" s="17" t="s">
        <v>58</v>
      </c>
      <c r="G736" s="17" t="s">
        <v>86</v>
      </c>
      <c r="H736" s="42" t="s">
        <v>968</v>
      </c>
      <c r="I736" s="17" t="str">
        <f t="shared" si="56"/>
        <v>PN-735</v>
      </c>
      <c r="J736" s="18" t="s">
        <v>85</v>
      </c>
      <c r="K736" s="19" t="e">
        <f>IF(J736="","SEM #CH",VLOOKUP(J736,#REF!,2,0))</f>
        <v>#REF!</v>
      </c>
      <c r="L736" s="19" t="e">
        <f>IF(J736="","SEM #CH",VLOOKUP(J736,#REF!,3,0))</f>
        <v>#REF!</v>
      </c>
      <c r="M736" s="19" t="e">
        <f>IF(J736="","SEM #CH",VLOOKUP(J736,#REF!,4,0))</f>
        <v>#REF!</v>
      </c>
      <c r="N736" s="19" t="e">
        <f>IF(J736="","SEM #CH",VLOOKUP(J736,#REF!,5,0))</f>
        <v>#REF!</v>
      </c>
      <c r="O736" s="19" t="e">
        <f>IF(J736="","SEM #CH",VLOOKUP(J736,#REF!,6,0))</f>
        <v>#REF!</v>
      </c>
      <c r="P736" s="19" t="e">
        <f>IF(J736="","SEM #CH",VLOOKUP(J736,#REF!,7,0))</f>
        <v>#REF!</v>
      </c>
      <c r="Q736" s="77" t="str">
        <f>VLOOKUP(J736,'p1'!$B$2:$C$30,2,0)</f>
        <v>NÃO TEM CHAPA</v>
      </c>
      <c r="R736" s="90"/>
      <c r="S736" s="90" t="s">
        <v>218</v>
      </c>
      <c r="T736" s="90">
        <f t="shared" si="58"/>
        <v>0</v>
      </c>
      <c r="U736" s="90"/>
      <c r="V736" s="90"/>
      <c r="W736" s="92"/>
      <c r="X736" s="93" t="str">
        <f t="shared" si="57"/>
        <v/>
      </c>
      <c r="Y736" s="92"/>
      <c r="Z736" s="92"/>
      <c r="AA736" s="13" t="str">
        <f t="shared" si="59"/>
        <v>jan/1900</v>
      </c>
    </row>
    <row r="737" spans="1:27" x14ac:dyDescent="0.25">
      <c r="A737" s="89">
        <v>736</v>
      </c>
      <c r="B737" s="68">
        <v>46003</v>
      </c>
      <c r="C737" s="40">
        <v>167</v>
      </c>
      <c r="D737" s="40">
        <f t="shared" si="55"/>
        <v>1</v>
      </c>
      <c r="E737" s="65" t="s">
        <v>162</v>
      </c>
      <c r="F737" s="17" t="s">
        <v>58</v>
      </c>
      <c r="G737" s="17" t="s">
        <v>86</v>
      </c>
      <c r="H737" s="42" t="s">
        <v>969</v>
      </c>
      <c r="I737" s="17" t="str">
        <f t="shared" si="56"/>
        <v>PN-736</v>
      </c>
      <c r="J737" s="18" t="s">
        <v>85</v>
      </c>
      <c r="K737" s="19" t="e">
        <f>IF(J737="","SEM #CH",VLOOKUP(J737,#REF!,2,0))</f>
        <v>#REF!</v>
      </c>
      <c r="L737" s="19" t="e">
        <f>IF(J737="","SEM #CH",VLOOKUP(J737,#REF!,3,0))</f>
        <v>#REF!</v>
      </c>
      <c r="M737" s="19" t="e">
        <f>IF(J737="","SEM #CH",VLOOKUP(J737,#REF!,4,0))</f>
        <v>#REF!</v>
      </c>
      <c r="N737" s="19" t="e">
        <f>IF(J737="","SEM #CH",VLOOKUP(J737,#REF!,5,0))</f>
        <v>#REF!</v>
      </c>
      <c r="O737" s="19" t="e">
        <f>IF(J737="","SEM #CH",VLOOKUP(J737,#REF!,6,0))</f>
        <v>#REF!</v>
      </c>
      <c r="P737" s="19" t="e">
        <f>IF(J737="","SEM #CH",VLOOKUP(J737,#REF!,7,0))</f>
        <v>#REF!</v>
      </c>
      <c r="Q737" s="77" t="str">
        <f>VLOOKUP(J737,'p1'!$B$2:$C$30,2,0)</f>
        <v>NÃO TEM CHAPA</v>
      </c>
      <c r="R737" s="90"/>
      <c r="S737" s="90" t="s">
        <v>218</v>
      </c>
      <c r="T737" s="90">
        <f t="shared" si="58"/>
        <v>0</v>
      </c>
      <c r="U737" s="90"/>
      <c r="V737" s="90"/>
      <c r="W737" s="92"/>
      <c r="X737" s="93" t="str">
        <f t="shared" si="57"/>
        <v/>
      </c>
      <c r="Y737" s="92"/>
      <c r="Z737" s="92"/>
      <c r="AA737" s="13" t="str">
        <f t="shared" si="59"/>
        <v>jan/1900</v>
      </c>
    </row>
    <row r="738" spans="1:27" x14ac:dyDescent="0.25">
      <c r="A738" s="89">
        <v>737</v>
      </c>
      <c r="B738" s="68">
        <v>45967</v>
      </c>
      <c r="C738" s="40">
        <v>139</v>
      </c>
      <c r="D738" s="40">
        <f t="shared" si="55"/>
        <v>1</v>
      </c>
      <c r="E738" s="65" t="s">
        <v>162</v>
      </c>
      <c r="F738" s="17" t="s">
        <v>60</v>
      </c>
      <c r="G738" s="17" t="s">
        <v>86</v>
      </c>
      <c r="H738" s="42" t="s">
        <v>970</v>
      </c>
      <c r="I738" s="17" t="str">
        <f t="shared" si="56"/>
        <v>PE-737</v>
      </c>
      <c r="J738" s="18" t="s">
        <v>90</v>
      </c>
      <c r="K738" s="19" t="e">
        <f>IF(J738="","SEM #CH",VLOOKUP(J738,#REF!,2,0))</f>
        <v>#REF!</v>
      </c>
      <c r="L738" s="19" t="e">
        <f>IF(J738="","SEM #CH",VLOOKUP(J738,#REF!,3,0))</f>
        <v>#REF!</v>
      </c>
      <c r="M738" s="19" t="e">
        <f>IF(J738="","SEM #CH",VLOOKUP(J738,#REF!,4,0))</f>
        <v>#REF!</v>
      </c>
      <c r="N738" s="19" t="e">
        <f>IF(J738="","SEM #CH",VLOOKUP(J738,#REF!,5,0))</f>
        <v>#REF!</v>
      </c>
      <c r="O738" s="19" t="e">
        <f>IF(J738="","SEM #CH",VLOOKUP(J738,#REF!,6,0))</f>
        <v>#REF!</v>
      </c>
      <c r="P738" s="19" t="e">
        <f>IF(J738="","SEM #CH",VLOOKUP(J738,#REF!,7,0))</f>
        <v>#REF!</v>
      </c>
      <c r="Q738" s="77" t="str">
        <f>VLOOKUP(J738,'p1'!$B$2:$C$30,2,0)</f>
        <v>#3/8-530X530</v>
      </c>
      <c r="R738" s="94">
        <v>45762</v>
      </c>
      <c r="S738" s="90" t="s">
        <v>218</v>
      </c>
      <c r="T738" s="90">
        <f t="shared" si="58"/>
        <v>1</v>
      </c>
      <c r="U738" s="94">
        <v>45989</v>
      </c>
      <c r="V738" s="90" t="s">
        <v>86</v>
      </c>
      <c r="W738" s="92">
        <v>2682</v>
      </c>
      <c r="X738" s="93">
        <f t="shared" si="57"/>
        <v>1</v>
      </c>
      <c r="Y738" s="92"/>
      <c r="Z738" s="92"/>
      <c r="AA738" s="13" t="str">
        <f t="shared" si="59"/>
        <v>abr/2025</v>
      </c>
    </row>
    <row r="739" spans="1:27" x14ac:dyDescent="0.25">
      <c r="A739" s="89">
        <v>738</v>
      </c>
      <c r="B739" s="68">
        <v>46003</v>
      </c>
      <c r="C739" s="40">
        <v>167</v>
      </c>
      <c r="D739" s="40">
        <f t="shared" si="55"/>
        <v>1</v>
      </c>
      <c r="E739" s="65" t="s">
        <v>162</v>
      </c>
      <c r="F739" s="17" t="s">
        <v>58</v>
      </c>
      <c r="G739" s="17" t="s">
        <v>86</v>
      </c>
      <c r="H739" s="42" t="s">
        <v>971</v>
      </c>
      <c r="I739" s="17" t="str">
        <f t="shared" si="56"/>
        <v>PN-738</v>
      </c>
      <c r="J739" s="18" t="s">
        <v>85</v>
      </c>
      <c r="K739" s="19" t="e">
        <f>IF(J739="","SEM #CH",VLOOKUP(J739,#REF!,2,0))</f>
        <v>#REF!</v>
      </c>
      <c r="L739" s="19" t="e">
        <f>IF(J739="","SEM #CH",VLOOKUP(J739,#REF!,3,0))</f>
        <v>#REF!</v>
      </c>
      <c r="M739" s="19" t="e">
        <f>IF(J739="","SEM #CH",VLOOKUP(J739,#REF!,4,0))</f>
        <v>#REF!</v>
      </c>
      <c r="N739" s="19" t="e">
        <f>IF(J739="","SEM #CH",VLOOKUP(J739,#REF!,5,0))</f>
        <v>#REF!</v>
      </c>
      <c r="O739" s="19" t="e">
        <f>IF(J739="","SEM #CH",VLOOKUP(J739,#REF!,6,0))</f>
        <v>#REF!</v>
      </c>
      <c r="P739" s="19" t="e">
        <f>IF(J739="","SEM #CH",VLOOKUP(J739,#REF!,7,0))</f>
        <v>#REF!</v>
      </c>
      <c r="Q739" s="77" t="str">
        <f>VLOOKUP(J739,'p1'!$B$2:$C$30,2,0)</f>
        <v>NÃO TEM CHAPA</v>
      </c>
      <c r="R739" s="90"/>
      <c r="S739" s="90" t="s">
        <v>218</v>
      </c>
      <c r="T739" s="90">
        <f t="shared" si="58"/>
        <v>0</v>
      </c>
      <c r="U739" s="90"/>
      <c r="V739" s="90"/>
      <c r="W739" s="92"/>
      <c r="X739" s="93" t="str">
        <f t="shared" si="57"/>
        <v/>
      </c>
      <c r="Y739" s="92"/>
      <c r="Z739" s="92"/>
      <c r="AA739" s="13" t="str">
        <f t="shared" si="59"/>
        <v>jan/1900</v>
      </c>
    </row>
    <row r="740" spans="1:27" x14ac:dyDescent="0.25">
      <c r="A740" s="89">
        <v>739</v>
      </c>
      <c r="B740" s="68">
        <v>46003</v>
      </c>
      <c r="C740" s="40">
        <v>167</v>
      </c>
      <c r="D740" s="40">
        <f t="shared" si="55"/>
        <v>1</v>
      </c>
      <c r="E740" s="65" t="s">
        <v>162</v>
      </c>
      <c r="F740" s="17" t="s">
        <v>58</v>
      </c>
      <c r="G740" s="17" t="s">
        <v>86</v>
      </c>
      <c r="H740" s="42" t="s">
        <v>972</v>
      </c>
      <c r="I740" s="17" t="str">
        <f t="shared" si="56"/>
        <v>PN-739</v>
      </c>
      <c r="J740" s="18" t="s">
        <v>85</v>
      </c>
      <c r="K740" s="19" t="e">
        <f>IF(J740="","SEM #CH",VLOOKUP(J740,#REF!,2,0))</f>
        <v>#REF!</v>
      </c>
      <c r="L740" s="19" t="e">
        <f>IF(J740="","SEM #CH",VLOOKUP(J740,#REF!,3,0))</f>
        <v>#REF!</v>
      </c>
      <c r="M740" s="19" t="e">
        <f>IF(J740="","SEM #CH",VLOOKUP(J740,#REF!,4,0))</f>
        <v>#REF!</v>
      </c>
      <c r="N740" s="19" t="e">
        <f>IF(J740="","SEM #CH",VLOOKUP(J740,#REF!,5,0))</f>
        <v>#REF!</v>
      </c>
      <c r="O740" s="19" t="e">
        <f>IF(J740="","SEM #CH",VLOOKUP(J740,#REF!,6,0))</f>
        <v>#REF!</v>
      </c>
      <c r="P740" s="19" t="e">
        <f>IF(J740="","SEM #CH",VLOOKUP(J740,#REF!,7,0))</f>
        <v>#REF!</v>
      </c>
      <c r="Q740" s="77" t="str">
        <f>VLOOKUP(J740,'p1'!$B$2:$C$30,2,0)</f>
        <v>NÃO TEM CHAPA</v>
      </c>
      <c r="R740" s="90"/>
      <c r="S740" s="90" t="s">
        <v>218</v>
      </c>
      <c r="T740" s="90">
        <f t="shared" si="58"/>
        <v>0</v>
      </c>
      <c r="U740" s="90"/>
      <c r="V740" s="90"/>
      <c r="W740" s="92"/>
      <c r="X740" s="93" t="str">
        <f t="shared" si="57"/>
        <v/>
      </c>
      <c r="Y740" s="92"/>
      <c r="Z740" s="92"/>
      <c r="AA740" s="13" t="str">
        <f t="shared" si="59"/>
        <v>jan/1900</v>
      </c>
    </row>
    <row r="741" spans="1:27" x14ac:dyDescent="0.25">
      <c r="A741" s="89">
        <v>740</v>
      </c>
      <c r="B741" s="68">
        <v>46003</v>
      </c>
      <c r="C741" s="40">
        <v>167</v>
      </c>
      <c r="D741" s="40">
        <f t="shared" si="55"/>
        <v>1</v>
      </c>
      <c r="E741" s="65" t="s">
        <v>162</v>
      </c>
      <c r="F741" s="17" t="s">
        <v>58</v>
      </c>
      <c r="G741" s="17" t="s">
        <v>86</v>
      </c>
      <c r="H741" s="42" t="s">
        <v>973</v>
      </c>
      <c r="I741" s="17" t="str">
        <f t="shared" si="56"/>
        <v>PN-740</v>
      </c>
      <c r="J741" s="18" t="s">
        <v>85</v>
      </c>
      <c r="K741" s="19" t="e">
        <f>IF(J741="","SEM #CH",VLOOKUP(J741,#REF!,2,0))</f>
        <v>#REF!</v>
      </c>
      <c r="L741" s="19" t="e">
        <f>IF(J741="","SEM #CH",VLOOKUP(J741,#REF!,3,0))</f>
        <v>#REF!</v>
      </c>
      <c r="M741" s="19" t="e">
        <f>IF(J741="","SEM #CH",VLOOKUP(J741,#REF!,4,0))</f>
        <v>#REF!</v>
      </c>
      <c r="N741" s="19" t="e">
        <f>IF(J741="","SEM #CH",VLOOKUP(J741,#REF!,5,0))</f>
        <v>#REF!</v>
      </c>
      <c r="O741" s="19" t="e">
        <f>IF(J741="","SEM #CH",VLOOKUP(J741,#REF!,6,0))</f>
        <v>#REF!</v>
      </c>
      <c r="P741" s="19" t="e">
        <f>IF(J741="","SEM #CH",VLOOKUP(J741,#REF!,7,0))</f>
        <v>#REF!</v>
      </c>
      <c r="Q741" s="77" t="str">
        <f>VLOOKUP(J741,'p1'!$B$2:$C$30,2,0)</f>
        <v>NÃO TEM CHAPA</v>
      </c>
      <c r="R741" s="90"/>
      <c r="S741" s="90" t="s">
        <v>218</v>
      </c>
      <c r="T741" s="90">
        <f t="shared" si="58"/>
        <v>0</v>
      </c>
      <c r="U741" s="90"/>
      <c r="V741" s="90"/>
      <c r="W741" s="92"/>
      <c r="X741" s="93" t="str">
        <f t="shared" si="57"/>
        <v/>
      </c>
      <c r="Y741" s="92"/>
      <c r="Z741" s="92"/>
      <c r="AA741" s="13" t="str">
        <f t="shared" si="59"/>
        <v>jan/1900</v>
      </c>
    </row>
    <row r="742" spans="1:27" x14ac:dyDescent="0.25">
      <c r="A742" s="89">
        <v>741</v>
      </c>
      <c r="B742" s="68">
        <v>46003</v>
      </c>
      <c r="C742" s="40">
        <v>167</v>
      </c>
      <c r="D742" s="40">
        <f t="shared" si="55"/>
        <v>1</v>
      </c>
      <c r="E742" s="65" t="s">
        <v>162</v>
      </c>
      <c r="F742" s="17" t="s">
        <v>58</v>
      </c>
      <c r="G742" s="17" t="s">
        <v>86</v>
      </c>
      <c r="H742" s="42" t="s">
        <v>974</v>
      </c>
      <c r="I742" s="17" t="str">
        <f t="shared" si="56"/>
        <v>PN-741</v>
      </c>
      <c r="J742" s="18" t="s">
        <v>85</v>
      </c>
      <c r="K742" s="19" t="e">
        <f>IF(J742="","SEM #CH",VLOOKUP(J742,#REF!,2,0))</f>
        <v>#REF!</v>
      </c>
      <c r="L742" s="19" t="e">
        <f>IF(J742="","SEM #CH",VLOOKUP(J742,#REF!,3,0))</f>
        <v>#REF!</v>
      </c>
      <c r="M742" s="19" t="e">
        <f>IF(J742="","SEM #CH",VLOOKUP(J742,#REF!,4,0))</f>
        <v>#REF!</v>
      </c>
      <c r="N742" s="19" t="e">
        <f>IF(J742="","SEM #CH",VLOOKUP(J742,#REF!,5,0))</f>
        <v>#REF!</v>
      </c>
      <c r="O742" s="19" t="e">
        <f>IF(J742="","SEM #CH",VLOOKUP(J742,#REF!,6,0))</f>
        <v>#REF!</v>
      </c>
      <c r="P742" s="19" t="e">
        <f>IF(J742="","SEM #CH",VLOOKUP(J742,#REF!,7,0))</f>
        <v>#REF!</v>
      </c>
      <c r="Q742" s="77" t="str">
        <f>VLOOKUP(J742,'p1'!$B$2:$C$30,2,0)</f>
        <v>NÃO TEM CHAPA</v>
      </c>
      <c r="R742" s="90"/>
      <c r="S742" s="90" t="s">
        <v>218</v>
      </c>
      <c r="T742" s="90">
        <f t="shared" si="58"/>
        <v>0</v>
      </c>
      <c r="U742" s="90"/>
      <c r="V742" s="90"/>
      <c r="W742" s="92"/>
      <c r="X742" s="93" t="str">
        <f t="shared" si="57"/>
        <v/>
      </c>
      <c r="Y742" s="92"/>
      <c r="Z742" s="92"/>
      <c r="AA742" s="13" t="str">
        <f t="shared" si="59"/>
        <v>jan/1900</v>
      </c>
    </row>
    <row r="743" spans="1:27" x14ac:dyDescent="0.25">
      <c r="A743" s="89">
        <v>742</v>
      </c>
      <c r="B743" s="68">
        <v>45986</v>
      </c>
      <c r="C743" s="40">
        <v>156</v>
      </c>
      <c r="D743" s="40">
        <f t="shared" si="55"/>
        <v>1</v>
      </c>
      <c r="E743" s="65" t="s">
        <v>162</v>
      </c>
      <c r="F743" s="17" t="s">
        <v>60</v>
      </c>
      <c r="G743" s="17" t="s">
        <v>86</v>
      </c>
      <c r="H743" s="42" t="s">
        <v>975</v>
      </c>
      <c r="I743" s="17" t="str">
        <f t="shared" si="56"/>
        <v>PE-742</v>
      </c>
      <c r="J743" s="18" t="s">
        <v>90</v>
      </c>
      <c r="K743" s="19" t="e">
        <f>IF(J743="","SEM #CH",VLOOKUP(J743,#REF!,2,0))</f>
        <v>#REF!</v>
      </c>
      <c r="L743" s="19" t="e">
        <f>IF(J743="","SEM #CH",VLOOKUP(J743,#REF!,3,0))</f>
        <v>#REF!</v>
      </c>
      <c r="M743" s="19" t="e">
        <f>IF(J743="","SEM #CH",VLOOKUP(J743,#REF!,4,0))</f>
        <v>#REF!</v>
      </c>
      <c r="N743" s="19" t="e">
        <f>IF(J743="","SEM #CH",VLOOKUP(J743,#REF!,5,0))</f>
        <v>#REF!</v>
      </c>
      <c r="O743" s="19" t="e">
        <f>IF(J743="","SEM #CH",VLOOKUP(J743,#REF!,6,0))</f>
        <v>#REF!</v>
      </c>
      <c r="P743" s="19" t="e">
        <f>IF(J743="","SEM #CH",VLOOKUP(J743,#REF!,7,0))</f>
        <v>#REF!</v>
      </c>
      <c r="Q743" s="77" t="str">
        <f>VLOOKUP(J743,'p1'!$B$2:$C$30,2,0)</f>
        <v>#3/8-530X530</v>
      </c>
      <c r="R743" s="94">
        <v>45993</v>
      </c>
      <c r="S743" s="90" t="s">
        <v>218</v>
      </c>
      <c r="T743" s="90">
        <f t="shared" si="58"/>
        <v>1</v>
      </c>
      <c r="U743" s="94">
        <v>45993</v>
      </c>
      <c r="V743" s="90" t="s">
        <v>86</v>
      </c>
      <c r="W743" s="92">
        <v>2689</v>
      </c>
      <c r="X743" s="93">
        <f t="shared" si="57"/>
        <v>1</v>
      </c>
      <c r="Y743" s="92"/>
      <c r="Z743" s="92"/>
      <c r="AA743" s="13" t="str">
        <f t="shared" si="59"/>
        <v>dez/2025</v>
      </c>
    </row>
    <row r="744" spans="1:27" x14ac:dyDescent="0.25">
      <c r="A744" s="89">
        <v>743</v>
      </c>
      <c r="B744" s="68">
        <v>45986</v>
      </c>
      <c r="C744" s="40">
        <v>156</v>
      </c>
      <c r="D744" s="40">
        <f t="shared" si="55"/>
        <v>1</v>
      </c>
      <c r="E744" s="65" t="s">
        <v>162</v>
      </c>
      <c r="F744" s="17" t="s">
        <v>60</v>
      </c>
      <c r="G744" s="17" t="s">
        <v>86</v>
      </c>
      <c r="H744" s="42" t="s">
        <v>976</v>
      </c>
      <c r="I744" s="17" t="str">
        <f t="shared" si="56"/>
        <v>PE-743</v>
      </c>
      <c r="J744" s="18" t="s">
        <v>90</v>
      </c>
      <c r="K744" s="19" t="e">
        <f>IF(J744="","SEM #CH",VLOOKUP(J744,#REF!,2,0))</f>
        <v>#REF!</v>
      </c>
      <c r="L744" s="19" t="e">
        <f>IF(J744="","SEM #CH",VLOOKUP(J744,#REF!,3,0))</f>
        <v>#REF!</v>
      </c>
      <c r="M744" s="19" t="e">
        <f>IF(J744="","SEM #CH",VLOOKUP(J744,#REF!,4,0))</f>
        <v>#REF!</v>
      </c>
      <c r="N744" s="19" t="e">
        <f>IF(J744="","SEM #CH",VLOOKUP(J744,#REF!,5,0))</f>
        <v>#REF!</v>
      </c>
      <c r="O744" s="19" t="e">
        <f>IF(J744="","SEM #CH",VLOOKUP(J744,#REF!,6,0))</f>
        <v>#REF!</v>
      </c>
      <c r="P744" s="19" t="e">
        <f>IF(J744="","SEM #CH",VLOOKUP(J744,#REF!,7,0))</f>
        <v>#REF!</v>
      </c>
      <c r="Q744" s="77" t="str">
        <f>VLOOKUP(J744,'p1'!$B$2:$C$30,2,0)</f>
        <v>#3/8-530X530</v>
      </c>
      <c r="R744" s="94">
        <v>45996</v>
      </c>
      <c r="S744" s="90" t="s">
        <v>218</v>
      </c>
      <c r="T744" s="90">
        <f t="shared" si="58"/>
        <v>1</v>
      </c>
      <c r="U744" s="94">
        <v>45996</v>
      </c>
      <c r="V744" s="90" t="s">
        <v>86</v>
      </c>
      <c r="W744" s="92">
        <v>2700</v>
      </c>
      <c r="X744" s="93">
        <f t="shared" si="57"/>
        <v>1</v>
      </c>
      <c r="Y744" s="92"/>
      <c r="Z744" s="92"/>
      <c r="AA744" s="13" t="str">
        <f t="shared" si="59"/>
        <v>dez/2025</v>
      </c>
    </row>
    <row r="745" spans="1:27" x14ac:dyDescent="0.25">
      <c r="A745" s="89">
        <v>744</v>
      </c>
      <c r="B745" s="68">
        <v>45999</v>
      </c>
      <c r="C745" s="40">
        <v>164</v>
      </c>
      <c r="D745" s="40">
        <f t="shared" si="55"/>
        <v>1</v>
      </c>
      <c r="E745" s="65" t="s">
        <v>162</v>
      </c>
      <c r="F745" s="17" t="s">
        <v>60</v>
      </c>
      <c r="G745" s="17" t="s">
        <v>86</v>
      </c>
      <c r="H745" s="42" t="s">
        <v>977</v>
      </c>
      <c r="I745" s="17" t="str">
        <f t="shared" si="56"/>
        <v>PE-744</v>
      </c>
      <c r="J745" s="18" t="s">
        <v>90</v>
      </c>
      <c r="K745" s="19" t="e">
        <f>IF(J745="","SEM #CH",VLOOKUP(J745,#REF!,2,0))</f>
        <v>#REF!</v>
      </c>
      <c r="L745" s="19" t="e">
        <f>IF(J745="","SEM #CH",VLOOKUP(J745,#REF!,3,0))</f>
        <v>#REF!</v>
      </c>
      <c r="M745" s="19" t="e">
        <f>IF(J745="","SEM #CH",VLOOKUP(J745,#REF!,4,0))</f>
        <v>#REF!</v>
      </c>
      <c r="N745" s="19" t="e">
        <f>IF(J745="","SEM #CH",VLOOKUP(J745,#REF!,5,0))</f>
        <v>#REF!</v>
      </c>
      <c r="O745" s="19" t="e">
        <f>IF(J745="","SEM #CH",VLOOKUP(J745,#REF!,6,0))</f>
        <v>#REF!</v>
      </c>
      <c r="P745" s="19" t="e">
        <f>IF(J745="","SEM #CH",VLOOKUP(J745,#REF!,7,0))</f>
        <v>#REF!</v>
      </c>
      <c r="Q745" s="77" t="str">
        <f>VLOOKUP(J745,'p1'!$B$2:$C$30,2,0)</f>
        <v>#3/8-530X530</v>
      </c>
      <c r="R745" s="94">
        <v>46001</v>
      </c>
      <c r="S745" s="90" t="s">
        <v>218</v>
      </c>
      <c r="T745" s="90">
        <f t="shared" si="58"/>
        <v>1</v>
      </c>
      <c r="U745" s="94">
        <v>46001</v>
      </c>
      <c r="V745" s="90" t="s">
        <v>86</v>
      </c>
      <c r="W745" s="92">
        <v>2711</v>
      </c>
      <c r="X745" s="93">
        <f t="shared" si="57"/>
        <v>1</v>
      </c>
      <c r="Y745" s="92"/>
      <c r="Z745" s="92"/>
      <c r="AA745" s="13" t="str">
        <f t="shared" si="59"/>
        <v>dez/2025</v>
      </c>
    </row>
    <row r="746" spans="1:27" x14ac:dyDescent="0.25">
      <c r="A746" s="89">
        <v>745</v>
      </c>
      <c r="B746" s="68">
        <v>45839</v>
      </c>
      <c r="C746" s="40">
        <v>42</v>
      </c>
      <c r="D746" s="40">
        <f t="shared" si="55"/>
        <v>1</v>
      </c>
      <c r="E746" s="41" t="s">
        <v>1039</v>
      </c>
      <c r="F746" s="17" t="s">
        <v>123</v>
      </c>
      <c r="G746" s="17" t="s">
        <v>86</v>
      </c>
      <c r="H746" s="17">
        <v>1</v>
      </c>
      <c r="I746" s="17" t="str">
        <f t="shared" ref="I746:I751" si="60">_xlfn.CONCAT("PR_",F746,G746,H746)</f>
        <v>PR_PNI-1</v>
      </c>
      <c r="J746" s="18" t="s">
        <v>123</v>
      </c>
      <c r="K746" s="19" t="e">
        <f>IF(J746="","SEM #CH",VLOOKUP(J746,#REF!,2,0))</f>
        <v>#REF!</v>
      </c>
      <c r="L746" s="19" t="e">
        <f>IF(J746="","SEM #CH",VLOOKUP(J746,#REF!,3,0))</f>
        <v>#REF!</v>
      </c>
      <c r="M746" s="19" t="e">
        <f>IF(J746="","SEM #CH",VLOOKUP(J746,#REF!,4,0))</f>
        <v>#REF!</v>
      </c>
      <c r="N746" s="19" t="e">
        <f>IF(J746="","SEM #CH",VLOOKUP(J746,#REF!,5,0))</f>
        <v>#REF!</v>
      </c>
      <c r="O746" s="19" t="e">
        <f>IF(J746="","SEM #CH",VLOOKUP(J746,#REF!,6,0))</f>
        <v>#REF!</v>
      </c>
      <c r="P746" s="19" t="e">
        <f>IF(J746="","SEM #CH",VLOOKUP(J746,#REF!,7,0))</f>
        <v>#REF!</v>
      </c>
      <c r="Q746" s="77" t="str">
        <f>VLOOKUP(J746,'p1'!$B$2:$C$30,2,0)</f>
        <v>02- 150X150 #3/8</v>
      </c>
      <c r="R746" s="94">
        <v>45867</v>
      </c>
      <c r="S746" s="90" t="s">
        <v>218</v>
      </c>
      <c r="T746" s="90">
        <f t="shared" si="58"/>
        <v>1</v>
      </c>
      <c r="U746" s="94">
        <v>45870</v>
      </c>
      <c r="V746" s="90" t="s">
        <v>86</v>
      </c>
      <c r="W746" s="92">
        <v>2464</v>
      </c>
      <c r="X746" s="93">
        <f t="shared" si="57"/>
        <v>1</v>
      </c>
      <c r="Y746" s="92">
        <v>700</v>
      </c>
      <c r="Z746" s="92"/>
      <c r="AA746" s="13" t="str">
        <f t="shared" si="59"/>
        <v>jul/2025</v>
      </c>
    </row>
    <row r="747" spans="1:27" x14ac:dyDescent="0.25">
      <c r="A747" s="89">
        <v>746</v>
      </c>
      <c r="B747" s="68">
        <v>45733</v>
      </c>
      <c r="C747" s="40">
        <v>1</v>
      </c>
      <c r="D747" s="40">
        <f t="shared" si="55"/>
        <v>1</v>
      </c>
      <c r="E747" s="41" t="s">
        <v>1039</v>
      </c>
      <c r="F747" s="17" t="s">
        <v>58</v>
      </c>
      <c r="G747" s="17" t="s">
        <v>86</v>
      </c>
      <c r="H747" s="17">
        <v>2</v>
      </c>
      <c r="I747" s="17" t="str">
        <f t="shared" si="60"/>
        <v>PR_PN-2</v>
      </c>
      <c r="J747" s="18" t="s">
        <v>85</v>
      </c>
      <c r="K747" s="19" t="e">
        <f>IF(J747="","SEM #CH",VLOOKUP(J747,#REF!,2,0))</f>
        <v>#REF!</v>
      </c>
      <c r="L747" s="19" t="e">
        <f>IF(J747="","SEM #CH",VLOOKUP(J747,#REF!,3,0))</f>
        <v>#REF!</v>
      </c>
      <c r="M747" s="19" t="e">
        <f>IF(J747="","SEM #CH",VLOOKUP(J747,#REF!,4,0))</f>
        <v>#REF!</v>
      </c>
      <c r="N747" s="19" t="e">
        <f>IF(J747="","SEM #CH",VLOOKUP(J747,#REF!,5,0))</f>
        <v>#REF!</v>
      </c>
      <c r="O747" s="19" t="e">
        <f>IF(J747="","SEM #CH",VLOOKUP(J747,#REF!,6,0))</f>
        <v>#REF!</v>
      </c>
      <c r="P747" s="19" t="e">
        <f>IF(J747="","SEM #CH",VLOOKUP(J747,#REF!,7,0))</f>
        <v>#REF!</v>
      </c>
      <c r="Q747" s="77" t="str">
        <f>VLOOKUP(J747,'p1'!$B$2:$C$30,2,0)</f>
        <v>NÃO TEM CHAPA</v>
      </c>
      <c r="R747" s="94">
        <v>45741</v>
      </c>
      <c r="S747" s="90" t="s">
        <v>217</v>
      </c>
      <c r="T747" s="90">
        <f t="shared" si="58"/>
        <v>1</v>
      </c>
      <c r="U747" s="94">
        <v>45806</v>
      </c>
      <c r="V747" s="90" t="s">
        <v>982</v>
      </c>
      <c r="W747" s="92">
        <v>2355</v>
      </c>
      <c r="X747" s="93">
        <f t="shared" si="57"/>
        <v>1</v>
      </c>
      <c r="Y747" s="92"/>
      <c r="Z747" s="92"/>
      <c r="AA747" s="13" t="str">
        <f t="shared" si="59"/>
        <v>mar/2025</v>
      </c>
    </row>
    <row r="748" spans="1:27" x14ac:dyDescent="0.25">
      <c r="A748" s="89">
        <v>747</v>
      </c>
      <c r="B748" s="68">
        <v>45741</v>
      </c>
      <c r="C748" s="40">
        <v>2</v>
      </c>
      <c r="D748" s="40">
        <f t="shared" si="55"/>
        <v>1</v>
      </c>
      <c r="E748" s="41" t="s">
        <v>1039</v>
      </c>
      <c r="F748" s="17" t="s">
        <v>58</v>
      </c>
      <c r="G748" s="17" t="s">
        <v>86</v>
      </c>
      <c r="H748" s="17">
        <v>3</v>
      </c>
      <c r="I748" s="17" t="str">
        <f t="shared" si="60"/>
        <v>PR_PN-3</v>
      </c>
      <c r="J748" s="18" t="s">
        <v>85</v>
      </c>
      <c r="K748" s="19" t="e">
        <f>IF(J748="","SEM #CH",VLOOKUP(J748,#REF!,2,0))</f>
        <v>#REF!</v>
      </c>
      <c r="L748" s="19" t="e">
        <f>IF(J748="","SEM #CH",VLOOKUP(J748,#REF!,3,0))</f>
        <v>#REF!</v>
      </c>
      <c r="M748" s="19" t="e">
        <f>IF(J748="","SEM #CH",VLOOKUP(J748,#REF!,4,0))</f>
        <v>#REF!</v>
      </c>
      <c r="N748" s="19" t="e">
        <f>IF(J748="","SEM #CH",VLOOKUP(J748,#REF!,5,0))</f>
        <v>#REF!</v>
      </c>
      <c r="O748" s="19" t="e">
        <f>IF(J748="","SEM #CH",VLOOKUP(J748,#REF!,6,0))</f>
        <v>#REF!</v>
      </c>
      <c r="P748" s="19" t="e">
        <f>IF(J748="","SEM #CH",VLOOKUP(J748,#REF!,7,0))</f>
        <v>#REF!</v>
      </c>
      <c r="Q748" s="77" t="str">
        <f>VLOOKUP(J748,'p1'!$B$2:$C$30,2,0)</f>
        <v>NÃO TEM CHAPA</v>
      </c>
      <c r="R748" s="94">
        <v>45756</v>
      </c>
      <c r="S748" s="90" t="s">
        <v>217</v>
      </c>
      <c r="T748" s="90">
        <f t="shared" si="58"/>
        <v>1</v>
      </c>
      <c r="U748" s="94">
        <v>45805</v>
      </c>
      <c r="V748" s="90" t="s">
        <v>86</v>
      </c>
      <c r="W748" s="92">
        <v>2354</v>
      </c>
      <c r="X748" s="93">
        <f t="shared" si="57"/>
        <v>1</v>
      </c>
      <c r="Y748" s="92"/>
      <c r="Z748" s="92"/>
      <c r="AA748" s="13" t="str">
        <f t="shared" si="59"/>
        <v>abr/2025</v>
      </c>
    </row>
    <row r="749" spans="1:27" x14ac:dyDescent="0.25">
      <c r="A749" s="89">
        <v>748</v>
      </c>
      <c r="B749" s="68">
        <v>45742</v>
      </c>
      <c r="C749" s="40">
        <v>3</v>
      </c>
      <c r="D749" s="40">
        <f t="shared" si="55"/>
        <v>1</v>
      </c>
      <c r="E749" s="41" t="s">
        <v>1039</v>
      </c>
      <c r="F749" s="17" t="s">
        <v>58</v>
      </c>
      <c r="G749" s="17" t="s">
        <v>86</v>
      </c>
      <c r="H749" s="17">
        <v>4</v>
      </c>
      <c r="I749" s="17" t="str">
        <f t="shared" si="60"/>
        <v>PR_PN-4</v>
      </c>
      <c r="J749" s="18" t="s">
        <v>85</v>
      </c>
      <c r="K749" s="19" t="e">
        <f>IF(J749="","SEM #CH",VLOOKUP(J749,#REF!,2,0))</f>
        <v>#REF!</v>
      </c>
      <c r="L749" s="19" t="e">
        <f>IF(J749="","SEM #CH",VLOOKUP(J749,#REF!,3,0))</f>
        <v>#REF!</v>
      </c>
      <c r="M749" s="19" t="e">
        <f>IF(J749="","SEM #CH",VLOOKUP(J749,#REF!,4,0))</f>
        <v>#REF!</v>
      </c>
      <c r="N749" s="19" t="e">
        <f>IF(J749="","SEM #CH",VLOOKUP(J749,#REF!,5,0))</f>
        <v>#REF!</v>
      </c>
      <c r="O749" s="19" t="e">
        <f>IF(J749="","SEM #CH",VLOOKUP(J749,#REF!,6,0))</f>
        <v>#REF!</v>
      </c>
      <c r="P749" s="19" t="e">
        <f>IF(J749="","SEM #CH",VLOOKUP(J749,#REF!,7,0))</f>
        <v>#REF!</v>
      </c>
      <c r="Q749" s="77" t="str">
        <f>VLOOKUP(J749,'p1'!$B$2:$C$30,2,0)</f>
        <v>NÃO TEM CHAPA</v>
      </c>
      <c r="R749" s="94">
        <v>45752</v>
      </c>
      <c r="S749" s="90" t="s">
        <v>218</v>
      </c>
      <c r="T749" s="90">
        <f t="shared" si="58"/>
        <v>1</v>
      </c>
      <c r="U749" s="94">
        <v>45805</v>
      </c>
      <c r="V749" s="90" t="s">
        <v>86</v>
      </c>
      <c r="W749" s="92">
        <v>2353</v>
      </c>
      <c r="X749" s="93">
        <f t="shared" si="57"/>
        <v>1</v>
      </c>
      <c r="Y749" s="92"/>
      <c r="Z749" s="92"/>
      <c r="AA749" s="13" t="str">
        <f t="shared" si="59"/>
        <v>abr/2025</v>
      </c>
    </row>
    <row r="750" spans="1:27" x14ac:dyDescent="0.25">
      <c r="A750" s="89">
        <v>749</v>
      </c>
      <c r="B750" s="68">
        <v>45743</v>
      </c>
      <c r="C750" s="40">
        <v>4</v>
      </c>
      <c r="D750" s="40">
        <f t="shared" si="55"/>
        <v>1</v>
      </c>
      <c r="E750" s="41" t="s">
        <v>1039</v>
      </c>
      <c r="F750" s="17" t="s">
        <v>58</v>
      </c>
      <c r="G750" s="17" t="s">
        <v>86</v>
      </c>
      <c r="H750" s="17">
        <v>5</v>
      </c>
      <c r="I750" s="17" t="str">
        <f t="shared" si="60"/>
        <v>PR_PN-5</v>
      </c>
      <c r="J750" s="18" t="s">
        <v>85</v>
      </c>
      <c r="K750" s="19" t="e">
        <f>IF(J750="","SEM #CH",VLOOKUP(J750,#REF!,2,0))</f>
        <v>#REF!</v>
      </c>
      <c r="L750" s="19" t="e">
        <f>IF(J750="","SEM #CH",VLOOKUP(J750,#REF!,3,0))</f>
        <v>#REF!</v>
      </c>
      <c r="M750" s="19" t="e">
        <f>IF(J750="","SEM #CH",VLOOKUP(J750,#REF!,4,0))</f>
        <v>#REF!</v>
      </c>
      <c r="N750" s="19" t="e">
        <f>IF(J750="","SEM #CH",VLOOKUP(J750,#REF!,5,0))</f>
        <v>#REF!</v>
      </c>
      <c r="O750" s="19" t="e">
        <f>IF(J750="","SEM #CH",VLOOKUP(J750,#REF!,6,0))</f>
        <v>#REF!</v>
      </c>
      <c r="P750" s="19" t="e">
        <f>IF(J750="","SEM #CH",VLOOKUP(J750,#REF!,7,0))</f>
        <v>#REF!</v>
      </c>
      <c r="Q750" s="77" t="str">
        <f>VLOOKUP(J750,'p1'!$B$2:$C$30,2,0)</f>
        <v>NÃO TEM CHAPA</v>
      </c>
      <c r="R750" s="94">
        <v>45752</v>
      </c>
      <c r="S750" s="90" t="s">
        <v>217</v>
      </c>
      <c r="T750" s="90">
        <f t="shared" si="58"/>
        <v>1</v>
      </c>
      <c r="U750" s="94">
        <v>45805</v>
      </c>
      <c r="V750" s="90" t="s">
        <v>86</v>
      </c>
      <c r="W750" s="92">
        <v>2353</v>
      </c>
      <c r="X750" s="93">
        <f t="shared" si="57"/>
        <v>1</v>
      </c>
      <c r="Y750" s="92"/>
      <c r="Z750" s="92"/>
      <c r="AA750" s="13" t="str">
        <f t="shared" si="59"/>
        <v>abr/2025</v>
      </c>
    </row>
    <row r="751" spans="1:27" x14ac:dyDescent="0.25">
      <c r="A751" s="89">
        <v>750</v>
      </c>
      <c r="B751" s="68">
        <v>45744</v>
      </c>
      <c r="C751" s="40">
        <v>5</v>
      </c>
      <c r="D751" s="40">
        <f t="shared" si="55"/>
        <v>1</v>
      </c>
      <c r="E751" s="41" t="s">
        <v>1039</v>
      </c>
      <c r="F751" s="17" t="s">
        <v>58</v>
      </c>
      <c r="G751" s="17" t="s">
        <v>86</v>
      </c>
      <c r="H751" s="17">
        <v>6</v>
      </c>
      <c r="I751" s="17" t="str">
        <f t="shared" si="60"/>
        <v>PR_PN-6</v>
      </c>
      <c r="J751" s="18" t="s">
        <v>85</v>
      </c>
      <c r="K751" s="19" t="e">
        <f>IF(J751="","SEM #CH",VLOOKUP(J751,#REF!,2,0))</f>
        <v>#REF!</v>
      </c>
      <c r="L751" s="19" t="e">
        <f>IF(J751="","SEM #CH",VLOOKUP(J751,#REF!,3,0))</f>
        <v>#REF!</v>
      </c>
      <c r="M751" s="19" t="e">
        <f>IF(J751="","SEM #CH",VLOOKUP(J751,#REF!,4,0))</f>
        <v>#REF!</v>
      </c>
      <c r="N751" s="19" t="e">
        <f>IF(J751="","SEM #CH",VLOOKUP(J751,#REF!,5,0))</f>
        <v>#REF!</v>
      </c>
      <c r="O751" s="19" t="e">
        <f>IF(J751="","SEM #CH",VLOOKUP(J751,#REF!,6,0))</f>
        <v>#REF!</v>
      </c>
      <c r="P751" s="19" t="e">
        <f>IF(J751="","SEM #CH",VLOOKUP(J751,#REF!,7,0))</f>
        <v>#REF!</v>
      </c>
      <c r="Q751" s="77" t="str">
        <f>VLOOKUP(J751,'p1'!$B$2:$C$30,2,0)</f>
        <v>NÃO TEM CHAPA</v>
      </c>
      <c r="R751" s="94">
        <v>45758</v>
      </c>
      <c r="S751" s="90" t="s">
        <v>218</v>
      </c>
      <c r="T751" s="90">
        <f t="shared" si="58"/>
        <v>1</v>
      </c>
      <c r="U751" s="94">
        <v>45806</v>
      </c>
      <c r="V751" s="90" t="s">
        <v>983</v>
      </c>
      <c r="W751" s="92">
        <v>2356</v>
      </c>
      <c r="X751" s="93">
        <f t="shared" si="57"/>
        <v>1</v>
      </c>
      <c r="Y751" s="92"/>
      <c r="Z751" s="92"/>
      <c r="AA751" s="13" t="str">
        <f t="shared" si="59"/>
        <v>abr/2025</v>
      </c>
    </row>
    <row r="752" spans="1:27" x14ac:dyDescent="0.25">
      <c r="A752" s="89">
        <v>751</v>
      </c>
      <c r="B752" s="68">
        <v>45828</v>
      </c>
      <c r="C752" s="40">
        <v>38</v>
      </c>
      <c r="D752" s="40">
        <f t="shared" ref="D752:D783" si="61">IF(B752&gt;0,1,"")</f>
        <v>1</v>
      </c>
      <c r="E752" s="41" t="s">
        <v>1039</v>
      </c>
      <c r="F752" s="17" t="s">
        <v>123</v>
      </c>
      <c r="G752" s="17" t="s">
        <v>86</v>
      </c>
      <c r="H752" s="17">
        <v>7</v>
      </c>
      <c r="I752" s="17" t="str">
        <f t="shared" ref="I752:I783" si="62">_xlfn.CONCAT("PR_",F752,G752,H752)</f>
        <v>PR_PNI-7</v>
      </c>
      <c r="J752" s="18" t="s">
        <v>123</v>
      </c>
      <c r="K752" s="19" t="e">
        <f>IF(J752="","SEM #CH",VLOOKUP(J752,#REF!,2,0))</f>
        <v>#REF!</v>
      </c>
      <c r="L752" s="19" t="e">
        <f>IF(J752="","SEM #CH",VLOOKUP(J752,#REF!,3,0))</f>
        <v>#REF!</v>
      </c>
      <c r="M752" s="19" t="e">
        <f>IF(J752="","SEM #CH",VLOOKUP(J752,#REF!,4,0))</f>
        <v>#REF!</v>
      </c>
      <c r="N752" s="19" t="e">
        <f>IF(J752="","SEM #CH",VLOOKUP(J752,#REF!,5,0))</f>
        <v>#REF!</v>
      </c>
      <c r="O752" s="19" t="e">
        <f>IF(J752="","SEM #CH",VLOOKUP(J752,#REF!,6,0))</f>
        <v>#REF!</v>
      </c>
      <c r="P752" s="19" t="e">
        <f>IF(J752="","SEM #CH",VLOOKUP(J752,#REF!,7,0))</f>
        <v>#REF!</v>
      </c>
      <c r="Q752" s="77" t="str">
        <f>VLOOKUP(J752,'p1'!$B$2:$C$30,2,0)</f>
        <v>02- 150X150 #3/8</v>
      </c>
      <c r="R752" s="94">
        <v>45895</v>
      </c>
      <c r="S752" s="90" t="s">
        <v>218</v>
      </c>
      <c r="T752" s="90">
        <f t="shared" si="58"/>
        <v>1</v>
      </c>
      <c r="U752" s="90"/>
      <c r="V752" s="90"/>
      <c r="W752" s="92"/>
      <c r="X752" s="93" t="str">
        <f t="shared" si="57"/>
        <v/>
      </c>
      <c r="Y752" s="92">
        <v>700</v>
      </c>
      <c r="Z752" s="92"/>
      <c r="AA752" s="13" t="str">
        <f t="shared" si="59"/>
        <v>ago/2025</v>
      </c>
    </row>
    <row r="753" spans="1:27" x14ac:dyDescent="0.25">
      <c r="A753" s="89">
        <v>752</v>
      </c>
      <c r="B753" s="68">
        <v>45747</v>
      </c>
      <c r="C753" s="40">
        <v>6</v>
      </c>
      <c r="D753" s="40">
        <f t="shared" si="61"/>
        <v>1</v>
      </c>
      <c r="E753" s="41" t="s">
        <v>1039</v>
      </c>
      <c r="F753" s="17" t="s">
        <v>58</v>
      </c>
      <c r="G753" s="17" t="s">
        <v>86</v>
      </c>
      <c r="H753" s="21">
        <v>8</v>
      </c>
      <c r="I753" s="17" t="str">
        <f t="shared" si="62"/>
        <v>PR_PN-8</v>
      </c>
      <c r="J753" s="18" t="s">
        <v>85</v>
      </c>
      <c r="K753" s="19" t="e">
        <f>IF(J753="","SEM #CH",VLOOKUP(J753,#REF!,2,0))</f>
        <v>#REF!</v>
      </c>
      <c r="L753" s="19" t="e">
        <f>IF(J753="","SEM #CH",VLOOKUP(J753,#REF!,3,0))</f>
        <v>#REF!</v>
      </c>
      <c r="M753" s="19" t="e">
        <f>IF(J753="","SEM #CH",VLOOKUP(J753,#REF!,4,0))</f>
        <v>#REF!</v>
      </c>
      <c r="N753" s="19" t="e">
        <f>IF(J753="","SEM #CH",VLOOKUP(J753,#REF!,5,0))</f>
        <v>#REF!</v>
      </c>
      <c r="O753" s="19" t="e">
        <f>IF(J753="","SEM #CH",VLOOKUP(J753,#REF!,6,0))</f>
        <v>#REF!</v>
      </c>
      <c r="P753" s="19" t="e">
        <f>IF(J753="","SEM #CH",VLOOKUP(J753,#REF!,7,0))</f>
        <v>#REF!</v>
      </c>
      <c r="Q753" s="77" t="str">
        <f>VLOOKUP(J753,'p1'!$B$2:$C$30,2,0)</f>
        <v>NÃO TEM CHAPA</v>
      </c>
      <c r="R753" s="94">
        <v>45758</v>
      </c>
      <c r="S753" s="90" t="s">
        <v>217</v>
      </c>
      <c r="T753" s="90">
        <f t="shared" si="58"/>
        <v>1</v>
      </c>
      <c r="U753" s="94">
        <v>45807</v>
      </c>
      <c r="V753" s="90" t="s">
        <v>985</v>
      </c>
      <c r="W753" s="92">
        <v>2358</v>
      </c>
      <c r="X753" s="93">
        <f t="shared" si="57"/>
        <v>1</v>
      </c>
      <c r="Y753" s="92"/>
      <c r="Z753" s="92"/>
      <c r="AA753" s="13" t="str">
        <f t="shared" si="59"/>
        <v>abr/2025</v>
      </c>
    </row>
    <row r="754" spans="1:27" x14ac:dyDescent="0.25">
      <c r="A754" s="89">
        <v>753</v>
      </c>
      <c r="B754" s="68">
        <v>45749</v>
      </c>
      <c r="C754" s="40">
        <v>7</v>
      </c>
      <c r="D754" s="40">
        <f t="shared" si="61"/>
        <v>1</v>
      </c>
      <c r="E754" s="41" t="s">
        <v>1039</v>
      </c>
      <c r="F754" s="17" t="s">
        <v>58</v>
      </c>
      <c r="G754" s="17" t="s">
        <v>86</v>
      </c>
      <c r="H754" s="17">
        <v>9</v>
      </c>
      <c r="I754" s="17" t="str">
        <f t="shared" si="62"/>
        <v>PR_PN-9</v>
      </c>
      <c r="J754" s="18" t="s">
        <v>85</v>
      </c>
      <c r="K754" s="19" t="e">
        <f>IF(J754="","SEM #CH",VLOOKUP(J754,#REF!,2,0))</f>
        <v>#REF!</v>
      </c>
      <c r="L754" s="19" t="e">
        <f>IF(J754="","SEM #CH",VLOOKUP(J754,#REF!,3,0))</f>
        <v>#REF!</v>
      </c>
      <c r="M754" s="19" t="e">
        <f>IF(J754="","SEM #CH",VLOOKUP(J754,#REF!,4,0))</f>
        <v>#REF!</v>
      </c>
      <c r="N754" s="19" t="e">
        <f>IF(J754="","SEM #CH",VLOOKUP(J754,#REF!,5,0))</f>
        <v>#REF!</v>
      </c>
      <c r="O754" s="19" t="e">
        <f>IF(J754="","SEM #CH",VLOOKUP(J754,#REF!,6,0))</f>
        <v>#REF!</v>
      </c>
      <c r="P754" s="19" t="e">
        <f>IF(J754="","SEM #CH",VLOOKUP(J754,#REF!,7,0))</f>
        <v>#REF!</v>
      </c>
      <c r="Q754" s="77" t="str">
        <f>VLOOKUP(J754,'p1'!$B$2:$C$30,2,0)</f>
        <v>NÃO TEM CHAPA</v>
      </c>
      <c r="R754" s="94">
        <v>45762</v>
      </c>
      <c r="S754" s="90" t="s">
        <v>218</v>
      </c>
      <c r="T754" s="90">
        <f t="shared" si="58"/>
        <v>1</v>
      </c>
      <c r="U754" s="94">
        <v>45805</v>
      </c>
      <c r="V754" s="90" t="s">
        <v>86</v>
      </c>
      <c r="W754" s="92">
        <v>2354</v>
      </c>
      <c r="X754" s="93">
        <f t="shared" si="57"/>
        <v>1</v>
      </c>
      <c r="Y754" s="92"/>
      <c r="Z754" s="92"/>
      <c r="AA754" s="13" t="str">
        <f t="shared" si="59"/>
        <v>abr/2025</v>
      </c>
    </row>
    <row r="755" spans="1:27" x14ac:dyDescent="0.25">
      <c r="A755" s="89">
        <v>754</v>
      </c>
      <c r="B755" s="68">
        <v>45750</v>
      </c>
      <c r="C755" s="40">
        <v>8</v>
      </c>
      <c r="D755" s="40">
        <f t="shared" si="61"/>
        <v>1</v>
      </c>
      <c r="E755" s="41" t="s">
        <v>1039</v>
      </c>
      <c r="F755" s="17" t="s">
        <v>58</v>
      </c>
      <c r="G755" s="17" t="s">
        <v>86</v>
      </c>
      <c r="H755" s="17">
        <v>10</v>
      </c>
      <c r="I755" s="17" t="str">
        <f t="shared" si="62"/>
        <v>PR_PN-10</v>
      </c>
      <c r="J755" s="18" t="s">
        <v>85</v>
      </c>
      <c r="K755" s="19" t="e">
        <f>IF(J755="","SEM #CH",VLOOKUP(J755,#REF!,2,0))</f>
        <v>#REF!</v>
      </c>
      <c r="L755" s="19" t="e">
        <f>IF(J755="","SEM #CH",VLOOKUP(J755,#REF!,3,0))</f>
        <v>#REF!</v>
      </c>
      <c r="M755" s="19" t="e">
        <f>IF(J755="","SEM #CH",VLOOKUP(J755,#REF!,4,0))</f>
        <v>#REF!</v>
      </c>
      <c r="N755" s="19" t="e">
        <f>IF(J755="","SEM #CH",VLOOKUP(J755,#REF!,5,0))</f>
        <v>#REF!</v>
      </c>
      <c r="O755" s="19" t="e">
        <f>IF(J755="","SEM #CH",VLOOKUP(J755,#REF!,6,0))</f>
        <v>#REF!</v>
      </c>
      <c r="P755" s="19" t="e">
        <f>IF(J755="","SEM #CH",VLOOKUP(J755,#REF!,7,0))</f>
        <v>#REF!</v>
      </c>
      <c r="Q755" s="77" t="str">
        <f>VLOOKUP(J755,'p1'!$B$2:$C$30,2,0)</f>
        <v>NÃO TEM CHAPA</v>
      </c>
      <c r="R755" s="94">
        <v>45805</v>
      </c>
      <c r="S755" s="90" t="s">
        <v>217</v>
      </c>
      <c r="T755" s="90">
        <f t="shared" si="58"/>
        <v>1</v>
      </c>
      <c r="U755" s="94">
        <v>45806</v>
      </c>
      <c r="V755" s="90" t="s">
        <v>982</v>
      </c>
      <c r="W755" s="92">
        <v>2355</v>
      </c>
      <c r="X755" s="93">
        <f t="shared" si="57"/>
        <v>1</v>
      </c>
      <c r="Y755" s="92"/>
      <c r="Z755" s="92"/>
      <c r="AA755" s="13" t="str">
        <f t="shared" si="59"/>
        <v>mai/2025</v>
      </c>
    </row>
    <row r="756" spans="1:27" x14ac:dyDescent="0.25">
      <c r="A756" s="89">
        <v>755</v>
      </c>
      <c r="B756" s="68">
        <v>45752</v>
      </c>
      <c r="C756" s="40">
        <v>9</v>
      </c>
      <c r="D756" s="40">
        <f t="shared" si="61"/>
        <v>1</v>
      </c>
      <c r="E756" s="41" t="s">
        <v>1039</v>
      </c>
      <c r="F756" s="17" t="s">
        <v>58</v>
      </c>
      <c r="G756" s="17" t="s">
        <v>86</v>
      </c>
      <c r="H756" s="17">
        <v>11</v>
      </c>
      <c r="I756" s="17" t="str">
        <f t="shared" si="62"/>
        <v>PR_PN-11</v>
      </c>
      <c r="J756" s="18" t="s">
        <v>85</v>
      </c>
      <c r="K756" s="19" t="e">
        <f>IF(J756="","SEM #CH",VLOOKUP(J756,#REF!,2,0))</f>
        <v>#REF!</v>
      </c>
      <c r="L756" s="19" t="e">
        <f>IF(J756="","SEM #CH",VLOOKUP(J756,#REF!,3,0))</f>
        <v>#REF!</v>
      </c>
      <c r="M756" s="19" t="e">
        <f>IF(J756="","SEM #CH",VLOOKUP(J756,#REF!,4,0))</f>
        <v>#REF!</v>
      </c>
      <c r="N756" s="19" t="e">
        <f>IF(J756="","SEM #CH",VLOOKUP(J756,#REF!,5,0))</f>
        <v>#REF!</v>
      </c>
      <c r="O756" s="19" t="e">
        <f>IF(J756="","SEM #CH",VLOOKUP(J756,#REF!,6,0))</f>
        <v>#REF!</v>
      </c>
      <c r="P756" s="19" t="e">
        <f>IF(J756="","SEM #CH",VLOOKUP(J756,#REF!,7,0))</f>
        <v>#REF!</v>
      </c>
      <c r="Q756" s="77" t="str">
        <f>VLOOKUP(J756,'p1'!$B$2:$C$30,2,0)</f>
        <v>NÃO TEM CHAPA</v>
      </c>
      <c r="R756" s="94">
        <v>45758</v>
      </c>
      <c r="S756" s="90" t="s">
        <v>218</v>
      </c>
      <c r="T756" s="90">
        <f t="shared" si="58"/>
        <v>1</v>
      </c>
      <c r="U756" s="94">
        <v>45805</v>
      </c>
      <c r="V756" s="90" t="s">
        <v>86</v>
      </c>
      <c r="W756" s="92">
        <v>2353</v>
      </c>
      <c r="X756" s="93">
        <f t="shared" si="57"/>
        <v>1</v>
      </c>
      <c r="Y756" s="92"/>
      <c r="Z756" s="92"/>
      <c r="AA756" s="13" t="str">
        <f t="shared" si="59"/>
        <v>abr/2025</v>
      </c>
    </row>
    <row r="757" spans="1:27" x14ac:dyDescent="0.25">
      <c r="A757" s="89">
        <v>756</v>
      </c>
      <c r="B757" s="68">
        <v>45973</v>
      </c>
      <c r="C757" s="40">
        <v>143</v>
      </c>
      <c r="D757" s="40">
        <f t="shared" si="61"/>
        <v>1</v>
      </c>
      <c r="E757" s="41" t="s">
        <v>1039</v>
      </c>
      <c r="F757" s="17" t="s">
        <v>60</v>
      </c>
      <c r="G757" s="17" t="s">
        <v>86</v>
      </c>
      <c r="H757" s="17">
        <v>12</v>
      </c>
      <c r="I757" s="17" t="str">
        <f t="shared" si="62"/>
        <v>PR_PE-12</v>
      </c>
      <c r="J757" s="18" t="s">
        <v>60</v>
      </c>
      <c r="K757" s="19" t="e">
        <f>IF(J757="","SEM #CH",VLOOKUP(J757,#REF!,2,0))</f>
        <v>#REF!</v>
      </c>
      <c r="L757" s="19" t="e">
        <f>IF(J757="","SEM #CH",VLOOKUP(J757,#REF!,3,0))</f>
        <v>#REF!</v>
      </c>
      <c r="M757" s="19" t="e">
        <f>IF(J757="","SEM #CH",VLOOKUP(J757,#REF!,4,0))</f>
        <v>#REF!</v>
      </c>
      <c r="N757" s="19" t="e">
        <f>IF(J757="","SEM #CH",VLOOKUP(J757,#REF!,5,0))</f>
        <v>#REF!</v>
      </c>
      <c r="O757" s="19" t="e">
        <f>IF(J757="","SEM #CH",VLOOKUP(J757,#REF!,6,0))</f>
        <v>#REF!</v>
      </c>
      <c r="P757" s="19" t="e">
        <f>IF(J757="","SEM #CH",VLOOKUP(J757,#REF!,7,0))</f>
        <v>#REF!</v>
      </c>
      <c r="Q757" s="77" t="str">
        <f>VLOOKUP(J757,'p1'!$B$2:$C$30,2,0)</f>
        <v>OLHAR DESENHO ESPECIFICO</v>
      </c>
      <c r="R757" s="90"/>
      <c r="S757" s="90" t="s">
        <v>218</v>
      </c>
      <c r="T757" s="90">
        <f t="shared" si="58"/>
        <v>0</v>
      </c>
      <c r="U757" s="90"/>
      <c r="V757" s="90"/>
      <c r="W757" s="92"/>
      <c r="X757" s="93" t="str">
        <f t="shared" si="57"/>
        <v/>
      </c>
      <c r="Y757" s="92"/>
      <c r="Z757" s="92" t="s">
        <v>1211</v>
      </c>
      <c r="AA757" s="13" t="str">
        <f t="shared" si="59"/>
        <v>jan/1900</v>
      </c>
    </row>
    <row r="758" spans="1:27" x14ac:dyDescent="0.25">
      <c r="A758" s="89">
        <v>757</v>
      </c>
      <c r="B758" s="68">
        <v>45828</v>
      </c>
      <c r="C758" s="40">
        <v>38</v>
      </c>
      <c r="D758" s="40">
        <f t="shared" si="61"/>
        <v>1</v>
      </c>
      <c r="E758" s="41" t="s">
        <v>1039</v>
      </c>
      <c r="F758" s="17" t="s">
        <v>123</v>
      </c>
      <c r="G758" s="17" t="s">
        <v>86</v>
      </c>
      <c r="H758" s="17">
        <v>13</v>
      </c>
      <c r="I758" s="17" t="str">
        <f t="shared" si="62"/>
        <v>PR_PNI-13</v>
      </c>
      <c r="J758" s="18" t="s">
        <v>123</v>
      </c>
      <c r="K758" s="19" t="e">
        <f>IF(J758="","SEM #CH",VLOOKUP(J758,#REF!,2,0))</f>
        <v>#REF!</v>
      </c>
      <c r="L758" s="19" t="e">
        <f>IF(J758="","SEM #CH",VLOOKUP(J758,#REF!,3,0))</f>
        <v>#REF!</v>
      </c>
      <c r="M758" s="19" t="e">
        <f>IF(J758="","SEM #CH",VLOOKUP(J758,#REF!,4,0))</f>
        <v>#REF!</v>
      </c>
      <c r="N758" s="19" t="e">
        <f>IF(J758="","SEM #CH",VLOOKUP(J758,#REF!,5,0))</f>
        <v>#REF!</v>
      </c>
      <c r="O758" s="19" t="e">
        <f>IF(J758="","SEM #CH",VLOOKUP(J758,#REF!,6,0))</f>
        <v>#REF!</v>
      </c>
      <c r="P758" s="19" t="e">
        <f>IF(J758="","SEM #CH",VLOOKUP(J758,#REF!,7,0))</f>
        <v>#REF!</v>
      </c>
      <c r="Q758" s="77" t="str">
        <f>VLOOKUP(J758,'p1'!$B$2:$C$30,2,0)</f>
        <v>02- 150X150 #3/8</v>
      </c>
      <c r="R758" s="90"/>
      <c r="S758" s="90" t="s">
        <v>218</v>
      </c>
      <c r="T758" s="90">
        <f t="shared" si="58"/>
        <v>0</v>
      </c>
      <c r="U758" s="90"/>
      <c r="V758" s="90"/>
      <c r="W758" s="92"/>
      <c r="X758" s="93" t="str">
        <f t="shared" si="57"/>
        <v/>
      </c>
      <c r="Y758" s="92">
        <v>700</v>
      </c>
      <c r="Z758" s="92"/>
      <c r="AA758" s="13" t="str">
        <f t="shared" si="59"/>
        <v>jan/1900</v>
      </c>
    </row>
    <row r="759" spans="1:27" x14ac:dyDescent="0.25">
      <c r="A759" s="89">
        <v>758</v>
      </c>
      <c r="B759" s="68">
        <v>45754</v>
      </c>
      <c r="C759" s="40">
        <v>10</v>
      </c>
      <c r="D759" s="40">
        <f t="shared" si="61"/>
        <v>1</v>
      </c>
      <c r="E759" s="41" t="s">
        <v>1039</v>
      </c>
      <c r="F759" s="17" t="s">
        <v>58</v>
      </c>
      <c r="G759" s="17" t="s">
        <v>86</v>
      </c>
      <c r="H759" s="17">
        <v>14</v>
      </c>
      <c r="I759" s="17" t="str">
        <f t="shared" si="62"/>
        <v>PR_PN-14</v>
      </c>
      <c r="J759" s="18" t="s">
        <v>85</v>
      </c>
      <c r="K759" s="19" t="e">
        <f>IF(J759="","SEM #CH",VLOOKUP(J759,#REF!,2,0))</f>
        <v>#REF!</v>
      </c>
      <c r="L759" s="19" t="e">
        <f>IF(J759="","SEM #CH",VLOOKUP(J759,#REF!,3,0))</f>
        <v>#REF!</v>
      </c>
      <c r="M759" s="19" t="e">
        <f>IF(J759="","SEM #CH",VLOOKUP(J759,#REF!,4,0))</f>
        <v>#REF!</v>
      </c>
      <c r="N759" s="19" t="e">
        <f>IF(J759="","SEM #CH",VLOOKUP(J759,#REF!,5,0))</f>
        <v>#REF!</v>
      </c>
      <c r="O759" s="19" t="e">
        <f>IF(J759="","SEM #CH",VLOOKUP(J759,#REF!,6,0))</f>
        <v>#REF!</v>
      </c>
      <c r="P759" s="19" t="e">
        <f>IF(J759="","SEM #CH",VLOOKUP(J759,#REF!,7,0))</f>
        <v>#REF!</v>
      </c>
      <c r="Q759" s="77" t="str">
        <f>VLOOKUP(J759,'p1'!$B$2:$C$30,2,0)</f>
        <v>NÃO TEM CHAPA</v>
      </c>
      <c r="R759" s="94">
        <v>45805</v>
      </c>
      <c r="S759" s="90" t="s">
        <v>217</v>
      </c>
      <c r="T759" s="90">
        <f t="shared" si="58"/>
        <v>1</v>
      </c>
      <c r="U759" s="94">
        <v>45806</v>
      </c>
      <c r="V759" s="90" t="s">
        <v>982</v>
      </c>
      <c r="W759" s="92">
        <v>2355</v>
      </c>
      <c r="X759" s="93">
        <f t="shared" si="57"/>
        <v>1</v>
      </c>
      <c r="Y759" s="92"/>
      <c r="Z759" s="92"/>
      <c r="AA759" s="13" t="str">
        <f t="shared" si="59"/>
        <v>mai/2025</v>
      </c>
    </row>
    <row r="760" spans="1:27" x14ac:dyDescent="0.25">
      <c r="A760" s="89">
        <v>759</v>
      </c>
      <c r="B760" s="68">
        <v>45755</v>
      </c>
      <c r="C760" s="40">
        <v>11</v>
      </c>
      <c r="D760" s="40">
        <f t="shared" si="61"/>
        <v>1</v>
      </c>
      <c r="E760" s="41" t="s">
        <v>1039</v>
      </c>
      <c r="F760" s="17" t="s">
        <v>58</v>
      </c>
      <c r="G760" s="17" t="s">
        <v>86</v>
      </c>
      <c r="H760" s="17">
        <v>15</v>
      </c>
      <c r="I760" s="17" t="str">
        <f t="shared" si="62"/>
        <v>PR_PN-15</v>
      </c>
      <c r="J760" s="18" t="s">
        <v>85</v>
      </c>
      <c r="K760" s="19" t="e">
        <f>IF(J760="","SEM #CH",VLOOKUP(J760,#REF!,2,0))</f>
        <v>#REF!</v>
      </c>
      <c r="L760" s="19" t="e">
        <f>IF(J760="","SEM #CH",VLOOKUP(J760,#REF!,3,0))</f>
        <v>#REF!</v>
      </c>
      <c r="M760" s="19" t="e">
        <f>IF(J760="","SEM #CH",VLOOKUP(J760,#REF!,4,0))</f>
        <v>#REF!</v>
      </c>
      <c r="N760" s="19" t="e">
        <f>IF(J760="","SEM #CH",VLOOKUP(J760,#REF!,5,0))</f>
        <v>#REF!</v>
      </c>
      <c r="O760" s="19" t="e">
        <f>IF(J760="","SEM #CH",VLOOKUP(J760,#REF!,6,0))</f>
        <v>#REF!</v>
      </c>
      <c r="P760" s="19" t="e">
        <f>IF(J760="","SEM #CH",VLOOKUP(J760,#REF!,7,0))</f>
        <v>#REF!</v>
      </c>
      <c r="Q760" s="77" t="str">
        <f>VLOOKUP(J760,'p1'!$B$2:$C$30,2,0)</f>
        <v>NÃO TEM CHAPA</v>
      </c>
      <c r="R760" s="94">
        <v>45762</v>
      </c>
      <c r="S760" s="90" t="s">
        <v>218</v>
      </c>
      <c r="T760" s="90">
        <f t="shared" si="58"/>
        <v>1</v>
      </c>
      <c r="U760" s="94">
        <v>45805</v>
      </c>
      <c r="V760" s="90" t="s">
        <v>86</v>
      </c>
      <c r="W760" s="92">
        <v>2354</v>
      </c>
      <c r="X760" s="93">
        <f t="shared" si="57"/>
        <v>1</v>
      </c>
      <c r="Y760" s="92"/>
      <c r="Z760" s="92"/>
      <c r="AA760" s="13" t="str">
        <f t="shared" si="59"/>
        <v>abr/2025</v>
      </c>
    </row>
    <row r="761" spans="1:27" x14ac:dyDescent="0.25">
      <c r="A761" s="89">
        <v>760</v>
      </c>
      <c r="B761" s="68">
        <v>45757</v>
      </c>
      <c r="C761" s="40">
        <v>12</v>
      </c>
      <c r="D761" s="40">
        <f t="shared" si="61"/>
        <v>1</v>
      </c>
      <c r="E761" s="41" t="s">
        <v>1039</v>
      </c>
      <c r="F761" s="17" t="s">
        <v>58</v>
      </c>
      <c r="G761" s="17" t="s">
        <v>86</v>
      </c>
      <c r="H761" s="17">
        <v>16</v>
      </c>
      <c r="I761" s="17" t="str">
        <f t="shared" si="62"/>
        <v>PR_PN-16</v>
      </c>
      <c r="J761" s="18" t="s">
        <v>85</v>
      </c>
      <c r="K761" s="19" t="e">
        <f>IF(J761="","SEM #CH",VLOOKUP(J761,#REF!,2,0))</f>
        <v>#REF!</v>
      </c>
      <c r="L761" s="19" t="e">
        <f>IF(J761="","SEM #CH",VLOOKUP(J761,#REF!,3,0))</f>
        <v>#REF!</v>
      </c>
      <c r="M761" s="19" t="e">
        <f>IF(J761="","SEM #CH",VLOOKUP(J761,#REF!,4,0))</f>
        <v>#REF!</v>
      </c>
      <c r="N761" s="19" t="e">
        <f>IF(J761="","SEM #CH",VLOOKUP(J761,#REF!,5,0))</f>
        <v>#REF!</v>
      </c>
      <c r="O761" s="19" t="e">
        <f>IF(J761="","SEM #CH",VLOOKUP(J761,#REF!,6,0))</f>
        <v>#REF!</v>
      </c>
      <c r="P761" s="19" t="e">
        <f>IF(J761="","SEM #CH",VLOOKUP(J761,#REF!,7,0))</f>
        <v>#REF!</v>
      </c>
      <c r="Q761" s="77" t="str">
        <f>VLOOKUP(J761,'p1'!$B$2:$C$30,2,0)</f>
        <v>NÃO TEM CHAPA</v>
      </c>
      <c r="R761" s="94">
        <v>45764</v>
      </c>
      <c r="S761" s="90" t="s">
        <v>217</v>
      </c>
      <c r="T761" s="90">
        <f t="shared" si="58"/>
        <v>1</v>
      </c>
      <c r="U761" s="94">
        <v>45799</v>
      </c>
      <c r="V761" s="90" t="s">
        <v>980</v>
      </c>
      <c r="W761" s="92">
        <v>2351</v>
      </c>
      <c r="X761" s="93">
        <f t="shared" si="57"/>
        <v>1</v>
      </c>
      <c r="Y761" s="92"/>
      <c r="Z761" s="92"/>
      <c r="AA761" s="13" t="str">
        <f t="shared" si="59"/>
        <v>abr/2025</v>
      </c>
    </row>
    <row r="762" spans="1:27" x14ac:dyDescent="0.25">
      <c r="A762" s="89">
        <v>761</v>
      </c>
      <c r="B762" s="68">
        <v>45758</v>
      </c>
      <c r="C762" s="40">
        <v>13</v>
      </c>
      <c r="D762" s="40">
        <f t="shared" si="61"/>
        <v>1</v>
      </c>
      <c r="E762" s="41" t="s">
        <v>1039</v>
      </c>
      <c r="F762" s="17" t="s">
        <v>58</v>
      </c>
      <c r="G762" s="17" t="s">
        <v>86</v>
      </c>
      <c r="H762" s="21">
        <v>17</v>
      </c>
      <c r="I762" s="17" t="str">
        <f t="shared" si="62"/>
        <v>PR_PN-17</v>
      </c>
      <c r="J762" s="18" t="s">
        <v>85</v>
      </c>
      <c r="K762" s="19" t="e">
        <f>IF(J762="","SEM #CH",VLOOKUP(J762,#REF!,2,0))</f>
        <v>#REF!</v>
      </c>
      <c r="L762" s="19" t="e">
        <f>IF(J762="","SEM #CH",VLOOKUP(J762,#REF!,3,0))</f>
        <v>#REF!</v>
      </c>
      <c r="M762" s="19" t="e">
        <f>IF(J762="","SEM #CH",VLOOKUP(J762,#REF!,4,0))</f>
        <v>#REF!</v>
      </c>
      <c r="N762" s="19" t="e">
        <f>IF(J762="","SEM #CH",VLOOKUP(J762,#REF!,5,0))</f>
        <v>#REF!</v>
      </c>
      <c r="O762" s="19" t="e">
        <f>IF(J762="","SEM #CH",VLOOKUP(J762,#REF!,6,0))</f>
        <v>#REF!</v>
      </c>
      <c r="P762" s="19" t="e">
        <f>IF(J762="","SEM #CH",VLOOKUP(J762,#REF!,7,0))</f>
        <v>#REF!</v>
      </c>
      <c r="Q762" s="77" t="str">
        <f>VLOOKUP(J762,'p1'!$B$2:$C$30,2,0)</f>
        <v>NÃO TEM CHAPA</v>
      </c>
      <c r="R762" s="94">
        <v>45807</v>
      </c>
      <c r="S762" s="90" t="s">
        <v>217</v>
      </c>
      <c r="T762" s="90">
        <f t="shared" si="58"/>
        <v>1</v>
      </c>
      <c r="U762" s="94">
        <v>45807</v>
      </c>
      <c r="V762" s="90" t="s">
        <v>985</v>
      </c>
      <c r="W762" s="92">
        <v>2358</v>
      </c>
      <c r="X762" s="93">
        <f t="shared" si="57"/>
        <v>1</v>
      </c>
      <c r="Y762" s="92"/>
      <c r="Z762" s="92"/>
      <c r="AA762" s="13" t="str">
        <f t="shared" si="59"/>
        <v>mai/2025</v>
      </c>
    </row>
    <row r="763" spans="1:27" x14ac:dyDescent="0.25">
      <c r="A763" s="89">
        <v>762</v>
      </c>
      <c r="B763" s="68">
        <v>45761</v>
      </c>
      <c r="C763" s="40">
        <v>14</v>
      </c>
      <c r="D763" s="40">
        <f t="shared" si="61"/>
        <v>1</v>
      </c>
      <c r="E763" s="41" t="s">
        <v>1039</v>
      </c>
      <c r="F763" s="17" t="s">
        <v>58</v>
      </c>
      <c r="G763" s="17" t="s">
        <v>86</v>
      </c>
      <c r="H763" s="21">
        <v>18</v>
      </c>
      <c r="I763" s="17" t="str">
        <f t="shared" si="62"/>
        <v>PR_PN-18</v>
      </c>
      <c r="J763" s="18" t="s">
        <v>85</v>
      </c>
      <c r="K763" s="19" t="e">
        <f>IF(J763="","SEM #CH",VLOOKUP(J763,#REF!,2,0))</f>
        <v>#REF!</v>
      </c>
      <c r="L763" s="19" t="e">
        <f>IF(J763="","SEM #CH",VLOOKUP(J763,#REF!,3,0))</f>
        <v>#REF!</v>
      </c>
      <c r="M763" s="19" t="e">
        <f>IF(J763="","SEM #CH",VLOOKUP(J763,#REF!,4,0))</f>
        <v>#REF!</v>
      </c>
      <c r="N763" s="19" t="e">
        <f>IF(J763="","SEM #CH",VLOOKUP(J763,#REF!,5,0))</f>
        <v>#REF!</v>
      </c>
      <c r="O763" s="19" t="e">
        <f>IF(J763="","SEM #CH",VLOOKUP(J763,#REF!,6,0))</f>
        <v>#REF!</v>
      </c>
      <c r="P763" s="19" t="e">
        <f>IF(J763="","SEM #CH",VLOOKUP(J763,#REF!,7,0))</f>
        <v>#REF!</v>
      </c>
      <c r="Q763" s="77" t="str">
        <f>VLOOKUP(J763,'p1'!$B$2:$C$30,2,0)</f>
        <v>NÃO TEM CHAPA</v>
      </c>
      <c r="R763" s="94">
        <v>45773</v>
      </c>
      <c r="S763" s="90" t="s">
        <v>217</v>
      </c>
      <c r="T763" s="90">
        <f t="shared" si="58"/>
        <v>1</v>
      </c>
      <c r="U763" s="94">
        <v>45807</v>
      </c>
      <c r="V763" s="90" t="s">
        <v>985</v>
      </c>
      <c r="W763" s="92">
        <v>2358</v>
      </c>
      <c r="X763" s="93">
        <f t="shared" si="57"/>
        <v>1</v>
      </c>
      <c r="Y763" s="92"/>
      <c r="Z763" s="92"/>
      <c r="AA763" s="13" t="str">
        <f t="shared" si="59"/>
        <v>abr/2025</v>
      </c>
    </row>
    <row r="764" spans="1:27" x14ac:dyDescent="0.25">
      <c r="A764" s="89">
        <v>763</v>
      </c>
      <c r="B764" s="68">
        <v>45828</v>
      </c>
      <c r="C764" s="40">
        <v>38</v>
      </c>
      <c r="D764" s="40">
        <f t="shared" si="61"/>
        <v>1</v>
      </c>
      <c r="E764" s="41" t="s">
        <v>1039</v>
      </c>
      <c r="F764" s="17" t="s">
        <v>123</v>
      </c>
      <c r="G764" s="17" t="s">
        <v>86</v>
      </c>
      <c r="H764" s="17">
        <v>19</v>
      </c>
      <c r="I764" s="17" t="str">
        <f t="shared" si="62"/>
        <v>PR_PNI-19</v>
      </c>
      <c r="J764" s="18" t="s">
        <v>123</v>
      </c>
      <c r="K764" s="19" t="e">
        <f>IF(J764="","SEM #CH",VLOOKUP(J764,#REF!,2,0))</f>
        <v>#REF!</v>
      </c>
      <c r="L764" s="19" t="e">
        <f>IF(J764="","SEM #CH",VLOOKUP(J764,#REF!,3,0))</f>
        <v>#REF!</v>
      </c>
      <c r="M764" s="19" t="e">
        <f>IF(J764="","SEM #CH",VLOOKUP(J764,#REF!,4,0))</f>
        <v>#REF!</v>
      </c>
      <c r="N764" s="19" t="e">
        <f>IF(J764="","SEM #CH",VLOOKUP(J764,#REF!,5,0))</f>
        <v>#REF!</v>
      </c>
      <c r="O764" s="19" t="e">
        <f>IF(J764="","SEM #CH",VLOOKUP(J764,#REF!,6,0))</f>
        <v>#REF!</v>
      </c>
      <c r="P764" s="19" t="e">
        <f>IF(J764="","SEM #CH",VLOOKUP(J764,#REF!,7,0))</f>
        <v>#REF!</v>
      </c>
      <c r="Q764" s="77" t="str">
        <f>VLOOKUP(J764,'p1'!$B$2:$C$30,2,0)</f>
        <v>02- 150X150 #3/8</v>
      </c>
      <c r="R764" s="94">
        <v>45881</v>
      </c>
      <c r="S764" s="90" t="s">
        <v>218</v>
      </c>
      <c r="T764" s="90">
        <f t="shared" si="58"/>
        <v>1</v>
      </c>
      <c r="U764" s="94">
        <v>45884</v>
      </c>
      <c r="V764" s="90"/>
      <c r="W764" s="92">
        <v>2474</v>
      </c>
      <c r="X764" s="93">
        <f t="shared" si="57"/>
        <v>1</v>
      </c>
      <c r="Y764" s="92">
        <v>700</v>
      </c>
      <c r="Z764" s="92"/>
      <c r="AA764" s="13" t="str">
        <f t="shared" si="59"/>
        <v>ago/2025</v>
      </c>
    </row>
    <row r="765" spans="1:27" x14ac:dyDescent="0.25">
      <c r="A765" s="89">
        <v>764</v>
      </c>
      <c r="B765" s="68">
        <v>45762</v>
      </c>
      <c r="C765" s="40">
        <v>15</v>
      </c>
      <c r="D765" s="40">
        <f t="shared" si="61"/>
        <v>1</v>
      </c>
      <c r="E765" s="41" t="s">
        <v>1039</v>
      </c>
      <c r="F765" s="17" t="s">
        <v>58</v>
      </c>
      <c r="G765" s="17" t="s">
        <v>86</v>
      </c>
      <c r="H765" s="17">
        <v>20</v>
      </c>
      <c r="I765" s="17" t="str">
        <f t="shared" si="62"/>
        <v>PR_PN-20</v>
      </c>
      <c r="J765" s="18" t="s">
        <v>85</v>
      </c>
      <c r="K765" s="19" t="e">
        <f>IF(J765="","SEM #CH",VLOOKUP(J765,#REF!,2,0))</f>
        <v>#REF!</v>
      </c>
      <c r="L765" s="19" t="e">
        <f>IF(J765="","SEM #CH",VLOOKUP(J765,#REF!,3,0))</f>
        <v>#REF!</v>
      </c>
      <c r="M765" s="19" t="e">
        <f>IF(J765="","SEM #CH",VLOOKUP(J765,#REF!,4,0))</f>
        <v>#REF!</v>
      </c>
      <c r="N765" s="19" t="e">
        <f>IF(J765="","SEM #CH",VLOOKUP(J765,#REF!,5,0))</f>
        <v>#REF!</v>
      </c>
      <c r="O765" s="19" t="e">
        <f>IF(J765="","SEM #CH",VLOOKUP(J765,#REF!,6,0))</f>
        <v>#REF!</v>
      </c>
      <c r="P765" s="19" t="e">
        <f>IF(J765="","SEM #CH",VLOOKUP(J765,#REF!,7,0))</f>
        <v>#REF!</v>
      </c>
      <c r="Q765" s="77" t="str">
        <f>VLOOKUP(J765,'p1'!$B$2:$C$30,2,0)</f>
        <v>NÃO TEM CHAPA</v>
      </c>
      <c r="R765" s="94">
        <v>45771</v>
      </c>
      <c r="S765" s="90" t="s">
        <v>218</v>
      </c>
      <c r="T765" s="90">
        <f t="shared" si="58"/>
        <v>1</v>
      </c>
      <c r="U765" s="94">
        <v>45806</v>
      </c>
      <c r="V765" s="90" t="s">
        <v>983</v>
      </c>
      <c r="W765" s="92">
        <v>2356</v>
      </c>
      <c r="X765" s="93">
        <f t="shared" si="57"/>
        <v>1</v>
      </c>
      <c r="Y765" s="92"/>
      <c r="Z765" s="92"/>
      <c r="AA765" s="13" t="str">
        <f t="shared" si="59"/>
        <v>abr/2025</v>
      </c>
    </row>
    <row r="766" spans="1:27" x14ac:dyDescent="0.25">
      <c r="A766" s="89">
        <v>765</v>
      </c>
      <c r="B766" s="68">
        <v>45797</v>
      </c>
      <c r="C766" s="40">
        <v>29</v>
      </c>
      <c r="D766" s="40">
        <f t="shared" si="61"/>
        <v>1</v>
      </c>
      <c r="E766" s="41" t="s">
        <v>1039</v>
      </c>
      <c r="F766" s="17" t="s">
        <v>61</v>
      </c>
      <c r="G766" s="17" t="s">
        <v>86</v>
      </c>
      <c r="H766" s="21">
        <v>21</v>
      </c>
      <c r="I766" s="17" t="str">
        <f t="shared" si="62"/>
        <v>PR_PF-21</v>
      </c>
      <c r="J766" s="18" t="s">
        <v>61</v>
      </c>
      <c r="K766" s="19" t="e">
        <f>IF(J766="","SEM #CH",VLOOKUP(J766,#REF!,2,0))</f>
        <v>#REF!</v>
      </c>
      <c r="L766" s="19" t="e">
        <f>IF(J766="","SEM #CH",VLOOKUP(J766,#REF!,3,0))</f>
        <v>#REF!</v>
      </c>
      <c r="M766" s="19" t="e">
        <f>IF(J766="","SEM #CH",VLOOKUP(J766,#REF!,4,0))</f>
        <v>#REF!</v>
      </c>
      <c r="N766" s="19" t="e">
        <f>IF(J766="","SEM #CH",VLOOKUP(J766,#REF!,5,0))</f>
        <v>#REF!</v>
      </c>
      <c r="O766" s="19" t="e">
        <f>IF(J766="","SEM #CH",VLOOKUP(J766,#REF!,6,0))</f>
        <v>#REF!</v>
      </c>
      <c r="P766" s="19" t="e">
        <f>IF(J766="","SEM #CH",VLOOKUP(J766,#REF!,7,0))</f>
        <v>#REF!</v>
      </c>
      <c r="Q766" s="77" t="str">
        <f>VLOOKUP(J766,'p1'!$B$2:$C$30,2,0)</f>
        <v>SEM CHAPA</v>
      </c>
      <c r="R766" s="90"/>
      <c r="S766" s="90" t="s">
        <v>217</v>
      </c>
      <c r="T766" s="90">
        <f t="shared" si="58"/>
        <v>0</v>
      </c>
      <c r="U766" s="90"/>
      <c r="V766" s="90"/>
      <c r="W766" s="92"/>
      <c r="X766" s="93" t="str">
        <f t="shared" si="57"/>
        <v/>
      </c>
      <c r="Y766" s="92">
        <v>700</v>
      </c>
      <c r="Z766" s="92"/>
      <c r="AA766" s="13" t="str">
        <f t="shared" si="59"/>
        <v>jan/1900</v>
      </c>
    </row>
    <row r="767" spans="1:27" x14ac:dyDescent="0.25">
      <c r="A767" s="89">
        <v>766</v>
      </c>
      <c r="B767" s="68">
        <v>45764</v>
      </c>
      <c r="C767" s="40">
        <v>16</v>
      </c>
      <c r="D767" s="40">
        <f t="shared" si="61"/>
        <v>1</v>
      </c>
      <c r="E767" s="41" t="s">
        <v>1039</v>
      </c>
      <c r="F767" s="17" t="s">
        <v>58</v>
      </c>
      <c r="G767" s="17" t="s">
        <v>86</v>
      </c>
      <c r="H767" s="17">
        <v>22</v>
      </c>
      <c r="I767" s="17" t="str">
        <f t="shared" si="62"/>
        <v>PR_PN-22</v>
      </c>
      <c r="J767" s="18" t="s">
        <v>85</v>
      </c>
      <c r="K767" s="19" t="e">
        <f>IF(J767="","SEM #CH",VLOOKUP(J767,#REF!,2,0))</f>
        <v>#REF!</v>
      </c>
      <c r="L767" s="19" t="e">
        <f>IF(J767="","SEM #CH",VLOOKUP(J767,#REF!,3,0))</f>
        <v>#REF!</v>
      </c>
      <c r="M767" s="19" t="e">
        <f>IF(J767="","SEM #CH",VLOOKUP(J767,#REF!,4,0))</f>
        <v>#REF!</v>
      </c>
      <c r="N767" s="19" t="e">
        <f>IF(J767="","SEM #CH",VLOOKUP(J767,#REF!,5,0))</f>
        <v>#REF!</v>
      </c>
      <c r="O767" s="19" t="e">
        <f>IF(J767="","SEM #CH",VLOOKUP(J767,#REF!,6,0))</f>
        <v>#REF!</v>
      </c>
      <c r="P767" s="19" t="e">
        <f>IF(J767="","SEM #CH",VLOOKUP(J767,#REF!,7,0))</f>
        <v>#REF!</v>
      </c>
      <c r="Q767" s="77" t="str">
        <f>VLOOKUP(J767,'p1'!$B$2:$C$30,2,0)</f>
        <v>NÃO TEM CHAPA</v>
      </c>
      <c r="R767" s="94">
        <v>45783</v>
      </c>
      <c r="S767" s="90" t="s">
        <v>217</v>
      </c>
      <c r="T767" s="90">
        <f t="shared" si="58"/>
        <v>1</v>
      </c>
      <c r="U767" s="94">
        <v>45804</v>
      </c>
      <c r="V767" s="90" t="s">
        <v>984</v>
      </c>
      <c r="W767" s="92">
        <v>2352</v>
      </c>
      <c r="X767" s="93">
        <f t="shared" si="57"/>
        <v>1</v>
      </c>
      <c r="Y767" s="92"/>
      <c r="Z767" s="92"/>
      <c r="AA767" s="13" t="str">
        <f t="shared" si="59"/>
        <v>mai/2025</v>
      </c>
    </row>
    <row r="768" spans="1:27" x14ac:dyDescent="0.25">
      <c r="A768" s="89">
        <v>767</v>
      </c>
      <c r="B768" s="68">
        <v>45946</v>
      </c>
      <c r="C768" s="40">
        <v>121</v>
      </c>
      <c r="D768" s="40">
        <f t="shared" si="61"/>
        <v>1</v>
      </c>
      <c r="E768" s="41" t="s">
        <v>1039</v>
      </c>
      <c r="F768" s="17" t="s">
        <v>60</v>
      </c>
      <c r="G768" s="17" t="s">
        <v>86</v>
      </c>
      <c r="H768" s="17">
        <v>23</v>
      </c>
      <c r="I768" s="17" t="str">
        <f t="shared" si="62"/>
        <v>PR_PE-23</v>
      </c>
      <c r="J768" s="18" t="s">
        <v>172</v>
      </c>
      <c r="K768" s="19" t="e">
        <f>IF(J768="","SEM #CH",VLOOKUP(J768,#REF!,2,0))</f>
        <v>#REF!</v>
      </c>
      <c r="L768" s="19" t="e">
        <f>IF(J768="","SEM #CH",VLOOKUP(J768,#REF!,3,0))</f>
        <v>#REF!</v>
      </c>
      <c r="M768" s="19" t="e">
        <f>IF(J768="","SEM #CH",VLOOKUP(J768,#REF!,4,0))</f>
        <v>#REF!</v>
      </c>
      <c r="N768" s="19" t="e">
        <f>IF(J768="","SEM #CH",VLOOKUP(J768,#REF!,5,0))</f>
        <v>#REF!</v>
      </c>
      <c r="O768" s="19" t="e">
        <f>IF(J768="","SEM #CH",VLOOKUP(J768,#REF!,6,0))</f>
        <v>#REF!</v>
      </c>
      <c r="P768" s="19" t="e">
        <f>IF(J768="","SEM #CH",VLOOKUP(J768,#REF!,7,0))</f>
        <v>#REF!</v>
      </c>
      <c r="Q768" s="77" t="str">
        <f>VLOOKUP(J768,'p1'!$B$2:$C$30,2,0)</f>
        <v>ARM. CANAL SAIDA</v>
      </c>
      <c r="R768" s="90"/>
      <c r="S768" s="90" t="s">
        <v>218</v>
      </c>
      <c r="T768" s="90">
        <f t="shared" si="58"/>
        <v>0</v>
      </c>
      <c r="U768" s="90"/>
      <c r="V768" s="90"/>
      <c r="W768" s="92"/>
      <c r="X768" s="93" t="str">
        <f t="shared" si="57"/>
        <v/>
      </c>
      <c r="Y768" s="92"/>
      <c r="Z768" s="92"/>
      <c r="AA768" s="13" t="str">
        <f t="shared" si="59"/>
        <v>jan/1900</v>
      </c>
    </row>
    <row r="769" spans="1:27" x14ac:dyDescent="0.25">
      <c r="A769" s="89">
        <v>768</v>
      </c>
      <c r="B769" s="68">
        <v>46003</v>
      </c>
      <c r="C769" s="40">
        <v>167</v>
      </c>
      <c r="D769" s="40">
        <f t="shared" si="61"/>
        <v>1</v>
      </c>
      <c r="E769" s="41" t="s">
        <v>1039</v>
      </c>
      <c r="F769" s="17" t="s">
        <v>60</v>
      </c>
      <c r="G769" s="17" t="s">
        <v>86</v>
      </c>
      <c r="H769" s="17">
        <v>24</v>
      </c>
      <c r="I769" s="17" t="str">
        <f t="shared" si="62"/>
        <v>PR_PE-24</v>
      </c>
      <c r="J769" s="18" t="s">
        <v>172</v>
      </c>
      <c r="K769" s="19" t="e">
        <f>IF(J769="","SEM #CH",VLOOKUP(J769,#REF!,2,0))</f>
        <v>#REF!</v>
      </c>
      <c r="L769" s="19" t="e">
        <f>IF(J769="","SEM #CH",VLOOKUP(J769,#REF!,3,0))</f>
        <v>#REF!</v>
      </c>
      <c r="M769" s="19" t="e">
        <f>IF(J769="","SEM #CH",VLOOKUP(J769,#REF!,4,0))</f>
        <v>#REF!</v>
      </c>
      <c r="N769" s="19" t="e">
        <f>IF(J769="","SEM #CH",VLOOKUP(J769,#REF!,5,0))</f>
        <v>#REF!</v>
      </c>
      <c r="O769" s="19" t="e">
        <f>IF(J769="","SEM #CH",VLOOKUP(J769,#REF!,6,0))</f>
        <v>#REF!</v>
      </c>
      <c r="P769" s="19" t="e">
        <f>IF(J769="","SEM #CH",VLOOKUP(J769,#REF!,7,0))</f>
        <v>#REF!</v>
      </c>
      <c r="Q769" s="77" t="s">
        <v>1215</v>
      </c>
      <c r="R769" s="90"/>
      <c r="S769" s="90" t="s">
        <v>218</v>
      </c>
      <c r="T769" s="90">
        <f t="shared" si="58"/>
        <v>0</v>
      </c>
      <c r="U769" s="90"/>
      <c r="V769" s="90"/>
      <c r="W769" s="92"/>
      <c r="X769" s="93" t="str">
        <f t="shared" si="57"/>
        <v/>
      </c>
      <c r="Y769" s="92"/>
      <c r="Z769" s="92"/>
      <c r="AA769" s="13" t="str">
        <f t="shared" si="59"/>
        <v>jan/1900</v>
      </c>
    </row>
    <row r="770" spans="1:27" x14ac:dyDescent="0.25">
      <c r="A770" s="89">
        <v>769</v>
      </c>
      <c r="B770" s="68">
        <v>45944</v>
      </c>
      <c r="C770" s="40">
        <v>119</v>
      </c>
      <c r="D770" s="40">
        <f t="shared" si="61"/>
        <v>1</v>
      </c>
      <c r="E770" s="41" t="s">
        <v>1039</v>
      </c>
      <c r="F770" s="17" t="s">
        <v>176</v>
      </c>
      <c r="G770" s="17" t="s">
        <v>86</v>
      </c>
      <c r="H770" s="17">
        <v>25</v>
      </c>
      <c r="I770" s="17" t="str">
        <f t="shared" si="62"/>
        <v>PR_PEI(V)-25</v>
      </c>
      <c r="J770" s="18" t="s">
        <v>176</v>
      </c>
      <c r="K770" s="19" t="e">
        <f>IF(J770="","SEM #CH",VLOOKUP(J770,#REF!,2,0))</f>
        <v>#REF!</v>
      </c>
      <c r="L770" s="19" t="e">
        <f>IF(J770="","SEM #CH",VLOOKUP(J770,#REF!,3,0))</f>
        <v>#REF!</v>
      </c>
      <c r="M770" s="19" t="e">
        <f>IF(J770="","SEM #CH",VLOOKUP(J770,#REF!,4,0))</f>
        <v>#REF!</v>
      </c>
      <c r="N770" s="19" t="e">
        <f>IF(J770="","SEM #CH",VLOOKUP(J770,#REF!,5,0))</f>
        <v>#REF!</v>
      </c>
      <c r="O770" s="19" t="e">
        <f>IF(J770="","SEM #CH",VLOOKUP(J770,#REF!,6,0))</f>
        <v>#REF!</v>
      </c>
      <c r="P770" s="19" t="e">
        <f>IF(J770="","SEM #CH",VLOOKUP(J770,#REF!,7,0))</f>
        <v>#REF!</v>
      </c>
      <c r="Q770" s="77" t="str">
        <f>VLOOKUP(J770,'p1'!$B$2:$C$30,2,0)</f>
        <v>ATERRAMENTO + ARM. CANAL</v>
      </c>
      <c r="R770" s="90"/>
      <c r="S770" s="90" t="s">
        <v>218</v>
      </c>
      <c r="T770" s="90">
        <f t="shared" si="58"/>
        <v>0</v>
      </c>
      <c r="U770" s="90"/>
      <c r="V770" s="90"/>
      <c r="W770" s="92"/>
      <c r="X770" s="93" t="str">
        <f t="shared" ref="X770:X833" si="63">IF(U770&gt;0,1,"")</f>
        <v/>
      </c>
      <c r="Y770" s="92"/>
      <c r="Z770" s="92"/>
      <c r="AA770" s="13" t="str">
        <f t="shared" si="59"/>
        <v>jan/1900</v>
      </c>
    </row>
    <row r="771" spans="1:27" x14ac:dyDescent="0.25">
      <c r="A771" s="89">
        <v>770</v>
      </c>
      <c r="B771" s="68">
        <v>45764</v>
      </c>
      <c r="C771" s="40">
        <v>17</v>
      </c>
      <c r="D771" s="40">
        <f t="shared" si="61"/>
        <v>1</v>
      </c>
      <c r="E771" s="41" t="s">
        <v>1039</v>
      </c>
      <c r="F771" s="17" t="s">
        <v>58</v>
      </c>
      <c r="G771" s="17" t="s">
        <v>86</v>
      </c>
      <c r="H771" s="17">
        <v>26</v>
      </c>
      <c r="I771" s="17" t="str">
        <f t="shared" si="62"/>
        <v>PR_PN-26</v>
      </c>
      <c r="J771" s="18" t="s">
        <v>85</v>
      </c>
      <c r="K771" s="19" t="e">
        <f>IF(J771="","SEM #CH",VLOOKUP(J771,#REF!,2,0))</f>
        <v>#REF!</v>
      </c>
      <c r="L771" s="19" t="e">
        <f>IF(J771="","SEM #CH",VLOOKUP(J771,#REF!,3,0))</f>
        <v>#REF!</v>
      </c>
      <c r="M771" s="19" t="e">
        <f>IF(J771="","SEM #CH",VLOOKUP(J771,#REF!,4,0))</f>
        <v>#REF!</v>
      </c>
      <c r="N771" s="19" t="e">
        <f>IF(J771="","SEM #CH",VLOOKUP(J771,#REF!,5,0))</f>
        <v>#REF!</v>
      </c>
      <c r="O771" s="19" t="e">
        <f>IF(J771="","SEM #CH",VLOOKUP(J771,#REF!,6,0))</f>
        <v>#REF!</v>
      </c>
      <c r="P771" s="19" t="e">
        <f>IF(J771="","SEM #CH",VLOOKUP(J771,#REF!,7,0))</f>
        <v>#REF!</v>
      </c>
      <c r="Q771" s="77" t="str">
        <f>VLOOKUP(J771,'p1'!$B$2:$C$30,2,0)</f>
        <v>NÃO TEM CHAPA</v>
      </c>
      <c r="R771" s="94">
        <v>45773</v>
      </c>
      <c r="S771" s="90" t="s">
        <v>218</v>
      </c>
      <c r="T771" s="90">
        <f t="shared" ref="T771:T834" si="64">IF(R771="",0,1)</f>
        <v>1</v>
      </c>
      <c r="U771" s="94">
        <v>45805</v>
      </c>
      <c r="V771" s="90" t="s">
        <v>86</v>
      </c>
      <c r="W771" s="92">
        <v>2353</v>
      </c>
      <c r="X771" s="93">
        <f t="shared" si="63"/>
        <v>1</v>
      </c>
      <c r="Y771" s="92"/>
      <c r="Z771" s="92"/>
      <c r="AA771" s="13" t="str">
        <f t="shared" ref="AA771:AA834" si="65">TEXT(R771,"mmm/aaaa")</f>
        <v>abr/2025</v>
      </c>
    </row>
    <row r="772" spans="1:27" x14ac:dyDescent="0.25">
      <c r="A772" s="89">
        <v>771</v>
      </c>
      <c r="B772" s="68">
        <v>45770</v>
      </c>
      <c r="C772" s="40">
        <v>18</v>
      </c>
      <c r="D772" s="40">
        <f t="shared" si="61"/>
        <v>1</v>
      </c>
      <c r="E772" s="41" t="s">
        <v>1039</v>
      </c>
      <c r="F772" s="17" t="s">
        <v>58</v>
      </c>
      <c r="G772" s="17" t="s">
        <v>86</v>
      </c>
      <c r="H772" s="17">
        <v>27</v>
      </c>
      <c r="I772" s="17" t="str">
        <f t="shared" si="62"/>
        <v>PR_PN-27</v>
      </c>
      <c r="J772" s="18" t="s">
        <v>85</v>
      </c>
      <c r="K772" s="19" t="e">
        <f>IF(J772="","SEM #CH",VLOOKUP(J772,#REF!,2,0))</f>
        <v>#REF!</v>
      </c>
      <c r="L772" s="19" t="e">
        <f>IF(J772="","SEM #CH",VLOOKUP(J772,#REF!,3,0))</f>
        <v>#REF!</v>
      </c>
      <c r="M772" s="19" t="e">
        <f>IF(J772="","SEM #CH",VLOOKUP(J772,#REF!,4,0))</f>
        <v>#REF!</v>
      </c>
      <c r="N772" s="19" t="e">
        <f>IF(J772="","SEM #CH",VLOOKUP(J772,#REF!,5,0))</f>
        <v>#REF!</v>
      </c>
      <c r="O772" s="19" t="e">
        <f>IF(J772="","SEM #CH",VLOOKUP(J772,#REF!,6,0))</f>
        <v>#REF!</v>
      </c>
      <c r="P772" s="19" t="e">
        <f>IF(J772="","SEM #CH",VLOOKUP(J772,#REF!,7,0))</f>
        <v>#REF!</v>
      </c>
      <c r="Q772" s="77" t="str">
        <f>VLOOKUP(J772,'p1'!$B$2:$C$30,2,0)</f>
        <v>NÃO TEM CHAPA</v>
      </c>
      <c r="R772" s="94">
        <v>45782</v>
      </c>
      <c r="S772" s="90" t="s">
        <v>218</v>
      </c>
      <c r="T772" s="90">
        <f t="shared" si="64"/>
        <v>1</v>
      </c>
      <c r="U772" s="94">
        <v>45799</v>
      </c>
      <c r="V772" s="90" t="s">
        <v>980</v>
      </c>
      <c r="W772" s="92">
        <v>2351</v>
      </c>
      <c r="X772" s="93">
        <f t="shared" si="63"/>
        <v>1</v>
      </c>
      <c r="Y772" s="92"/>
      <c r="Z772" s="92"/>
      <c r="AA772" s="13" t="str">
        <f t="shared" si="65"/>
        <v>mai/2025</v>
      </c>
    </row>
    <row r="773" spans="1:27" x14ac:dyDescent="0.25">
      <c r="A773" s="89">
        <v>772</v>
      </c>
      <c r="B773" s="68">
        <v>45771</v>
      </c>
      <c r="C773" s="40">
        <v>19</v>
      </c>
      <c r="D773" s="40">
        <f t="shared" si="61"/>
        <v>1</v>
      </c>
      <c r="E773" s="41" t="s">
        <v>1039</v>
      </c>
      <c r="F773" s="17" t="s">
        <v>58</v>
      </c>
      <c r="G773" s="17" t="s">
        <v>86</v>
      </c>
      <c r="H773" s="21">
        <v>28</v>
      </c>
      <c r="I773" s="17" t="str">
        <f t="shared" si="62"/>
        <v>PR_PN-28</v>
      </c>
      <c r="J773" s="18" t="s">
        <v>85</v>
      </c>
      <c r="K773" s="19" t="e">
        <f>IF(J773="","SEM #CH",VLOOKUP(J773,#REF!,2,0))</f>
        <v>#REF!</v>
      </c>
      <c r="L773" s="19" t="e">
        <f>IF(J773="","SEM #CH",VLOOKUP(J773,#REF!,3,0))</f>
        <v>#REF!</v>
      </c>
      <c r="M773" s="19" t="e">
        <f>IF(J773="","SEM #CH",VLOOKUP(J773,#REF!,4,0))</f>
        <v>#REF!</v>
      </c>
      <c r="N773" s="19" t="e">
        <f>IF(J773="","SEM #CH",VLOOKUP(J773,#REF!,5,0))</f>
        <v>#REF!</v>
      </c>
      <c r="O773" s="19" t="e">
        <f>IF(J773="","SEM #CH",VLOOKUP(J773,#REF!,6,0))</f>
        <v>#REF!</v>
      </c>
      <c r="P773" s="19" t="e">
        <f>IF(J773="","SEM #CH",VLOOKUP(J773,#REF!,7,0))</f>
        <v>#REF!</v>
      </c>
      <c r="Q773" s="77" t="str">
        <f>VLOOKUP(J773,'p1'!$B$2:$C$30,2,0)</f>
        <v>NÃO TEM CHAPA</v>
      </c>
      <c r="R773" s="94">
        <v>45777</v>
      </c>
      <c r="S773" s="90" t="s">
        <v>217</v>
      </c>
      <c r="T773" s="90">
        <f t="shared" si="64"/>
        <v>1</v>
      </c>
      <c r="U773" s="94">
        <v>45807</v>
      </c>
      <c r="V773" s="90" t="s">
        <v>985</v>
      </c>
      <c r="W773" s="92">
        <v>2358</v>
      </c>
      <c r="X773" s="93">
        <f t="shared" si="63"/>
        <v>1</v>
      </c>
      <c r="Y773" s="92"/>
      <c r="Z773" s="92"/>
      <c r="AA773" s="13" t="str">
        <f t="shared" si="65"/>
        <v>abr/2025</v>
      </c>
    </row>
    <row r="774" spans="1:27" x14ac:dyDescent="0.25">
      <c r="A774" s="89">
        <v>773</v>
      </c>
      <c r="B774" s="68">
        <v>45773</v>
      </c>
      <c r="C774" s="40">
        <v>20</v>
      </c>
      <c r="D774" s="40">
        <f t="shared" si="61"/>
        <v>1</v>
      </c>
      <c r="E774" s="41" t="s">
        <v>1039</v>
      </c>
      <c r="F774" s="17" t="s">
        <v>58</v>
      </c>
      <c r="G774" s="17" t="s">
        <v>86</v>
      </c>
      <c r="H774" s="17">
        <v>29</v>
      </c>
      <c r="I774" s="17" t="str">
        <f t="shared" si="62"/>
        <v>PR_PN-29</v>
      </c>
      <c r="J774" s="18" t="s">
        <v>85</v>
      </c>
      <c r="K774" s="19" t="e">
        <f>IF(J774="","SEM #CH",VLOOKUP(J774,#REF!,2,0))</f>
        <v>#REF!</v>
      </c>
      <c r="L774" s="19" t="e">
        <f>IF(J774="","SEM #CH",VLOOKUP(J774,#REF!,3,0))</f>
        <v>#REF!</v>
      </c>
      <c r="M774" s="19" t="e">
        <f>IF(J774="","SEM #CH",VLOOKUP(J774,#REF!,4,0))</f>
        <v>#REF!</v>
      </c>
      <c r="N774" s="19" t="e">
        <f>IF(J774="","SEM #CH",VLOOKUP(J774,#REF!,5,0))</f>
        <v>#REF!</v>
      </c>
      <c r="O774" s="19" t="e">
        <f>IF(J774="","SEM #CH",VLOOKUP(J774,#REF!,6,0))</f>
        <v>#REF!</v>
      </c>
      <c r="P774" s="19" t="e">
        <f>IF(J774="","SEM #CH",VLOOKUP(J774,#REF!,7,0))</f>
        <v>#REF!</v>
      </c>
      <c r="Q774" s="77" t="str">
        <f>VLOOKUP(J774,'p1'!$B$2:$C$30,2,0)</f>
        <v>NÃO TEM CHAPA</v>
      </c>
      <c r="R774" s="94">
        <v>45786</v>
      </c>
      <c r="S774" s="90" t="s">
        <v>218</v>
      </c>
      <c r="T774" s="90">
        <f t="shared" si="64"/>
        <v>1</v>
      </c>
      <c r="U774" s="94">
        <v>45806</v>
      </c>
      <c r="V774" s="90" t="s">
        <v>983</v>
      </c>
      <c r="W774" s="92">
        <v>2356</v>
      </c>
      <c r="X774" s="93">
        <f t="shared" si="63"/>
        <v>1</v>
      </c>
      <c r="Y774" s="92"/>
      <c r="Z774" s="92"/>
      <c r="AA774" s="13" t="str">
        <f t="shared" si="65"/>
        <v>mai/2025</v>
      </c>
    </row>
    <row r="775" spans="1:27" x14ac:dyDescent="0.25">
      <c r="A775" s="89">
        <v>774</v>
      </c>
      <c r="B775" s="68">
        <v>45776</v>
      </c>
      <c r="C775" s="40">
        <v>21</v>
      </c>
      <c r="D775" s="40">
        <f t="shared" si="61"/>
        <v>1</v>
      </c>
      <c r="E775" s="41" t="s">
        <v>1039</v>
      </c>
      <c r="F775" s="17" t="s">
        <v>58</v>
      </c>
      <c r="G775" s="17" t="s">
        <v>86</v>
      </c>
      <c r="H775" s="17">
        <v>30</v>
      </c>
      <c r="I775" s="17" t="str">
        <f t="shared" si="62"/>
        <v>PR_PN-30</v>
      </c>
      <c r="J775" s="18" t="s">
        <v>85</v>
      </c>
      <c r="K775" s="19" t="e">
        <f>IF(J775="","SEM #CH",VLOOKUP(J775,#REF!,2,0))</f>
        <v>#REF!</v>
      </c>
      <c r="L775" s="19" t="e">
        <f>IF(J775="","SEM #CH",VLOOKUP(J775,#REF!,3,0))</f>
        <v>#REF!</v>
      </c>
      <c r="M775" s="19" t="e">
        <f>IF(J775="","SEM #CH",VLOOKUP(J775,#REF!,4,0))</f>
        <v>#REF!</v>
      </c>
      <c r="N775" s="19" t="e">
        <f>IF(J775="","SEM #CH",VLOOKUP(J775,#REF!,5,0))</f>
        <v>#REF!</v>
      </c>
      <c r="O775" s="19" t="e">
        <f>IF(J775="","SEM #CH",VLOOKUP(J775,#REF!,6,0))</f>
        <v>#REF!</v>
      </c>
      <c r="P775" s="19" t="e">
        <f>IF(J775="","SEM #CH",VLOOKUP(J775,#REF!,7,0))</f>
        <v>#REF!</v>
      </c>
      <c r="Q775" s="77" t="str">
        <f>VLOOKUP(J775,'p1'!$B$2:$C$30,2,0)</f>
        <v>NÃO TEM CHAPA</v>
      </c>
      <c r="R775" s="94">
        <v>45799</v>
      </c>
      <c r="S775" s="90" t="s">
        <v>217</v>
      </c>
      <c r="T775" s="90">
        <f>IF(R775="",0,1)</f>
        <v>1</v>
      </c>
      <c r="U775" s="94">
        <v>45799</v>
      </c>
      <c r="V775" s="90" t="s">
        <v>980</v>
      </c>
      <c r="W775" s="92">
        <v>2351</v>
      </c>
      <c r="X775" s="93">
        <f t="shared" si="63"/>
        <v>1</v>
      </c>
      <c r="Y775" s="92"/>
      <c r="Z775" s="92"/>
      <c r="AA775" s="13" t="str">
        <f t="shared" si="65"/>
        <v>mai/2025</v>
      </c>
    </row>
    <row r="776" spans="1:27" x14ac:dyDescent="0.25">
      <c r="A776" s="89">
        <v>775</v>
      </c>
      <c r="B776" s="68">
        <v>45834</v>
      </c>
      <c r="C776" s="40">
        <v>40</v>
      </c>
      <c r="D776" s="40">
        <f t="shared" si="61"/>
        <v>1</v>
      </c>
      <c r="E776" s="41" t="s">
        <v>1039</v>
      </c>
      <c r="F776" s="17" t="s">
        <v>123</v>
      </c>
      <c r="G776" s="17" t="s">
        <v>86</v>
      </c>
      <c r="H776" s="17">
        <v>31</v>
      </c>
      <c r="I776" s="17" t="str">
        <f t="shared" si="62"/>
        <v>PR_PNI-31</v>
      </c>
      <c r="J776" s="18" t="s">
        <v>123</v>
      </c>
      <c r="K776" s="19" t="e">
        <f>IF(J776="","SEM #CH",VLOOKUP(J776,#REF!,2,0))</f>
        <v>#REF!</v>
      </c>
      <c r="L776" s="19" t="e">
        <f>IF(J776="","SEM #CH",VLOOKUP(J776,#REF!,3,0))</f>
        <v>#REF!</v>
      </c>
      <c r="M776" s="19" t="e">
        <f>IF(J776="","SEM #CH",VLOOKUP(J776,#REF!,4,0))</f>
        <v>#REF!</v>
      </c>
      <c r="N776" s="19" t="e">
        <f>IF(J776="","SEM #CH",VLOOKUP(J776,#REF!,5,0))</f>
        <v>#REF!</v>
      </c>
      <c r="O776" s="19" t="e">
        <f>IF(J776="","SEM #CH",VLOOKUP(J776,#REF!,6,0))</f>
        <v>#REF!</v>
      </c>
      <c r="P776" s="19" t="e">
        <f>IF(J776="","SEM #CH",VLOOKUP(J776,#REF!,7,0))</f>
        <v>#REF!</v>
      </c>
      <c r="Q776" s="77" t="str">
        <f>VLOOKUP(J776,'p1'!$B$2:$C$30,2,0)</f>
        <v>02- 150X150 #3/8</v>
      </c>
      <c r="R776" s="94">
        <v>45749</v>
      </c>
      <c r="S776" s="90" t="s">
        <v>218</v>
      </c>
      <c r="T776" s="90">
        <f t="shared" si="64"/>
        <v>1</v>
      </c>
      <c r="U776" s="94">
        <v>45848</v>
      </c>
      <c r="V776" s="90" t="s">
        <v>86</v>
      </c>
      <c r="W776" s="92">
        <v>2438</v>
      </c>
      <c r="X776" s="93">
        <f t="shared" si="63"/>
        <v>1</v>
      </c>
      <c r="Y776" s="92">
        <v>700</v>
      </c>
      <c r="Z776" s="92"/>
      <c r="AA776" s="13" t="str">
        <f t="shared" si="65"/>
        <v>abr/2025</v>
      </c>
    </row>
    <row r="777" spans="1:27" x14ac:dyDescent="0.25">
      <c r="A777" s="89">
        <v>776</v>
      </c>
      <c r="B777" s="68">
        <v>45777</v>
      </c>
      <c r="C777" s="40">
        <v>22</v>
      </c>
      <c r="D777" s="40">
        <f t="shared" si="61"/>
        <v>1</v>
      </c>
      <c r="E777" s="41" t="s">
        <v>1039</v>
      </c>
      <c r="F777" s="17" t="s">
        <v>58</v>
      </c>
      <c r="G777" s="17" t="s">
        <v>86</v>
      </c>
      <c r="H777" s="17">
        <v>32</v>
      </c>
      <c r="I777" s="17" t="str">
        <f t="shared" si="62"/>
        <v>PR_PN-32</v>
      </c>
      <c r="J777" s="18" t="s">
        <v>85</v>
      </c>
      <c r="K777" s="19" t="e">
        <f>IF(J777="","SEM #CH",VLOOKUP(J777,#REF!,2,0))</f>
        <v>#REF!</v>
      </c>
      <c r="L777" s="19" t="e">
        <f>IF(J777="","SEM #CH",VLOOKUP(J777,#REF!,3,0))</f>
        <v>#REF!</v>
      </c>
      <c r="M777" s="19" t="e">
        <f>IF(J777="","SEM #CH",VLOOKUP(J777,#REF!,4,0))</f>
        <v>#REF!</v>
      </c>
      <c r="N777" s="19" t="e">
        <f>IF(J777="","SEM #CH",VLOOKUP(J777,#REF!,5,0))</f>
        <v>#REF!</v>
      </c>
      <c r="O777" s="19" t="e">
        <f>IF(J777="","SEM #CH",VLOOKUP(J777,#REF!,6,0))</f>
        <v>#REF!</v>
      </c>
      <c r="P777" s="19" t="e">
        <f>IF(J777="","SEM #CH",VLOOKUP(J777,#REF!,7,0))</f>
        <v>#REF!</v>
      </c>
      <c r="Q777" s="77" t="str">
        <f>VLOOKUP(J777,'p1'!$B$2:$C$30,2,0)</f>
        <v>NÃO TEM CHAPA</v>
      </c>
      <c r="R777" s="94">
        <v>45797</v>
      </c>
      <c r="S777" s="90" t="s">
        <v>218</v>
      </c>
      <c r="T777" s="90">
        <f t="shared" si="64"/>
        <v>1</v>
      </c>
      <c r="U777" s="94">
        <v>45799</v>
      </c>
      <c r="V777" s="90" t="s">
        <v>980</v>
      </c>
      <c r="W777" s="92">
        <v>2351</v>
      </c>
      <c r="X777" s="93">
        <f t="shared" si="63"/>
        <v>1</v>
      </c>
      <c r="Y777" s="92"/>
      <c r="Z777" s="92"/>
      <c r="AA777" s="13" t="str">
        <f t="shared" si="65"/>
        <v>mai/2025</v>
      </c>
    </row>
    <row r="778" spans="1:27" x14ac:dyDescent="0.25">
      <c r="A778" s="89">
        <v>777</v>
      </c>
      <c r="B778" s="68">
        <v>45780</v>
      </c>
      <c r="C778" s="40">
        <v>23</v>
      </c>
      <c r="D778" s="40">
        <f t="shared" si="61"/>
        <v>1</v>
      </c>
      <c r="E778" s="41" t="s">
        <v>1039</v>
      </c>
      <c r="F778" s="17" t="s">
        <v>58</v>
      </c>
      <c r="G778" s="17" t="s">
        <v>86</v>
      </c>
      <c r="H778" s="17">
        <v>33</v>
      </c>
      <c r="I778" s="17" t="str">
        <f t="shared" si="62"/>
        <v>PR_PN-33</v>
      </c>
      <c r="J778" s="18" t="s">
        <v>85</v>
      </c>
      <c r="K778" s="19" t="e">
        <f>IF(J778="","SEM #CH",VLOOKUP(J778,#REF!,2,0))</f>
        <v>#REF!</v>
      </c>
      <c r="L778" s="19" t="e">
        <f>IF(J778="","SEM #CH",VLOOKUP(J778,#REF!,3,0))</f>
        <v>#REF!</v>
      </c>
      <c r="M778" s="19" t="e">
        <f>IF(J778="","SEM #CH",VLOOKUP(J778,#REF!,4,0))</f>
        <v>#REF!</v>
      </c>
      <c r="N778" s="19" t="e">
        <f>IF(J778="","SEM #CH",VLOOKUP(J778,#REF!,5,0))</f>
        <v>#REF!</v>
      </c>
      <c r="O778" s="19" t="e">
        <f>IF(J778="","SEM #CH",VLOOKUP(J778,#REF!,6,0))</f>
        <v>#REF!</v>
      </c>
      <c r="P778" s="19" t="e">
        <f>IF(J778="","SEM #CH",VLOOKUP(J778,#REF!,7,0))</f>
        <v>#REF!</v>
      </c>
      <c r="Q778" s="77" t="str">
        <f>VLOOKUP(J778,'p1'!$B$2:$C$30,2,0)</f>
        <v>NÃO TEM CHAPA</v>
      </c>
      <c r="R778" s="94">
        <v>45784</v>
      </c>
      <c r="S778" s="90" t="s">
        <v>217</v>
      </c>
      <c r="T778" s="90">
        <f t="shared" si="64"/>
        <v>1</v>
      </c>
      <c r="U778" s="94">
        <v>45804</v>
      </c>
      <c r="V778" s="90" t="s">
        <v>984</v>
      </c>
      <c r="W778" s="92">
        <v>2352</v>
      </c>
      <c r="X778" s="93">
        <f t="shared" si="63"/>
        <v>1</v>
      </c>
      <c r="Y778" s="92"/>
      <c r="Z778" s="92"/>
      <c r="AA778" s="13" t="str">
        <f t="shared" si="65"/>
        <v>mai/2025</v>
      </c>
    </row>
    <row r="779" spans="1:27" x14ac:dyDescent="0.25">
      <c r="A779" s="89">
        <v>778</v>
      </c>
      <c r="B779" s="68">
        <v>45782</v>
      </c>
      <c r="C779" s="40">
        <v>24</v>
      </c>
      <c r="D779" s="40">
        <f t="shared" si="61"/>
        <v>1</v>
      </c>
      <c r="E779" s="41" t="s">
        <v>1039</v>
      </c>
      <c r="F779" s="17" t="s">
        <v>58</v>
      </c>
      <c r="G779" s="17" t="s">
        <v>86</v>
      </c>
      <c r="H779" s="17">
        <v>34</v>
      </c>
      <c r="I779" s="17" t="str">
        <f t="shared" si="62"/>
        <v>PR_PN-34</v>
      </c>
      <c r="J779" s="18" t="s">
        <v>85</v>
      </c>
      <c r="K779" s="19" t="e">
        <f>IF(J779="","SEM #CH",VLOOKUP(J779,#REF!,2,0))</f>
        <v>#REF!</v>
      </c>
      <c r="L779" s="19" t="e">
        <f>IF(J779="","SEM #CH",VLOOKUP(J779,#REF!,3,0))</f>
        <v>#REF!</v>
      </c>
      <c r="M779" s="19" t="e">
        <f>IF(J779="","SEM #CH",VLOOKUP(J779,#REF!,4,0))</f>
        <v>#REF!</v>
      </c>
      <c r="N779" s="19" t="e">
        <f>IF(J779="","SEM #CH",VLOOKUP(J779,#REF!,5,0))</f>
        <v>#REF!</v>
      </c>
      <c r="O779" s="19" t="e">
        <f>IF(J779="","SEM #CH",VLOOKUP(J779,#REF!,6,0))</f>
        <v>#REF!</v>
      </c>
      <c r="P779" s="19" t="e">
        <f>IF(J779="","SEM #CH",VLOOKUP(J779,#REF!,7,0))</f>
        <v>#REF!</v>
      </c>
      <c r="Q779" s="77" t="str">
        <f>VLOOKUP(J779,'p1'!$B$2:$C$30,2,0)</f>
        <v>NÃO TEM CHAPA</v>
      </c>
      <c r="R779" s="94">
        <v>45791</v>
      </c>
      <c r="S779" s="90" t="s">
        <v>218</v>
      </c>
      <c r="T779" s="90">
        <f t="shared" si="64"/>
        <v>1</v>
      </c>
      <c r="U779" s="94">
        <v>45806</v>
      </c>
      <c r="V779" s="90" t="s">
        <v>983</v>
      </c>
      <c r="W779" s="92">
        <v>2356</v>
      </c>
      <c r="X779" s="93">
        <f t="shared" si="63"/>
        <v>1</v>
      </c>
      <c r="Y779" s="92"/>
      <c r="Z779" s="92"/>
      <c r="AA779" s="13" t="str">
        <f t="shared" si="65"/>
        <v>mai/2025</v>
      </c>
    </row>
    <row r="780" spans="1:27" x14ac:dyDescent="0.25">
      <c r="A780" s="89">
        <v>779</v>
      </c>
      <c r="B780" s="68">
        <v>45951</v>
      </c>
      <c r="C780" s="40">
        <v>125</v>
      </c>
      <c r="D780" s="40">
        <f t="shared" si="61"/>
        <v>1</v>
      </c>
      <c r="E780" s="41" t="s">
        <v>1039</v>
      </c>
      <c r="F780" s="17" t="s">
        <v>60</v>
      </c>
      <c r="G780" s="17" t="s">
        <v>86</v>
      </c>
      <c r="H780" s="17">
        <v>35</v>
      </c>
      <c r="I780" s="17" t="str">
        <f t="shared" si="62"/>
        <v>PR_PE-35</v>
      </c>
      <c r="J780" s="18" t="s">
        <v>181</v>
      </c>
      <c r="K780" s="19" t="e">
        <f>IF(J780="","SEM #CH",VLOOKUP(J780,#REF!,2,0))</f>
        <v>#REF!</v>
      </c>
      <c r="L780" s="19" t="e">
        <f>IF(J780="","SEM #CH",VLOOKUP(J780,#REF!,3,0))</f>
        <v>#REF!</v>
      </c>
      <c r="M780" s="19" t="e">
        <f>IF(J780="","SEM #CH",VLOOKUP(J780,#REF!,4,0))</f>
        <v>#REF!</v>
      </c>
      <c r="N780" s="19" t="e">
        <f>IF(J780="","SEM #CH",VLOOKUP(J780,#REF!,5,0))</f>
        <v>#REF!</v>
      </c>
      <c r="O780" s="19" t="e">
        <f>IF(J780="","SEM #CH",VLOOKUP(J780,#REF!,6,0))</f>
        <v>#REF!</v>
      </c>
      <c r="P780" s="19" t="e">
        <f>IF(J780="","SEM #CH",VLOOKUP(J780,#REF!,7,0))</f>
        <v>#REF!</v>
      </c>
      <c r="Q780" s="77" t="str">
        <f>VLOOKUP(J780,'p1'!$B$2:$C$30,2,0)</f>
        <v>TUBO DE 10 " - A DEFINIR</v>
      </c>
      <c r="R780" s="90"/>
      <c r="S780" s="90" t="s">
        <v>218</v>
      </c>
      <c r="T780" s="90">
        <f t="shared" si="64"/>
        <v>0</v>
      </c>
      <c r="U780" s="90"/>
      <c r="V780" s="90"/>
      <c r="W780" s="92"/>
      <c r="X780" s="93" t="str">
        <f t="shared" si="63"/>
        <v/>
      </c>
      <c r="Y780" s="92"/>
      <c r="Z780" s="92"/>
      <c r="AA780" s="13" t="str">
        <f t="shared" si="65"/>
        <v>jan/1900</v>
      </c>
    </row>
    <row r="781" spans="1:27" x14ac:dyDescent="0.25">
      <c r="A781" s="89">
        <v>780</v>
      </c>
      <c r="B781" s="68">
        <v>45957</v>
      </c>
      <c r="C781" s="40">
        <v>130</v>
      </c>
      <c r="D781" s="40">
        <f t="shared" si="61"/>
        <v>1</v>
      </c>
      <c r="E781" s="41" t="s">
        <v>1039</v>
      </c>
      <c r="F781" s="17" t="s">
        <v>60</v>
      </c>
      <c r="G781" s="17" t="s">
        <v>86</v>
      </c>
      <c r="H781" s="17">
        <v>36</v>
      </c>
      <c r="I781" s="17" t="str">
        <f t="shared" si="62"/>
        <v>PR_PE-36</v>
      </c>
      <c r="J781" s="18" t="s">
        <v>181</v>
      </c>
      <c r="K781" s="19" t="e">
        <f>IF(J781="","SEM #CH",VLOOKUP(J781,#REF!,2,0))</f>
        <v>#REF!</v>
      </c>
      <c r="L781" s="19" t="e">
        <f>IF(J781="","SEM #CH",VLOOKUP(J781,#REF!,3,0))</f>
        <v>#REF!</v>
      </c>
      <c r="M781" s="19" t="e">
        <f>IF(J781="","SEM #CH",VLOOKUP(J781,#REF!,4,0))</f>
        <v>#REF!</v>
      </c>
      <c r="N781" s="19" t="e">
        <f>IF(J781="","SEM #CH",VLOOKUP(J781,#REF!,5,0))</f>
        <v>#REF!</v>
      </c>
      <c r="O781" s="19" t="e">
        <f>IF(J781="","SEM #CH",VLOOKUP(J781,#REF!,6,0))</f>
        <v>#REF!</v>
      </c>
      <c r="P781" s="19" t="e">
        <f>IF(J781="","SEM #CH",VLOOKUP(J781,#REF!,7,0))</f>
        <v>#REF!</v>
      </c>
      <c r="Q781" s="77" t="str">
        <f>VLOOKUP(J781,'p1'!$B$2:$C$30,2,0)</f>
        <v>TUBO DE 10 " - A DEFINIR</v>
      </c>
      <c r="R781" s="90"/>
      <c r="S781" s="90" t="s">
        <v>218</v>
      </c>
      <c r="T781" s="90">
        <f t="shared" si="64"/>
        <v>0</v>
      </c>
      <c r="U781" s="90"/>
      <c r="V781" s="90"/>
      <c r="W781" s="92"/>
      <c r="X781" s="93" t="str">
        <f t="shared" si="63"/>
        <v/>
      </c>
      <c r="Y781" s="92"/>
      <c r="Z781" s="92"/>
      <c r="AA781" s="13" t="str">
        <f t="shared" si="65"/>
        <v>jan/1900</v>
      </c>
    </row>
    <row r="782" spans="1:27" x14ac:dyDescent="0.25">
      <c r="A782" s="89">
        <v>781</v>
      </c>
      <c r="B782" s="68">
        <v>45964</v>
      </c>
      <c r="C782" s="40">
        <v>137</v>
      </c>
      <c r="D782" s="40">
        <f t="shared" si="61"/>
        <v>1</v>
      </c>
      <c r="E782" s="41" t="s">
        <v>1039</v>
      </c>
      <c r="F782" s="17" t="s">
        <v>175</v>
      </c>
      <c r="G782" s="17" t="s">
        <v>86</v>
      </c>
      <c r="H782" s="17">
        <v>37</v>
      </c>
      <c r="I782" s="17" t="str">
        <f t="shared" si="62"/>
        <v>PR_PE(I)-37</v>
      </c>
      <c r="J782" s="18" t="s">
        <v>175</v>
      </c>
      <c r="K782" s="19" t="e">
        <f>IF(J782="","SEM #CH",VLOOKUP(J782,#REF!,2,0))</f>
        <v>#REF!</v>
      </c>
      <c r="L782" s="19" t="e">
        <f>IF(J782="","SEM #CH",VLOOKUP(J782,#REF!,3,0))</f>
        <v>#REF!</v>
      </c>
      <c r="M782" s="19" t="e">
        <f>IF(J782="","SEM #CH",VLOOKUP(J782,#REF!,4,0))</f>
        <v>#REF!</v>
      </c>
      <c r="N782" s="19" t="e">
        <f>IF(J782="","SEM #CH",VLOOKUP(J782,#REF!,5,0))</f>
        <v>#REF!</v>
      </c>
      <c r="O782" s="19" t="e">
        <f>IF(J782="","SEM #CH",VLOOKUP(J782,#REF!,6,0))</f>
        <v>#REF!</v>
      </c>
      <c r="P782" s="19" t="e">
        <f>IF(J782="","SEM #CH",VLOOKUP(J782,#REF!,7,0))</f>
        <v>#REF!</v>
      </c>
      <c r="Q782" s="77" t="str">
        <f>VLOOKUP(J782,'p1'!$B$2:$C$30,2,0)</f>
        <v>ATERRAMENTO+ CHAPA P/ T10"</v>
      </c>
      <c r="R782" s="90"/>
      <c r="S782" s="90" t="s">
        <v>218</v>
      </c>
      <c r="T782" s="90">
        <f t="shared" si="64"/>
        <v>0</v>
      </c>
      <c r="U782" s="90"/>
      <c r="V782" s="90"/>
      <c r="W782" s="92"/>
      <c r="X782" s="93" t="str">
        <f t="shared" si="63"/>
        <v/>
      </c>
      <c r="Y782" s="92"/>
      <c r="Z782" s="92"/>
      <c r="AA782" s="13" t="str">
        <f t="shared" si="65"/>
        <v>jan/1900</v>
      </c>
    </row>
    <row r="783" spans="1:27" x14ac:dyDescent="0.25">
      <c r="A783" s="89">
        <v>782</v>
      </c>
      <c r="B783" s="68">
        <v>45990</v>
      </c>
      <c r="C783" s="40">
        <v>158</v>
      </c>
      <c r="D783" s="40">
        <f t="shared" si="61"/>
        <v>1</v>
      </c>
      <c r="E783" s="41" t="s">
        <v>1039</v>
      </c>
      <c r="F783" s="17" t="s">
        <v>60</v>
      </c>
      <c r="G783" s="17" t="s">
        <v>86</v>
      </c>
      <c r="H783" s="17">
        <v>38</v>
      </c>
      <c r="I783" s="17" t="str">
        <f t="shared" si="62"/>
        <v>PR_PE-38</v>
      </c>
      <c r="J783" s="18" t="s">
        <v>60</v>
      </c>
      <c r="K783" s="19" t="e">
        <f>IF(J783="","SEM #CH",VLOOKUP(J783,#REF!,2,0))</f>
        <v>#REF!</v>
      </c>
      <c r="L783" s="19" t="e">
        <f>IF(J783="","SEM #CH",VLOOKUP(J783,#REF!,3,0))</f>
        <v>#REF!</v>
      </c>
      <c r="M783" s="19" t="e">
        <f>IF(J783="","SEM #CH",VLOOKUP(J783,#REF!,4,0))</f>
        <v>#REF!</v>
      </c>
      <c r="N783" s="19" t="e">
        <f>IF(J783="","SEM #CH",VLOOKUP(J783,#REF!,5,0))</f>
        <v>#REF!</v>
      </c>
      <c r="O783" s="19" t="e">
        <f>IF(J783="","SEM #CH",VLOOKUP(J783,#REF!,6,0))</f>
        <v>#REF!</v>
      </c>
      <c r="P783" s="19" t="e">
        <f>IF(J783="","SEM #CH",VLOOKUP(J783,#REF!,7,0))</f>
        <v>#REF!</v>
      </c>
      <c r="Q783" s="77" t="str">
        <f>VLOOKUP(J783,'p1'!$B$2:$C$30,2,0)</f>
        <v>OLHAR DESENHO ESPECIFICO</v>
      </c>
      <c r="R783" s="90"/>
      <c r="S783" s="90" t="s">
        <v>218</v>
      </c>
      <c r="T783" s="90">
        <f t="shared" si="64"/>
        <v>0</v>
      </c>
      <c r="U783" s="90"/>
      <c r="V783" s="90"/>
      <c r="W783" s="92"/>
      <c r="X783" s="93" t="str">
        <f t="shared" si="63"/>
        <v/>
      </c>
      <c r="Y783" s="92"/>
      <c r="Z783" s="92"/>
      <c r="AA783" s="13" t="str">
        <f t="shared" si="65"/>
        <v>jan/1900</v>
      </c>
    </row>
    <row r="784" spans="1:27" x14ac:dyDescent="0.25">
      <c r="A784" s="89">
        <v>783</v>
      </c>
      <c r="B784" s="68">
        <v>45834</v>
      </c>
      <c r="C784" s="40">
        <v>40</v>
      </c>
      <c r="D784" s="40">
        <f t="shared" ref="D784:D806" si="66">IF(B784&gt;0,1,"")</f>
        <v>1</v>
      </c>
      <c r="E784" s="41" t="s">
        <v>1039</v>
      </c>
      <c r="F784" s="17" t="s">
        <v>123</v>
      </c>
      <c r="G784" s="17" t="s">
        <v>86</v>
      </c>
      <c r="H784" s="17">
        <v>39</v>
      </c>
      <c r="I784" s="17" t="str">
        <f t="shared" ref="I784:I806" si="67">_xlfn.CONCAT("PR_",F784,G784,H784)</f>
        <v>PR_PNI-39</v>
      </c>
      <c r="J784" s="18" t="s">
        <v>123</v>
      </c>
      <c r="K784" s="19" t="e">
        <f>IF(J784="","SEM #CH",VLOOKUP(J784,#REF!,2,0))</f>
        <v>#REF!</v>
      </c>
      <c r="L784" s="19" t="e">
        <f>IF(J784="","SEM #CH",VLOOKUP(J784,#REF!,3,0))</f>
        <v>#REF!</v>
      </c>
      <c r="M784" s="19" t="e">
        <f>IF(J784="","SEM #CH",VLOOKUP(J784,#REF!,4,0))</f>
        <v>#REF!</v>
      </c>
      <c r="N784" s="19" t="e">
        <f>IF(J784="","SEM #CH",VLOOKUP(J784,#REF!,5,0))</f>
        <v>#REF!</v>
      </c>
      <c r="O784" s="19" t="e">
        <f>IF(J784="","SEM #CH",VLOOKUP(J784,#REF!,6,0))</f>
        <v>#REF!</v>
      </c>
      <c r="P784" s="19" t="e">
        <f>IF(J784="","SEM #CH",VLOOKUP(J784,#REF!,7,0))</f>
        <v>#REF!</v>
      </c>
      <c r="Q784" s="77" t="str">
        <f>VLOOKUP(J784,'p1'!$B$2:$C$30,2,0)</f>
        <v>02- 150X150 #3/8</v>
      </c>
      <c r="R784" s="94">
        <v>45860</v>
      </c>
      <c r="S784" s="90" t="s">
        <v>218</v>
      </c>
      <c r="T784" s="90">
        <f t="shared" si="64"/>
        <v>1</v>
      </c>
      <c r="U784" s="94">
        <v>45869</v>
      </c>
      <c r="V784" s="90" t="s">
        <v>86</v>
      </c>
      <c r="W784" s="92">
        <v>2461</v>
      </c>
      <c r="X784" s="93">
        <f t="shared" si="63"/>
        <v>1</v>
      </c>
      <c r="Y784" s="92">
        <v>700</v>
      </c>
      <c r="Z784" s="92"/>
      <c r="AA784" s="13" t="str">
        <f t="shared" si="65"/>
        <v>jul/2025</v>
      </c>
    </row>
    <row r="785" spans="1:27" x14ac:dyDescent="0.25">
      <c r="A785" s="89">
        <v>784</v>
      </c>
      <c r="B785" s="68">
        <v>45783</v>
      </c>
      <c r="C785" s="40">
        <v>25</v>
      </c>
      <c r="D785" s="40">
        <f t="shared" si="66"/>
        <v>1</v>
      </c>
      <c r="E785" s="41" t="s">
        <v>1039</v>
      </c>
      <c r="F785" s="17" t="s">
        <v>58</v>
      </c>
      <c r="G785" s="17" t="s">
        <v>86</v>
      </c>
      <c r="H785" s="17">
        <v>40</v>
      </c>
      <c r="I785" s="17" t="str">
        <f t="shared" si="67"/>
        <v>PR_PN-40</v>
      </c>
      <c r="J785" s="18" t="s">
        <v>85</v>
      </c>
      <c r="K785" s="19" t="e">
        <f>IF(J785="","SEM #CH",VLOOKUP(J785,#REF!,2,0))</f>
        <v>#REF!</v>
      </c>
      <c r="L785" s="19" t="e">
        <f>IF(J785="","SEM #CH",VLOOKUP(J785,#REF!,3,0))</f>
        <v>#REF!</v>
      </c>
      <c r="M785" s="19" t="e">
        <f>IF(J785="","SEM #CH",VLOOKUP(J785,#REF!,4,0))</f>
        <v>#REF!</v>
      </c>
      <c r="N785" s="19" t="e">
        <f>IF(J785="","SEM #CH",VLOOKUP(J785,#REF!,5,0))</f>
        <v>#REF!</v>
      </c>
      <c r="O785" s="19" t="e">
        <f>IF(J785="","SEM #CH",VLOOKUP(J785,#REF!,6,0))</f>
        <v>#REF!</v>
      </c>
      <c r="P785" s="19" t="e">
        <f>IF(J785="","SEM #CH",VLOOKUP(J785,#REF!,7,0))</f>
        <v>#REF!</v>
      </c>
      <c r="Q785" s="77" t="str">
        <f>VLOOKUP(J785,'p1'!$B$2:$C$30,2,0)</f>
        <v>NÃO TEM CHAPA</v>
      </c>
      <c r="R785" s="94">
        <v>45789</v>
      </c>
      <c r="S785" s="90" t="s">
        <v>217</v>
      </c>
      <c r="T785" s="90">
        <f t="shared" si="64"/>
        <v>1</v>
      </c>
      <c r="U785" s="94">
        <v>45804</v>
      </c>
      <c r="V785" s="90" t="s">
        <v>984</v>
      </c>
      <c r="W785" s="92">
        <v>2352</v>
      </c>
      <c r="X785" s="93">
        <f t="shared" si="63"/>
        <v>1</v>
      </c>
      <c r="Y785" s="92"/>
      <c r="Z785" s="92"/>
      <c r="AA785" s="13" t="str">
        <f t="shared" si="65"/>
        <v>mai/2025</v>
      </c>
    </row>
    <row r="786" spans="1:27" x14ac:dyDescent="0.25">
      <c r="A786" s="89">
        <v>785</v>
      </c>
      <c r="B786" s="68">
        <v>45785</v>
      </c>
      <c r="C786" s="40">
        <v>26</v>
      </c>
      <c r="D786" s="40">
        <f t="shared" si="66"/>
        <v>1</v>
      </c>
      <c r="E786" s="41" t="s">
        <v>1039</v>
      </c>
      <c r="F786" s="17" t="s">
        <v>58</v>
      </c>
      <c r="G786" s="17" t="s">
        <v>86</v>
      </c>
      <c r="H786" s="17">
        <v>41</v>
      </c>
      <c r="I786" s="17" t="str">
        <f t="shared" si="67"/>
        <v>PR_PN-41</v>
      </c>
      <c r="J786" s="18" t="s">
        <v>85</v>
      </c>
      <c r="K786" s="19" t="e">
        <f>IF(J786="","SEM #CH",VLOOKUP(J786,#REF!,2,0))</f>
        <v>#REF!</v>
      </c>
      <c r="L786" s="19" t="e">
        <f>IF(J786="","SEM #CH",VLOOKUP(J786,#REF!,3,0))</f>
        <v>#REF!</v>
      </c>
      <c r="M786" s="19" t="e">
        <f>IF(J786="","SEM #CH",VLOOKUP(J786,#REF!,4,0))</f>
        <v>#REF!</v>
      </c>
      <c r="N786" s="19" t="e">
        <f>IF(J786="","SEM #CH",VLOOKUP(J786,#REF!,5,0))</f>
        <v>#REF!</v>
      </c>
      <c r="O786" s="19" t="e">
        <f>IF(J786="","SEM #CH",VLOOKUP(J786,#REF!,6,0))</f>
        <v>#REF!</v>
      </c>
      <c r="P786" s="19" t="e">
        <f>IF(J786="","SEM #CH",VLOOKUP(J786,#REF!,7,0))</f>
        <v>#REF!</v>
      </c>
      <c r="Q786" s="77" t="str">
        <f>VLOOKUP(J786,'p1'!$B$2:$C$30,2,0)</f>
        <v>NÃO TEM CHAPA</v>
      </c>
      <c r="R786" s="94">
        <v>45798</v>
      </c>
      <c r="S786" s="90" t="s">
        <v>218</v>
      </c>
      <c r="T786" s="90">
        <f t="shared" si="64"/>
        <v>1</v>
      </c>
      <c r="U786" s="94">
        <v>45806</v>
      </c>
      <c r="V786" s="90" t="s">
        <v>982</v>
      </c>
      <c r="W786" s="92">
        <v>2355</v>
      </c>
      <c r="X786" s="93">
        <f t="shared" si="63"/>
        <v>1</v>
      </c>
      <c r="Y786" s="92"/>
      <c r="Z786" s="92"/>
      <c r="AA786" s="13" t="str">
        <f t="shared" si="65"/>
        <v>mai/2025</v>
      </c>
    </row>
    <row r="787" spans="1:27" x14ac:dyDescent="0.25">
      <c r="A787" s="89">
        <v>786</v>
      </c>
      <c r="B787" s="68">
        <v>45786</v>
      </c>
      <c r="C787" s="40">
        <v>27</v>
      </c>
      <c r="D787" s="40">
        <f t="shared" si="66"/>
        <v>1</v>
      </c>
      <c r="E787" s="41" t="s">
        <v>1039</v>
      </c>
      <c r="F787" s="17" t="s">
        <v>58</v>
      </c>
      <c r="G787" s="17" t="s">
        <v>86</v>
      </c>
      <c r="H787" s="17">
        <v>42</v>
      </c>
      <c r="I787" s="17" t="str">
        <f t="shared" si="67"/>
        <v>PR_PN-42</v>
      </c>
      <c r="J787" s="18" t="s">
        <v>85</v>
      </c>
      <c r="K787" s="19" t="e">
        <f>IF(J787="","SEM #CH",VLOOKUP(J787,#REF!,2,0))</f>
        <v>#REF!</v>
      </c>
      <c r="L787" s="19" t="e">
        <f>IF(J787="","SEM #CH",VLOOKUP(J787,#REF!,3,0))</f>
        <v>#REF!</v>
      </c>
      <c r="M787" s="19" t="e">
        <f>IF(J787="","SEM #CH",VLOOKUP(J787,#REF!,4,0))</f>
        <v>#REF!</v>
      </c>
      <c r="N787" s="19" t="e">
        <f>IF(J787="","SEM #CH",VLOOKUP(J787,#REF!,5,0))</f>
        <v>#REF!</v>
      </c>
      <c r="O787" s="19" t="e">
        <f>IF(J787="","SEM #CH",VLOOKUP(J787,#REF!,6,0))</f>
        <v>#REF!</v>
      </c>
      <c r="P787" s="19" t="e">
        <f>IF(J787="","SEM #CH",VLOOKUP(J787,#REF!,7,0))</f>
        <v>#REF!</v>
      </c>
      <c r="Q787" s="77" t="str">
        <f>VLOOKUP(J787,'p1'!$B$2:$C$30,2,0)</f>
        <v>NÃO TEM CHAPA</v>
      </c>
      <c r="R787" s="94">
        <v>45791</v>
      </c>
      <c r="S787" s="90" t="s">
        <v>217</v>
      </c>
      <c r="T787" s="90">
        <f t="shared" si="64"/>
        <v>1</v>
      </c>
      <c r="U787" s="94">
        <v>45804</v>
      </c>
      <c r="V787" s="90" t="s">
        <v>984</v>
      </c>
      <c r="W787" s="92">
        <v>2352</v>
      </c>
      <c r="X787" s="93">
        <f t="shared" si="63"/>
        <v>1</v>
      </c>
      <c r="Y787" s="92"/>
      <c r="Z787" s="92"/>
      <c r="AA787" s="13" t="str">
        <f t="shared" si="65"/>
        <v>mai/2025</v>
      </c>
    </row>
    <row r="788" spans="1:27" x14ac:dyDescent="0.25">
      <c r="A788" s="89">
        <v>787</v>
      </c>
      <c r="B788" s="68">
        <v>45789</v>
      </c>
      <c r="C788" s="40">
        <v>28</v>
      </c>
      <c r="D788" s="40">
        <f t="shared" si="66"/>
        <v>1</v>
      </c>
      <c r="E788" s="41" t="s">
        <v>1039</v>
      </c>
      <c r="F788" s="17" t="s">
        <v>58</v>
      </c>
      <c r="G788" s="17" t="s">
        <v>86</v>
      </c>
      <c r="H788" s="17">
        <v>43</v>
      </c>
      <c r="I788" s="17" t="str">
        <f t="shared" si="67"/>
        <v>PR_PN-43</v>
      </c>
      <c r="J788" s="18" t="s">
        <v>85</v>
      </c>
      <c r="K788" s="19" t="e">
        <f>IF(J788="","SEM #CH",VLOOKUP(J788,#REF!,2,0))</f>
        <v>#REF!</v>
      </c>
      <c r="L788" s="19" t="e">
        <f>IF(J788="","SEM #CH",VLOOKUP(J788,#REF!,3,0))</f>
        <v>#REF!</v>
      </c>
      <c r="M788" s="19" t="e">
        <f>IF(J788="","SEM #CH",VLOOKUP(J788,#REF!,4,0))</f>
        <v>#REF!</v>
      </c>
      <c r="N788" s="19" t="e">
        <f>IF(J788="","SEM #CH",VLOOKUP(J788,#REF!,5,0))</f>
        <v>#REF!</v>
      </c>
      <c r="O788" s="19" t="e">
        <f>IF(J788="","SEM #CH",VLOOKUP(J788,#REF!,6,0))</f>
        <v>#REF!</v>
      </c>
      <c r="P788" s="19" t="e">
        <f>IF(J788="","SEM #CH",VLOOKUP(J788,#REF!,7,0))</f>
        <v>#REF!</v>
      </c>
      <c r="Q788" s="77" t="str">
        <f>VLOOKUP(J788,'p1'!$B$2:$C$30,2,0)</f>
        <v>NÃO TEM CHAPA</v>
      </c>
      <c r="R788" s="94">
        <v>45804</v>
      </c>
      <c r="S788" s="90" t="s">
        <v>218</v>
      </c>
      <c r="T788" s="90">
        <f t="shared" si="64"/>
        <v>1</v>
      </c>
      <c r="U788" s="94">
        <v>45805</v>
      </c>
      <c r="V788" s="90" t="s">
        <v>86</v>
      </c>
      <c r="W788" s="92">
        <v>2354</v>
      </c>
      <c r="X788" s="93">
        <f t="shared" si="63"/>
        <v>1</v>
      </c>
      <c r="Y788" s="92"/>
      <c r="Z788" s="92"/>
      <c r="AA788" s="13" t="str">
        <f t="shared" si="65"/>
        <v>mai/2025</v>
      </c>
    </row>
    <row r="789" spans="1:27" x14ac:dyDescent="0.25">
      <c r="A789" s="89">
        <v>788</v>
      </c>
      <c r="B789" s="68">
        <v>45806</v>
      </c>
      <c r="C789" s="40">
        <v>31</v>
      </c>
      <c r="D789" s="40">
        <f t="shared" si="66"/>
        <v>1</v>
      </c>
      <c r="E789" s="41" t="s">
        <v>1039</v>
      </c>
      <c r="F789" s="17" t="s">
        <v>58</v>
      </c>
      <c r="G789" s="17" t="s">
        <v>86</v>
      </c>
      <c r="H789" s="17">
        <v>44</v>
      </c>
      <c r="I789" s="17" t="str">
        <f t="shared" si="67"/>
        <v>PR_PN-44</v>
      </c>
      <c r="J789" s="18" t="s">
        <v>85</v>
      </c>
      <c r="K789" s="19" t="e">
        <f>IF(J789="","SEM #CH",VLOOKUP(J789,#REF!,2,0))</f>
        <v>#REF!</v>
      </c>
      <c r="L789" s="19" t="e">
        <f>IF(J789="","SEM #CH",VLOOKUP(J789,#REF!,3,0))</f>
        <v>#REF!</v>
      </c>
      <c r="M789" s="19" t="e">
        <f>IF(J789="","SEM #CH",VLOOKUP(J789,#REF!,4,0))</f>
        <v>#REF!</v>
      </c>
      <c r="N789" s="19" t="e">
        <f>IF(J789="","SEM #CH",VLOOKUP(J789,#REF!,5,0))</f>
        <v>#REF!</v>
      </c>
      <c r="O789" s="19" t="e">
        <f>IF(J789="","SEM #CH",VLOOKUP(J789,#REF!,6,0))</f>
        <v>#REF!</v>
      </c>
      <c r="P789" s="19" t="e">
        <f>IF(J789="","SEM #CH",VLOOKUP(J789,#REF!,7,0))</f>
        <v>#REF!</v>
      </c>
      <c r="Q789" s="77" t="str">
        <f>VLOOKUP(J789,'p1'!$B$2:$C$30,2,0)</f>
        <v>NÃO TEM CHAPA</v>
      </c>
      <c r="R789" s="90"/>
      <c r="S789" s="90" t="s">
        <v>217</v>
      </c>
      <c r="T789" s="90">
        <f t="shared" si="64"/>
        <v>0</v>
      </c>
      <c r="U789" s="90"/>
      <c r="V789" s="90"/>
      <c r="W789" s="92"/>
      <c r="X789" s="93" t="str">
        <f t="shared" si="63"/>
        <v/>
      </c>
      <c r="Y789" s="92"/>
      <c r="Z789" s="92"/>
      <c r="AA789" s="13" t="str">
        <f t="shared" si="65"/>
        <v>jan/1900</v>
      </c>
    </row>
    <row r="790" spans="1:27" x14ac:dyDescent="0.25">
      <c r="A790" s="89">
        <v>789</v>
      </c>
      <c r="B790" s="68">
        <v>45834</v>
      </c>
      <c r="C790" s="40">
        <v>40</v>
      </c>
      <c r="D790" s="40">
        <f t="shared" si="66"/>
        <v>1</v>
      </c>
      <c r="E790" s="41" t="s">
        <v>1039</v>
      </c>
      <c r="F790" s="17" t="s">
        <v>123</v>
      </c>
      <c r="G790" s="17" t="s">
        <v>86</v>
      </c>
      <c r="H790" s="17">
        <v>45</v>
      </c>
      <c r="I790" s="17" t="str">
        <f t="shared" si="67"/>
        <v>PR_PNI-45</v>
      </c>
      <c r="J790" s="18" t="s">
        <v>123</v>
      </c>
      <c r="K790" s="19" t="e">
        <f>IF(J790="","SEM #CH",VLOOKUP(J790,#REF!,2,0))</f>
        <v>#REF!</v>
      </c>
      <c r="L790" s="19" t="e">
        <f>IF(J790="","SEM #CH",VLOOKUP(J790,#REF!,3,0))</f>
        <v>#REF!</v>
      </c>
      <c r="M790" s="19" t="e">
        <f>IF(J790="","SEM #CH",VLOOKUP(J790,#REF!,4,0))</f>
        <v>#REF!</v>
      </c>
      <c r="N790" s="19" t="e">
        <f>IF(J790="","SEM #CH",VLOOKUP(J790,#REF!,5,0))</f>
        <v>#REF!</v>
      </c>
      <c r="O790" s="19" t="e">
        <f>IF(J790="","SEM #CH",VLOOKUP(J790,#REF!,6,0))</f>
        <v>#REF!</v>
      </c>
      <c r="P790" s="19" t="e">
        <f>IF(J790="","SEM #CH",VLOOKUP(J790,#REF!,7,0))</f>
        <v>#REF!</v>
      </c>
      <c r="Q790" s="77" t="str">
        <f>VLOOKUP(J790,'p1'!$B$2:$C$30,2,0)</f>
        <v>02- 150X150 #3/8</v>
      </c>
      <c r="R790" s="90"/>
      <c r="S790" s="90" t="s">
        <v>218</v>
      </c>
      <c r="T790" s="90">
        <f t="shared" si="64"/>
        <v>0</v>
      </c>
      <c r="U790" s="90"/>
      <c r="V790" s="90"/>
      <c r="W790" s="92"/>
      <c r="X790" s="93" t="str">
        <f t="shared" si="63"/>
        <v/>
      </c>
      <c r="Y790" s="92">
        <v>700</v>
      </c>
      <c r="Z790" s="92"/>
      <c r="AA790" s="13" t="str">
        <f t="shared" si="65"/>
        <v>jan/1900</v>
      </c>
    </row>
    <row r="791" spans="1:27" x14ac:dyDescent="0.25">
      <c r="A791" s="89">
        <v>790</v>
      </c>
      <c r="B791" s="68">
        <v>45800</v>
      </c>
      <c r="C791" s="40">
        <v>30</v>
      </c>
      <c r="D791" s="40">
        <f t="shared" si="66"/>
        <v>1</v>
      </c>
      <c r="E791" s="41" t="s">
        <v>1039</v>
      </c>
      <c r="F791" s="17" t="s">
        <v>61</v>
      </c>
      <c r="G791" s="17" t="s">
        <v>86</v>
      </c>
      <c r="H791" s="17">
        <v>46</v>
      </c>
      <c r="I791" s="17" t="str">
        <f t="shared" si="67"/>
        <v>PR_PF-46</v>
      </c>
      <c r="J791" s="18" t="s">
        <v>61</v>
      </c>
      <c r="K791" s="19" t="e">
        <f>IF(J791="","SEM #CH",VLOOKUP(J791,#REF!,2,0))</f>
        <v>#REF!</v>
      </c>
      <c r="L791" s="19" t="e">
        <f>IF(J791="","SEM #CH",VLOOKUP(J791,#REF!,3,0))</f>
        <v>#REF!</v>
      </c>
      <c r="M791" s="19" t="e">
        <f>IF(J791="","SEM #CH",VLOOKUP(J791,#REF!,4,0))</f>
        <v>#REF!</v>
      </c>
      <c r="N791" s="19" t="e">
        <f>IF(J791="","SEM #CH",VLOOKUP(J791,#REF!,5,0))</f>
        <v>#REF!</v>
      </c>
      <c r="O791" s="19" t="e">
        <f>IF(J791="","SEM #CH",VLOOKUP(J791,#REF!,6,0))</f>
        <v>#REF!</v>
      </c>
      <c r="P791" s="19" t="e">
        <f>IF(J791="","SEM #CH",VLOOKUP(J791,#REF!,7,0))</f>
        <v>#REF!</v>
      </c>
      <c r="Q791" s="77" t="str">
        <f>VLOOKUP(J791,'p1'!$B$2:$C$30,2,0)</f>
        <v>SEM CHAPA</v>
      </c>
      <c r="R791" s="94">
        <v>45804</v>
      </c>
      <c r="S791" s="90" t="s">
        <v>217</v>
      </c>
      <c r="T791" s="90">
        <f t="shared" si="64"/>
        <v>1</v>
      </c>
      <c r="U791" s="90"/>
      <c r="V791" s="90"/>
      <c r="W791" s="92"/>
      <c r="X791" s="93" t="str">
        <f t="shared" si="63"/>
        <v/>
      </c>
      <c r="Y791" s="92">
        <v>700</v>
      </c>
      <c r="Z791" s="92"/>
      <c r="AA791" s="13" t="str">
        <f t="shared" si="65"/>
        <v>mai/2025</v>
      </c>
    </row>
    <row r="792" spans="1:27" x14ac:dyDescent="0.25">
      <c r="A792" s="89">
        <v>791</v>
      </c>
      <c r="B792" s="68">
        <v>45812</v>
      </c>
      <c r="C792" s="40">
        <v>32</v>
      </c>
      <c r="D792" s="40">
        <f t="shared" si="66"/>
        <v>1</v>
      </c>
      <c r="E792" s="41" t="s">
        <v>1039</v>
      </c>
      <c r="F792" s="17" t="s">
        <v>58</v>
      </c>
      <c r="G792" s="17" t="s">
        <v>86</v>
      </c>
      <c r="H792" s="17">
        <v>47</v>
      </c>
      <c r="I792" s="17" t="str">
        <f t="shared" si="67"/>
        <v>PR_PN-47</v>
      </c>
      <c r="J792" s="18" t="s">
        <v>85</v>
      </c>
      <c r="K792" s="19" t="e">
        <f>IF(J792="","SEM #CH",VLOOKUP(J792,#REF!,2,0))</f>
        <v>#REF!</v>
      </c>
      <c r="L792" s="19" t="e">
        <f>IF(J792="","SEM #CH",VLOOKUP(J792,#REF!,3,0))</f>
        <v>#REF!</v>
      </c>
      <c r="M792" s="19" t="e">
        <f>IF(J792="","SEM #CH",VLOOKUP(J792,#REF!,4,0))</f>
        <v>#REF!</v>
      </c>
      <c r="N792" s="19" t="e">
        <f>IF(J792="","SEM #CH",VLOOKUP(J792,#REF!,5,0))</f>
        <v>#REF!</v>
      </c>
      <c r="O792" s="19" t="e">
        <f>IF(J792="","SEM #CH",VLOOKUP(J792,#REF!,6,0))</f>
        <v>#REF!</v>
      </c>
      <c r="P792" s="19" t="e">
        <f>IF(J792="","SEM #CH",VLOOKUP(J792,#REF!,7,0))</f>
        <v>#REF!</v>
      </c>
      <c r="Q792" s="77" t="str">
        <f>VLOOKUP(J792,'p1'!$B$2:$C$30,2,0)</f>
        <v>NÃO TEM CHAPA</v>
      </c>
      <c r="R792" s="90"/>
      <c r="S792" s="90" t="s">
        <v>217</v>
      </c>
      <c r="T792" s="90">
        <f t="shared" si="64"/>
        <v>0</v>
      </c>
      <c r="U792" s="90"/>
      <c r="V792" s="90"/>
      <c r="W792" s="92"/>
      <c r="X792" s="93" t="str">
        <f t="shared" si="63"/>
        <v/>
      </c>
      <c r="Y792" s="92"/>
      <c r="Z792" s="92"/>
      <c r="AA792" s="13" t="str">
        <f t="shared" si="65"/>
        <v>jan/1900</v>
      </c>
    </row>
    <row r="793" spans="1:27" x14ac:dyDescent="0.25">
      <c r="A793" s="89">
        <v>792</v>
      </c>
      <c r="B793" s="68">
        <v>45818</v>
      </c>
      <c r="C793" s="40">
        <v>34</v>
      </c>
      <c r="D793" s="40">
        <f t="shared" si="66"/>
        <v>1</v>
      </c>
      <c r="E793" s="41" t="s">
        <v>1039</v>
      </c>
      <c r="F793" s="17" t="s">
        <v>58</v>
      </c>
      <c r="G793" s="17" t="s">
        <v>86</v>
      </c>
      <c r="H793" s="17">
        <v>48</v>
      </c>
      <c r="I793" s="17" t="str">
        <f t="shared" si="67"/>
        <v>PR_PN-48</v>
      </c>
      <c r="J793" s="18" t="s">
        <v>85</v>
      </c>
      <c r="K793" s="19" t="e">
        <f>IF(J793="","SEM #CH",VLOOKUP(J793,#REF!,2,0))</f>
        <v>#REF!</v>
      </c>
      <c r="L793" s="19" t="e">
        <f>IF(J793="","SEM #CH",VLOOKUP(J793,#REF!,3,0))</f>
        <v>#REF!</v>
      </c>
      <c r="M793" s="19" t="e">
        <f>IF(J793="","SEM #CH",VLOOKUP(J793,#REF!,4,0))</f>
        <v>#REF!</v>
      </c>
      <c r="N793" s="19" t="e">
        <f>IF(J793="","SEM #CH",VLOOKUP(J793,#REF!,5,0))</f>
        <v>#REF!</v>
      </c>
      <c r="O793" s="19" t="e">
        <f>IF(J793="","SEM #CH",VLOOKUP(J793,#REF!,6,0))</f>
        <v>#REF!</v>
      </c>
      <c r="P793" s="19" t="e">
        <f>IF(J793="","SEM #CH",VLOOKUP(J793,#REF!,7,0))</f>
        <v>#REF!</v>
      </c>
      <c r="Q793" s="77" t="str">
        <f>VLOOKUP(J793,'p1'!$B$2:$C$30,2,0)</f>
        <v>NÃO TEM CHAPA</v>
      </c>
      <c r="R793" s="90"/>
      <c r="S793" s="90" t="s">
        <v>217</v>
      </c>
      <c r="T793" s="90">
        <f t="shared" si="64"/>
        <v>0</v>
      </c>
      <c r="U793" s="90"/>
      <c r="V793" s="90"/>
      <c r="W793" s="92"/>
      <c r="X793" s="93" t="str">
        <f t="shared" si="63"/>
        <v/>
      </c>
      <c r="Y793" s="92"/>
      <c r="Z793" s="92"/>
      <c r="AA793" s="13" t="str">
        <f t="shared" si="65"/>
        <v>jan/1900</v>
      </c>
    </row>
    <row r="794" spans="1:27" x14ac:dyDescent="0.25">
      <c r="A794" s="89">
        <v>793</v>
      </c>
      <c r="B794" s="68">
        <v>45821</v>
      </c>
      <c r="C794" s="40">
        <v>35</v>
      </c>
      <c r="D794" s="40">
        <f t="shared" si="66"/>
        <v>1</v>
      </c>
      <c r="E794" s="41" t="s">
        <v>1039</v>
      </c>
      <c r="F794" s="17" t="s">
        <v>58</v>
      </c>
      <c r="G794" s="17" t="s">
        <v>86</v>
      </c>
      <c r="H794" s="17">
        <v>49</v>
      </c>
      <c r="I794" s="17" t="str">
        <f t="shared" si="67"/>
        <v>PR_PN-49</v>
      </c>
      <c r="J794" s="18" t="s">
        <v>85</v>
      </c>
      <c r="K794" s="19" t="e">
        <f>IF(J794="","SEM #CH",VLOOKUP(J794,#REF!,2,0))</f>
        <v>#REF!</v>
      </c>
      <c r="L794" s="19" t="e">
        <f>IF(J794="","SEM #CH",VLOOKUP(J794,#REF!,3,0))</f>
        <v>#REF!</v>
      </c>
      <c r="M794" s="19" t="e">
        <f>IF(J794="","SEM #CH",VLOOKUP(J794,#REF!,4,0))</f>
        <v>#REF!</v>
      </c>
      <c r="N794" s="19" t="e">
        <f>IF(J794="","SEM #CH",VLOOKUP(J794,#REF!,5,0))</f>
        <v>#REF!</v>
      </c>
      <c r="O794" s="19" t="e">
        <f>IF(J794="","SEM #CH",VLOOKUP(J794,#REF!,6,0))</f>
        <v>#REF!</v>
      </c>
      <c r="P794" s="19" t="e">
        <f>IF(J794="","SEM #CH",VLOOKUP(J794,#REF!,7,0))</f>
        <v>#REF!</v>
      </c>
      <c r="Q794" s="77" t="str">
        <f>VLOOKUP(J794,'p1'!$B$2:$C$30,2,0)</f>
        <v>NÃO TEM CHAPA</v>
      </c>
      <c r="R794" s="90"/>
      <c r="S794" s="90" t="s">
        <v>217</v>
      </c>
      <c r="T794" s="90">
        <f t="shared" si="64"/>
        <v>0</v>
      </c>
      <c r="U794" s="90"/>
      <c r="V794" s="90"/>
      <c r="W794" s="92"/>
      <c r="X794" s="93" t="str">
        <f t="shared" si="63"/>
        <v/>
      </c>
      <c r="Y794" s="92"/>
      <c r="Z794" s="92"/>
      <c r="AA794" s="13" t="str">
        <f t="shared" si="65"/>
        <v>jan/1900</v>
      </c>
    </row>
    <row r="795" spans="1:27" x14ac:dyDescent="0.25">
      <c r="A795" s="89">
        <v>794</v>
      </c>
      <c r="B795" s="68">
        <v>45827</v>
      </c>
      <c r="C795" s="40">
        <v>37</v>
      </c>
      <c r="D795" s="40">
        <f t="shared" si="66"/>
        <v>1</v>
      </c>
      <c r="E795" s="41" t="s">
        <v>1039</v>
      </c>
      <c r="F795" s="17" t="s">
        <v>58</v>
      </c>
      <c r="G795" s="17" t="s">
        <v>86</v>
      </c>
      <c r="H795" s="17">
        <v>50</v>
      </c>
      <c r="I795" s="17" t="str">
        <f t="shared" si="67"/>
        <v>PR_PN-50</v>
      </c>
      <c r="J795" s="18" t="s">
        <v>85</v>
      </c>
      <c r="K795" s="19" t="e">
        <f>IF(J795="","SEM #CH",VLOOKUP(J795,#REF!,2,0))</f>
        <v>#REF!</v>
      </c>
      <c r="L795" s="19" t="e">
        <f>IF(J795="","SEM #CH",VLOOKUP(J795,#REF!,3,0))</f>
        <v>#REF!</v>
      </c>
      <c r="M795" s="19" t="e">
        <f>IF(J795="","SEM #CH",VLOOKUP(J795,#REF!,4,0))</f>
        <v>#REF!</v>
      </c>
      <c r="N795" s="19" t="e">
        <f>IF(J795="","SEM #CH",VLOOKUP(J795,#REF!,5,0))</f>
        <v>#REF!</v>
      </c>
      <c r="O795" s="19" t="e">
        <f>IF(J795="","SEM #CH",VLOOKUP(J795,#REF!,6,0))</f>
        <v>#REF!</v>
      </c>
      <c r="P795" s="19" t="e">
        <f>IF(J795="","SEM #CH",VLOOKUP(J795,#REF!,7,0))</f>
        <v>#REF!</v>
      </c>
      <c r="Q795" s="77" t="str">
        <f>VLOOKUP(J795,'p1'!$B$2:$C$30,2,0)</f>
        <v>NÃO TEM CHAPA</v>
      </c>
      <c r="R795" s="90"/>
      <c r="S795" s="90" t="s">
        <v>217</v>
      </c>
      <c r="T795" s="90">
        <f t="shared" si="64"/>
        <v>0</v>
      </c>
      <c r="U795" s="90"/>
      <c r="V795" s="90"/>
      <c r="W795" s="92"/>
      <c r="X795" s="93" t="str">
        <f t="shared" si="63"/>
        <v/>
      </c>
      <c r="Y795" s="92"/>
      <c r="Z795" s="92"/>
      <c r="AA795" s="13" t="str">
        <f t="shared" si="65"/>
        <v>jan/1900</v>
      </c>
    </row>
    <row r="796" spans="1:27" x14ac:dyDescent="0.25">
      <c r="A796" s="89">
        <v>795</v>
      </c>
      <c r="B796" s="68">
        <v>45839</v>
      </c>
      <c r="C796" s="40">
        <v>42</v>
      </c>
      <c r="D796" s="40">
        <f t="shared" si="66"/>
        <v>1</v>
      </c>
      <c r="E796" s="41" t="s">
        <v>1039</v>
      </c>
      <c r="F796" s="17" t="s">
        <v>123</v>
      </c>
      <c r="G796" s="17" t="s">
        <v>86</v>
      </c>
      <c r="H796" s="17">
        <v>51</v>
      </c>
      <c r="I796" s="17" t="str">
        <f t="shared" si="67"/>
        <v>PR_PNI-51</v>
      </c>
      <c r="J796" s="18" t="s">
        <v>123</v>
      </c>
      <c r="K796" s="19" t="e">
        <f>IF(J796="","SEM #CH",VLOOKUP(J796,#REF!,2,0))</f>
        <v>#REF!</v>
      </c>
      <c r="L796" s="19" t="e">
        <f>IF(J796="","SEM #CH",VLOOKUP(J796,#REF!,3,0))</f>
        <v>#REF!</v>
      </c>
      <c r="M796" s="19" t="e">
        <f>IF(J796="","SEM #CH",VLOOKUP(J796,#REF!,4,0))</f>
        <v>#REF!</v>
      </c>
      <c r="N796" s="19" t="e">
        <f>IF(J796="","SEM #CH",VLOOKUP(J796,#REF!,5,0))</f>
        <v>#REF!</v>
      </c>
      <c r="O796" s="19" t="e">
        <f>IF(J796="","SEM #CH",VLOOKUP(J796,#REF!,6,0))</f>
        <v>#REF!</v>
      </c>
      <c r="P796" s="19" t="e">
        <f>IF(J796="","SEM #CH",VLOOKUP(J796,#REF!,7,0))</f>
        <v>#REF!</v>
      </c>
      <c r="Q796" s="77" t="str">
        <f>VLOOKUP(J796,'p1'!$B$2:$C$30,2,0)</f>
        <v>02- 150X150 #3/8</v>
      </c>
      <c r="R796" s="94">
        <v>45853</v>
      </c>
      <c r="S796" s="90" t="s">
        <v>218</v>
      </c>
      <c r="T796" s="90">
        <f t="shared" si="64"/>
        <v>1</v>
      </c>
      <c r="U796" s="94">
        <v>45856</v>
      </c>
      <c r="V796" s="90" t="s">
        <v>86</v>
      </c>
      <c r="W796" s="92">
        <v>2450</v>
      </c>
      <c r="X796" s="93">
        <f t="shared" si="63"/>
        <v>1</v>
      </c>
      <c r="Y796" s="92">
        <v>700</v>
      </c>
      <c r="Z796" s="92"/>
      <c r="AA796" s="13" t="str">
        <f t="shared" si="65"/>
        <v>jul/2025</v>
      </c>
    </row>
    <row r="797" spans="1:27" x14ac:dyDescent="0.25">
      <c r="A797" s="89">
        <v>796</v>
      </c>
      <c r="B797" s="68">
        <v>45828</v>
      </c>
      <c r="C797" s="40">
        <v>38</v>
      </c>
      <c r="D797" s="40">
        <f t="shared" si="66"/>
        <v>1</v>
      </c>
      <c r="E797" s="41" t="s">
        <v>1039</v>
      </c>
      <c r="F797" s="17" t="s">
        <v>58</v>
      </c>
      <c r="G797" s="17" t="s">
        <v>86</v>
      </c>
      <c r="H797" s="17">
        <v>52</v>
      </c>
      <c r="I797" s="17" t="str">
        <f t="shared" si="67"/>
        <v>PR_PN-52</v>
      </c>
      <c r="J797" s="18" t="s">
        <v>85</v>
      </c>
      <c r="K797" s="19" t="e">
        <f>IF(J797="","SEM #CH",VLOOKUP(J797,#REF!,2,0))</f>
        <v>#REF!</v>
      </c>
      <c r="L797" s="19" t="e">
        <f>IF(J797="","SEM #CH",VLOOKUP(J797,#REF!,3,0))</f>
        <v>#REF!</v>
      </c>
      <c r="M797" s="19" t="e">
        <f>IF(J797="","SEM #CH",VLOOKUP(J797,#REF!,4,0))</f>
        <v>#REF!</v>
      </c>
      <c r="N797" s="19" t="e">
        <f>IF(J797="","SEM #CH",VLOOKUP(J797,#REF!,5,0))</f>
        <v>#REF!</v>
      </c>
      <c r="O797" s="19" t="e">
        <f>IF(J797="","SEM #CH",VLOOKUP(J797,#REF!,6,0))</f>
        <v>#REF!</v>
      </c>
      <c r="P797" s="19" t="e">
        <f>IF(J797="","SEM #CH",VLOOKUP(J797,#REF!,7,0))</f>
        <v>#REF!</v>
      </c>
      <c r="Q797" s="77" t="str">
        <f>VLOOKUP(J797,'p1'!$B$2:$C$30,2,0)</f>
        <v>NÃO TEM CHAPA</v>
      </c>
      <c r="R797" s="94">
        <v>45847</v>
      </c>
      <c r="S797" s="90" t="s">
        <v>218</v>
      </c>
      <c r="T797" s="90">
        <f t="shared" si="64"/>
        <v>1</v>
      </c>
      <c r="U797" s="94">
        <v>45847</v>
      </c>
      <c r="V797" s="90" t="s">
        <v>1042</v>
      </c>
      <c r="W797" s="92">
        <v>2437</v>
      </c>
      <c r="X797" s="93">
        <f t="shared" si="63"/>
        <v>1</v>
      </c>
      <c r="Y797" s="92"/>
      <c r="Z797" s="92"/>
      <c r="AA797" s="13" t="str">
        <f t="shared" si="65"/>
        <v>jul/2025</v>
      </c>
    </row>
    <row r="798" spans="1:27" x14ac:dyDescent="0.25">
      <c r="A798" s="89">
        <v>797</v>
      </c>
      <c r="B798" s="68">
        <v>45828</v>
      </c>
      <c r="C798" s="40">
        <v>38</v>
      </c>
      <c r="D798" s="40">
        <f t="shared" si="66"/>
        <v>1</v>
      </c>
      <c r="E798" s="41" t="s">
        <v>1039</v>
      </c>
      <c r="F798" s="17" t="s">
        <v>58</v>
      </c>
      <c r="G798" s="17" t="s">
        <v>86</v>
      </c>
      <c r="H798" s="17">
        <v>53</v>
      </c>
      <c r="I798" s="17" t="str">
        <f t="shared" si="67"/>
        <v>PR_PN-53</v>
      </c>
      <c r="J798" s="18" t="s">
        <v>85</v>
      </c>
      <c r="K798" s="19" t="e">
        <f>IF(J798="","SEM #CH",VLOOKUP(J798,#REF!,2,0))</f>
        <v>#REF!</v>
      </c>
      <c r="L798" s="19" t="e">
        <f>IF(J798="","SEM #CH",VLOOKUP(J798,#REF!,3,0))</f>
        <v>#REF!</v>
      </c>
      <c r="M798" s="19" t="e">
        <f>IF(J798="","SEM #CH",VLOOKUP(J798,#REF!,4,0))</f>
        <v>#REF!</v>
      </c>
      <c r="N798" s="19" t="e">
        <f>IF(J798="","SEM #CH",VLOOKUP(J798,#REF!,5,0))</f>
        <v>#REF!</v>
      </c>
      <c r="O798" s="19" t="e">
        <f>IF(J798="","SEM #CH",VLOOKUP(J798,#REF!,6,0))</f>
        <v>#REF!</v>
      </c>
      <c r="P798" s="19" t="e">
        <f>IF(J798="","SEM #CH",VLOOKUP(J798,#REF!,7,0))</f>
        <v>#REF!</v>
      </c>
      <c r="Q798" s="77" t="str">
        <f>VLOOKUP(J798,'p1'!$B$2:$C$30,2,0)</f>
        <v>NÃO TEM CHAPA</v>
      </c>
      <c r="R798" s="90"/>
      <c r="S798" s="90" t="s">
        <v>218</v>
      </c>
      <c r="T798" s="90">
        <f t="shared" si="64"/>
        <v>0</v>
      </c>
      <c r="U798" s="90"/>
      <c r="V798" s="90"/>
      <c r="W798" s="92"/>
      <c r="X798" s="93" t="str">
        <f t="shared" si="63"/>
        <v/>
      </c>
      <c r="Y798" s="92"/>
      <c r="Z798" s="92"/>
      <c r="AA798" s="13" t="str">
        <f t="shared" si="65"/>
        <v>jan/1900</v>
      </c>
    </row>
    <row r="799" spans="1:27" x14ac:dyDescent="0.25">
      <c r="A799" s="89">
        <v>798</v>
      </c>
      <c r="B799" s="68">
        <v>45828</v>
      </c>
      <c r="C799" s="40">
        <v>38</v>
      </c>
      <c r="D799" s="40">
        <f t="shared" si="66"/>
        <v>1</v>
      </c>
      <c r="E799" s="41" t="s">
        <v>1039</v>
      </c>
      <c r="F799" s="17" t="s">
        <v>58</v>
      </c>
      <c r="G799" s="17" t="s">
        <v>86</v>
      </c>
      <c r="H799" s="17">
        <v>54</v>
      </c>
      <c r="I799" s="17" t="str">
        <f t="shared" si="67"/>
        <v>PR_PN-54</v>
      </c>
      <c r="J799" s="18" t="s">
        <v>85</v>
      </c>
      <c r="K799" s="19" t="e">
        <f>IF(J799="","SEM #CH",VLOOKUP(J799,#REF!,2,0))</f>
        <v>#REF!</v>
      </c>
      <c r="L799" s="19" t="e">
        <f>IF(J799="","SEM #CH",VLOOKUP(J799,#REF!,3,0))</f>
        <v>#REF!</v>
      </c>
      <c r="M799" s="19" t="e">
        <f>IF(J799="","SEM #CH",VLOOKUP(J799,#REF!,4,0))</f>
        <v>#REF!</v>
      </c>
      <c r="N799" s="19" t="e">
        <f>IF(J799="","SEM #CH",VLOOKUP(J799,#REF!,5,0))</f>
        <v>#REF!</v>
      </c>
      <c r="O799" s="19" t="e">
        <f>IF(J799="","SEM #CH",VLOOKUP(J799,#REF!,6,0))</f>
        <v>#REF!</v>
      </c>
      <c r="P799" s="19" t="e">
        <f>IF(J799="","SEM #CH",VLOOKUP(J799,#REF!,7,0))</f>
        <v>#REF!</v>
      </c>
      <c r="Q799" s="77" t="str">
        <f>VLOOKUP(J799,'p1'!$B$2:$C$30,2,0)</f>
        <v>NÃO TEM CHAPA</v>
      </c>
      <c r="R799" s="94">
        <v>45856</v>
      </c>
      <c r="S799" s="90" t="s">
        <v>218</v>
      </c>
      <c r="T799" s="90">
        <f t="shared" si="64"/>
        <v>1</v>
      </c>
      <c r="U799" s="94">
        <v>45856</v>
      </c>
      <c r="V799" s="90" t="s">
        <v>86</v>
      </c>
      <c r="W799" s="92">
        <v>2451</v>
      </c>
      <c r="X799" s="93">
        <f t="shared" si="63"/>
        <v>1</v>
      </c>
      <c r="Y799" s="92"/>
      <c r="Z799" s="92"/>
      <c r="AA799" s="13" t="str">
        <f t="shared" si="65"/>
        <v>jul/2025</v>
      </c>
    </row>
    <row r="800" spans="1:27" x14ac:dyDescent="0.25">
      <c r="A800" s="89">
        <v>799</v>
      </c>
      <c r="B800" s="68">
        <v>45828</v>
      </c>
      <c r="C800" s="40">
        <v>38</v>
      </c>
      <c r="D800" s="40">
        <f t="shared" si="66"/>
        <v>1</v>
      </c>
      <c r="E800" s="41" t="s">
        <v>1039</v>
      </c>
      <c r="F800" s="17" t="s">
        <v>58</v>
      </c>
      <c r="G800" s="17" t="s">
        <v>86</v>
      </c>
      <c r="H800" s="17">
        <v>55</v>
      </c>
      <c r="I800" s="17" t="str">
        <f t="shared" si="67"/>
        <v>PR_PN-55</v>
      </c>
      <c r="J800" s="18" t="s">
        <v>85</v>
      </c>
      <c r="K800" s="19" t="e">
        <f>IF(J800="","SEM #CH",VLOOKUP(J800,#REF!,2,0))</f>
        <v>#REF!</v>
      </c>
      <c r="L800" s="19" t="e">
        <f>IF(J800="","SEM #CH",VLOOKUP(J800,#REF!,3,0))</f>
        <v>#REF!</v>
      </c>
      <c r="M800" s="19" t="e">
        <f>IF(J800="","SEM #CH",VLOOKUP(J800,#REF!,4,0))</f>
        <v>#REF!</v>
      </c>
      <c r="N800" s="19" t="e">
        <f>IF(J800="","SEM #CH",VLOOKUP(J800,#REF!,5,0))</f>
        <v>#REF!</v>
      </c>
      <c r="O800" s="19" t="e">
        <f>IF(J800="","SEM #CH",VLOOKUP(J800,#REF!,6,0))</f>
        <v>#REF!</v>
      </c>
      <c r="P800" s="19" t="e">
        <f>IF(J800="","SEM #CH",VLOOKUP(J800,#REF!,7,0))</f>
        <v>#REF!</v>
      </c>
      <c r="Q800" s="77" t="str">
        <f>VLOOKUP(J800,'p1'!$B$2:$C$30,2,0)</f>
        <v>NÃO TEM CHAPA</v>
      </c>
      <c r="R800" s="94">
        <v>45843</v>
      </c>
      <c r="S800" s="90" t="s">
        <v>218</v>
      </c>
      <c r="T800" s="90">
        <f t="shared" si="64"/>
        <v>1</v>
      </c>
      <c r="U800" s="94">
        <v>45847</v>
      </c>
      <c r="V800" s="90" t="s">
        <v>86</v>
      </c>
      <c r="W800" s="92">
        <v>2436</v>
      </c>
      <c r="X800" s="93">
        <f t="shared" si="63"/>
        <v>1</v>
      </c>
      <c r="Y800" s="92"/>
      <c r="Z800" s="92"/>
      <c r="AA800" s="13" t="str">
        <f t="shared" si="65"/>
        <v>jul/2025</v>
      </c>
    </row>
    <row r="801" spans="1:27" x14ac:dyDescent="0.25">
      <c r="A801" s="89">
        <v>800</v>
      </c>
      <c r="B801" s="68">
        <v>45828</v>
      </c>
      <c r="C801" s="40">
        <v>38</v>
      </c>
      <c r="D801" s="40">
        <f t="shared" si="66"/>
        <v>1</v>
      </c>
      <c r="E801" s="41" t="s">
        <v>1039</v>
      </c>
      <c r="F801" s="17" t="s">
        <v>58</v>
      </c>
      <c r="G801" s="17" t="s">
        <v>86</v>
      </c>
      <c r="H801" s="17">
        <v>56</v>
      </c>
      <c r="I801" s="17" t="str">
        <f t="shared" si="67"/>
        <v>PR_PN-56</v>
      </c>
      <c r="J801" s="18" t="s">
        <v>85</v>
      </c>
      <c r="K801" s="19" t="e">
        <f>IF(J801="","SEM #CH",VLOOKUP(J801,#REF!,2,0))</f>
        <v>#REF!</v>
      </c>
      <c r="L801" s="19" t="e">
        <f>IF(J801="","SEM #CH",VLOOKUP(J801,#REF!,3,0))</f>
        <v>#REF!</v>
      </c>
      <c r="M801" s="19" t="e">
        <f>IF(J801="","SEM #CH",VLOOKUP(J801,#REF!,4,0))</f>
        <v>#REF!</v>
      </c>
      <c r="N801" s="19" t="e">
        <f>IF(J801="","SEM #CH",VLOOKUP(J801,#REF!,5,0))</f>
        <v>#REF!</v>
      </c>
      <c r="O801" s="19" t="e">
        <f>IF(J801="","SEM #CH",VLOOKUP(J801,#REF!,6,0))</f>
        <v>#REF!</v>
      </c>
      <c r="P801" s="19" t="e">
        <f>IF(J801="","SEM #CH",VLOOKUP(J801,#REF!,7,0))</f>
        <v>#REF!</v>
      </c>
      <c r="Q801" s="77" t="str">
        <f>VLOOKUP(J801,'p1'!$B$2:$C$30,2,0)</f>
        <v>NÃO TEM CHAPA</v>
      </c>
      <c r="R801" s="94">
        <v>45845</v>
      </c>
      <c r="S801" s="90" t="s">
        <v>218</v>
      </c>
      <c r="T801" s="90">
        <f t="shared" si="64"/>
        <v>1</v>
      </c>
      <c r="U801" s="94">
        <v>45847</v>
      </c>
      <c r="V801" s="90" t="s">
        <v>86</v>
      </c>
      <c r="W801" s="92">
        <v>2436</v>
      </c>
      <c r="X801" s="93">
        <f t="shared" si="63"/>
        <v>1</v>
      </c>
      <c r="Y801" s="92"/>
      <c r="Z801" s="92"/>
      <c r="AA801" s="13" t="str">
        <f t="shared" si="65"/>
        <v>jul/2025</v>
      </c>
    </row>
    <row r="802" spans="1:27" x14ac:dyDescent="0.25">
      <c r="A802" s="89">
        <v>801</v>
      </c>
      <c r="B802" s="68">
        <v>45839</v>
      </c>
      <c r="C802" s="40">
        <v>42</v>
      </c>
      <c r="D802" s="40">
        <f t="shared" si="66"/>
        <v>1</v>
      </c>
      <c r="E802" s="41" t="s">
        <v>1039</v>
      </c>
      <c r="F802" s="17" t="s">
        <v>123</v>
      </c>
      <c r="G802" s="17" t="s">
        <v>86</v>
      </c>
      <c r="H802" s="17">
        <v>57</v>
      </c>
      <c r="I802" s="17" t="str">
        <f t="shared" si="67"/>
        <v>PR_PNI-57</v>
      </c>
      <c r="J802" s="18" t="s">
        <v>123</v>
      </c>
      <c r="K802" s="19" t="e">
        <f>IF(J802="","SEM #CH",VLOOKUP(J802,#REF!,2,0))</f>
        <v>#REF!</v>
      </c>
      <c r="L802" s="19" t="e">
        <f>IF(J802="","SEM #CH",VLOOKUP(J802,#REF!,3,0))</f>
        <v>#REF!</v>
      </c>
      <c r="M802" s="19" t="e">
        <f>IF(J802="","SEM #CH",VLOOKUP(J802,#REF!,4,0))</f>
        <v>#REF!</v>
      </c>
      <c r="N802" s="19" t="e">
        <f>IF(J802="","SEM #CH",VLOOKUP(J802,#REF!,5,0))</f>
        <v>#REF!</v>
      </c>
      <c r="O802" s="19" t="e">
        <f>IF(J802="","SEM #CH",VLOOKUP(J802,#REF!,6,0))</f>
        <v>#REF!</v>
      </c>
      <c r="P802" s="19" t="e">
        <f>IF(J802="","SEM #CH",VLOOKUP(J802,#REF!,7,0))</f>
        <v>#REF!</v>
      </c>
      <c r="Q802" s="77" t="str">
        <f>VLOOKUP(J802,'p1'!$B$2:$C$30,2,0)</f>
        <v>02- 150X150 #3/8</v>
      </c>
      <c r="R802" s="94">
        <v>45862</v>
      </c>
      <c r="S802" s="90" t="s">
        <v>218</v>
      </c>
      <c r="T802" s="90">
        <f t="shared" si="64"/>
        <v>1</v>
      </c>
      <c r="U802" s="94">
        <v>45870</v>
      </c>
      <c r="V802" s="90" t="s">
        <v>86</v>
      </c>
      <c r="W802" s="92">
        <v>2464</v>
      </c>
      <c r="X802" s="93">
        <f t="shared" si="63"/>
        <v>1</v>
      </c>
      <c r="Y802" s="92">
        <v>700</v>
      </c>
      <c r="Z802" s="92"/>
      <c r="AA802" s="13" t="str">
        <f t="shared" si="65"/>
        <v>jul/2025</v>
      </c>
    </row>
    <row r="803" spans="1:27" x14ac:dyDescent="0.25">
      <c r="A803" s="89">
        <v>802</v>
      </c>
      <c r="B803" s="68">
        <v>45828</v>
      </c>
      <c r="C803" s="40">
        <v>38</v>
      </c>
      <c r="D803" s="40">
        <f t="shared" si="66"/>
        <v>1</v>
      </c>
      <c r="E803" s="41" t="s">
        <v>1039</v>
      </c>
      <c r="F803" s="17" t="s">
        <v>58</v>
      </c>
      <c r="G803" s="17" t="s">
        <v>86</v>
      </c>
      <c r="H803" s="17">
        <v>58</v>
      </c>
      <c r="I803" s="17" t="str">
        <f t="shared" si="67"/>
        <v>PR_PN-58</v>
      </c>
      <c r="J803" s="18" t="s">
        <v>85</v>
      </c>
      <c r="K803" s="19" t="e">
        <f>IF(J803="","SEM #CH",VLOOKUP(J803,#REF!,2,0))</f>
        <v>#REF!</v>
      </c>
      <c r="L803" s="19" t="e">
        <f>IF(J803="","SEM #CH",VLOOKUP(J803,#REF!,3,0))</f>
        <v>#REF!</v>
      </c>
      <c r="M803" s="19" t="e">
        <f>IF(J803="","SEM #CH",VLOOKUP(J803,#REF!,4,0))</f>
        <v>#REF!</v>
      </c>
      <c r="N803" s="19" t="e">
        <f>IF(J803="","SEM #CH",VLOOKUP(J803,#REF!,5,0))</f>
        <v>#REF!</v>
      </c>
      <c r="O803" s="19" t="e">
        <f>IF(J803="","SEM #CH",VLOOKUP(J803,#REF!,6,0))</f>
        <v>#REF!</v>
      </c>
      <c r="P803" s="19" t="e">
        <f>IF(J803="","SEM #CH",VLOOKUP(J803,#REF!,7,0))</f>
        <v>#REF!</v>
      </c>
      <c r="Q803" s="77" t="str">
        <f>VLOOKUP(J803,'p1'!$B$2:$C$30,2,0)</f>
        <v>NÃO TEM CHAPA</v>
      </c>
      <c r="R803" s="94">
        <v>45876</v>
      </c>
      <c r="S803" s="90" t="s">
        <v>218</v>
      </c>
      <c r="T803" s="90">
        <f t="shared" si="64"/>
        <v>1</v>
      </c>
      <c r="U803" s="94">
        <v>45884</v>
      </c>
      <c r="V803" s="90" t="s">
        <v>86</v>
      </c>
      <c r="W803" s="92">
        <v>2473</v>
      </c>
      <c r="X803" s="93">
        <f t="shared" si="63"/>
        <v>1</v>
      </c>
      <c r="Y803" s="92">
        <v>700</v>
      </c>
      <c r="Z803" s="92"/>
      <c r="AA803" s="13" t="str">
        <f t="shared" si="65"/>
        <v>ago/2025</v>
      </c>
    </row>
    <row r="804" spans="1:27" x14ac:dyDescent="0.25">
      <c r="A804" s="89">
        <v>803</v>
      </c>
      <c r="B804" s="68">
        <v>45828</v>
      </c>
      <c r="C804" s="40">
        <v>38</v>
      </c>
      <c r="D804" s="40">
        <f t="shared" si="66"/>
        <v>1</v>
      </c>
      <c r="E804" s="41" t="s">
        <v>1039</v>
      </c>
      <c r="F804" s="17" t="s">
        <v>58</v>
      </c>
      <c r="G804" s="17" t="s">
        <v>86</v>
      </c>
      <c r="H804" s="17">
        <v>59</v>
      </c>
      <c r="I804" s="17" t="str">
        <f t="shared" si="67"/>
        <v>PR_PN-59</v>
      </c>
      <c r="J804" s="18" t="s">
        <v>85</v>
      </c>
      <c r="K804" s="19" t="e">
        <f>IF(J804="","SEM #CH",VLOOKUP(J804,#REF!,2,0))</f>
        <v>#REF!</v>
      </c>
      <c r="L804" s="19" t="e">
        <f>IF(J804="","SEM #CH",VLOOKUP(J804,#REF!,3,0))</f>
        <v>#REF!</v>
      </c>
      <c r="M804" s="19" t="e">
        <f>IF(J804="","SEM #CH",VLOOKUP(J804,#REF!,4,0))</f>
        <v>#REF!</v>
      </c>
      <c r="N804" s="19" t="e">
        <f>IF(J804="","SEM #CH",VLOOKUP(J804,#REF!,5,0))</f>
        <v>#REF!</v>
      </c>
      <c r="O804" s="19" t="e">
        <f>IF(J804="","SEM #CH",VLOOKUP(J804,#REF!,6,0))</f>
        <v>#REF!</v>
      </c>
      <c r="P804" s="19" t="e">
        <f>IF(J804="","SEM #CH",VLOOKUP(J804,#REF!,7,0))</f>
        <v>#REF!</v>
      </c>
      <c r="Q804" s="77" t="str">
        <f>VLOOKUP(J804,'p1'!$B$2:$C$30,2,0)</f>
        <v>NÃO TEM CHAPA</v>
      </c>
      <c r="R804" s="94">
        <v>45845</v>
      </c>
      <c r="S804" s="90" t="s">
        <v>218</v>
      </c>
      <c r="T804" s="90">
        <f t="shared" si="64"/>
        <v>1</v>
      </c>
      <c r="U804" s="94">
        <v>45847</v>
      </c>
      <c r="V804" s="90" t="s">
        <v>1042</v>
      </c>
      <c r="W804" s="92">
        <v>2437</v>
      </c>
      <c r="X804" s="93">
        <f t="shared" si="63"/>
        <v>1</v>
      </c>
      <c r="Y804" s="92">
        <v>700</v>
      </c>
      <c r="Z804" s="92"/>
      <c r="AA804" s="13" t="str">
        <f t="shared" si="65"/>
        <v>jul/2025</v>
      </c>
    </row>
    <row r="805" spans="1:27" x14ac:dyDescent="0.25">
      <c r="A805" s="89">
        <v>804</v>
      </c>
      <c r="B805" s="68">
        <v>45828</v>
      </c>
      <c r="C805" s="40">
        <v>38</v>
      </c>
      <c r="D805" s="40">
        <f t="shared" si="66"/>
        <v>1</v>
      </c>
      <c r="E805" s="41" t="s">
        <v>1039</v>
      </c>
      <c r="F805" s="17" t="s">
        <v>58</v>
      </c>
      <c r="G805" s="17" t="s">
        <v>86</v>
      </c>
      <c r="H805" s="17">
        <v>60</v>
      </c>
      <c r="I805" s="17" t="str">
        <f t="shared" si="67"/>
        <v>PR_PN-60</v>
      </c>
      <c r="J805" s="18" t="s">
        <v>85</v>
      </c>
      <c r="K805" s="19" t="e">
        <f>IF(J805="","SEM #CH",VLOOKUP(J805,#REF!,2,0))</f>
        <v>#REF!</v>
      </c>
      <c r="L805" s="19" t="e">
        <f>IF(J805="","SEM #CH",VLOOKUP(J805,#REF!,3,0))</f>
        <v>#REF!</v>
      </c>
      <c r="M805" s="19" t="e">
        <f>IF(J805="","SEM #CH",VLOOKUP(J805,#REF!,4,0))</f>
        <v>#REF!</v>
      </c>
      <c r="N805" s="19" t="e">
        <f>IF(J805="","SEM #CH",VLOOKUP(J805,#REF!,5,0))</f>
        <v>#REF!</v>
      </c>
      <c r="O805" s="19" t="e">
        <f>IF(J805="","SEM #CH",VLOOKUP(J805,#REF!,6,0))</f>
        <v>#REF!</v>
      </c>
      <c r="P805" s="19" t="e">
        <f>IF(J805="","SEM #CH",VLOOKUP(J805,#REF!,7,0))</f>
        <v>#REF!</v>
      </c>
      <c r="Q805" s="77" t="str">
        <f>VLOOKUP(J805,'p1'!$B$2:$C$30,2,0)</f>
        <v>NÃO TEM CHAPA</v>
      </c>
      <c r="R805" s="94">
        <v>45855</v>
      </c>
      <c r="S805" s="90" t="s">
        <v>218</v>
      </c>
      <c r="T805" s="90">
        <f t="shared" si="64"/>
        <v>1</v>
      </c>
      <c r="U805" s="94">
        <v>45856</v>
      </c>
      <c r="V805" s="90" t="s">
        <v>86</v>
      </c>
      <c r="W805" s="92">
        <v>2450</v>
      </c>
      <c r="X805" s="93">
        <f t="shared" si="63"/>
        <v>1</v>
      </c>
      <c r="Y805" s="92">
        <v>700</v>
      </c>
      <c r="Z805" s="92"/>
      <c r="AA805" s="13" t="str">
        <f t="shared" si="65"/>
        <v>jul/2025</v>
      </c>
    </row>
    <row r="806" spans="1:27" x14ac:dyDescent="0.25">
      <c r="A806" s="89">
        <v>805</v>
      </c>
      <c r="B806" s="68">
        <v>45828</v>
      </c>
      <c r="C806" s="40">
        <v>38</v>
      </c>
      <c r="D806" s="40">
        <f t="shared" si="66"/>
        <v>1</v>
      </c>
      <c r="E806" s="41" t="s">
        <v>1039</v>
      </c>
      <c r="F806" s="17" t="s">
        <v>58</v>
      </c>
      <c r="G806" s="17" t="s">
        <v>86</v>
      </c>
      <c r="H806" s="17">
        <v>61</v>
      </c>
      <c r="I806" s="17" t="str">
        <f t="shared" si="67"/>
        <v>PR_PN-61</v>
      </c>
      <c r="J806" s="18" t="s">
        <v>85</v>
      </c>
      <c r="K806" s="19" t="e">
        <f>IF(J806="","SEM #CH",VLOOKUP(J806,#REF!,2,0))</f>
        <v>#REF!</v>
      </c>
      <c r="L806" s="19" t="e">
        <f>IF(J806="","SEM #CH",VLOOKUP(J806,#REF!,3,0))</f>
        <v>#REF!</v>
      </c>
      <c r="M806" s="19" t="e">
        <f>IF(J806="","SEM #CH",VLOOKUP(J806,#REF!,4,0))</f>
        <v>#REF!</v>
      </c>
      <c r="N806" s="19" t="e">
        <f>IF(J806="","SEM #CH",VLOOKUP(J806,#REF!,5,0))</f>
        <v>#REF!</v>
      </c>
      <c r="O806" s="19" t="e">
        <f>IF(J806="","SEM #CH",VLOOKUP(J806,#REF!,6,0))</f>
        <v>#REF!</v>
      </c>
      <c r="P806" s="19" t="e">
        <f>IF(J806="","SEM #CH",VLOOKUP(J806,#REF!,7,0))</f>
        <v>#REF!</v>
      </c>
      <c r="Q806" s="77" t="str">
        <f>VLOOKUP(J806,'p1'!$B$2:$C$30,2,0)</f>
        <v>NÃO TEM CHAPA</v>
      </c>
      <c r="R806" s="90"/>
      <c r="S806" s="90" t="s">
        <v>218</v>
      </c>
      <c r="T806" s="90">
        <f t="shared" si="64"/>
        <v>0</v>
      </c>
      <c r="U806" s="90"/>
      <c r="V806" s="90"/>
      <c r="W806" s="92"/>
      <c r="X806" s="93" t="str">
        <f t="shared" si="63"/>
        <v/>
      </c>
      <c r="Y806" s="92">
        <v>700</v>
      </c>
      <c r="Z806" s="92"/>
      <c r="AA806" s="13" t="str">
        <f t="shared" si="65"/>
        <v>jan/1900</v>
      </c>
    </row>
    <row r="807" spans="1:27" x14ac:dyDescent="0.25">
      <c r="A807" s="89">
        <v>806</v>
      </c>
      <c r="B807" s="68">
        <v>45833</v>
      </c>
      <c r="C807" s="40">
        <v>39</v>
      </c>
      <c r="D807" s="40">
        <f t="shared" ref="D807:D833" si="68">IF(B807&gt;0,1,"")</f>
        <v>1</v>
      </c>
      <c r="E807" s="41" t="s">
        <v>1039</v>
      </c>
      <c r="F807" s="17" t="s">
        <v>58</v>
      </c>
      <c r="G807" s="17" t="s">
        <v>86</v>
      </c>
      <c r="H807" s="17">
        <v>62</v>
      </c>
      <c r="I807" s="17" t="str">
        <f t="shared" ref="I807:I809" si="69">_xlfn.CONCAT("PR_",F807,G807,H807)</f>
        <v>PR_PN-62</v>
      </c>
      <c r="J807" s="18" t="s">
        <v>85</v>
      </c>
      <c r="K807" s="19" t="e">
        <f>IF(J807="","SEM #CH",VLOOKUP(J807,#REF!,2,0))</f>
        <v>#REF!</v>
      </c>
      <c r="L807" s="19" t="e">
        <f>IF(J807="","SEM #CH",VLOOKUP(J807,#REF!,3,0))</f>
        <v>#REF!</v>
      </c>
      <c r="M807" s="19" t="e">
        <f>IF(J807="","SEM #CH",VLOOKUP(J807,#REF!,4,0))</f>
        <v>#REF!</v>
      </c>
      <c r="N807" s="19" t="e">
        <f>IF(J807="","SEM #CH",VLOOKUP(J807,#REF!,5,0))</f>
        <v>#REF!</v>
      </c>
      <c r="O807" s="19" t="e">
        <f>IF(J807="","SEM #CH",VLOOKUP(J807,#REF!,6,0))</f>
        <v>#REF!</v>
      </c>
      <c r="P807" s="19" t="e">
        <f>IF(J807="","SEM #CH",VLOOKUP(J807,#REF!,7,0))</f>
        <v>#REF!</v>
      </c>
      <c r="Q807" s="77" t="str">
        <f>VLOOKUP(J807,'p1'!$B$2:$C$30,2,0)</f>
        <v>NÃO TEM CHAPA</v>
      </c>
      <c r="R807" s="90"/>
      <c r="S807" s="90" t="s">
        <v>217</v>
      </c>
      <c r="T807" s="90">
        <f t="shared" si="64"/>
        <v>0</v>
      </c>
      <c r="U807" s="90"/>
      <c r="V807" s="90"/>
      <c r="W807" s="92"/>
      <c r="X807" s="93" t="str">
        <f t="shared" si="63"/>
        <v/>
      </c>
      <c r="Y807" s="92">
        <v>700</v>
      </c>
      <c r="Z807" s="92"/>
      <c r="AA807" s="13" t="str">
        <f t="shared" si="65"/>
        <v>jan/1900</v>
      </c>
    </row>
    <row r="808" spans="1:27" x14ac:dyDescent="0.25">
      <c r="A808" s="89">
        <v>807</v>
      </c>
      <c r="B808" s="68">
        <v>45842</v>
      </c>
      <c r="C808" s="40">
        <v>45</v>
      </c>
      <c r="D808" s="40">
        <f t="shared" si="68"/>
        <v>1</v>
      </c>
      <c r="E808" s="41" t="s">
        <v>1039</v>
      </c>
      <c r="F808" s="17" t="s">
        <v>123</v>
      </c>
      <c r="G808" s="17" t="s">
        <v>86</v>
      </c>
      <c r="H808" s="17">
        <v>63</v>
      </c>
      <c r="I808" s="17" t="str">
        <f t="shared" si="69"/>
        <v>PR_PNI-63</v>
      </c>
      <c r="J808" s="18" t="s">
        <v>123</v>
      </c>
      <c r="K808" s="19" t="e">
        <f>IF(J808="","SEM #CH",VLOOKUP(J808,#REF!,2,0))</f>
        <v>#REF!</v>
      </c>
      <c r="L808" s="19" t="e">
        <f>IF(J808="","SEM #CH",VLOOKUP(J808,#REF!,3,0))</f>
        <v>#REF!</v>
      </c>
      <c r="M808" s="19" t="e">
        <f>IF(J808="","SEM #CH",VLOOKUP(J808,#REF!,4,0))</f>
        <v>#REF!</v>
      </c>
      <c r="N808" s="19" t="e">
        <f>IF(J808="","SEM #CH",VLOOKUP(J808,#REF!,5,0))</f>
        <v>#REF!</v>
      </c>
      <c r="O808" s="19" t="s">
        <v>122</v>
      </c>
      <c r="P808" s="19" t="e">
        <f>IF(J808="","SEM #CH",VLOOKUP(J808,#REF!,7,0))</f>
        <v>#REF!</v>
      </c>
      <c r="Q808" s="77" t="str">
        <f>VLOOKUP(J808,'p1'!$B$2:$C$30,2,0)</f>
        <v>02- 150X150 #3/8</v>
      </c>
      <c r="R808" s="90"/>
      <c r="S808" s="90" t="s">
        <v>218</v>
      </c>
      <c r="T808" s="90">
        <f t="shared" si="64"/>
        <v>0</v>
      </c>
      <c r="U808" s="90"/>
      <c r="V808" s="90"/>
      <c r="W808" s="92"/>
      <c r="X808" s="93" t="str">
        <f t="shared" si="63"/>
        <v/>
      </c>
      <c r="Y808" s="92">
        <v>700</v>
      </c>
      <c r="Z808" s="92"/>
      <c r="AA808" s="13" t="str">
        <f t="shared" si="65"/>
        <v>jan/1900</v>
      </c>
    </row>
    <row r="809" spans="1:27" x14ac:dyDescent="0.25">
      <c r="A809" s="89">
        <v>808</v>
      </c>
      <c r="B809" s="68">
        <v>45834</v>
      </c>
      <c r="C809" s="40">
        <v>40</v>
      </c>
      <c r="D809" s="40">
        <f t="shared" si="68"/>
        <v>1</v>
      </c>
      <c r="E809" s="41" t="s">
        <v>1039</v>
      </c>
      <c r="F809" s="17" t="s">
        <v>58</v>
      </c>
      <c r="G809" s="17" t="s">
        <v>86</v>
      </c>
      <c r="H809" s="17">
        <v>64</v>
      </c>
      <c r="I809" s="17" t="str">
        <f t="shared" si="69"/>
        <v>PR_PN-64</v>
      </c>
      <c r="J809" s="18" t="s">
        <v>85</v>
      </c>
      <c r="K809" s="19" t="e">
        <f>IF(J809="","SEM #CH",VLOOKUP(J809,#REF!,2,0))</f>
        <v>#REF!</v>
      </c>
      <c r="L809" s="19" t="e">
        <f>IF(J809="","SEM #CH",VLOOKUP(J809,#REF!,3,0))</f>
        <v>#REF!</v>
      </c>
      <c r="M809" s="19" t="e">
        <f>IF(J809="","SEM #CH",VLOOKUP(J809,#REF!,4,0))</f>
        <v>#REF!</v>
      </c>
      <c r="N809" s="19" t="e">
        <f>IF(J809="","SEM #CH",VLOOKUP(J809,#REF!,5,0))</f>
        <v>#REF!</v>
      </c>
      <c r="O809" s="19" t="e">
        <f>IF(J809="","SEM #CH",VLOOKUP(J809,#REF!,6,0))</f>
        <v>#REF!</v>
      </c>
      <c r="P809" s="19" t="e">
        <f>IF(J809="","SEM #CH",VLOOKUP(J809,#REF!,7,0))</f>
        <v>#REF!</v>
      </c>
      <c r="Q809" s="77" t="str">
        <f>VLOOKUP(J809,'p1'!$B$2:$C$30,2,0)</f>
        <v>NÃO TEM CHAPA</v>
      </c>
      <c r="R809" s="94">
        <v>45856</v>
      </c>
      <c r="S809" s="90" t="s">
        <v>218</v>
      </c>
      <c r="T809" s="90">
        <f t="shared" si="64"/>
        <v>1</v>
      </c>
      <c r="U809" s="94">
        <v>45856</v>
      </c>
      <c r="V809" s="90" t="s">
        <v>86</v>
      </c>
      <c r="W809" s="92">
        <v>2451</v>
      </c>
      <c r="X809" s="93">
        <f t="shared" si="63"/>
        <v>1</v>
      </c>
      <c r="Y809" s="92">
        <v>700</v>
      </c>
      <c r="Z809" s="92"/>
      <c r="AA809" s="13" t="str">
        <f t="shared" si="65"/>
        <v>jul/2025</v>
      </c>
    </row>
    <row r="810" spans="1:27" x14ac:dyDescent="0.25">
      <c r="A810" s="89">
        <v>809</v>
      </c>
      <c r="B810" s="68">
        <v>45834</v>
      </c>
      <c r="C810" s="40">
        <v>40</v>
      </c>
      <c r="D810" s="40">
        <f t="shared" si="68"/>
        <v>1</v>
      </c>
      <c r="E810" s="41" t="s">
        <v>1039</v>
      </c>
      <c r="F810" s="17" t="s">
        <v>58</v>
      </c>
      <c r="G810" s="17" t="s">
        <v>86</v>
      </c>
      <c r="H810" s="17">
        <v>65</v>
      </c>
      <c r="I810" s="160" t="str">
        <f t="shared" ref="I810:I841" si="70">_xlfn.CONCAT("PR_",F810,G810,H810)</f>
        <v>PR_PN-65</v>
      </c>
      <c r="J810" s="18" t="s">
        <v>85</v>
      </c>
      <c r="K810" s="19" t="e">
        <f>IF(J810="","SEM #CH",VLOOKUP(J810,#REF!,2,0))</f>
        <v>#REF!</v>
      </c>
      <c r="L810" s="19" t="e">
        <f>IF(J810="","SEM #CH",VLOOKUP(J810,#REF!,3,0))</f>
        <v>#REF!</v>
      </c>
      <c r="M810" s="19" t="e">
        <f>IF(J810="","SEM #CH",VLOOKUP(J810,#REF!,4,0))</f>
        <v>#REF!</v>
      </c>
      <c r="N810" s="19" t="e">
        <f>IF(J810="","SEM #CH",VLOOKUP(J810,#REF!,5,0))</f>
        <v>#REF!</v>
      </c>
      <c r="O810" s="19" t="e">
        <f>IF(J810="","SEM #CH",VLOOKUP(J810,#REF!,6,0))</f>
        <v>#REF!</v>
      </c>
      <c r="P810" s="19" t="e">
        <f>IF(J810="","SEM #CH",VLOOKUP(J810,#REF!,7,0))</f>
        <v>#REF!</v>
      </c>
      <c r="Q810" s="77" t="str">
        <f>VLOOKUP(J810,'p1'!$B$2:$C$30,2,0)</f>
        <v>NÃO TEM CHAPA</v>
      </c>
      <c r="R810" s="94">
        <v>45875</v>
      </c>
      <c r="S810" s="90" t="s">
        <v>218</v>
      </c>
      <c r="T810" s="90">
        <f t="shared" si="64"/>
        <v>1</v>
      </c>
      <c r="U810" s="90"/>
      <c r="V810" s="90"/>
      <c r="W810" s="92"/>
      <c r="X810" s="93" t="str">
        <f t="shared" si="63"/>
        <v/>
      </c>
      <c r="Y810" s="92">
        <v>700</v>
      </c>
      <c r="Z810" s="92" t="s">
        <v>1057</v>
      </c>
      <c r="AA810" s="13" t="str">
        <f t="shared" si="65"/>
        <v>ago/2025</v>
      </c>
    </row>
    <row r="811" spans="1:27" x14ac:dyDescent="0.25">
      <c r="A811" s="89">
        <v>810</v>
      </c>
      <c r="B811" s="68">
        <v>45834</v>
      </c>
      <c r="C811" s="40">
        <v>40</v>
      </c>
      <c r="D811" s="40">
        <f t="shared" si="68"/>
        <v>1</v>
      </c>
      <c r="E811" s="41" t="s">
        <v>1039</v>
      </c>
      <c r="F811" s="17" t="s">
        <v>58</v>
      </c>
      <c r="G811" s="17" t="s">
        <v>86</v>
      </c>
      <c r="H811" s="17">
        <v>66</v>
      </c>
      <c r="I811" s="17" t="str">
        <f t="shared" si="70"/>
        <v>PR_PN-66</v>
      </c>
      <c r="J811" s="18" t="s">
        <v>85</v>
      </c>
      <c r="K811" s="19" t="e">
        <f>IF(J811="","SEM #CH",VLOOKUP(J811,#REF!,2,0))</f>
        <v>#REF!</v>
      </c>
      <c r="L811" s="19" t="e">
        <f>IF(J811="","SEM #CH",VLOOKUP(J811,#REF!,3,0))</f>
        <v>#REF!</v>
      </c>
      <c r="M811" s="19" t="e">
        <f>IF(J811="","SEM #CH",VLOOKUP(J811,#REF!,4,0))</f>
        <v>#REF!</v>
      </c>
      <c r="N811" s="19" t="e">
        <f>IF(J811="","SEM #CH",VLOOKUP(J811,#REF!,5,0))</f>
        <v>#REF!</v>
      </c>
      <c r="O811" s="19" t="e">
        <f>IF(J811="","SEM #CH",VLOOKUP(J811,#REF!,6,0))</f>
        <v>#REF!</v>
      </c>
      <c r="P811" s="19" t="e">
        <f>IF(J811="","SEM #CH",VLOOKUP(J811,#REF!,7,0))</f>
        <v>#REF!</v>
      </c>
      <c r="Q811" s="77" t="str">
        <f>VLOOKUP(J811,'p1'!$B$2:$C$30,2,0)</f>
        <v>NÃO TEM CHAPA</v>
      </c>
      <c r="R811" s="94">
        <v>45864</v>
      </c>
      <c r="S811" s="90" t="s">
        <v>218</v>
      </c>
      <c r="T811" s="90">
        <f t="shared" si="64"/>
        <v>1</v>
      </c>
      <c r="U811" s="94">
        <v>45870</v>
      </c>
      <c r="V811" s="90" t="s">
        <v>86</v>
      </c>
      <c r="W811" s="92">
        <v>2464</v>
      </c>
      <c r="X811" s="93">
        <f t="shared" si="63"/>
        <v>1</v>
      </c>
      <c r="Y811" s="92">
        <v>700</v>
      </c>
      <c r="Z811" s="92"/>
      <c r="AA811" s="13" t="str">
        <f t="shared" si="65"/>
        <v>jul/2025</v>
      </c>
    </row>
    <row r="812" spans="1:27" x14ac:dyDescent="0.25">
      <c r="A812" s="89">
        <v>811</v>
      </c>
      <c r="B812" s="68">
        <v>45834</v>
      </c>
      <c r="C812" s="40">
        <v>40</v>
      </c>
      <c r="D812" s="40">
        <f t="shared" si="68"/>
        <v>1</v>
      </c>
      <c r="E812" s="41" t="s">
        <v>1039</v>
      </c>
      <c r="F812" s="17" t="s">
        <v>58</v>
      </c>
      <c r="G812" s="17" t="s">
        <v>86</v>
      </c>
      <c r="H812" s="17">
        <v>67</v>
      </c>
      <c r="I812" s="17" t="str">
        <f t="shared" si="70"/>
        <v>PR_PN-67</v>
      </c>
      <c r="J812" s="18" t="s">
        <v>85</v>
      </c>
      <c r="K812" s="19" t="e">
        <f>IF(J812="","SEM #CH",VLOOKUP(J812,#REF!,2,0))</f>
        <v>#REF!</v>
      </c>
      <c r="L812" s="19" t="e">
        <f>IF(J812="","SEM #CH",VLOOKUP(J812,#REF!,3,0))</f>
        <v>#REF!</v>
      </c>
      <c r="M812" s="19" t="e">
        <f>IF(J812="","SEM #CH",VLOOKUP(J812,#REF!,4,0))</f>
        <v>#REF!</v>
      </c>
      <c r="N812" s="19" t="e">
        <f>IF(J812="","SEM #CH",VLOOKUP(J812,#REF!,5,0))</f>
        <v>#REF!</v>
      </c>
      <c r="O812" s="19" t="e">
        <f>IF(J812="","SEM #CH",VLOOKUP(J812,#REF!,6,0))</f>
        <v>#REF!</v>
      </c>
      <c r="P812" s="19" t="e">
        <f>IF(J812="","SEM #CH",VLOOKUP(J812,#REF!,7,0))</f>
        <v>#REF!</v>
      </c>
      <c r="Q812" s="77" t="str">
        <f>VLOOKUP(J812,'p1'!$B$2:$C$30,2,0)</f>
        <v>NÃO TEM CHAPA</v>
      </c>
      <c r="R812" s="94">
        <v>45860</v>
      </c>
      <c r="S812" s="90" t="s">
        <v>218</v>
      </c>
      <c r="T812" s="90">
        <f t="shared" si="64"/>
        <v>1</v>
      </c>
      <c r="U812" s="94">
        <v>45869</v>
      </c>
      <c r="V812" s="90" t="s">
        <v>86</v>
      </c>
      <c r="W812" s="92">
        <v>2461</v>
      </c>
      <c r="X812" s="93">
        <f t="shared" si="63"/>
        <v>1</v>
      </c>
      <c r="Y812" s="92">
        <v>700</v>
      </c>
      <c r="Z812" s="92"/>
      <c r="AA812" s="13" t="str">
        <f t="shared" si="65"/>
        <v>jul/2025</v>
      </c>
    </row>
    <row r="813" spans="1:27" x14ac:dyDescent="0.25">
      <c r="A813" s="89">
        <v>812</v>
      </c>
      <c r="B813" s="68">
        <v>45834</v>
      </c>
      <c r="C813" s="40">
        <v>40</v>
      </c>
      <c r="D813" s="40">
        <f t="shared" si="68"/>
        <v>1</v>
      </c>
      <c r="E813" s="41" t="s">
        <v>1039</v>
      </c>
      <c r="F813" s="17" t="s">
        <v>58</v>
      </c>
      <c r="G813" s="17" t="s">
        <v>86</v>
      </c>
      <c r="H813" s="17">
        <v>68</v>
      </c>
      <c r="I813" s="17" t="str">
        <f t="shared" si="70"/>
        <v>PR_PN-68</v>
      </c>
      <c r="J813" s="18" t="s">
        <v>85</v>
      </c>
      <c r="K813" s="19" t="e">
        <f>IF(J813="","SEM #CH",VLOOKUP(J813,#REF!,2,0))</f>
        <v>#REF!</v>
      </c>
      <c r="L813" s="19" t="e">
        <f>IF(J813="","SEM #CH",VLOOKUP(J813,#REF!,3,0))</f>
        <v>#REF!</v>
      </c>
      <c r="M813" s="19" t="e">
        <f>IF(J813="","SEM #CH",VLOOKUP(J813,#REF!,4,0))</f>
        <v>#REF!</v>
      </c>
      <c r="N813" s="19" t="e">
        <f>IF(J813="","SEM #CH",VLOOKUP(J813,#REF!,5,0))</f>
        <v>#REF!</v>
      </c>
      <c r="O813" s="19" t="e">
        <f>IF(J813="","SEM #CH",VLOOKUP(J813,#REF!,6,0))</f>
        <v>#REF!</v>
      </c>
      <c r="P813" s="19" t="e">
        <f>IF(J813="","SEM #CH",VLOOKUP(J813,#REF!,7,0))</f>
        <v>#REF!</v>
      </c>
      <c r="Q813" s="77" t="str">
        <f>VLOOKUP(J813,'p1'!$B$2:$C$30,2,0)</f>
        <v>NÃO TEM CHAPA</v>
      </c>
      <c r="R813" s="94">
        <v>45839</v>
      </c>
      <c r="S813" s="90" t="s">
        <v>218</v>
      </c>
      <c r="T813" s="90">
        <f t="shared" si="64"/>
        <v>1</v>
      </c>
      <c r="U813" s="94">
        <v>45848</v>
      </c>
      <c r="V813" s="90" t="s">
        <v>86</v>
      </c>
      <c r="W813" s="92">
        <v>2438</v>
      </c>
      <c r="X813" s="93">
        <f t="shared" si="63"/>
        <v>1</v>
      </c>
      <c r="Y813" s="92">
        <v>700</v>
      </c>
      <c r="Z813" s="92"/>
      <c r="AA813" s="13" t="str">
        <f t="shared" si="65"/>
        <v>jul/2025</v>
      </c>
    </row>
    <row r="814" spans="1:27" x14ac:dyDescent="0.25">
      <c r="A814" s="89">
        <v>813</v>
      </c>
      <c r="B814" s="68">
        <v>45842</v>
      </c>
      <c r="C814" s="40">
        <v>45</v>
      </c>
      <c r="D814" s="40">
        <f t="shared" si="68"/>
        <v>1</v>
      </c>
      <c r="E814" s="41" t="s">
        <v>1039</v>
      </c>
      <c r="F814" s="17" t="s">
        <v>123</v>
      </c>
      <c r="G814" s="17" t="s">
        <v>86</v>
      </c>
      <c r="H814" s="17">
        <v>69</v>
      </c>
      <c r="I814" s="17" t="str">
        <f t="shared" si="70"/>
        <v>PR_PNI-69</v>
      </c>
      <c r="J814" s="18" t="s">
        <v>123</v>
      </c>
      <c r="K814" s="19" t="e">
        <f>IF(J814="","SEM #CH",VLOOKUP(J814,#REF!,2,0))</f>
        <v>#REF!</v>
      </c>
      <c r="L814" s="19" t="e">
        <f>IF(J814="","SEM #CH",VLOOKUP(J814,#REF!,3,0))</f>
        <v>#REF!</v>
      </c>
      <c r="M814" s="19" t="e">
        <f>IF(J814="","SEM #CH",VLOOKUP(J814,#REF!,4,0))</f>
        <v>#REF!</v>
      </c>
      <c r="N814" s="19" t="e">
        <f>IF(J814="","SEM #CH",VLOOKUP(J814,#REF!,5,0))</f>
        <v>#REF!</v>
      </c>
      <c r="O814" s="19" t="e">
        <f>IF(J814="","SEM #CH",VLOOKUP(J814,#REF!,6,0))</f>
        <v>#REF!</v>
      </c>
      <c r="P814" s="19" t="e">
        <f>IF(J814="","SEM #CH",VLOOKUP(J814,#REF!,7,0))</f>
        <v>#REF!</v>
      </c>
      <c r="Q814" s="77" t="str">
        <f>VLOOKUP(J814,'p1'!$B$2:$C$30,2,0)</f>
        <v>02- 150X150 #3/8</v>
      </c>
      <c r="R814" s="90"/>
      <c r="S814" s="90" t="s">
        <v>218</v>
      </c>
      <c r="T814" s="90">
        <f t="shared" si="64"/>
        <v>0</v>
      </c>
      <c r="U814" s="90"/>
      <c r="V814" s="90"/>
      <c r="W814" s="92"/>
      <c r="X814" s="93" t="str">
        <f t="shared" si="63"/>
        <v/>
      </c>
      <c r="Y814" s="92">
        <v>700</v>
      </c>
      <c r="Z814" s="92"/>
      <c r="AA814" s="13" t="str">
        <f t="shared" si="65"/>
        <v>jan/1900</v>
      </c>
    </row>
    <row r="815" spans="1:27" x14ac:dyDescent="0.25">
      <c r="A815" s="89">
        <v>814</v>
      </c>
      <c r="B815" s="68">
        <v>45814</v>
      </c>
      <c r="C815" s="40">
        <v>33</v>
      </c>
      <c r="D815" s="40">
        <f t="shared" si="68"/>
        <v>1</v>
      </c>
      <c r="E815" s="41" t="s">
        <v>1039</v>
      </c>
      <c r="F815" s="17" t="s">
        <v>61</v>
      </c>
      <c r="G815" s="17" t="s">
        <v>86</v>
      </c>
      <c r="H815" s="17">
        <v>70</v>
      </c>
      <c r="I815" s="17" t="str">
        <f t="shared" si="70"/>
        <v>PR_PF-70</v>
      </c>
      <c r="J815" s="18" t="s">
        <v>61</v>
      </c>
      <c r="K815" s="19" t="e">
        <f>IF(J815="","SEM #CH",VLOOKUP(J815,#REF!,2,0))</f>
        <v>#REF!</v>
      </c>
      <c r="L815" s="19" t="e">
        <f>IF(J815="","SEM #CH",VLOOKUP(J815,#REF!,3,0))</f>
        <v>#REF!</v>
      </c>
      <c r="M815" s="19" t="e">
        <f>IF(J815="","SEM #CH",VLOOKUP(J815,#REF!,4,0))</f>
        <v>#REF!</v>
      </c>
      <c r="N815" s="19" t="e">
        <f>IF(J815="","SEM #CH",VLOOKUP(J815,#REF!,5,0))</f>
        <v>#REF!</v>
      </c>
      <c r="O815" s="19" t="e">
        <f>IF(J815="","SEM #CH",VLOOKUP(J815,#REF!,6,0))</f>
        <v>#REF!</v>
      </c>
      <c r="P815" s="19" t="e">
        <f>IF(J815="","SEM #CH",VLOOKUP(J815,#REF!,7,0))</f>
        <v>#REF!</v>
      </c>
      <c r="Q815" s="77" t="str">
        <f>VLOOKUP(J815,'p1'!$B$2:$C$30,2,0)</f>
        <v>SEM CHAPA</v>
      </c>
      <c r="R815" s="90"/>
      <c r="S815" s="90" t="s">
        <v>217</v>
      </c>
      <c r="T815" s="90">
        <f t="shared" si="64"/>
        <v>0</v>
      </c>
      <c r="U815" s="90"/>
      <c r="V815" s="90"/>
      <c r="W815" s="92"/>
      <c r="X815" s="93" t="str">
        <f t="shared" si="63"/>
        <v/>
      </c>
      <c r="Y815" s="92">
        <v>700</v>
      </c>
      <c r="Z815" s="92"/>
      <c r="AA815" s="13" t="str">
        <f t="shared" si="65"/>
        <v>jan/1900</v>
      </c>
    </row>
    <row r="816" spans="1:27" x14ac:dyDescent="0.25">
      <c r="A816" s="89">
        <v>815</v>
      </c>
      <c r="B816" s="68">
        <v>45834</v>
      </c>
      <c r="C816" s="40">
        <v>40</v>
      </c>
      <c r="D816" s="40">
        <f t="shared" si="68"/>
        <v>1</v>
      </c>
      <c r="E816" s="41" t="s">
        <v>1039</v>
      </c>
      <c r="F816" s="17" t="s">
        <v>58</v>
      </c>
      <c r="G816" s="17" t="s">
        <v>86</v>
      </c>
      <c r="H816" s="17">
        <v>71</v>
      </c>
      <c r="I816" s="17" t="str">
        <f t="shared" si="70"/>
        <v>PR_PN-71</v>
      </c>
      <c r="J816" s="18" t="s">
        <v>85</v>
      </c>
      <c r="K816" s="19" t="e">
        <f>IF(J816="","SEM #CH",VLOOKUP(J816,#REF!,2,0))</f>
        <v>#REF!</v>
      </c>
      <c r="L816" s="19" t="e">
        <f>IF(J816="","SEM #CH",VLOOKUP(J816,#REF!,3,0))</f>
        <v>#REF!</v>
      </c>
      <c r="M816" s="19" t="e">
        <f>IF(J816="","SEM #CH",VLOOKUP(J816,#REF!,4,0))</f>
        <v>#REF!</v>
      </c>
      <c r="N816" s="19" t="e">
        <f>IF(J816="","SEM #CH",VLOOKUP(J816,#REF!,5,0))</f>
        <v>#REF!</v>
      </c>
      <c r="O816" s="19" t="e">
        <f>IF(J816="","SEM #CH",VLOOKUP(J816,#REF!,6,0))</f>
        <v>#REF!</v>
      </c>
      <c r="P816" s="19" t="e">
        <f>IF(J816="","SEM #CH",VLOOKUP(J816,#REF!,7,0))</f>
        <v>#REF!</v>
      </c>
      <c r="Q816" s="77" t="str">
        <f>VLOOKUP(J816,'p1'!$B$2:$C$30,2,0)</f>
        <v>NÃO TEM CHAPA</v>
      </c>
      <c r="R816" s="94">
        <v>45843</v>
      </c>
      <c r="S816" s="90" t="s">
        <v>218</v>
      </c>
      <c r="T816" s="90">
        <f t="shared" si="64"/>
        <v>1</v>
      </c>
      <c r="U816" s="94">
        <v>45847</v>
      </c>
      <c r="V816" s="90" t="s">
        <v>86</v>
      </c>
      <c r="W816" s="92">
        <v>2436</v>
      </c>
      <c r="X816" s="93">
        <f t="shared" si="63"/>
        <v>1</v>
      </c>
      <c r="Y816" s="92">
        <v>700</v>
      </c>
      <c r="Z816" s="92"/>
      <c r="AA816" s="13" t="str">
        <f t="shared" si="65"/>
        <v>jul/2025</v>
      </c>
    </row>
    <row r="817" spans="1:27" x14ac:dyDescent="0.25">
      <c r="A817" s="89">
        <v>816</v>
      </c>
      <c r="B817" s="68">
        <v>45834</v>
      </c>
      <c r="C817" s="40">
        <v>40</v>
      </c>
      <c r="D817" s="40">
        <f t="shared" si="68"/>
        <v>1</v>
      </c>
      <c r="E817" s="41" t="s">
        <v>1039</v>
      </c>
      <c r="F817" s="17" t="s">
        <v>58</v>
      </c>
      <c r="G817" s="17" t="s">
        <v>86</v>
      </c>
      <c r="H817" s="17">
        <v>72</v>
      </c>
      <c r="I817" s="17" t="str">
        <f t="shared" si="70"/>
        <v>PR_PN-72</v>
      </c>
      <c r="J817" s="18" t="s">
        <v>85</v>
      </c>
      <c r="K817" s="19" t="e">
        <f>IF(J817="","SEM #CH",VLOOKUP(J817,#REF!,2,0))</f>
        <v>#REF!</v>
      </c>
      <c r="L817" s="19" t="e">
        <f>IF(J817="","SEM #CH",VLOOKUP(J817,#REF!,3,0))</f>
        <v>#REF!</v>
      </c>
      <c r="M817" s="19" t="e">
        <f>IF(J817="","SEM #CH",VLOOKUP(J817,#REF!,4,0))</f>
        <v>#REF!</v>
      </c>
      <c r="N817" s="19" t="e">
        <f>IF(J817="","SEM #CH",VLOOKUP(J817,#REF!,5,0))</f>
        <v>#REF!</v>
      </c>
      <c r="O817" s="19" t="e">
        <f>IF(J817="","SEM #CH",VLOOKUP(J817,#REF!,6,0))</f>
        <v>#REF!</v>
      </c>
      <c r="P817" s="19" t="e">
        <f>IF(J817="","SEM #CH",VLOOKUP(J817,#REF!,7,0))</f>
        <v>#REF!</v>
      </c>
      <c r="Q817" s="77" t="str">
        <f>VLOOKUP(J817,'p1'!$B$2:$C$30,2,0)</f>
        <v>NÃO TEM CHAPA</v>
      </c>
      <c r="R817" s="94">
        <v>45843</v>
      </c>
      <c r="S817" s="90" t="s">
        <v>218</v>
      </c>
      <c r="T817" s="90">
        <f t="shared" si="64"/>
        <v>1</v>
      </c>
      <c r="U817" s="94">
        <v>45847</v>
      </c>
      <c r="V817" s="90" t="s">
        <v>86</v>
      </c>
      <c r="W817" s="92">
        <v>2436</v>
      </c>
      <c r="X817" s="93">
        <f t="shared" si="63"/>
        <v>1</v>
      </c>
      <c r="Y817" s="92">
        <v>700</v>
      </c>
      <c r="Z817" s="92"/>
      <c r="AA817" s="13" t="str">
        <f t="shared" si="65"/>
        <v>jul/2025</v>
      </c>
    </row>
    <row r="818" spans="1:27" x14ac:dyDescent="0.25">
      <c r="A818" s="89">
        <v>817</v>
      </c>
      <c r="B818" s="68">
        <v>45834</v>
      </c>
      <c r="C818" s="40">
        <v>40</v>
      </c>
      <c r="D818" s="40">
        <f t="shared" si="68"/>
        <v>1</v>
      </c>
      <c r="E818" s="41" t="s">
        <v>1039</v>
      </c>
      <c r="F818" s="17" t="s">
        <v>58</v>
      </c>
      <c r="G818" s="17" t="s">
        <v>86</v>
      </c>
      <c r="H818" s="17">
        <v>73</v>
      </c>
      <c r="I818" s="17" t="str">
        <f t="shared" si="70"/>
        <v>PR_PN-73</v>
      </c>
      <c r="J818" s="18" t="s">
        <v>85</v>
      </c>
      <c r="K818" s="19" t="e">
        <f>IF(J818="","SEM #CH",VLOOKUP(J818,#REF!,2,0))</f>
        <v>#REF!</v>
      </c>
      <c r="L818" s="19" t="e">
        <f>IF(J818="","SEM #CH",VLOOKUP(J818,#REF!,3,0))</f>
        <v>#REF!</v>
      </c>
      <c r="M818" s="19" t="e">
        <f>IF(J818="","SEM #CH",VLOOKUP(J818,#REF!,4,0))</f>
        <v>#REF!</v>
      </c>
      <c r="N818" s="19" t="e">
        <f>IF(J818="","SEM #CH",VLOOKUP(J818,#REF!,5,0))</f>
        <v>#REF!</v>
      </c>
      <c r="O818" s="19" t="e">
        <f>IF(J818="","SEM #CH",VLOOKUP(J818,#REF!,6,0))</f>
        <v>#REF!</v>
      </c>
      <c r="P818" s="19" t="e">
        <f>IF(J818="","SEM #CH",VLOOKUP(J818,#REF!,7,0))</f>
        <v>#REF!</v>
      </c>
      <c r="Q818" s="77" t="str">
        <f>VLOOKUP(J818,'p1'!$B$2:$C$30,2,0)</f>
        <v>NÃO TEM CHAPA</v>
      </c>
      <c r="R818" s="94">
        <v>45839</v>
      </c>
      <c r="S818" s="90" t="s">
        <v>218</v>
      </c>
      <c r="T818" s="90">
        <f t="shared" si="64"/>
        <v>1</v>
      </c>
      <c r="U818" s="94">
        <v>45848</v>
      </c>
      <c r="V818" s="90" t="s">
        <v>86</v>
      </c>
      <c r="W818" s="92">
        <v>2438</v>
      </c>
      <c r="X818" s="93">
        <f t="shared" si="63"/>
        <v>1</v>
      </c>
      <c r="Y818" s="92">
        <v>700</v>
      </c>
      <c r="Z818" s="92"/>
      <c r="AA818" s="13" t="str">
        <f t="shared" si="65"/>
        <v>jul/2025</v>
      </c>
    </row>
    <row r="819" spans="1:27" x14ac:dyDescent="0.25">
      <c r="A819" s="89">
        <v>818</v>
      </c>
      <c r="B819" s="68">
        <v>45834</v>
      </c>
      <c r="C819" s="40">
        <v>40</v>
      </c>
      <c r="D819" s="40">
        <f t="shared" si="68"/>
        <v>1</v>
      </c>
      <c r="E819" s="41" t="s">
        <v>1039</v>
      </c>
      <c r="F819" s="17" t="s">
        <v>58</v>
      </c>
      <c r="G819" s="17" t="s">
        <v>86</v>
      </c>
      <c r="H819" s="17">
        <v>74</v>
      </c>
      <c r="I819" s="17" t="str">
        <f t="shared" si="70"/>
        <v>PR_PN-74</v>
      </c>
      <c r="J819" s="18" t="s">
        <v>85</v>
      </c>
      <c r="K819" s="19" t="e">
        <f>IF(J819="","SEM #CH",VLOOKUP(J819,#REF!,2,0))</f>
        <v>#REF!</v>
      </c>
      <c r="L819" s="19" t="e">
        <f>IF(J819="","SEM #CH",VLOOKUP(J819,#REF!,3,0))</f>
        <v>#REF!</v>
      </c>
      <c r="M819" s="19" t="e">
        <f>IF(J819="","SEM #CH",VLOOKUP(J819,#REF!,4,0))</f>
        <v>#REF!</v>
      </c>
      <c r="N819" s="19" t="e">
        <f>IF(J819="","SEM #CH",VLOOKUP(J819,#REF!,5,0))</f>
        <v>#REF!</v>
      </c>
      <c r="O819" s="19" t="e">
        <f>IF(J819="","SEM #CH",VLOOKUP(J819,#REF!,6,0))</f>
        <v>#REF!</v>
      </c>
      <c r="P819" s="19" t="e">
        <f>IF(J819="","SEM #CH",VLOOKUP(J819,#REF!,7,0))</f>
        <v>#REF!</v>
      </c>
      <c r="Q819" s="77" t="str">
        <f>VLOOKUP(J819,'p1'!$B$2:$C$30,2,0)</f>
        <v>NÃO TEM CHAPA</v>
      </c>
      <c r="R819" s="94">
        <v>45856</v>
      </c>
      <c r="S819" s="90" t="s">
        <v>218</v>
      </c>
      <c r="T819" s="90">
        <f t="shared" si="64"/>
        <v>1</v>
      </c>
      <c r="U819" s="94">
        <v>45869</v>
      </c>
      <c r="V819" s="90" t="s">
        <v>86</v>
      </c>
      <c r="W819" s="92">
        <v>2461</v>
      </c>
      <c r="X819" s="93">
        <f t="shared" si="63"/>
        <v>1</v>
      </c>
      <c r="Y819" s="92">
        <v>700</v>
      </c>
      <c r="Z819" s="92"/>
      <c r="AA819" s="13" t="str">
        <f t="shared" si="65"/>
        <v>jul/2025</v>
      </c>
    </row>
    <row r="820" spans="1:27" x14ac:dyDescent="0.25">
      <c r="A820" s="89">
        <v>819</v>
      </c>
      <c r="B820" s="68">
        <v>45842</v>
      </c>
      <c r="C820" s="40">
        <v>45</v>
      </c>
      <c r="D820" s="40">
        <f t="shared" si="68"/>
        <v>1</v>
      </c>
      <c r="E820" s="41" t="s">
        <v>1040</v>
      </c>
      <c r="F820" s="17" t="s">
        <v>123</v>
      </c>
      <c r="G820" s="17" t="s">
        <v>86</v>
      </c>
      <c r="H820" s="17">
        <v>75</v>
      </c>
      <c r="I820" s="17" t="str">
        <f t="shared" si="70"/>
        <v>PR_PNI-75</v>
      </c>
      <c r="J820" s="18" t="s">
        <v>123</v>
      </c>
      <c r="K820" s="19" t="e">
        <f>IF(J820="","SEM #CH",VLOOKUP(J820,#REF!,2,0))</f>
        <v>#REF!</v>
      </c>
      <c r="L820" s="19" t="e">
        <f>IF(J820="","SEM #CH",VLOOKUP(J820,#REF!,3,0))</f>
        <v>#REF!</v>
      </c>
      <c r="M820" s="19" t="e">
        <f>IF(J820="","SEM #CH",VLOOKUP(J820,#REF!,4,0))</f>
        <v>#REF!</v>
      </c>
      <c r="N820" s="19" t="e">
        <f>IF(J820="","SEM #CH",VLOOKUP(J820,#REF!,5,0))</f>
        <v>#REF!</v>
      </c>
      <c r="O820" s="19" t="e">
        <f>IF(J820="","SEM #CH",VLOOKUP(J820,#REF!,6,0))</f>
        <v>#REF!</v>
      </c>
      <c r="P820" s="19" t="e">
        <f>IF(J820="","SEM #CH",VLOOKUP(J820,#REF!,7,0))</f>
        <v>#REF!</v>
      </c>
      <c r="Q820" s="77" t="str">
        <f>VLOOKUP(J820,'p1'!$B$2:$C$30,2,0)</f>
        <v>02- 150X150 #3/8</v>
      </c>
      <c r="R820" s="90"/>
      <c r="S820" s="90" t="s">
        <v>218</v>
      </c>
      <c r="T820" s="90">
        <f t="shared" si="64"/>
        <v>0</v>
      </c>
      <c r="U820" s="90"/>
      <c r="V820" s="90"/>
      <c r="W820" s="92"/>
      <c r="X820" s="93" t="str">
        <f t="shared" si="63"/>
        <v/>
      </c>
      <c r="Y820" s="92">
        <v>700</v>
      </c>
      <c r="Z820" s="92"/>
      <c r="AA820" s="13" t="str">
        <f t="shared" si="65"/>
        <v>jan/1900</v>
      </c>
    </row>
    <row r="821" spans="1:27" x14ac:dyDescent="0.25">
      <c r="A821" s="89">
        <v>820</v>
      </c>
      <c r="B821" s="68">
        <v>45839</v>
      </c>
      <c r="C821" s="40">
        <v>42</v>
      </c>
      <c r="D821" s="40">
        <f t="shared" si="68"/>
        <v>1</v>
      </c>
      <c r="E821" s="41" t="s">
        <v>1040</v>
      </c>
      <c r="F821" s="17" t="s">
        <v>58</v>
      </c>
      <c r="G821" s="17" t="s">
        <v>86</v>
      </c>
      <c r="H821" s="17">
        <v>76</v>
      </c>
      <c r="I821" s="17" t="str">
        <f t="shared" si="70"/>
        <v>PR_PN-76</v>
      </c>
      <c r="J821" s="18" t="s">
        <v>85</v>
      </c>
      <c r="K821" s="19" t="e">
        <f>IF(J821="","SEM #CH",VLOOKUP(J821,#REF!,2,0))</f>
        <v>#REF!</v>
      </c>
      <c r="L821" s="19" t="e">
        <f>IF(J821="","SEM #CH",VLOOKUP(J821,#REF!,3,0))</f>
        <v>#REF!</v>
      </c>
      <c r="M821" s="19" t="e">
        <f>IF(J821="","SEM #CH",VLOOKUP(J821,#REF!,4,0))</f>
        <v>#REF!</v>
      </c>
      <c r="N821" s="19" t="e">
        <f>IF(J821="","SEM #CH",VLOOKUP(J821,#REF!,5,0))</f>
        <v>#REF!</v>
      </c>
      <c r="O821" s="19" t="e">
        <f>IF(J821="","SEM #CH",VLOOKUP(J821,#REF!,6,0))</f>
        <v>#REF!</v>
      </c>
      <c r="P821" s="19" t="e">
        <f>IF(J821="","SEM #CH",VLOOKUP(J821,#REF!,7,0))</f>
        <v>#REF!</v>
      </c>
      <c r="Q821" s="77" t="str">
        <f>VLOOKUP(J821,'p1'!$B$2:$C$30,2,0)</f>
        <v>NÃO TEM CHAPA</v>
      </c>
      <c r="R821" s="94">
        <v>45860</v>
      </c>
      <c r="S821" s="90" t="s">
        <v>218</v>
      </c>
      <c r="T821" s="90">
        <f t="shared" si="64"/>
        <v>1</v>
      </c>
      <c r="U821" s="94">
        <v>45869</v>
      </c>
      <c r="V821" s="90" t="s">
        <v>86</v>
      </c>
      <c r="W821" s="92">
        <v>2461</v>
      </c>
      <c r="X821" s="93">
        <f t="shared" si="63"/>
        <v>1</v>
      </c>
      <c r="Y821" s="92">
        <v>700</v>
      </c>
      <c r="Z821" s="92"/>
      <c r="AA821" s="13" t="str">
        <f t="shared" si="65"/>
        <v>jul/2025</v>
      </c>
    </row>
    <row r="822" spans="1:27" x14ac:dyDescent="0.25">
      <c r="A822" s="89">
        <v>821</v>
      </c>
      <c r="B822" s="68">
        <v>45839</v>
      </c>
      <c r="C822" s="40">
        <v>42</v>
      </c>
      <c r="D822" s="40">
        <f t="shared" si="68"/>
        <v>1</v>
      </c>
      <c r="E822" s="41" t="s">
        <v>1040</v>
      </c>
      <c r="F822" s="17" t="s">
        <v>58</v>
      </c>
      <c r="G822" s="17" t="s">
        <v>86</v>
      </c>
      <c r="H822" s="17">
        <v>77</v>
      </c>
      <c r="I822" s="17" t="str">
        <f t="shared" si="70"/>
        <v>PR_PN-77</v>
      </c>
      <c r="J822" s="18" t="s">
        <v>85</v>
      </c>
      <c r="K822" s="19" t="e">
        <f>IF(J822="","SEM #CH",VLOOKUP(J822,#REF!,2,0))</f>
        <v>#REF!</v>
      </c>
      <c r="L822" s="19" t="e">
        <f>IF(J822="","SEM #CH",VLOOKUP(J822,#REF!,3,0))</f>
        <v>#REF!</v>
      </c>
      <c r="M822" s="19" t="e">
        <f>IF(J822="","SEM #CH",VLOOKUP(J822,#REF!,4,0))</f>
        <v>#REF!</v>
      </c>
      <c r="N822" s="19" t="e">
        <f>IF(J822="","SEM #CH",VLOOKUP(J822,#REF!,5,0))</f>
        <v>#REF!</v>
      </c>
      <c r="O822" s="19" t="e">
        <f>IF(J822="","SEM #CH",VLOOKUP(J822,#REF!,6,0))</f>
        <v>#REF!</v>
      </c>
      <c r="P822" s="19" t="e">
        <f>IF(J822="","SEM #CH",VLOOKUP(J822,#REF!,7,0))</f>
        <v>#REF!</v>
      </c>
      <c r="Q822" s="77" t="str">
        <f>VLOOKUP(J822,'p1'!$B$2:$C$30,2,0)</f>
        <v>NÃO TEM CHAPA</v>
      </c>
      <c r="R822" s="90"/>
      <c r="S822" s="90" t="s">
        <v>218</v>
      </c>
      <c r="T822" s="90">
        <f t="shared" si="64"/>
        <v>0</v>
      </c>
      <c r="U822" s="90"/>
      <c r="V822" s="90"/>
      <c r="W822" s="92"/>
      <c r="X822" s="93" t="str">
        <f t="shared" si="63"/>
        <v/>
      </c>
      <c r="Y822" s="92">
        <v>700</v>
      </c>
      <c r="Z822" s="92"/>
      <c r="AA822" s="13" t="str">
        <f t="shared" si="65"/>
        <v>jan/1900</v>
      </c>
    </row>
    <row r="823" spans="1:27" x14ac:dyDescent="0.25">
      <c r="A823" s="89">
        <v>822</v>
      </c>
      <c r="B823" s="68">
        <v>45839</v>
      </c>
      <c r="C823" s="40">
        <v>42</v>
      </c>
      <c r="D823" s="40">
        <f t="shared" si="68"/>
        <v>1</v>
      </c>
      <c r="E823" s="41" t="s">
        <v>1040</v>
      </c>
      <c r="F823" s="17" t="s">
        <v>58</v>
      </c>
      <c r="G823" s="17" t="s">
        <v>86</v>
      </c>
      <c r="H823" s="17">
        <v>78</v>
      </c>
      <c r="I823" s="17" t="str">
        <f t="shared" si="70"/>
        <v>PR_PN-78</v>
      </c>
      <c r="J823" s="18" t="s">
        <v>85</v>
      </c>
      <c r="K823" s="19" t="e">
        <f>IF(J823="","SEM #CH",VLOOKUP(J823,#REF!,2,0))</f>
        <v>#REF!</v>
      </c>
      <c r="L823" s="19" t="e">
        <f>IF(J823="","SEM #CH",VLOOKUP(J823,#REF!,3,0))</f>
        <v>#REF!</v>
      </c>
      <c r="M823" s="19" t="e">
        <f>IF(J823="","SEM #CH",VLOOKUP(J823,#REF!,4,0))</f>
        <v>#REF!</v>
      </c>
      <c r="N823" s="19" t="e">
        <f>IF(J823="","SEM #CH",VLOOKUP(J823,#REF!,5,0))</f>
        <v>#REF!</v>
      </c>
      <c r="O823" s="19" t="e">
        <f>IF(J823="","SEM #CH",VLOOKUP(J823,#REF!,6,0))</f>
        <v>#REF!</v>
      </c>
      <c r="P823" s="19" t="e">
        <f>IF(J823="","SEM #CH",VLOOKUP(J823,#REF!,7,0))</f>
        <v>#REF!</v>
      </c>
      <c r="Q823" s="77" t="str">
        <f>VLOOKUP(J823,'p1'!$B$2:$C$30,2,0)</f>
        <v>NÃO TEM CHAPA</v>
      </c>
      <c r="R823" s="94">
        <v>45855</v>
      </c>
      <c r="S823" s="90" t="s">
        <v>218</v>
      </c>
      <c r="T823" s="90">
        <f t="shared" si="64"/>
        <v>1</v>
      </c>
      <c r="U823" s="94">
        <v>45856</v>
      </c>
      <c r="V823" s="90" t="s">
        <v>86</v>
      </c>
      <c r="W823" s="92">
        <v>2450</v>
      </c>
      <c r="X823" s="93">
        <f t="shared" si="63"/>
        <v>1</v>
      </c>
      <c r="Y823" s="92">
        <v>700</v>
      </c>
      <c r="Z823" s="92"/>
      <c r="AA823" s="13" t="str">
        <f t="shared" si="65"/>
        <v>jul/2025</v>
      </c>
    </row>
    <row r="824" spans="1:27" x14ac:dyDescent="0.25">
      <c r="A824" s="89">
        <v>823</v>
      </c>
      <c r="B824" s="68">
        <v>45839</v>
      </c>
      <c r="C824" s="40">
        <v>42</v>
      </c>
      <c r="D824" s="40">
        <f t="shared" si="68"/>
        <v>1</v>
      </c>
      <c r="E824" s="41" t="s">
        <v>1040</v>
      </c>
      <c r="F824" s="17" t="s">
        <v>58</v>
      </c>
      <c r="G824" s="17" t="s">
        <v>86</v>
      </c>
      <c r="H824" s="17">
        <v>79</v>
      </c>
      <c r="I824" s="17" t="str">
        <f t="shared" si="70"/>
        <v>PR_PN-79</v>
      </c>
      <c r="J824" s="18" t="s">
        <v>85</v>
      </c>
      <c r="K824" s="19" t="e">
        <f>IF(J824="","SEM #CH",VLOOKUP(J824,#REF!,2,0))</f>
        <v>#REF!</v>
      </c>
      <c r="L824" s="19" t="e">
        <f>IF(J824="","SEM #CH",VLOOKUP(J824,#REF!,3,0))</f>
        <v>#REF!</v>
      </c>
      <c r="M824" s="19" t="e">
        <f>IF(J824="","SEM #CH",VLOOKUP(J824,#REF!,4,0))</f>
        <v>#REF!</v>
      </c>
      <c r="N824" s="19" t="e">
        <f>IF(J824="","SEM #CH",VLOOKUP(J824,#REF!,5,0))</f>
        <v>#REF!</v>
      </c>
      <c r="O824" s="19" t="e">
        <f>IF(J824="","SEM #CH",VLOOKUP(J824,#REF!,6,0))</f>
        <v>#REF!</v>
      </c>
      <c r="P824" s="19" t="e">
        <f>IF(J824="","SEM #CH",VLOOKUP(J824,#REF!,7,0))</f>
        <v>#REF!</v>
      </c>
      <c r="Q824" s="77" t="str">
        <f>VLOOKUP(J824,'p1'!$B$2:$C$30,2,0)</f>
        <v>NÃO TEM CHAPA</v>
      </c>
      <c r="R824" s="94">
        <v>45848</v>
      </c>
      <c r="S824" s="90" t="s">
        <v>218</v>
      </c>
      <c r="T824" s="90">
        <f t="shared" si="64"/>
        <v>1</v>
      </c>
      <c r="U824" s="94">
        <v>45848</v>
      </c>
      <c r="V824" s="90" t="s">
        <v>86</v>
      </c>
      <c r="W824" s="92">
        <v>2438</v>
      </c>
      <c r="X824" s="93">
        <f t="shared" si="63"/>
        <v>1</v>
      </c>
      <c r="Y824" s="92">
        <v>700</v>
      </c>
      <c r="Z824" s="92"/>
      <c r="AA824" s="13" t="str">
        <f t="shared" si="65"/>
        <v>jul/2025</v>
      </c>
    </row>
    <row r="825" spans="1:27" x14ac:dyDescent="0.25">
      <c r="A825" s="89">
        <v>824</v>
      </c>
      <c r="B825" s="68">
        <v>45839</v>
      </c>
      <c r="C825" s="40">
        <v>42</v>
      </c>
      <c r="D825" s="40">
        <f t="shared" si="68"/>
        <v>1</v>
      </c>
      <c r="E825" s="41" t="s">
        <v>1040</v>
      </c>
      <c r="F825" s="17" t="s">
        <v>58</v>
      </c>
      <c r="G825" s="17" t="s">
        <v>86</v>
      </c>
      <c r="H825" s="17">
        <v>80</v>
      </c>
      <c r="I825" s="17" t="str">
        <f t="shared" si="70"/>
        <v>PR_PN-80</v>
      </c>
      <c r="J825" s="18" t="s">
        <v>85</v>
      </c>
      <c r="K825" s="19" t="e">
        <f>IF(J825="","SEM #CH",VLOOKUP(J825,#REF!,2,0))</f>
        <v>#REF!</v>
      </c>
      <c r="L825" s="19" t="e">
        <f>IF(J825="","SEM #CH",VLOOKUP(J825,#REF!,3,0))</f>
        <v>#REF!</v>
      </c>
      <c r="M825" s="19" t="e">
        <f>IF(J825="","SEM #CH",VLOOKUP(J825,#REF!,4,0))</f>
        <v>#REF!</v>
      </c>
      <c r="N825" s="19" t="e">
        <f>IF(J825="","SEM #CH",VLOOKUP(J825,#REF!,5,0))</f>
        <v>#REF!</v>
      </c>
      <c r="O825" s="19" t="e">
        <f>IF(J825="","SEM #CH",VLOOKUP(J825,#REF!,6,0))</f>
        <v>#REF!</v>
      </c>
      <c r="P825" s="19" t="e">
        <f>IF(J825="","SEM #CH",VLOOKUP(J825,#REF!,7,0))</f>
        <v>#REF!</v>
      </c>
      <c r="Q825" s="77" t="str">
        <f>VLOOKUP(J825,'p1'!$B$2:$C$30,2,0)</f>
        <v>NÃO TEM CHAPA</v>
      </c>
      <c r="R825" s="90"/>
      <c r="S825" s="90" t="s">
        <v>218</v>
      </c>
      <c r="T825" s="90">
        <f t="shared" si="64"/>
        <v>0</v>
      </c>
      <c r="U825" s="90"/>
      <c r="V825" s="90"/>
      <c r="W825" s="92"/>
      <c r="X825" s="93" t="str">
        <f t="shared" si="63"/>
        <v/>
      </c>
      <c r="Y825" s="92">
        <v>700</v>
      </c>
      <c r="Z825" s="92"/>
      <c r="AA825" s="13" t="str">
        <f t="shared" si="65"/>
        <v>jan/1900</v>
      </c>
    </row>
    <row r="826" spans="1:27" x14ac:dyDescent="0.25">
      <c r="A826" s="89">
        <v>825</v>
      </c>
      <c r="B826" s="68">
        <v>45854</v>
      </c>
      <c r="C826" s="40">
        <v>49</v>
      </c>
      <c r="D826" s="40">
        <f t="shared" si="68"/>
        <v>1</v>
      </c>
      <c r="E826" s="41" t="s">
        <v>1040</v>
      </c>
      <c r="F826" s="17" t="s">
        <v>123</v>
      </c>
      <c r="G826" s="17" t="s">
        <v>86</v>
      </c>
      <c r="H826" s="17">
        <v>81</v>
      </c>
      <c r="I826" s="17" t="str">
        <f t="shared" si="70"/>
        <v>PR_PNI-81</v>
      </c>
      <c r="J826" s="18" t="s">
        <v>123</v>
      </c>
      <c r="K826" s="19" t="e">
        <f>IF(J826="","SEM #CH",VLOOKUP(J826,#REF!,2,0))</f>
        <v>#REF!</v>
      </c>
      <c r="L826" s="19" t="e">
        <f>IF(J826="","SEM #CH",VLOOKUP(J826,#REF!,3,0))</f>
        <v>#REF!</v>
      </c>
      <c r="M826" s="19" t="e">
        <f>IF(J826="","SEM #CH",VLOOKUP(J826,#REF!,4,0))</f>
        <v>#REF!</v>
      </c>
      <c r="N826" s="19" t="e">
        <f>IF(J826="","SEM #CH",VLOOKUP(J826,#REF!,5,0))</f>
        <v>#REF!</v>
      </c>
      <c r="O826" s="19" t="e">
        <f>IF(J826="","SEM #CH",VLOOKUP(J826,#REF!,6,0))</f>
        <v>#REF!</v>
      </c>
      <c r="P826" s="19" t="e">
        <f>IF(J826="","SEM #CH",VLOOKUP(J826,#REF!,7,0))</f>
        <v>#REF!</v>
      </c>
      <c r="Q826" s="77" t="str">
        <f>VLOOKUP(J826,'p1'!$B$2:$C$30,2,0)</f>
        <v>02- 150X150 #3/8</v>
      </c>
      <c r="R826" s="94">
        <v>45888</v>
      </c>
      <c r="S826" s="90" t="s">
        <v>218</v>
      </c>
      <c r="T826" s="90">
        <f t="shared" si="64"/>
        <v>1</v>
      </c>
      <c r="U826" s="90"/>
      <c r="V826" s="90"/>
      <c r="W826" s="92"/>
      <c r="X826" s="93" t="str">
        <f t="shared" si="63"/>
        <v/>
      </c>
      <c r="Y826" s="92">
        <v>700</v>
      </c>
      <c r="Z826" s="92"/>
      <c r="AA826" s="13" t="str">
        <f t="shared" si="65"/>
        <v>ago/2025</v>
      </c>
    </row>
    <row r="827" spans="1:27" x14ac:dyDescent="0.25">
      <c r="A827" s="89">
        <v>826</v>
      </c>
      <c r="B827" s="68">
        <v>45839</v>
      </c>
      <c r="C827" s="40">
        <v>42</v>
      </c>
      <c r="D827" s="40">
        <f t="shared" si="68"/>
        <v>1</v>
      </c>
      <c r="E827" s="41" t="s">
        <v>1040</v>
      </c>
      <c r="F827" s="17" t="s">
        <v>58</v>
      </c>
      <c r="G827" s="17" t="s">
        <v>86</v>
      </c>
      <c r="H827" s="17">
        <v>82</v>
      </c>
      <c r="I827" s="17" t="str">
        <f t="shared" si="70"/>
        <v>PR_PN-82</v>
      </c>
      <c r="J827" s="18" t="s">
        <v>85</v>
      </c>
      <c r="K827" s="19" t="e">
        <f>IF(J827="","SEM #CH",VLOOKUP(J827,#REF!,2,0))</f>
        <v>#REF!</v>
      </c>
      <c r="L827" s="19" t="e">
        <f>IF(J827="","SEM #CH",VLOOKUP(J827,#REF!,3,0))</f>
        <v>#REF!</v>
      </c>
      <c r="M827" s="19" t="e">
        <f>IF(J827="","SEM #CH",VLOOKUP(J827,#REF!,4,0))</f>
        <v>#REF!</v>
      </c>
      <c r="N827" s="19" t="e">
        <f>IF(J827="","SEM #CH",VLOOKUP(J827,#REF!,5,0))</f>
        <v>#REF!</v>
      </c>
      <c r="O827" s="19" t="e">
        <f>IF(J827="","SEM #CH",VLOOKUP(J827,#REF!,6,0))</f>
        <v>#REF!</v>
      </c>
      <c r="P827" s="19" t="e">
        <f>IF(J827="","SEM #CH",VLOOKUP(J827,#REF!,7,0))</f>
        <v>#REF!</v>
      </c>
      <c r="Q827" s="77" t="str">
        <f>VLOOKUP(J827,'p1'!$B$2:$C$30,2,0)</f>
        <v>NÃO TEM CHAPA</v>
      </c>
      <c r="R827" s="94">
        <v>45895</v>
      </c>
      <c r="S827" s="90" t="s">
        <v>218</v>
      </c>
      <c r="T827" s="90">
        <f t="shared" si="64"/>
        <v>1</v>
      </c>
      <c r="U827" s="90"/>
      <c r="V827" s="90"/>
      <c r="W827" s="92"/>
      <c r="X827" s="93" t="str">
        <f t="shared" si="63"/>
        <v/>
      </c>
      <c r="Y827" s="92">
        <v>700</v>
      </c>
      <c r="Z827" s="92"/>
      <c r="AA827" s="13" t="str">
        <f t="shared" si="65"/>
        <v>ago/2025</v>
      </c>
    </row>
    <row r="828" spans="1:27" x14ac:dyDescent="0.25">
      <c r="A828" s="89">
        <v>827</v>
      </c>
      <c r="B828" s="68">
        <v>45839</v>
      </c>
      <c r="C828" s="40">
        <v>42</v>
      </c>
      <c r="D828" s="40">
        <f t="shared" si="68"/>
        <v>1</v>
      </c>
      <c r="E828" s="41" t="s">
        <v>1040</v>
      </c>
      <c r="F828" s="17" t="s">
        <v>58</v>
      </c>
      <c r="G828" s="17" t="s">
        <v>86</v>
      </c>
      <c r="H828" s="17">
        <v>83</v>
      </c>
      <c r="I828" s="17" t="str">
        <f t="shared" si="70"/>
        <v>PR_PN-83</v>
      </c>
      <c r="J828" s="18" t="s">
        <v>85</v>
      </c>
      <c r="K828" s="19" t="e">
        <f>IF(J828="","SEM #CH",VLOOKUP(J828,#REF!,2,0))</f>
        <v>#REF!</v>
      </c>
      <c r="L828" s="19" t="e">
        <f>IF(J828="","SEM #CH",VLOOKUP(J828,#REF!,3,0))</f>
        <v>#REF!</v>
      </c>
      <c r="M828" s="19" t="e">
        <f>IF(J828="","SEM #CH",VLOOKUP(J828,#REF!,4,0))</f>
        <v>#REF!</v>
      </c>
      <c r="N828" s="19" t="e">
        <f>IF(J828="","SEM #CH",VLOOKUP(J828,#REF!,5,0))</f>
        <v>#REF!</v>
      </c>
      <c r="O828" s="19" t="e">
        <f>IF(J828="","SEM #CH",VLOOKUP(J828,#REF!,6,0))</f>
        <v>#REF!</v>
      </c>
      <c r="P828" s="19" t="e">
        <f>IF(J828="","SEM #CH",VLOOKUP(J828,#REF!,7,0))</f>
        <v>#REF!</v>
      </c>
      <c r="Q828" s="77" t="str">
        <f>VLOOKUP(J828,'p1'!$B$2:$C$30,2,0)</f>
        <v>NÃO TEM CHAPA</v>
      </c>
      <c r="R828" s="94">
        <v>45891</v>
      </c>
      <c r="S828" s="90" t="s">
        <v>218</v>
      </c>
      <c r="T828" s="90">
        <f t="shared" si="64"/>
        <v>1</v>
      </c>
      <c r="U828" s="90"/>
      <c r="V828" s="90"/>
      <c r="W828" s="92"/>
      <c r="X828" s="93" t="str">
        <f t="shared" si="63"/>
        <v/>
      </c>
      <c r="Y828" s="92">
        <v>700</v>
      </c>
      <c r="Z828" s="92"/>
      <c r="AA828" s="13" t="str">
        <f t="shared" si="65"/>
        <v>ago/2025</v>
      </c>
    </row>
    <row r="829" spans="1:27" x14ac:dyDescent="0.25">
      <c r="A829" s="89">
        <v>828</v>
      </c>
      <c r="B829" s="68">
        <v>45839</v>
      </c>
      <c r="C829" s="40">
        <v>42</v>
      </c>
      <c r="D829" s="40">
        <f t="shared" si="68"/>
        <v>1</v>
      </c>
      <c r="E829" s="41" t="s">
        <v>1040</v>
      </c>
      <c r="F829" s="17" t="s">
        <v>58</v>
      </c>
      <c r="G829" s="17" t="s">
        <v>86</v>
      </c>
      <c r="H829" s="17">
        <v>84</v>
      </c>
      <c r="I829" s="17" t="str">
        <f t="shared" si="70"/>
        <v>PR_PN-84</v>
      </c>
      <c r="J829" s="18" t="s">
        <v>85</v>
      </c>
      <c r="K829" s="19" t="e">
        <f>IF(J829="","SEM #CH",VLOOKUP(J829,#REF!,2,0))</f>
        <v>#REF!</v>
      </c>
      <c r="L829" s="19" t="e">
        <f>IF(J829="","SEM #CH",VLOOKUP(J829,#REF!,3,0))</f>
        <v>#REF!</v>
      </c>
      <c r="M829" s="19" t="e">
        <f>IF(J829="","SEM #CH",VLOOKUP(J829,#REF!,4,0))</f>
        <v>#REF!</v>
      </c>
      <c r="N829" s="19" t="e">
        <f>IF(J829="","SEM #CH",VLOOKUP(J829,#REF!,5,0))</f>
        <v>#REF!</v>
      </c>
      <c r="O829" s="19" t="e">
        <f>IF(J829="","SEM #CH",VLOOKUP(J829,#REF!,6,0))</f>
        <v>#REF!</v>
      </c>
      <c r="P829" s="19" t="e">
        <f>IF(J829="","SEM #CH",VLOOKUP(J829,#REF!,7,0))</f>
        <v>#REF!</v>
      </c>
      <c r="Q829" s="77" t="str">
        <f>VLOOKUP(J829,'p1'!$B$2:$C$30,2,0)</f>
        <v>NÃO TEM CHAPA</v>
      </c>
      <c r="R829" s="94">
        <v>45891</v>
      </c>
      <c r="S829" s="90" t="s">
        <v>218</v>
      </c>
      <c r="T829" s="90">
        <f t="shared" si="64"/>
        <v>1</v>
      </c>
      <c r="U829" s="90"/>
      <c r="V829" s="90"/>
      <c r="W829" s="92"/>
      <c r="X829" s="93" t="str">
        <f t="shared" si="63"/>
        <v/>
      </c>
      <c r="Y829" s="92">
        <v>700</v>
      </c>
      <c r="Z829" s="92"/>
      <c r="AA829" s="13" t="str">
        <f t="shared" si="65"/>
        <v>ago/2025</v>
      </c>
    </row>
    <row r="830" spans="1:27" x14ac:dyDescent="0.25">
      <c r="A830" s="89">
        <v>829</v>
      </c>
      <c r="B830" s="68">
        <v>45839</v>
      </c>
      <c r="C830" s="40">
        <v>42</v>
      </c>
      <c r="D830" s="40">
        <f t="shared" si="68"/>
        <v>1</v>
      </c>
      <c r="E830" s="41" t="s">
        <v>1040</v>
      </c>
      <c r="F830" s="17" t="s">
        <v>58</v>
      </c>
      <c r="G830" s="17" t="s">
        <v>86</v>
      </c>
      <c r="H830" s="17">
        <v>85</v>
      </c>
      <c r="I830" s="17" t="str">
        <f t="shared" si="70"/>
        <v>PR_PN-85</v>
      </c>
      <c r="J830" s="18" t="s">
        <v>85</v>
      </c>
      <c r="K830" s="19" t="e">
        <f>IF(J830="","SEM #CH",VLOOKUP(J830,#REF!,2,0))</f>
        <v>#REF!</v>
      </c>
      <c r="L830" s="19" t="e">
        <f>IF(J830="","SEM #CH",VLOOKUP(J830,#REF!,3,0))</f>
        <v>#REF!</v>
      </c>
      <c r="M830" s="19" t="e">
        <f>IF(J830="","SEM #CH",VLOOKUP(J830,#REF!,4,0))</f>
        <v>#REF!</v>
      </c>
      <c r="N830" s="19" t="e">
        <f>IF(J830="","SEM #CH",VLOOKUP(J830,#REF!,5,0))</f>
        <v>#REF!</v>
      </c>
      <c r="O830" s="19" t="e">
        <f>IF(J830="","SEM #CH",VLOOKUP(J830,#REF!,6,0))</f>
        <v>#REF!</v>
      </c>
      <c r="P830" s="19" t="e">
        <f>IF(J830="","SEM #CH",VLOOKUP(J830,#REF!,7,0))</f>
        <v>#REF!</v>
      </c>
      <c r="Q830" s="77" t="str">
        <f>VLOOKUP(J830,'p1'!$B$2:$C$30,2,0)</f>
        <v>NÃO TEM CHAPA</v>
      </c>
      <c r="R830" s="90"/>
      <c r="S830" s="90" t="s">
        <v>218</v>
      </c>
      <c r="T830" s="90">
        <f t="shared" si="64"/>
        <v>0</v>
      </c>
      <c r="U830" s="90"/>
      <c r="V830" s="90"/>
      <c r="W830" s="92"/>
      <c r="X830" s="93" t="str">
        <f t="shared" si="63"/>
        <v/>
      </c>
      <c r="Y830" s="92">
        <v>700</v>
      </c>
      <c r="Z830" s="92"/>
      <c r="AA830" s="13" t="str">
        <f t="shared" si="65"/>
        <v>jan/1900</v>
      </c>
    </row>
    <row r="831" spans="1:27" x14ac:dyDescent="0.25">
      <c r="A831" s="89">
        <v>830</v>
      </c>
      <c r="B831" s="68">
        <v>45986</v>
      </c>
      <c r="C831" s="40">
        <v>156</v>
      </c>
      <c r="D831" s="40">
        <f t="shared" si="68"/>
        <v>1</v>
      </c>
      <c r="E831" s="41" t="s">
        <v>1040</v>
      </c>
      <c r="F831" s="17" t="s">
        <v>60</v>
      </c>
      <c r="G831" s="17" t="s">
        <v>86</v>
      </c>
      <c r="H831" s="17">
        <v>86</v>
      </c>
      <c r="I831" s="17" t="str">
        <f t="shared" si="70"/>
        <v>PR_PE-86</v>
      </c>
      <c r="J831" s="18" t="s">
        <v>179</v>
      </c>
      <c r="K831" s="19" t="e">
        <f>IF(J831="","SEM #CH",VLOOKUP(J831,#REF!,2,0))</f>
        <v>#REF!</v>
      </c>
      <c r="L831" s="19" t="e">
        <f>IF(J831="","SEM #CH",VLOOKUP(J831,#REF!,3,0))</f>
        <v>#REF!</v>
      </c>
      <c r="M831" s="19" t="e">
        <f>IF(J831="","SEM #CH",VLOOKUP(J831,#REF!,4,0))</f>
        <v>#REF!</v>
      </c>
      <c r="N831" s="19" t="e">
        <f>IF(J831="","SEM #CH",VLOOKUP(J831,#REF!,5,0))</f>
        <v>#REF!</v>
      </c>
      <c r="O831" s="19" t="e">
        <f>IF(J831="","SEM #CH",VLOOKUP(J831,#REF!,6,0))</f>
        <v>#REF!</v>
      </c>
      <c r="P831" s="19" t="e">
        <f>IF(J831="","SEM #CH",VLOOKUP(J831,#REF!,7,0))</f>
        <v>#REF!</v>
      </c>
      <c r="Q831" s="77" t="str">
        <f>VLOOKUP(J831,'p1'!$B$2:$C$30,2,0)</f>
        <v>TUBO EMBAIXO CANALETA</v>
      </c>
      <c r="R831" s="90"/>
      <c r="S831" s="90" t="s">
        <v>218</v>
      </c>
      <c r="T831" s="90">
        <f t="shared" si="64"/>
        <v>0</v>
      </c>
      <c r="U831" s="90"/>
      <c r="V831" s="90"/>
      <c r="W831" s="92"/>
      <c r="X831" s="93" t="str">
        <f t="shared" si="63"/>
        <v/>
      </c>
      <c r="Y831" s="92">
        <v>700</v>
      </c>
      <c r="Z831" s="92" t="s">
        <v>1211</v>
      </c>
      <c r="AA831" s="13" t="str">
        <f t="shared" si="65"/>
        <v>jan/1900</v>
      </c>
    </row>
    <row r="832" spans="1:27" x14ac:dyDescent="0.25">
      <c r="A832" s="89">
        <v>831</v>
      </c>
      <c r="B832" s="68">
        <v>45856</v>
      </c>
      <c r="C832" s="40">
        <v>51</v>
      </c>
      <c r="D832" s="40">
        <f t="shared" si="68"/>
        <v>1</v>
      </c>
      <c r="E832" s="41" t="s">
        <v>1040</v>
      </c>
      <c r="F832" s="17" t="s">
        <v>123</v>
      </c>
      <c r="G832" s="17" t="s">
        <v>86</v>
      </c>
      <c r="H832" s="17">
        <v>87</v>
      </c>
      <c r="I832" s="17" t="str">
        <f t="shared" si="70"/>
        <v>PR_PNI-87</v>
      </c>
      <c r="J832" s="18" t="s">
        <v>123</v>
      </c>
      <c r="K832" s="19" t="e">
        <f>IF(J832="","SEM #CH",VLOOKUP(J832,#REF!,2,0))</f>
        <v>#REF!</v>
      </c>
      <c r="L832" s="19" t="e">
        <f>IF(J832="","SEM #CH",VLOOKUP(J832,#REF!,3,0))</f>
        <v>#REF!</v>
      </c>
      <c r="M832" s="19" t="e">
        <f>IF(J832="","SEM #CH",VLOOKUP(J832,#REF!,4,0))</f>
        <v>#REF!</v>
      </c>
      <c r="N832" s="19" t="e">
        <f>IF(J832="","SEM #CH",VLOOKUP(J832,#REF!,5,0))</f>
        <v>#REF!</v>
      </c>
      <c r="O832" s="19" t="e">
        <f>IF(J832="","SEM #CH",VLOOKUP(J832,#REF!,6,0))</f>
        <v>#REF!</v>
      </c>
      <c r="P832" s="19" t="e">
        <f>IF(J832="","SEM #CH",VLOOKUP(J832,#REF!,7,0))</f>
        <v>#REF!</v>
      </c>
      <c r="Q832" s="77" t="str">
        <f>VLOOKUP(J832,'p1'!$B$2:$C$30,2,0)</f>
        <v>02- 150X150 #3/8</v>
      </c>
      <c r="R832" s="90"/>
      <c r="S832" s="90" t="s">
        <v>218</v>
      </c>
      <c r="T832" s="90">
        <f t="shared" si="64"/>
        <v>0</v>
      </c>
      <c r="U832" s="90"/>
      <c r="V832" s="90"/>
      <c r="W832" s="92"/>
      <c r="X832" s="93" t="str">
        <f t="shared" si="63"/>
        <v/>
      </c>
      <c r="Y832" s="92">
        <v>700</v>
      </c>
      <c r="Z832" s="92"/>
      <c r="AA832" s="13" t="str">
        <f t="shared" si="65"/>
        <v>jan/1900</v>
      </c>
    </row>
    <row r="833" spans="1:27" x14ac:dyDescent="0.25">
      <c r="A833" s="89">
        <v>832</v>
      </c>
      <c r="B833" s="68">
        <v>45842</v>
      </c>
      <c r="C833" s="40">
        <v>44</v>
      </c>
      <c r="D833" s="40">
        <f t="shared" si="68"/>
        <v>1</v>
      </c>
      <c r="E833" s="41" t="s">
        <v>1040</v>
      </c>
      <c r="F833" s="17" t="s">
        <v>58</v>
      </c>
      <c r="G833" s="17" t="s">
        <v>86</v>
      </c>
      <c r="H833" s="17">
        <v>88</v>
      </c>
      <c r="I833" s="17" t="str">
        <f t="shared" si="70"/>
        <v>PR_PN-88</v>
      </c>
      <c r="J833" s="18" t="s">
        <v>85</v>
      </c>
      <c r="K833" s="19" t="e">
        <f>IF(J833="","SEM #CH",VLOOKUP(J833,#REF!,2,0))</f>
        <v>#REF!</v>
      </c>
      <c r="L833" s="19" t="e">
        <f>IF(J833="","SEM #CH",VLOOKUP(J833,#REF!,3,0))</f>
        <v>#REF!</v>
      </c>
      <c r="M833" s="19" t="e">
        <f>IF(J833="","SEM #CH",VLOOKUP(J833,#REF!,4,0))</f>
        <v>#REF!</v>
      </c>
      <c r="N833" s="19" t="e">
        <f>IF(J833="","SEM #CH",VLOOKUP(J833,#REF!,5,0))</f>
        <v>#REF!</v>
      </c>
      <c r="O833" s="19" t="e">
        <f>IF(J833="","SEM #CH",VLOOKUP(J833,#REF!,6,0))</f>
        <v>#REF!</v>
      </c>
      <c r="P833" s="19" t="e">
        <f>IF(J833="","SEM #CH",VLOOKUP(J833,#REF!,7,0))</f>
        <v>#REF!</v>
      </c>
      <c r="Q833" s="77" t="str">
        <f>VLOOKUP(J833,'p1'!$B$2:$C$30,2,0)</f>
        <v>NÃO TEM CHAPA</v>
      </c>
      <c r="R833" s="90"/>
      <c r="S833" s="90" t="s">
        <v>217</v>
      </c>
      <c r="T833" s="90">
        <f t="shared" si="64"/>
        <v>0</v>
      </c>
      <c r="U833" s="90"/>
      <c r="V833" s="90"/>
      <c r="W833" s="92"/>
      <c r="X833" s="93" t="str">
        <f t="shared" si="63"/>
        <v/>
      </c>
      <c r="Y833" s="92">
        <v>700</v>
      </c>
      <c r="Z833" s="92"/>
      <c r="AA833" s="13" t="str">
        <f t="shared" si="65"/>
        <v>jan/1900</v>
      </c>
    </row>
    <row r="834" spans="1:27" x14ac:dyDescent="0.25">
      <c r="A834" s="89">
        <v>833</v>
      </c>
      <c r="B834" s="68">
        <v>45842</v>
      </c>
      <c r="C834" s="40">
        <v>45</v>
      </c>
      <c r="D834" s="40">
        <f t="shared" ref="D834:D896" si="71">IF(B834&gt;0,1,"")</f>
        <v>1</v>
      </c>
      <c r="E834" s="41" t="s">
        <v>1040</v>
      </c>
      <c r="F834" s="17" t="s">
        <v>58</v>
      </c>
      <c r="G834" s="17" t="s">
        <v>86</v>
      </c>
      <c r="H834" s="17">
        <v>89</v>
      </c>
      <c r="I834" s="17" t="str">
        <f t="shared" si="70"/>
        <v>PR_PN-89</v>
      </c>
      <c r="J834" s="18" t="s">
        <v>85</v>
      </c>
      <c r="K834" s="19" t="e">
        <f>IF(J834="","SEM #CH",VLOOKUP(J834,#REF!,2,0))</f>
        <v>#REF!</v>
      </c>
      <c r="L834" s="19" t="e">
        <f>IF(J834="","SEM #CH",VLOOKUP(J834,#REF!,3,0))</f>
        <v>#REF!</v>
      </c>
      <c r="M834" s="19" t="e">
        <f>IF(J834="","SEM #CH",VLOOKUP(J834,#REF!,4,0))</f>
        <v>#REF!</v>
      </c>
      <c r="N834" s="19" t="e">
        <f>IF(J834="","SEM #CH",VLOOKUP(J834,#REF!,5,0))</f>
        <v>#REF!</v>
      </c>
      <c r="O834" s="19" t="e">
        <f>IF(J834="","SEM #CH",VLOOKUP(J834,#REF!,6,0))</f>
        <v>#REF!</v>
      </c>
      <c r="P834" s="19" t="e">
        <f>IF(J834="","SEM #CH",VLOOKUP(J834,#REF!,7,0))</f>
        <v>#REF!</v>
      </c>
      <c r="Q834" s="77" t="str">
        <f>VLOOKUP(J834,'p1'!$B$2:$C$30,2,0)</f>
        <v>NÃO TEM CHAPA</v>
      </c>
      <c r="R834" s="94">
        <v>45847</v>
      </c>
      <c r="S834" s="90" t="s">
        <v>218</v>
      </c>
      <c r="T834" s="90">
        <f t="shared" si="64"/>
        <v>1</v>
      </c>
      <c r="U834" s="94">
        <v>45847</v>
      </c>
      <c r="V834" s="90" t="s">
        <v>1042</v>
      </c>
      <c r="W834" s="92">
        <v>2437</v>
      </c>
      <c r="X834" s="93">
        <f t="shared" ref="X834:X896" si="72">IF(U834&gt;0,1,"")</f>
        <v>1</v>
      </c>
      <c r="Y834" s="92">
        <v>700</v>
      </c>
      <c r="Z834" s="92"/>
      <c r="AA834" s="13" t="str">
        <f t="shared" si="65"/>
        <v>jul/2025</v>
      </c>
    </row>
    <row r="835" spans="1:27" x14ac:dyDescent="0.25">
      <c r="A835" s="89">
        <v>834</v>
      </c>
      <c r="B835" s="68">
        <v>45842</v>
      </c>
      <c r="C835" s="40">
        <v>45</v>
      </c>
      <c r="D835" s="40">
        <f t="shared" si="71"/>
        <v>1</v>
      </c>
      <c r="E835" s="41" t="s">
        <v>1040</v>
      </c>
      <c r="F835" s="17" t="s">
        <v>58</v>
      </c>
      <c r="G835" s="17" t="s">
        <v>86</v>
      </c>
      <c r="H835" s="17">
        <v>90</v>
      </c>
      <c r="I835" s="17" t="str">
        <f t="shared" si="70"/>
        <v>PR_PN-90</v>
      </c>
      <c r="J835" s="18" t="s">
        <v>85</v>
      </c>
      <c r="K835" s="19" t="e">
        <f>IF(J835="","SEM #CH",VLOOKUP(J835,#REF!,2,0))</f>
        <v>#REF!</v>
      </c>
      <c r="L835" s="19" t="e">
        <f>IF(J835="","SEM #CH",VLOOKUP(J835,#REF!,3,0))</f>
        <v>#REF!</v>
      </c>
      <c r="M835" s="19" t="e">
        <f>IF(J835="","SEM #CH",VLOOKUP(J835,#REF!,4,0))</f>
        <v>#REF!</v>
      </c>
      <c r="N835" s="19" t="e">
        <f>IF(J835="","SEM #CH",VLOOKUP(J835,#REF!,5,0))</f>
        <v>#REF!</v>
      </c>
      <c r="O835" s="19" t="e">
        <f>IF(J835="","SEM #CH",VLOOKUP(J835,#REF!,6,0))</f>
        <v>#REF!</v>
      </c>
      <c r="P835" s="19" t="e">
        <f>IF(J835="","SEM #CH",VLOOKUP(J835,#REF!,7,0))</f>
        <v>#REF!</v>
      </c>
      <c r="Q835" s="77" t="str">
        <f>VLOOKUP(J835,'p1'!$B$2:$C$30,2,0)</f>
        <v>NÃO TEM CHAPA</v>
      </c>
      <c r="R835" s="94">
        <v>45847</v>
      </c>
      <c r="S835" s="90" t="s">
        <v>218</v>
      </c>
      <c r="T835" s="90">
        <f t="shared" ref="T835:T893" si="73">IF(R835="",0,1)</f>
        <v>1</v>
      </c>
      <c r="U835" s="94">
        <v>45847</v>
      </c>
      <c r="V835" s="90" t="s">
        <v>1042</v>
      </c>
      <c r="W835" s="92">
        <v>2437</v>
      </c>
      <c r="X835" s="93">
        <f t="shared" si="72"/>
        <v>1</v>
      </c>
      <c r="Y835" s="92">
        <v>700</v>
      </c>
      <c r="Z835" s="92"/>
      <c r="AA835" s="13" t="str">
        <f t="shared" ref="AA835:AA898" si="74">TEXT(R835,"mmm/aaaa")</f>
        <v>jul/2025</v>
      </c>
    </row>
    <row r="836" spans="1:27" x14ac:dyDescent="0.25">
      <c r="A836" s="89">
        <v>835</v>
      </c>
      <c r="B836" s="68">
        <v>45842</v>
      </c>
      <c r="C836" s="40">
        <v>45</v>
      </c>
      <c r="D836" s="40">
        <f t="shared" si="71"/>
        <v>1</v>
      </c>
      <c r="E836" s="41" t="s">
        <v>1040</v>
      </c>
      <c r="F836" s="17" t="s">
        <v>58</v>
      </c>
      <c r="G836" s="17" t="s">
        <v>86</v>
      </c>
      <c r="H836" s="17">
        <v>91</v>
      </c>
      <c r="I836" s="17" t="str">
        <f t="shared" si="70"/>
        <v>PR_PN-91</v>
      </c>
      <c r="J836" s="18" t="s">
        <v>85</v>
      </c>
      <c r="K836" s="19" t="e">
        <f>IF(J836="","SEM #CH",VLOOKUP(J836,#REF!,2,0))</f>
        <v>#REF!</v>
      </c>
      <c r="L836" s="19" t="e">
        <f>IF(J836="","SEM #CH",VLOOKUP(J836,#REF!,3,0))</f>
        <v>#REF!</v>
      </c>
      <c r="M836" s="19" t="e">
        <f>IF(J836="","SEM #CH",VLOOKUP(J836,#REF!,4,0))</f>
        <v>#REF!</v>
      </c>
      <c r="N836" s="19" t="e">
        <f>IF(J836="","SEM #CH",VLOOKUP(J836,#REF!,5,0))</f>
        <v>#REF!</v>
      </c>
      <c r="O836" s="19" t="e">
        <f>IF(J836="","SEM #CH",VLOOKUP(J836,#REF!,6,0))</f>
        <v>#REF!</v>
      </c>
      <c r="P836" s="19" t="e">
        <f>IF(J836="","SEM #CH",VLOOKUP(J836,#REF!,7,0))</f>
        <v>#REF!</v>
      </c>
      <c r="Q836" s="77" t="str">
        <f>VLOOKUP(J836,'p1'!$B$2:$C$30,2,0)</f>
        <v>NÃO TEM CHAPA</v>
      </c>
      <c r="R836" s="94">
        <v>45859</v>
      </c>
      <c r="S836" s="90" t="s">
        <v>218</v>
      </c>
      <c r="T836" s="90">
        <f t="shared" si="73"/>
        <v>1</v>
      </c>
      <c r="U836" s="94">
        <v>45884</v>
      </c>
      <c r="V836" s="90" t="s">
        <v>86</v>
      </c>
      <c r="W836" s="92">
        <v>2473</v>
      </c>
      <c r="X836" s="93">
        <f t="shared" si="72"/>
        <v>1</v>
      </c>
      <c r="Y836" s="92">
        <v>700</v>
      </c>
      <c r="Z836" s="92"/>
      <c r="AA836" s="13" t="str">
        <f t="shared" si="74"/>
        <v>jul/2025</v>
      </c>
    </row>
    <row r="837" spans="1:27" x14ac:dyDescent="0.25">
      <c r="A837" s="89">
        <v>836</v>
      </c>
      <c r="B837" s="68">
        <v>45842</v>
      </c>
      <c r="C837" s="40">
        <v>45</v>
      </c>
      <c r="D837" s="40">
        <f t="shared" si="71"/>
        <v>1</v>
      </c>
      <c r="E837" s="41" t="s">
        <v>1040</v>
      </c>
      <c r="F837" s="17" t="s">
        <v>58</v>
      </c>
      <c r="G837" s="17" t="s">
        <v>86</v>
      </c>
      <c r="H837" s="17">
        <v>92</v>
      </c>
      <c r="I837" s="17" t="str">
        <f t="shared" si="70"/>
        <v>PR_PN-92</v>
      </c>
      <c r="J837" s="18" t="s">
        <v>85</v>
      </c>
      <c r="K837" s="19" t="e">
        <f>IF(J837="","SEM #CH",VLOOKUP(J837,#REF!,2,0))</f>
        <v>#REF!</v>
      </c>
      <c r="L837" s="19" t="e">
        <f>IF(J837="","SEM #CH",VLOOKUP(J837,#REF!,3,0))</f>
        <v>#REF!</v>
      </c>
      <c r="M837" s="19" t="e">
        <f>IF(J837="","SEM #CH",VLOOKUP(J837,#REF!,4,0))</f>
        <v>#REF!</v>
      </c>
      <c r="N837" s="19" t="e">
        <f>IF(J837="","SEM #CH",VLOOKUP(J837,#REF!,5,0))</f>
        <v>#REF!</v>
      </c>
      <c r="O837" s="19" t="e">
        <f>IF(J837="","SEM #CH",VLOOKUP(J837,#REF!,6,0))</f>
        <v>#REF!</v>
      </c>
      <c r="P837" s="19" t="e">
        <f>IF(J837="","SEM #CH",VLOOKUP(J837,#REF!,7,0))</f>
        <v>#REF!</v>
      </c>
      <c r="Q837" s="77" t="str">
        <f>VLOOKUP(J837,'p1'!$B$2:$C$30,2,0)</f>
        <v>NÃO TEM CHAPA</v>
      </c>
      <c r="R837" s="94">
        <v>45856</v>
      </c>
      <c r="S837" s="90" t="s">
        <v>218</v>
      </c>
      <c r="T837" s="90">
        <f t="shared" si="73"/>
        <v>1</v>
      </c>
      <c r="U837" s="94">
        <v>45856</v>
      </c>
      <c r="V837" s="90" t="s">
        <v>86</v>
      </c>
      <c r="W837" s="92">
        <v>2451</v>
      </c>
      <c r="X837" s="93">
        <f t="shared" si="72"/>
        <v>1</v>
      </c>
      <c r="Y837" s="92">
        <v>700</v>
      </c>
      <c r="Z837" s="92"/>
      <c r="AA837" s="13" t="str">
        <f t="shared" si="74"/>
        <v>jul/2025</v>
      </c>
    </row>
    <row r="838" spans="1:27" x14ac:dyDescent="0.25">
      <c r="A838" s="89">
        <v>837</v>
      </c>
      <c r="B838" s="68">
        <v>45860</v>
      </c>
      <c r="C838" s="40">
        <v>54</v>
      </c>
      <c r="D838" s="40">
        <f t="shared" si="71"/>
        <v>1</v>
      </c>
      <c r="E838" s="41" t="s">
        <v>1040</v>
      </c>
      <c r="F838" s="17" t="s">
        <v>123</v>
      </c>
      <c r="G838" s="17" t="s">
        <v>86</v>
      </c>
      <c r="H838" s="17">
        <v>93</v>
      </c>
      <c r="I838" s="17" t="str">
        <f t="shared" si="70"/>
        <v>PR_PNI-93</v>
      </c>
      <c r="J838" s="18" t="s">
        <v>123</v>
      </c>
      <c r="K838" s="19" t="e">
        <f>IF(J838="","SEM #CH",VLOOKUP(J838,#REF!,2,0))</f>
        <v>#REF!</v>
      </c>
      <c r="L838" s="19" t="e">
        <f>IF(J838="","SEM #CH",VLOOKUP(J838,#REF!,3,0))</f>
        <v>#REF!</v>
      </c>
      <c r="M838" s="19" t="e">
        <f>IF(J838="","SEM #CH",VLOOKUP(J838,#REF!,4,0))</f>
        <v>#REF!</v>
      </c>
      <c r="N838" s="19" t="e">
        <f>IF(J838="","SEM #CH",VLOOKUP(J838,#REF!,5,0))</f>
        <v>#REF!</v>
      </c>
      <c r="O838" s="19" t="e">
        <f>IF(J838="","SEM #CH",VLOOKUP(J838,#REF!,6,0))</f>
        <v>#REF!</v>
      </c>
      <c r="P838" s="19" t="e">
        <f>IF(J838="","SEM #CH",VLOOKUP(J838,#REF!,7,0))</f>
        <v>#REF!</v>
      </c>
      <c r="Q838" s="77" t="str">
        <f>VLOOKUP(J838,'p1'!$B$2:$C$30,2,0)</f>
        <v>02- 150X150 #3/8</v>
      </c>
      <c r="R838" s="94">
        <v>45875</v>
      </c>
      <c r="S838" s="90" t="s">
        <v>218</v>
      </c>
      <c r="T838" s="90">
        <f t="shared" si="73"/>
        <v>1</v>
      </c>
      <c r="U838" s="94">
        <v>45884</v>
      </c>
      <c r="V838" s="90"/>
      <c r="W838" s="92">
        <v>2474</v>
      </c>
      <c r="X838" s="93">
        <f t="shared" si="72"/>
        <v>1</v>
      </c>
      <c r="Y838" s="92">
        <v>700</v>
      </c>
      <c r="Z838" s="92"/>
      <c r="AA838" s="13" t="str">
        <f t="shared" si="74"/>
        <v>ago/2025</v>
      </c>
    </row>
    <row r="839" spans="1:27" x14ac:dyDescent="0.25">
      <c r="A839" s="89">
        <v>838</v>
      </c>
      <c r="B839" s="68">
        <v>45842</v>
      </c>
      <c r="C839" s="40">
        <v>45</v>
      </c>
      <c r="D839" s="40">
        <f t="shared" si="71"/>
        <v>1</v>
      </c>
      <c r="E839" s="41" t="s">
        <v>1040</v>
      </c>
      <c r="F839" s="17" t="s">
        <v>58</v>
      </c>
      <c r="G839" s="17" t="s">
        <v>86</v>
      </c>
      <c r="H839" s="17">
        <v>94</v>
      </c>
      <c r="I839" s="17" t="str">
        <f t="shared" si="70"/>
        <v>PR_PN-94</v>
      </c>
      <c r="J839" s="18" t="s">
        <v>85</v>
      </c>
      <c r="K839" s="19" t="e">
        <f>IF(J839="","SEM #CH",VLOOKUP(J839,#REF!,2,0))</f>
        <v>#REF!</v>
      </c>
      <c r="L839" s="19" t="e">
        <f>IF(J839="","SEM #CH",VLOOKUP(J839,#REF!,3,0))</f>
        <v>#REF!</v>
      </c>
      <c r="M839" s="19" t="e">
        <f>IF(J839="","SEM #CH",VLOOKUP(J839,#REF!,4,0))</f>
        <v>#REF!</v>
      </c>
      <c r="N839" s="19" t="e">
        <f>IF(J839="","SEM #CH",VLOOKUP(J839,#REF!,5,0))</f>
        <v>#REF!</v>
      </c>
      <c r="O839" s="19" t="e">
        <f>IF(J839="","SEM #CH",VLOOKUP(J839,#REF!,6,0))</f>
        <v>#REF!</v>
      </c>
      <c r="P839" s="19" t="e">
        <f>IF(J839="","SEM #CH",VLOOKUP(J839,#REF!,7,0))</f>
        <v>#REF!</v>
      </c>
      <c r="Q839" s="77" t="str">
        <f>VLOOKUP(J839,'p1'!$B$2:$C$30,2,0)</f>
        <v>NÃO TEM CHAPA</v>
      </c>
      <c r="R839" s="94">
        <v>45855</v>
      </c>
      <c r="S839" s="90" t="s">
        <v>218</v>
      </c>
      <c r="T839" s="90">
        <f t="shared" si="73"/>
        <v>1</v>
      </c>
      <c r="U839" s="94">
        <v>45856</v>
      </c>
      <c r="V839" s="90" t="s">
        <v>86</v>
      </c>
      <c r="W839" s="92">
        <v>2450</v>
      </c>
      <c r="X839" s="93">
        <f t="shared" si="72"/>
        <v>1</v>
      </c>
      <c r="Y839" s="92">
        <v>700</v>
      </c>
      <c r="Z839" s="92"/>
      <c r="AA839" s="13" t="str">
        <f t="shared" si="74"/>
        <v>jul/2025</v>
      </c>
    </row>
    <row r="840" spans="1:27" x14ac:dyDescent="0.25">
      <c r="A840" s="89">
        <v>839</v>
      </c>
      <c r="B840" s="68">
        <v>45825</v>
      </c>
      <c r="C840" s="40">
        <v>36</v>
      </c>
      <c r="D840" s="40">
        <f t="shared" si="71"/>
        <v>1</v>
      </c>
      <c r="E840" s="41" t="s">
        <v>1040</v>
      </c>
      <c r="F840" s="17" t="s">
        <v>61</v>
      </c>
      <c r="G840" s="17" t="s">
        <v>86</v>
      </c>
      <c r="H840" s="17">
        <v>95</v>
      </c>
      <c r="I840" s="17" t="str">
        <f t="shared" si="70"/>
        <v>PR_PF-95</v>
      </c>
      <c r="J840" s="18" t="s">
        <v>61</v>
      </c>
      <c r="K840" s="19" t="e">
        <f>IF(J840="","SEM #CH",VLOOKUP(J840,#REF!,2,0))</f>
        <v>#REF!</v>
      </c>
      <c r="L840" s="19" t="e">
        <f>IF(J840="","SEM #CH",VLOOKUP(J840,#REF!,3,0))</f>
        <v>#REF!</v>
      </c>
      <c r="M840" s="19" t="e">
        <f>IF(J840="","SEM #CH",VLOOKUP(J840,#REF!,4,0))</f>
        <v>#REF!</v>
      </c>
      <c r="N840" s="19" t="e">
        <f>IF(J840="","SEM #CH",VLOOKUP(J840,#REF!,5,0))</f>
        <v>#REF!</v>
      </c>
      <c r="O840" s="19" t="e">
        <f>IF(J840="","SEM #CH",VLOOKUP(J840,#REF!,6,0))</f>
        <v>#REF!</v>
      </c>
      <c r="P840" s="19" t="e">
        <f>IF(J840="","SEM #CH",VLOOKUP(J840,#REF!,7,0))</f>
        <v>#REF!</v>
      </c>
      <c r="Q840" s="77" t="str">
        <f>VLOOKUP(J840,'p1'!$B$2:$C$30,2,0)</f>
        <v>SEM CHAPA</v>
      </c>
      <c r="R840" s="90"/>
      <c r="S840" s="90" t="s">
        <v>217</v>
      </c>
      <c r="T840" s="90">
        <f t="shared" si="73"/>
        <v>0</v>
      </c>
      <c r="U840" s="90"/>
      <c r="V840" s="90"/>
      <c r="W840" s="92"/>
      <c r="X840" s="93" t="str">
        <f t="shared" si="72"/>
        <v/>
      </c>
      <c r="Y840" s="92">
        <v>700</v>
      </c>
      <c r="Z840" s="92"/>
      <c r="AA840" s="13" t="str">
        <f t="shared" si="74"/>
        <v>jan/1900</v>
      </c>
    </row>
    <row r="841" spans="1:27" x14ac:dyDescent="0.25">
      <c r="A841" s="89">
        <v>840</v>
      </c>
      <c r="B841" s="68">
        <v>45842</v>
      </c>
      <c r="C841" s="40">
        <v>45</v>
      </c>
      <c r="D841" s="40">
        <f t="shared" si="71"/>
        <v>1</v>
      </c>
      <c r="E841" s="41" t="s">
        <v>1040</v>
      </c>
      <c r="F841" s="17" t="s">
        <v>58</v>
      </c>
      <c r="G841" s="17" t="s">
        <v>86</v>
      </c>
      <c r="H841" s="17">
        <v>96</v>
      </c>
      <c r="I841" s="17" t="str">
        <f t="shared" si="70"/>
        <v>PR_PN-96</v>
      </c>
      <c r="J841" s="18" t="s">
        <v>85</v>
      </c>
      <c r="K841" s="19" t="e">
        <f>IF(J841="","SEM #CH",VLOOKUP(J841,#REF!,2,0))</f>
        <v>#REF!</v>
      </c>
      <c r="L841" s="19" t="e">
        <f>IF(J841="","SEM #CH",VLOOKUP(J841,#REF!,3,0))</f>
        <v>#REF!</v>
      </c>
      <c r="M841" s="19" t="e">
        <f>IF(J841="","SEM #CH",VLOOKUP(J841,#REF!,4,0))</f>
        <v>#REF!</v>
      </c>
      <c r="N841" s="19" t="e">
        <f>IF(J841="","SEM #CH",VLOOKUP(J841,#REF!,5,0))</f>
        <v>#REF!</v>
      </c>
      <c r="O841" s="19" t="e">
        <f>IF(J841="","SEM #CH",VLOOKUP(J841,#REF!,6,0))</f>
        <v>#REF!</v>
      </c>
      <c r="P841" s="19" t="e">
        <f>IF(J841="","SEM #CH",VLOOKUP(J841,#REF!,7,0))</f>
        <v>#REF!</v>
      </c>
      <c r="Q841" s="77" t="str">
        <f>VLOOKUP(J841,'p1'!$B$2:$C$30,2,0)</f>
        <v>NÃO TEM CHAPA</v>
      </c>
      <c r="R841" s="94">
        <v>45849</v>
      </c>
      <c r="S841" s="90" t="s">
        <v>218</v>
      </c>
      <c r="T841" s="90">
        <f t="shared" si="73"/>
        <v>1</v>
      </c>
      <c r="U841" s="94">
        <v>45856</v>
      </c>
      <c r="V841" s="90" t="s">
        <v>86</v>
      </c>
      <c r="W841" s="92">
        <v>2451</v>
      </c>
      <c r="X841" s="93">
        <f t="shared" si="72"/>
        <v>1</v>
      </c>
      <c r="Y841" s="92">
        <v>700</v>
      </c>
      <c r="Z841" s="92"/>
      <c r="AA841" s="13" t="str">
        <f t="shared" si="74"/>
        <v>jul/2025</v>
      </c>
    </row>
    <row r="842" spans="1:27" x14ac:dyDescent="0.25">
      <c r="A842" s="89">
        <v>841</v>
      </c>
      <c r="B842" s="68">
        <v>45948</v>
      </c>
      <c r="C842" s="40">
        <v>123</v>
      </c>
      <c r="D842" s="40">
        <f t="shared" si="71"/>
        <v>1</v>
      </c>
      <c r="E842" s="41" t="s">
        <v>1040</v>
      </c>
      <c r="F842" s="17" t="s">
        <v>60</v>
      </c>
      <c r="G842" s="17" t="s">
        <v>86</v>
      </c>
      <c r="H842" s="17">
        <v>97</v>
      </c>
      <c r="I842" s="17" t="str">
        <f t="shared" ref="I842:I873" si="75">_xlfn.CONCAT("PR_",F842,G842,H842)</f>
        <v>PR_PE-97</v>
      </c>
      <c r="J842" s="18" t="s">
        <v>172</v>
      </c>
      <c r="K842" s="19" t="e">
        <f>IF(J842="","SEM #CH",VLOOKUP(J842,#REF!,2,0))</f>
        <v>#REF!</v>
      </c>
      <c r="L842" s="19" t="e">
        <f>IF(J842="","SEM #CH",VLOOKUP(J842,#REF!,3,0))</f>
        <v>#REF!</v>
      </c>
      <c r="M842" s="19" t="e">
        <f>IF(J842="","SEM #CH",VLOOKUP(J842,#REF!,4,0))</f>
        <v>#REF!</v>
      </c>
      <c r="N842" s="19" t="e">
        <f>IF(J842="","SEM #CH",VLOOKUP(J842,#REF!,5,0))</f>
        <v>#REF!</v>
      </c>
      <c r="O842" s="19" t="e">
        <f>IF(J842="","SEM #CH",VLOOKUP(J842,#REF!,6,0))</f>
        <v>#REF!</v>
      </c>
      <c r="P842" s="19" t="e">
        <f>IF(J842="","SEM #CH",VLOOKUP(J842,#REF!,7,0))</f>
        <v>#REF!</v>
      </c>
      <c r="Q842" s="77" t="str">
        <f>VLOOKUP(J842,'p1'!$B$2:$C$30,2,0)</f>
        <v>ARM. CANAL SAIDA</v>
      </c>
      <c r="R842" s="90"/>
      <c r="S842" s="90" t="s">
        <v>218</v>
      </c>
      <c r="T842" s="90">
        <f t="shared" si="73"/>
        <v>0</v>
      </c>
      <c r="U842" s="90"/>
      <c r="V842" s="90"/>
      <c r="W842" s="92"/>
      <c r="X842" s="93" t="str">
        <f t="shared" si="72"/>
        <v/>
      </c>
      <c r="Y842" s="92"/>
      <c r="Z842" s="92"/>
      <c r="AA842" s="13" t="str">
        <f t="shared" si="74"/>
        <v>jan/1900</v>
      </c>
    </row>
    <row r="843" spans="1:27" x14ac:dyDescent="0.25">
      <c r="A843" s="89">
        <v>842</v>
      </c>
      <c r="B843" s="68" t="s">
        <v>1224</v>
      </c>
      <c r="C843" s="40">
        <v>169</v>
      </c>
      <c r="D843" s="40">
        <f t="shared" si="71"/>
        <v>1</v>
      </c>
      <c r="E843" s="41" t="s">
        <v>1040</v>
      </c>
      <c r="F843" s="17" t="s">
        <v>60</v>
      </c>
      <c r="G843" s="17" t="s">
        <v>86</v>
      </c>
      <c r="H843" s="17">
        <v>98</v>
      </c>
      <c r="I843" s="17" t="str">
        <f t="shared" si="75"/>
        <v>PR_PE-98</v>
      </c>
      <c r="J843" s="18" t="s">
        <v>172</v>
      </c>
      <c r="K843" s="19" t="e">
        <f>IF(J843="","SEM #CH",VLOOKUP(J843,#REF!,2,0))</f>
        <v>#REF!</v>
      </c>
      <c r="L843" s="19" t="e">
        <f>IF(J843="","SEM #CH",VLOOKUP(J843,#REF!,3,0))</f>
        <v>#REF!</v>
      </c>
      <c r="M843" s="19" t="e">
        <f>IF(J843="","SEM #CH",VLOOKUP(J843,#REF!,4,0))</f>
        <v>#REF!</v>
      </c>
      <c r="N843" s="19" t="e">
        <f>IF(J843="","SEM #CH",VLOOKUP(J843,#REF!,5,0))</f>
        <v>#REF!</v>
      </c>
      <c r="O843" s="19" t="e">
        <f>IF(J843="","SEM #CH",VLOOKUP(J843,#REF!,6,0))</f>
        <v>#REF!</v>
      </c>
      <c r="P843" s="19" t="e">
        <f>IF(J843="","SEM #CH",VLOOKUP(J843,#REF!,7,0))</f>
        <v>#REF!</v>
      </c>
      <c r="Q843" s="77" t="str">
        <f>VLOOKUP(J843,'p1'!$B$2:$C$30,2,0)</f>
        <v>ARM. CANAL SAIDA</v>
      </c>
      <c r="R843" s="90"/>
      <c r="S843" s="90"/>
      <c r="T843" s="90">
        <f t="shared" si="73"/>
        <v>0</v>
      </c>
      <c r="U843" s="90"/>
      <c r="V843" s="90"/>
      <c r="W843" s="92"/>
      <c r="X843" s="93" t="str">
        <f t="shared" si="72"/>
        <v/>
      </c>
      <c r="Y843" s="92"/>
      <c r="Z843" s="92"/>
      <c r="AA843" s="13" t="str">
        <f t="shared" si="74"/>
        <v>jan/1900</v>
      </c>
    </row>
    <row r="844" spans="1:27" x14ac:dyDescent="0.25">
      <c r="A844" s="89">
        <v>843</v>
      </c>
      <c r="B844" s="68">
        <v>45940</v>
      </c>
      <c r="C844" s="40">
        <v>116</v>
      </c>
      <c r="D844" s="40">
        <f t="shared" si="71"/>
        <v>1</v>
      </c>
      <c r="E844" s="41" t="s">
        <v>1040</v>
      </c>
      <c r="F844" s="17" t="s">
        <v>176</v>
      </c>
      <c r="G844" s="17" t="s">
        <v>86</v>
      </c>
      <c r="H844" s="17">
        <v>99</v>
      </c>
      <c r="I844" s="17" t="str">
        <f t="shared" si="75"/>
        <v>PR_PEI(V)-99</v>
      </c>
      <c r="J844" s="18" t="s">
        <v>176</v>
      </c>
      <c r="K844" s="19" t="e">
        <f>IF(J844="","SEM #CH",VLOOKUP(J844,#REF!,2,0))</f>
        <v>#REF!</v>
      </c>
      <c r="L844" s="19" t="e">
        <f>IF(J844="","SEM #CH",VLOOKUP(J844,#REF!,3,0))</f>
        <v>#REF!</v>
      </c>
      <c r="M844" s="19" t="e">
        <f>IF(J844="","SEM #CH",VLOOKUP(J844,#REF!,4,0))</f>
        <v>#REF!</v>
      </c>
      <c r="N844" s="19" t="e">
        <f>IF(J844="","SEM #CH",VLOOKUP(J844,#REF!,5,0))</f>
        <v>#REF!</v>
      </c>
      <c r="O844" s="19" t="e">
        <f>IF(J844="","SEM #CH",VLOOKUP(J844,#REF!,6,0))</f>
        <v>#REF!</v>
      </c>
      <c r="P844" s="19" t="e">
        <f>IF(J844="","SEM #CH",VLOOKUP(J844,#REF!,7,0))</f>
        <v>#REF!</v>
      </c>
      <c r="Q844" s="77" t="str">
        <f>VLOOKUP(J844,'p1'!$B$2:$C$30,2,0)</f>
        <v>ATERRAMENTO + ARM. CANAL</v>
      </c>
      <c r="R844" s="90"/>
      <c r="S844" s="90" t="s">
        <v>218</v>
      </c>
      <c r="T844" s="90">
        <f t="shared" si="73"/>
        <v>0</v>
      </c>
      <c r="U844" s="90"/>
      <c r="V844" s="90"/>
      <c r="W844" s="92"/>
      <c r="X844" s="93" t="str">
        <f t="shared" si="72"/>
        <v/>
      </c>
      <c r="Y844" s="92"/>
      <c r="Z844" s="92"/>
      <c r="AA844" s="13" t="str">
        <f t="shared" si="74"/>
        <v>jan/1900</v>
      </c>
    </row>
    <row r="845" spans="1:27" x14ac:dyDescent="0.25">
      <c r="A845" s="89">
        <v>844</v>
      </c>
      <c r="B845" s="68">
        <v>45842</v>
      </c>
      <c r="C845" s="40">
        <v>45</v>
      </c>
      <c r="D845" s="40">
        <f t="shared" si="71"/>
        <v>1</v>
      </c>
      <c r="E845" s="41" t="s">
        <v>1040</v>
      </c>
      <c r="F845" s="17" t="s">
        <v>58</v>
      </c>
      <c r="G845" s="17" t="s">
        <v>86</v>
      </c>
      <c r="H845" s="17">
        <v>100</v>
      </c>
      <c r="I845" s="17" t="str">
        <f t="shared" si="75"/>
        <v>PR_PN-100</v>
      </c>
      <c r="J845" s="18" t="s">
        <v>85</v>
      </c>
      <c r="K845" s="19" t="e">
        <f>IF(J845="","SEM #CH",VLOOKUP(J845,#REF!,2,0))</f>
        <v>#REF!</v>
      </c>
      <c r="L845" s="19" t="e">
        <f>IF(J845="","SEM #CH",VLOOKUP(J845,#REF!,3,0))</f>
        <v>#REF!</v>
      </c>
      <c r="M845" s="19" t="e">
        <f>IF(J845="","SEM #CH",VLOOKUP(J845,#REF!,4,0))</f>
        <v>#REF!</v>
      </c>
      <c r="N845" s="19" t="e">
        <f>IF(J845="","SEM #CH",VLOOKUP(J845,#REF!,5,0))</f>
        <v>#REF!</v>
      </c>
      <c r="O845" s="19" t="e">
        <f>IF(J845="","SEM #CH",VLOOKUP(J845,#REF!,6,0))</f>
        <v>#REF!</v>
      </c>
      <c r="P845" s="19" t="e">
        <f>IF(J845="","SEM #CH",VLOOKUP(J845,#REF!,7,0))</f>
        <v>#REF!</v>
      </c>
      <c r="Q845" s="77" t="str">
        <f>VLOOKUP(J845,'p1'!$B$2:$C$30,2,0)</f>
        <v>NÃO TEM CHAPA</v>
      </c>
      <c r="R845" s="90"/>
      <c r="S845" s="90" t="s">
        <v>218</v>
      </c>
      <c r="T845" s="90">
        <f t="shared" si="73"/>
        <v>0</v>
      </c>
      <c r="U845" s="90"/>
      <c r="V845" s="90"/>
      <c r="W845" s="92"/>
      <c r="X845" s="93" t="str">
        <f t="shared" si="72"/>
        <v/>
      </c>
      <c r="Y845" s="92">
        <v>700</v>
      </c>
      <c r="Z845" s="92"/>
      <c r="AA845" s="13" t="str">
        <f t="shared" si="74"/>
        <v>jan/1900</v>
      </c>
    </row>
    <row r="846" spans="1:27" x14ac:dyDescent="0.25">
      <c r="A846" s="89">
        <v>845</v>
      </c>
      <c r="B846" s="68">
        <v>45842</v>
      </c>
      <c r="C846" s="40">
        <v>45</v>
      </c>
      <c r="D846" s="40">
        <f t="shared" si="71"/>
        <v>1</v>
      </c>
      <c r="E846" s="41" t="s">
        <v>1040</v>
      </c>
      <c r="F846" s="17" t="s">
        <v>58</v>
      </c>
      <c r="G846" s="17" t="s">
        <v>86</v>
      </c>
      <c r="H846" s="17">
        <v>101</v>
      </c>
      <c r="I846" s="17" t="str">
        <f t="shared" si="75"/>
        <v>PR_PN-101</v>
      </c>
      <c r="J846" s="18" t="s">
        <v>85</v>
      </c>
      <c r="K846" s="19" t="e">
        <f>IF(J846="","SEM #CH",VLOOKUP(J846,#REF!,2,0))</f>
        <v>#REF!</v>
      </c>
      <c r="L846" s="19" t="e">
        <f>IF(J846="","SEM #CH",VLOOKUP(J846,#REF!,3,0))</f>
        <v>#REF!</v>
      </c>
      <c r="M846" s="19" t="e">
        <f>IF(J846="","SEM #CH",VLOOKUP(J846,#REF!,4,0))</f>
        <v>#REF!</v>
      </c>
      <c r="N846" s="19" t="e">
        <f>IF(J846="","SEM #CH",VLOOKUP(J846,#REF!,5,0))</f>
        <v>#REF!</v>
      </c>
      <c r="O846" s="19" t="e">
        <f>IF(J846="","SEM #CH",VLOOKUP(J846,#REF!,6,0))</f>
        <v>#REF!</v>
      </c>
      <c r="P846" s="19" t="e">
        <f>IF(J846="","SEM #CH",VLOOKUP(J846,#REF!,7,0))</f>
        <v>#REF!</v>
      </c>
      <c r="Q846" s="77" t="str">
        <f>VLOOKUP(J846,'p1'!$B$2:$C$30,2,0)</f>
        <v>NÃO TEM CHAPA</v>
      </c>
      <c r="R846" s="90"/>
      <c r="S846" s="90" t="s">
        <v>218</v>
      </c>
      <c r="T846" s="90">
        <f t="shared" si="73"/>
        <v>0</v>
      </c>
      <c r="U846" s="90"/>
      <c r="V846" s="90"/>
      <c r="W846" s="92"/>
      <c r="X846" s="93" t="str">
        <f t="shared" si="72"/>
        <v/>
      </c>
      <c r="Y846" s="92">
        <v>700</v>
      </c>
      <c r="Z846" s="92"/>
      <c r="AA846" s="13" t="str">
        <f t="shared" si="74"/>
        <v>jan/1900</v>
      </c>
    </row>
    <row r="847" spans="1:27" x14ac:dyDescent="0.25">
      <c r="A847" s="89">
        <v>846</v>
      </c>
      <c r="B847" s="68">
        <v>45842</v>
      </c>
      <c r="C847" s="40">
        <v>45</v>
      </c>
      <c r="D847" s="40">
        <f t="shared" si="71"/>
        <v>1</v>
      </c>
      <c r="E847" s="41" t="s">
        <v>1040</v>
      </c>
      <c r="F847" s="17" t="s">
        <v>58</v>
      </c>
      <c r="G847" s="17" t="s">
        <v>86</v>
      </c>
      <c r="H847" s="17">
        <v>102</v>
      </c>
      <c r="I847" s="17" t="str">
        <f t="shared" si="75"/>
        <v>PR_PN-102</v>
      </c>
      <c r="J847" s="18" t="s">
        <v>85</v>
      </c>
      <c r="K847" s="19" t="e">
        <f>IF(J847="","SEM #CH",VLOOKUP(J847,#REF!,2,0))</f>
        <v>#REF!</v>
      </c>
      <c r="L847" s="19" t="e">
        <f>IF(J847="","SEM #CH",VLOOKUP(J847,#REF!,3,0))</f>
        <v>#REF!</v>
      </c>
      <c r="M847" s="19" t="e">
        <f>IF(J847="","SEM #CH",VLOOKUP(J847,#REF!,4,0))</f>
        <v>#REF!</v>
      </c>
      <c r="N847" s="19" t="e">
        <f>IF(J847="","SEM #CH",VLOOKUP(J847,#REF!,5,0))</f>
        <v>#REF!</v>
      </c>
      <c r="O847" s="19" t="e">
        <f>IF(J847="","SEM #CH",VLOOKUP(J847,#REF!,6,0))</f>
        <v>#REF!</v>
      </c>
      <c r="P847" s="19" t="e">
        <f>IF(J847="","SEM #CH",VLOOKUP(J847,#REF!,7,0))</f>
        <v>#REF!</v>
      </c>
      <c r="Q847" s="77" t="str">
        <f>VLOOKUP(J847,'p1'!$B$2:$C$30,2,0)</f>
        <v>NÃO TEM CHAPA</v>
      </c>
      <c r="R847" s="90"/>
      <c r="S847" s="90" t="s">
        <v>218</v>
      </c>
      <c r="T847" s="90">
        <f t="shared" si="73"/>
        <v>0</v>
      </c>
      <c r="U847" s="90"/>
      <c r="V847" s="90"/>
      <c r="W847" s="92"/>
      <c r="X847" s="93" t="str">
        <f t="shared" si="72"/>
        <v/>
      </c>
      <c r="Y847" s="92">
        <v>700</v>
      </c>
      <c r="Z847" s="92"/>
      <c r="AA847" s="13" t="str">
        <f t="shared" si="74"/>
        <v>jan/1900</v>
      </c>
    </row>
    <row r="848" spans="1:27" x14ac:dyDescent="0.25">
      <c r="A848" s="89">
        <v>847</v>
      </c>
      <c r="B848" s="68">
        <v>45848</v>
      </c>
      <c r="C848" s="40">
        <v>46</v>
      </c>
      <c r="D848" s="40">
        <f t="shared" si="71"/>
        <v>1</v>
      </c>
      <c r="E848" s="41" t="s">
        <v>1040</v>
      </c>
      <c r="F848" s="17" t="s">
        <v>58</v>
      </c>
      <c r="G848" s="17" t="s">
        <v>86</v>
      </c>
      <c r="H848" s="17">
        <v>103</v>
      </c>
      <c r="I848" s="17" t="str">
        <f t="shared" si="75"/>
        <v>PR_PN-103</v>
      </c>
      <c r="J848" s="18" t="s">
        <v>85</v>
      </c>
      <c r="K848" s="19" t="e">
        <f>IF(J848="","SEM #CH",VLOOKUP(J848,#REF!,2,0))</f>
        <v>#REF!</v>
      </c>
      <c r="L848" s="19" t="e">
        <f>IF(J848="","SEM #CH",VLOOKUP(J848,#REF!,3,0))</f>
        <v>#REF!</v>
      </c>
      <c r="M848" s="19" t="e">
        <f>IF(J848="","SEM #CH",VLOOKUP(J848,#REF!,4,0))</f>
        <v>#REF!</v>
      </c>
      <c r="N848" s="19" t="e">
        <f>IF(J848="","SEM #CH",VLOOKUP(J848,#REF!,5,0))</f>
        <v>#REF!</v>
      </c>
      <c r="O848" s="19" t="e">
        <f>IF(J848="","SEM #CH",VLOOKUP(J848,#REF!,6,0))</f>
        <v>#REF!</v>
      </c>
      <c r="P848" s="19" t="e">
        <f>IF(J848="","SEM #CH",VLOOKUP(J848,#REF!,7,0))</f>
        <v>#REF!</v>
      </c>
      <c r="Q848" s="77" t="str">
        <f>VLOOKUP(J848,'p1'!$B$2:$C$30,2,0)</f>
        <v>NÃO TEM CHAPA</v>
      </c>
      <c r="R848" s="90"/>
      <c r="S848" s="90" t="s">
        <v>217</v>
      </c>
      <c r="T848" s="90">
        <f t="shared" si="73"/>
        <v>0</v>
      </c>
      <c r="U848" s="90"/>
      <c r="V848" s="90"/>
      <c r="W848" s="92"/>
      <c r="X848" s="93" t="str">
        <f t="shared" si="72"/>
        <v/>
      </c>
      <c r="Y848" s="92">
        <v>700</v>
      </c>
      <c r="Z848" s="92"/>
      <c r="AA848" s="13" t="str">
        <f t="shared" si="74"/>
        <v>jan/1900</v>
      </c>
    </row>
    <row r="849" spans="1:27" x14ac:dyDescent="0.25">
      <c r="A849" s="89">
        <v>848</v>
      </c>
      <c r="B849" s="68">
        <v>45850</v>
      </c>
      <c r="C849" s="40">
        <v>47</v>
      </c>
      <c r="D849" s="40">
        <f t="shared" si="71"/>
        <v>1</v>
      </c>
      <c r="E849" s="41" t="s">
        <v>1040</v>
      </c>
      <c r="F849" s="17" t="s">
        <v>58</v>
      </c>
      <c r="G849" s="17" t="s">
        <v>86</v>
      </c>
      <c r="H849" s="17">
        <v>104</v>
      </c>
      <c r="I849" s="17" t="str">
        <f t="shared" si="75"/>
        <v>PR_PN-104</v>
      </c>
      <c r="J849" s="18" t="s">
        <v>85</v>
      </c>
      <c r="K849" s="19" t="e">
        <f>IF(J849="","SEM #CH",VLOOKUP(J849,#REF!,2,0))</f>
        <v>#REF!</v>
      </c>
      <c r="L849" s="19" t="e">
        <f>IF(J849="","SEM #CH",VLOOKUP(J849,#REF!,3,0))</f>
        <v>#REF!</v>
      </c>
      <c r="M849" s="19" t="e">
        <f>IF(J849="","SEM #CH",VLOOKUP(J849,#REF!,4,0))</f>
        <v>#REF!</v>
      </c>
      <c r="N849" s="19" t="e">
        <f>IF(J849="","SEM #CH",VLOOKUP(J849,#REF!,5,0))</f>
        <v>#REF!</v>
      </c>
      <c r="O849" s="19" t="e">
        <f>IF(J849="","SEM #CH",VLOOKUP(J849,#REF!,6,0))</f>
        <v>#REF!</v>
      </c>
      <c r="P849" s="19" t="e">
        <f>IF(J849="","SEM #CH",VLOOKUP(J849,#REF!,7,0))</f>
        <v>#REF!</v>
      </c>
      <c r="Q849" s="77" t="str">
        <f>VLOOKUP(J849,'p1'!$B$2:$C$30,2,0)</f>
        <v>NÃO TEM CHAPA</v>
      </c>
      <c r="R849" s="90"/>
      <c r="S849" s="90" t="s">
        <v>217</v>
      </c>
      <c r="T849" s="90">
        <f t="shared" si="73"/>
        <v>0</v>
      </c>
      <c r="U849" s="90"/>
      <c r="V849" s="90"/>
      <c r="W849" s="92"/>
      <c r="X849" s="93" t="str">
        <f t="shared" si="72"/>
        <v/>
      </c>
      <c r="Y849" s="92">
        <v>700</v>
      </c>
      <c r="Z849" s="92"/>
      <c r="AA849" s="13" t="str">
        <f t="shared" si="74"/>
        <v>jan/1900</v>
      </c>
    </row>
    <row r="850" spans="1:27" x14ac:dyDescent="0.25">
      <c r="A850" s="89">
        <v>849</v>
      </c>
      <c r="B850" s="68">
        <v>45862</v>
      </c>
      <c r="C850" s="40">
        <v>56</v>
      </c>
      <c r="D850" s="40">
        <f t="shared" si="71"/>
        <v>1</v>
      </c>
      <c r="E850" s="41" t="s">
        <v>1040</v>
      </c>
      <c r="F850" s="17" t="s">
        <v>123</v>
      </c>
      <c r="G850" s="17" t="s">
        <v>86</v>
      </c>
      <c r="H850" s="17">
        <v>105</v>
      </c>
      <c r="I850" s="17" t="str">
        <f t="shared" si="75"/>
        <v>PR_PNI-105</v>
      </c>
      <c r="J850" s="18" t="s">
        <v>123</v>
      </c>
      <c r="K850" s="19" t="e">
        <f>IF(J850="","SEM #CH",VLOOKUP(J850,#REF!,2,0))</f>
        <v>#REF!</v>
      </c>
      <c r="L850" s="19" t="e">
        <f>IF(J850="","SEM #CH",VLOOKUP(J850,#REF!,3,0))</f>
        <v>#REF!</v>
      </c>
      <c r="M850" s="19" t="e">
        <f>IF(J850="","SEM #CH",VLOOKUP(J850,#REF!,4,0))</f>
        <v>#REF!</v>
      </c>
      <c r="N850" s="19" t="e">
        <f>IF(J850="","SEM #CH",VLOOKUP(J850,#REF!,5,0))</f>
        <v>#REF!</v>
      </c>
      <c r="O850" s="19" t="e">
        <f>IF(J850="","SEM #CH",VLOOKUP(J850,#REF!,6,0))</f>
        <v>#REF!</v>
      </c>
      <c r="P850" s="19" t="e">
        <f>IF(J850="","SEM #CH",VLOOKUP(J850,#REF!,7,0))</f>
        <v>#REF!</v>
      </c>
      <c r="Q850" s="77" t="str">
        <f>VLOOKUP(J850,'p1'!$B$2:$C$30,2,0)</f>
        <v>02- 150X150 #3/8</v>
      </c>
      <c r="R850" s="94">
        <v>45868</v>
      </c>
      <c r="S850" s="90" t="s">
        <v>218</v>
      </c>
      <c r="T850" s="90">
        <f t="shared" si="73"/>
        <v>1</v>
      </c>
      <c r="U850" s="94">
        <v>45870</v>
      </c>
      <c r="V850" s="90" t="s">
        <v>86</v>
      </c>
      <c r="W850" s="92">
        <v>2464</v>
      </c>
      <c r="X850" s="93">
        <f t="shared" si="72"/>
        <v>1</v>
      </c>
      <c r="Y850" s="92">
        <v>700</v>
      </c>
      <c r="Z850" s="92"/>
      <c r="AA850" s="13" t="str">
        <f t="shared" si="74"/>
        <v>jul/2025</v>
      </c>
    </row>
    <row r="851" spans="1:27" x14ac:dyDescent="0.25">
      <c r="A851" s="89">
        <v>850</v>
      </c>
      <c r="B851" s="68">
        <v>45853</v>
      </c>
      <c r="C851" s="40">
        <v>48</v>
      </c>
      <c r="D851" s="40">
        <f t="shared" si="71"/>
        <v>1</v>
      </c>
      <c r="E851" s="41" t="s">
        <v>1040</v>
      </c>
      <c r="F851" s="17" t="s">
        <v>58</v>
      </c>
      <c r="G851" s="17" t="s">
        <v>86</v>
      </c>
      <c r="H851" s="17">
        <v>106</v>
      </c>
      <c r="I851" s="17" t="str">
        <f t="shared" si="75"/>
        <v>PR_PN-106</v>
      </c>
      <c r="J851" s="18" t="s">
        <v>85</v>
      </c>
      <c r="K851" s="19" t="e">
        <f>IF(J851="","SEM #CH",VLOOKUP(J851,#REF!,2,0))</f>
        <v>#REF!</v>
      </c>
      <c r="L851" s="19" t="e">
        <f>IF(J851="","SEM #CH",VLOOKUP(J851,#REF!,3,0))</f>
        <v>#REF!</v>
      </c>
      <c r="M851" s="19" t="e">
        <f>IF(J851="","SEM #CH",VLOOKUP(J851,#REF!,4,0))</f>
        <v>#REF!</v>
      </c>
      <c r="N851" s="19" t="e">
        <f>IF(J851="","SEM #CH",VLOOKUP(J851,#REF!,5,0))</f>
        <v>#REF!</v>
      </c>
      <c r="O851" s="19" t="e">
        <f>IF(J851="","SEM #CH",VLOOKUP(J851,#REF!,6,0))</f>
        <v>#REF!</v>
      </c>
      <c r="P851" s="19" t="e">
        <f>IF(J851="","SEM #CH",VLOOKUP(J851,#REF!,7,0))</f>
        <v>#REF!</v>
      </c>
      <c r="Q851" s="77" t="str">
        <f>VLOOKUP(J851,'p1'!$B$2:$C$30,2,0)</f>
        <v>NÃO TEM CHAPA</v>
      </c>
      <c r="R851" s="90"/>
      <c r="S851" s="90" t="s">
        <v>217</v>
      </c>
      <c r="T851" s="90">
        <f t="shared" si="73"/>
        <v>0</v>
      </c>
      <c r="U851" s="90"/>
      <c r="V851" s="90"/>
      <c r="W851" s="92"/>
      <c r="X851" s="93" t="str">
        <f t="shared" si="72"/>
        <v/>
      </c>
      <c r="Y851" s="92">
        <v>700</v>
      </c>
      <c r="Z851" s="92"/>
      <c r="AA851" s="13" t="str">
        <f t="shared" si="74"/>
        <v>jan/1900</v>
      </c>
    </row>
    <row r="852" spans="1:27" x14ac:dyDescent="0.25">
      <c r="A852" s="89">
        <v>851</v>
      </c>
      <c r="B852" s="68">
        <v>45855</v>
      </c>
      <c r="C852" s="40">
        <v>50</v>
      </c>
      <c r="D852" s="40">
        <f t="shared" si="71"/>
        <v>1</v>
      </c>
      <c r="E852" s="41" t="s">
        <v>1040</v>
      </c>
      <c r="F852" s="17" t="s">
        <v>58</v>
      </c>
      <c r="G852" s="17" t="s">
        <v>86</v>
      </c>
      <c r="H852" s="17">
        <v>107</v>
      </c>
      <c r="I852" s="17" t="str">
        <f t="shared" si="75"/>
        <v>PR_PN-107</v>
      </c>
      <c r="J852" s="18" t="s">
        <v>85</v>
      </c>
      <c r="K852" s="19" t="e">
        <f>IF(J852="","SEM #CH",VLOOKUP(J852,#REF!,2,0))</f>
        <v>#REF!</v>
      </c>
      <c r="L852" s="19" t="e">
        <f>IF(J852="","SEM #CH",VLOOKUP(J852,#REF!,3,0))</f>
        <v>#REF!</v>
      </c>
      <c r="M852" s="19" t="e">
        <f>IF(J852="","SEM #CH",VLOOKUP(J852,#REF!,4,0))</f>
        <v>#REF!</v>
      </c>
      <c r="N852" s="19" t="e">
        <f>IF(J852="","SEM #CH",VLOOKUP(J852,#REF!,5,0))</f>
        <v>#REF!</v>
      </c>
      <c r="O852" s="19" t="e">
        <f>IF(J852="","SEM #CH",VLOOKUP(J852,#REF!,6,0))</f>
        <v>#REF!</v>
      </c>
      <c r="P852" s="19" t="e">
        <f>IF(J852="","SEM #CH",VLOOKUP(J852,#REF!,7,0))</f>
        <v>#REF!</v>
      </c>
      <c r="Q852" s="77" t="str">
        <f>VLOOKUP(J852,'p1'!$B$2:$C$30,2,0)</f>
        <v>NÃO TEM CHAPA</v>
      </c>
      <c r="R852" s="90"/>
      <c r="S852" s="90" t="s">
        <v>217</v>
      </c>
      <c r="T852" s="90">
        <f t="shared" si="73"/>
        <v>0</v>
      </c>
      <c r="U852" s="90"/>
      <c r="V852" s="90"/>
      <c r="W852" s="92"/>
      <c r="X852" s="93" t="str">
        <f t="shared" si="72"/>
        <v/>
      </c>
      <c r="Y852" s="92">
        <v>700</v>
      </c>
      <c r="Z852" s="92"/>
      <c r="AA852" s="13" t="str">
        <f t="shared" si="74"/>
        <v>jan/1900</v>
      </c>
    </row>
    <row r="853" spans="1:27" x14ac:dyDescent="0.25">
      <c r="A853" s="89">
        <v>852</v>
      </c>
      <c r="B853" s="68">
        <v>45857</v>
      </c>
      <c r="C853" s="40">
        <v>52</v>
      </c>
      <c r="D853" s="40">
        <f t="shared" si="71"/>
        <v>1</v>
      </c>
      <c r="E853" s="41" t="s">
        <v>1040</v>
      </c>
      <c r="F853" s="17" t="s">
        <v>58</v>
      </c>
      <c r="G853" s="17" t="s">
        <v>86</v>
      </c>
      <c r="H853" s="17">
        <v>108</v>
      </c>
      <c r="I853" s="17" t="str">
        <f t="shared" si="75"/>
        <v>PR_PN-108</v>
      </c>
      <c r="J853" s="18" t="s">
        <v>85</v>
      </c>
      <c r="K853" s="19" t="e">
        <f>IF(J853="","SEM #CH",VLOOKUP(J853,#REF!,2,0))</f>
        <v>#REF!</v>
      </c>
      <c r="L853" s="19" t="e">
        <f>IF(J853="","SEM #CH",VLOOKUP(J853,#REF!,3,0))</f>
        <v>#REF!</v>
      </c>
      <c r="M853" s="19" t="e">
        <f>IF(J853="","SEM #CH",VLOOKUP(J853,#REF!,4,0))</f>
        <v>#REF!</v>
      </c>
      <c r="N853" s="19" t="e">
        <f>IF(J853="","SEM #CH",VLOOKUP(J853,#REF!,5,0))</f>
        <v>#REF!</v>
      </c>
      <c r="O853" s="19" t="e">
        <f>IF(J853="","SEM #CH",VLOOKUP(J853,#REF!,6,0))</f>
        <v>#REF!</v>
      </c>
      <c r="P853" s="19" t="e">
        <f>IF(J853="","SEM #CH",VLOOKUP(J853,#REF!,7,0))</f>
        <v>#REF!</v>
      </c>
      <c r="Q853" s="77" t="str">
        <f>VLOOKUP(J853,'p1'!$B$2:$C$30,2,0)</f>
        <v>NÃO TEM CHAPA</v>
      </c>
      <c r="R853" s="90"/>
      <c r="S853" s="90" t="s">
        <v>217</v>
      </c>
      <c r="T853" s="90">
        <f t="shared" si="73"/>
        <v>0</v>
      </c>
      <c r="U853" s="90"/>
      <c r="V853" s="90"/>
      <c r="W853" s="92"/>
      <c r="X853" s="93" t="str">
        <f t="shared" si="72"/>
        <v/>
      </c>
      <c r="Y853" s="92">
        <v>700</v>
      </c>
      <c r="Z853" s="92"/>
      <c r="AA853" s="13" t="str">
        <f t="shared" si="74"/>
        <v>jan/1900</v>
      </c>
    </row>
    <row r="854" spans="1:27" x14ac:dyDescent="0.25">
      <c r="A854" s="89">
        <v>853</v>
      </c>
      <c r="B854" s="68">
        <v>45960</v>
      </c>
      <c r="C854" s="40">
        <v>134</v>
      </c>
      <c r="D854" s="40">
        <f t="shared" si="71"/>
        <v>1</v>
      </c>
      <c r="E854" s="41" t="s">
        <v>1040</v>
      </c>
      <c r="F854" s="17" t="s">
        <v>60</v>
      </c>
      <c r="G854" s="17" t="s">
        <v>86</v>
      </c>
      <c r="H854" s="17">
        <v>109</v>
      </c>
      <c r="I854" s="17" t="str">
        <f t="shared" si="75"/>
        <v>PR_PE-109</v>
      </c>
      <c r="J854" s="18" t="s">
        <v>181</v>
      </c>
      <c r="K854" s="19" t="e">
        <f>IF(J854="","SEM #CH",VLOOKUP(J854,#REF!,2,0))</f>
        <v>#REF!</v>
      </c>
      <c r="L854" s="19" t="e">
        <f>IF(J854="","SEM #CH",VLOOKUP(J854,#REF!,3,0))</f>
        <v>#REF!</v>
      </c>
      <c r="M854" s="19" t="e">
        <f>IF(J854="","SEM #CH",VLOOKUP(J854,#REF!,4,0))</f>
        <v>#REF!</v>
      </c>
      <c r="N854" s="19" t="e">
        <f>IF(J854="","SEM #CH",VLOOKUP(J854,#REF!,5,0))</f>
        <v>#REF!</v>
      </c>
      <c r="O854" s="19" t="e">
        <f>IF(J854="","SEM #CH",VLOOKUP(J854,#REF!,6,0))</f>
        <v>#REF!</v>
      </c>
      <c r="P854" s="19" t="e">
        <f>IF(J854="","SEM #CH",VLOOKUP(J854,#REF!,7,0))</f>
        <v>#REF!</v>
      </c>
      <c r="Q854" s="77" t="str">
        <f>VLOOKUP(J854,'p1'!$B$2:$C$30,2,0)</f>
        <v>TUBO DE 10 " - A DEFINIR</v>
      </c>
      <c r="R854" s="90"/>
      <c r="S854" s="90" t="s">
        <v>218</v>
      </c>
      <c r="T854" s="90">
        <f t="shared" si="73"/>
        <v>0</v>
      </c>
      <c r="U854" s="90"/>
      <c r="V854" s="90"/>
      <c r="W854" s="92"/>
      <c r="X854" s="93" t="str">
        <f t="shared" si="72"/>
        <v/>
      </c>
      <c r="Y854" s="92"/>
      <c r="Z854" s="92"/>
      <c r="AA854" s="13" t="str">
        <f t="shared" si="74"/>
        <v>jan/1900</v>
      </c>
    </row>
    <row r="855" spans="1:27" x14ac:dyDescent="0.25">
      <c r="A855" s="89">
        <v>854</v>
      </c>
      <c r="B855" s="68">
        <v>45971</v>
      </c>
      <c r="C855" s="40">
        <v>141</v>
      </c>
      <c r="D855" s="40">
        <f t="shared" si="71"/>
        <v>1</v>
      </c>
      <c r="E855" s="41" t="s">
        <v>1040</v>
      </c>
      <c r="F855" s="17" t="s">
        <v>60</v>
      </c>
      <c r="G855" s="17" t="s">
        <v>86</v>
      </c>
      <c r="H855" s="17">
        <v>110</v>
      </c>
      <c r="I855" s="17" t="str">
        <f t="shared" si="75"/>
        <v>PR_PE-110</v>
      </c>
      <c r="J855" s="18" t="s">
        <v>181</v>
      </c>
      <c r="K855" s="19" t="e">
        <f>IF(J855="","SEM #CH",VLOOKUP(J855,#REF!,2,0))</f>
        <v>#REF!</v>
      </c>
      <c r="L855" s="19" t="e">
        <f>IF(J855="","SEM #CH",VLOOKUP(J855,#REF!,3,0))</f>
        <v>#REF!</v>
      </c>
      <c r="M855" s="19" t="e">
        <f>IF(J855="","SEM #CH",VLOOKUP(J855,#REF!,4,0))</f>
        <v>#REF!</v>
      </c>
      <c r="N855" s="19" t="e">
        <f>IF(J855="","SEM #CH",VLOOKUP(J855,#REF!,5,0))</f>
        <v>#REF!</v>
      </c>
      <c r="O855" s="19" t="e">
        <f>IF(J855="","SEM #CH",VLOOKUP(J855,#REF!,6,0))</f>
        <v>#REF!</v>
      </c>
      <c r="P855" s="19" t="e">
        <f>IF(J855="","SEM #CH",VLOOKUP(J855,#REF!,7,0))</f>
        <v>#REF!</v>
      </c>
      <c r="Q855" s="77" t="str">
        <f>VLOOKUP(J855,'p1'!$B$2:$C$30,2,0)</f>
        <v>TUBO DE 10 " - A DEFINIR</v>
      </c>
      <c r="R855" s="90"/>
      <c r="S855" s="90" t="s">
        <v>218</v>
      </c>
      <c r="T855" s="90">
        <f t="shared" si="73"/>
        <v>0</v>
      </c>
      <c r="U855" s="90"/>
      <c r="V855" s="90"/>
      <c r="W855" s="92"/>
      <c r="X855" s="93" t="str">
        <f t="shared" si="72"/>
        <v/>
      </c>
      <c r="Y855" s="92"/>
      <c r="Z855" s="92"/>
      <c r="AA855" s="13" t="str">
        <f t="shared" si="74"/>
        <v>jan/1900</v>
      </c>
    </row>
    <row r="856" spans="1:27" x14ac:dyDescent="0.25">
      <c r="A856" s="89">
        <v>855</v>
      </c>
      <c r="B856" s="68">
        <v>45967</v>
      </c>
      <c r="C856" s="40">
        <v>139</v>
      </c>
      <c r="D856" s="40">
        <f t="shared" si="71"/>
        <v>1</v>
      </c>
      <c r="E856" s="41" t="s">
        <v>1040</v>
      </c>
      <c r="F856" s="17" t="s">
        <v>176</v>
      </c>
      <c r="G856" s="17" t="s">
        <v>86</v>
      </c>
      <c r="H856" s="17">
        <v>111</v>
      </c>
      <c r="I856" s="17" t="str">
        <f t="shared" si="75"/>
        <v>PR_PEI(V)-111</v>
      </c>
      <c r="J856" s="18" t="s">
        <v>175</v>
      </c>
      <c r="K856" s="19" t="e">
        <f>IF(J856="","SEM #CH",VLOOKUP(J856,#REF!,2,0))</f>
        <v>#REF!</v>
      </c>
      <c r="L856" s="19" t="e">
        <f>IF(J856="","SEM #CH",VLOOKUP(J856,#REF!,3,0))</f>
        <v>#REF!</v>
      </c>
      <c r="M856" s="19" t="e">
        <f>IF(J856="","SEM #CH",VLOOKUP(J856,#REF!,4,0))</f>
        <v>#REF!</v>
      </c>
      <c r="N856" s="19" t="e">
        <f>IF(J856="","SEM #CH",VLOOKUP(J856,#REF!,5,0))</f>
        <v>#REF!</v>
      </c>
      <c r="O856" s="19" t="e">
        <f>IF(J856="","SEM #CH",VLOOKUP(J856,#REF!,6,0))</f>
        <v>#REF!</v>
      </c>
      <c r="P856" s="19" t="e">
        <f>IF(J856="","SEM #CH",VLOOKUP(J856,#REF!,7,0))</f>
        <v>#REF!</v>
      </c>
      <c r="Q856" s="77" t="str">
        <f>VLOOKUP(J856,'p1'!$B$2:$C$30,2,0)</f>
        <v>ATERRAMENTO+ CHAPA P/ T10"</v>
      </c>
      <c r="R856" s="90"/>
      <c r="S856" s="90" t="s">
        <v>218</v>
      </c>
      <c r="T856" s="90">
        <f t="shared" si="73"/>
        <v>0</v>
      </c>
      <c r="U856" s="90"/>
      <c r="V856" s="90"/>
      <c r="W856" s="92"/>
      <c r="X856" s="93" t="str">
        <f t="shared" si="72"/>
        <v/>
      </c>
      <c r="Y856" s="92"/>
      <c r="Z856" s="92"/>
      <c r="AA856" s="13" t="str">
        <f t="shared" si="74"/>
        <v>jan/1900</v>
      </c>
    </row>
    <row r="857" spans="1:27" x14ac:dyDescent="0.25">
      <c r="A857" s="89">
        <v>856</v>
      </c>
      <c r="B857" s="68">
        <v>45993</v>
      </c>
      <c r="C857" s="40">
        <v>160</v>
      </c>
      <c r="D857" s="40">
        <f t="shared" si="71"/>
        <v>1</v>
      </c>
      <c r="E857" s="41" t="s">
        <v>1040</v>
      </c>
      <c r="F857" s="17" t="s">
        <v>60</v>
      </c>
      <c r="G857" s="17" t="s">
        <v>86</v>
      </c>
      <c r="H857" s="17">
        <v>112</v>
      </c>
      <c r="I857" s="17" t="str">
        <f t="shared" si="75"/>
        <v>PR_PE-112</v>
      </c>
      <c r="J857" s="18" t="s">
        <v>60</v>
      </c>
      <c r="K857" s="19" t="e">
        <f>IF(J857="","SEM #CH",VLOOKUP(J857,#REF!,2,0))</f>
        <v>#REF!</v>
      </c>
      <c r="L857" s="19" t="e">
        <f>IF(J857="","SEM #CH",VLOOKUP(J857,#REF!,3,0))</f>
        <v>#REF!</v>
      </c>
      <c r="M857" s="19" t="e">
        <f>IF(J857="","SEM #CH",VLOOKUP(J857,#REF!,4,0))</f>
        <v>#REF!</v>
      </c>
      <c r="N857" s="19" t="e">
        <f>IF(J857="","SEM #CH",VLOOKUP(J857,#REF!,5,0))</f>
        <v>#REF!</v>
      </c>
      <c r="O857" s="19" t="e">
        <f>IF(J857="","SEM #CH",VLOOKUP(J857,#REF!,6,0))</f>
        <v>#REF!</v>
      </c>
      <c r="P857" s="19" t="e">
        <f>IF(J857="","SEM #CH",VLOOKUP(J857,#REF!,7,0))</f>
        <v>#REF!</v>
      </c>
      <c r="Q857" s="77" t="str">
        <f>VLOOKUP(J857,'p1'!$B$2:$C$30,2,0)</f>
        <v>OLHAR DESENHO ESPECIFICO</v>
      </c>
      <c r="R857" s="90"/>
      <c r="S857" s="90" t="s">
        <v>218</v>
      </c>
      <c r="T857" s="90">
        <f t="shared" si="73"/>
        <v>0</v>
      </c>
      <c r="U857" s="90"/>
      <c r="V857" s="90"/>
      <c r="W857" s="92"/>
      <c r="X857" s="93" t="str">
        <f t="shared" si="72"/>
        <v/>
      </c>
      <c r="Y857" s="92"/>
      <c r="Z857" s="92"/>
      <c r="AA857" s="13" t="str">
        <f t="shared" si="74"/>
        <v>jan/1900</v>
      </c>
    </row>
    <row r="858" spans="1:27" x14ac:dyDescent="0.25">
      <c r="A858" s="89">
        <v>857</v>
      </c>
      <c r="B858" s="68">
        <v>45864</v>
      </c>
      <c r="C858" s="40">
        <v>58</v>
      </c>
      <c r="D858" s="40">
        <f t="shared" si="71"/>
        <v>1</v>
      </c>
      <c r="E858" s="41" t="s">
        <v>1040</v>
      </c>
      <c r="F858" s="17" t="s">
        <v>123</v>
      </c>
      <c r="G858" s="17" t="s">
        <v>86</v>
      </c>
      <c r="H858" s="17">
        <v>113</v>
      </c>
      <c r="I858" s="17" t="str">
        <f t="shared" si="75"/>
        <v>PR_PNI-113</v>
      </c>
      <c r="J858" s="18" t="s">
        <v>123</v>
      </c>
      <c r="K858" s="19" t="e">
        <f>IF(J858="","SEM #CH",VLOOKUP(J858,#REF!,2,0))</f>
        <v>#REF!</v>
      </c>
      <c r="L858" s="19" t="e">
        <f>IF(J858="","SEM #CH",VLOOKUP(J858,#REF!,3,0))</f>
        <v>#REF!</v>
      </c>
      <c r="M858" s="19" t="e">
        <f>IF(J858="","SEM #CH",VLOOKUP(J858,#REF!,4,0))</f>
        <v>#REF!</v>
      </c>
      <c r="N858" s="19" t="e">
        <f>IF(J858="","SEM #CH",VLOOKUP(J858,#REF!,5,0))</f>
        <v>#REF!</v>
      </c>
      <c r="O858" s="19" t="e">
        <f>IF(J858="","SEM #CH",VLOOKUP(J858,#REF!,6,0))</f>
        <v>#REF!</v>
      </c>
      <c r="P858" s="19" t="e">
        <f>IF(J858="","SEM #CH",VLOOKUP(J858,#REF!,7,0))</f>
        <v>#REF!</v>
      </c>
      <c r="Q858" s="77" t="str">
        <f>VLOOKUP(J858,'p1'!$B$2:$C$30,2,0)</f>
        <v>02- 150X150 #3/8</v>
      </c>
      <c r="R858" s="94">
        <v>45869</v>
      </c>
      <c r="S858" s="90" t="s">
        <v>218</v>
      </c>
      <c r="T858" s="90">
        <f t="shared" si="73"/>
        <v>1</v>
      </c>
      <c r="U858" s="94">
        <v>45884</v>
      </c>
      <c r="V858" s="90" t="s">
        <v>86</v>
      </c>
      <c r="W858" s="92">
        <v>2473</v>
      </c>
      <c r="X858" s="93">
        <f t="shared" si="72"/>
        <v>1</v>
      </c>
      <c r="Y858" s="92"/>
      <c r="Z858" s="92"/>
      <c r="AA858" s="13" t="str">
        <f t="shared" si="74"/>
        <v>jul/2025</v>
      </c>
    </row>
    <row r="859" spans="1:27" x14ac:dyDescent="0.25">
      <c r="A859" s="89">
        <v>858</v>
      </c>
      <c r="B859" s="68">
        <v>45861</v>
      </c>
      <c r="C859" s="40">
        <v>55</v>
      </c>
      <c r="D859" s="40">
        <f t="shared" si="71"/>
        <v>1</v>
      </c>
      <c r="E859" s="41" t="s">
        <v>1040</v>
      </c>
      <c r="F859" s="17" t="s">
        <v>58</v>
      </c>
      <c r="G859" s="17" t="s">
        <v>86</v>
      </c>
      <c r="H859" s="17">
        <v>114</v>
      </c>
      <c r="I859" s="17" t="str">
        <f t="shared" si="75"/>
        <v>PR_PN-114</v>
      </c>
      <c r="J859" s="18" t="s">
        <v>85</v>
      </c>
      <c r="K859" s="19" t="e">
        <f>IF(J859="","SEM #CH",VLOOKUP(J859,#REF!,2,0))</f>
        <v>#REF!</v>
      </c>
      <c r="L859" s="19" t="e">
        <f>IF(J859="","SEM #CH",VLOOKUP(J859,#REF!,3,0))</f>
        <v>#REF!</v>
      </c>
      <c r="M859" s="19" t="e">
        <f>IF(J859="","SEM #CH",VLOOKUP(J859,#REF!,4,0))</f>
        <v>#REF!</v>
      </c>
      <c r="N859" s="19" t="e">
        <f>IF(J859="","SEM #CH",VLOOKUP(J859,#REF!,5,0))</f>
        <v>#REF!</v>
      </c>
      <c r="O859" s="19" t="e">
        <f>IF(J859="","SEM #CH",VLOOKUP(J859,#REF!,6,0))</f>
        <v>#REF!</v>
      </c>
      <c r="P859" s="19" t="e">
        <f>IF(J859="","SEM #CH",VLOOKUP(J859,#REF!,7,0))</f>
        <v>#REF!</v>
      </c>
      <c r="Q859" s="77" t="str">
        <f>VLOOKUP(J859,'p1'!$B$2:$C$30,2,0)</f>
        <v>NÃO TEM CHAPA</v>
      </c>
      <c r="R859" s="90"/>
      <c r="S859" s="90" t="s">
        <v>217</v>
      </c>
      <c r="T859" s="90">
        <f t="shared" si="73"/>
        <v>0</v>
      </c>
      <c r="U859" s="90"/>
      <c r="V859" s="90"/>
      <c r="W859" s="92"/>
      <c r="X859" s="93" t="str">
        <f t="shared" si="72"/>
        <v/>
      </c>
      <c r="Y859" s="92"/>
      <c r="Z859" s="92"/>
      <c r="AA859" s="13" t="str">
        <f t="shared" si="74"/>
        <v>jan/1900</v>
      </c>
    </row>
    <row r="860" spans="1:27" x14ac:dyDescent="0.25">
      <c r="A860" s="89">
        <v>859</v>
      </c>
      <c r="B860" s="68">
        <v>45863</v>
      </c>
      <c r="C860" s="40">
        <v>57</v>
      </c>
      <c r="D860" s="40">
        <f t="shared" si="71"/>
        <v>1</v>
      </c>
      <c r="E860" s="41" t="s">
        <v>1040</v>
      </c>
      <c r="F860" s="17" t="s">
        <v>58</v>
      </c>
      <c r="G860" s="17" t="s">
        <v>86</v>
      </c>
      <c r="H860" s="17">
        <v>115</v>
      </c>
      <c r="I860" s="17" t="str">
        <f t="shared" si="75"/>
        <v>PR_PN-115</v>
      </c>
      <c r="J860" s="18" t="s">
        <v>85</v>
      </c>
      <c r="K860" s="19" t="e">
        <f>IF(J860="","SEM #CH",VLOOKUP(J860,#REF!,2,0))</f>
        <v>#REF!</v>
      </c>
      <c r="L860" s="19" t="e">
        <f>IF(J860="","SEM #CH",VLOOKUP(J860,#REF!,3,0))</f>
        <v>#REF!</v>
      </c>
      <c r="M860" s="19" t="e">
        <f>IF(J860="","SEM #CH",VLOOKUP(J860,#REF!,4,0))</f>
        <v>#REF!</v>
      </c>
      <c r="N860" s="19" t="e">
        <f>IF(J860="","SEM #CH",VLOOKUP(J860,#REF!,5,0))</f>
        <v>#REF!</v>
      </c>
      <c r="O860" s="19" t="e">
        <f>IF(J860="","SEM #CH",VLOOKUP(J860,#REF!,6,0))</f>
        <v>#REF!</v>
      </c>
      <c r="P860" s="19" t="e">
        <f>IF(J860="","SEM #CH",VLOOKUP(J860,#REF!,7,0))</f>
        <v>#REF!</v>
      </c>
      <c r="Q860" s="77" t="str">
        <f>VLOOKUP(J860,'p1'!$B$2:$C$30,2,0)</f>
        <v>NÃO TEM CHAPA</v>
      </c>
      <c r="R860" s="90"/>
      <c r="S860" s="90" t="s">
        <v>217</v>
      </c>
      <c r="T860" s="90">
        <f t="shared" si="73"/>
        <v>0</v>
      </c>
      <c r="U860" s="90"/>
      <c r="V860" s="90"/>
      <c r="W860" s="92"/>
      <c r="X860" s="93" t="str">
        <f t="shared" si="72"/>
        <v/>
      </c>
      <c r="Y860" s="92">
        <v>700</v>
      </c>
      <c r="Z860" s="92"/>
      <c r="AA860" s="13" t="str">
        <f t="shared" si="74"/>
        <v>jan/1900</v>
      </c>
    </row>
    <row r="861" spans="1:27" x14ac:dyDescent="0.25">
      <c r="A861" s="89">
        <v>860</v>
      </c>
      <c r="B861" s="68">
        <v>45867</v>
      </c>
      <c r="C861" s="40">
        <v>59</v>
      </c>
      <c r="D861" s="40">
        <f t="shared" si="71"/>
        <v>1</v>
      </c>
      <c r="E861" s="41" t="s">
        <v>1040</v>
      </c>
      <c r="F861" s="17" t="s">
        <v>58</v>
      </c>
      <c r="G861" s="17" t="s">
        <v>86</v>
      </c>
      <c r="H861" s="17">
        <v>116</v>
      </c>
      <c r="I861" s="17" t="str">
        <f t="shared" si="75"/>
        <v>PR_PN-116</v>
      </c>
      <c r="J861" s="18" t="s">
        <v>85</v>
      </c>
      <c r="K861" s="19" t="e">
        <f>IF(J861="","SEM #CH",VLOOKUP(J861,#REF!,2,0))</f>
        <v>#REF!</v>
      </c>
      <c r="L861" s="19" t="e">
        <f>IF(J861="","SEM #CH",VLOOKUP(J861,#REF!,3,0))</f>
        <v>#REF!</v>
      </c>
      <c r="M861" s="19" t="e">
        <f>IF(J861="","SEM #CH",VLOOKUP(J861,#REF!,4,0))</f>
        <v>#REF!</v>
      </c>
      <c r="N861" s="19" t="e">
        <f>IF(J861="","SEM #CH",VLOOKUP(J861,#REF!,5,0))</f>
        <v>#REF!</v>
      </c>
      <c r="O861" s="19" t="e">
        <f>IF(J861="","SEM #CH",VLOOKUP(J861,#REF!,6,0))</f>
        <v>#REF!</v>
      </c>
      <c r="P861" s="19" t="e">
        <f>IF(J861="","SEM #CH",VLOOKUP(J861,#REF!,7,0))</f>
        <v>#REF!</v>
      </c>
      <c r="Q861" s="77" t="str">
        <f>VLOOKUP(J861,'p1'!$B$2:$C$30,2,0)</f>
        <v>NÃO TEM CHAPA</v>
      </c>
      <c r="R861" s="90"/>
      <c r="S861" s="90" t="s">
        <v>217</v>
      </c>
      <c r="T861" s="90">
        <f t="shared" si="73"/>
        <v>0</v>
      </c>
      <c r="U861" s="90"/>
      <c r="V861" s="90"/>
      <c r="W861" s="92"/>
      <c r="X861" s="93" t="str">
        <f t="shared" si="72"/>
        <v/>
      </c>
      <c r="Y861" s="92"/>
      <c r="Z861" s="92"/>
      <c r="AA861" s="13" t="str">
        <f t="shared" si="74"/>
        <v>jan/1900</v>
      </c>
    </row>
    <row r="862" spans="1:27" x14ac:dyDescent="0.25">
      <c r="A862" s="89">
        <v>861</v>
      </c>
      <c r="B862" s="68">
        <v>45870</v>
      </c>
      <c r="C862" s="40">
        <v>61</v>
      </c>
      <c r="D862" s="40">
        <f t="shared" si="71"/>
        <v>1</v>
      </c>
      <c r="E862" s="41" t="s">
        <v>1040</v>
      </c>
      <c r="F862" s="17" t="s">
        <v>58</v>
      </c>
      <c r="G862" s="17" t="s">
        <v>86</v>
      </c>
      <c r="H862" s="17">
        <v>117</v>
      </c>
      <c r="I862" s="17" t="str">
        <f t="shared" si="75"/>
        <v>PR_PN-117</v>
      </c>
      <c r="J862" s="18" t="s">
        <v>85</v>
      </c>
      <c r="K862" s="19" t="e">
        <f>IF(J862="","SEM #CH",VLOOKUP(J862,#REF!,2,0))</f>
        <v>#REF!</v>
      </c>
      <c r="L862" s="19" t="e">
        <f>IF(J862="","SEM #CH",VLOOKUP(J862,#REF!,3,0))</f>
        <v>#REF!</v>
      </c>
      <c r="M862" s="19" t="e">
        <f>IF(J862="","SEM #CH",VLOOKUP(J862,#REF!,4,0))</f>
        <v>#REF!</v>
      </c>
      <c r="N862" s="19" t="e">
        <f>IF(J862="","SEM #CH",VLOOKUP(J862,#REF!,5,0))</f>
        <v>#REF!</v>
      </c>
      <c r="O862" s="19" t="e">
        <f>IF(J862="","SEM #CH",VLOOKUP(J862,#REF!,6,0))</f>
        <v>#REF!</v>
      </c>
      <c r="P862" s="19" t="e">
        <f>IF(J862="","SEM #CH",VLOOKUP(J862,#REF!,7,0))</f>
        <v>#REF!</v>
      </c>
      <c r="Q862" s="77" t="str">
        <f>VLOOKUP(J862,'p1'!$B$2:$C$30,2,0)</f>
        <v>NÃO TEM CHAPA</v>
      </c>
      <c r="R862" s="90"/>
      <c r="S862" s="90" t="s">
        <v>217</v>
      </c>
      <c r="T862" s="90">
        <f t="shared" si="73"/>
        <v>0</v>
      </c>
      <c r="U862" s="90"/>
      <c r="V862" s="90"/>
      <c r="W862" s="92"/>
      <c r="X862" s="93" t="str">
        <f t="shared" si="72"/>
        <v/>
      </c>
      <c r="Y862" s="92"/>
      <c r="Z862" s="92"/>
      <c r="AA862" s="13" t="str">
        <f t="shared" si="74"/>
        <v>jan/1900</v>
      </c>
    </row>
    <row r="863" spans="1:27" x14ac:dyDescent="0.25">
      <c r="A863" s="89">
        <v>862</v>
      </c>
      <c r="B863" s="68">
        <v>45873</v>
      </c>
      <c r="C863" s="40">
        <v>63</v>
      </c>
      <c r="D863" s="40">
        <f t="shared" si="71"/>
        <v>1</v>
      </c>
      <c r="E863" s="41" t="s">
        <v>1040</v>
      </c>
      <c r="F863" s="17" t="s">
        <v>58</v>
      </c>
      <c r="G863" s="17" t="s">
        <v>86</v>
      </c>
      <c r="H863" s="17">
        <v>118</v>
      </c>
      <c r="I863" s="17" t="str">
        <f t="shared" si="75"/>
        <v>PR_PN-118</v>
      </c>
      <c r="J863" s="18" t="s">
        <v>85</v>
      </c>
      <c r="K863" s="19" t="e">
        <f>IF(J863="","SEM #CH",VLOOKUP(J863,#REF!,2,0))</f>
        <v>#REF!</v>
      </c>
      <c r="L863" s="19" t="e">
        <f>IF(J863="","SEM #CH",VLOOKUP(J863,#REF!,3,0))</f>
        <v>#REF!</v>
      </c>
      <c r="M863" s="19" t="e">
        <f>IF(J863="","SEM #CH",VLOOKUP(J863,#REF!,4,0))</f>
        <v>#REF!</v>
      </c>
      <c r="N863" s="19" t="e">
        <f>IF(J863="","SEM #CH",VLOOKUP(J863,#REF!,5,0))</f>
        <v>#REF!</v>
      </c>
      <c r="O863" s="19" t="e">
        <f>IF(J863="","SEM #CH",VLOOKUP(J863,#REF!,6,0))</f>
        <v>#REF!</v>
      </c>
      <c r="P863" s="19" t="e">
        <f>IF(J863="","SEM #CH",VLOOKUP(J863,#REF!,7,0))</f>
        <v>#REF!</v>
      </c>
      <c r="Q863" s="77" t="str">
        <f>VLOOKUP(J863,'p1'!$B$2:$C$30,2,0)</f>
        <v>NÃO TEM CHAPA</v>
      </c>
      <c r="R863" s="90"/>
      <c r="S863" s="90" t="s">
        <v>217</v>
      </c>
      <c r="T863" s="90">
        <f t="shared" si="73"/>
        <v>0</v>
      </c>
      <c r="U863" s="90"/>
      <c r="V863" s="90"/>
      <c r="W863" s="92"/>
      <c r="X863" s="93" t="str">
        <f t="shared" si="72"/>
        <v/>
      </c>
      <c r="Y863" s="92"/>
      <c r="Z863" s="92"/>
      <c r="AA863" s="13" t="str">
        <f t="shared" si="74"/>
        <v>jan/1900</v>
      </c>
    </row>
    <row r="864" spans="1:27" x14ac:dyDescent="0.25">
      <c r="A864" s="89">
        <v>863</v>
      </c>
      <c r="B864" s="68">
        <v>45868</v>
      </c>
      <c r="C864" s="40">
        <v>60</v>
      </c>
      <c r="D864" s="40">
        <f t="shared" si="71"/>
        <v>1</v>
      </c>
      <c r="E864" s="41" t="s">
        <v>1040</v>
      </c>
      <c r="F864" s="17" t="s">
        <v>123</v>
      </c>
      <c r="G864" s="17" t="s">
        <v>86</v>
      </c>
      <c r="H864" s="17">
        <v>119</v>
      </c>
      <c r="I864" s="17" t="str">
        <f t="shared" si="75"/>
        <v>PR_PNI-119</v>
      </c>
      <c r="J864" s="18" t="s">
        <v>123</v>
      </c>
      <c r="K864" s="19" t="e">
        <f>IF(J864="","SEM #CH",VLOOKUP(J864,#REF!,2,0))</f>
        <v>#REF!</v>
      </c>
      <c r="L864" s="19" t="e">
        <f>IF(J864="","SEM #CH",VLOOKUP(J864,#REF!,3,0))</f>
        <v>#REF!</v>
      </c>
      <c r="M864" s="19" t="e">
        <f>IF(J864="","SEM #CH",VLOOKUP(J864,#REF!,4,0))</f>
        <v>#REF!</v>
      </c>
      <c r="N864" s="19" t="e">
        <f>IF(J864="","SEM #CH",VLOOKUP(J864,#REF!,5,0))</f>
        <v>#REF!</v>
      </c>
      <c r="O864" s="19" t="e">
        <f>IF(J864="","SEM #CH",VLOOKUP(J864,#REF!,6,0))</f>
        <v>#REF!</v>
      </c>
      <c r="P864" s="19" t="e">
        <f>IF(J864="","SEM #CH",VLOOKUP(J864,#REF!,7,0))</f>
        <v>#REF!</v>
      </c>
      <c r="Q864" s="77" t="str">
        <f>VLOOKUP(J864,'p1'!$B$2:$C$30,2,0)</f>
        <v>02- 150X150 #3/8</v>
      </c>
      <c r="R864" s="94">
        <v>45887</v>
      </c>
      <c r="S864" s="90" t="s">
        <v>218</v>
      </c>
      <c r="T864" s="90">
        <f t="shared" si="73"/>
        <v>1</v>
      </c>
      <c r="U864" s="90"/>
      <c r="V864" s="90"/>
      <c r="W864" s="92"/>
      <c r="X864" s="93" t="str">
        <f t="shared" si="72"/>
        <v/>
      </c>
      <c r="Y864" s="92"/>
      <c r="Z864" s="92"/>
      <c r="AA864" s="13" t="str">
        <f t="shared" si="74"/>
        <v>ago/2025</v>
      </c>
    </row>
    <row r="865" spans="1:27" x14ac:dyDescent="0.25">
      <c r="A865" s="89">
        <v>864</v>
      </c>
      <c r="B865" s="68">
        <v>45835</v>
      </c>
      <c r="C865" s="40">
        <v>41</v>
      </c>
      <c r="D865" s="40">
        <f t="shared" si="71"/>
        <v>1</v>
      </c>
      <c r="E865" s="41" t="s">
        <v>1040</v>
      </c>
      <c r="F865" s="17" t="s">
        <v>61</v>
      </c>
      <c r="G865" s="17" t="s">
        <v>86</v>
      </c>
      <c r="H865" s="17">
        <v>120</v>
      </c>
      <c r="I865" s="17" t="str">
        <f t="shared" si="75"/>
        <v>PR_PF-120</v>
      </c>
      <c r="J865" s="18" t="s">
        <v>61</v>
      </c>
      <c r="K865" s="19" t="e">
        <f>IF(J865="","SEM #CH",VLOOKUP(J865,#REF!,2,0))</f>
        <v>#REF!</v>
      </c>
      <c r="L865" s="19" t="e">
        <f>IF(J865="","SEM #CH",VLOOKUP(J865,#REF!,3,0))</f>
        <v>#REF!</v>
      </c>
      <c r="M865" s="19" t="e">
        <f>IF(J865="","SEM #CH",VLOOKUP(J865,#REF!,4,0))</f>
        <v>#REF!</v>
      </c>
      <c r="N865" s="19" t="e">
        <f>IF(J865="","SEM #CH",VLOOKUP(J865,#REF!,5,0))</f>
        <v>#REF!</v>
      </c>
      <c r="O865" s="19" t="e">
        <f>IF(J865="","SEM #CH",VLOOKUP(J865,#REF!,6,0))</f>
        <v>#REF!</v>
      </c>
      <c r="P865" s="19" t="e">
        <f>IF(J865="","SEM #CH",VLOOKUP(J865,#REF!,7,0))</f>
        <v>#REF!</v>
      </c>
      <c r="Q865" s="77" t="str">
        <f>VLOOKUP(J865,'p1'!$B$2:$C$30,2,0)</f>
        <v>SEM CHAPA</v>
      </c>
      <c r="R865" s="90"/>
      <c r="S865" s="90" t="s">
        <v>217</v>
      </c>
      <c r="T865" s="90">
        <f t="shared" si="73"/>
        <v>0</v>
      </c>
      <c r="U865" s="90"/>
      <c r="V865" s="90"/>
      <c r="W865" s="92"/>
      <c r="X865" s="93" t="str">
        <f t="shared" si="72"/>
        <v/>
      </c>
      <c r="Y865" s="92">
        <v>700</v>
      </c>
      <c r="Z865" s="92"/>
      <c r="AA865" s="13" t="str">
        <f t="shared" si="74"/>
        <v>jan/1900</v>
      </c>
    </row>
    <row r="866" spans="1:27" x14ac:dyDescent="0.25">
      <c r="A866" s="89">
        <v>865</v>
      </c>
      <c r="B866" s="68">
        <v>45876</v>
      </c>
      <c r="C866" s="40">
        <v>65</v>
      </c>
      <c r="D866" s="40">
        <f t="shared" si="71"/>
        <v>1</v>
      </c>
      <c r="E866" s="41" t="s">
        <v>1040</v>
      </c>
      <c r="F866" s="17" t="s">
        <v>58</v>
      </c>
      <c r="G866" s="17" t="s">
        <v>86</v>
      </c>
      <c r="H866" s="17">
        <v>121</v>
      </c>
      <c r="I866" s="17" t="str">
        <f t="shared" si="75"/>
        <v>PR_PN-121</v>
      </c>
      <c r="J866" s="18" t="s">
        <v>85</v>
      </c>
      <c r="K866" s="19" t="e">
        <f>IF(J866="","SEM #CH",VLOOKUP(J866,#REF!,2,0))</f>
        <v>#REF!</v>
      </c>
      <c r="L866" s="19" t="e">
        <f>IF(J866="","SEM #CH",VLOOKUP(J866,#REF!,3,0))</f>
        <v>#REF!</v>
      </c>
      <c r="M866" s="19" t="e">
        <f>IF(J866="","SEM #CH",VLOOKUP(J866,#REF!,4,0))</f>
        <v>#REF!</v>
      </c>
      <c r="N866" s="19" t="e">
        <f>IF(J866="","SEM #CH",VLOOKUP(J866,#REF!,5,0))</f>
        <v>#REF!</v>
      </c>
      <c r="O866" s="19" t="e">
        <f>IF(J866="","SEM #CH",VLOOKUP(J866,#REF!,6,0))</f>
        <v>#REF!</v>
      </c>
      <c r="P866" s="19" t="e">
        <f>IF(J866="","SEM #CH",VLOOKUP(J866,#REF!,7,0))</f>
        <v>#REF!</v>
      </c>
      <c r="Q866" s="77" t="str">
        <f>VLOOKUP(J866,'p1'!$B$2:$C$30,2,0)</f>
        <v>NÃO TEM CHAPA</v>
      </c>
      <c r="R866" s="90"/>
      <c r="S866" s="90" t="s">
        <v>217</v>
      </c>
      <c r="T866" s="90">
        <f t="shared" si="73"/>
        <v>0</v>
      </c>
      <c r="U866" s="90"/>
      <c r="V866" s="90"/>
      <c r="W866" s="92"/>
      <c r="X866" s="93" t="str">
        <f t="shared" si="72"/>
        <v/>
      </c>
      <c r="Y866" s="92"/>
      <c r="Z866" s="92"/>
      <c r="AA866" s="13" t="str">
        <f t="shared" si="74"/>
        <v>jan/1900</v>
      </c>
    </row>
    <row r="867" spans="1:27" x14ac:dyDescent="0.25">
      <c r="A867" s="89">
        <v>866</v>
      </c>
      <c r="B867" s="68">
        <v>45878</v>
      </c>
      <c r="C867" s="40">
        <v>67</v>
      </c>
      <c r="D867" s="40">
        <f t="shared" si="71"/>
        <v>1</v>
      </c>
      <c r="E867" s="41" t="s">
        <v>1040</v>
      </c>
      <c r="F867" s="17" t="s">
        <v>58</v>
      </c>
      <c r="G867" s="17" t="s">
        <v>86</v>
      </c>
      <c r="H867" s="17">
        <v>122</v>
      </c>
      <c r="I867" s="17" t="str">
        <f t="shared" si="75"/>
        <v>PR_PN-122</v>
      </c>
      <c r="J867" s="18" t="s">
        <v>85</v>
      </c>
      <c r="K867" s="19" t="e">
        <f>IF(J867="","SEM #CH",VLOOKUP(J867,#REF!,2,0))</f>
        <v>#REF!</v>
      </c>
      <c r="L867" s="19" t="e">
        <f>IF(J867="","SEM #CH",VLOOKUP(J867,#REF!,3,0))</f>
        <v>#REF!</v>
      </c>
      <c r="M867" s="19" t="e">
        <f>IF(J867="","SEM #CH",VLOOKUP(J867,#REF!,4,0))</f>
        <v>#REF!</v>
      </c>
      <c r="N867" s="19" t="e">
        <f>IF(J867="","SEM #CH",VLOOKUP(J867,#REF!,5,0))</f>
        <v>#REF!</v>
      </c>
      <c r="O867" s="19" t="e">
        <f>IF(J867="","SEM #CH",VLOOKUP(J867,#REF!,6,0))</f>
        <v>#REF!</v>
      </c>
      <c r="P867" s="19" t="e">
        <f>IF(J867="","SEM #CH",VLOOKUP(J867,#REF!,7,0))</f>
        <v>#REF!</v>
      </c>
      <c r="Q867" s="77" t="str">
        <f>VLOOKUP(J867,'p1'!$B$2:$C$30,2,0)</f>
        <v>NÃO TEM CHAPA</v>
      </c>
      <c r="R867" s="90"/>
      <c r="S867" s="90" t="s">
        <v>217</v>
      </c>
      <c r="T867" s="90">
        <f t="shared" si="73"/>
        <v>0</v>
      </c>
      <c r="U867" s="90"/>
      <c r="V867" s="90"/>
      <c r="W867" s="92"/>
      <c r="X867" s="93" t="str">
        <f t="shared" si="72"/>
        <v/>
      </c>
      <c r="Y867" s="92"/>
      <c r="Z867" s="92"/>
      <c r="AA867" s="13" t="str">
        <f t="shared" si="74"/>
        <v>jan/1900</v>
      </c>
    </row>
    <row r="868" spans="1:27" x14ac:dyDescent="0.25">
      <c r="A868" s="89">
        <v>867</v>
      </c>
      <c r="B868" s="68">
        <v>45883</v>
      </c>
      <c r="C868" s="40">
        <v>69</v>
      </c>
      <c r="D868" s="40">
        <f t="shared" si="71"/>
        <v>1</v>
      </c>
      <c r="E868" s="41" t="s">
        <v>1040</v>
      </c>
      <c r="F868" s="17" t="s">
        <v>58</v>
      </c>
      <c r="G868" s="17" t="s">
        <v>86</v>
      </c>
      <c r="H868" s="17">
        <v>123</v>
      </c>
      <c r="I868" s="17" t="str">
        <f t="shared" si="75"/>
        <v>PR_PN-123</v>
      </c>
      <c r="J868" s="18" t="s">
        <v>85</v>
      </c>
      <c r="K868" s="19" t="e">
        <f>IF(J868="","SEM #CH",VLOOKUP(J868,#REF!,2,0))</f>
        <v>#REF!</v>
      </c>
      <c r="L868" s="19" t="e">
        <f>IF(J868="","SEM #CH",VLOOKUP(J868,#REF!,3,0))</f>
        <v>#REF!</v>
      </c>
      <c r="M868" s="19" t="e">
        <f>IF(J868="","SEM #CH",VLOOKUP(J868,#REF!,4,0))</f>
        <v>#REF!</v>
      </c>
      <c r="N868" s="19" t="e">
        <f>IF(J868="","SEM #CH",VLOOKUP(J868,#REF!,5,0))</f>
        <v>#REF!</v>
      </c>
      <c r="O868" s="19" t="e">
        <f>IF(J868="","SEM #CH",VLOOKUP(J868,#REF!,6,0))</f>
        <v>#REF!</v>
      </c>
      <c r="P868" s="19" t="e">
        <f>IF(J868="","SEM #CH",VLOOKUP(J868,#REF!,7,0))</f>
        <v>#REF!</v>
      </c>
      <c r="Q868" s="77" t="str">
        <f>VLOOKUP(J868,'p1'!$B$2:$C$30,2,0)</f>
        <v>NÃO TEM CHAPA</v>
      </c>
      <c r="R868" s="90"/>
      <c r="S868" s="90" t="s">
        <v>217</v>
      </c>
      <c r="T868" s="90">
        <f t="shared" si="73"/>
        <v>0</v>
      </c>
      <c r="U868" s="90"/>
      <c r="V868" s="90"/>
      <c r="W868" s="92"/>
      <c r="X868" s="93" t="str">
        <f t="shared" si="72"/>
        <v/>
      </c>
      <c r="Y868" s="92"/>
      <c r="Z868" s="92"/>
      <c r="AA868" s="13" t="str">
        <f t="shared" si="74"/>
        <v>jan/1900</v>
      </c>
    </row>
    <row r="869" spans="1:27" x14ac:dyDescent="0.25">
      <c r="A869" s="89">
        <v>868</v>
      </c>
      <c r="B869" s="68">
        <v>45884</v>
      </c>
      <c r="C869" s="40">
        <v>70</v>
      </c>
      <c r="D869" s="40">
        <f t="shared" si="71"/>
        <v>1</v>
      </c>
      <c r="E869" s="41" t="s">
        <v>1040</v>
      </c>
      <c r="F869" s="17" t="s">
        <v>58</v>
      </c>
      <c r="G869" s="17" t="s">
        <v>86</v>
      </c>
      <c r="H869" s="17">
        <v>124</v>
      </c>
      <c r="I869" s="17" t="str">
        <f t="shared" si="75"/>
        <v>PR_PN-124</v>
      </c>
      <c r="J869" s="18" t="s">
        <v>85</v>
      </c>
      <c r="K869" s="19" t="e">
        <f>IF(J869="","SEM #CH",VLOOKUP(J869,#REF!,2,0))</f>
        <v>#REF!</v>
      </c>
      <c r="L869" s="19" t="e">
        <f>IF(J869="","SEM #CH",VLOOKUP(J869,#REF!,3,0))</f>
        <v>#REF!</v>
      </c>
      <c r="M869" s="19" t="e">
        <f>IF(J869="","SEM #CH",VLOOKUP(J869,#REF!,4,0))</f>
        <v>#REF!</v>
      </c>
      <c r="N869" s="19" t="e">
        <f>IF(J869="","SEM #CH",VLOOKUP(J869,#REF!,5,0))</f>
        <v>#REF!</v>
      </c>
      <c r="O869" s="19" t="e">
        <f>IF(J869="","SEM #CH",VLOOKUP(J869,#REF!,6,0))</f>
        <v>#REF!</v>
      </c>
      <c r="P869" s="19" t="e">
        <f>IF(J869="","SEM #CH",VLOOKUP(J869,#REF!,7,0))</f>
        <v>#REF!</v>
      </c>
      <c r="Q869" s="77" t="str">
        <f>VLOOKUP(J869,'p1'!$B$2:$C$30,2,0)</f>
        <v>NÃO TEM CHAPA</v>
      </c>
      <c r="R869" s="94">
        <v>45889</v>
      </c>
      <c r="S869" s="90" t="s">
        <v>218</v>
      </c>
      <c r="T869" s="90">
        <f t="shared" si="73"/>
        <v>1</v>
      </c>
      <c r="U869" s="90"/>
      <c r="V869" s="90"/>
      <c r="W869" s="92"/>
      <c r="X869" s="93" t="str">
        <f t="shared" si="72"/>
        <v/>
      </c>
      <c r="Y869" s="92"/>
      <c r="Z869" s="92"/>
      <c r="AA869" s="13" t="str">
        <f t="shared" si="74"/>
        <v>ago/2025</v>
      </c>
    </row>
    <row r="870" spans="1:27" x14ac:dyDescent="0.25">
      <c r="A870" s="89">
        <v>869</v>
      </c>
      <c r="B870" s="68">
        <v>45871</v>
      </c>
      <c r="C870" s="40">
        <v>62</v>
      </c>
      <c r="D870" s="40">
        <f t="shared" si="71"/>
        <v>1</v>
      </c>
      <c r="E870" s="41" t="s">
        <v>1040</v>
      </c>
      <c r="F870" s="17" t="s">
        <v>123</v>
      </c>
      <c r="G870" s="17" t="s">
        <v>86</v>
      </c>
      <c r="H870" s="17">
        <v>125</v>
      </c>
      <c r="I870" s="17" t="str">
        <f t="shared" si="75"/>
        <v>PR_PNI-125</v>
      </c>
      <c r="J870" s="18" t="s">
        <v>123</v>
      </c>
      <c r="K870" s="19" t="e">
        <f>IF(J870="","SEM #CH",VLOOKUP(J870,#REF!,2,0))</f>
        <v>#REF!</v>
      </c>
      <c r="L870" s="19" t="e">
        <f>IF(J870="","SEM #CH",VLOOKUP(J870,#REF!,3,0))</f>
        <v>#REF!</v>
      </c>
      <c r="M870" s="19" t="e">
        <f>IF(J870="","SEM #CH",VLOOKUP(J870,#REF!,4,0))</f>
        <v>#REF!</v>
      </c>
      <c r="N870" s="19" t="e">
        <f>IF(J870="","SEM #CH",VLOOKUP(J870,#REF!,5,0))</f>
        <v>#REF!</v>
      </c>
      <c r="O870" s="19" t="e">
        <f>IF(J870="","SEM #CH",VLOOKUP(J870,#REF!,6,0))</f>
        <v>#REF!</v>
      </c>
      <c r="P870" s="19" t="e">
        <f>IF(J870="","SEM #CH",VLOOKUP(J870,#REF!,7,0))</f>
        <v>#REF!</v>
      </c>
      <c r="Q870" s="77" t="str">
        <f>VLOOKUP(J870,'p1'!$B$2:$C$30,2,0)</f>
        <v>02- 150X150 #3/8</v>
      </c>
      <c r="R870" s="94">
        <v>45881</v>
      </c>
      <c r="S870" s="90" t="s">
        <v>218</v>
      </c>
      <c r="T870" s="90">
        <f t="shared" si="73"/>
        <v>1</v>
      </c>
      <c r="U870" s="94">
        <v>45884</v>
      </c>
      <c r="V870" s="90"/>
      <c r="W870" s="92">
        <v>2474</v>
      </c>
      <c r="X870" s="93">
        <f t="shared" si="72"/>
        <v>1</v>
      </c>
      <c r="Y870" s="92"/>
      <c r="Z870" s="92"/>
      <c r="AA870" s="13" t="str">
        <f t="shared" si="74"/>
        <v>ago/2025</v>
      </c>
    </row>
    <row r="871" spans="1:27" x14ac:dyDescent="0.25">
      <c r="A871" s="89">
        <v>870</v>
      </c>
      <c r="B871" s="68">
        <v>45885</v>
      </c>
      <c r="C871" s="40">
        <v>71</v>
      </c>
      <c r="D871" s="40">
        <f t="shared" si="71"/>
        <v>1</v>
      </c>
      <c r="E871" s="41" t="s">
        <v>1040</v>
      </c>
      <c r="F871" s="17" t="s">
        <v>58</v>
      </c>
      <c r="G871" s="17" t="s">
        <v>86</v>
      </c>
      <c r="H871" s="17">
        <v>126</v>
      </c>
      <c r="I871" s="17" t="str">
        <f t="shared" si="75"/>
        <v>PR_PN-126</v>
      </c>
      <c r="J871" s="18" t="s">
        <v>85</v>
      </c>
      <c r="K871" s="19" t="e">
        <f>IF(J871="","SEM #CH",VLOOKUP(J871,#REF!,2,0))</f>
        <v>#REF!</v>
      </c>
      <c r="L871" s="19" t="e">
        <f>IF(J871="","SEM #CH",VLOOKUP(J871,#REF!,3,0))</f>
        <v>#REF!</v>
      </c>
      <c r="M871" s="19" t="e">
        <f>IF(J871="","SEM #CH",VLOOKUP(J871,#REF!,4,0))</f>
        <v>#REF!</v>
      </c>
      <c r="N871" s="19" t="e">
        <f>IF(J871="","SEM #CH",VLOOKUP(J871,#REF!,5,0))</f>
        <v>#REF!</v>
      </c>
      <c r="O871" s="19" t="e">
        <f>IF(J871="","SEM #CH",VLOOKUP(J871,#REF!,6,0))</f>
        <v>#REF!</v>
      </c>
      <c r="P871" s="19" t="e">
        <f>IF(J871="","SEM #CH",VLOOKUP(J871,#REF!,7,0))</f>
        <v>#REF!</v>
      </c>
      <c r="Q871" s="77" t="str">
        <f>VLOOKUP(J871,'p1'!$B$2:$C$30,2,0)</f>
        <v>NÃO TEM CHAPA</v>
      </c>
      <c r="R871" s="90"/>
      <c r="S871" s="90" t="s">
        <v>217</v>
      </c>
      <c r="T871" s="90">
        <f t="shared" si="73"/>
        <v>0</v>
      </c>
      <c r="U871" s="90"/>
      <c r="V871" s="90"/>
      <c r="W871" s="92"/>
      <c r="X871" s="93" t="str">
        <f t="shared" si="72"/>
        <v/>
      </c>
      <c r="Y871" s="92"/>
      <c r="Z871" s="92"/>
      <c r="AA871" s="13" t="str">
        <f t="shared" si="74"/>
        <v>jan/1900</v>
      </c>
    </row>
    <row r="872" spans="1:27" x14ac:dyDescent="0.25">
      <c r="A872" s="89">
        <v>871</v>
      </c>
      <c r="B872" s="68">
        <v>45888</v>
      </c>
      <c r="C872" s="40">
        <v>73</v>
      </c>
      <c r="D872" s="40">
        <f t="shared" si="71"/>
        <v>1</v>
      </c>
      <c r="E872" s="41" t="s">
        <v>1040</v>
      </c>
      <c r="F872" s="17" t="s">
        <v>58</v>
      </c>
      <c r="G872" s="17" t="s">
        <v>86</v>
      </c>
      <c r="H872" s="17">
        <v>127</v>
      </c>
      <c r="I872" s="17" t="str">
        <f t="shared" si="75"/>
        <v>PR_PN-127</v>
      </c>
      <c r="J872" s="18" t="s">
        <v>85</v>
      </c>
      <c r="K872" s="19" t="e">
        <f>IF(J872="","SEM #CH",VLOOKUP(J872,#REF!,2,0))</f>
        <v>#REF!</v>
      </c>
      <c r="L872" s="19" t="e">
        <f>IF(J872="","SEM #CH",VLOOKUP(J872,#REF!,3,0))</f>
        <v>#REF!</v>
      </c>
      <c r="M872" s="19" t="e">
        <f>IF(J872="","SEM #CH",VLOOKUP(J872,#REF!,4,0))</f>
        <v>#REF!</v>
      </c>
      <c r="N872" s="19" t="e">
        <f>IF(J872="","SEM #CH",VLOOKUP(J872,#REF!,5,0))</f>
        <v>#REF!</v>
      </c>
      <c r="O872" s="19" t="e">
        <f>IF(J872="","SEM #CH",VLOOKUP(J872,#REF!,6,0))</f>
        <v>#REF!</v>
      </c>
      <c r="P872" s="19" t="e">
        <f>IF(J872="","SEM #CH",VLOOKUP(J872,#REF!,7,0))</f>
        <v>#REF!</v>
      </c>
      <c r="Q872" s="77" t="str">
        <f>VLOOKUP(J872,'p1'!$B$2:$C$30,2,0)</f>
        <v>NÃO TEM CHAPA</v>
      </c>
      <c r="R872" s="90"/>
      <c r="S872" s="90" t="s">
        <v>218</v>
      </c>
      <c r="T872" s="90">
        <f t="shared" si="73"/>
        <v>0</v>
      </c>
      <c r="U872" s="90"/>
      <c r="V872" s="90"/>
      <c r="W872" s="92"/>
      <c r="X872" s="93" t="str">
        <f t="shared" si="72"/>
        <v/>
      </c>
      <c r="Y872" s="92"/>
      <c r="Z872" s="92"/>
      <c r="AA872" s="13" t="str">
        <f t="shared" si="74"/>
        <v>jan/1900</v>
      </c>
    </row>
    <row r="873" spans="1:27" x14ac:dyDescent="0.25">
      <c r="A873" s="89">
        <v>872</v>
      </c>
      <c r="B873" s="68">
        <v>45889</v>
      </c>
      <c r="C873" s="40">
        <v>74</v>
      </c>
      <c r="D873" s="40">
        <f t="shared" si="71"/>
        <v>1</v>
      </c>
      <c r="E873" s="41" t="s">
        <v>1040</v>
      </c>
      <c r="F873" s="17" t="s">
        <v>58</v>
      </c>
      <c r="G873" s="17" t="s">
        <v>86</v>
      </c>
      <c r="H873" s="17">
        <v>128</v>
      </c>
      <c r="I873" s="17" t="str">
        <f t="shared" si="75"/>
        <v>PR_PN-128</v>
      </c>
      <c r="J873" s="18" t="s">
        <v>85</v>
      </c>
      <c r="K873" s="19" t="e">
        <f>IF(J873="","SEM #CH",VLOOKUP(J873,#REF!,2,0))</f>
        <v>#REF!</v>
      </c>
      <c r="L873" s="19" t="e">
        <f>IF(J873="","SEM #CH",VLOOKUP(J873,#REF!,3,0))</f>
        <v>#REF!</v>
      </c>
      <c r="M873" s="19" t="e">
        <f>IF(J873="","SEM #CH",VLOOKUP(J873,#REF!,4,0))</f>
        <v>#REF!</v>
      </c>
      <c r="N873" s="19" t="e">
        <f>IF(J873="","SEM #CH",VLOOKUP(J873,#REF!,5,0))</f>
        <v>#REF!</v>
      </c>
      <c r="O873" s="19" t="e">
        <f>IF(J873="","SEM #CH",VLOOKUP(J873,#REF!,6,0))</f>
        <v>#REF!</v>
      </c>
      <c r="P873" s="19" t="e">
        <f>IF(J873="","SEM #CH",VLOOKUP(J873,#REF!,7,0))</f>
        <v>#REF!</v>
      </c>
      <c r="Q873" s="77" t="str">
        <f>VLOOKUP(J873,'p1'!$B$2:$C$30,2,0)</f>
        <v>NÃO TEM CHAPA</v>
      </c>
      <c r="R873" s="90"/>
      <c r="S873" s="90" t="s">
        <v>217</v>
      </c>
      <c r="T873" s="90">
        <f t="shared" si="73"/>
        <v>0</v>
      </c>
      <c r="U873" s="90"/>
      <c r="V873" s="90"/>
      <c r="W873" s="92"/>
      <c r="X873" s="93" t="str">
        <f t="shared" si="72"/>
        <v/>
      </c>
      <c r="Y873" s="92"/>
      <c r="Z873" s="92"/>
      <c r="AA873" s="13" t="str">
        <f t="shared" si="74"/>
        <v>jan/1900</v>
      </c>
    </row>
    <row r="874" spans="1:27" x14ac:dyDescent="0.25">
      <c r="A874" s="89">
        <v>873</v>
      </c>
      <c r="B874" s="68">
        <v>45891</v>
      </c>
      <c r="C874" s="40">
        <v>75</v>
      </c>
      <c r="D874" s="40">
        <f t="shared" si="71"/>
        <v>1</v>
      </c>
      <c r="E874" s="41" t="s">
        <v>1040</v>
      </c>
      <c r="F874" s="17" t="s">
        <v>58</v>
      </c>
      <c r="G874" s="17" t="s">
        <v>86</v>
      </c>
      <c r="H874" s="17">
        <v>129</v>
      </c>
      <c r="I874" s="17" t="str">
        <f t="shared" ref="I874:I893" si="76">_xlfn.CONCAT("PR_",F874,G874,H874)</f>
        <v>PR_PN-129</v>
      </c>
      <c r="J874" s="18" t="s">
        <v>85</v>
      </c>
      <c r="K874" s="19" t="e">
        <f>IF(J874="","SEM #CH",VLOOKUP(J874,#REF!,2,0))</f>
        <v>#REF!</v>
      </c>
      <c r="L874" s="19" t="e">
        <f>IF(J874="","SEM #CH",VLOOKUP(J874,#REF!,3,0))</f>
        <v>#REF!</v>
      </c>
      <c r="M874" s="19" t="e">
        <f>IF(J874="","SEM #CH",VLOOKUP(J874,#REF!,4,0))</f>
        <v>#REF!</v>
      </c>
      <c r="N874" s="19" t="e">
        <f>IF(J874="","SEM #CH",VLOOKUP(J874,#REF!,5,0))</f>
        <v>#REF!</v>
      </c>
      <c r="O874" s="19" t="e">
        <f>IF(J874="","SEM #CH",VLOOKUP(J874,#REF!,6,0))</f>
        <v>#REF!</v>
      </c>
      <c r="P874" s="19" t="e">
        <f>IF(J874="","SEM #CH",VLOOKUP(J874,#REF!,7,0))</f>
        <v>#REF!</v>
      </c>
      <c r="Q874" s="77" t="str">
        <f>VLOOKUP(J874,'p1'!$B$2:$C$30,2,0)</f>
        <v>NÃO TEM CHAPA</v>
      </c>
      <c r="R874" s="90"/>
      <c r="S874" s="90" t="s">
        <v>218</v>
      </c>
      <c r="T874" s="90">
        <f t="shared" si="73"/>
        <v>0</v>
      </c>
      <c r="U874" s="90"/>
      <c r="V874" s="90"/>
      <c r="W874" s="92"/>
      <c r="X874" s="93" t="str">
        <f t="shared" si="72"/>
        <v/>
      </c>
      <c r="Y874" s="92"/>
      <c r="Z874" s="92"/>
      <c r="AA874" s="13" t="str">
        <f t="shared" si="74"/>
        <v>jan/1900</v>
      </c>
    </row>
    <row r="875" spans="1:27" x14ac:dyDescent="0.25">
      <c r="A875" s="89">
        <v>874</v>
      </c>
      <c r="B875" s="68">
        <v>45892</v>
      </c>
      <c r="C875" s="40">
        <v>76</v>
      </c>
      <c r="D875" s="40">
        <f t="shared" si="71"/>
        <v>1</v>
      </c>
      <c r="E875" s="41" t="s">
        <v>1040</v>
      </c>
      <c r="F875" s="17" t="s">
        <v>58</v>
      </c>
      <c r="G875" s="17" t="s">
        <v>86</v>
      </c>
      <c r="H875" s="17">
        <v>130</v>
      </c>
      <c r="I875" s="17" t="str">
        <f t="shared" si="76"/>
        <v>PR_PN-130</v>
      </c>
      <c r="J875" s="18" t="s">
        <v>85</v>
      </c>
      <c r="K875" s="19" t="e">
        <f>IF(J875="","SEM #CH",VLOOKUP(J875,#REF!,2,0))</f>
        <v>#REF!</v>
      </c>
      <c r="L875" s="19" t="e">
        <f>IF(J875="","SEM #CH",VLOOKUP(J875,#REF!,3,0))</f>
        <v>#REF!</v>
      </c>
      <c r="M875" s="19" t="e">
        <f>IF(J875="","SEM #CH",VLOOKUP(J875,#REF!,4,0))</f>
        <v>#REF!</v>
      </c>
      <c r="N875" s="19" t="e">
        <f>IF(J875="","SEM #CH",VLOOKUP(J875,#REF!,5,0))</f>
        <v>#REF!</v>
      </c>
      <c r="O875" s="19" t="e">
        <f>IF(J875="","SEM #CH",VLOOKUP(J875,#REF!,6,0))</f>
        <v>#REF!</v>
      </c>
      <c r="P875" s="19" t="e">
        <f>IF(J875="","SEM #CH",VLOOKUP(J875,#REF!,7,0))</f>
        <v>#REF!</v>
      </c>
      <c r="Q875" s="77" t="str">
        <f>VLOOKUP(J875,'p1'!$B$2:$C$30,2,0)</f>
        <v>NÃO TEM CHAPA</v>
      </c>
      <c r="R875" s="90"/>
      <c r="S875" s="90" t="s">
        <v>217</v>
      </c>
      <c r="T875" s="90">
        <f t="shared" si="73"/>
        <v>0</v>
      </c>
      <c r="U875" s="90"/>
      <c r="V875" s="90"/>
      <c r="W875" s="92"/>
      <c r="X875" s="93" t="str">
        <f t="shared" si="72"/>
        <v/>
      </c>
      <c r="Y875" s="92"/>
      <c r="Z875" s="92"/>
      <c r="AA875" s="13" t="str">
        <f t="shared" si="74"/>
        <v>jan/1900</v>
      </c>
    </row>
    <row r="876" spans="1:27" x14ac:dyDescent="0.25">
      <c r="A876" s="89">
        <v>875</v>
      </c>
      <c r="B876" s="68">
        <v>45875</v>
      </c>
      <c r="C876" s="40">
        <v>64</v>
      </c>
      <c r="D876" s="40">
        <f t="shared" si="71"/>
        <v>1</v>
      </c>
      <c r="E876" s="41" t="s">
        <v>1040</v>
      </c>
      <c r="F876" s="17" t="s">
        <v>123</v>
      </c>
      <c r="G876" s="17" t="s">
        <v>86</v>
      </c>
      <c r="H876" s="17">
        <v>131</v>
      </c>
      <c r="I876" s="17" t="str">
        <f t="shared" si="76"/>
        <v>PR_PNI-131</v>
      </c>
      <c r="J876" s="18" t="s">
        <v>123</v>
      </c>
      <c r="K876" s="19" t="e">
        <f>IF(J876="","SEM #CH",VLOOKUP(J876,#REF!,2,0))</f>
        <v>#REF!</v>
      </c>
      <c r="L876" s="19" t="e">
        <f>IF(J876="","SEM #CH",VLOOKUP(J876,#REF!,3,0))</f>
        <v>#REF!</v>
      </c>
      <c r="M876" s="19" t="e">
        <f>IF(J876="","SEM #CH",VLOOKUP(J876,#REF!,4,0))</f>
        <v>#REF!</v>
      </c>
      <c r="N876" s="19" t="e">
        <f>IF(J876="","SEM #CH",VLOOKUP(J876,#REF!,5,0))</f>
        <v>#REF!</v>
      </c>
      <c r="O876" s="19" t="e">
        <f>IF(J876="","SEM #CH",VLOOKUP(J876,#REF!,6,0))</f>
        <v>#REF!</v>
      </c>
      <c r="P876" s="19" t="e">
        <f>IF(J876="","SEM #CH",VLOOKUP(J876,#REF!,7,0))</f>
        <v>#REF!</v>
      </c>
      <c r="Q876" s="77" t="str">
        <f>VLOOKUP(J876,'p1'!$B$2:$C$30,2,0)</f>
        <v>02- 150X150 #3/8</v>
      </c>
      <c r="R876" s="94">
        <v>45883</v>
      </c>
      <c r="S876" s="90" t="s">
        <v>218</v>
      </c>
      <c r="T876" s="90">
        <f t="shared" si="73"/>
        <v>1</v>
      </c>
      <c r="U876" s="94">
        <v>45884</v>
      </c>
      <c r="V876" s="90"/>
      <c r="W876" s="92">
        <v>2474</v>
      </c>
      <c r="X876" s="93">
        <f t="shared" si="72"/>
        <v>1</v>
      </c>
      <c r="Y876" s="92"/>
      <c r="Z876" s="92"/>
      <c r="AA876" s="13" t="str">
        <f t="shared" si="74"/>
        <v>ago/2025</v>
      </c>
    </row>
    <row r="877" spans="1:27" x14ac:dyDescent="0.25">
      <c r="A877" s="89">
        <v>876</v>
      </c>
      <c r="B877" s="68">
        <v>45895</v>
      </c>
      <c r="C877" s="40">
        <v>78</v>
      </c>
      <c r="D877" s="40">
        <f t="shared" si="71"/>
        <v>1</v>
      </c>
      <c r="E877" s="41" t="s">
        <v>1040</v>
      </c>
      <c r="F877" s="17" t="s">
        <v>58</v>
      </c>
      <c r="G877" s="17" t="s">
        <v>86</v>
      </c>
      <c r="H877" s="17">
        <v>132</v>
      </c>
      <c r="I877" s="17" t="str">
        <f t="shared" si="76"/>
        <v>PR_PN-132</v>
      </c>
      <c r="J877" s="18" t="s">
        <v>85</v>
      </c>
      <c r="K877" s="19" t="e">
        <f>IF(J877="","SEM #CH",VLOOKUP(J877,#REF!,2,0))</f>
        <v>#REF!</v>
      </c>
      <c r="L877" s="19" t="e">
        <f>IF(J877="","SEM #CH",VLOOKUP(J877,#REF!,3,0))</f>
        <v>#REF!</v>
      </c>
      <c r="M877" s="19" t="e">
        <f>IF(J877="","SEM #CH",VLOOKUP(J877,#REF!,4,0))</f>
        <v>#REF!</v>
      </c>
      <c r="N877" s="19" t="e">
        <f>IF(J877="","SEM #CH",VLOOKUP(J877,#REF!,5,0))</f>
        <v>#REF!</v>
      </c>
      <c r="O877" s="19" t="e">
        <f>IF(J877="","SEM #CH",VLOOKUP(J877,#REF!,6,0))</f>
        <v>#REF!</v>
      </c>
      <c r="P877" s="19" t="e">
        <f>IF(J877="","SEM #CH",VLOOKUP(J877,#REF!,7,0))</f>
        <v>#REF!</v>
      </c>
      <c r="Q877" s="77" t="str">
        <f>VLOOKUP(J877,'p1'!$B$2:$C$30,2,0)</f>
        <v>NÃO TEM CHAPA</v>
      </c>
      <c r="R877" s="90"/>
      <c r="S877" s="90" t="s">
        <v>218</v>
      </c>
      <c r="T877" s="90">
        <f t="shared" si="73"/>
        <v>0</v>
      </c>
      <c r="U877" s="90"/>
      <c r="V877" s="90"/>
      <c r="W877" s="92"/>
      <c r="X877" s="93" t="str">
        <f t="shared" si="72"/>
        <v/>
      </c>
      <c r="Y877" s="92"/>
      <c r="Z877" s="92"/>
      <c r="AA877" s="13" t="str">
        <f t="shared" si="74"/>
        <v>jan/1900</v>
      </c>
    </row>
    <row r="878" spans="1:27" x14ac:dyDescent="0.25">
      <c r="A878" s="89">
        <v>877</v>
      </c>
      <c r="B878" s="68">
        <v>45897</v>
      </c>
      <c r="C878" s="40">
        <v>79</v>
      </c>
      <c r="D878" s="40">
        <f t="shared" si="71"/>
        <v>1</v>
      </c>
      <c r="E878" s="41" t="s">
        <v>1040</v>
      </c>
      <c r="F878" s="17" t="s">
        <v>58</v>
      </c>
      <c r="G878" s="17" t="s">
        <v>86</v>
      </c>
      <c r="H878" s="17">
        <v>133</v>
      </c>
      <c r="I878" s="17" t="str">
        <f t="shared" si="76"/>
        <v>PR_PN-133</v>
      </c>
      <c r="J878" s="18" t="s">
        <v>85</v>
      </c>
      <c r="K878" s="19" t="e">
        <f>IF(J878="","SEM #CH",VLOOKUP(J878,#REF!,2,0))</f>
        <v>#REF!</v>
      </c>
      <c r="L878" s="19" t="e">
        <f>IF(J878="","SEM #CH",VLOOKUP(J878,#REF!,3,0))</f>
        <v>#REF!</v>
      </c>
      <c r="M878" s="19" t="e">
        <f>IF(J878="","SEM #CH",VLOOKUP(J878,#REF!,4,0))</f>
        <v>#REF!</v>
      </c>
      <c r="N878" s="19" t="e">
        <f>IF(J878="","SEM #CH",VLOOKUP(J878,#REF!,5,0))</f>
        <v>#REF!</v>
      </c>
      <c r="O878" s="19" t="e">
        <f>IF(J878="","SEM #CH",VLOOKUP(J878,#REF!,6,0))</f>
        <v>#REF!</v>
      </c>
      <c r="P878" s="19" t="e">
        <f>IF(J878="","SEM #CH",VLOOKUP(J878,#REF!,7,0))</f>
        <v>#REF!</v>
      </c>
      <c r="Q878" s="77" t="str">
        <f>VLOOKUP(J878,'p1'!$B$2:$C$30,2,0)</f>
        <v>NÃO TEM CHAPA</v>
      </c>
      <c r="R878" s="90"/>
      <c r="S878" s="90" t="s">
        <v>217</v>
      </c>
      <c r="T878" s="90">
        <f t="shared" si="73"/>
        <v>0</v>
      </c>
      <c r="U878" s="90"/>
      <c r="V878" s="90"/>
      <c r="W878" s="92"/>
      <c r="X878" s="93" t="str">
        <f t="shared" si="72"/>
        <v/>
      </c>
      <c r="Y878" s="92"/>
      <c r="Z878" s="92"/>
      <c r="AA878" s="13" t="str">
        <f t="shared" si="74"/>
        <v>jan/1900</v>
      </c>
    </row>
    <row r="879" spans="1:27" x14ac:dyDescent="0.25">
      <c r="A879" s="89">
        <v>878</v>
      </c>
      <c r="B879" s="68">
        <v>45899</v>
      </c>
      <c r="C879" s="40">
        <v>80</v>
      </c>
      <c r="D879" s="40">
        <f t="shared" si="71"/>
        <v>1</v>
      </c>
      <c r="E879" s="41" t="s">
        <v>1040</v>
      </c>
      <c r="F879" s="17" t="s">
        <v>58</v>
      </c>
      <c r="G879" s="17" t="s">
        <v>86</v>
      </c>
      <c r="H879" s="17">
        <v>134</v>
      </c>
      <c r="I879" s="17" t="str">
        <f t="shared" si="76"/>
        <v>PR_PN-134</v>
      </c>
      <c r="J879" s="18" t="s">
        <v>85</v>
      </c>
      <c r="K879" s="19" t="e">
        <f>IF(J879="","SEM #CH",VLOOKUP(J879,#REF!,2,0))</f>
        <v>#REF!</v>
      </c>
      <c r="L879" s="19" t="e">
        <f>IF(J879="","SEM #CH",VLOOKUP(J879,#REF!,3,0))</f>
        <v>#REF!</v>
      </c>
      <c r="M879" s="19" t="e">
        <f>IF(J879="","SEM #CH",VLOOKUP(J879,#REF!,4,0))</f>
        <v>#REF!</v>
      </c>
      <c r="N879" s="19" t="e">
        <f>IF(J879="","SEM #CH",VLOOKUP(J879,#REF!,5,0))</f>
        <v>#REF!</v>
      </c>
      <c r="O879" s="19" t="e">
        <f>IF(J879="","SEM #CH",VLOOKUP(J879,#REF!,6,0))</f>
        <v>#REF!</v>
      </c>
      <c r="P879" s="19" t="e">
        <f>IF(J879="","SEM #CH",VLOOKUP(J879,#REF!,7,0))</f>
        <v>#REF!</v>
      </c>
      <c r="Q879" s="77" t="str">
        <f>VLOOKUP(J879,'p1'!$B$2:$C$30,2,0)</f>
        <v>NÃO TEM CHAPA</v>
      </c>
      <c r="R879" s="90"/>
      <c r="S879" s="90" t="s">
        <v>218</v>
      </c>
      <c r="T879" s="90">
        <f t="shared" si="73"/>
        <v>0</v>
      </c>
      <c r="U879" s="90"/>
      <c r="V879" s="90"/>
      <c r="W879" s="92"/>
      <c r="X879" s="93" t="str">
        <f t="shared" si="72"/>
        <v/>
      </c>
      <c r="Y879" s="92"/>
      <c r="Z879" s="92"/>
      <c r="AA879" s="13" t="str">
        <f t="shared" si="74"/>
        <v>jan/1900</v>
      </c>
    </row>
    <row r="880" spans="1:27" x14ac:dyDescent="0.25">
      <c r="A880" s="89">
        <v>879</v>
      </c>
      <c r="B880" s="68">
        <v>45899</v>
      </c>
      <c r="C880" s="40">
        <v>81</v>
      </c>
      <c r="D880" s="40">
        <f t="shared" si="71"/>
        <v>1</v>
      </c>
      <c r="E880" s="41" t="s">
        <v>1040</v>
      </c>
      <c r="F880" s="17" t="s">
        <v>58</v>
      </c>
      <c r="G880" s="17" t="s">
        <v>86</v>
      </c>
      <c r="H880" s="17">
        <v>135</v>
      </c>
      <c r="I880" s="17" t="str">
        <f t="shared" si="76"/>
        <v>PR_PN-135</v>
      </c>
      <c r="J880" s="18" t="s">
        <v>85</v>
      </c>
      <c r="K880" s="19" t="e">
        <f>IF(J880="","SEM #CH",VLOOKUP(J880,#REF!,2,0))</f>
        <v>#REF!</v>
      </c>
      <c r="L880" s="19" t="e">
        <f>IF(J880="","SEM #CH",VLOOKUP(J880,#REF!,3,0))</f>
        <v>#REF!</v>
      </c>
      <c r="M880" s="19" t="e">
        <f>IF(J880="","SEM #CH",VLOOKUP(J880,#REF!,4,0))</f>
        <v>#REF!</v>
      </c>
      <c r="N880" s="19" t="e">
        <f>IF(J880="","SEM #CH",VLOOKUP(J880,#REF!,5,0))</f>
        <v>#REF!</v>
      </c>
      <c r="O880" s="19" t="e">
        <f>IF(J880="","SEM #CH",VLOOKUP(J880,#REF!,6,0))</f>
        <v>#REF!</v>
      </c>
      <c r="P880" s="19" t="e">
        <f>IF(J880="","SEM #CH",VLOOKUP(J880,#REF!,7,0))</f>
        <v>#REF!</v>
      </c>
      <c r="Q880" s="77" t="str">
        <f>VLOOKUP(J880,'p1'!$B$2:$C$30,2,0)</f>
        <v>NÃO TEM CHAPA</v>
      </c>
      <c r="R880" s="90"/>
      <c r="S880" s="90" t="s">
        <v>217</v>
      </c>
      <c r="T880" s="90">
        <f t="shared" si="73"/>
        <v>0</v>
      </c>
      <c r="U880" s="90"/>
      <c r="V880" s="90"/>
      <c r="W880" s="92"/>
      <c r="X880" s="93" t="str">
        <f t="shared" si="72"/>
        <v/>
      </c>
      <c r="Y880" s="92"/>
      <c r="Z880" s="92"/>
      <c r="AA880" s="13" t="str">
        <f t="shared" si="74"/>
        <v>jan/1900</v>
      </c>
    </row>
    <row r="881" spans="1:27" x14ac:dyDescent="0.25">
      <c r="A881" s="89">
        <v>880</v>
      </c>
      <c r="B881" s="68">
        <v>45904</v>
      </c>
      <c r="C881" s="40">
        <v>83</v>
      </c>
      <c r="D881" s="40">
        <f t="shared" si="71"/>
        <v>1</v>
      </c>
      <c r="E881" s="41" t="s">
        <v>1040</v>
      </c>
      <c r="F881" s="17" t="s">
        <v>58</v>
      </c>
      <c r="G881" s="17" t="s">
        <v>86</v>
      </c>
      <c r="H881" s="17">
        <v>136</v>
      </c>
      <c r="I881" s="17" t="str">
        <f t="shared" si="76"/>
        <v>PR_PN-136</v>
      </c>
      <c r="J881" s="18" t="s">
        <v>85</v>
      </c>
      <c r="K881" s="19" t="e">
        <f>IF(J881="","SEM #CH",VLOOKUP(J881,#REF!,2,0))</f>
        <v>#REF!</v>
      </c>
      <c r="L881" s="19" t="e">
        <f>IF(J881="","SEM #CH",VLOOKUP(J881,#REF!,3,0))</f>
        <v>#REF!</v>
      </c>
      <c r="M881" s="19" t="e">
        <f>IF(J881="","SEM #CH",VLOOKUP(J881,#REF!,4,0))</f>
        <v>#REF!</v>
      </c>
      <c r="N881" s="19" t="e">
        <f>IF(J881="","SEM #CH",VLOOKUP(J881,#REF!,5,0))</f>
        <v>#REF!</v>
      </c>
      <c r="O881" s="19" t="e">
        <f>IF(J881="","SEM #CH",VLOOKUP(J881,#REF!,6,0))</f>
        <v>#REF!</v>
      </c>
      <c r="P881" s="19" t="e">
        <f>IF(J881="","SEM #CH",VLOOKUP(J881,#REF!,7,0))</f>
        <v>#REF!</v>
      </c>
      <c r="Q881" s="77" t="str">
        <f>VLOOKUP(J881,'p1'!$B$2:$C$30,2,0)</f>
        <v>NÃO TEM CHAPA</v>
      </c>
      <c r="R881" s="90"/>
      <c r="S881" s="90" t="s">
        <v>218</v>
      </c>
      <c r="T881" s="90">
        <f t="shared" si="73"/>
        <v>0</v>
      </c>
      <c r="U881" s="90"/>
      <c r="V881" s="90"/>
      <c r="W881" s="92"/>
      <c r="X881" s="93" t="str">
        <f t="shared" si="72"/>
        <v/>
      </c>
      <c r="Y881" s="92"/>
      <c r="Z881" s="92"/>
      <c r="AA881" s="13" t="str">
        <f t="shared" si="74"/>
        <v>jan/1900</v>
      </c>
    </row>
    <row r="882" spans="1:27" x14ac:dyDescent="0.25">
      <c r="A882" s="89">
        <v>881</v>
      </c>
      <c r="B882" s="68">
        <v>45877</v>
      </c>
      <c r="C882" s="40">
        <v>66</v>
      </c>
      <c r="D882" s="40">
        <f t="shared" si="71"/>
        <v>1</v>
      </c>
      <c r="E882" s="41" t="s">
        <v>1040</v>
      </c>
      <c r="F882" s="17" t="s">
        <v>123</v>
      </c>
      <c r="G882" s="17" t="s">
        <v>86</v>
      </c>
      <c r="H882" s="17">
        <v>137</v>
      </c>
      <c r="I882" s="17" t="str">
        <f t="shared" si="76"/>
        <v>PR_PNI-137</v>
      </c>
      <c r="J882" s="18" t="s">
        <v>123</v>
      </c>
      <c r="K882" s="19" t="e">
        <f>IF(J882="","SEM #CH",VLOOKUP(J882,#REF!,2,0))</f>
        <v>#REF!</v>
      </c>
      <c r="L882" s="19" t="e">
        <f>IF(J882="","SEM #CH",VLOOKUP(J882,#REF!,3,0))</f>
        <v>#REF!</v>
      </c>
      <c r="M882" s="19" t="e">
        <f>IF(J882="","SEM #CH",VLOOKUP(J882,#REF!,4,0))</f>
        <v>#REF!</v>
      </c>
      <c r="N882" s="19" t="e">
        <f>IF(J882="","SEM #CH",VLOOKUP(J882,#REF!,5,0))</f>
        <v>#REF!</v>
      </c>
      <c r="O882" s="19" t="e">
        <f>IF(J882="","SEM #CH",VLOOKUP(J882,#REF!,6,0))</f>
        <v>#REF!</v>
      </c>
      <c r="P882" s="19" t="e">
        <f>IF(J882="","SEM #CH",VLOOKUP(J882,#REF!,7,0))</f>
        <v>#REF!</v>
      </c>
      <c r="Q882" s="77" t="str">
        <f>VLOOKUP(J882,'p1'!$B$2:$C$30,2,0)</f>
        <v>02- 150X150 #3/8</v>
      </c>
      <c r="R882" s="94">
        <v>45883</v>
      </c>
      <c r="S882" s="90" t="s">
        <v>218</v>
      </c>
      <c r="T882" s="90">
        <f t="shared" si="73"/>
        <v>1</v>
      </c>
      <c r="U882" s="94">
        <v>45884</v>
      </c>
      <c r="V882" s="90" t="s">
        <v>86</v>
      </c>
      <c r="W882" s="92">
        <v>2473</v>
      </c>
      <c r="X882" s="93">
        <f t="shared" si="72"/>
        <v>1</v>
      </c>
      <c r="Y882" s="92"/>
      <c r="Z882" s="92"/>
      <c r="AA882" s="13" t="str">
        <f t="shared" si="74"/>
        <v>ago/2025</v>
      </c>
    </row>
    <row r="883" spans="1:27" x14ac:dyDescent="0.25">
      <c r="A883" s="89">
        <v>882</v>
      </c>
      <c r="B883" s="68">
        <v>45906</v>
      </c>
      <c r="C883" s="40">
        <v>85</v>
      </c>
      <c r="D883" s="40">
        <f t="shared" si="71"/>
        <v>1</v>
      </c>
      <c r="E883" s="41" t="s">
        <v>1040</v>
      </c>
      <c r="F883" s="17" t="s">
        <v>58</v>
      </c>
      <c r="G883" s="17" t="s">
        <v>86</v>
      </c>
      <c r="H883" s="17">
        <v>138</v>
      </c>
      <c r="I883" s="17" t="str">
        <f t="shared" si="76"/>
        <v>PR_PN-138</v>
      </c>
      <c r="J883" s="18" t="s">
        <v>85</v>
      </c>
      <c r="K883" s="19" t="e">
        <f>IF(J883="","SEM #CH",VLOOKUP(J883,#REF!,2,0))</f>
        <v>#REF!</v>
      </c>
      <c r="L883" s="19" t="e">
        <f>IF(J883="","SEM #CH",VLOOKUP(J883,#REF!,3,0))</f>
        <v>#REF!</v>
      </c>
      <c r="M883" s="19" t="e">
        <f>IF(J883="","SEM #CH",VLOOKUP(J883,#REF!,4,0))</f>
        <v>#REF!</v>
      </c>
      <c r="N883" s="19" t="e">
        <f>IF(J883="","SEM #CH",VLOOKUP(J883,#REF!,5,0))</f>
        <v>#REF!</v>
      </c>
      <c r="O883" s="19" t="e">
        <f>IF(J883="","SEM #CH",VLOOKUP(J883,#REF!,6,0))</f>
        <v>#REF!</v>
      </c>
      <c r="P883" s="19" t="e">
        <f>IF(J883="","SEM #CH",VLOOKUP(J883,#REF!,7,0))</f>
        <v>#REF!</v>
      </c>
      <c r="Q883" s="77" t="str">
        <f>VLOOKUP(J883,'p1'!$B$2:$C$30,2,0)</f>
        <v>NÃO TEM CHAPA</v>
      </c>
      <c r="R883" s="90"/>
      <c r="S883" s="90" t="s">
        <v>218</v>
      </c>
      <c r="T883" s="90">
        <f t="shared" si="73"/>
        <v>0</v>
      </c>
      <c r="U883" s="90"/>
      <c r="V883" s="90"/>
      <c r="W883" s="92"/>
      <c r="X883" s="93" t="str">
        <f t="shared" si="72"/>
        <v/>
      </c>
      <c r="Y883" s="92"/>
      <c r="Z883" s="92"/>
      <c r="AA883" s="13" t="str">
        <f t="shared" si="74"/>
        <v>jan/1900</v>
      </c>
    </row>
    <row r="884" spans="1:27" x14ac:dyDescent="0.25">
      <c r="A884" s="89">
        <v>883</v>
      </c>
      <c r="B884" s="68">
        <v>45909</v>
      </c>
      <c r="C884" s="40">
        <v>87</v>
      </c>
      <c r="D884" s="40">
        <f t="shared" si="71"/>
        <v>1</v>
      </c>
      <c r="E884" s="41" t="s">
        <v>1040</v>
      </c>
      <c r="F884" s="17" t="s">
        <v>58</v>
      </c>
      <c r="G884" s="17" t="s">
        <v>86</v>
      </c>
      <c r="H884" s="17">
        <v>139</v>
      </c>
      <c r="I884" s="17" t="str">
        <f t="shared" si="76"/>
        <v>PR_PN-139</v>
      </c>
      <c r="J884" s="18" t="s">
        <v>85</v>
      </c>
      <c r="K884" s="19" t="e">
        <f>IF(J884="","SEM #CH",VLOOKUP(J884,#REF!,2,0))</f>
        <v>#REF!</v>
      </c>
      <c r="L884" s="19" t="e">
        <f>IF(J884="","SEM #CH",VLOOKUP(J884,#REF!,3,0))</f>
        <v>#REF!</v>
      </c>
      <c r="M884" s="19" t="e">
        <f>IF(J884="","SEM #CH",VLOOKUP(J884,#REF!,4,0))</f>
        <v>#REF!</v>
      </c>
      <c r="N884" s="19" t="e">
        <f>IF(J884="","SEM #CH",VLOOKUP(J884,#REF!,5,0))</f>
        <v>#REF!</v>
      </c>
      <c r="O884" s="19" t="e">
        <f>IF(J884="","SEM #CH",VLOOKUP(J884,#REF!,6,0))</f>
        <v>#REF!</v>
      </c>
      <c r="P884" s="19" t="e">
        <f>IF(J884="","SEM #CH",VLOOKUP(J884,#REF!,7,0))</f>
        <v>#REF!</v>
      </c>
      <c r="Q884" s="77" t="str">
        <f>VLOOKUP(J884,'p1'!$B$2:$C$30,2,0)</f>
        <v>NÃO TEM CHAPA</v>
      </c>
      <c r="R884" s="90"/>
      <c r="S884" s="90" t="s">
        <v>218</v>
      </c>
      <c r="T884" s="90">
        <f t="shared" si="73"/>
        <v>0</v>
      </c>
      <c r="U884" s="90"/>
      <c r="V884" s="90"/>
      <c r="W884" s="92"/>
      <c r="X884" s="93" t="str">
        <f t="shared" si="72"/>
        <v/>
      </c>
      <c r="Y884" s="92"/>
      <c r="Z884" s="92"/>
      <c r="AA884" s="13" t="str">
        <f t="shared" si="74"/>
        <v>jan/1900</v>
      </c>
    </row>
    <row r="885" spans="1:27" x14ac:dyDescent="0.25">
      <c r="A885" s="89">
        <v>884</v>
      </c>
      <c r="B885" s="68">
        <v>45917</v>
      </c>
      <c r="C885" s="40">
        <v>94</v>
      </c>
      <c r="D885" s="40">
        <f t="shared" si="71"/>
        <v>1</v>
      </c>
      <c r="E885" s="41" t="s">
        <v>1040</v>
      </c>
      <c r="F885" s="17" t="s">
        <v>58</v>
      </c>
      <c r="G885" s="17" t="s">
        <v>86</v>
      </c>
      <c r="H885" s="17">
        <v>140</v>
      </c>
      <c r="I885" s="17" t="str">
        <f t="shared" si="76"/>
        <v>PR_PN-140</v>
      </c>
      <c r="J885" s="18" t="s">
        <v>85</v>
      </c>
      <c r="K885" s="19" t="e">
        <f>IF(J885="","SEM #CH",VLOOKUP(J885,#REF!,2,0))</f>
        <v>#REF!</v>
      </c>
      <c r="L885" s="19" t="e">
        <f>IF(J885="","SEM #CH",VLOOKUP(J885,#REF!,3,0))</f>
        <v>#REF!</v>
      </c>
      <c r="M885" s="19" t="e">
        <f>IF(J885="","SEM #CH",VLOOKUP(J885,#REF!,4,0))</f>
        <v>#REF!</v>
      </c>
      <c r="N885" s="19" t="e">
        <f>IF(J885="","SEM #CH",VLOOKUP(J885,#REF!,5,0))</f>
        <v>#REF!</v>
      </c>
      <c r="O885" s="19" t="e">
        <f>IF(J885="","SEM #CH",VLOOKUP(J885,#REF!,6,0))</f>
        <v>#REF!</v>
      </c>
      <c r="P885" s="19" t="e">
        <f>IF(J885="","SEM #CH",VLOOKUP(J885,#REF!,7,0))</f>
        <v>#REF!</v>
      </c>
      <c r="Q885" s="77" t="str">
        <f>VLOOKUP(J885,'p1'!$B$2:$C$30,2,0)</f>
        <v>NÃO TEM CHAPA</v>
      </c>
      <c r="R885" s="90"/>
      <c r="S885" s="90" t="s">
        <v>218</v>
      </c>
      <c r="T885" s="90">
        <f t="shared" si="73"/>
        <v>0</v>
      </c>
      <c r="U885" s="90"/>
      <c r="V885" s="90"/>
      <c r="W885" s="92"/>
      <c r="X885" s="93" t="str">
        <f t="shared" si="72"/>
        <v/>
      </c>
      <c r="Y885" s="92"/>
      <c r="Z885" s="92"/>
      <c r="AA885" s="13" t="str">
        <f t="shared" si="74"/>
        <v>jan/1900</v>
      </c>
    </row>
    <row r="886" spans="1:27" x14ac:dyDescent="0.25">
      <c r="A886" s="89">
        <v>885</v>
      </c>
      <c r="B886" s="68">
        <v>45920</v>
      </c>
      <c r="C886" s="40">
        <v>97</v>
      </c>
      <c r="D886" s="40">
        <f t="shared" si="71"/>
        <v>1</v>
      </c>
      <c r="E886" s="41" t="s">
        <v>1040</v>
      </c>
      <c r="F886" s="17" t="s">
        <v>58</v>
      </c>
      <c r="G886" s="17" t="s">
        <v>86</v>
      </c>
      <c r="H886" s="17">
        <v>141</v>
      </c>
      <c r="I886" s="17" t="str">
        <f t="shared" si="76"/>
        <v>PR_PN-141</v>
      </c>
      <c r="J886" s="18" t="s">
        <v>85</v>
      </c>
      <c r="K886" s="19" t="e">
        <f>IF(J886="","SEM #CH",VLOOKUP(J886,#REF!,2,0))</f>
        <v>#REF!</v>
      </c>
      <c r="L886" s="19" t="e">
        <f>IF(J886="","SEM #CH",VLOOKUP(J886,#REF!,3,0))</f>
        <v>#REF!</v>
      </c>
      <c r="M886" s="19" t="e">
        <f>IF(J886="","SEM #CH",VLOOKUP(J886,#REF!,4,0))</f>
        <v>#REF!</v>
      </c>
      <c r="N886" s="19" t="e">
        <f>IF(J886="","SEM #CH",VLOOKUP(J886,#REF!,5,0))</f>
        <v>#REF!</v>
      </c>
      <c r="O886" s="19" t="e">
        <f>IF(J886="","SEM #CH",VLOOKUP(J886,#REF!,6,0))</f>
        <v>#REF!</v>
      </c>
      <c r="P886" s="19" t="e">
        <f>IF(J886="","SEM #CH",VLOOKUP(J886,#REF!,7,0))</f>
        <v>#REF!</v>
      </c>
      <c r="Q886" s="77" t="str">
        <f>VLOOKUP(J886,'p1'!$B$2:$C$30,2,0)</f>
        <v>NÃO TEM CHAPA</v>
      </c>
      <c r="R886" s="90"/>
      <c r="S886" s="90" t="s">
        <v>218</v>
      </c>
      <c r="T886" s="90">
        <f t="shared" si="73"/>
        <v>0</v>
      </c>
      <c r="U886" s="90"/>
      <c r="V886" s="90"/>
      <c r="W886" s="92"/>
      <c r="X886" s="93" t="str">
        <f t="shared" si="72"/>
        <v/>
      </c>
      <c r="Y886" s="92"/>
      <c r="Z886" s="92"/>
      <c r="AA886" s="13" t="str">
        <f t="shared" si="74"/>
        <v>jan/1900</v>
      </c>
    </row>
    <row r="887" spans="1:27" x14ac:dyDescent="0.25">
      <c r="A887" s="89">
        <v>886</v>
      </c>
      <c r="B887" s="68">
        <v>45923</v>
      </c>
      <c r="C887" s="40">
        <v>99</v>
      </c>
      <c r="D887" s="40">
        <f t="shared" si="71"/>
        <v>1</v>
      </c>
      <c r="E887" s="41" t="s">
        <v>1040</v>
      </c>
      <c r="F887" s="17" t="s">
        <v>58</v>
      </c>
      <c r="G887" s="17" t="s">
        <v>86</v>
      </c>
      <c r="H887" s="17">
        <v>142</v>
      </c>
      <c r="I887" s="17" t="str">
        <f t="shared" si="76"/>
        <v>PR_PN-142</v>
      </c>
      <c r="J887" s="18" t="s">
        <v>85</v>
      </c>
      <c r="K887" s="19" t="e">
        <f>IF(J887="","SEM #CH",VLOOKUP(J887,#REF!,2,0))</f>
        <v>#REF!</v>
      </c>
      <c r="L887" s="19" t="e">
        <f>IF(J887="","SEM #CH",VLOOKUP(J887,#REF!,3,0))</f>
        <v>#REF!</v>
      </c>
      <c r="M887" s="19" t="e">
        <f>IF(J887="","SEM #CH",VLOOKUP(J887,#REF!,4,0))</f>
        <v>#REF!</v>
      </c>
      <c r="N887" s="19" t="e">
        <f>IF(J887="","SEM #CH",VLOOKUP(J887,#REF!,5,0))</f>
        <v>#REF!</v>
      </c>
      <c r="O887" s="19" t="e">
        <f>IF(J887="","SEM #CH",VLOOKUP(J887,#REF!,6,0))</f>
        <v>#REF!</v>
      </c>
      <c r="P887" s="19" t="e">
        <f>IF(J887="","SEM #CH",VLOOKUP(J887,#REF!,7,0))</f>
        <v>#REF!</v>
      </c>
      <c r="Q887" s="77" t="str">
        <f>VLOOKUP(J887,'p1'!$B$2:$C$30,2,0)</f>
        <v>NÃO TEM CHAPA</v>
      </c>
      <c r="R887" s="90"/>
      <c r="S887" s="90" t="s">
        <v>218</v>
      </c>
      <c r="T887" s="90">
        <f t="shared" si="73"/>
        <v>0</v>
      </c>
      <c r="U887" s="90"/>
      <c r="V887" s="90"/>
      <c r="W887" s="92"/>
      <c r="X887" s="93" t="str">
        <f t="shared" si="72"/>
        <v/>
      </c>
      <c r="Y887" s="92"/>
      <c r="Z887" s="92"/>
      <c r="AA887" s="13" t="str">
        <f t="shared" si="74"/>
        <v>jan/1900</v>
      </c>
    </row>
    <row r="888" spans="1:27" x14ac:dyDescent="0.25">
      <c r="A888" s="89">
        <v>887</v>
      </c>
      <c r="B888" s="68">
        <v>45881</v>
      </c>
      <c r="C888" s="40">
        <v>68</v>
      </c>
      <c r="D888" s="40">
        <f t="shared" si="71"/>
        <v>1</v>
      </c>
      <c r="E888" s="41" t="s">
        <v>1040</v>
      </c>
      <c r="F888" s="17" t="s">
        <v>123</v>
      </c>
      <c r="G888" s="17" t="s">
        <v>86</v>
      </c>
      <c r="H888" s="17">
        <v>143</v>
      </c>
      <c r="I888" s="17" t="str">
        <f t="shared" si="76"/>
        <v>PR_PNI-143</v>
      </c>
      <c r="J888" s="18" t="s">
        <v>123</v>
      </c>
      <c r="K888" s="19" t="e">
        <f>IF(J888="","SEM #CH",VLOOKUP(J888,#REF!,2,0))</f>
        <v>#REF!</v>
      </c>
      <c r="L888" s="19" t="e">
        <f>IF(J888="","SEM #CH",VLOOKUP(J888,#REF!,3,0))</f>
        <v>#REF!</v>
      </c>
      <c r="M888" s="19" t="e">
        <f>IF(J888="","SEM #CH",VLOOKUP(J888,#REF!,4,0))</f>
        <v>#REF!</v>
      </c>
      <c r="N888" s="19" t="e">
        <f>IF(J888="","SEM #CH",VLOOKUP(J888,#REF!,5,0))</f>
        <v>#REF!</v>
      </c>
      <c r="O888" s="19" t="e">
        <f>IF(J888="","SEM #CH",VLOOKUP(J888,#REF!,6,0))</f>
        <v>#REF!</v>
      </c>
      <c r="P888" s="19" t="e">
        <f>IF(J888="","SEM #CH",VLOOKUP(J888,#REF!,7,0))</f>
        <v>#REF!</v>
      </c>
      <c r="Q888" s="77" t="str">
        <f>VLOOKUP(J888,'p1'!$B$2:$C$30,2,0)</f>
        <v>02- 150X150 #3/8</v>
      </c>
      <c r="R888" s="94">
        <v>45888</v>
      </c>
      <c r="S888" s="90" t="s">
        <v>218</v>
      </c>
      <c r="T888" s="90">
        <f t="shared" si="73"/>
        <v>1</v>
      </c>
      <c r="U888" s="90"/>
      <c r="V888" s="90"/>
      <c r="W888" s="92"/>
      <c r="X888" s="93" t="str">
        <f t="shared" si="72"/>
        <v/>
      </c>
      <c r="Y888" s="92"/>
      <c r="Z888" s="92"/>
      <c r="AA888" s="13" t="str">
        <f t="shared" si="74"/>
        <v>ago/2025</v>
      </c>
    </row>
    <row r="889" spans="1:27" x14ac:dyDescent="0.25">
      <c r="A889" s="89">
        <v>888</v>
      </c>
      <c r="B889" s="68">
        <v>45839</v>
      </c>
      <c r="C889" s="40">
        <v>43</v>
      </c>
      <c r="D889" s="40">
        <f t="shared" si="71"/>
        <v>1</v>
      </c>
      <c r="E889" s="41" t="s">
        <v>1040</v>
      </c>
      <c r="F889" s="17" t="s">
        <v>61</v>
      </c>
      <c r="G889" s="17" t="s">
        <v>86</v>
      </c>
      <c r="H889" s="17">
        <v>144</v>
      </c>
      <c r="I889" s="17" t="str">
        <f t="shared" si="76"/>
        <v>PR_PF-144</v>
      </c>
      <c r="J889" s="18" t="s">
        <v>61</v>
      </c>
      <c r="K889" s="19" t="e">
        <f>IF(J889="","SEM #CH",VLOOKUP(J889,#REF!,2,0))</f>
        <v>#REF!</v>
      </c>
      <c r="L889" s="19" t="e">
        <f>IF(J889="","SEM #CH",VLOOKUP(J889,#REF!,3,0))</f>
        <v>#REF!</v>
      </c>
      <c r="M889" s="19" t="e">
        <f>IF(J889="","SEM #CH",VLOOKUP(J889,#REF!,4,0))</f>
        <v>#REF!</v>
      </c>
      <c r="N889" s="19" t="e">
        <f>IF(J889="","SEM #CH",VLOOKUP(J889,#REF!,5,0))</f>
        <v>#REF!</v>
      </c>
      <c r="O889" s="19" t="e">
        <f>IF(J889="","SEM #CH",VLOOKUP(J889,#REF!,6,0))</f>
        <v>#REF!</v>
      </c>
      <c r="P889" s="19" t="e">
        <f>IF(J889="","SEM #CH",VLOOKUP(J889,#REF!,7,0))</f>
        <v>#REF!</v>
      </c>
      <c r="Q889" s="77" t="str">
        <f>VLOOKUP(J889,'p1'!$B$2:$C$30,2,0)</f>
        <v>SEM CHAPA</v>
      </c>
      <c r="R889" s="90"/>
      <c r="S889" s="90" t="s">
        <v>218</v>
      </c>
      <c r="T889" s="90">
        <f t="shared" si="73"/>
        <v>0</v>
      </c>
      <c r="U889" s="90"/>
      <c r="V889" s="90"/>
      <c r="W889" s="92"/>
      <c r="X889" s="93" t="str">
        <f t="shared" si="72"/>
        <v/>
      </c>
      <c r="Y889" s="92">
        <v>700</v>
      </c>
      <c r="Z889" s="92"/>
      <c r="AA889" s="13" t="str">
        <f t="shared" si="74"/>
        <v>jan/1900</v>
      </c>
    </row>
    <row r="890" spans="1:27" x14ac:dyDescent="0.25">
      <c r="A890" s="89">
        <v>889</v>
      </c>
      <c r="B890" s="68">
        <v>45929</v>
      </c>
      <c r="C890" s="40">
        <v>105</v>
      </c>
      <c r="D890" s="40">
        <f t="shared" si="71"/>
        <v>1</v>
      </c>
      <c r="E890" s="41" t="s">
        <v>1040</v>
      </c>
      <c r="F890" s="17" t="s">
        <v>58</v>
      </c>
      <c r="G890" s="17" t="s">
        <v>86</v>
      </c>
      <c r="H890" s="17">
        <v>145</v>
      </c>
      <c r="I890" s="17" t="str">
        <f t="shared" si="76"/>
        <v>PR_PN-145</v>
      </c>
      <c r="J890" s="18" t="s">
        <v>85</v>
      </c>
      <c r="K890" s="19" t="e">
        <f>IF(J890="","SEM #CH",VLOOKUP(J890,#REF!,2,0))</f>
        <v>#REF!</v>
      </c>
      <c r="L890" s="19" t="e">
        <f>IF(J890="","SEM #CH",VLOOKUP(J890,#REF!,3,0))</f>
        <v>#REF!</v>
      </c>
      <c r="M890" s="19" t="e">
        <f>IF(J890="","SEM #CH",VLOOKUP(J890,#REF!,4,0))</f>
        <v>#REF!</v>
      </c>
      <c r="N890" s="19" t="e">
        <f>IF(J890="","SEM #CH",VLOOKUP(J890,#REF!,5,0))</f>
        <v>#REF!</v>
      </c>
      <c r="O890" s="19" t="e">
        <f>IF(J890="","SEM #CH",VLOOKUP(J890,#REF!,6,0))</f>
        <v>#REF!</v>
      </c>
      <c r="P890" s="19" t="e">
        <f>IF(J890="","SEM #CH",VLOOKUP(J890,#REF!,7,0))</f>
        <v>#REF!</v>
      </c>
      <c r="Q890" s="77" t="str">
        <f>VLOOKUP(J890,'p1'!$B$2:$C$30,2,0)</f>
        <v>NÃO TEM CHAPA</v>
      </c>
      <c r="R890" s="90"/>
      <c r="S890" s="90" t="s">
        <v>218</v>
      </c>
      <c r="T890" s="90">
        <f t="shared" si="73"/>
        <v>0</v>
      </c>
      <c r="U890" s="90"/>
      <c r="V890" s="90"/>
      <c r="W890" s="92"/>
      <c r="X890" s="93" t="str">
        <f t="shared" si="72"/>
        <v/>
      </c>
      <c r="Y890" s="92"/>
      <c r="Z890" s="92"/>
      <c r="AA890" s="13" t="str">
        <f t="shared" si="74"/>
        <v>jan/1900</v>
      </c>
    </row>
    <row r="891" spans="1:27" x14ac:dyDescent="0.25">
      <c r="A891" s="89">
        <v>890</v>
      </c>
      <c r="B891" s="68">
        <v>45931</v>
      </c>
      <c r="C891" s="40">
        <v>107</v>
      </c>
      <c r="D891" s="40">
        <f t="shared" si="71"/>
        <v>1</v>
      </c>
      <c r="E891" s="41" t="s">
        <v>1040</v>
      </c>
      <c r="F891" s="17" t="s">
        <v>58</v>
      </c>
      <c r="G891" s="17" t="s">
        <v>86</v>
      </c>
      <c r="H891" s="17">
        <v>146</v>
      </c>
      <c r="I891" s="17" t="str">
        <f t="shared" si="76"/>
        <v>PR_PN-146</v>
      </c>
      <c r="J891" s="18" t="s">
        <v>85</v>
      </c>
      <c r="K891" s="19" t="e">
        <f>IF(J891="","SEM #CH",VLOOKUP(J891,#REF!,2,0))</f>
        <v>#REF!</v>
      </c>
      <c r="L891" s="19" t="e">
        <f>IF(J891="","SEM #CH",VLOOKUP(J891,#REF!,3,0))</f>
        <v>#REF!</v>
      </c>
      <c r="M891" s="19" t="e">
        <f>IF(J891="","SEM #CH",VLOOKUP(J891,#REF!,4,0))</f>
        <v>#REF!</v>
      </c>
      <c r="N891" s="19" t="e">
        <f>IF(J891="","SEM #CH",VLOOKUP(J891,#REF!,5,0))</f>
        <v>#REF!</v>
      </c>
      <c r="O891" s="19" t="e">
        <f>IF(J891="","SEM #CH",VLOOKUP(J891,#REF!,6,0))</f>
        <v>#REF!</v>
      </c>
      <c r="P891" s="19" t="e">
        <f>IF(J891="","SEM #CH",VLOOKUP(J891,#REF!,7,0))</f>
        <v>#REF!</v>
      </c>
      <c r="Q891" s="77" t="str">
        <f>VLOOKUP(J891,'p1'!$B$2:$C$30,2,0)</f>
        <v>NÃO TEM CHAPA</v>
      </c>
      <c r="R891" s="90"/>
      <c r="S891" s="90" t="s">
        <v>218</v>
      </c>
      <c r="T891" s="90">
        <f t="shared" si="73"/>
        <v>0</v>
      </c>
      <c r="U891" s="90"/>
      <c r="V891" s="90"/>
      <c r="W891" s="92"/>
      <c r="X891" s="93" t="str">
        <f t="shared" si="72"/>
        <v/>
      </c>
      <c r="Y891" s="92"/>
      <c r="Z891" s="92"/>
      <c r="AA891" s="13" t="str">
        <f t="shared" si="74"/>
        <v>jan/1900</v>
      </c>
    </row>
    <row r="892" spans="1:27" x14ac:dyDescent="0.25">
      <c r="A892" s="89">
        <v>891</v>
      </c>
      <c r="B892" s="68">
        <v>45933</v>
      </c>
      <c r="C892" s="40">
        <v>109</v>
      </c>
      <c r="D892" s="40">
        <f t="shared" si="71"/>
        <v>1</v>
      </c>
      <c r="E892" s="41" t="s">
        <v>1040</v>
      </c>
      <c r="F892" s="17" t="s">
        <v>58</v>
      </c>
      <c r="G892" s="17" t="s">
        <v>86</v>
      </c>
      <c r="H892" s="17">
        <v>147</v>
      </c>
      <c r="I892" s="17" t="str">
        <f t="shared" si="76"/>
        <v>PR_PN-147</v>
      </c>
      <c r="J892" s="18" t="s">
        <v>85</v>
      </c>
      <c r="K892" s="19" t="e">
        <f>IF(J892="","SEM #CH",VLOOKUP(J892,#REF!,2,0))</f>
        <v>#REF!</v>
      </c>
      <c r="L892" s="19" t="e">
        <f>IF(J892="","SEM #CH",VLOOKUP(J892,#REF!,3,0))</f>
        <v>#REF!</v>
      </c>
      <c r="M892" s="19" t="e">
        <f>IF(J892="","SEM #CH",VLOOKUP(J892,#REF!,4,0))</f>
        <v>#REF!</v>
      </c>
      <c r="N892" s="19" t="e">
        <f>IF(J892="","SEM #CH",VLOOKUP(J892,#REF!,5,0))</f>
        <v>#REF!</v>
      </c>
      <c r="O892" s="19" t="e">
        <f>IF(J892="","SEM #CH",VLOOKUP(J892,#REF!,6,0))</f>
        <v>#REF!</v>
      </c>
      <c r="P892" s="19" t="e">
        <f>IF(J892="","SEM #CH",VLOOKUP(J892,#REF!,7,0))</f>
        <v>#REF!</v>
      </c>
      <c r="Q892" s="77" t="str">
        <f>VLOOKUP(J892,'p1'!$B$2:$C$30,2,0)</f>
        <v>NÃO TEM CHAPA</v>
      </c>
      <c r="R892" s="90"/>
      <c r="S892" s="90" t="s">
        <v>218</v>
      </c>
      <c r="T892" s="90">
        <f t="shared" si="73"/>
        <v>0</v>
      </c>
      <c r="U892" s="90"/>
      <c r="V892" s="90"/>
      <c r="W892" s="92"/>
      <c r="X892" s="93" t="str">
        <f t="shared" si="72"/>
        <v/>
      </c>
      <c r="Y892" s="92"/>
      <c r="Z892" s="92"/>
      <c r="AA892" s="13" t="str">
        <f t="shared" si="74"/>
        <v>jan/1900</v>
      </c>
    </row>
    <row r="893" spans="1:27" x14ac:dyDescent="0.25">
      <c r="A893" s="89">
        <v>892</v>
      </c>
      <c r="B893" s="68">
        <v>45937</v>
      </c>
      <c r="C893" s="40">
        <v>112</v>
      </c>
      <c r="D893" s="40">
        <f t="shared" si="71"/>
        <v>1</v>
      </c>
      <c r="E893" s="41" t="s">
        <v>1040</v>
      </c>
      <c r="F893" s="17" t="s">
        <v>58</v>
      </c>
      <c r="G893" s="17" t="s">
        <v>86</v>
      </c>
      <c r="H893" s="17">
        <v>148</v>
      </c>
      <c r="I893" s="17" t="str">
        <f t="shared" si="76"/>
        <v>PR_PN-148</v>
      </c>
      <c r="J893" s="18" t="s">
        <v>85</v>
      </c>
      <c r="K893" s="19" t="e">
        <f>IF(J893="","SEM #CH",VLOOKUP(J893,#REF!,2,0))</f>
        <v>#REF!</v>
      </c>
      <c r="L893" s="19" t="e">
        <f>IF(J893="","SEM #CH",VLOOKUP(J893,#REF!,3,0))</f>
        <v>#REF!</v>
      </c>
      <c r="M893" s="19" t="e">
        <f>IF(J893="","SEM #CH",VLOOKUP(J893,#REF!,4,0))</f>
        <v>#REF!</v>
      </c>
      <c r="N893" s="19" t="e">
        <f>IF(J893="","SEM #CH",VLOOKUP(J893,#REF!,5,0))</f>
        <v>#REF!</v>
      </c>
      <c r="O893" s="19" t="e">
        <f>IF(J893="","SEM #CH",VLOOKUP(J893,#REF!,6,0))</f>
        <v>#REF!</v>
      </c>
      <c r="P893" s="19" t="e">
        <f>IF(J893="","SEM #CH",VLOOKUP(J893,#REF!,7,0))</f>
        <v>#REF!</v>
      </c>
      <c r="Q893" s="77" t="str">
        <f>VLOOKUP(J893,'p1'!$B$2:$C$30,2,0)</f>
        <v>NÃO TEM CHAPA</v>
      </c>
      <c r="R893" s="90"/>
      <c r="S893" s="90" t="s">
        <v>218</v>
      </c>
      <c r="T893" s="90">
        <f t="shared" si="73"/>
        <v>0</v>
      </c>
      <c r="U893" s="90"/>
      <c r="V893" s="90"/>
      <c r="W893" s="92"/>
      <c r="X893" s="93" t="str">
        <f t="shared" si="72"/>
        <v/>
      </c>
      <c r="Y893" s="92"/>
      <c r="Z893" s="92"/>
      <c r="AA893" s="13" t="str">
        <f t="shared" si="74"/>
        <v>jan/1900</v>
      </c>
    </row>
    <row r="894" spans="1:27" x14ac:dyDescent="0.25">
      <c r="A894" s="89">
        <v>893</v>
      </c>
      <c r="B894" s="68">
        <v>45910</v>
      </c>
      <c r="C894" s="40">
        <v>88</v>
      </c>
      <c r="D894" s="40">
        <f t="shared" si="71"/>
        <v>1</v>
      </c>
      <c r="E894" s="47" t="s">
        <v>1191</v>
      </c>
      <c r="F894" s="42" t="s">
        <v>58</v>
      </c>
      <c r="G894" s="17" t="s">
        <v>86</v>
      </c>
      <c r="H894" s="17">
        <v>1</v>
      </c>
      <c r="I894" s="17" t="str">
        <f>_xlfn.CONCAT("AER 1_",F894,G894,H894)</f>
        <v>AER 1_PN-1</v>
      </c>
      <c r="J894" s="18" t="s">
        <v>85</v>
      </c>
      <c r="K894" s="19"/>
      <c r="L894" s="19"/>
      <c r="M894" s="19"/>
      <c r="N894" s="19"/>
      <c r="O894" s="19"/>
      <c r="P894" s="19"/>
      <c r="Q894" s="77" t="str">
        <f>VLOOKUP(J894,'p1'!$B$2:$C$30,2,0)</f>
        <v>NÃO TEM CHAPA</v>
      </c>
      <c r="R894" s="94">
        <v>45973</v>
      </c>
      <c r="S894" s="90" t="s">
        <v>217</v>
      </c>
      <c r="T894" s="90">
        <f t="shared" ref="T894:T896" si="77">IF(R894="",0,1)</f>
        <v>1</v>
      </c>
      <c r="U894" s="94">
        <v>45975</v>
      </c>
      <c r="V894" s="90" t="s">
        <v>86</v>
      </c>
      <c r="W894" s="92">
        <v>2646</v>
      </c>
      <c r="X894" s="93">
        <f t="shared" si="72"/>
        <v>1</v>
      </c>
      <c r="Y894" s="92"/>
      <c r="Z894" s="92"/>
      <c r="AA894" s="13" t="str">
        <f t="shared" si="74"/>
        <v>nov/2025</v>
      </c>
    </row>
    <row r="895" spans="1:27" x14ac:dyDescent="0.25">
      <c r="A895" s="89">
        <v>894</v>
      </c>
      <c r="B895" s="68">
        <v>45910</v>
      </c>
      <c r="C895" s="40">
        <v>88</v>
      </c>
      <c r="D895" s="40">
        <f t="shared" si="71"/>
        <v>1</v>
      </c>
      <c r="E895" s="47" t="s">
        <v>1191</v>
      </c>
      <c r="F895" s="42" t="s">
        <v>58</v>
      </c>
      <c r="G895" s="17" t="s">
        <v>86</v>
      </c>
      <c r="H895" s="17">
        <v>2</v>
      </c>
      <c r="I895" s="17" t="str">
        <f t="shared" ref="I895:I958" si="78">_xlfn.CONCAT("AER 1_",F895,G895,H895)</f>
        <v>AER 1_PN-2</v>
      </c>
      <c r="J895" s="18" t="s">
        <v>85</v>
      </c>
      <c r="K895" s="19"/>
      <c r="L895" s="19"/>
      <c r="M895" s="19"/>
      <c r="N895" s="19"/>
      <c r="O895" s="19"/>
      <c r="P895" s="19"/>
      <c r="Q895" s="77" t="str">
        <f>VLOOKUP(J895,'p1'!$B$2:$C$30,2,0)</f>
        <v>NÃO TEM CHAPA</v>
      </c>
      <c r="R895" s="94">
        <v>45973</v>
      </c>
      <c r="S895" s="90" t="s">
        <v>217</v>
      </c>
      <c r="T895" s="90">
        <f t="shared" si="77"/>
        <v>1</v>
      </c>
      <c r="U895" s="94">
        <v>45973</v>
      </c>
      <c r="V895" s="90" t="s">
        <v>86</v>
      </c>
      <c r="W895" s="92">
        <v>2639</v>
      </c>
      <c r="X895" s="93">
        <f t="shared" si="72"/>
        <v>1</v>
      </c>
      <c r="Y895" s="92"/>
      <c r="Z895" s="92"/>
      <c r="AA895" s="13" t="str">
        <f t="shared" si="74"/>
        <v>nov/2025</v>
      </c>
    </row>
    <row r="896" spans="1:27" x14ac:dyDescent="0.25">
      <c r="A896" s="89">
        <v>895</v>
      </c>
      <c r="B896" s="68">
        <v>45919</v>
      </c>
      <c r="C896" s="40">
        <v>96</v>
      </c>
      <c r="D896" s="40">
        <f t="shared" si="71"/>
        <v>1</v>
      </c>
      <c r="E896" s="47" t="s">
        <v>1191</v>
      </c>
      <c r="F896" s="42" t="s">
        <v>123</v>
      </c>
      <c r="G896" s="17" t="s">
        <v>86</v>
      </c>
      <c r="H896" s="17">
        <v>3</v>
      </c>
      <c r="I896" s="17" t="str">
        <f t="shared" si="78"/>
        <v>AER 1_PNI-3</v>
      </c>
      <c r="J896" s="18" t="s">
        <v>123</v>
      </c>
      <c r="K896" s="19"/>
      <c r="L896" s="19"/>
      <c r="M896" s="19"/>
      <c r="N896" s="19"/>
      <c r="O896" s="19"/>
      <c r="P896" s="19"/>
      <c r="Q896" s="77" t="str">
        <f>VLOOKUP(J896,'p1'!$B$2:$C$30,2,0)</f>
        <v>02- 150X150 #3/8</v>
      </c>
      <c r="R896" s="94">
        <v>45957</v>
      </c>
      <c r="S896" s="90" t="s">
        <v>217</v>
      </c>
      <c r="T896" s="90">
        <f t="shared" si="77"/>
        <v>1</v>
      </c>
      <c r="U896" s="94">
        <v>45972</v>
      </c>
      <c r="V896" s="90" t="s">
        <v>86</v>
      </c>
      <c r="W896" s="92">
        <v>2633</v>
      </c>
      <c r="X896" s="93">
        <f t="shared" si="72"/>
        <v>1</v>
      </c>
      <c r="Y896" s="92"/>
      <c r="Z896" s="92"/>
      <c r="AA896" s="13" t="str">
        <f t="shared" si="74"/>
        <v>out/2025</v>
      </c>
    </row>
    <row r="897" spans="1:27" x14ac:dyDescent="0.25">
      <c r="A897" s="89">
        <v>896</v>
      </c>
      <c r="B897" s="68">
        <v>45910</v>
      </c>
      <c r="C897" s="40">
        <v>88</v>
      </c>
      <c r="D897" s="40">
        <f t="shared" ref="D897:D960" si="79">IF(B897&gt;0,1,"")</f>
        <v>1</v>
      </c>
      <c r="E897" s="47" t="s">
        <v>1191</v>
      </c>
      <c r="F897" s="42" t="s">
        <v>58</v>
      </c>
      <c r="G897" s="17" t="s">
        <v>86</v>
      </c>
      <c r="H897" s="17">
        <v>4</v>
      </c>
      <c r="I897" s="17" t="str">
        <f t="shared" si="78"/>
        <v>AER 1_PN-4</v>
      </c>
      <c r="J897" s="18" t="s">
        <v>85</v>
      </c>
      <c r="K897" s="19"/>
      <c r="L897" s="19"/>
      <c r="M897" s="19"/>
      <c r="N897" s="19"/>
      <c r="O897" s="19"/>
      <c r="P897" s="19"/>
      <c r="Q897" s="77" t="str">
        <f>VLOOKUP(J897,'p1'!$B$2:$C$30,2,0)</f>
        <v>NÃO TEM CHAPA</v>
      </c>
      <c r="R897" s="94">
        <v>45973</v>
      </c>
      <c r="S897" s="90" t="s">
        <v>217</v>
      </c>
      <c r="T897" s="90">
        <f t="shared" ref="T897:T960" si="80">IF(R897="",0,1)</f>
        <v>1</v>
      </c>
      <c r="U897" s="94">
        <v>45973</v>
      </c>
      <c r="V897" s="90" t="s">
        <v>86</v>
      </c>
      <c r="W897" s="92">
        <v>2638</v>
      </c>
      <c r="X897" s="93">
        <f t="shared" ref="X897:X960" si="81">IF(U897&gt;0,1,"")</f>
        <v>1</v>
      </c>
      <c r="Y897" s="92"/>
      <c r="Z897" s="92"/>
      <c r="AA897" s="13" t="str">
        <f t="shared" si="74"/>
        <v>nov/2025</v>
      </c>
    </row>
    <row r="898" spans="1:27" x14ac:dyDescent="0.25">
      <c r="A898" s="89">
        <v>897</v>
      </c>
      <c r="B898" s="68">
        <v>45910</v>
      </c>
      <c r="C898" s="40">
        <v>88</v>
      </c>
      <c r="D898" s="40">
        <f t="shared" si="79"/>
        <v>1</v>
      </c>
      <c r="E898" s="47" t="s">
        <v>1191</v>
      </c>
      <c r="F898" s="42" t="s">
        <v>58</v>
      </c>
      <c r="G898" s="17" t="s">
        <v>86</v>
      </c>
      <c r="H898" s="17">
        <v>5</v>
      </c>
      <c r="I898" s="17" t="str">
        <f t="shared" si="78"/>
        <v>AER 1_PN-5</v>
      </c>
      <c r="J898" s="18" t="s">
        <v>85</v>
      </c>
      <c r="K898" s="19"/>
      <c r="L898" s="19"/>
      <c r="M898" s="19"/>
      <c r="N898" s="19"/>
      <c r="O898" s="19"/>
      <c r="P898" s="19"/>
      <c r="Q898" s="77" t="str">
        <f>VLOOKUP(J898,'p1'!$B$2:$C$30,2,0)</f>
        <v>NÃO TEM CHAPA</v>
      </c>
      <c r="R898" s="94">
        <v>45973</v>
      </c>
      <c r="S898" s="90" t="s">
        <v>217</v>
      </c>
      <c r="T898" s="90">
        <f t="shared" si="80"/>
        <v>1</v>
      </c>
      <c r="U898" s="94">
        <v>45973</v>
      </c>
      <c r="V898" s="90" t="s">
        <v>86</v>
      </c>
      <c r="W898" s="92">
        <v>2637</v>
      </c>
      <c r="X898" s="93">
        <f t="shared" si="81"/>
        <v>1</v>
      </c>
      <c r="Y898" s="92"/>
      <c r="Z898" s="92"/>
      <c r="AA898" s="13" t="str">
        <f t="shared" si="74"/>
        <v>nov/2025</v>
      </c>
    </row>
    <row r="899" spans="1:27" x14ac:dyDescent="0.25">
      <c r="A899" s="89">
        <v>898</v>
      </c>
      <c r="B899" s="68">
        <v>45910</v>
      </c>
      <c r="C899" s="40">
        <v>88</v>
      </c>
      <c r="D899" s="40">
        <f t="shared" si="79"/>
        <v>1</v>
      </c>
      <c r="E899" s="47" t="s">
        <v>1191</v>
      </c>
      <c r="F899" s="42" t="s">
        <v>58</v>
      </c>
      <c r="G899" s="17" t="s">
        <v>86</v>
      </c>
      <c r="H899" s="17">
        <v>6</v>
      </c>
      <c r="I899" s="17" t="str">
        <f t="shared" si="78"/>
        <v>AER 1_PN-6</v>
      </c>
      <c r="J899" s="18" t="s">
        <v>85</v>
      </c>
      <c r="K899" s="19"/>
      <c r="L899" s="19"/>
      <c r="M899" s="19"/>
      <c r="N899" s="19"/>
      <c r="O899" s="19"/>
      <c r="P899" s="19"/>
      <c r="Q899" s="77" t="str">
        <f>VLOOKUP(J899,'p1'!$B$2:$C$30,2,0)</f>
        <v>NÃO TEM CHAPA</v>
      </c>
      <c r="R899" s="94">
        <v>45972</v>
      </c>
      <c r="S899" s="90" t="s">
        <v>217</v>
      </c>
      <c r="T899" s="90">
        <f t="shared" si="80"/>
        <v>1</v>
      </c>
      <c r="U899" s="94">
        <v>45972</v>
      </c>
      <c r="V899" s="90" t="s">
        <v>86</v>
      </c>
      <c r="W899" s="92">
        <v>2635</v>
      </c>
      <c r="X899" s="93">
        <f t="shared" si="81"/>
        <v>1</v>
      </c>
      <c r="Y899" s="92"/>
      <c r="Z899" s="92"/>
      <c r="AA899" s="13" t="str">
        <f t="shared" ref="AA899:AA962" si="82">TEXT(R899,"mmm/aaaa")</f>
        <v>nov/2025</v>
      </c>
    </row>
    <row r="900" spans="1:27" x14ac:dyDescent="0.25">
      <c r="A900" s="89">
        <v>899</v>
      </c>
      <c r="B900" s="68">
        <v>45912</v>
      </c>
      <c r="C900" s="40">
        <v>90</v>
      </c>
      <c r="D900" s="40">
        <f t="shared" si="79"/>
        <v>1</v>
      </c>
      <c r="E900" s="47" t="s">
        <v>1191</v>
      </c>
      <c r="F900" s="42" t="s">
        <v>58</v>
      </c>
      <c r="G900" s="17" t="s">
        <v>86</v>
      </c>
      <c r="H900" s="17">
        <v>7</v>
      </c>
      <c r="I900" s="17" t="str">
        <f t="shared" si="78"/>
        <v>AER 1_PN-7</v>
      </c>
      <c r="J900" s="18" t="s">
        <v>85</v>
      </c>
      <c r="K900" s="19"/>
      <c r="L900" s="19"/>
      <c r="M900" s="19"/>
      <c r="N900" s="19"/>
      <c r="O900" s="19"/>
      <c r="P900" s="19"/>
      <c r="Q900" s="77" t="str">
        <f>VLOOKUP(J900,'p1'!$B$2:$C$30,2,0)</f>
        <v>NÃO TEM CHAPA</v>
      </c>
      <c r="R900" s="94">
        <v>45964</v>
      </c>
      <c r="S900" s="90" t="s">
        <v>217</v>
      </c>
      <c r="T900" s="90">
        <f t="shared" si="80"/>
        <v>1</v>
      </c>
      <c r="U900" s="94">
        <v>45964</v>
      </c>
      <c r="V900" s="90" t="s">
        <v>86</v>
      </c>
      <c r="W900" s="92">
        <v>2614</v>
      </c>
      <c r="X900" s="93">
        <f t="shared" si="81"/>
        <v>1</v>
      </c>
      <c r="Y900" s="92"/>
      <c r="Z900" s="92"/>
      <c r="AA900" s="13" t="str">
        <f t="shared" si="82"/>
        <v>nov/2025</v>
      </c>
    </row>
    <row r="901" spans="1:27" x14ac:dyDescent="0.25">
      <c r="A901" s="89">
        <v>900</v>
      </c>
      <c r="B901" s="68">
        <v>45912</v>
      </c>
      <c r="C901" s="40">
        <v>90</v>
      </c>
      <c r="D901" s="40">
        <f t="shared" si="79"/>
        <v>1</v>
      </c>
      <c r="E901" s="47" t="s">
        <v>1191</v>
      </c>
      <c r="F901" s="42" t="s">
        <v>58</v>
      </c>
      <c r="G901" s="17" t="s">
        <v>86</v>
      </c>
      <c r="H901" s="17">
        <v>8</v>
      </c>
      <c r="I901" s="17" t="str">
        <f t="shared" si="78"/>
        <v>AER 1_PN-8</v>
      </c>
      <c r="J901" s="18" t="s">
        <v>85</v>
      </c>
      <c r="K901" s="19"/>
      <c r="L901" s="19"/>
      <c r="M901" s="19"/>
      <c r="N901" s="19"/>
      <c r="O901" s="19"/>
      <c r="P901" s="19"/>
      <c r="Q901" s="77" t="str">
        <f>VLOOKUP(J901,'p1'!$B$2:$C$30,2,0)</f>
        <v>NÃO TEM CHAPA</v>
      </c>
      <c r="R901" s="94">
        <v>45964</v>
      </c>
      <c r="S901" s="90" t="s">
        <v>217</v>
      </c>
      <c r="T901" s="90">
        <f t="shared" si="80"/>
        <v>1</v>
      </c>
      <c r="U901" s="94">
        <v>45964</v>
      </c>
      <c r="V901" s="90" t="s">
        <v>86</v>
      </c>
      <c r="W901" s="92">
        <v>2612</v>
      </c>
      <c r="X901" s="93">
        <f t="shared" si="81"/>
        <v>1</v>
      </c>
      <c r="Y901" s="92"/>
      <c r="Z901" s="92"/>
      <c r="AA901" s="13" t="str">
        <f t="shared" si="82"/>
        <v>nov/2025</v>
      </c>
    </row>
    <row r="902" spans="1:27" x14ac:dyDescent="0.25">
      <c r="A902" s="89">
        <v>901</v>
      </c>
      <c r="B902" s="68">
        <v>45919</v>
      </c>
      <c r="C902" s="40">
        <v>96</v>
      </c>
      <c r="D902" s="40">
        <f t="shared" si="79"/>
        <v>1</v>
      </c>
      <c r="E902" s="47" t="s">
        <v>1191</v>
      </c>
      <c r="F902" s="42" t="s">
        <v>123</v>
      </c>
      <c r="G902" s="17" t="s">
        <v>86</v>
      </c>
      <c r="H902" s="17">
        <v>9</v>
      </c>
      <c r="I902" s="17" t="str">
        <f t="shared" si="78"/>
        <v>AER 1_PNI-9</v>
      </c>
      <c r="J902" s="18" t="s">
        <v>123</v>
      </c>
      <c r="K902" s="19"/>
      <c r="L902" s="19"/>
      <c r="M902" s="19"/>
      <c r="N902" s="19"/>
      <c r="O902" s="19"/>
      <c r="P902" s="19"/>
      <c r="Q902" s="77" t="str">
        <f>VLOOKUP(J902,'p1'!$B$2:$C$30,2,0)</f>
        <v>02- 150X150 #3/8</v>
      </c>
      <c r="R902" s="94">
        <v>45961</v>
      </c>
      <c r="S902" s="90" t="s">
        <v>217</v>
      </c>
      <c r="T902" s="90">
        <f t="shared" si="80"/>
        <v>1</v>
      </c>
      <c r="U902" s="94">
        <v>45961</v>
      </c>
      <c r="V902" s="90" t="s">
        <v>86</v>
      </c>
      <c r="W902" s="92">
        <v>2610</v>
      </c>
      <c r="X902" s="93">
        <f t="shared" si="81"/>
        <v>1</v>
      </c>
      <c r="Y902" s="92"/>
      <c r="Z902" s="92"/>
      <c r="AA902" s="13" t="str">
        <f t="shared" si="82"/>
        <v>out/2025</v>
      </c>
    </row>
    <row r="903" spans="1:27" x14ac:dyDescent="0.25">
      <c r="A903" s="89">
        <v>902</v>
      </c>
      <c r="B903" s="68">
        <v>45912</v>
      </c>
      <c r="C903" s="40">
        <v>90</v>
      </c>
      <c r="D903" s="40">
        <f t="shared" si="79"/>
        <v>1</v>
      </c>
      <c r="E903" s="47" t="s">
        <v>1191</v>
      </c>
      <c r="F903" s="42" t="s">
        <v>58</v>
      </c>
      <c r="G903" s="17" t="s">
        <v>86</v>
      </c>
      <c r="H903" s="17">
        <v>10</v>
      </c>
      <c r="I903" s="17" t="str">
        <f t="shared" si="78"/>
        <v>AER 1_PN-10</v>
      </c>
      <c r="J903" s="18" t="s">
        <v>85</v>
      </c>
      <c r="K903" s="19"/>
      <c r="L903" s="19"/>
      <c r="M903" s="19"/>
      <c r="N903" s="19"/>
      <c r="O903" s="19"/>
      <c r="P903" s="19"/>
      <c r="Q903" s="77" t="str">
        <f>VLOOKUP(J903,'p1'!$B$2:$C$30,2,0)</f>
        <v>NÃO TEM CHAPA</v>
      </c>
      <c r="R903" s="94">
        <v>45965</v>
      </c>
      <c r="S903" s="90" t="s">
        <v>217</v>
      </c>
      <c r="T903" s="90">
        <f t="shared" si="80"/>
        <v>1</v>
      </c>
      <c r="U903" s="94">
        <v>45965</v>
      </c>
      <c r="V903" s="90" t="s">
        <v>86</v>
      </c>
      <c r="W903" s="92">
        <v>2615</v>
      </c>
      <c r="X903" s="93">
        <f t="shared" si="81"/>
        <v>1</v>
      </c>
      <c r="Y903" s="92"/>
      <c r="Z903" s="92"/>
      <c r="AA903" s="13" t="str">
        <f t="shared" si="82"/>
        <v>nov/2025</v>
      </c>
    </row>
    <row r="904" spans="1:27" x14ac:dyDescent="0.25">
      <c r="A904" s="89">
        <v>903</v>
      </c>
      <c r="B904" s="68">
        <v>45912</v>
      </c>
      <c r="C904" s="40">
        <v>90</v>
      </c>
      <c r="D904" s="40">
        <f t="shared" si="79"/>
        <v>1</v>
      </c>
      <c r="E904" s="47" t="s">
        <v>1191</v>
      </c>
      <c r="F904" s="42" t="s">
        <v>58</v>
      </c>
      <c r="G904" s="17" t="s">
        <v>86</v>
      </c>
      <c r="H904" s="17">
        <v>11</v>
      </c>
      <c r="I904" s="17" t="str">
        <f t="shared" si="78"/>
        <v>AER 1_PN-11</v>
      </c>
      <c r="J904" s="18" t="s">
        <v>85</v>
      </c>
      <c r="K904" s="19"/>
      <c r="L904" s="19"/>
      <c r="M904" s="19"/>
      <c r="N904" s="19"/>
      <c r="O904" s="19"/>
      <c r="P904" s="19"/>
      <c r="Q904" s="77" t="str">
        <f>VLOOKUP(J904,'p1'!$B$2:$C$30,2,0)</f>
        <v>NÃO TEM CHAPA</v>
      </c>
      <c r="R904" s="94">
        <v>45965</v>
      </c>
      <c r="S904" s="90" t="s">
        <v>217</v>
      </c>
      <c r="T904" s="90">
        <f t="shared" si="80"/>
        <v>1</v>
      </c>
      <c r="U904" s="94">
        <v>45965</v>
      </c>
      <c r="V904" s="90" t="s">
        <v>86</v>
      </c>
      <c r="W904" s="92">
        <v>2615</v>
      </c>
      <c r="X904" s="93">
        <f t="shared" si="81"/>
        <v>1</v>
      </c>
      <c r="Y904" s="92"/>
      <c r="Z904" s="92"/>
      <c r="AA904" s="13" t="str">
        <f t="shared" si="82"/>
        <v>nov/2025</v>
      </c>
    </row>
    <row r="905" spans="1:27" x14ac:dyDescent="0.25">
      <c r="A905" s="89">
        <v>904</v>
      </c>
      <c r="B905" s="68">
        <v>45912</v>
      </c>
      <c r="C905" s="40">
        <v>90</v>
      </c>
      <c r="D905" s="40">
        <f t="shared" si="79"/>
        <v>1</v>
      </c>
      <c r="E905" s="47" t="s">
        <v>1191</v>
      </c>
      <c r="F905" s="42" t="s">
        <v>58</v>
      </c>
      <c r="G905" s="17" t="s">
        <v>86</v>
      </c>
      <c r="H905" s="17">
        <v>12</v>
      </c>
      <c r="I905" s="17" t="str">
        <f t="shared" si="78"/>
        <v>AER 1_PN-12</v>
      </c>
      <c r="J905" s="18" t="s">
        <v>85</v>
      </c>
      <c r="K905" s="19"/>
      <c r="L905" s="19"/>
      <c r="M905" s="19"/>
      <c r="N905" s="19"/>
      <c r="O905" s="19"/>
      <c r="P905" s="19"/>
      <c r="Q905" s="77" t="str">
        <f>VLOOKUP(J905,'p1'!$B$2:$C$30,2,0)</f>
        <v>NÃO TEM CHAPA</v>
      </c>
      <c r="R905" s="94">
        <v>45965</v>
      </c>
      <c r="S905" s="90" t="s">
        <v>217</v>
      </c>
      <c r="T905" s="90">
        <f t="shared" si="80"/>
        <v>1</v>
      </c>
      <c r="U905" s="94">
        <v>45966</v>
      </c>
      <c r="V905" s="90" t="s">
        <v>86</v>
      </c>
      <c r="W905" s="92">
        <v>2621</v>
      </c>
      <c r="X905" s="93">
        <f t="shared" si="81"/>
        <v>1</v>
      </c>
      <c r="Y905" s="92"/>
      <c r="Z905" s="92"/>
      <c r="AA905" s="13" t="str">
        <f t="shared" si="82"/>
        <v>nov/2025</v>
      </c>
    </row>
    <row r="906" spans="1:27" x14ac:dyDescent="0.25">
      <c r="A906" s="89">
        <v>905</v>
      </c>
      <c r="B906" s="68">
        <v>45916</v>
      </c>
      <c r="C906" s="40">
        <v>93</v>
      </c>
      <c r="D906" s="40">
        <f t="shared" si="79"/>
        <v>1</v>
      </c>
      <c r="E906" s="47" t="s">
        <v>1191</v>
      </c>
      <c r="F906" s="42" t="s">
        <v>58</v>
      </c>
      <c r="G906" s="17" t="s">
        <v>86</v>
      </c>
      <c r="H906" s="17">
        <v>13</v>
      </c>
      <c r="I906" s="17" t="str">
        <f t="shared" si="78"/>
        <v>AER 1_PN-13</v>
      </c>
      <c r="J906" s="18" t="s">
        <v>85</v>
      </c>
      <c r="K906" s="19"/>
      <c r="L906" s="19"/>
      <c r="M906" s="19"/>
      <c r="N906" s="19"/>
      <c r="O906" s="19"/>
      <c r="P906" s="19"/>
      <c r="Q906" s="77" t="str">
        <f>VLOOKUP(J906,'p1'!$B$2:$C$30,2,0)</f>
        <v>NÃO TEM CHAPA</v>
      </c>
      <c r="R906" s="94">
        <v>45983</v>
      </c>
      <c r="S906" s="90" t="s">
        <v>217</v>
      </c>
      <c r="T906" s="90">
        <f t="shared" si="80"/>
        <v>1</v>
      </c>
      <c r="U906" s="94">
        <v>45985</v>
      </c>
      <c r="V906" s="90" t="s">
        <v>86</v>
      </c>
      <c r="W906" s="92">
        <v>2668</v>
      </c>
      <c r="X906" s="93">
        <f t="shared" si="81"/>
        <v>1</v>
      </c>
      <c r="Y906" s="92"/>
      <c r="Z906" s="92"/>
      <c r="AA906" s="13" t="str">
        <f t="shared" si="82"/>
        <v>nov/2025</v>
      </c>
    </row>
    <row r="907" spans="1:27" x14ac:dyDescent="0.25">
      <c r="A907" s="89">
        <v>906</v>
      </c>
      <c r="B907" s="68">
        <v>45916</v>
      </c>
      <c r="C907" s="40">
        <v>93</v>
      </c>
      <c r="D907" s="40">
        <f t="shared" si="79"/>
        <v>1</v>
      </c>
      <c r="E907" s="47" t="s">
        <v>1191</v>
      </c>
      <c r="F907" s="42" t="s">
        <v>58</v>
      </c>
      <c r="G907" s="17" t="s">
        <v>86</v>
      </c>
      <c r="H907" s="17">
        <v>14</v>
      </c>
      <c r="I907" s="17" t="str">
        <f t="shared" si="78"/>
        <v>AER 1_PN-14</v>
      </c>
      <c r="J907" s="18" t="s">
        <v>85</v>
      </c>
      <c r="K907" s="19"/>
      <c r="L907" s="19"/>
      <c r="M907" s="19"/>
      <c r="N907" s="19"/>
      <c r="O907" s="19"/>
      <c r="P907" s="19"/>
      <c r="Q907" s="77" t="str">
        <f>VLOOKUP(J907,'p1'!$B$2:$C$30,2,0)</f>
        <v>NÃO TEM CHAPA</v>
      </c>
      <c r="R907" s="94">
        <v>45982</v>
      </c>
      <c r="S907" s="90" t="s">
        <v>217</v>
      </c>
      <c r="T907" s="90">
        <f t="shared" si="80"/>
        <v>1</v>
      </c>
      <c r="U907" s="94">
        <v>45982</v>
      </c>
      <c r="V907" s="90" t="s">
        <v>86</v>
      </c>
      <c r="W907" s="92">
        <v>2663</v>
      </c>
      <c r="X907" s="93">
        <f t="shared" si="81"/>
        <v>1</v>
      </c>
      <c r="Y907" s="92"/>
      <c r="Z907" s="92"/>
      <c r="AA907" s="13" t="str">
        <f t="shared" si="82"/>
        <v>nov/2025</v>
      </c>
    </row>
    <row r="908" spans="1:27" x14ac:dyDescent="0.25">
      <c r="A908" s="89">
        <v>907</v>
      </c>
      <c r="B908" s="68">
        <v>45922</v>
      </c>
      <c r="C908" s="40">
        <v>98</v>
      </c>
      <c r="D908" s="40">
        <f t="shared" si="79"/>
        <v>1</v>
      </c>
      <c r="E908" s="47" t="s">
        <v>1191</v>
      </c>
      <c r="F908" s="42" t="s">
        <v>123</v>
      </c>
      <c r="G908" s="17" t="s">
        <v>86</v>
      </c>
      <c r="H908" s="17">
        <v>15</v>
      </c>
      <c r="I908" s="17" t="str">
        <f t="shared" si="78"/>
        <v>AER 1_PNI-15</v>
      </c>
      <c r="J908" s="18" t="s">
        <v>123</v>
      </c>
      <c r="K908" s="19"/>
      <c r="L908" s="19"/>
      <c r="M908" s="19"/>
      <c r="N908" s="19"/>
      <c r="O908" s="19"/>
      <c r="P908" s="19"/>
      <c r="Q908" s="77" t="str">
        <f>VLOOKUP(J908,'p1'!$B$2:$C$30,2,0)</f>
        <v>02- 150X150 #3/8</v>
      </c>
      <c r="R908" s="94">
        <v>45952</v>
      </c>
      <c r="S908" s="90" t="s">
        <v>217</v>
      </c>
      <c r="T908" s="90">
        <f t="shared" si="80"/>
        <v>1</v>
      </c>
      <c r="U908" s="94">
        <v>45952</v>
      </c>
      <c r="V908" s="90" t="s">
        <v>86</v>
      </c>
      <c r="W908" s="92">
        <v>2593</v>
      </c>
      <c r="X908" s="93">
        <f t="shared" si="81"/>
        <v>1</v>
      </c>
      <c r="Y908" s="92"/>
      <c r="Z908" s="92"/>
      <c r="AA908" s="13" t="str">
        <f t="shared" si="82"/>
        <v>out/2025</v>
      </c>
    </row>
    <row r="909" spans="1:27" x14ac:dyDescent="0.25">
      <c r="A909" s="89">
        <v>908</v>
      </c>
      <c r="B909" s="68">
        <v>45916</v>
      </c>
      <c r="C909" s="40">
        <v>93</v>
      </c>
      <c r="D909" s="40">
        <f t="shared" si="79"/>
        <v>1</v>
      </c>
      <c r="E909" s="47" t="s">
        <v>1191</v>
      </c>
      <c r="F909" s="42" t="s">
        <v>58</v>
      </c>
      <c r="G909" s="17" t="s">
        <v>86</v>
      </c>
      <c r="H909" s="17">
        <v>16</v>
      </c>
      <c r="I909" s="17" t="str">
        <f t="shared" si="78"/>
        <v>AER 1_PN-16</v>
      </c>
      <c r="J909" s="18" t="s">
        <v>85</v>
      </c>
      <c r="K909" s="19"/>
      <c r="L909" s="19"/>
      <c r="M909" s="19"/>
      <c r="N909" s="19"/>
      <c r="O909" s="19"/>
      <c r="P909" s="19"/>
      <c r="Q909" s="77" t="str">
        <f>VLOOKUP(J909,'p1'!$B$2:$C$30,2,0)</f>
        <v>NÃO TEM CHAPA</v>
      </c>
      <c r="R909" s="94">
        <v>45982</v>
      </c>
      <c r="S909" s="90" t="s">
        <v>217</v>
      </c>
      <c r="T909" s="90">
        <f t="shared" si="80"/>
        <v>1</v>
      </c>
      <c r="U909" s="94">
        <v>45982</v>
      </c>
      <c r="V909" s="90" t="s">
        <v>86</v>
      </c>
      <c r="W909" s="92">
        <v>2664</v>
      </c>
      <c r="X909" s="93">
        <f t="shared" si="81"/>
        <v>1</v>
      </c>
      <c r="Y909" s="92"/>
      <c r="Z909" s="92"/>
      <c r="AA909" s="13" t="str">
        <f t="shared" si="82"/>
        <v>nov/2025</v>
      </c>
    </row>
    <row r="910" spans="1:27" x14ac:dyDescent="0.25">
      <c r="A910" s="89">
        <v>909</v>
      </c>
      <c r="B910" s="68">
        <v>45916</v>
      </c>
      <c r="C910" s="40">
        <v>93</v>
      </c>
      <c r="D910" s="40">
        <f t="shared" si="79"/>
        <v>1</v>
      </c>
      <c r="E910" s="47" t="s">
        <v>1191</v>
      </c>
      <c r="F910" s="42" t="s">
        <v>58</v>
      </c>
      <c r="G910" s="17" t="s">
        <v>86</v>
      </c>
      <c r="H910" s="17">
        <v>17</v>
      </c>
      <c r="I910" s="17" t="str">
        <f t="shared" si="78"/>
        <v>AER 1_PN-17</v>
      </c>
      <c r="J910" s="18" t="s">
        <v>85</v>
      </c>
      <c r="K910" s="19"/>
      <c r="L910" s="19"/>
      <c r="M910" s="19"/>
      <c r="N910" s="19"/>
      <c r="O910" s="19"/>
      <c r="P910" s="19"/>
      <c r="Q910" s="77" t="str">
        <f>VLOOKUP(J910,'p1'!$B$2:$C$30,2,0)</f>
        <v>NÃO TEM CHAPA</v>
      </c>
      <c r="R910" s="94">
        <v>45981</v>
      </c>
      <c r="S910" s="90" t="s">
        <v>217</v>
      </c>
      <c r="T910" s="90">
        <f t="shared" si="80"/>
        <v>1</v>
      </c>
      <c r="U910" s="94">
        <v>45982</v>
      </c>
      <c r="V910" s="90" t="s">
        <v>86</v>
      </c>
      <c r="W910" s="92">
        <v>2663</v>
      </c>
      <c r="X910" s="93">
        <f t="shared" si="81"/>
        <v>1</v>
      </c>
      <c r="Y910" s="92"/>
      <c r="Z910" s="92"/>
      <c r="AA910" s="13" t="str">
        <f t="shared" si="82"/>
        <v>nov/2025</v>
      </c>
    </row>
    <row r="911" spans="1:27" x14ac:dyDescent="0.25">
      <c r="A911" s="89">
        <v>910</v>
      </c>
      <c r="B911" s="68">
        <v>45916</v>
      </c>
      <c r="C911" s="40">
        <v>93</v>
      </c>
      <c r="D911" s="40">
        <f t="shared" si="79"/>
        <v>1</v>
      </c>
      <c r="E911" s="47" t="s">
        <v>1191</v>
      </c>
      <c r="F911" s="42" t="s">
        <v>58</v>
      </c>
      <c r="G911" s="17" t="s">
        <v>86</v>
      </c>
      <c r="H911" s="17">
        <v>18</v>
      </c>
      <c r="I911" s="17" t="str">
        <f t="shared" si="78"/>
        <v>AER 1_PN-18</v>
      </c>
      <c r="J911" s="18" t="s">
        <v>85</v>
      </c>
      <c r="K911" s="19"/>
      <c r="L911" s="19"/>
      <c r="M911" s="19"/>
      <c r="N911" s="19"/>
      <c r="O911" s="19"/>
      <c r="P911" s="19"/>
      <c r="Q911" s="77" t="str">
        <f>VLOOKUP(J911,'p1'!$B$2:$C$30,2,0)</f>
        <v>NÃO TEM CHAPA</v>
      </c>
      <c r="R911" s="94">
        <v>45982</v>
      </c>
      <c r="S911" s="90" t="s">
        <v>217</v>
      </c>
      <c r="T911" s="90">
        <f t="shared" si="80"/>
        <v>1</v>
      </c>
      <c r="U911" s="94">
        <v>45982</v>
      </c>
      <c r="V911" s="90" t="s">
        <v>86</v>
      </c>
      <c r="W911" s="92">
        <v>2659</v>
      </c>
      <c r="X911" s="93">
        <f t="shared" si="81"/>
        <v>1</v>
      </c>
      <c r="Y911" s="92"/>
      <c r="Z911" s="92"/>
      <c r="AA911" s="13" t="str">
        <f t="shared" si="82"/>
        <v>nov/2025</v>
      </c>
    </row>
    <row r="912" spans="1:27" x14ac:dyDescent="0.25">
      <c r="A912" s="89">
        <v>911</v>
      </c>
      <c r="B912" s="68">
        <v>45919</v>
      </c>
      <c r="C912" s="40">
        <v>96</v>
      </c>
      <c r="D912" s="40">
        <f t="shared" si="79"/>
        <v>1</v>
      </c>
      <c r="E912" s="47" t="s">
        <v>1191</v>
      </c>
      <c r="F912" s="42" t="s">
        <v>58</v>
      </c>
      <c r="G912" s="17" t="s">
        <v>86</v>
      </c>
      <c r="H912" s="17">
        <v>19</v>
      </c>
      <c r="I912" s="17" t="str">
        <f t="shared" si="78"/>
        <v>AER 1_PN-19</v>
      </c>
      <c r="J912" s="18" t="s">
        <v>85</v>
      </c>
      <c r="K912" s="19"/>
      <c r="L912" s="19"/>
      <c r="M912" s="19"/>
      <c r="N912" s="19"/>
      <c r="O912" s="19"/>
      <c r="P912" s="19"/>
      <c r="Q912" s="77" t="str">
        <f>VLOOKUP(J912,'p1'!$B$2:$C$30,2,0)</f>
        <v>NÃO TEM CHAPA</v>
      </c>
      <c r="R912" s="94">
        <v>45957</v>
      </c>
      <c r="S912" s="90" t="s">
        <v>217</v>
      </c>
      <c r="T912" s="90">
        <f t="shared" si="80"/>
        <v>1</v>
      </c>
      <c r="U912" s="94">
        <v>45973</v>
      </c>
      <c r="V912" s="90" t="s">
        <v>86</v>
      </c>
      <c r="W912" s="92">
        <v>2638</v>
      </c>
      <c r="X912" s="93">
        <f t="shared" si="81"/>
        <v>1</v>
      </c>
      <c r="Y912" s="92"/>
      <c r="Z912" s="92"/>
      <c r="AA912" s="13" t="str">
        <f t="shared" si="82"/>
        <v>out/2025</v>
      </c>
    </row>
    <row r="913" spans="1:27" x14ac:dyDescent="0.25">
      <c r="A913" s="89">
        <v>912</v>
      </c>
      <c r="B913" s="68">
        <v>45919</v>
      </c>
      <c r="C913" s="40">
        <v>96</v>
      </c>
      <c r="D913" s="40">
        <f t="shared" si="79"/>
        <v>1</v>
      </c>
      <c r="E913" s="47" t="s">
        <v>1191</v>
      </c>
      <c r="F913" s="42" t="s">
        <v>58</v>
      </c>
      <c r="G913" s="17" t="s">
        <v>86</v>
      </c>
      <c r="H913" s="17">
        <v>20</v>
      </c>
      <c r="I913" s="17" t="str">
        <f t="shared" si="78"/>
        <v>AER 1_PN-20</v>
      </c>
      <c r="J913" s="18" t="s">
        <v>85</v>
      </c>
      <c r="K913" s="19"/>
      <c r="L913" s="19"/>
      <c r="M913" s="19"/>
      <c r="N913" s="19"/>
      <c r="O913" s="19"/>
      <c r="P913" s="19"/>
      <c r="Q913" s="77" t="str">
        <f>VLOOKUP(J913,'p1'!$B$2:$C$30,2,0)</f>
        <v>NÃO TEM CHAPA</v>
      </c>
      <c r="R913" s="94">
        <v>45961</v>
      </c>
      <c r="S913" s="90" t="s">
        <v>217</v>
      </c>
      <c r="T913" s="90">
        <f t="shared" si="80"/>
        <v>1</v>
      </c>
      <c r="U913" s="94">
        <v>45961</v>
      </c>
      <c r="V913" s="90" t="s">
        <v>86</v>
      </c>
      <c r="W913" s="92">
        <v>2610</v>
      </c>
      <c r="X913" s="93">
        <f t="shared" si="81"/>
        <v>1</v>
      </c>
      <c r="Y913" s="92"/>
      <c r="Z913" s="92"/>
      <c r="AA913" s="13" t="str">
        <f t="shared" si="82"/>
        <v>out/2025</v>
      </c>
    </row>
    <row r="914" spans="1:27" x14ac:dyDescent="0.25">
      <c r="A914" s="89">
        <v>913</v>
      </c>
      <c r="B914" s="68">
        <v>45922</v>
      </c>
      <c r="C914" s="40">
        <v>98</v>
      </c>
      <c r="D914" s="40">
        <f t="shared" si="79"/>
        <v>1</v>
      </c>
      <c r="E914" s="47" t="s">
        <v>1191</v>
      </c>
      <c r="F914" s="42" t="s">
        <v>123</v>
      </c>
      <c r="G914" s="17" t="s">
        <v>86</v>
      </c>
      <c r="H914" s="17">
        <v>21</v>
      </c>
      <c r="I914" s="17" t="str">
        <f t="shared" si="78"/>
        <v>AER 1_PNI-21</v>
      </c>
      <c r="J914" s="18" t="s">
        <v>123</v>
      </c>
      <c r="K914" s="19"/>
      <c r="L914" s="19"/>
      <c r="M914" s="19"/>
      <c r="N914" s="19"/>
      <c r="O914" s="19"/>
      <c r="P914" s="19"/>
      <c r="Q914" s="77" t="str">
        <f>VLOOKUP(J914,'p1'!$B$2:$C$30,2,0)</f>
        <v>02- 150X150 #3/8</v>
      </c>
      <c r="R914" s="94">
        <v>45952</v>
      </c>
      <c r="S914" s="90" t="s">
        <v>217</v>
      </c>
      <c r="T914" s="90">
        <f t="shared" si="80"/>
        <v>1</v>
      </c>
      <c r="U914" s="94">
        <v>45952</v>
      </c>
      <c r="V914" s="90" t="s">
        <v>86</v>
      </c>
      <c r="W914" s="92">
        <v>2593</v>
      </c>
      <c r="X914" s="93">
        <f t="shared" si="81"/>
        <v>1</v>
      </c>
      <c r="Y914" s="92"/>
      <c r="Z914" s="92"/>
      <c r="AA914" s="13" t="str">
        <f t="shared" si="82"/>
        <v>out/2025</v>
      </c>
    </row>
    <row r="915" spans="1:27" x14ac:dyDescent="0.25">
      <c r="A915" s="89">
        <v>914</v>
      </c>
      <c r="B915" s="68">
        <v>45919</v>
      </c>
      <c r="C915" s="40">
        <v>96</v>
      </c>
      <c r="D915" s="40">
        <f t="shared" si="79"/>
        <v>1</v>
      </c>
      <c r="E915" s="47" t="s">
        <v>1191</v>
      </c>
      <c r="F915" s="42" t="s">
        <v>58</v>
      </c>
      <c r="G915" s="17" t="s">
        <v>86</v>
      </c>
      <c r="H915" s="17">
        <v>22</v>
      </c>
      <c r="I915" s="17" t="str">
        <f t="shared" si="78"/>
        <v>AER 1_PN-22</v>
      </c>
      <c r="J915" s="18" t="s">
        <v>85</v>
      </c>
      <c r="K915" s="19"/>
      <c r="L915" s="19"/>
      <c r="M915" s="19"/>
      <c r="N915" s="19"/>
      <c r="O915" s="19"/>
      <c r="P915" s="19"/>
      <c r="Q915" s="77" t="str">
        <f>VLOOKUP(J915,'p1'!$B$2:$C$30,2,0)</f>
        <v>NÃO TEM CHAPA</v>
      </c>
      <c r="R915" s="94">
        <v>45980</v>
      </c>
      <c r="S915" s="90" t="s">
        <v>217</v>
      </c>
      <c r="T915" s="90">
        <f t="shared" si="80"/>
        <v>1</v>
      </c>
      <c r="U915" s="94">
        <v>45980</v>
      </c>
      <c r="V915" s="90" t="s">
        <v>86</v>
      </c>
      <c r="W915" s="92">
        <v>2658</v>
      </c>
      <c r="X915" s="93">
        <f t="shared" si="81"/>
        <v>1</v>
      </c>
      <c r="Y915" s="92"/>
      <c r="Z915" s="92"/>
      <c r="AA915" s="13" t="str">
        <f t="shared" si="82"/>
        <v>nov/2025</v>
      </c>
    </row>
    <row r="916" spans="1:27" x14ac:dyDescent="0.25">
      <c r="A916" s="89">
        <v>915</v>
      </c>
      <c r="B916" s="68">
        <v>45922</v>
      </c>
      <c r="C916" s="40">
        <v>98</v>
      </c>
      <c r="D916" s="40">
        <f t="shared" si="79"/>
        <v>1</v>
      </c>
      <c r="E916" s="47" t="s">
        <v>1191</v>
      </c>
      <c r="F916" s="42" t="s">
        <v>58</v>
      </c>
      <c r="G916" s="17" t="s">
        <v>86</v>
      </c>
      <c r="H916" s="17">
        <v>23</v>
      </c>
      <c r="I916" s="17" t="str">
        <f t="shared" si="78"/>
        <v>AER 1_PN-23</v>
      </c>
      <c r="J916" s="18" t="s">
        <v>85</v>
      </c>
      <c r="K916" s="19"/>
      <c r="L916" s="19"/>
      <c r="M916" s="19"/>
      <c r="N916" s="19"/>
      <c r="O916" s="19"/>
      <c r="P916" s="19"/>
      <c r="Q916" s="77" t="str">
        <f>VLOOKUP(J916,'p1'!$B$2:$C$30,2,0)</f>
        <v>NÃO TEM CHAPA</v>
      </c>
      <c r="R916" s="94">
        <v>45951</v>
      </c>
      <c r="S916" s="90" t="s">
        <v>217</v>
      </c>
      <c r="T916" s="90">
        <f t="shared" si="80"/>
        <v>1</v>
      </c>
      <c r="U916" s="94">
        <v>45960</v>
      </c>
      <c r="V916" s="90" t="s">
        <v>86</v>
      </c>
      <c r="W916" s="92">
        <v>2608</v>
      </c>
      <c r="X916" s="93">
        <f t="shared" si="81"/>
        <v>1</v>
      </c>
      <c r="Y916" s="92"/>
      <c r="Z916" s="92"/>
      <c r="AA916" s="13" t="str">
        <f t="shared" si="82"/>
        <v>out/2025</v>
      </c>
    </row>
    <row r="917" spans="1:27" x14ac:dyDescent="0.25">
      <c r="A917" s="89">
        <v>916</v>
      </c>
      <c r="B917" s="68">
        <v>45922</v>
      </c>
      <c r="C917" s="40">
        <v>98</v>
      </c>
      <c r="D917" s="40">
        <f t="shared" si="79"/>
        <v>1</v>
      </c>
      <c r="E917" s="47" t="s">
        <v>1191</v>
      </c>
      <c r="F917" s="42" t="s">
        <v>58</v>
      </c>
      <c r="G917" s="17" t="s">
        <v>86</v>
      </c>
      <c r="H917" s="17">
        <v>24</v>
      </c>
      <c r="I917" s="17" t="str">
        <f t="shared" si="78"/>
        <v>AER 1_PN-24</v>
      </c>
      <c r="J917" s="18" t="s">
        <v>85</v>
      </c>
      <c r="K917" s="19"/>
      <c r="L917" s="19"/>
      <c r="M917" s="19"/>
      <c r="N917" s="19"/>
      <c r="O917" s="19"/>
      <c r="P917" s="19"/>
      <c r="Q917" s="77" t="str">
        <f>VLOOKUP(J917,'p1'!$B$2:$C$30,2,0)</f>
        <v>NÃO TEM CHAPA</v>
      </c>
      <c r="R917" s="94">
        <v>45951</v>
      </c>
      <c r="S917" s="90" t="s">
        <v>217</v>
      </c>
      <c r="T917" s="90">
        <f t="shared" si="80"/>
        <v>1</v>
      </c>
      <c r="U917" s="94">
        <v>45951</v>
      </c>
      <c r="V917" s="90" t="s">
        <v>86</v>
      </c>
      <c r="W917" s="92">
        <v>2589</v>
      </c>
      <c r="X917" s="93">
        <f t="shared" si="81"/>
        <v>1</v>
      </c>
      <c r="Y917" s="92"/>
      <c r="Z917" s="92"/>
      <c r="AA917" s="13" t="str">
        <f t="shared" si="82"/>
        <v>out/2025</v>
      </c>
    </row>
    <row r="918" spans="1:27" x14ac:dyDescent="0.25">
      <c r="A918" s="89">
        <v>917</v>
      </c>
      <c r="B918" s="68">
        <v>45922</v>
      </c>
      <c r="C918" s="40">
        <v>98</v>
      </c>
      <c r="D918" s="40">
        <f t="shared" si="79"/>
        <v>1</v>
      </c>
      <c r="E918" s="47" t="s">
        <v>1191</v>
      </c>
      <c r="F918" s="42" t="s">
        <v>58</v>
      </c>
      <c r="G918" s="17" t="s">
        <v>86</v>
      </c>
      <c r="H918" s="17">
        <v>25</v>
      </c>
      <c r="I918" s="17" t="str">
        <f t="shared" si="78"/>
        <v>AER 1_PN-25</v>
      </c>
      <c r="J918" s="18" t="s">
        <v>85</v>
      </c>
      <c r="K918" s="19"/>
      <c r="L918" s="19"/>
      <c r="M918" s="19"/>
      <c r="N918" s="19"/>
      <c r="O918" s="19"/>
      <c r="P918" s="19"/>
      <c r="Q918" s="77" t="str">
        <f>VLOOKUP(J918,'p1'!$B$2:$C$30,2,0)</f>
        <v>NÃO TEM CHAPA</v>
      </c>
      <c r="R918" s="94">
        <v>45951</v>
      </c>
      <c r="S918" s="90" t="s">
        <v>217</v>
      </c>
      <c r="T918" s="90">
        <f t="shared" si="80"/>
        <v>1</v>
      </c>
      <c r="U918" s="94">
        <v>45961</v>
      </c>
      <c r="V918" s="90" t="s">
        <v>86</v>
      </c>
      <c r="W918" s="92">
        <v>2611</v>
      </c>
      <c r="X918" s="93">
        <f t="shared" si="81"/>
        <v>1</v>
      </c>
      <c r="Y918" s="92"/>
      <c r="Z918" s="92"/>
      <c r="AA918" s="13" t="str">
        <f t="shared" si="82"/>
        <v>out/2025</v>
      </c>
    </row>
    <row r="919" spans="1:27" x14ac:dyDescent="0.25">
      <c r="A919" s="89">
        <v>918</v>
      </c>
      <c r="B919" s="68">
        <v>45976</v>
      </c>
      <c r="C919" s="40">
        <v>146</v>
      </c>
      <c r="D919" s="40">
        <f t="shared" si="79"/>
        <v>1</v>
      </c>
      <c r="E919" s="47" t="s">
        <v>1191</v>
      </c>
      <c r="F919" s="42" t="s">
        <v>61</v>
      </c>
      <c r="G919" s="17" t="s">
        <v>86</v>
      </c>
      <c r="H919" s="17">
        <v>26</v>
      </c>
      <c r="I919" s="17" t="str">
        <f t="shared" si="78"/>
        <v>AER 1_PF-26</v>
      </c>
      <c r="J919" s="18" t="s">
        <v>61</v>
      </c>
      <c r="K919" s="19"/>
      <c r="L919" s="19"/>
      <c r="M919" s="19"/>
      <c r="N919" s="19"/>
      <c r="O919" s="19"/>
      <c r="P919" s="19"/>
      <c r="Q919" s="77" t="str">
        <f>VLOOKUP(J919,'p1'!$B$2:$C$30,2,0)</f>
        <v>SEM CHAPA</v>
      </c>
      <c r="R919" s="94">
        <v>45979</v>
      </c>
      <c r="S919" s="90" t="s">
        <v>217</v>
      </c>
      <c r="T919" s="90">
        <f t="shared" si="80"/>
        <v>1</v>
      </c>
      <c r="U919" s="94">
        <v>45979</v>
      </c>
      <c r="V919" s="90" t="s">
        <v>86</v>
      </c>
      <c r="W919" s="92">
        <v>2653</v>
      </c>
      <c r="X919" s="93">
        <f t="shared" si="81"/>
        <v>1</v>
      </c>
      <c r="Y919" s="92"/>
      <c r="Z919" s="92"/>
      <c r="AA919" s="13" t="str">
        <f t="shared" si="82"/>
        <v>nov/2025</v>
      </c>
    </row>
    <row r="920" spans="1:27" x14ac:dyDescent="0.25">
      <c r="A920" s="89">
        <v>919</v>
      </c>
      <c r="B920" s="68">
        <v>45936</v>
      </c>
      <c r="C920" s="40">
        <v>111</v>
      </c>
      <c r="D920" s="40">
        <f t="shared" si="79"/>
        <v>1</v>
      </c>
      <c r="E920" s="47" t="s">
        <v>1191</v>
      </c>
      <c r="F920" s="42" t="s">
        <v>123</v>
      </c>
      <c r="G920" s="17" t="s">
        <v>86</v>
      </c>
      <c r="H920" s="17">
        <v>27</v>
      </c>
      <c r="I920" s="17" t="str">
        <f t="shared" si="78"/>
        <v>AER 1_PNI-27</v>
      </c>
      <c r="J920" s="18" t="s">
        <v>123</v>
      </c>
      <c r="K920" s="19"/>
      <c r="L920" s="19"/>
      <c r="M920" s="19"/>
      <c r="N920" s="19"/>
      <c r="O920" s="19"/>
      <c r="P920" s="19"/>
      <c r="Q920" s="77" t="str">
        <f>VLOOKUP(J920,'p1'!$B$2:$C$30,2,0)</f>
        <v>02- 150X150 #3/8</v>
      </c>
      <c r="R920" s="94">
        <v>45979</v>
      </c>
      <c r="S920" s="90" t="s">
        <v>217</v>
      </c>
      <c r="T920" s="90">
        <f t="shared" si="80"/>
        <v>1</v>
      </c>
      <c r="U920" s="94">
        <v>45980</v>
      </c>
      <c r="V920" s="90" t="s">
        <v>86</v>
      </c>
      <c r="W920" s="92">
        <v>2657</v>
      </c>
      <c r="X920" s="93">
        <f t="shared" si="81"/>
        <v>1</v>
      </c>
      <c r="Y920" s="92"/>
      <c r="Z920" s="92"/>
      <c r="AA920" s="13" t="str">
        <f t="shared" si="82"/>
        <v>nov/2025</v>
      </c>
    </row>
    <row r="921" spans="1:27" x14ac:dyDescent="0.25">
      <c r="A921" s="89">
        <v>920</v>
      </c>
      <c r="B921" s="68">
        <v>45924</v>
      </c>
      <c r="C921" s="40">
        <v>101</v>
      </c>
      <c r="D921" s="40">
        <f t="shared" si="79"/>
        <v>1</v>
      </c>
      <c r="E921" s="47" t="s">
        <v>1191</v>
      </c>
      <c r="F921" s="42" t="s">
        <v>58</v>
      </c>
      <c r="G921" s="17" t="s">
        <v>86</v>
      </c>
      <c r="H921" s="17">
        <v>28</v>
      </c>
      <c r="I921" s="17" t="str">
        <f t="shared" si="78"/>
        <v>AER 1_PN-28</v>
      </c>
      <c r="J921" s="18" t="s">
        <v>85</v>
      </c>
      <c r="K921" s="19"/>
      <c r="L921" s="19"/>
      <c r="M921" s="19"/>
      <c r="N921" s="19"/>
      <c r="O921" s="19"/>
      <c r="P921" s="19"/>
      <c r="Q921" s="77" t="str">
        <f>VLOOKUP(J921,'p1'!$B$2:$C$30,2,0)</f>
        <v>NÃO TEM CHAPA</v>
      </c>
      <c r="R921" s="94">
        <v>45945</v>
      </c>
      <c r="S921" s="90" t="s">
        <v>217</v>
      </c>
      <c r="T921" s="90">
        <f t="shared" si="80"/>
        <v>1</v>
      </c>
      <c r="U921" s="94">
        <v>45966</v>
      </c>
      <c r="V921" s="90" t="s">
        <v>86</v>
      </c>
      <c r="W921" s="92">
        <v>2622</v>
      </c>
      <c r="X921" s="93">
        <f t="shared" si="81"/>
        <v>1</v>
      </c>
      <c r="Y921" s="92"/>
      <c r="Z921" s="92"/>
      <c r="AA921" s="13" t="str">
        <f t="shared" si="82"/>
        <v>out/2025</v>
      </c>
    </row>
    <row r="922" spans="1:27" x14ac:dyDescent="0.25">
      <c r="A922" s="89">
        <v>921</v>
      </c>
      <c r="B922" s="68">
        <v>45924</v>
      </c>
      <c r="C922" s="40">
        <v>101</v>
      </c>
      <c r="D922" s="40">
        <f t="shared" si="79"/>
        <v>1</v>
      </c>
      <c r="E922" s="47" t="s">
        <v>1191</v>
      </c>
      <c r="F922" s="42" t="s">
        <v>58</v>
      </c>
      <c r="G922" s="17" t="s">
        <v>86</v>
      </c>
      <c r="H922" s="17">
        <v>29</v>
      </c>
      <c r="I922" s="17" t="str">
        <f t="shared" si="78"/>
        <v>AER 1_PN-29</v>
      </c>
      <c r="J922" s="18" t="s">
        <v>85</v>
      </c>
      <c r="K922" s="19"/>
      <c r="L922" s="19"/>
      <c r="M922" s="19"/>
      <c r="N922" s="19"/>
      <c r="O922" s="19"/>
      <c r="P922" s="19"/>
      <c r="Q922" s="77" t="str">
        <f>VLOOKUP(J922,'p1'!$B$2:$C$30,2,0)</f>
        <v>NÃO TEM CHAPA</v>
      </c>
      <c r="R922" s="94">
        <v>45946</v>
      </c>
      <c r="S922" s="90" t="s">
        <v>217</v>
      </c>
      <c r="T922" s="90">
        <f t="shared" si="80"/>
        <v>1</v>
      </c>
      <c r="U922" s="94">
        <v>45966</v>
      </c>
      <c r="V922" s="90" t="s">
        <v>86</v>
      </c>
      <c r="W922" s="92">
        <v>2621</v>
      </c>
      <c r="X922" s="93">
        <f t="shared" si="81"/>
        <v>1</v>
      </c>
      <c r="Y922" s="92"/>
      <c r="Z922" s="92"/>
      <c r="AA922" s="13" t="str">
        <f t="shared" si="82"/>
        <v>out/2025</v>
      </c>
    </row>
    <row r="923" spans="1:27" x14ac:dyDescent="0.25">
      <c r="A923" s="89">
        <v>922</v>
      </c>
      <c r="B923" s="68">
        <v>45924</v>
      </c>
      <c r="C923" s="40">
        <v>101</v>
      </c>
      <c r="D923" s="40">
        <f t="shared" si="79"/>
        <v>1</v>
      </c>
      <c r="E923" s="47" t="s">
        <v>1191</v>
      </c>
      <c r="F923" s="42" t="s">
        <v>58</v>
      </c>
      <c r="G923" s="17" t="s">
        <v>86</v>
      </c>
      <c r="H923" s="17">
        <v>30</v>
      </c>
      <c r="I923" s="17" t="str">
        <f t="shared" si="78"/>
        <v>AER 1_PN-30</v>
      </c>
      <c r="J923" s="18" t="s">
        <v>85</v>
      </c>
      <c r="K923" s="19"/>
      <c r="L923" s="19"/>
      <c r="M923" s="19"/>
      <c r="N923" s="19"/>
      <c r="O923" s="19"/>
      <c r="P923" s="19"/>
      <c r="Q923" s="77" t="str">
        <f>VLOOKUP(J923,'p1'!$B$2:$C$30,2,0)</f>
        <v>NÃO TEM CHAPA</v>
      </c>
      <c r="R923" s="94">
        <v>45945</v>
      </c>
      <c r="S923" s="90" t="s">
        <v>217</v>
      </c>
      <c r="T923" s="90">
        <f t="shared" si="80"/>
        <v>1</v>
      </c>
      <c r="U923" s="94">
        <v>45972</v>
      </c>
      <c r="V923" s="90" t="s">
        <v>86</v>
      </c>
      <c r="W923" s="92">
        <v>2633</v>
      </c>
      <c r="X923" s="93">
        <f t="shared" si="81"/>
        <v>1</v>
      </c>
      <c r="Y923" s="92"/>
      <c r="Z923" s="92"/>
      <c r="AA923" s="13" t="str">
        <f t="shared" si="82"/>
        <v>out/2025</v>
      </c>
    </row>
    <row r="924" spans="1:27" x14ac:dyDescent="0.25">
      <c r="A924" s="89">
        <v>923</v>
      </c>
      <c r="B924" s="68">
        <v>45924</v>
      </c>
      <c r="C924" s="40">
        <v>101</v>
      </c>
      <c r="D924" s="40">
        <f t="shared" si="79"/>
        <v>1</v>
      </c>
      <c r="E924" s="47" t="s">
        <v>1191</v>
      </c>
      <c r="F924" s="42" t="s">
        <v>58</v>
      </c>
      <c r="G924" s="17" t="s">
        <v>86</v>
      </c>
      <c r="H924" s="17">
        <v>31</v>
      </c>
      <c r="I924" s="17" t="str">
        <f t="shared" si="78"/>
        <v>AER 1_PN-31</v>
      </c>
      <c r="J924" s="18" t="s">
        <v>85</v>
      </c>
      <c r="K924" s="19"/>
      <c r="L924" s="19"/>
      <c r="M924" s="19"/>
      <c r="N924" s="19"/>
      <c r="O924" s="19"/>
      <c r="P924" s="19"/>
      <c r="Q924" s="77" t="str">
        <f>VLOOKUP(J924,'p1'!$B$2:$C$30,2,0)</f>
        <v>NÃO TEM CHAPA</v>
      </c>
      <c r="R924" s="94">
        <v>45945</v>
      </c>
      <c r="S924" s="90" t="s">
        <v>217</v>
      </c>
      <c r="T924" s="90">
        <f t="shared" si="80"/>
        <v>1</v>
      </c>
      <c r="U924" s="94">
        <v>45972</v>
      </c>
      <c r="V924" s="90" t="s">
        <v>86</v>
      </c>
      <c r="W924" s="92">
        <v>2634</v>
      </c>
      <c r="X924" s="93">
        <f t="shared" si="81"/>
        <v>1</v>
      </c>
      <c r="Y924" s="92"/>
      <c r="Z924" s="92"/>
      <c r="AA924" s="13" t="str">
        <f t="shared" si="82"/>
        <v>out/2025</v>
      </c>
    </row>
    <row r="925" spans="1:27" x14ac:dyDescent="0.25">
      <c r="A925" s="89">
        <v>924</v>
      </c>
      <c r="B925" s="68">
        <v>45924</v>
      </c>
      <c r="C925" s="40">
        <v>101</v>
      </c>
      <c r="D925" s="40">
        <f t="shared" si="79"/>
        <v>1</v>
      </c>
      <c r="E925" s="47" t="s">
        <v>1191</v>
      </c>
      <c r="F925" s="42" t="s">
        <v>58</v>
      </c>
      <c r="G925" s="17" t="s">
        <v>86</v>
      </c>
      <c r="H925" s="17">
        <v>32</v>
      </c>
      <c r="I925" s="17" t="str">
        <f t="shared" si="78"/>
        <v>AER 1_PN-32</v>
      </c>
      <c r="J925" s="18" t="s">
        <v>85</v>
      </c>
      <c r="K925" s="19"/>
      <c r="L925" s="19"/>
      <c r="M925" s="19"/>
      <c r="N925" s="19"/>
      <c r="O925" s="19"/>
      <c r="P925" s="19"/>
      <c r="Q925" s="77" t="str">
        <f>VLOOKUP(J925,'p1'!$B$2:$C$30,2,0)</f>
        <v>NÃO TEM CHAPA</v>
      </c>
      <c r="R925" s="94">
        <v>45945</v>
      </c>
      <c r="S925" s="90" t="s">
        <v>217</v>
      </c>
      <c r="T925" s="90">
        <f t="shared" si="80"/>
        <v>1</v>
      </c>
      <c r="U925" s="94">
        <v>45950</v>
      </c>
      <c r="V925" s="90" t="s">
        <v>86</v>
      </c>
      <c r="W925" s="92">
        <v>2585</v>
      </c>
      <c r="X925" s="93">
        <f t="shared" si="81"/>
        <v>1</v>
      </c>
      <c r="Y925" s="92"/>
      <c r="Z925" s="92"/>
      <c r="AA925" s="13" t="str">
        <f t="shared" si="82"/>
        <v>out/2025</v>
      </c>
    </row>
    <row r="926" spans="1:27" x14ac:dyDescent="0.25">
      <c r="A926" s="89">
        <v>925</v>
      </c>
      <c r="B926" s="68">
        <v>45936</v>
      </c>
      <c r="C926" s="40">
        <v>111</v>
      </c>
      <c r="D926" s="40">
        <f t="shared" si="79"/>
        <v>1</v>
      </c>
      <c r="E926" s="47" t="s">
        <v>1191</v>
      </c>
      <c r="F926" s="42" t="s">
        <v>123</v>
      </c>
      <c r="G926" s="17" t="s">
        <v>86</v>
      </c>
      <c r="H926" s="17">
        <v>33</v>
      </c>
      <c r="I926" s="17" t="str">
        <f t="shared" si="78"/>
        <v>AER 1_PNI-33</v>
      </c>
      <c r="J926" s="18" t="s">
        <v>123</v>
      </c>
      <c r="K926" s="19"/>
      <c r="L926" s="19"/>
      <c r="M926" s="19"/>
      <c r="N926" s="19"/>
      <c r="O926" s="19"/>
      <c r="P926" s="19"/>
      <c r="Q926" s="77" t="str">
        <f>VLOOKUP(J926,'p1'!$B$2:$C$30,2,0)</f>
        <v>02- 150X150 #3/8</v>
      </c>
      <c r="R926" s="94">
        <v>45978</v>
      </c>
      <c r="S926" s="90" t="s">
        <v>217</v>
      </c>
      <c r="T926" s="90">
        <f t="shared" si="80"/>
        <v>1</v>
      </c>
      <c r="U926" s="94">
        <v>45979</v>
      </c>
      <c r="V926" s="90" t="s">
        <v>86</v>
      </c>
      <c r="W926" s="92">
        <v>2652</v>
      </c>
      <c r="X926" s="93">
        <f t="shared" si="81"/>
        <v>1</v>
      </c>
      <c r="Y926" s="92"/>
      <c r="Z926" s="92" t="s">
        <v>1208</v>
      </c>
      <c r="AA926" s="13" t="str">
        <f t="shared" si="82"/>
        <v>nov/2025</v>
      </c>
    </row>
    <row r="927" spans="1:27" x14ac:dyDescent="0.25">
      <c r="A927" s="89">
        <v>926</v>
      </c>
      <c r="B927" s="68">
        <v>45926</v>
      </c>
      <c r="C927" s="40">
        <v>103</v>
      </c>
      <c r="D927" s="40">
        <f t="shared" si="79"/>
        <v>1</v>
      </c>
      <c r="E927" s="47" t="s">
        <v>1191</v>
      </c>
      <c r="F927" s="42" t="s">
        <v>58</v>
      </c>
      <c r="G927" s="17" t="s">
        <v>86</v>
      </c>
      <c r="H927" s="17">
        <v>34</v>
      </c>
      <c r="I927" s="17" t="str">
        <f t="shared" si="78"/>
        <v>AER 1_PN-34</v>
      </c>
      <c r="J927" s="18" t="s">
        <v>85</v>
      </c>
      <c r="K927" s="19"/>
      <c r="L927" s="19"/>
      <c r="M927" s="19"/>
      <c r="N927" s="19"/>
      <c r="O927" s="19"/>
      <c r="P927" s="19"/>
      <c r="Q927" s="77" t="str">
        <f>VLOOKUP(J927,'p1'!$B$2:$C$30,2,0)</f>
        <v>NÃO TEM CHAPA</v>
      </c>
      <c r="R927" s="94">
        <v>45950</v>
      </c>
      <c r="S927" s="90" t="s">
        <v>217</v>
      </c>
      <c r="T927" s="90">
        <f t="shared" si="80"/>
        <v>1</v>
      </c>
      <c r="U927" s="94">
        <v>45960</v>
      </c>
      <c r="V927" s="90" t="s">
        <v>86</v>
      </c>
      <c r="W927" s="92">
        <v>2608</v>
      </c>
      <c r="X927" s="93">
        <f t="shared" si="81"/>
        <v>1</v>
      </c>
      <c r="Y927" s="92"/>
      <c r="Z927" s="92"/>
      <c r="AA927" s="13" t="str">
        <f t="shared" si="82"/>
        <v>out/2025</v>
      </c>
    </row>
    <row r="928" spans="1:27" x14ac:dyDescent="0.25">
      <c r="A928" s="89">
        <v>927</v>
      </c>
      <c r="B928" s="68">
        <v>45926</v>
      </c>
      <c r="C928" s="40">
        <v>103</v>
      </c>
      <c r="D928" s="40">
        <f t="shared" si="79"/>
        <v>1</v>
      </c>
      <c r="E928" s="47" t="s">
        <v>1191</v>
      </c>
      <c r="F928" s="42" t="s">
        <v>58</v>
      </c>
      <c r="G928" s="17" t="s">
        <v>86</v>
      </c>
      <c r="H928" s="17">
        <v>35</v>
      </c>
      <c r="I928" s="17" t="str">
        <f t="shared" si="78"/>
        <v>AER 1_PN-35</v>
      </c>
      <c r="J928" s="18" t="s">
        <v>85</v>
      </c>
      <c r="K928" s="19"/>
      <c r="L928" s="19"/>
      <c r="M928" s="19"/>
      <c r="N928" s="19"/>
      <c r="O928" s="19"/>
      <c r="P928" s="19"/>
      <c r="Q928" s="77" t="str">
        <f>VLOOKUP(J928,'p1'!$B$2:$C$30,2,0)</f>
        <v>NÃO TEM CHAPA</v>
      </c>
      <c r="R928" s="94">
        <v>45950</v>
      </c>
      <c r="S928" s="90" t="s">
        <v>217</v>
      </c>
      <c r="T928" s="90">
        <f t="shared" si="80"/>
        <v>1</v>
      </c>
      <c r="U928" s="94">
        <v>45951</v>
      </c>
      <c r="V928" s="90" t="s">
        <v>86</v>
      </c>
      <c r="W928" s="92">
        <v>2589</v>
      </c>
      <c r="X928" s="93">
        <f t="shared" si="81"/>
        <v>1</v>
      </c>
      <c r="Y928" s="92"/>
      <c r="Z928" s="92"/>
      <c r="AA928" s="13" t="str">
        <f t="shared" si="82"/>
        <v>out/2025</v>
      </c>
    </row>
    <row r="929" spans="1:27" x14ac:dyDescent="0.25">
      <c r="A929" s="89">
        <v>928</v>
      </c>
      <c r="B929" s="68">
        <v>45926</v>
      </c>
      <c r="C929" s="40">
        <v>103</v>
      </c>
      <c r="D929" s="40">
        <f t="shared" si="79"/>
        <v>1</v>
      </c>
      <c r="E929" s="47" t="s">
        <v>1191</v>
      </c>
      <c r="F929" s="42" t="s">
        <v>58</v>
      </c>
      <c r="G929" s="17" t="s">
        <v>86</v>
      </c>
      <c r="H929" s="17">
        <v>36</v>
      </c>
      <c r="I929" s="17" t="str">
        <f t="shared" si="78"/>
        <v>AER 1_PN-36</v>
      </c>
      <c r="J929" s="18" t="s">
        <v>85</v>
      </c>
      <c r="K929" s="19"/>
      <c r="L929" s="19"/>
      <c r="M929" s="19"/>
      <c r="N929" s="19"/>
      <c r="O929" s="19"/>
      <c r="P929" s="19"/>
      <c r="Q929" s="77" t="str">
        <f>VLOOKUP(J929,'p1'!$B$2:$C$30,2,0)</f>
        <v>NÃO TEM CHAPA</v>
      </c>
      <c r="R929" s="94">
        <v>45944</v>
      </c>
      <c r="S929" s="90" t="s">
        <v>217</v>
      </c>
      <c r="T929" s="90">
        <f t="shared" si="80"/>
        <v>1</v>
      </c>
      <c r="U929" s="94">
        <v>45950</v>
      </c>
      <c r="V929" s="90" t="s">
        <v>86</v>
      </c>
      <c r="W929" s="92">
        <v>2585</v>
      </c>
      <c r="X929" s="93">
        <f t="shared" si="81"/>
        <v>1</v>
      </c>
      <c r="Y929" s="92"/>
      <c r="Z929" s="92"/>
      <c r="AA929" s="13" t="str">
        <f t="shared" si="82"/>
        <v>out/2025</v>
      </c>
    </row>
    <row r="930" spans="1:27" x14ac:dyDescent="0.25">
      <c r="A930" s="89">
        <v>929</v>
      </c>
      <c r="B930" s="68">
        <v>45926</v>
      </c>
      <c r="C930" s="40">
        <v>103</v>
      </c>
      <c r="D930" s="40">
        <f t="shared" si="79"/>
        <v>1</v>
      </c>
      <c r="E930" s="47" t="s">
        <v>1191</v>
      </c>
      <c r="F930" s="42" t="s">
        <v>58</v>
      </c>
      <c r="G930" s="17" t="s">
        <v>86</v>
      </c>
      <c r="H930" s="17">
        <v>37</v>
      </c>
      <c r="I930" s="17" t="str">
        <f t="shared" si="78"/>
        <v>AER 1_PN-37</v>
      </c>
      <c r="J930" s="18" t="s">
        <v>85</v>
      </c>
      <c r="K930" s="19"/>
      <c r="L930" s="19"/>
      <c r="M930" s="19"/>
      <c r="N930" s="19"/>
      <c r="O930" s="19"/>
      <c r="P930" s="19"/>
      <c r="Q930" s="77" t="str">
        <f>VLOOKUP(J930,'p1'!$B$2:$C$30,2,0)</f>
        <v>NÃO TEM CHAPA</v>
      </c>
      <c r="R930" s="94">
        <v>45944</v>
      </c>
      <c r="S930" s="90" t="s">
        <v>217</v>
      </c>
      <c r="T930" s="90">
        <f t="shared" si="80"/>
        <v>1</v>
      </c>
      <c r="U930" s="94">
        <v>45960</v>
      </c>
      <c r="V930" s="90" t="s">
        <v>86</v>
      </c>
      <c r="W930" s="92">
        <v>2607</v>
      </c>
      <c r="X930" s="93">
        <f t="shared" si="81"/>
        <v>1</v>
      </c>
      <c r="Y930" s="92"/>
      <c r="Z930" s="92"/>
      <c r="AA930" s="13" t="str">
        <f t="shared" si="82"/>
        <v>out/2025</v>
      </c>
    </row>
    <row r="931" spans="1:27" x14ac:dyDescent="0.25">
      <c r="A931" s="89">
        <v>930</v>
      </c>
      <c r="B931" s="68">
        <v>45926</v>
      </c>
      <c r="C931" s="40">
        <v>103</v>
      </c>
      <c r="D931" s="40">
        <f t="shared" si="79"/>
        <v>1</v>
      </c>
      <c r="E931" s="47" t="s">
        <v>1191</v>
      </c>
      <c r="F931" s="42" t="s">
        <v>58</v>
      </c>
      <c r="G931" s="17" t="s">
        <v>86</v>
      </c>
      <c r="H931" s="17">
        <v>38</v>
      </c>
      <c r="I931" s="17" t="str">
        <f t="shared" si="78"/>
        <v>AER 1_PN-38</v>
      </c>
      <c r="J931" s="18" t="s">
        <v>85</v>
      </c>
      <c r="K931" s="19"/>
      <c r="L931" s="19"/>
      <c r="M931" s="19"/>
      <c r="N931" s="19"/>
      <c r="O931" s="19"/>
      <c r="P931" s="19"/>
      <c r="Q931" s="77" t="str">
        <f>VLOOKUP(J931,'p1'!$B$2:$C$30,2,0)</f>
        <v>NÃO TEM CHAPA</v>
      </c>
      <c r="R931" s="94">
        <v>45980</v>
      </c>
      <c r="S931" s="90" t="s">
        <v>217</v>
      </c>
      <c r="T931" s="90">
        <f t="shared" si="80"/>
        <v>1</v>
      </c>
      <c r="U931" s="94">
        <v>45980</v>
      </c>
      <c r="V931" s="90" t="s">
        <v>86</v>
      </c>
      <c r="W931" s="92">
        <v>2658</v>
      </c>
      <c r="X931" s="93">
        <f t="shared" si="81"/>
        <v>1</v>
      </c>
      <c r="Y931" s="92"/>
      <c r="Z931" s="92"/>
      <c r="AA931" s="13" t="str">
        <f t="shared" si="82"/>
        <v>nov/2025</v>
      </c>
    </row>
    <row r="932" spans="1:27" x14ac:dyDescent="0.25">
      <c r="A932" s="89">
        <v>931</v>
      </c>
      <c r="B932" s="68">
        <v>45947</v>
      </c>
      <c r="C932" s="40">
        <v>122</v>
      </c>
      <c r="D932" s="40">
        <f t="shared" si="79"/>
        <v>1</v>
      </c>
      <c r="E932" s="47" t="s">
        <v>1191</v>
      </c>
      <c r="F932" s="42" t="s">
        <v>123</v>
      </c>
      <c r="G932" s="17" t="s">
        <v>86</v>
      </c>
      <c r="H932" s="17">
        <v>39</v>
      </c>
      <c r="I932" s="17" t="str">
        <f t="shared" si="78"/>
        <v>AER 1_PNI-39</v>
      </c>
      <c r="J932" s="18" t="s">
        <v>123</v>
      </c>
      <c r="K932" s="19"/>
      <c r="L932" s="19"/>
      <c r="M932" s="19"/>
      <c r="N932" s="19"/>
      <c r="O932" s="19"/>
      <c r="P932" s="19"/>
      <c r="Q932" s="77" t="str">
        <f>VLOOKUP(J932,'p1'!$B$2:$C$30,2,0)</f>
        <v>02- 150X150 #3/8</v>
      </c>
      <c r="R932" s="94">
        <v>45985</v>
      </c>
      <c r="S932" s="90" t="s">
        <v>217</v>
      </c>
      <c r="T932" s="90">
        <f t="shared" si="80"/>
        <v>1</v>
      </c>
      <c r="U932" s="94">
        <v>45986</v>
      </c>
      <c r="V932" s="90" t="s">
        <v>86</v>
      </c>
      <c r="W932" s="92">
        <v>2670</v>
      </c>
      <c r="X932" s="93">
        <f t="shared" si="81"/>
        <v>1</v>
      </c>
      <c r="Y932" s="92"/>
      <c r="Z932" s="92"/>
      <c r="AA932" s="13" t="str">
        <f t="shared" si="82"/>
        <v>nov/2025</v>
      </c>
    </row>
    <row r="933" spans="1:27" x14ac:dyDescent="0.25">
      <c r="A933" s="89">
        <v>932</v>
      </c>
      <c r="B933" s="68">
        <v>45930</v>
      </c>
      <c r="C933" s="40">
        <v>106</v>
      </c>
      <c r="D933" s="40">
        <f t="shared" si="79"/>
        <v>1</v>
      </c>
      <c r="E933" s="47" t="s">
        <v>1191</v>
      </c>
      <c r="F933" s="42" t="s">
        <v>58</v>
      </c>
      <c r="G933" s="17" t="s">
        <v>86</v>
      </c>
      <c r="H933" s="17">
        <v>40</v>
      </c>
      <c r="I933" s="17" t="str">
        <f t="shared" si="78"/>
        <v>AER 1_PN-40</v>
      </c>
      <c r="J933" s="18" t="s">
        <v>85</v>
      </c>
      <c r="K933" s="19"/>
      <c r="L933" s="19"/>
      <c r="M933" s="19"/>
      <c r="N933" s="19"/>
      <c r="O933" s="19"/>
      <c r="P933" s="19"/>
      <c r="Q933" s="77" t="str">
        <f>VLOOKUP(J933,'p1'!$B$2:$C$30,2,0)</f>
        <v>NÃO TEM CHAPA</v>
      </c>
      <c r="R933" s="94">
        <v>45946</v>
      </c>
      <c r="S933" s="90" t="s">
        <v>217</v>
      </c>
      <c r="T933" s="90">
        <f t="shared" si="80"/>
        <v>1</v>
      </c>
      <c r="U933" s="94">
        <v>45965</v>
      </c>
      <c r="V933" s="90" t="s">
        <v>86</v>
      </c>
      <c r="W933" s="92">
        <v>2620</v>
      </c>
      <c r="X933" s="93">
        <f t="shared" si="81"/>
        <v>1</v>
      </c>
      <c r="Y933" s="92"/>
      <c r="Z933" s="92"/>
      <c r="AA933" s="13" t="str">
        <f t="shared" si="82"/>
        <v>out/2025</v>
      </c>
    </row>
    <row r="934" spans="1:27" x14ac:dyDescent="0.25">
      <c r="A934" s="89">
        <v>933</v>
      </c>
      <c r="B934" s="68">
        <v>45930</v>
      </c>
      <c r="C934" s="40">
        <v>106</v>
      </c>
      <c r="D934" s="40">
        <f t="shared" si="79"/>
        <v>1</v>
      </c>
      <c r="E934" s="47" t="s">
        <v>1191</v>
      </c>
      <c r="F934" s="42" t="s">
        <v>58</v>
      </c>
      <c r="G934" s="17" t="s">
        <v>86</v>
      </c>
      <c r="H934" s="17">
        <v>41</v>
      </c>
      <c r="I934" s="17" t="str">
        <f t="shared" si="78"/>
        <v>AER 1_PN-41</v>
      </c>
      <c r="J934" s="18" t="s">
        <v>85</v>
      </c>
      <c r="K934" s="19"/>
      <c r="L934" s="19"/>
      <c r="M934" s="19"/>
      <c r="N934" s="19"/>
      <c r="O934" s="19"/>
      <c r="P934" s="19"/>
      <c r="Q934" s="77" t="str">
        <f>VLOOKUP(J934,'p1'!$B$2:$C$30,2,0)</f>
        <v>NÃO TEM CHAPA</v>
      </c>
      <c r="R934" s="94">
        <v>45947</v>
      </c>
      <c r="S934" s="90" t="s">
        <v>217</v>
      </c>
      <c r="T934" s="90">
        <f t="shared" si="80"/>
        <v>1</v>
      </c>
      <c r="U934" s="94">
        <v>45965</v>
      </c>
      <c r="V934" s="90" t="s">
        <v>86</v>
      </c>
      <c r="W934" s="92">
        <v>2619</v>
      </c>
      <c r="X934" s="93">
        <f t="shared" si="81"/>
        <v>1</v>
      </c>
      <c r="Y934" s="92"/>
      <c r="Z934" s="92"/>
      <c r="AA934" s="13" t="str">
        <f t="shared" si="82"/>
        <v>out/2025</v>
      </c>
    </row>
    <row r="935" spans="1:27" x14ac:dyDescent="0.25">
      <c r="A935" s="89">
        <v>934</v>
      </c>
      <c r="B935" s="68">
        <v>45930</v>
      </c>
      <c r="C935" s="40">
        <v>106</v>
      </c>
      <c r="D935" s="40">
        <f t="shared" si="79"/>
        <v>1</v>
      </c>
      <c r="E935" s="47" t="s">
        <v>1191</v>
      </c>
      <c r="F935" s="42" t="s">
        <v>58</v>
      </c>
      <c r="G935" s="17" t="s">
        <v>86</v>
      </c>
      <c r="H935" s="17">
        <v>42</v>
      </c>
      <c r="I935" s="17" t="str">
        <f t="shared" si="78"/>
        <v>AER 1_PN-42</v>
      </c>
      <c r="J935" s="18" t="s">
        <v>85</v>
      </c>
      <c r="K935" s="19"/>
      <c r="L935" s="19"/>
      <c r="M935" s="19"/>
      <c r="N935" s="19"/>
      <c r="O935" s="19"/>
      <c r="P935" s="19"/>
      <c r="Q935" s="77" t="str">
        <f>VLOOKUP(J935,'p1'!$B$2:$C$30,2,0)</f>
        <v>NÃO TEM CHAPA</v>
      </c>
      <c r="R935" s="94">
        <v>45947</v>
      </c>
      <c r="S935" s="90" t="s">
        <v>217</v>
      </c>
      <c r="T935" s="90">
        <f t="shared" si="80"/>
        <v>1</v>
      </c>
      <c r="U935" s="94">
        <v>45965</v>
      </c>
      <c r="V935" s="90" t="s">
        <v>86</v>
      </c>
      <c r="W935" s="92">
        <v>2620</v>
      </c>
      <c r="X935" s="93">
        <f t="shared" si="81"/>
        <v>1</v>
      </c>
      <c r="Y935" s="92"/>
      <c r="Z935" s="92"/>
      <c r="AA935" s="13" t="str">
        <f t="shared" si="82"/>
        <v>out/2025</v>
      </c>
    </row>
    <row r="936" spans="1:27" x14ac:dyDescent="0.25">
      <c r="A936" s="89">
        <v>935</v>
      </c>
      <c r="B936" s="68">
        <v>45930</v>
      </c>
      <c r="C936" s="40">
        <v>106</v>
      </c>
      <c r="D936" s="40">
        <f t="shared" si="79"/>
        <v>1</v>
      </c>
      <c r="E936" s="47" t="s">
        <v>1191</v>
      </c>
      <c r="F936" s="42" t="s">
        <v>58</v>
      </c>
      <c r="G936" s="17" t="s">
        <v>86</v>
      </c>
      <c r="H936" s="17">
        <v>43</v>
      </c>
      <c r="I936" s="17" t="str">
        <f t="shared" si="78"/>
        <v>AER 1_PN-43</v>
      </c>
      <c r="J936" s="18" t="s">
        <v>85</v>
      </c>
      <c r="K936" s="19"/>
      <c r="L936" s="19"/>
      <c r="M936" s="19"/>
      <c r="N936" s="19"/>
      <c r="O936" s="19"/>
      <c r="P936" s="19"/>
      <c r="Q936" s="77" t="str">
        <f>VLOOKUP(J936,'p1'!$B$2:$C$30,2,0)</f>
        <v>NÃO TEM CHAPA</v>
      </c>
      <c r="R936" s="94">
        <v>45943</v>
      </c>
      <c r="S936" s="90" t="s">
        <v>217</v>
      </c>
      <c r="T936" s="90">
        <f t="shared" si="80"/>
        <v>1</v>
      </c>
      <c r="U936" s="94">
        <v>45964</v>
      </c>
      <c r="V936" s="90" t="s">
        <v>86</v>
      </c>
      <c r="W936" s="92">
        <v>2614</v>
      </c>
      <c r="X936" s="93">
        <f t="shared" si="81"/>
        <v>1</v>
      </c>
      <c r="Y936" s="92"/>
      <c r="Z936" s="92"/>
      <c r="AA936" s="13" t="str">
        <f t="shared" si="82"/>
        <v>out/2025</v>
      </c>
    </row>
    <row r="937" spans="1:27" x14ac:dyDescent="0.25">
      <c r="A937" s="89">
        <v>936</v>
      </c>
      <c r="B937" s="68">
        <v>45930</v>
      </c>
      <c r="C937" s="40">
        <v>106</v>
      </c>
      <c r="D937" s="40">
        <f t="shared" si="79"/>
        <v>1</v>
      </c>
      <c r="E937" s="47" t="s">
        <v>1191</v>
      </c>
      <c r="F937" s="42" t="s">
        <v>58</v>
      </c>
      <c r="G937" s="17" t="s">
        <v>86</v>
      </c>
      <c r="H937" s="17">
        <v>44</v>
      </c>
      <c r="I937" s="17" t="str">
        <f t="shared" si="78"/>
        <v>AER 1_PN-44</v>
      </c>
      <c r="J937" s="18" t="s">
        <v>85</v>
      </c>
      <c r="K937" s="19"/>
      <c r="L937" s="19"/>
      <c r="M937" s="19"/>
      <c r="N937" s="19"/>
      <c r="O937" s="19"/>
      <c r="P937" s="19"/>
      <c r="Q937" s="77" t="str">
        <f>VLOOKUP(J937,'p1'!$B$2:$C$30,2,0)</f>
        <v>NÃO TEM CHAPA</v>
      </c>
      <c r="R937" s="94">
        <v>45943</v>
      </c>
      <c r="S937" s="90" t="s">
        <v>217</v>
      </c>
      <c r="T937" s="90">
        <f t="shared" si="80"/>
        <v>1</v>
      </c>
      <c r="U937" s="94">
        <v>45965</v>
      </c>
      <c r="V937" s="90" t="s">
        <v>86</v>
      </c>
      <c r="W937" s="92">
        <v>2619</v>
      </c>
      <c r="X937" s="93">
        <f t="shared" si="81"/>
        <v>1</v>
      </c>
      <c r="Y937" s="92"/>
      <c r="Z937" s="92"/>
      <c r="AA937" s="13" t="str">
        <f t="shared" si="82"/>
        <v>out/2025</v>
      </c>
    </row>
    <row r="938" spans="1:27" x14ac:dyDescent="0.25">
      <c r="A938" s="89">
        <v>937</v>
      </c>
      <c r="B938" s="68">
        <v>45947</v>
      </c>
      <c r="C938" s="40">
        <v>122</v>
      </c>
      <c r="D938" s="40">
        <f t="shared" si="79"/>
        <v>1</v>
      </c>
      <c r="E938" s="47" t="s">
        <v>1191</v>
      </c>
      <c r="F938" s="42" t="s">
        <v>123</v>
      </c>
      <c r="G938" s="17" t="s">
        <v>86</v>
      </c>
      <c r="H938" s="17">
        <v>45</v>
      </c>
      <c r="I938" s="17" t="str">
        <f t="shared" si="78"/>
        <v>AER 1_PNI-45</v>
      </c>
      <c r="J938" s="18" t="s">
        <v>123</v>
      </c>
      <c r="K938" s="19"/>
      <c r="L938" s="19"/>
      <c r="M938" s="19"/>
      <c r="N938" s="19"/>
      <c r="O938" s="19"/>
      <c r="P938" s="19"/>
      <c r="Q938" s="77" t="str">
        <f>VLOOKUP(J938,'p1'!$B$2:$C$30,2,0)</f>
        <v>02- 150X150 #3/8</v>
      </c>
      <c r="R938" s="94">
        <v>45952</v>
      </c>
      <c r="S938" s="90" t="s">
        <v>217</v>
      </c>
      <c r="T938" s="90">
        <f t="shared" si="80"/>
        <v>1</v>
      </c>
      <c r="U938" s="94">
        <v>45953</v>
      </c>
      <c r="V938" s="90" t="s">
        <v>86</v>
      </c>
      <c r="W938" s="92">
        <v>2596</v>
      </c>
      <c r="X938" s="93">
        <f t="shared" si="81"/>
        <v>1</v>
      </c>
      <c r="Y938" s="92"/>
      <c r="Z938" s="92"/>
      <c r="AA938" s="13" t="str">
        <f t="shared" si="82"/>
        <v>out/2025</v>
      </c>
    </row>
    <row r="939" spans="1:27" x14ac:dyDescent="0.25">
      <c r="A939" s="89">
        <v>938</v>
      </c>
      <c r="B939" s="68">
        <v>45932</v>
      </c>
      <c r="C939" s="40">
        <v>108</v>
      </c>
      <c r="D939" s="40">
        <f t="shared" si="79"/>
        <v>1</v>
      </c>
      <c r="E939" s="47" t="s">
        <v>1191</v>
      </c>
      <c r="F939" s="42" t="s">
        <v>58</v>
      </c>
      <c r="G939" s="17" t="s">
        <v>86</v>
      </c>
      <c r="H939" s="17">
        <v>46</v>
      </c>
      <c r="I939" s="17" t="str">
        <f t="shared" si="78"/>
        <v>AER 1_PN-46</v>
      </c>
      <c r="J939" s="18" t="s">
        <v>85</v>
      </c>
      <c r="K939" s="19"/>
      <c r="L939" s="19"/>
      <c r="M939" s="19"/>
      <c r="N939" s="19"/>
      <c r="O939" s="19"/>
      <c r="P939" s="19"/>
      <c r="Q939" s="77" t="str">
        <f>VLOOKUP(J939,'p1'!$B$2:$C$30,2,0)</f>
        <v>NÃO TEM CHAPA</v>
      </c>
      <c r="R939" s="94">
        <v>45941</v>
      </c>
      <c r="S939" s="90" t="s">
        <v>217</v>
      </c>
      <c r="T939" s="90">
        <f t="shared" si="80"/>
        <v>1</v>
      </c>
      <c r="U939" s="94">
        <v>45971</v>
      </c>
      <c r="V939" s="90" t="s">
        <v>86</v>
      </c>
      <c r="W939" s="92">
        <v>2631</v>
      </c>
      <c r="X939" s="93">
        <f t="shared" si="81"/>
        <v>1</v>
      </c>
      <c r="Y939" s="92"/>
      <c r="Z939" s="92"/>
      <c r="AA939" s="13" t="str">
        <f t="shared" si="82"/>
        <v>out/2025</v>
      </c>
    </row>
    <row r="940" spans="1:27" x14ac:dyDescent="0.25">
      <c r="A940" s="89">
        <v>939</v>
      </c>
      <c r="B940" s="68">
        <v>45932</v>
      </c>
      <c r="C940" s="40">
        <v>108</v>
      </c>
      <c r="D940" s="40">
        <f t="shared" si="79"/>
        <v>1</v>
      </c>
      <c r="E940" s="47" t="s">
        <v>1191</v>
      </c>
      <c r="F940" s="42" t="s">
        <v>58</v>
      </c>
      <c r="G940" s="17" t="s">
        <v>86</v>
      </c>
      <c r="H940" s="17">
        <v>47</v>
      </c>
      <c r="I940" s="17" t="str">
        <f t="shared" si="78"/>
        <v>AER 1_PN-47</v>
      </c>
      <c r="J940" s="18" t="s">
        <v>85</v>
      </c>
      <c r="K940" s="19"/>
      <c r="L940" s="19"/>
      <c r="M940" s="19"/>
      <c r="N940" s="19"/>
      <c r="O940" s="19"/>
      <c r="P940" s="19"/>
      <c r="Q940" s="77" t="str">
        <f>VLOOKUP(J940,'p1'!$B$2:$C$30,2,0)</f>
        <v>NÃO TEM CHAPA</v>
      </c>
      <c r="R940" s="94">
        <v>45941</v>
      </c>
      <c r="S940" s="90" t="s">
        <v>217</v>
      </c>
      <c r="T940" s="90">
        <f t="shared" si="80"/>
        <v>1</v>
      </c>
      <c r="U940" s="94">
        <v>45960</v>
      </c>
      <c r="V940" s="90" t="s">
        <v>86</v>
      </c>
      <c r="W940" s="92">
        <v>2607</v>
      </c>
      <c r="X940" s="93">
        <f t="shared" si="81"/>
        <v>1</v>
      </c>
      <c r="Y940" s="92"/>
      <c r="Z940" s="92"/>
      <c r="AA940" s="13" t="str">
        <f t="shared" si="82"/>
        <v>out/2025</v>
      </c>
    </row>
    <row r="941" spans="1:27" x14ac:dyDescent="0.25">
      <c r="A941" s="89">
        <v>940</v>
      </c>
      <c r="B941" s="68">
        <v>45932</v>
      </c>
      <c r="C941" s="40">
        <v>108</v>
      </c>
      <c r="D941" s="40">
        <f t="shared" si="79"/>
        <v>1</v>
      </c>
      <c r="E941" s="47" t="s">
        <v>1191</v>
      </c>
      <c r="F941" s="42" t="s">
        <v>58</v>
      </c>
      <c r="G941" s="17" t="s">
        <v>86</v>
      </c>
      <c r="H941" s="17">
        <v>48</v>
      </c>
      <c r="I941" s="17" t="str">
        <f t="shared" si="78"/>
        <v>AER 1_PN-48</v>
      </c>
      <c r="J941" s="18" t="s">
        <v>85</v>
      </c>
      <c r="K941" s="19"/>
      <c r="L941" s="19"/>
      <c r="M941" s="19"/>
      <c r="N941" s="19"/>
      <c r="O941" s="19"/>
      <c r="P941" s="19"/>
      <c r="Q941" s="77" t="str">
        <f>VLOOKUP(J941,'p1'!$B$2:$C$30,2,0)</f>
        <v>NÃO TEM CHAPA</v>
      </c>
      <c r="R941" s="94">
        <v>45978</v>
      </c>
      <c r="S941" s="90" t="s">
        <v>217</v>
      </c>
      <c r="T941" s="90">
        <f t="shared" si="80"/>
        <v>1</v>
      </c>
      <c r="U941" s="94">
        <v>45979</v>
      </c>
      <c r="V941" s="90" t="s">
        <v>86</v>
      </c>
      <c r="W941" s="92">
        <v>2652</v>
      </c>
      <c r="X941" s="93">
        <f t="shared" si="81"/>
        <v>1</v>
      </c>
      <c r="Y941" s="92"/>
      <c r="Z941" s="92"/>
      <c r="AA941" s="13" t="str">
        <f t="shared" si="82"/>
        <v>nov/2025</v>
      </c>
    </row>
    <row r="942" spans="1:27" x14ac:dyDescent="0.25">
      <c r="A942" s="89">
        <v>941</v>
      </c>
      <c r="B942" s="68">
        <v>45932</v>
      </c>
      <c r="C942" s="40">
        <v>108</v>
      </c>
      <c r="D942" s="40">
        <f t="shared" si="79"/>
        <v>1</v>
      </c>
      <c r="E942" s="47" t="s">
        <v>1191</v>
      </c>
      <c r="F942" s="42" t="s">
        <v>58</v>
      </c>
      <c r="G942" s="17" t="s">
        <v>86</v>
      </c>
      <c r="H942" s="17">
        <v>49</v>
      </c>
      <c r="I942" s="17" t="str">
        <f t="shared" si="78"/>
        <v>AER 1_PN-49</v>
      </c>
      <c r="J942" s="18" t="s">
        <v>85</v>
      </c>
      <c r="K942" s="19"/>
      <c r="L942" s="19"/>
      <c r="M942" s="19"/>
      <c r="N942" s="19"/>
      <c r="O942" s="19"/>
      <c r="P942" s="19"/>
      <c r="Q942" s="77" t="str">
        <f>VLOOKUP(J942,'p1'!$B$2:$C$30,2,0)</f>
        <v>NÃO TEM CHAPA</v>
      </c>
      <c r="R942" s="94">
        <v>45976</v>
      </c>
      <c r="S942" s="90" t="s">
        <v>217</v>
      </c>
      <c r="T942" s="90">
        <f t="shared" si="80"/>
        <v>1</v>
      </c>
      <c r="U942" s="94">
        <v>45978</v>
      </c>
      <c r="V942" s="90" t="s">
        <v>86</v>
      </c>
      <c r="W942" s="92">
        <v>2647</v>
      </c>
      <c r="X942" s="93">
        <f t="shared" si="81"/>
        <v>1</v>
      </c>
      <c r="Y942" s="92"/>
      <c r="Z942" s="92"/>
      <c r="AA942" s="13" t="str">
        <f t="shared" si="82"/>
        <v>nov/2025</v>
      </c>
    </row>
    <row r="943" spans="1:27" x14ac:dyDescent="0.25">
      <c r="A943" s="89">
        <v>942</v>
      </c>
      <c r="B943" s="68">
        <v>45932</v>
      </c>
      <c r="C943" s="40">
        <v>108</v>
      </c>
      <c r="D943" s="40">
        <f t="shared" si="79"/>
        <v>1</v>
      </c>
      <c r="E943" s="47" t="s">
        <v>1191</v>
      </c>
      <c r="F943" s="42" t="s">
        <v>58</v>
      </c>
      <c r="G943" s="17" t="s">
        <v>86</v>
      </c>
      <c r="H943" s="17">
        <v>50</v>
      </c>
      <c r="I943" s="17" t="str">
        <f t="shared" si="78"/>
        <v>AER 1_PN-50</v>
      </c>
      <c r="J943" s="18" t="s">
        <v>85</v>
      </c>
      <c r="K943" s="19"/>
      <c r="L943" s="19"/>
      <c r="M943" s="19"/>
      <c r="N943" s="19"/>
      <c r="O943" s="19"/>
      <c r="P943" s="19"/>
      <c r="Q943" s="77" t="str">
        <f>VLOOKUP(J943,'p1'!$B$2:$C$30,2,0)</f>
        <v>NÃO TEM CHAPA</v>
      </c>
      <c r="R943" s="94">
        <v>45980</v>
      </c>
      <c r="S943" s="90" t="s">
        <v>217</v>
      </c>
      <c r="T943" s="90">
        <f t="shared" si="80"/>
        <v>1</v>
      </c>
      <c r="U943" s="94">
        <v>45980</v>
      </c>
      <c r="V943" s="90" t="s">
        <v>86</v>
      </c>
      <c r="W943" s="92">
        <v>2657</v>
      </c>
      <c r="X943" s="93">
        <f t="shared" si="81"/>
        <v>1</v>
      </c>
      <c r="Y943" s="92"/>
      <c r="Z943" s="92"/>
      <c r="AA943" s="13" t="str">
        <f t="shared" si="82"/>
        <v>nov/2025</v>
      </c>
    </row>
    <row r="944" spans="1:27" x14ac:dyDescent="0.25">
      <c r="A944" s="89">
        <v>943</v>
      </c>
      <c r="B944" s="68">
        <v>45950</v>
      </c>
      <c r="C944" s="40">
        <v>124</v>
      </c>
      <c r="D944" s="40">
        <f t="shared" si="79"/>
        <v>1</v>
      </c>
      <c r="E944" s="47" t="s">
        <v>1191</v>
      </c>
      <c r="F944" s="42" t="s">
        <v>123</v>
      </c>
      <c r="G944" s="17" t="s">
        <v>86</v>
      </c>
      <c r="H944" s="17">
        <v>51</v>
      </c>
      <c r="I944" s="17" t="str">
        <f t="shared" si="78"/>
        <v>AER 1_PNI-51</v>
      </c>
      <c r="J944" s="18" t="s">
        <v>123</v>
      </c>
      <c r="K944" s="19"/>
      <c r="L944" s="19"/>
      <c r="M944" s="19"/>
      <c r="N944" s="19"/>
      <c r="O944" s="19"/>
      <c r="P944" s="19"/>
      <c r="Q944" s="77" t="str">
        <f>VLOOKUP(J944,'p1'!$B$2:$C$30,2,0)</f>
        <v>02- 150X150 #3/8</v>
      </c>
      <c r="R944" s="94">
        <v>45955</v>
      </c>
      <c r="S944" s="90" t="s">
        <v>217</v>
      </c>
      <c r="T944" s="90">
        <f t="shared" si="80"/>
        <v>1</v>
      </c>
      <c r="U944" s="94">
        <v>45971</v>
      </c>
      <c r="V944" s="90" t="s">
        <v>86</v>
      </c>
      <c r="W944" s="92">
        <v>2630</v>
      </c>
      <c r="X944" s="93">
        <f t="shared" si="81"/>
        <v>1</v>
      </c>
      <c r="Y944" s="92"/>
      <c r="Z944" s="92"/>
      <c r="AA944" s="13" t="str">
        <f t="shared" si="82"/>
        <v>out/2025</v>
      </c>
    </row>
    <row r="945" spans="1:27" x14ac:dyDescent="0.25">
      <c r="A945" s="89">
        <v>944</v>
      </c>
      <c r="B945" s="68">
        <v>45936</v>
      </c>
      <c r="C945" s="40">
        <v>111</v>
      </c>
      <c r="D945" s="40">
        <f t="shared" si="79"/>
        <v>1</v>
      </c>
      <c r="E945" s="47" t="s">
        <v>1191</v>
      </c>
      <c r="F945" s="42" t="s">
        <v>58</v>
      </c>
      <c r="G945" s="17" t="s">
        <v>86</v>
      </c>
      <c r="H945" s="17">
        <v>52</v>
      </c>
      <c r="I945" s="17" t="str">
        <f t="shared" si="78"/>
        <v>AER 1_PN-52</v>
      </c>
      <c r="J945" s="18" t="s">
        <v>85</v>
      </c>
      <c r="K945" s="19"/>
      <c r="L945" s="19"/>
      <c r="M945" s="19"/>
      <c r="N945" s="19"/>
      <c r="O945" s="19"/>
      <c r="P945" s="19"/>
      <c r="Q945" s="77" t="str">
        <f>VLOOKUP(J945,'p1'!$B$2:$C$30,2,0)</f>
        <v>NÃO TEM CHAPA</v>
      </c>
      <c r="R945" s="94">
        <v>45975</v>
      </c>
      <c r="S945" s="90" t="s">
        <v>217</v>
      </c>
      <c r="T945" s="90">
        <f t="shared" si="80"/>
        <v>1</v>
      </c>
      <c r="U945" s="94">
        <v>45975</v>
      </c>
      <c r="V945" s="90" t="s">
        <v>86</v>
      </c>
      <c r="W945" s="92">
        <v>2646</v>
      </c>
      <c r="X945" s="93">
        <f t="shared" si="81"/>
        <v>1</v>
      </c>
      <c r="Y945" s="92"/>
      <c r="Z945" s="92"/>
      <c r="AA945" s="13" t="str">
        <f t="shared" si="82"/>
        <v>nov/2025</v>
      </c>
    </row>
    <row r="946" spans="1:27" x14ac:dyDescent="0.25">
      <c r="A946" s="89">
        <v>945</v>
      </c>
      <c r="B946" s="68">
        <v>45936</v>
      </c>
      <c r="C946" s="40">
        <v>111</v>
      </c>
      <c r="D946" s="40">
        <f t="shared" si="79"/>
        <v>1</v>
      </c>
      <c r="E946" s="47" t="s">
        <v>1191</v>
      </c>
      <c r="F946" s="42" t="s">
        <v>58</v>
      </c>
      <c r="G946" s="17" t="s">
        <v>86</v>
      </c>
      <c r="H946" s="17">
        <v>53</v>
      </c>
      <c r="I946" s="17" t="str">
        <f t="shared" si="78"/>
        <v>AER 1_PN-53</v>
      </c>
      <c r="J946" s="18" t="s">
        <v>85</v>
      </c>
      <c r="K946" s="19"/>
      <c r="L946" s="19"/>
      <c r="M946" s="19"/>
      <c r="N946" s="19"/>
      <c r="O946" s="19"/>
      <c r="P946" s="19"/>
      <c r="Q946" s="77" t="str">
        <f>VLOOKUP(J946,'p1'!$B$2:$C$30,2,0)</f>
        <v>NÃO TEM CHAPA</v>
      </c>
      <c r="R946" s="94">
        <v>45976</v>
      </c>
      <c r="S946" s="90" t="s">
        <v>217</v>
      </c>
      <c r="T946" s="90">
        <f t="shared" si="80"/>
        <v>1</v>
      </c>
      <c r="U946" s="94">
        <v>45978</v>
      </c>
      <c r="V946" s="90" t="s">
        <v>86</v>
      </c>
      <c r="W946" s="92">
        <v>2647</v>
      </c>
      <c r="X946" s="93">
        <f t="shared" si="81"/>
        <v>1</v>
      </c>
      <c r="Y946" s="92"/>
      <c r="Z946" s="92"/>
      <c r="AA946" s="13" t="str">
        <f t="shared" si="82"/>
        <v>nov/2025</v>
      </c>
    </row>
    <row r="947" spans="1:27" x14ac:dyDescent="0.25">
      <c r="A947" s="89">
        <v>946</v>
      </c>
      <c r="B947" s="68">
        <v>45936</v>
      </c>
      <c r="C947" s="40">
        <v>111</v>
      </c>
      <c r="D947" s="40">
        <f t="shared" si="79"/>
        <v>1</v>
      </c>
      <c r="E947" s="47" t="s">
        <v>1191</v>
      </c>
      <c r="F947" s="42" t="s">
        <v>58</v>
      </c>
      <c r="G947" s="17" t="s">
        <v>86</v>
      </c>
      <c r="H947" s="17">
        <v>54</v>
      </c>
      <c r="I947" s="17" t="str">
        <f t="shared" si="78"/>
        <v>AER 1_PN-54</v>
      </c>
      <c r="J947" s="18" t="s">
        <v>85</v>
      </c>
      <c r="K947" s="19"/>
      <c r="L947" s="19"/>
      <c r="M947" s="19"/>
      <c r="N947" s="19"/>
      <c r="O947" s="19"/>
      <c r="P947" s="19"/>
      <c r="Q947" s="77" t="str">
        <f>VLOOKUP(J947,'p1'!$B$2:$C$30,2,0)</f>
        <v>NÃO TEM CHAPA</v>
      </c>
      <c r="R947" s="94">
        <v>45976</v>
      </c>
      <c r="S947" s="90" t="s">
        <v>217</v>
      </c>
      <c r="T947" s="90">
        <f t="shared" si="80"/>
        <v>1</v>
      </c>
      <c r="U947" s="94">
        <v>45978</v>
      </c>
      <c r="V947" s="90" t="s">
        <v>86</v>
      </c>
      <c r="W947" s="92">
        <v>2651</v>
      </c>
      <c r="X947" s="93">
        <f t="shared" si="81"/>
        <v>1</v>
      </c>
      <c r="Y947" s="92"/>
      <c r="Z947" s="92"/>
      <c r="AA947" s="13" t="str">
        <f t="shared" si="82"/>
        <v>nov/2025</v>
      </c>
    </row>
    <row r="948" spans="1:27" x14ac:dyDescent="0.25">
      <c r="A948" s="89">
        <v>947</v>
      </c>
      <c r="B948" s="68">
        <v>45939</v>
      </c>
      <c r="C948" s="40">
        <v>114</v>
      </c>
      <c r="D948" s="40">
        <f t="shared" si="79"/>
        <v>1</v>
      </c>
      <c r="E948" s="47" t="s">
        <v>1191</v>
      </c>
      <c r="F948" s="42" t="s">
        <v>58</v>
      </c>
      <c r="G948" s="17" t="s">
        <v>86</v>
      </c>
      <c r="H948" s="17">
        <v>55</v>
      </c>
      <c r="I948" s="17" t="str">
        <f t="shared" si="78"/>
        <v>AER 1_PN-55</v>
      </c>
      <c r="J948" s="18" t="s">
        <v>85</v>
      </c>
      <c r="K948" s="19"/>
      <c r="L948" s="19"/>
      <c r="M948" s="19"/>
      <c r="N948" s="19"/>
      <c r="O948" s="19"/>
      <c r="P948" s="19"/>
      <c r="Q948" s="77" t="str">
        <f>VLOOKUP(J948,'p1'!$B$2:$C$30,2,0)</f>
        <v>NÃO TEM CHAPA</v>
      </c>
      <c r="R948" s="94">
        <v>45958</v>
      </c>
      <c r="S948" s="90" t="s">
        <v>217</v>
      </c>
      <c r="T948" s="90">
        <f t="shared" si="80"/>
        <v>1</v>
      </c>
      <c r="U948" s="94">
        <v>45964</v>
      </c>
      <c r="V948" s="90" t="s">
        <v>86</v>
      </c>
      <c r="W948" s="92">
        <v>2612</v>
      </c>
      <c r="X948" s="93">
        <f t="shared" si="81"/>
        <v>1</v>
      </c>
      <c r="Y948" s="92"/>
      <c r="Z948" s="92"/>
      <c r="AA948" s="13" t="str">
        <f t="shared" si="82"/>
        <v>out/2025</v>
      </c>
    </row>
    <row r="949" spans="1:27" x14ac:dyDescent="0.25">
      <c r="A949" s="89">
        <v>948</v>
      </c>
      <c r="B949" s="68">
        <v>45939</v>
      </c>
      <c r="C949" s="40">
        <v>114</v>
      </c>
      <c r="D949" s="40">
        <f t="shared" si="79"/>
        <v>1</v>
      </c>
      <c r="E949" s="47" t="s">
        <v>1191</v>
      </c>
      <c r="F949" s="42" t="s">
        <v>58</v>
      </c>
      <c r="G949" s="17" t="s">
        <v>86</v>
      </c>
      <c r="H949" s="17">
        <v>56</v>
      </c>
      <c r="I949" s="17" t="str">
        <f t="shared" si="78"/>
        <v>AER 1_PN-56</v>
      </c>
      <c r="J949" s="18" t="s">
        <v>85</v>
      </c>
      <c r="K949" s="19"/>
      <c r="L949" s="19"/>
      <c r="M949" s="19"/>
      <c r="N949" s="19"/>
      <c r="O949" s="19"/>
      <c r="P949" s="19"/>
      <c r="Q949" s="77" t="str">
        <f>VLOOKUP(J949,'p1'!$B$2:$C$30,2,0)</f>
        <v>NÃO TEM CHAPA</v>
      </c>
      <c r="R949" s="94">
        <v>45986</v>
      </c>
      <c r="S949" s="90" t="s">
        <v>217</v>
      </c>
      <c r="T949" s="90">
        <f t="shared" si="80"/>
        <v>1</v>
      </c>
      <c r="U949" s="94">
        <v>45986</v>
      </c>
      <c r="V949" s="90" t="s">
        <v>86</v>
      </c>
      <c r="W949" s="92">
        <v>2670</v>
      </c>
      <c r="X949" s="93">
        <f t="shared" si="81"/>
        <v>1</v>
      </c>
      <c r="Y949" s="92"/>
      <c r="Z949" s="92"/>
      <c r="AA949" s="13" t="str">
        <f t="shared" si="82"/>
        <v>nov/2025</v>
      </c>
    </row>
    <row r="950" spans="1:27" x14ac:dyDescent="0.25">
      <c r="A950" s="89">
        <v>949</v>
      </c>
      <c r="B950" s="68">
        <v>45950</v>
      </c>
      <c r="C950" s="40">
        <v>124</v>
      </c>
      <c r="D950" s="40">
        <f t="shared" si="79"/>
        <v>1</v>
      </c>
      <c r="E950" s="47" t="s">
        <v>1191</v>
      </c>
      <c r="F950" s="42" t="s">
        <v>123</v>
      </c>
      <c r="G950" s="17" t="s">
        <v>86</v>
      </c>
      <c r="H950" s="17">
        <v>57</v>
      </c>
      <c r="I950" s="17" t="str">
        <f t="shared" si="78"/>
        <v>AER 1_PNI-57</v>
      </c>
      <c r="J950" s="18" t="s">
        <v>123</v>
      </c>
      <c r="K950" s="19"/>
      <c r="L950" s="19"/>
      <c r="M950" s="19"/>
      <c r="N950" s="19"/>
      <c r="O950" s="19"/>
      <c r="P950" s="19"/>
      <c r="Q950" s="77" t="str">
        <f>VLOOKUP(J950,'p1'!$B$2:$C$30,2,0)</f>
        <v>02- 150X150 #3/8</v>
      </c>
      <c r="R950" s="94">
        <v>45954</v>
      </c>
      <c r="S950" s="90" t="s">
        <v>217</v>
      </c>
      <c r="T950" s="90">
        <f t="shared" si="80"/>
        <v>1</v>
      </c>
      <c r="U950" s="94">
        <v>45961</v>
      </c>
      <c r="V950" s="90" t="s">
        <v>86</v>
      </c>
      <c r="W950" s="92">
        <v>2609</v>
      </c>
      <c r="X950" s="93">
        <f t="shared" si="81"/>
        <v>1</v>
      </c>
      <c r="Y950" s="92"/>
      <c r="Z950" s="92"/>
      <c r="AA950" s="13" t="str">
        <f t="shared" si="82"/>
        <v>out/2025</v>
      </c>
    </row>
    <row r="951" spans="1:27" x14ac:dyDescent="0.25">
      <c r="A951" s="89">
        <v>950</v>
      </c>
      <c r="B951" s="68">
        <v>45939</v>
      </c>
      <c r="C951" s="40">
        <v>114</v>
      </c>
      <c r="D951" s="40">
        <f t="shared" si="79"/>
        <v>1</v>
      </c>
      <c r="E951" s="47" t="s">
        <v>1191</v>
      </c>
      <c r="F951" s="42" t="s">
        <v>58</v>
      </c>
      <c r="G951" s="17" t="s">
        <v>86</v>
      </c>
      <c r="H951" s="17">
        <v>58</v>
      </c>
      <c r="I951" s="17" t="str">
        <f t="shared" si="78"/>
        <v>AER 1_PN-58</v>
      </c>
      <c r="J951" s="18" t="s">
        <v>85</v>
      </c>
      <c r="K951" s="19"/>
      <c r="L951" s="19"/>
      <c r="M951" s="19"/>
      <c r="N951" s="19"/>
      <c r="O951" s="19"/>
      <c r="P951" s="19"/>
      <c r="Q951" s="77" t="str">
        <f>VLOOKUP(J951,'p1'!$B$2:$C$30,2,0)</f>
        <v>NÃO TEM CHAPA</v>
      </c>
      <c r="R951" s="94">
        <v>45975</v>
      </c>
      <c r="S951" s="90" t="s">
        <v>217</v>
      </c>
      <c r="T951" s="90">
        <f t="shared" si="80"/>
        <v>1</v>
      </c>
      <c r="U951" s="94">
        <v>45975</v>
      </c>
      <c r="V951" s="90" t="s">
        <v>86</v>
      </c>
      <c r="W951" s="92">
        <v>2644</v>
      </c>
      <c r="X951" s="93">
        <f t="shared" si="81"/>
        <v>1</v>
      </c>
      <c r="Y951" s="92"/>
      <c r="Z951" s="92"/>
      <c r="AA951" s="13" t="str">
        <f t="shared" si="82"/>
        <v>nov/2025</v>
      </c>
    </row>
    <row r="952" spans="1:27" x14ac:dyDescent="0.25">
      <c r="A952" s="89">
        <v>951</v>
      </c>
      <c r="B952" s="68">
        <v>45939</v>
      </c>
      <c r="C952" s="40">
        <v>114</v>
      </c>
      <c r="D952" s="40">
        <f t="shared" si="79"/>
        <v>1</v>
      </c>
      <c r="E952" s="47" t="s">
        <v>1191</v>
      </c>
      <c r="F952" s="42" t="s">
        <v>58</v>
      </c>
      <c r="G952" s="17" t="s">
        <v>86</v>
      </c>
      <c r="H952" s="17">
        <v>59</v>
      </c>
      <c r="I952" s="17" t="str">
        <f t="shared" si="78"/>
        <v>AER 1_PN-59</v>
      </c>
      <c r="J952" s="18" t="s">
        <v>85</v>
      </c>
      <c r="K952" s="19"/>
      <c r="L952" s="19"/>
      <c r="M952" s="19"/>
      <c r="N952" s="19"/>
      <c r="O952" s="19"/>
      <c r="P952" s="19"/>
      <c r="Q952" s="77" t="str">
        <f>VLOOKUP(J952,'p1'!$B$2:$C$30,2,0)</f>
        <v>NÃO TEM CHAPA</v>
      </c>
      <c r="R952" s="94">
        <v>45974</v>
      </c>
      <c r="S952" s="90" t="s">
        <v>217</v>
      </c>
      <c r="T952" s="90">
        <f t="shared" si="80"/>
        <v>1</v>
      </c>
      <c r="U952" s="94">
        <v>45974</v>
      </c>
      <c r="V952" s="90" t="s">
        <v>86</v>
      </c>
      <c r="W952" s="92">
        <v>2640</v>
      </c>
      <c r="X952" s="93">
        <f t="shared" si="81"/>
        <v>1</v>
      </c>
      <c r="Y952" s="92"/>
      <c r="Z952" s="92"/>
      <c r="AA952" s="13" t="str">
        <f t="shared" si="82"/>
        <v>nov/2025</v>
      </c>
    </row>
    <row r="953" spans="1:27" x14ac:dyDescent="0.25">
      <c r="A953" s="89">
        <v>952</v>
      </c>
      <c r="B953" s="68">
        <v>45939</v>
      </c>
      <c r="C953" s="40">
        <v>114</v>
      </c>
      <c r="D953" s="40">
        <f t="shared" si="79"/>
        <v>1</v>
      </c>
      <c r="E953" s="47" t="s">
        <v>1191</v>
      </c>
      <c r="F953" s="42" t="s">
        <v>58</v>
      </c>
      <c r="G953" s="17" t="s">
        <v>86</v>
      </c>
      <c r="H953" s="17">
        <v>60</v>
      </c>
      <c r="I953" s="17" t="str">
        <f t="shared" si="78"/>
        <v>AER 1_PN-60</v>
      </c>
      <c r="J953" s="18" t="s">
        <v>85</v>
      </c>
      <c r="K953" s="19"/>
      <c r="L953" s="19"/>
      <c r="M953" s="19"/>
      <c r="N953" s="19"/>
      <c r="O953" s="19"/>
      <c r="P953" s="19"/>
      <c r="Q953" s="77" t="str">
        <f>VLOOKUP(J953,'p1'!$B$2:$C$30,2,0)</f>
        <v>NÃO TEM CHAPA</v>
      </c>
      <c r="R953" s="94">
        <v>45974</v>
      </c>
      <c r="S953" s="90" t="s">
        <v>217</v>
      </c>
      <c r="T953" s="90">
        <f t="shared" si="80"/>
        <v>1</v>
      </c>
      <c r="U953" s="94">
        <v>45974</v>
      </c>
      <c r="V953" s="90" t="s">
        <v>86</v>
      </c>
      <c r="W953" s="92">
        <v>2640</v>
      </c>
      <c r="X953" s="93">
        <f t="shared" si="81"/>
        <v>1</v>
      </c>
      <c r="Y953" s="92"/>
      <c r="Z953" s="92"/>
      <c r="AA953" s="13" t="str">
        <f t="shared" si="82"/>
        <v>nov/2025</v>
      </c>
    </row>
    <row r="954" spans="1:27" x14ac:dyDescent="0.25">
      <c r="A954" s="89">
        <v>953</v>
      </c>
      <c r="B954" s="68">
        <v>45981</v>
      </c>
      <c r="C954" s="40">
        <v>150</v>
      </c>
      <c r="D954" s="40">
        <f t="shared" si="79"/>
        <v>1</v>
      </c>
      <c r="E954" s="47" t="s">
        <v>1191</v>
      </c>
      <c r="F954" s="42" t="s">
        <v>61</v>
      </c>
      <c r="G954" s="17" t="s">
        <v>86</v>
      </c>
      <c r="H954" s="17">
        <v>61</v>
      </c>
      <c r="I954" s="17" t="str">
        <f t="shared" si="78"/>
        <v>AER 1_PF-61</v>
      </c>
      <c r="J954" s="18" t="s">
        <v>61</v>
      </c>
      <c r="K954" s="19"/>
      <c r="L954" s="19"/>
      <c r="M954" s="19"/>
      <c r="N954" s="19"/>
      <c r="O954" s="19"/>
      <c r="P954" s="19"/>
      <c r="Q954" s="77" t="str">
        <f>VLOOKUP(J954,'p1'!$B$2:$C$30,2,0)</f>
        <v>SEM CHAPA</v>
      </c>
      <c r="R954" s="94">
        <v>45985</v>
      </c>
      <c r="S954" s="90" t="s">
        <v>217</v>
      </c>
      <c r="T954" s="90">
        <f t="shared" si="80"/>
        <v>1</v>
      </c>
      <c r="U954" s="94">
        <v>45986</v>
      </c>
      <c r="V954" s="90" t="s">
        <v>86</v>
      </c>
      <c r="W954" s="92">
        <v>2673</v>
      </c>
      <c r="X954" s="93">
        <f t="shared" si="81"/>
        <v>1</v>
      </c>
      <c r="Y954" s="92"/>
      <c r="Z954" s="92"/>
      <c r="AA954" s="13" t="str">
        <f t="shared" si="82"/>
        <v>nov/2025</v>
      </c>
    </row>
    <row r="955" spans="1:27" x14ac:dyDescent="0.25">
      <c r="A955" s="89">
        <v>954</v>
      </c>
      <c r="B955" s="68">
        <v>45941</v>
      </c>
      <c r="C955" s="40">
        <v>117</v>
      </c>
      <c r="D955" s="40">
        <f t="shared" si="79"/>
        <v>1</v>
      </c>
      <c r="E955" s="47" t="s">
        <v>1191</v>
      </c>
      <c r="F955" s="42" t="s">
        <v>58</v>
      </c>
      <c r="G955" s="17" t="s">
        <v>86</v>
      </c>
      <c r="H955" s="17">
        <v>62</v>
      </c>
      <c r="I955" s="17" t="str">
        <f t="shared" si="78"/>
        <v>AER 1_PN-62</v>
      </c>
      <c r="J955" s="18" t="s">
        <v>85</v>
      </c>
      <c r="K955" s="19"/>
      <c r="L955" s="19"/>
      <c r="M955" s="19"/>
      <c r="N955" s="19"/>
      <c r="O955" s="19"/>
      <c r="P955" s="19"/>
      <c r="Q955" s="77" t="str">
        <f>VLOOKUP(J955,'p1'!$B$2:$C$30,2,0)</f>
        <v>NÃO TEM CHAPA</v>
      </c>
      <c r="R955" s="94">
        <v>45960</v>
      </c>
      <c r="S955" s="90" t="s">
        <v>217</v>
      </c>
      <c r="T955" s="90">
        <f t="shared" si="80"/>
        <v>1</v>
      </c>
      <c r="U955" s="94">
        <v>45964</v>
      </c>
      <c r="V955" s="90" t="s">
        <v>86</v>
      </c>
      <c r="W955" s="92">
        <v>2613</v>
      </c>
      <c r="X955" s="93">
        <f t="shared" si="81"/>
        <v>1</v>
      </c>
      <c r="Y955" s="92"/>
      <c r="Z955" s="92"/>
      <c r="AA955" s="13" t="str">
        <f t="shared" si="82"/>
        <v>out/2025</v>
      </c>
    </row>
    <row r="956" spans="1:27" x14ac:dyDescent="0.25">
      <c r="A956" s="89">
        <v>955</v>
      </c>
      <c r="B956" s="68">
        <v>45952</v>
      </c>
      <c r="C956" s="40">
        <v>126</v>
      </c>
      <c r="D956" s="40">
        <f t="shared" si="79"/>
        <v>1</v>
      </c>
      <c r="E956" s="47" t="s">
        <v>1191</v>
      </c>
      <c r="F956" s="42" t="s">
        <v>123</v>
      </c>
      <c r="G956" s="17" t="s">
        <v>86</v>
      </c>
      <c r="H956" s="17">
        <v>63</v>
      </c>
      <c r="I956" s="17" t="str">
        <f t="shared" si="78"/>
        <v>AER 1_PNI-63</v>
      </c>
      <c r="J956" s="18" t="s">
        <v>123</v>
      </c>
      <c r="K956" s="19"/>
      <c r="L956" s="19"/>
      <c r="M956" s="19"/>
      <c r="N956" s="19"/>
      <c r="O956" s="19"/>
      <c r="P956" s="19"/>
      <c r="Q956" s="77" t="str">
        <f>VLOOKUP(J956,'p1'!$B$2:$C$30,2,0)</f>
        <v>02- 150X150 #3/8</v>
      </c>
      <c r="R956" s="94">
        <v>45968</v>
      </c>
      <c r="S956" s="90" t="s">
        <v>217</v>
      </c>
      <c r="T956" s="90">
        <f t="shared" si="80"/>
        <v>1</v>
      </c>
      <c r="U956" s="94">
        <v>45971</v>
      </c>
      <c r="V956" s="90" t="s">
        <v>86</v>
      </c>
      <c r="W956" s="92">
        <v>2630</v>
      </c>
      <c r="X956" s="93">
        <f t="shared" si="81"/>
        <v>1</v>
      </c>
      <c r="Y956" s="92"/>
      <c r="Z956" s="92"/>
      <c r="AA956" s="13" t="str">
        <f t="shared" si="82"/>
        <v>nov/2025</v>
      </c>
    </row>
    <row r="957" spans="1:27" x14ac:dyDescent="0.25">
      <c r="A957" s="89">
        <v>956</v>
      </c>
      <c r="B957" s="68">
        <v>45941</v>
      </c>
      <c r="C957" s="40">
        <v>117</v>
      </c>
      <c r="D957" s="40">
        <f t="shared" si="79"/>
        <v>1</v>
      </c>
      <c r="E957" s="47" t="s">
        <v>1191</v>
      </c>
      <c r="F957" s="42" t="s">
        <v>58</v>
      </c>
      <c r="G957" s="17" t="s">
        <v>86</v>
      </c>
      <c r="H957" s="17">
        <v>64</v>
      </c>
      <c r="I957" s="17" t="str">
        <f t="shared" si="78"/>
        <v>AER 1_PN-64</v>
      </c>
      <c r="J957" s="18" t="s">
        <v>85</v>
      </c>
      <c r="K957" s="19"/>
      <c r="L957" s="19"/>
      <c r="M957" s="19"/>
      <c r="N957" s="19"/>
      <c r="O957" s="19"/>
      <c r="P957" s="19"/>
      <c r="Q957" s="77" t="str">
        <f>VLOOKUP(J957,'p1'!$B$2:$C$30,2,0)</f>
        <v>NÃO TEM CHAPA</v>
      </c>
      <c r="R957" s="94">
        <v>45960</v>
      </c>
      <c r="S957" s="90" t="s">
        <v>217</v>
      </c>
      <c r="T957" s="90">
        <f t="shared" si="80"/>
        <v>1</v>
      </c>
      <c r="U957" s="94">
        <v>45964</v>
      </c>
      <c r="V957" s="90" t="s">
        <v>86</v>
      </c>
      <c r="W957" s="92">
        <v>2613</v>
      </c>
      <c r="X957" s="93">
        <f t="shared" si="81"/>
        <v>1</v>
      </c>
      <c r="Y957" s="92"/>
      <c r="Z957" s="92"/>
      <c r="AA957" s="13" t="str">
        <f t="shared" si="82"/>
        <v>out/2025</v>
      </c>
    </row>
    <row r="958" spans="1:27" x14ac:dyDescent="0.25">
      <c r="A958" s="89">
        <v>957</v>
      </c>
      <c r="B958" s="68">
        <v>45941</v>
      </c>
      <c r="C958" s="40">
        <v>117</v>
      </c>
      <c r="D958" s="40">
        <f t="shared" si="79"/>
        <v>1</v>
      </c>
      <c r="E958" s="47" t="s">
        <v>1191</v>
      </c>
      <c r="F958" s="42" t="s">
        <v>58</v>
      </c>
      <c r="G958" s="17" t="s">
        <v>86</v>
      </c>
      <c r="H958" s="17">
        <v>65</v>
      </c>
      <c r="I958" s="17" t="str">
        <f t="shared" si="78"/>
        <v>AER 1_PN-65</v>
      </c>
      <c r="J958" s="18" t="s">
        <v>85</v>
      </c>
      <c r="K958" s="19"/>
      <c r="L958" s="19"/>
      <c r="M958" s="19"/>
      <c r="N958" s="19"/>
      <c r="O958" s="19"/>
      <c r="P958" s="19"/>
      <c r="Q958" s="77" t="str">
        <f>VLOOKUP(J958,'p1'!$B$2:$C$30,2,0)</f>
        <v>NÃO TEM CHAPA</v>
      </c>
      <c r="R958" s="94">
        <v>45960</v>
      </c>
      <c r="S958" s="90" t="s">
        <v>217</v>
      </c>
      <c r="T958" s="90">
        <f t="shared" si="80"/>
        <v>1</v>
      </c>
      <c r="U958" s="94">
        <v>45960</v>
      </c>
      <c r="V958" s="90" t="s">
        <v>86</v>
      </c>
      <c r="W958" s="92">
        <v>2606</v>
      </c>
      <c r="X958" s="93">
        <f t="shared" si="81"/>
        <v>1</v>
      </c>
      <c r="Y958" s="92"/>
      <c r="Z958" s="92"/>
      <c r="AA958" s="13" t="str">
        <f t="shared" si="82"/>
        <v>out/2025</v>
      </c>
    </row>
    <row r="959" spans="1:27" x14ac:dyDescent="0.25">
      <c r="A959" s="89">
        <v>958</v>
      </c>
      <c r="B959" s="68">
        <v>45941</v>
      </c>
      <c r="C959" s="40">
        <v>117</v>
      </c>
      <c r="D959" s="40">
        <f t="shared" si="79"/>
        <v>1</v>
      </c>
      <c r="E959" s="47" t="s">
        <v>1191</v>
      </c>
      <c r="F959" s="42" t="s">
        <v>58</v>
      </c>
      <c r="G959" s="17" t="s">
        <v>86</v>
      </c>
      <c r="H959" s="17">
        <v>66</v>
      </c>
      <c r="I959" s="17" t="str">
        <f t="shared" ref="I959:I987" si="83">_xlfn.CONCAT("AER 1_",F959,G959,H959)</f>
        <v>AER 1_PN-66</v>
      </c>
      <c r="J959" s="18" t="s">
        <v>85</v>
      </c>
      <c r="K959" s="19"/>
      <c r="L959" s="19"/>
      <c r="M959" s="19"/>
      <c r="N959" s="19"/>
      <c r="O959" s="19"/>
      <c r="P959" s="19"/>
      <c r="Q959" s="77" t="str">
        <f>VLOOKUP(J959,'p1'!$B$2:$C$30,2,0)</f>
        <v>NÃO TEM CHAPA</v>
      </c>
      <c r="R959" s="94">
        <v>45950</v>
      </c>
      <c r="S959" s="90" t="s">
        <v>217</v>
      </c>
      <c r="T959" s="90">
        <f t="shared" si="80"/>
        <v>1</v>
      </c>
      <c r="U959" s="94">
        <v>45950</v>
      </c>
      <c r="V959" s="90" t="s">
        <v>86</v>
      </c>
      <c r="W959" s="92">
        <v>2584</v>
      </c>
      <c r="X959" s="93">
        <f t="shared" si="81"/>
        <v>1</v>
      </c>
      <c r="Y959" s="92"/>
      <c r="Z959" s="92"/>
      <c r="AA959" s="13" t="str">
        <f t="shared" si="82"/>
        <v>out/2025</v>
      </c>
    </row>
    <row r="960" spans="1:27" x14ac:dyDescent="0.25">
      <c r="A960" s="89">
        <v>959</v>
      </c>
      <c r="B960" s="68">
        <v>45941</v>
      </c>
      <c r="C960" s="40">
        <v>117</v>
      </c>
      <c r="D960" s="40">
        <f t="shared" si="79"/>
        <v>1</v>
      </c>
      <c r="E960" s="47" t="s">
        <v>1191</v>
      </c>
      <c r="F960" s="42" t="s">
        <v>58</v>
      </c>
      <c r="G960" s="17" t="s">
        <v>86</v>
      </c>
      <c r="H960" s="17">
        <v>67</v>
      </c>
      <c r="I960" s="17" t="str">
        <f t="shared" si="83"/>
        <v>AER 1_PN-67</v>
      </c>
      <c r="J960" s="18" t="s">
        <v>85</v>
      </c>
      <c r="K960" s="19"/>
      <c r="L960" s="19"/>
      <c r="M960" s="19"/>
      <c r="N960" s="19"/>
      <c r="O960" s="19"/>
      <c r="P960" s="19"/>
      <c r="Q960" s="77" t="str">
        <f>VLOOKUP(J960,'p1'!$B$2:$C$30,2,0)</f>
        <v>NÃO TEM CHAPA</v>
      </c>
      <c r="R960" s="94">
        <v>45950</v>
      </c>
      <c r="S960" s="90" t="s">
        <v>217</v>
      </c>
      <c r="T960" s="90">
        <f t="shared" si="80"/>
        <v>1</v>
      </c>
      <c r="U960" s="94">
        <v>45950</v>
      </c>
      <c r="V960" s="90" t="s">
        <v>86</v>
      </c>
      <c r="W960" s="92">
        <v>2584</v>
      </c>
      <c r="X960" s="93">
        <f t="shared" si="81"/>
        <v>1</v>
      </c>
      <c r="Y960" s="92"/>
      <c r="Z960" s="92"/>
      <c r="AA960" s="13" t="str">
        <f t="shared" si="82"/>
        <v>out/2025</v>
      </c>
    </row>
    <row r="961" spans="1:27" x14ac:dyDescent="0.25">
      <c r="A961" s="89">
        <v>960</v>
      </c>
      <c r="B961" s="68">
        <v>45944</v>
      </c>
      <c r="C961" s="40">
        <v>118</v>
      </c>
      <c r="D961" s="40">
        <f t="shared" ref="D961:D1024" si="84">IF(B961&gt;0,1,"")</f>
        <v>1</v>
      </c>
      <c r="E961" s="47" t="s">
        <v>1191</v>
      </c>
      <c r="F961" s="42" t="s">
        <v>58</v>
      </c>
      <c r="G961" s="17" t="s">
        <v>86</v>
      </c>
      <c r="H961" s="17">
        <v>68</v>
      </c>
      <c r="I961" s="17" t="str">
        <f t="shared" si="83"/>
        <v>AER 1_PN-68</v>
      </c>
      <c r="J961" s="18" t="s">
        <v>85</v>
      </c>
      <c r="K961" s="19"/>
      <c r="L961" s="19"/>
      <c r="M961" s="19"/>
      <c r="N961" s="19"/>
      <c r="O961" s="19"/>
      <c r="P961" s="19"/>
      <c r="Q961" s="77" t="str">
        <f>VLOOKUP(J961,'p1'!$B$2:$C$30,2,0)</f>
        <v>NÃO TEM CHAPA</v>
      </c>
      <c r="R961" s="94">
        <v>45985</v>
      </c>
      <c r="S961" s="90" t="s">
        <v>217</v>
      </c>
      <c r="T961" s="90">
        <f t="shared" ref="T961:T978" si="85">IF(R961="",0,1)</f>
        <v>1</v>
      </c>
      <c r="U961" s="94">
        <v>45985</v>
      </c>
      <c r="V961" s="90" t="s">
        <v>86</v>
      </c>
      <c r="W961" s="92">
        <v>2668</v>
      </c>
      <c r="X961" s="93">
        <f t="shared" ref="X961:X1024" si="86">IF(U961&gt;0,1,"")</f>
        <v>1</v>
      </c>
      <c r="Y961" s="92"/>
      <c r="Z961" s="92"/>
      <c r="AA961" s="13" t="str">
        <f t="shared" si="82"/>
        <v>nov/2025</v>
      </c>
    </row>
    <row r="962" spans="1:27" x14ac:dyDescent="0.25">
      <c r="A962" s="89">
        <v>961</v>
      </c>
      <c r="B962" s="68">
        <v>45952</v>
      </c>
      <c r="C962" s="40">
        <v>126</v>
      </c>
      <c r="D962" s="40">
        <f t="shared" si="84"/>
        <v>1</v>
      </c>
      <c r="E962" s="47" t="s">
        <v>1191</v>
      </c>
      <c r="F962" s="42" t="s">
        <v>123</v>
      </c>
      <c r="G962" s="17" t="s">
        <v>86</v>
      </c>
      <c r="H962" s="17">
        <v>69</v>
      </c>
      <c r="I962" s="17" t="str">
        <f t="shared" si="83"/>
        <v>AER 1_PNI-69</v>
      </c>
      <c r="J962" s="18" t="s">
        <v>123</v>
      </c>
      <c r="K962" s="19"/>
      <c r="L962" s="19"/>
      <c r="M962" s="19"/>
      <c r="N962" s="19"/>
      <c r="O962" s="19"/>
      <c r="P962" s="19"/>
      <c r="Q962" s="77" t="str">
        <f>VLOOKUP(J962,'p1'!$B$2:$C$30,2,0)</f>
        <v>02- 150X150 #3/8</v>
      </c>
      <c r="R962" s="94">
        <v>45968</v>
      </c>
      <c r="S962" s="90" t="s">
        <v>217</v>
      </c>
      <c r="T962" s="90">
        <f t="shared" si="85"/>
        <v>1</v>
      </c>
      <c r="U962" s="94">
        <v>45971</v>
      </c>
      <c r="V962" s="90" t="s">
        <v>86</v>
      </c>
      <c r="W962" s="92">
        <v>2628</v>
      </c>
      <c r="X962" s="93">
        <f t="shared" si="86"/>
        <v>1</v>
      </c>
      <c r="Y962" s="92"/>
      <c r="Z962" s="92"/>
      <c r="AA962" s="13" t="str">
        <f t="shared" si="82"/>
        <v>nov/2025</v>
      </c>
    </row>
    <row r="963" spans="1:27" x14ac:dyDescent="0.25">
      <c r="A963" s="89">
        <v>962</v>
      </c>
      <c r="B963" s="68">
        <v>45955</v>
      </c>
      <c r="C963" s="40">
        <v>129</v>
      </c>
      <c r="D963" s="40">
        <f t="shared" si="84"/>
        <v>1</v>
      </c>
      <c r="E963" s="47" t="s">
        <v>1191</v>
      </c>
      <c r="F963" s="42" t="s">
        <v>60</v>
      </c>
      <c r="G963" s="17" t="s">
        <v>86</v>
      </c>
      <c r="H963" s="17">
        <v>70</v>
      </c>
      <c r="I963" s="17" t="str">
        <f t="shared" si="83"/>
        <v>AER 1_PE-70</v>
      </c>
      <c r="J963" s="18" t="s">
        <v>60</v>
      </c>
      <c r="K963" s="19"/>
      <c r="L963" s="19"/>
      <c r="M963" s="19"/>
      <c r="N963" s="19"/>
      <c r="O963" s="19"/>
      <c r="P963" s="19"/>
      <c r="Q963" s="77" t="str">
        <f>VLOOKUP(J963,'p1'!$B$2:$C$30,2,0)</f>
        <v>OLHAR DESENHO ESPECIFICO</v>
      </c>
      <c r="R963" s="94">
        <v>45959</v>
      </c>
      <c r="S963" s="90" t="s">
        <v>217</v>
      </c>
      <c r="T963" s="90">
        <f t="shared" si="85"/>
        <v>1</v>
      </c>
      <c r="U963" s="94">
        <v>45971</v>
      </c>
      <c r="V963" s="90" t="s">
        <v>86</v>
      </c>
      <c r="W963" s="92">
        <v>2629</v>
      </c>
      <c r="X963" s="93">
        <f t="shared" si="86"/>
        <v>1</v>
      </c>
      <c r="Y963" s="92"/>
      <c r="Z963" s="92"/>
      <c r="AA963" s="13" t="str">
        <f t="shared" ref="AA963:AA1026" si="87">TEXT(R963,"mmm/aaaa")</f>
        <v>out/2025</v>
      </c>
    </row>
    <row r="964" spans="1:27" x14ac:dyDescent="0.25">
      <c r="A964" s="89">
        <v>963</v>
      </c>
      <c r="B964" s="68">
        <v>45969</v>
      </c>
      <c r="C964" s="40">
        <v>140</v>
      </c>
      <c r="D964" s="40">
        <f t="shared" si="84"/>
        <v>1</v>
      </c>
      <c r="E964" s="47" t="s">
        <v>1191</v>
      </c>
      <c r="F964" s="42" t="s">
        <v>60</v>
      </c>
      <c r="G964" s="17" t="s">
        <v>86</v>
      </c>
      <c r="H964" s="17">
        <v>71</v>
      </c>
      <c r="I964" s="17" t="str">
        <f t="shared" si="83"/>
        <v>AER 1_PE-71</v>
      </c>
      <c r="J964" s="18" t="s">
        <v>60</v>
      </c>
      <c r="K964" s="19"/>
      <c r="L964" s="19"/>
      <c r="M964" s="19"/>
      <c r="N964" s="19"/>
      <c r="O964" s="19"/>
      <c r="P964" s="19"/>
      <c r="Q964" s="77" t="str">
        <f>VLOOKUP(J964,'p1'!$B$2:$C$30,2,0)</f>
        <v>OLHAR DESENHO ESPECIFICO</v>
      </c>
      <c r="R964" s="94">
        <v>45976</v>
      </c>
      <c r="S964" s="90" t="s">
        <v>217</v>
      </c>
      <c r="T964" s="90">
        <f t="shared" si="85"/>
        <v>1</v>
      </c>
      <c r="U964" s="94">
        <v>45978</v>
      </c>
      <c r="V964" s="90" t="s">
        <v>86</v>
      </c>
      <c r="W964" s="92">
        <v>2651</v>
      </c>
      <c r="X964" s="93">
        <f t="shared" si="86"/>
        <v>1</v>
      </c>
      <c r="Y964" s="92"/>
      <c r="Z964" s="92"/>
      <c r="AA964" s="13" t="str">
        <f t="shared" si="87"/>
        <v>nov/2025</v>
      </c>
    </row>
    <row r="965" spans="1:27" x14ac:dyDescent="0.25">
      <c r="A965" s="89">
        <v>964</v>
      </c>
      <c r="B965" s="68">
        <v>45966</v>
      </c>
      <c r="C965" s="40">
        <v>138</v>
      </c>
      <c r="D965" s="40">
        <f t="shared" si="84"/>
        <v>1</v>
      </c>
      <c r="E965" s="47" t="s">
        <v>1191</v>
      </c>
      <c r="F965" s="42" t="s">
        <v>60</v>
      </c>
      <c r="G965" s="17" t="s">
        <v>86</v>
      </c>
      <c r="H965" s="17">
        <v>72</v>
      </c>
      <c r="I965" s="17" t="str">
        <f t="shared" si="83"/>
        <v>AER 1_PE-72</v>
      </c>
      <c r="J965" s="18" t="s">
        <v>60</v>
      </c>
      <c r="K965" s="19"/>
      <c r="L965" s="19"/>
      <c r="M965" s="19"/>
      <c r="N965" s="19"/>
      <c r="O965" s="19"/>
      <c r="P965" s="19"/>
      <c r="Q965" s="77" t="str">
        <f>VLOOKUP(J965,'p1'!$B$2:$C$30,2,0)</f>
        <v>OLHAR DESENHO ESPECIFICO</v>
      </c>
      <c r="R965" s="94">
        <v>45982</v>
      </c>
      <c r="S965" s="90" t="s">
        <v>217</v>
      </c>
      <c r="T965" s="90">
        <f t="shared" si="85"/>
        <v>1</v>
      </c>
      <c r="U965" s="94">
        <v>45982</v>
      </c>
      <c r="V965" s="90" t="s">
        <v>86</v>
      </c>
      <c r="W965" s="92">
        <v>2659</v>
      </c>
      <c r="X965" s="93">
        <f t="shared" si="86"/>
        <v>1</v>
      </c>
      <c r="Y965" s="92"/>
      <c r="Z965" s="92"/>
      <c r="AA965" s="13" t="str">
        <f t="shared" si="87"/>
        <v>nov/2025</v>
      </c>
    </row>
    <row r="966" spans="1:27" x14ac:dyDescent="0.25">
      <c r="A966" s="89">
        <v>965</v>
      </c>
      <c r="B966" s="68">
        <v>45955</v>
      </c>
      <c r="C966" s="40">
        <v>129</v>
      </c>
      <c r="D966" s="40">
        <f t="shared" si="84"/>
        <v>1</v>
      </c>
      <c r="E966" s="47" t="s">
        <v>1191</v>
      </c>
      <c r="F966" s="42" t="s">
        <v>123</v>
      </c>
      <c r="G966" s="17" t="s">
        <v>86</v>
      </c>
      <c r="H966" s="17">
        <v>73</v>
      </c>
      <c r="I966" s="17" t="str">
        <f t="shared" si="83"/>
        <v>AER 1_PNI-73</v>
      </c>
      <c r="J966" s="18" t="s">
        <v>123</v>
      </c>
      <c r="K966" s="19"/>
      <c r="L966" s="19"/>
      <c r="M966" s="19"/>
      <c r="N966" s="19"/>
      <c r="O966" s="19"/>
      <c r="P966" s="19"/>
      <c r="Q966" s="77" t="str">
        <f>VLOOKUP(J966,'p1'!$B$2:$C$30,2,0)</f>
        <v>02- 150X150 #3/8</v>
      </c>
      <c r="R966" s="94">
        <v>45975</v>
      </c>
      <c r="S966" s="90" t="s">
        <v>217</v>
      </c>
      <c r="T966" s="90">
        <f t="shared" si="85"/>
        <v>1</v>
      </c>
      <c r="U966" s="94">
        <v>45975</v>
      </c>
      <c r="V966" s="90" t="s">
        <v>86</v>
      </c>
      <c r="W966" s="92">
        <v>2643</v>
      </c>
      <c r="X966" s="93">
        <f t="shared" si="86"/>
        <v>1</v>
      </c>
      <c r="Y966" s="92"/>
      <c r="Z966" s="92"/>
      <c r="AA966" s="13" t="str">
        <f t="shared" si="87"/>
        <v>nov/2025</v>
      </c>
    </row>
    <row r="967" spans="1:27" x14ac:dyDescent="0.25">
      <c r="A967" s="89">
        <v>966</v>
      </c>
      <c r="B967" s="68">
        <v>45944</v>
      </c>
      <c r="C967" s="40">
        <v>118</v>
      </c>
      <c r="D967" s="40">
        <f t="shared" si="84"/>
        <v>1</v>
      </c>
      <c r="E967" s="47" t="s">
        <v>1191</v>
      </c>
      <c r="F967" s="42" t="s">
        <v>58</v>
      </c>
      <c r="G967" s="17" t="s">
        <v>86</v>
      </c>
      <c r="H967" s="17">
        <v>74</v>
      </c>
      <c r="I967" s="17" t="str">
        <f t="shared" si="83"/>
        <v>AER 1_PN-74</v>
      </c>
      <c r="J967" s="18" t="s">
        <v>85</v>
      </c>
      <c r="K967" s="19"/>
      <c r="L967" s="19"/>
      <c r="M967" s="19"/>
      <c r="N967" s="19"/>
      <c r="O967" s="19"/>
      <c r="P967" s="19"/>
      <c r="Q967" s="77" t="str">
        <f>VLOOKUP(J967,'p1'!$B$2:$C$30,2,0)</f>
        <v>NÃO TEM CHAPA</v>
      </c>
      <c r="R967" s="94">
        <v>45982</v>
      </c>
      <c r="S967" s="90" t="s">
        <v>217</v>
      </c>
      <c r="T967" s="90">
        <f t="shared" si="85"/>
        <v>1</v>
      </c>
      <c r="U967" s="94">
        <v>45985</v>
      </c>
      <c r="V967" s="90" t="s">
        <v>86</v>
      </c>
      <c r="W967" s="92">
        <v>2667</v>
      </c>
      <c r="X967" s="93">
        <f t="shared" si="86"/>
        <v>1</v>
      </c>
      <c r="Y967" s="92"/>
      <c r="Z967" s="92"/>
      <c r="AA967" s="13" t="str">
        <f t="shared" si="87"/>
        <v>nov/2025</v>
      </c>
    </row>
    <row r="968" spans="1:27" x14ac:dyDescent="0.25">
      <c r="A968" s="89">
        <v>967</v>
      </c>
      <c r="B968" s="68">
        <v>45944</v>
      </c>
      <c r="C968" s="40">
        <v>118</v>
      </c>
      <c r="D968" s="40">
        <f t="shared" si="84"/>
        <v>1</v>
      </c>
      <c r="E968" s="47" t="s">
        <v>1191</v>
      </c>
      <c r="F968" s="42" t="s">
        <v>58</v>
      </c>
      <c r="G968" s="17" t="s">
        <v>86</v>
      </c>
      <c r="H968" s="17">
        <v>75</v>
      </c>
      <c r="I968" s="17" t="str">
        <f t="shared" si="83"/>
        <v>AER 1_PN-75</v>
      </c>
      <c r="J968" s="18" t="s">
        <v>85</v>
      </c>
      <c r="K968" s="19"/>
      <c r="L968" s="19"/>
      <c r="M968" s="19"/>
      <c r="N968" s="19"/>
      <c r="O968" s="19"/>
      <c r="P968" s="19"/>
      <c r="Q968" s="77" t="str">
        <f>VLOOKUP(J968,'p1'!$B$2:$C$30,2,0)</f>
        <v>NÃO TEM CHAPA</v>
      </c>
      <c r="R968" s="94">
        <v>45958</v>
      </c>
      <c r="S968" s="90" t="s">
        <v>217</v>
      </c>
      <c r="T968" s="90">
        <f t="shared" si="85"/>
        <v>1</v>
      </c>
      <c r="U968" s="94">
        <v>45961</v>
      </c>
      <c r="V968" s="90" t="s">
        <v>86</v>
      </c>
      <c r="W968" s="92">
        <v>2609</v>
      </c>
      <c r="X968" s="93">
        <f t="shared" si="86"/>
        <v>1</v>
      </c>
      <c r="Y968" s="92"/>
      <c r="Z968" s="92"/>
      <c r="AA968" s="13" t="str">
        <f t="shared" si="87"/>
        <v>out/2025</v>
      </c>
    </row>
    <row r="969" spans="1:27" x14ac:dyDescent="0.25">
      <c r="A969" s="89">
        <v>968</v>
      </c>
      <c r="B969" s="68">
        <v>45944</v>
      </c>
      <c r="C969" s="40">
        <v>118</v>
      </c>
      <c r="D969" s="40">
        <f t="shared" si="84"/>
        <v>1</v>
      </c>
      <c r="E969" s="47" t="s">
        <v>1191</v>
      </c>
      <c r="F969" s="42" t="s">
        <v>58</v>
      </c>
      <c r="G969" s="17" t="s">
        <v>86</v>
      </c>
      <c r="H969" s="17">
        <v>76</v>
      </c>
      <c r="I969" s="17" t="str">
        <f t="shared" si="83"/>
        <v>AER 1_PN-76</v>
      </c>
      <c r="J969" s="18" t="s">
        <v>85</v>
      </c>
      <c r="K969" s="19"/>
      <c r="L969" s="19"/>
      <c r="M969" s="19"/>
      <c r="N969" s="19"/>
      <c r="O969" s="19"/>
      <c r="P969" s="19"/>
      <c r="Q969" s="77" t="str">
        <f>VLOOKUP(J969,'p1'!$B$2:$C$30,2,0)</f>
        <v>NÃO TEM CHAPA</v>
      </c>
      <c r="R969" s="94">
        <v>45973</v>
      </c>
      <c r="S969" s="90" t="s">
        <v>217</v>
      </c>
      <c r="T969" s="90">
        <f t="shared" si="85"/>
        <v>1</v>
      </c>
      <c r="U969" s="94">
        <v>45975</v>
      </c>
      <c r="V969" s="90" t="s">
        <v>86</v>
      </c>
      <c r="W969" s="92">
        <v>2644</v>
      </c>
      <c r="X969" s="93">
        <f t="shared" si="86"/>
        <v>1</v>
      </c>
      <c r="Y969" s="92"/>
      <c r="Z969" s="92"/>
      <c r="AA969" s="13" t="str">
        <f t="shared" si="87"/>
        <v>nov/2025</v>
      </c>
    </row>
    <row r="970" spans="1:27" x14ac:dyDescent="0.25">
      <c r="A970" s="89">
        <v>969</v>
      </c>
      <c r="B970" s="68">
        <v>45944</v>
      </c>
      <c r="C970" s="40">
        <v>118</v>
      </c>
      <c r="D970" s="40">
        <f t="shared" si="84"/>
        <v>1</v>
      </c>
      <c r="E970" s="47" t="s">
        <v>1191</v>
      </c>
      <c r="F970" s="42" t="s">
        <v>58</v>
      </c>
      <c r="G970" s="17" t="s">
        <v>86</v>
      </c>
      <c r="H970" s="17">
        <v>77</v>
      </c>
      <c r="I970" s="17" t="str">
        <f t="shared" si="83"/>
        <v>AER 1_PN-77</v>
      </c>
      <c r="J970" s="18" t="s">
        <v>85</v>
      </c>
      <c r="K970" s="19"/>
      <c r="L970" s="19"/>
      <c r="M970" s="19"/>
      <c r="N970" s="19"/>
      <c r="O970" s="19"/>
      <c r="P970" s="19"/>
      <c r="Q970" s="77" t="str">
        <f>VLOOKUP(J970,'p1'!$B$2:$C$30,2,0)</f>
        <v>NÃO TEM CHAPA</v>
      </c>
      <c r="R970" s="94">
        <v>45982</v>
      </c>
      <c r="S970" s="90" t="s">
        <v>217</v>
      </c>
      <c r="T970" s="90">
        <f t="shared" si="85"/>
        <v>1</v>
      </c>
      <c r="U970" s="94">
        <v>45985</v>
      </c>
      <c r="V970" s="90" t="s">
        <v>86</v>
      </c>
      <c r="W970" s="92">
        <v>2667</v>
      </c>
      <c r="X970" s="93">
        <f t="shared" si="86"/>
        <v>1</v>
      </c>
      <c r="Y970" s="92"/>
      <c r="Z970" s="92"/>
      <c r="AA970" s="13" t="str">
        <f t="shared" si="87"/>
        <v>nov/2025</v>
      </c>
    </row>
    <row r="971" spans="1:27" x14ac:dyDescent="0.25">
      <c r="A971" s="89">
        <v>970</v>
      </c>
      <c r="B971" s="68">
        <v>45947</v>
      </c>
      <c r="C971" s="40">
        <v>122</v>
      </c>
      <c r="D971" s="40">
        <f t="shared" si="84"/>
        <v>1</v>
      </c>
      <c r="E971" s="47" t="s">
        <v>1191</v>
      </c>
      <c r="F971" s="42" t="s">
        <v>58</v>
      </c>
      <c r="G971" s="17" t="s">
        <v>86</v>
      </c>
      <c r="H971" s="17">
        <v>78</v>
      </c>
      <c r="I971" s="17" t="str">
        <f t="shared" si="83"/>
        <v>AER 1_PN-78</v>
      </c>
      <c r="J971" s="18" t="s">
        <v>85</v>
      </c>
      <c r="K971" s="19"/>
      <c r="L971" s="19"/>
      <c r="M971" s="19"/>
      <c r="N971" s="19"/>
      <c r="O971" s="19"/>
      <c r="P971" s="19"/>
      <c r="Q971" s="77" t="str">
        <f>VLOOKUP(J971,'p1'!$B$2:$C$30,2,0)</f>
        <v>NÃO TEM CHAPA</v>
      </c>
      <c r="R971" s="94">
        <v>45952</v>
      </c>
      <c r="S971" s="90" t="s">
        <v>217</v>
      </c>
      <c r="T971" s="90">
        <f t="shared" si="85"/>
        <v>1</v>
      </c>
      <c r="U971" s="94">
        <v>45953</v>
      </c>
      <c r="V971" s="90" t="s">
        <v>86</v>
      </c>
      <c r="W971" s="92">
        <v>2596</v>
      </c>
      <c r="X971" s="93">
        <f t="shared" si="86"/>
        <v>1</v>
      </c>
      <c r="Y971" s="92"/>
      <c r="Z971" s="92"/>
      <c r="AA971" s="13" t="str">
        <f t="shared" si="87"/>
        <v>out/2025</v>
      </c>
    </row>
    <row r="972" spans="1:27" x14ac:dyDescent="0.25">
      <c r="A972" s="89">
        <v>971</v>
      </c>
      <c r="B972" s="68">
        <v>45955</v>
      </c>
      <c r="C972" s="40">
        <v>129</v>
      </c>
      <c r="D972" s="40">
        <f t="shared" si="84"/>
        <v>1</v>
      </c>
      <c r="E972" s="47" t="s">
        <v>1191</v>
      </c>
      <c r="F972" s="42" t="s">
        <v>123</v>
      </c>
      <c r="G972" s="17" t="s">
        <v>86</v>
      </c>
      <c r="H972" s="17">
        <v>79</v>
      </c>
      <c r="I972" s="17" t="str">
        <f t="shared" si="83"/>
        <v>AER 1_PNI-79</v>
      </c>
      <c r="J972" s="18" t="s">
        <v>123</v>
      </c>
      <c r="K972" s="19"/>
      <c r="L972" s="19"/>
      <c r="M972" s="19"/>
      <c r="N972" s="19"/>
      <c r="O972" s="19"/>
      <c r="P972" s="19"/>
      <c r="Q972" s="77" t="str">
        <f>VLOOKUP(J972,'p1'!$B$2:$C$30,2,0)</f>
        <v>02- 150X150 #3/8</v>
      </c>
      <c r="R972" s="94">
        <v>45975</v>
      </c>
      <c r="S972" s="90" t="s">
        <v>217</v>
      </c>
      <c r="T972" s="90">
        <f t="shared" si="85"/>
        <v>1</v>
      </c>
      <c r="U972" s="94">
        <v>45975</v>
      </c>
      <c r="V972" s="90" t="s">
        <v>86</v>
      </c>
      <c r="W972" s="92">
        <v>2643</v>
      </c>
      <c r="X972" s="93">
        <f t="shared" si="86"/>
        <v>1</v>
      </c>
      <c r="Y972" s="92"/>
      <c r="Z972" s="92"/>
      <c r="AA972" s="13" t="str">
        <f t="shared" si="87"/>
        <v>nov/2025</v>
      </c>
    </row>
    <row r="973" spans="1:27" x14ac:dyDescent="0.25">
      <c r="A973" s="89">
        <v>972</v>
      </c>
      <c r="B973" s="68">
        <v>45947</v>
      </c>
      <c r="C973" s="40">
        <v>122</v>
      </c>
      <c r="D973" s="40">
        <f t="shared" si="84"/>
        <v>1</v>
      </c>
      <c r="E973" s="47" t="s">
        <v>1191</v>
      </c>
      <c r="F973" s="42" t="s">
        <v>58</v>
      </c>
      <c r="G973" s="17" t="s">
        <v>86</v>
      </c>
      <c r="H973" s="17">
        <v>80</v>
      </c>
      <c r="I973" s="17" t="str">
        <f t="shared" si="83"/>
        <v>AER 1_PN-80</v>
      </c>
      <c r="J973" s="18" t="s">
        <v>85</v>
      </c>
      <c r="K973" s="19"/>
      <c r="L973" s="19"/>
      <c r="M973" s="19"/>
      <c r="N973" s="19"/>
      <c r="O973" s="19"/>
      <c r="P973" s="19"/>
      <c r="Q973" s="77" t="str">
        <f>VLOOKUP(J973,'p1'!$B$2:$C$30,2,0)</f>
        <v>NÃO TEM CHAPA</v>
      </c>
      <c r="R973" s="94">
        <v>45959</v>
      </c>
      <c r="S973" s="90" t="s">
        <v>217</v>
      </c>
      <c r="T973" s="90">
        <f t="shared" si="85"/>
        <v>1</v>
      </c>
      <c r="U973" s="94">
        <v>45961</v>
      </c>
      <c r="V973" s="90" t="s">
        <v>86</v>
      </c>
      <c r="W973" s="92">
        <v>2611</v>
      </c>
      <c r="X973" s="93">
        <f t="shared" si="86"/>
        <v>1</v>
      </c>
      <c r="Y973" s="92"/>
      <c r="Z973" s="92"/>
      <c r="AA973" s="13" t="str">
        <f t="shared" si="87"/>
        <v>out/2025</v>
      </c>
    </row>
    <row r="974" spans="1:27" x14ac:dyDescent="0.25">
      <c r="A974" s="89">
        <v>973</v>
      </c>
      <c r="B974" s="68">
        <v>45947</v>
      </c>
      <c r="C974" s="40">
        <v>122</v>
      </c>
      <c r="D974" s="40">
        <f t="shared" si="84"/>
        <v>1</v>
      </c>
      <c r="E974" s="47" t="s">
        <v>1191</v>
      </c>
      <c r="F974" s="42" t="s">
        <v>58</v>
      </c>
      <c r="G974" s="17" t="s">
        <v>86</v>
      </c>
      <c r="H974" s="17">
        <v>81</v>
      </c>
      <c r="I974" s="17" t="str">
        <f t="shared" si="83"/>
        <v>AER 1_PN-81</v>
      </c>
      <c r="J974" s="18" t="s">
        <v>85</v>
      </c>
      <c r="K974" s="19"/>
      <c r="L974" s="19"/>
      <c r="M974" s="19"/>
      <c r="N974" s="19"/>
      <c r="O974" s="19"/>
      <c r="P974" s="19"/>
      <c r="Q974" s="77" t="str">
        <f>VLOOKUP(J974,'p1'!$B$2:$C$30,2,0)</f>
        <v>NÃO TEM CHAPA</v>
      </c>
      <c r="R974" s="94">
        <v>45930</v>
      </c>
      <c r="S974" s="90" t="s">
        <v>217</v>
      </c>
      <c r="T974" s="90">
        <f t="shared" si="85"/>
        <v>1</v>
      </c>
      <c r="U974" s="94">
        <v>45960</v>
      </c>
      <c r="V974" s="90" t="s">
        <v>86</v>
      </c>
      <c r="W974" s="92">
        <v>2606</v>
      </c>
      <c r="X974" s="93">
        <f t="shared" si="86"/>
        <v>1</v>
      </c>
      <c r="Y974" s="92"/>
      <c r="Z974" s="92"/>
      <c r="AA974" s="13" t="str">
        <f t="shared" si="87"/>
        <v>set/2025</v>
      </c>
    </row>
    <row r="975" spans="1:27" x14ac:dyDescent="0.25">
      <c r="A975" s="89">
        <v>974</v>
      </c>
      <c r="B975" s="68">
        <v>45950</v>
      </c>
      <c r="C975" s="40">
        <v>124</v>
      </c>
      <c r="D975" s="40">
        <f t="shared" si="84"/>
        <v>1</v>
      </c>
      <c r="E975" s="47" t="s">
        <v>1191</v>
      </c>
      <c r="F975" s="42" t="s">
        <v>58</v>
      </c>
      <c r="G975" s="17" t="s">
        <v>86</v>
      </c>
      <c r="H975" s="17">
        <v>82</v>
      </c>
      <c r="I975" s="17" t="str">
        <f t="shared" si="83"/>
        <v>AER 1_PN-82</v>
      </c>
      <c r="J975" s="18" t="s">
        <v>85</v>
      </c>
      <c r="K975" s="19"/>
      <c r="L975" s="19"/>
      <c r="M975" s="19"/>
      <c r="N975" s="19"/>
      <c r="O975" s="19"/>
      <c r="P975" s="19"/>
      <c r="Q975" s="77" t="str">
        <f>VLOOKUP(J975,'p1'!$B$2:$C$30,2,0)</f>
        <v>NÃO TEM CHAPA</v>
      </c>
      <c r="R975" s="94">
        <v>45954</v>
      </c>
      <c r="S975" s="90" t="s">
        <v>217</v>
      </c>
      <c r="T975" s="90">
        <f t="shared" si="85"/>
        <v>1</v>
      </c>
      <c r="U975" s="94">
        <v>45973</v>
      </c>
      <c r="V975" s="90" t="s">
        <v>86</v>
      </c>
      <c r="W975" s="92">
        <v>2637</v>
      </c>
      <c r="X975" s="93">
        <f t="shared" si="86"/>
        <v>1</v>
      </c>
      <c r="Y975" s="92"/>
      <c r="Z975" s="92"/>
      <c r="AA975" s="13" t="str">
        <f t="shared" si="87"/>
        <v>out/2025</v>
      </c>
    </row>
    <row r="976" spans="1:27" x14ac:dyDescent="0.25">
      <c r="A976" s="89">
        <v>975</v>
      </c>
      <c r="B976" s="68">
        <v>45950</v>
      </c>
      <c r="C976" s="40">
        <v>124</v>
      </c>
      <c r="D976" s="40">
        <f t="shared" si="84"/>
        <v>1</v>
      </c>
      <c r="E976" s="47" t="s">
        <v>1191</v>
      </c>
      <c r="F976" s="42" t="s">
        <v>58</v>
      </c>
      <c r="G976" s="17" t="s">
        <v>86</v>
      </c>
      <c r="H976" s="17">
        <v>83</v>
      </c>
      <c r="I976" s="17" t="str">
        <f t="shared" si="83"/>
        <v>AER 1_PN-83</v>
      </c>
      <c r="J976" s="18" t="s">
        <v>85</v>
      </c>
      <c r="K976" s="19"/>
      <c r="L976" s="19"/>
      <c r="M976" s="19"/>
      <c r="N976" s="19"/>
      <c r="O976" s="19"/>
      <c r="P976" s="19"/>
      <c r="Q976" s="77" t="str">
        <f>VLOOKUP(J976,'p1'!$B$2:$C$30,2,0)</f>
        <v>NÃO TEM CHAPA</v>
      </c>
      <c r="R976" s="94">
        <v>45953</v>
      </c>
      <c r="S976" s="90" t="s">
        <v>217</v>
      </c>
      <c r="T976" s="90">
        <f t="shared" si="85"/>
        <v>1</v>
      </c>
      <c r="U976" s="94">
        <v>45973</v>
      </c>
      <c r="V976" s="90" t="s">
        <v>86</v>
      </c>
      <c r="W976" s="92">
        <v>2636</v>
      </c>
      <c r="X976" s="93">
        <f t="shared" si="86"/>
        <v>1</v>
      </c>
      <c r="Y976" s="92"/>
      <c r="Z976" s="92"/>
      <c r="AA976" s="13" t="str">
        <f t="shared" si="87"/>
        <v>out/2025</v>
      </c>
    </row>
    <row r="977" spans="1:27" x14ac:dyDescent="0.25">
      <c r="A977" s="89">
        <v>976</v>
      </c>
      <c r="B977" s="68">
        <v>45950</v>
      </c>
      <c r="C977" s="40">
        <v>124</v>
      </c>
      <c r="D977" s="40">
        <f t="shared" si="84"/>
        <v>1</v>
      </c>
      <c r="E977" s="47" t="s">
        <v>1191</v>
      </c>
      <c r="F977" s="42" t="s">
        <v>58</v>
      </c>
      <c r="G977" s="17" t="s">
        <v>86</v>
      </c>
      <c r="H977" s="17">
        <v>84</v>
      </c>
      <c r="I977" s="17" t="str">
        <f t="shared" si="83"/>
        <v>AER 1_PN-84</v>
      </c>
      <c r="J977" s="18" t="s">
        <v>85</v>
      </c>
      <c r="K977" s="19"/>
      <c r="L977" s="19"/>
      <c r="M977" s="19"/>
      <c r="N977" s="19"/>
      <c r="O977" s="19"/>
      <c r="P977" s="19"/>
      <c r="Q977" s="77" t="str">
        <f>VLOOKUP(J977,'p1'!$B$2:$C$30,2,0)</f>
        <v>NÃO TEM CHAPA</v>
      </c>
      <c r="R977" s="94">
        <v>45953</v>
      </c>
      <c r="S977" s="90" t="s">
        <v>217</v>
      </c>
      <c r="T977" s="90">
        <f t="shared" si="85"/>
        <v>1</v>
      </c>
      <c r="U977" s="94">
        <v>45973</v>
      </c>
      <c r="V977" s="90" t="s">
        <v>86</v>
      </c>
      <c r="W977" s="92">
        <v>2636</v>
      </c>
      <c r="X977" s="93">
        <f t="shared" si="86"/>
        <v>1</v>
      </c>
      <c r="Y977" s="92"/>
      <c r="Z977" s="92"/>
      <c r="AA977" s="13" t="str">
        <f t="shared" si="87"/>
        <v>out/2025</v>
      </c>
    </row>
    <row r="978" spans="1:27" x14ac:dyDescent="0.25">
      <c r="A978" s="89">
        <v>977</v>
      </c>
      <c r="B978" s="68">
        <v>45958</v>
      </c>
      <c r="C978" s="40">
        <v>132</v>
      </c>
      <c r="D978" s="40">
        <f t="shared" si="84"/>
        <v>1</v>
      </c>
      <c r="E978" s="47" t="s">
        <v>1191</v>
      </c>
      <c r="F978" s="42" t="s">
        <v>123</v>
      </c>
      <c r="G978" s="17" t="s">
        <v>86</v>
      </c>
      <c r="H978" s="17">
        <v>85</v>
      </c>
      <c r="I978" s="17" t="str">
        <f t="shared" si="83"/>
        <v>AER 1_PNI-85</v>
      </c>
      <c r="J978" s="18" t="s">
        <v>123</v>
      </c>
      <c r="K978" s="19"/>
      <c r="L978" s="19"/>
      <c r="M978" s="19"/>
      <c r="N978" s="19"/>
      <c r="O978" s="19"/>
      <c r="P978" s="19"/>
      <c r="Q978" s="77" t="str">
        <f>VLOOKUP(J978,'p1'!$B$2:$C$30,2,0)</f>
        <v>02- 150X150 #3/8</v>
      </c>
      <c r="R978" s="94">
        <v>45971</v>
      </c>
      <c r="S978" s="90" t="s">
        <v>217</v>
      </c>
      <c r="T978" s="90">
        <f t="shared" si="85"/>
        <v>1</v>
      </c>
      <c r="U978" s="94">
        <v>45971</v>
      </c>
      <c r="V978" s="90" t="s">
        <v>86</v>
      </c>
      <c r="W978" s="92">
        <v>2628</v>
      </c>
      <c r="X978" s="93">
        <f t="shared" si="86"/>
        <v>1</v>
      </c>
      <c r="Y978" s="92"/>
      <c r="Z978" s="92"/>
      <c r="AA978" s="13" t="str">
        <f t="shared" si="87"/>
        <v>nov/2025</v>
      </c>
    </row>
    <row r="979" spans="1:27" x14ac:dyDescent="0.25">
      <c r="A979" s="89">
        <v>978</v>
      </c>
      <c r="B979" s="68">
        <v>45952</v>
      </c>
      <c r="C979" s="40">
        <v>126</v>
      </c>
      <c r="D979" s="40">
        <f t="shared" si="84"/>
        <v>1</v>
      </c>
      <c r="E979" s="47" t="s">
        <v>1191</v>
      </c>
      <c r="F979" s="42" t="s">
        <v>58</v>
      </c>
      <c r="G979" s="17" t="s">
        <v>86</v>
      </c>
      <c r="H979" s="17">
        <v>86</v>
      </c>
      <c r="I979" s="17" t="str">
        <f t="shared" si="83"/>
        <v>AER 1_PN-86</v>
      </c>
      <c r="J979" s="18" t="s">
        <v>85</v>
      </c>
      <c r="K979" s="19"/>
      <c r="L979" s="19"/>
      <c r="M979" s="19"/>
      <c r="N979" s="19"/>
      <c r="O979" s="19"/>
      <c r="P979" s="19"/>
      <c r="Q979" s="77" t="str">
        <f>VLOOKUP(J979,'p1'!$B$2:$C$30,2,0)</f>
        <v>NÃO TEM CHAPA</v>
      </c>
      <c r="R979" s="94">
        <v>45967</v>
      </c>
      <c r="S979" s="90" t="s">
        <v>217</v>
      </c>
      <c r="T979" s="90">
        <f t="shared" ref="T979:T987" si="88">IF(R979="",0,1)</f>
        <v>1</v>
      </c>
      <c r="U979" s="94">
        <v>45972</v>
      </c>
      <c r="V979" s="90" t="s">
        <v>86</v>
      </c>
      <c r="W979" s="92">
        <v>2632</v>
      </c>
      <c r="X979" s="93">
        <f t="shared" si="86"/>
        <v>1</v>
      </c>
      <c r="Y979" s="92"/>
      <c r="Z979" s="92"/>
      <c r="AA979" s="13" t="str">
        <f t="shared" si="87"/>
        <v>nov/2025</v>
      </c>
    </row>
    <row r="980" spans="1:27" x14ac:dyDescent="0.25">
      <c r="A980" s="89">
        <v>979</v>
      </c>
      <c r="B980" s="68">
        <v>45986</v>
      </c>
      <c r="C980" s="40">
        <v>155</v>
      </c>
      <c r="D980" s="40">
        <f t="shared" si="84"/>
        <v>1</v>
      </c>
      <c r="E980" s="47" t="s">
        <v>1191</v>
      </c>
      <c r="F980" s="42" t="s">
        <v>61</v>
      </c>
      <c r="G980" s="17" t="s">
        <v>86</v>
      </c>
      <c r="H980" s="17">
        <v>87</v>
      </c>
      <c r="I980" s="17" t="str">
        <f t="shared" si="83"/>
        <v>AER 1_PF-87</v>
      </c>
      <c r="J980" s="18" t="s">
        <v>61</v>
      </c>
      <c r="K980" s="19"/>
      <c r="L980" s="19"/>
      <c r="M980" s="19"/>
      <c r="N980" s="19"/>
      <c r="O980" s="19"/>
      <c r="P980" s="19"/>
      <c r="Q980" s="77" t="str">
        <f>VLOOKUP(J980,'p1'!$B$2:$C$30,2,0)</f>
        <v>SEM CHAPA</v>
      </c>
      <c r="R980" s="94">
        <v>45992</v>
      </c>
      <c r="S980" s="90" t="s">
        <v>217</v>
      </c>
      <c r="T980" s="90">
        <f t="shared" si="88"/>
        <v>1</v>
      </c>
      <c r="U980" s="94">
        <v>45994</v>
      </c>
      <c r="V980" s="90" t="s">
        <v>86</v>
      </c>
      <c r="W980" s="92">
        <v>2690</v>
      </c>
      <c r="X980" s="93">
        <f t="shared" si="86"/>
        <v>1</v>
      </c>
      <c r="Y980" s="92"/>
      <c r="Z980" s="92"/>
      <c r="AA980" s="13" t="str">
        <f t="shared" si="87"/>
        <v>dez/2025</v>
      </c>
    </row>
    <row r="981" spans="1:27" x14ac:dyDescent="0.25">
      <c r="A981" s="89">
        <v>980</v>
      </c>
      <c r="B981" s="68">
        <v>45952</v>
      </c>
      <c r="C981" s="40">
        <v>126</v>
      </c>
      <c r="D981" s="40">
        <f t="shared" si="84"/>
        <v>1</v>
      </c>
      <c r="E981" s="47" t="s">
        <v>1191</v>
      </c>
      <c r="F981" s="42" t="s">
        <v>58</v>
      </c>
      <c r="G981" s="17" t="s">
        <v>86</v>
      </c>
      <c r="H981" s="17">
        <v>88</v>
      </c>
      <c r="I981" s="17" t="str">
        <f t="shared" si="83"/>
        <v>AER 1_PN-88</v>
      </c>
      <c r="J981" s="18" t="s">
        <v>85</v>
      </c>
      <c r="K981" s="19"/>
      <c r="L981" s="19"/>
      <c r="M981" s="19"/>
      <c r="N981" s="19"/>
      <c r="O981" s="19"/>
      <c r="P981" s="19"/>
      <c r="Q981" s="77" t="str">
        <f>VLOOKUP(J981,'p1'!$B$2:$C$30,2,0)</f>
        <v>NÃO TEM CHAPA</v>
      </c>
      <c r="R981" s="94">
        <v>45967</v>
      </c>
      <c r="S981" s="90" t="s">
        <v>217</v>
      </c>
      <c r="T981" s="90">
        <f t="shared" si="88"/>
        <v>1</v>
      </c>
      <c r="U981" s="94">
        <v>45971</v>
      </c>
      <c r="V981" s="90" t="s">
        <v>86</v>
      </c>
      <c r="W981" s="92">
        <v>2631</v>
      </c>
      <c r="X981" s="93">
        <f t="shared" si="86"/>
        <v>1</v>
      </c>
      <c r="Y981" s="92"/>
      <c r="Z981" s="92"/>
      <c r="AA981" s="13" t="str">
        <f t="shared" si="87"/>
        <v>nov/2025</v>
      </c>
    </row>
    <row r="982" spans="1:27" x14ac:dyDescent="0.25">
      <c r="A982" s="89">
        <v>981</v>
      </c>
      <c r="B982" s="68">
        <v>45952</v>
      </c>
      <c r="C982" s="40">
        <v>126</v>
      </c>
      <c r="D982" s="40">
        <f t="shared" si="84"/>
        <v>1</v>
      </c>
      <c r="E982" s="47" t="s">
        <v>1191</v>
      </c>
      <c r="F982" s="42" t="s">
        <v>58</v>
      </c>
      <c r="G982" s="17" t="s">
        <v>86</v>
      </c>
      <c r="H982" s="17">
        <v>89</v>
      </c>
      <c r="I982" s="17" t="str">
        <f t="shared" si="83"/>
        <v>AER 1_PN-89</v>
      </c>
      <c r="J982" s="18" t="s">
        <v>85</v>
      </c>
      <c r="K982" s="19"/>
      <c r="L982" s="19"/>
      <c r="M982" s="19"/>
      <c r="N982" s="19"/>
      <c r="O982" s="19"/>
      <c r="P982" s="19"/>
      <c r="Q982" s="77" t="str">
        <f>VLOOKUP(J982,'p1'!$B$2:$C$30,2,0)</f>
        <v>NÃO TEM CHAPA</v>
      </c>
      <c r="R982" s="94">
        <v>45966</v>
      </c>
      <c r="S982" s="90" t="s">
        <v>217</v>
      </c>
      <c r="T982" s="90">
        <f t="shared" si="88"/>
        <v>1</v>
      </c>
      <c r="U982" s="94">
        <v>45972</v>
      </c>
      <c r="V982" s="90" t="s">
        <v>86</v>
      </c>
      <c r="W982" s="92">
        <v>2634</v>
      </c>
      <c r="X982" s="93">
        <f t="shared" si="86"/>
        <v>1</v>
      </c>
      <c r="Y982" s="92"/>
      <c r="Z982" s="92"/>
      <c r="AA982" s="13" t="str">
        <f t="shared" si="87"/>
        <v>nov/2025</v>
      </c>
    </row>
    <row r="983" spans="1:27" x14ac:dyDescent="0.25">
      <c r="A983" s="89">
        <v>982</v>
      </c>
      <c r="B983" s="68">
        <v>45955</v>
      </c>
      <c r="C983" s="40">
        <v>129</v>
      </c>
      <c r="D983" s="40">
        <f t="shared" si="84"/>
        <v>1</v>
      </c>
      <c r="E983" s="47" t="s">
        <v>1191</v>
      </c>
      <c r="F983" s="42" t="s">
        <v>58</v>
      </c>
      <c r="G983" s="17" t="s">
        <v>86</v>
      </c>
      <c r="H983" s="17">
        <v>90</v>
      </c>
      <c r="I983" s="17" t="str">
        <f t="shared" si="83"/>
        <v>AER 1_PN-90</v>
      </c>
      <c r="J983" s="18" t="s">
        <v>85</v>
      </c>
      <c r="K983" s="19"/>
      <c r="L983" s="19"/>
      <c r="M983" s="19"/>
      <c r="N983" s="19"/>
      <c r="O983" s="19"/>
      <c r="P983" s="19"/>
      <c r="Q983" s="77" t="str">
        <f>VLOOKUP(J983,'p1'!$B$2:$C$30,2,0)</f>
        <v>NÃO TEM CHAPA</v>
      </c>
      <c r="R983" s="94">
        <v>45965</v>
      </c>
      <c r="S983" s="90" t="s">
        <v>217</v>
      </c>
      <c r="T983" s="90">
        <f t="shared" si="88"/>
        <v>1</v>
      </c>
      <c r="U983" s="94">
        <v>45966</v>
      </c>
      <c r="V983" s="90" t="s">
        <v>86</v>
      </c>
      <c r="W983" s="92">
        <v>2622</v>
      </c>
      <c r="X983" s="93">
        <f t="shared" si="86"/>
        <v>1</v>
      </c>
      <c r="Y983" s="92"/>
      <c r="Z983" s="92"/>
      <c r="AA983" s="13" t="str">
        <f t="shared" si="87"/>
        <v>nov/2025</v>
      </c>
    </row>
    <row r="984" spans="1:27" x14ac:dyDescent="0.25">
      <c r="A984" s="89">
        <v>983</v>
      </c>
      <c r="B984" s="68">
        <v>45958</v>
      </c>
      <c r="C984" s="40">
        <v>132</v>
      </c>
      <c r="D984" s="40">
        <f t="shared" si="84"/>
        <v>1</v>
      </c>
      <c r="E984" s="47" t="s">
        <v>1191</v>
      </c>
      <c r="F984" s="42" t="s">
        <v>123</v>
      </c>
      <c r="G984" s="17" t="s">
        <v>86</v>
      </c>
      <c r="H984" s="17">
        <v>91</v>
      </c>
      <c r="I984" s="17" t="str">
        <f t="shared" si="83"/>
        <v>AER 1_PNI-91</v>
      </c>
      <c r="J984" s="18" t="s">
        <v>123</v>
      </c>
      <c r="K984" s="19"/>
      <c r="L984" s="19"/>
      <c r="M984" s="19"/>
      <c r="N984" s="19"/>
      <c r="O984" s="19"/>
      <c r="P984" s="19"/>
      <c r="Q984" s="77" t="str">
        <f>VLOOKUP(J984,'p1'!$B$2:$C$30,2,0)</f>
        <v>02- 150X150 #3/8</v>
      </c>
      <c r="R984" s="94">
        <v>45971</v>
      </c>
      <c r="S984" s="90" t="s">
        <v>217</v>
      </c>
      <c r="T984" s="90">
        <f t="shared" si="88"/>
        <v>1</v>
      </c>
      <c r="U984" s="94">
        <v>45971</v>
      </c>
      <c r="V984" s="90" t="s">
        <v>86</v>
      </c>
      <c r="W984" s="92">
        <v>2629</v>
      </c>
      <c r="X984" s="93">
        <f t="shared" si="86"/>
        <v>1</v>
      </c>
      <c r="Y984" s="92"/>
      <c r="Z984" s="92"/>
      <c r="AA984" s="13" t="str">
        <f t="shared" si="87"/>
        <v>nov/2025</v>
      </c>
    </row>
    <row r="985" spans="1:27" x14ac:dyDescent="0.25">
      <c r="A985" s="89">
        <v>984</v>
      </c>
      <c r="B985" s="68">
        <v>45955</v>
      </c>
      <c r="C985" s="40">
        <v>129</v>
      </c>
      <c r="D985" s="40">
        <f t="shared" si="84"/>
        <v>1</v>
      </c>
      <c r="E985" s="47" t="s">
        <v>1191</v>
      </c>
      <c r="F985" s="42" t="s">
        <v>58</v>
      </c>
      <c r="G985" s="17" t="s">
        <v>86</v>
      </c>
      <c r="H985" s="17">
        <v>92</v>
      </c>
      <c r="I985" s="17" t="str">
        <f t="shared" si="83"/>
        <v>AER 1_PN-92</v>
      </c>
      <c r="J985" s="18" t="s">
        <v>85</v>
      </c>
      <c r="K985" s="19"/>
      <c r="L985" s="19"/>
      <c r="M985" s="19"/>
      <c r="N985" s="19"/>
      <c r="O985" s="19"/>
      <c r="P985" s="19"/>
      <c r="Q985" s="77" t="str">
        <f>VLOOKUP(J985,'p1'!$B$2:$C$30,2,0)</f>
        <v>NÃO TEM CHAPA</v>
      </c>
      <c r="R985" s="94">
        <v>45966</v>
      </c>
      <c r="S985" s="90" t="s">
        <v>217</v>
      </c>
      <c r="T985" s="90">
        <f t="shared" si="88"/>
        <v>1</v>
      </c>
      <c r="U985" s="94">
        <v>45972</v>
      </c>
      <c r="V985" s="90" t="s">
        <v>86</v>
      </c>
      <c r="W985" s="92">
        <v>2632</v>
      </c>
      <c r="X985" s="93">
        <f t="shared" si="86"/>
        <v>1</v>
      </c>
      <c r="Y985" s="92"/>
      <c r="Z985" s="92"/>
      <c r="AA985" s="13" t="str">
        <f t="shared" si="87"/>
        <v>nov/2025</v>
      </c>
    </row>
    <row r="986" spans="1:27" x14ac:dyDescent="0.25">
      <c r="A986" s="89">
        <v>985</v>
      </c>
      <c r="B986" s="68">
        <v>45958</v>
      </c>
      <c r="C986" s="40">
        <v>132</v>
      </c>
      <c r="D986" s="40">
        <f t="shared" si="84"/>
        <v>1</v>
      </c>
      <c r="E986" s="47" t="s">
        <v>1191</v>
      </c>
      <c r="F986" s="42" t="s">
        <v>58</v>
      </c>
      <c r="G986" s="17" t="s">
        <v>86</v>
      </c>
      <c r="H986" s="17">
        <v>93</v>
      </c>
      <c r="I986" s="17" t="str">
        <f t="shared" si="83"/>
        <v>AER 1_PN-93</v>
      </c>
      <c r="J986" s="18" t="s">
        <v>85</v>
      </c>
      <c r="K986" s="19"/>
      <c r="L986" s="19"/>
      <c r="M986" s="19"/>
      <c r="N986" s="19"/>
      <c r="O986" s="19"/>
      <c r="P986" s="19"/>
      <c r="Q986" s="77" t="str">
        <f>VLOOKUP(J986,'p1'!$B$2:$C$30,2,0)</f>
        <v>NÃO TEM CHAPA</v>
      </c>
      <c r="R986" s="94">
        <v>45972</v>
      </c>
      <c r="S986" s="90" t="s">
        <v>217</v>
      </c>
      <c r="T986" s="90">
        <f t="shared" si="88"/>
        <v>1</v>
      </c>
      <c r="U986" s="94">
        <v>45972</v>
      </c>
      <c r="V986" s="90" t="s">
        <v>86</v>
      </c>
      <c r="W986" s="92">
        <v>2635</v>
      </c>
      <c r="X986" s="93">
        <f t="shared" si="86"/>
        <v>1</v>
      </c>
      <c r="Y986" s="92"/>
      <c r="Z986" s="92"/>
      <c r="AA986" s="13" t="str">
        <f t="shared" si="87"/>
        <v>nov/2025</v>
      </c>
    </row>
    <row r="987" spans="1:27" x14ac:dyDescent="0.25">
      <c r="A987" s="89">
        <v>986</v>
      </c>
      <c r="B987" s="68">
        <v>45958</v>
      </c>
      <c r="C987" s="40">
        <v>132</v>
      </c>
      <c r="D987" s="40">
        <f t="shared" si="84"/>
        <v>1</v>
      </c>
      <c r="E987" s="47" t="s">
        <v>1191</v>
      </c>
      <c r="F987" s="42" t="s">
        <v>58</v>
      </c>
      <c r="G987" s="17" t="s">
        <v>86</v>
      </c>
      <c r="H987" s="17">
        <v>94</v>
      </c>
      <c r="I987" s="17" t="str">
        <f t="shared" si="83"/>
        <v>AER 1_PN-94</v>
      </c>
      <c r="J987" s="18" t="s">
        <v>85</v>
      </c>
      <c r="K987" s="19"/>
      <c r="L987" s="19"/>
      <c r="M987" s="19"/>
      <c r="N987" s="19"/>
      <c r="O987" s="19"/>
      <c r="P987" s="19"/>
      <c r="Q987" s="77" t="str">
        <f>VLOOKUP(J987,'p1'!$B$2:$C$30,2,0)</f>
        <v>NÃO TEM CHAPA</v>
      </c>
      <c r="R987" s="94">
        <v>45972</v>
      </c>
      <c r="S987" s="90" t="s">
        <v>217</v>
      </c>
      <c r="T987" s="90">
        <f t="shared" si="88"/>
        <v>1</v>
      </c>
      <c r="U987" s="94">
        <v>45973</v>
      </c>
      <c r="V987" s="90" t="s">
        <v>86</v>
      </c>
      <c r="W987" s="92">
        <v>2639</v>
      </c>
      <c r="X987" s="93">
        <f t="shared" si="86"/>
        <v>1</v>
      </c>
      <c r="Y987" s="92"/>
      <c r="Z987" s="92"/>
      <c r="AA987" s="13" t="str">
        <f t="shared" si="87"/>
        <v>nov/2025</v>
      </c>
    </row>
    <row r="988" spans="1:27" x14ac:dyDescent="0.25">
      <c r="A988" s="89">
        <v>987</v>
      </c>
      <c r="B988" s="68">
        <v>45990</v>
      </c>
      <c r="C988" s="40">
        <v>159</v>
      </c>
      <c r="D988" s="40">
        <f t="shared" si="84"/>
        <v>1</v>
      </c>
      <c r="E988" s="209" t="s">
        <v>1201</v>
      </c>
      <c r="F988" s="42" t="s">
        <v>60</v>
      </c>
      <c r="G988" s="17" t="s">
        <v>86</v>
      </c>
      <c r="H988" s="17">
        <v>95</v>
      </c>
      <c r="I988" s="17" t="str">
        <f>_xlfn.CONCAT("AER 2_",F988,G988,H988)</f>
        <v>AER 2_PE-95</v>
      </c>
      <c r="J988" s="18" t="s">
        <v>60</v>
      </c>
      <c r="K988" s="19"/>
      <c r="L988" s="19"/>
      <c r="M988" s="19"/>
      <c r="N988" s="19"/>
      <c r="O988" s="19"/>
      <c r="P988" s="19"/>
      <c r="Q988" s="77" t="s">
        <v>1212</v>
      </c>
      <c r="R988" s="94">
        <v>45993</v>
      </c>
      <c r="S988" s="90" t="s">
        <v>217</v>
      </c>
      <c r="T988" s="90">
        <f t="shared" ref="T988:T991" si="89">IF(R988="",0,1)</f>
        <v>1</v>
      </c>
      <c r="U988" s="94">
        <v>45996</v>
      </c>
      <c r="V988" s="90" t="s">
        <v>86</v>
      </c>
      <c r="W988" s="92">
        <v>2701</v>
      </c>
      <c r="X988" s="93">
        <f t="shared" si="86"/>
        <v>1</v>
      </c>
      <c r="Y988" s="92"/>
      <c r="Z988" s="92"/>
      <c r="AA988" s="13" t="str">
        <f t="shared" si="87"/>
        <v>dez/2025</v>
      </c>
    </row>
    <row r="989" spans="1:27" x14ac:dyDescent="0.25">
      <c r="A989" s="89">
        <v>988</v>
      </c>
      <c r="B989" s="68">
        <v>45974</v>
      </c>
      <c r="C989" s="40">
        <v>144</v>
      </c>
      <c r="D989" s="40">
        <f t="shared" si="84"/>
        <v>1</v>
      </c>
      <c r="E989" s="209" t="s">
        <v>1201</v>
      </c>
      <c r="F989" s="42" t="s">
        <v>123</v>
      </c>
      <c r="G989" s="17" t="s">
        <v>86</v>
      </c>
      <c r="H989" s="17">
        <v>96</v>
      </c>
      <c r="I989" s="17" t="str">
        <f t="shared" ref="I989:I991" si="90">_xlfn.CONCAT("AER 2_",F989,G989,H989)</f>
        <v>AER 2_PNI-96</v>
      </c>
      <c r="J989" s="18" t="s">
        <v>123</v>
      </c>
      <c r="K989" s="19"/>
      <c r="L989" s="19"/>
      <c r="M989" s="19"/>
      <c r="N989" s="19"/>
      <c r="O989" s="19"/>
      <c r="P989" s="19"/>
      <c r="Q989" s="77" t="str">
        <f>VLOOKUP(J989,'p1'!$B$2:$C$30,2,0)</f>
        <v>02- 150X150 #3/8</v>
      </c>
      <c r="R989" s="94">
        <v>45988</v>
      </c>
      <c r="S989" s="90" t="s">
        <v>217</v>
      </c>
      <c r="T989" s="90">
        <f t="shared" si="89"/>
        <v>1</v>
      </c>
      <c r="U989" s="94">
        <v>45989</v>
      </c>
      <c r="V989" s="90" t="s">
        <v>86</v>
      </c>
      <c r="W989" s="92">
        <v>2683</v>
      </c>
      <c r="X989" s="93">
        <f t="shared" si="86"/>
        <v>1</v>
      </c>
      <c r="Y989" s="92"/>
      <c r="Z989" s="92"/>
      <c r="AA989" s="13" t="str">
        <f t="shared" si="87"/>
        <v>nov/2025</v>
      </c>
    </row>
    <row r="990" spans="1:27" x14ac:dyDescent="0.25">
      <c r="A990" s="89">
        <v>989</v>
      </c>
      <c r="B990" s="68">
        <v>45958</v>
      </c>
      <c r="C990" s="40">
        <v>132</v>
      </c>
      <c r="D990" s="40">
        <f t="shared" si="84"/>
        <v>1</v>
      </c>
      <c r="E990" s="209" t="s">
        <v>1201</v>
      </c>
      <c r="F990" s="42" t="s">
        <v>58</v>
      </c>
      <c r="G990" s="17" t="s">
        <v>86</v>
      </c>
      <c r="H990" s="17">
        <v>97</v>
      </c>
      <c r="I990" s="17" t="str">
        <f t="shared" si="90"/>
        <v>AER 2_PN-97</v>
      </c>
      <c r="J990" s="18" t="s">
        <v>85</v>
      </c>
      <c r="K990" s="19"/>
      <c r="L990" s="19"/>
      <c r="M990" s="19"/>
      <c r="N990" s="19"/>
      <c r="O990" s="19"/>
      <c r="P990" s="19"/>
      <c r="Q990" s="77" t="str">
        <f>VLOOKUP(J990,'p1'!$B$2:$C$30,2,0)</f>
        <v>NÃO TEM CHAPA</v>
      </c>
      <c r="R990" s="94">
        <v>45986</v>
      </c>
      <c r="S990" s="90" t="s">
        <v>217</v>
      </c>
      <c r="T990" s="90">
        <f t="shared" si="89"/>
        <v>1</v>
      </c>
      <c r="U990" s="94">
        <v>45986</v>
      </c>
      <c r="V990" s="90" t="s">
        <v>86</v>
      </c>
      <c r="W990" s="92">
        <v>2671</v>
      </c>
      <c r="X990" s="93">
        <f t="shared" si="86"/>
        <v>1</v>
      </c>
      <c r="Y990" s="92"/>
      <c r="Z990" s="92"/>
      <c r="AA990" s="13" t="str">
        <f t="shared" si="87"/>
        <v>nov/2025</v>
      </c>
    </row>
    <row r="991" spans="1:27" x14ac:dyDescent="0.25">
      <c r="A991" s="89">
        <v>990</v>
      </c>
      <c r="B991" s="68">
        <v>45960</v>
      </c>
      <c r="C991" s="40">
        <v>135</v>
      </c>
      <c r="D991" s="40">
        <f t="shared" si="84"/>
        <v>1</v>
      </c>
      <c r="E991" s="209" t="s">
        <v>1201</v>
      </c>
      <c r="F991" s="42" t="s">
        <v>58</v>
      </c>
      <c r="G991" s="17" t="s">
        <v>86</v>
      </c>
      <c r="H991" s="17">
        <v>98</v>
      </c>
      <c r="I991" s="17" t="str">
        <f t="shared" si="90"/>
        <v>AER 2_PN-98</v>
      </c>
      <c r="J991" s="18" t="s">
        <v>85</v>
      </c>
      <c r="K991" s="19"/>
      <c r="L991" s="19"/>
      <c r="M991" s="19"/>
      <c r="N991" s="19"/>
      <c r="O991" s="19"/>
      <c r="P991" s="19"/>
      <c r="Q991" s="77" t="str">
        <f>VLOOKUP(J991,'p1'!$B$2:$C$30,2,0)</f>
        <v>NÃO TEM CHAPA</v>
      </c>
      <c r="R991" s="90"/>
      <c r="S991" s="90" t="s">
        <v>217</v>
      </c>
      <c r="T991" s="90">
        <f t="shared" si="89"/>
        <v>0</v>
      </c>
      <c r="U991" s="90"/>
      <c r="V991" s="90"/>
      <c r="W991" s="92"/>
      <c r="X991" s="93" t="str">
        <f t="shared" si="86"/>
        <v/>
      </c>
      <c r="Y991" s="92"/>
      <c r="Z991" s="92"/>
      <c r="AA991" s="13" t="str">
        <f t="shared" si="87"/>
        <v>jan/1900</v>
      </c>
    </row>
    <row r="992" spans="1:27" x14ac:dyDescent="0.25">
      <c r="A992" s="89">
        <v>991</v>
      </c>
      <c r="B992" s="68">
        <v>45960</v>
      </c>
      <c r="C992" s="40">
        <v>135</v>
      </c>
      <c r="D992" s="40">
        <f t="shared" si="84"/>
        <v>1</v>
      </c>
      <c r="E992" s="209" t="s">
        <v>1201</v>
      </c>
      <c r="F992" s="42" t="s">
        <v>58</v>
      </c>
      <c r="G992" s="17" t="s">
        <v>86</v>
      </c>
      <c r="H992" s="17">
        <v>99</v>
      </c>
      <c r="I992" s="17" t="str">
        <f t="shared" ref="I992:I1027" si="91">_xlfn.CONCAT("AER 2_",F992,G992,H992)</f>
        <v>AER 2_PN-99</v>
      </c>
      <c r="J992" s="18" t="s">
        <v>85</v>
      </c>
      <c r="K992" s="19"/>
      <c r="L992" s="19"/>
      <c r="M992" s="19"/>
      <c r="N992" s="19"/>
      <c r="O992" s="19"/>
      <c r="P992" s="19"/>
      <c r="Q992" s="77" t="str">
        <f>VLOOKUP(J992,'p1'!$B$2:$C$30,2,0)</f>
        <v>NÃO TEM CHAPA</v>
      </c>
      <c r="R992" s="90"/>
      <c r="S992" s="90" t="s">
        <v>217</v>
      </c>
      <c r="T992" s="90">
        <f t="shared" ref="T992:T1027" si="92">IF(R992="",0,1)</f>
        <v>0</v>
      </c>
      <c r="U992" s="90"/>
      <c r="V992" s="90"/>
      <c r="W992" s="92"/>
      <c r="X992" s="93" t="str">
        <f t="shared" si="86"/>
        <v/>
      </c>
      <c r="Y992" s="92"/>
      <c r="Z992" s="92"/>
      <c r="AA992" s="13" t="str">
        <f t="shared" si="87"/>
        <v>jan/1900</v>
      </c>
    </row>
    <row r="993" spans="1:27" x14ac:dyDescent="0.25">
      <c r="A993" s="89">
        <v>992</v>
      </c>
      <c r="B993" s="68">
        <v>45960</v>
      </c>
      <c r="C993" s="40">
        <v>135</v>
      </c>
      <c r="D993" s="40">
        <f t="shared" si="84"/>
        <v>1</v>
      </c>
      <c r="E993" s="209" t="s">
        <v>1201</v>
      </c>
      <c r="F993" s="42" t="s">
        <v>58</v>
      </c>
      <c r="G993" s="17" t="s">
        <v>86</v>
      </c>
      <c r="H993" s="17">
        <v>100</v>
      </c>
      <c r="I993" s="17" t="str">
        <f t="shared" si="91"/>
        <v>AER 2_PN-100</v>
      </c>
      <c r="J993" s="18" t="s">
        <v>85</v>
      </c>
      <c r="K993" s="19"/>
      <c r="L993" s="19"/>
      <c r="M993" s="19"/>
      <c r="N993" s="19"/>
      <c r="O993" s="19"/>
      <c r="P993" s="19"/>
      <c r="Q993" s="77" t="str">
        <f>VLOOKUP(J993,'p1'!$B$2:$C$30,2,0)</f>
        <v>NÃO TEM CHAPA</v>
      </c>
      <c r="R993" s="90"/>
      <c r="S993" s="90" t="s">
        <v>217</v>
      </c>
      <c r="T993" s="90">
        <f t="shared" si="92"/>
        <v>0</v>
      </c>
      <c r="U993" s="90"/>
      <c r="V993" s="90"/>
      <c r="W993" s="92"/>
      <c r="X993" s="93" t="str">
        <f t="shared" si="86"/>
        <v/>
      </c>
      <c r="Y993" s="92"/>
      <c r="Z993" s="92"/>
      <c r="AA993" s="13" t="str">
        <f t="shared" si="87"/>
        <v>jan/1900</v>
      </c>
    </row>
    <row r="994" spans="1:27" x14ac:dyDescent="0.25">
      <c r="A994" s="89">
        <v>993</v>
      </c>
      <c r="B994" s="68">
        <v>45960</v>
      </c>
      <c r="C994" s="40">
        <v>135</v>
      </c>
      <c r="D994" s="40">
        <f t="shared" si="84"/>
        <v>1</v>
      </c>
      <c r="E994" s="209" t="s">
        <v>1201</v>
      </c>
      <c r="F994" s="42" t="s">
        <v>58</v>
      </c>
      <c r="G994" s="17" t="s">
        <v>86</v>
      </c>
      <c r="H994" s="17">
        <v>101</v>
      </c>
      <c r="I994" s="17" t="str">
        <f t="shared" si="91"/>
        <v>AER 2_PN-101</v>
      </c>
      <c r="J994" s="18" t="s">
        <v>85</v>
      </c>
      <c r="K994" s="19"/>
      <c r="L994" s="19"/>
      <c r="M994" s="19"/>
      <c r="N994" s="19"/>
      <c r="O994" s="19"/>
      <c r="P994" s="19"/>
      <c r="Q994" s="77" t="str">
        <f>VLOOKUP(J994,'p1'!$B$2:$C$30,2,0)</f>
        <v>NÃO TEM CHAPA</v>
      </c>
      <c r="R994" s="90"/>
      <c r="S994" s="90" t="s">
        <v>217</v>
      </c>
      <c r="T994" s="90">
        <f t="shared" si="92"/>
        <v>0</v>
      </c>
      <c r="U994" s="90"/>
      <c r="V994" s="90"/>
      <c r="W994" s="92"/>
      <c r="X994" s="93" t="str">
        <f t="shared" si="86"/>
        <v/>
      </c>
      <c r="Y994" s="92"/>
      <c r="Z994" s="92"/>
      <c r="AA994" s="13" t="str">
        <f t="shared" si="87"/>
        <v>jan/1900</v>
      </c>
    </row>
    <row r="995" spans="1:27" x14ac:dyDescent="0.25">
      <c r="A995" s="89">
        <v>994</v>
      </c>
      <c r="B995" s="68">
        <v>45972</v>
      </c>
      <c r="C995" s="40">
        <v>142</v>
      </c>
      <c r="D995" s="40">
        <f t="shared" si="84"/>
        <v>1</v>
      </c>
      <c r="E995" s="209" t="s">
        <v>1201</v>
      </c>
      <c r="F995" s="42" t="s">
        <v>123</v>
      </c>
      <c r="G995" s="17" t="s">
        <v>86</v>
      </c>
      <c r="H995" s="17">
        <v>102</v>
      </c>
      <c r="I995" s="17" t="str">
        <f t="shared" si="91"/>
        <v>AER 2_PNI-102</v>
      </c>
      <c r="J995" s="18" t="s">
        <v>123</v>
      </c>
      <c r="K995" s="19"/>
      <c r="L995" s="19"/>
      <c r="M995" s="19"/>
      <c r="N995" s="19"/>
      <c r="O995" s="19"/>
      <c r="P995" s="19"/>
      <c r="Q995" s="77" t="str">
        <f>VLOOKUP(J995,'p1'!$B$2:$C$30,2,0)</f>
        <v>02- 150X150 #3/8</v>
      </c>
      <c r="R995" s="90"/>
      <c r="S995" s="90" t="s">
        <v>217</v>
      </c>
      <c r="T995" s="90">
        <f t="shared" si="92"/>
        <v>0</v>
      </c>
      <c r="U995" s="90"/>
      <c r="V995" s="90"/>
      <c r="W995" s="92"/>
      <c r="X995" s="93" t="str">
        <f t="shared" si="86"/>
        <v/>
      </c>
      <c r="Y995" s="92"/>
      <c r="Z995" s="92"/>
      <c r="AA995" s="13" t="str">
        <f t="shared" si="87"/>
        <v>jan/1900</v>
      </c>
    </row>
    <row r="996" spans="1:27" x14ac:dyDescent="0.25">
      <c r="A996" s="89">
        <v>995</v>
      </c>
      <c r="B996" s="68">
        <v>45960</v>
      </c>
      <c r="C996" s="40">
        <v>135</v>
      </c>
      <c r="D996" s="40">
        <f t="shared" si="84"/>
        <v>1</v>
      </c>
      <c r="E996" s="209" t="s">
        <v>1201</v>
      </c>
      <c r="F996" s="42" t="s">
        <v>58</v>
      </c>
      <c r="G996" s="17" t="s">
        <v>86</v>
      </c>
      <c r="H996" s="17">
        <v>103</v>
      </c>
      <c r="I996" s="17" t="str">
        <f t="shared" si="91"/>
        <v>AER 2_PN-103</v>
      </c>
      <c r="J996" s="18" t="s">
        <v>85</v>
      </c>
      <c r="K996" s="19"/>
      <c r="L996" s="19"/>
      <c r="M996" s="19"/>
      <c r="N996" s="19"/>
      <c r="O996" s="19"/>
      <c r="P996" s="19"/>
      <c r="Q996" s="77" t="str">
        <f>VLOOKUP(J996,'p1'!$B$2:$C$30,2,0)</f>
        <v>NÃO TEM CHAPA</v>
      </c>
      <c r="R996" s="90"/>
      <c r="S996" s="90" t="s">
        <v>217</v>
      </c>
      <c r="T996" s="90">
        <f t="shared" si="92"/>
        <v>0</v>
      </c>
      <c r="U996" s="90"/>
      <c r="V996" s="90"/>
      <c r="W996" s="92"/>
      <c r="X996" s="93" t="str">
        <f t="shared" si="86"/>
        <v/>
      </c>
      <c r="Y996" s="92"/>
      <c r="Z996" s="92"/>
      <c r="AA996" s="13" t="str">
        <f t="shared" si="87"/>
        <v>jan/1900</v>
      </c>
    </row>
    <row r="997" spans="1:27" x14ac:dyDescent="0.25">
      <c r="A997" s="89">
        <v>996</v>
      </c>
      <c r="B997" s="68">
        <v>45962</v>
      </c>
      <c r="C997" s="40">
        <v>136</v>
      </c>
      <c r="D997" s="40">
        <f t="shared" si="84"/>
        <v>1</v>
      </c>
      <c r="E997" s="209" t="s">
        <v>1201</v>
      </c>
      <c r="F997" s="42" t="s">
        <v>58</v>
      </c>
      <c r="G997" s="17" t="s">
        <v>86</v>
      </c>
      <c r="H997" s="17">
        <v>104</v>
      </c>
      <c r="I997" s="17" t="str">
        <f t="shared" si="91"/>
        <v>AER 2_PN-104</v>
      </c>
      <c r="J997" s="18" t="s">
        <v>85</v>
      </c>
      <c r="K997" s="19"/>
      <c r="L997" s="19"/>
      <c r="M997" s="19"/>
      <c r="N997" s="19"/>
      <c r="O997" s="19"/>
      <c r="P997" s="19"/>
      <c r="Q997" s="77" t="str">
        <f>VLOOKUP(J997,'p1'!$B$2:$C$30,2,0)</f>
        <v>NÃO TEM CHAPA</v>
      </c>
      <c r="R997" s="94">
        <v>46001</v>
      </c>
      <c r="S997" s="90" t="s">
        <v>217</v>
      </c>
      <c r="T997" s="90">
        <f t="shared" si="92"/>
        <v>1</v>
      </c>
      <c r="U997" s="94">
        <v>46001</v>
      </c>
      <c r="V997" s="90" t="s">
        <v>86</v>
      </c>
      <c r="W997" s="92">
        <v>2708</v>
      </c>
      <c r="X997" s="93">
        <f t="shared" si="86"/>
        <v>1</v>
      </c>
      <c r="Y997" s="92"/>
      <c r="Z997" s="92"/>
      <c r="AA997" s="13" t="str">
        <f t="shared" si="87"/>
        <v>dez/2025</v>
      </c>
    </row>
    <row r="998" spans="1:27" x14ac:dyDescent="0.25">
      <c r="A998" s="89">
        <v>997</v>
      </c>
      <c r="B998" s="68">
        <v>45962</v>
      </c>
      <c r="C998" s="40">
        <v>136</v>
      </c>
      <c r="D998" s="40">
        <f t="shared" si="84"/>
        <v>1</v>
      </c>
      <c r="E998" s="209" t="s">
        <v>1201</v>
      </c>
      <c r="F998" s="42" t="s">
        <v>58</v>
      </c>
      <c r="G998" s="17" t="s">
        <v>86</v>
      </c>
      <c r="H998" s="17">
        <v>105</v>
      </c>
      <c r="I998" s="17" t="str">
        <f t="shared" si="91"/>
        <v>AER 2_PN-105</v>
      </c>
      <c r="J998" s="18" t="s">
        <v>85</v>
      </c>
      <c r="K998" s="19"/>
      <c r="L998" s="19"/>
      <c r="M998" s="19"/>
      <c r="N998" s="19"/>
      <c r="O998" s="19"/>
      <c r="P998" s="19"/>
      <c r="Q998" s="77" t="str">
        <f>VLOOKUP(J998,'p1'!$B$2:$C$30,2,0)</f>
        <v>NÃO TEM CHAPA</v>
      </c>
      <c r="R998" s="94">
        <v>46002</v>
      </c>
      <c r="S998" s="90" t="s">
        <v>217</v>
      </c>
      <c r="T998" s="90">
        <f t="shared" si="92"/>
        <v>1</v>
      </c>
      <c r="U998" s="90"/>
      <c r="V998" s="90"/>
      <c r="W998" s="92"/>
      <c r="X998" s="93" t="str">
        <f t="shared" si="86"/>
        <v/>
      </c>
      <c r="Y998" s="92"/>
      <c r="Z998" s="92"/>
      <c r="AA998" s="13" t="str">
        <f t="shared" si="87"/>
        <v>dez/2025</v>
      </c>
    </row>
    <row r="999" spans="1:27" x14ac:dyDescent="0.25">
      <c r="A999" s="89">
        <v>998</v>
      </c>
      <c r="B999" s="68">
        <v>45962</v>
      </c>
      <c r="C999" s="40">
        <v>136</v>
      </c>
      <c r="D999" s="40">
        <f t="shared" si="84"/>
        <v>1</v>
      </c>
      <c r="E999" s="209" t="s">
        <v>1201</v>
      </c>
      <c r="F999" s="42" t="s">
        <v>58</v>
      </c>
      <c r="G999" s="17" t="s">
        <v>86</v>
      </c>
      <c r="H999" s="17">
        <v>106</v>
      </c>
      <c r="I999" s="17" t="str">
        <f t="shared" si="91"/>
        <v>AER 2_PN-106</v>
      </c>
      <c r="J999" s="18" t="s">
        <v>85</v>
      </c>
      <c r="K999" s="19"/>
      <c r="L999" s="19"/>
      <c r="M999" s="19"/>
      <c r="N999" s="19"/>
      <c r="O999" s="19"/>
      <c r="P999" s="19"/>
      <c r="Q999" s="77" t="str">
        <f>VLOOKUP(J999,'p1'!$B$2:$C$30,2,0)</f>
        <v>NÃO TEM CHAPA</v>
      </c>
      <c r="R999" s="94">
        <v>46002</v>
      </c>
      <c r="S999" s="90" t="s">
        <v>217</v>
      </c>
      <c r="T999" s="90">
        <f t="shared" si="92"/>
        <v>1</v>
      </c>
      <c r="U999" s="90"/>
      <c r="V999" s="90"/>
      <c r="W999" s="92"/>
      <c r="X999" s="93" t="str">
        <f t="shared" si="86"/>
        <v/>
      </c>
      <c r="Y999" s="92"/>
      <c r="Z999" s="92"/>
      <c r="AA999" s="13" t="str">
        <f t="shared" si="87"/>
        <v>dez/2025</v>
      </c>
    </row>
    <row r="1000" spans="1:27" x14ac:dyDescent="0.25">
      <c r="A1000" s="89">
        <v>999</v>
      </c>
      <c r="B1000" s="68">
        <v>45962</v>
      </c>
      <c r="C1000" s="40">
        <v>136</v>
      </c>
      <c r="D1000" s="40">
        <f t="shared" si="84"/>
        <v>1</v>
      </c>
      <c r="E1000" s="209" t="s">
        <v>1201</v>
      </c>
      <c r="F1000" s="42" t="s">
        <v>58</v>
      </c>
      <c r="G1000" s="17" t="s">
        <v>86</v>
      </c>
      <c r="H1000" s="17">
        <v>107</v>
      </c>
      <c r="I1000" s="17" t="str">
        <f t="shared" si="91"/>
        <v>AER 2_PN-107</v>
      </c>
      <c r="J1000" s="18" t="s">
        <v>85</v>
      </c>
      <c r="K1000" s="19"/>
      <c r="L1000" s="19"/>
      <c r="M1000" s="19"/>
      <c r="N1000" s="19"/>
      <c r="O1000" s="19"/>
      <c r="P1000" s="19"/>
      <c r="Q1000" s="77" t="str">
        <f>VLOOKUP(J1000,'p1'!$B$2:$C$30,2,0)</f>
        <v>NÃO TEM CHAPA</v>
      </c>
      <c r="R1000" s="90"/>
      <c r="S1000" s="90" t="s">
        <v>217</v>
      </c>
      <c r="T1000" s="90">
        <f t="shared" si="92"/>
        <v>0</v>
      </c>
      <c r="U1000" s="90"/>
      <c r="V1000" s="90"/>
      <c r="W1000" s="92"/>
      <c r="X1000" s="93" t="str">
        <f t="shared" si="86"/>
        <v/>
      </c>
      <c r="Y1000" s="92"/>
      <c r="Z1000" s="92"/>
      <c r="AA1000" s="13" t="str">
        <f t="shared" si="87"/>
        <v>jan/1900</v>
      </c>
    </row>
    <row r="1001" spans="1:27" x14ac:dyDescent="0.25">
      <c r="A1001" s="89">
        <v>1000</v>
      </c>
      <c r="B1001" s="68">
        <v>45972</v>
      </c>
      <c r="C1001" s="40">
        <v>142</v>
      </c>
      <c r="D1001" s="40">
        <f t="shared" si="84"/>
        <v>1</v>
      </c>
      <c r="E1001" s="209" t="s">
        <v>1201</v>
      </c>
      <c r="F1001" s="42" t="s">
        <v>123</v>
      </c>
      <c r="G1001" s="17" t="s">
        <v>86</v>
      </c>
      <c r="H1001" s="17">
        <v>108</v>
      </c>
      <c r="I1001" s="17" t="str">
        <f t="shared" si="91"/>
        <v>AER 2_PNI-108</v>
      </c>
      <c r="J1001" s="18" t="s">
        <v>123</v>
      </c>
      <c r="K1001" s="19"/>
      <c r="L1001" s="19"/>
      <c r="M1001" s="19"/>
      <c r="N1001" s="19"/>
      <c r="O1001" s="19"/>
      <c r="P1001" s="19"/>
      <c r="Q1001" s="77" t="str">
        <f>VLOOKUP(J1001,'p1'!$B$2:$C$30,2,0)</f>
        <v>02- 150X150 #3/8</v>
      </c>
      <c r="R1001" s="90"/>
      <c r="S1001" s="90" t="s">
        <v>217</v>
      </c>
      <c r="T1001" s="90">
        <f t="shared" si="92"/>
        <v>0</v>
      </c>
      <c r="U1001" s="90"/>
      <c r="V1001" s="90"/>
      <c r="W1001" s="92"/>
      <c r="X1001" s="93" t="str">
        <f t="shared" si="86"/>
        <v/>
      </c>
      <c r="Y1001" s="92"/>
      <c r="Z1001" s="92"/>
      <c r="AA1001" s="13" t="str">
        <f t="shared" si="87"/>
        <v>jan/1900</v>
      </c>
    </row>
    <row r="1002" spans="1:27" x14ac:dyDescent="0.25">
      <c r="A1002" s="89">
        <v>1001</v>
      </c>
      <c r="B1002" s="68">
        <v>45962</v>
      </c>
      <c r="C1002" s="40">
        <v>136</v>
      </c>
      <c r="D1002" s="40">
        <f t="shared" si="84"/>
        <v>1</v>
      </c>
      <c r="E1002" s="209" t="s">
        <v>1201</v>
      </c>
      <c r="F1002" s="42" t="s">
        <v>58</v>
      </c>
      <c r="G1002" s="17" t="s">
        <v>86</v>
      </c>
      <c r="H1002" s="17">
        <v>109</v>
      </c>
      <c r="I1002" s="17" t="str">
        <f t="shared" si="91"/>
        <v>AER 2_PN-109</v>
      </c>
      <c r="J1002" s="18" t="s">
        <v>85</v>
      </c>
      <c r="K1002" s="19"/>
      <c r="L1002" s="19"/>
      <c r="M1002" s="19"/>
      <c r="N1002" s="19"/>
      <c r="O1002" s="19"/>
      <c r="P1002" s="19"/>
      <c r="Q1002" s="77" t="str">
        <f>VLOOKUP(J1002,'p1'!$B$2:$C$30,2,0)</f>
        <v>NÃO TEM CHAPA</v>
      </c>
      <c r="R1002" s="90"/>
      <c r="S1002" s="90" t="s">
        <v>217</v>
      </c>
      <c r="T1002" s="90">
        <f t="shared" si="92"/>
        <v>0</v>
      </c>
      <c r="U1002" s="90"/>
      <c r="V1002" s="90"/>
      <c r="W1002" s="92"/>
      <c r="X1002" s="93" t="str">
        <f t="shared" si="86"/>
        <v/>
      </c>
      <c r="Y1002" s="92"/>
      <c r="Z1002" s="92"/>
      <c r="AA1002" s="13" t="str">
        <f t="shared" si="87"/>
        <v>jan/1900</v>
      </c>
    </row>
    <row r="1003" spans="1:27" x14ac:dyDescent="0.25">
      <c r="A1003" s="89">
        <v>1002</v>
      </c>
      <c r="B1003" s="68">
        <v>45966</v>
      </c>
      <c r="C1003" s="40">
        <v>138</v>
      </c>
      <c r="D1003" s="40">
        <f t="shared" si="84"/>
        <v>1</v>
      </c>
      <c r="E1003" s="209" t="s">
        <v>1201</v>
      </c>
      <c r="F1003" s="42" t="s">
        <v>58</v>
      </c>
      <c r="G1003" s="17" t="s">
        <v>86</v>
      </c>
      <c r="H1003" s="17">
        <v>110</v>
      </c>
      <c r="I1003" s="17" t="str">
        <f t="shared" si="91"/>
        <v>AER 2_PN-110</v>
      </c>
      <c r="J1003" s="18" t="s">
        <v>85</v>
      </c>
      <c r="K1003" s="19"/>
      <c r="L1003" s="19"/>
      <c r="M1003" s="19"/>
      <c r="N1003" s="19"/>
      <c r="O1003" s="19"/>
      <c r="P1003" s="19"/>
      <c r="Q1003" s="77" t="str">
        <f>VLOOKUP(J1003,'p1'!$B$2:$C$30,2,0)</f>
        <v>NÃO TEM CHAPA</v>
      </c>
      <c r="R1003" s="94">
        <v>46001</v>
      </c>
      <c r="S1003" s="90" t="s">
        <v>217</v>
      </c>
      <c r="T1003" s="90">
        <f t="shared" si="92"/>
        <v>1</v>
      </c>
      <c r="U1003" s="94">
        <v>46001</v>
      </c>
      <c r="V1003" s="90" t="s">
        <v>86</v>
      </c>
      <c r="W1003" s="92">
        <v>2708</v>
      </c>
      <c r="X1003" s="93">
        <f t="shared" si="86"/>
        <v>1</v>
      </c>
      <c r="Y1003" s="92"/>
      <c r="Z1003" s="92"/>
      <c r="AA1003" s="13" t="str">
        <f t="shared" si="87"/>
        <v>dez/2025</v>
      </c>
    </row>
    <row r="1004" spans="1:27" x14ac:dyDescent="0.25">
      <c r="A1004" s="89">
        <v>1003</v>
      </c>
      <c r="B1004" s="68">
        <v>45966</v>
      </c>
      <c r="C1004" s="40">
        <v>138</v>
      </c>
      <c r="D1004" s="40">
        <f t="shared" si="84"/>
        <v>1</v>
      </c>
      <c r="E1004" s="209" t="s">
        <v>1201</v>
      </c>
      <c r="F1004" s="42" t="s">
        <v>58</v>
      </c>
      <c r="G1004" s="17" t="s">
        <v>86</v>
      </c>
      <c r="H1004" s="17">
        <v>111</v>
      </c>
      <c r="I1004" s="17" t="str">
        <f t="shared" si="91"/>
        <v>AER 2_PN-111</v>
      </c>
      <c r="J1004" s="18" t="s">
        <v>85</v>
      </c>
      <c r="K1004" s="19"/>
      <c r="L1004" s="19"/>
      <c r="M1004" s="19"/>
      <c r="N1004" s="19"/>
      <c r="O1004" s="19"/>
      <c r="P1004" s="19"/>
      <c r="Q1004" s="77" t="str">
        <f>VLOOKUP(J1004,'p1'!$B$2:$C$30,2,0)</f>
        <v>NÃO TEM CHAPA</v>
      </c>
      <c r="R1004" s="94">
        <v>45999</v>
      </c>
      <c r="S1004" s="90" t="s">
        <v>217</v>
      </c>
      <c r="T1004" s="90">
        <f t="shared" si="92"/>
        <v>1</v>
      </c>
      <c r="U1004" s="94">
        <v>46000</v>
      </c>
      <c r="V1004" s="90" t="s">
        <v>86</v>
      </c>
      <c r="W1004" s="92">
        <v>2702</v>
      </c>
      <c r="X1004" s="93">
        <f t="shared" si="86"/>
        <v>1</v>
      </c>
      <c r="Y1004" s="92"/>
      <c r="Z1004" s="92"/>
      <c r="AA1004" s="13" t="str">
        <f t="shared" si="87"/>
        <v>dez/2025</v>
      </c>
    </row>
    <row r="1005" spans="1:27" x14ac:dyDescent="0.25">
      <c r="A1005" s="89">
        <v>1004</v>
      </c>
      <c r="B1005" s="68">
        <v>45966</v>
      </c>
      <c r="C1005" s="40">
        <v>138</v>
      </c>
      <c r="D1005" s="40">
        <f t="shared" si="84"/>
        <v>1</v>
      </c>
      <c r="E1005" s="209" t="s">
        <v>1201</v>
      </c>
      <c r="F1005" s="42" t="s">
        <v>58</v>
      </c>
      <c r="G1005" s="17" t="s">
        <v>86</v>
      </c>
      <c r="H1005" s="17">
        <v>112</v>
      </c>
      <c r="I1005" s="17" t="str">
        <f t="shared" si="91"/>
        <v>AER 2_PN-112</v>
      </c>
      <c r="J1005" s="18" t="s">
        <v>85</v>
      </c>
      <c r="K1005" s="19"/>
      <c r="L1005" s="19"/>
      <c r="M1005" s="19"/>
      <c r="N1005" s="19"/>
      <c r="O1005" s="19"/>
      <c r="P1005" s="19"/>
      <c r="Q1005" s="77" t="str">
        <f>VLOOKUP(J1005,'p1'!$B$2:$C$30,2,0)</f>
        <v>NÃO TEM CHAPA</v>
      </c>
      <c r="R1005" s="94">
        <v>45996</v>
      </c>
      <c r="S1005" s="90" t="s">
        <v>217</v>
      </c>
      <c r="T1005" s="90">
        <f t="shared" si="92"/>
        <v>1</v>
      </c>
      <c r="U1005" s="94">
        <v>45996</v>
      </c>
      <c r="V1005" s="90" t="s">
        <v>86</v>
      </c>
      <c r="W1005" s="92">
        <v>2699</v>
      </c>
      <c r="X1005" s="93">
        <f t="shared" si="86"/>
        <v>1</v>
      </c>
      <c r="Y1005" s="92"/>
      <c r="Z1005" s="92"/>
      <c r="AA1005" s="13" t="str">
        <f t="shared" si="87"/>
        <v>dez/2025</v>
      </c>
    </row>
    <row r="1006" spans="1:27" x14ac:dyDescent="0.25">
      <c r="A1006" s="89">
        <v>1005</v>
      </c>
      <c r="B1006" s="68">
        <v>45966</v>
      </c>
      <c r="C1006" s="40">
        <v>138</v>
      </c>
      <c r="D1006" s="40">
        <f t="shared" si="84"/>
        <v>1</v>
      </c>
      <c r="E1006" s="209" t="s">
        <v>1201</v>
      </c>
      <c r="F1006" s="42" t="s">
        <v>58</v>
      </c>
      <c r="G1006" s="17" t="s">
        <v>86</v>
      </c>
      <c r="H1006" s="17">
        <v>113</v>
      </c>
      <c r="I1006" s="17" t="str">
        <f t="shared" si="91"/>
        <v>AER 2_PN-113</v>
      </c>
      <c r="J1006" s="18" t="s">
        <v>85</v>
      </c>
      <c r="K1006" s="19"/>
      <c r="L1006" s="19"/>
      <c r="M1006" s="19"/>
      <c r="N1006" s="19"/>
      <c r="O1006" s="19"/>
      <c r="P1006" s="19"/>
      <c r="Q1006" s="77" t="str">
        <f>VLOOKUP(J1006,'p1'!$B$2:$C$30,2,0)</f>
        <v>NÃO TEM CHAPA</v>
      </c>
      <c r="R1006" s="90"/>
      <c r="S1006" s="90" t="s">
        <v>217</v>
      </c>
      <c r="T1006" s="90">
        <f t="shared" si="92"/>
        <v>0</v>
      </c>
      <c r="U1006" s="90"/>
      <c r="V1006" s="90"/>
      <c r="W1006" s="92"/>
      <c r="X1006" s="93" t="str">
        <f t="shared" si="86"/>
        <v/>
      </c>
      <c r="Y1006" s="92"/>
      <c r="Z1006" s="92"/>
      <c r="AA1006" s="13" t="str">
        <f t="shared" si="87"/>
        <v>jan/1900</v>
      </c>
    </row>
    <row r="1007" spans="1:27" x14ac:dyDescent="0.25">
      <c r="A1007" s="89">
        <v>1006</v>
      </c>
      <c r="B1007" s="68">
        <v>45974</v>
      </c>
      <c r="C1007" s="40">
        <v>144</v>
      </c>
      <c r="D1007" s="40">
        <f t="shared" si="84"/>
        <v>1</v>
      </c>
      <c r="E1007" s="209" t="s">
        <v>1201</v>
      </c>
      <c r="F1007" s="42" t="s">
        <v>123</v>
      </c>
      <c r="G1007" s="17" t="s">
        <v>86</v>
      </c>
      <c r="H1007" s="17">
        <v>114</v>
      </c>
      <c r="I1007" s="17" t="str">
        <f t="shared" si="91"/>
        <v>AER 2_PNI-114</v>
      </c>
      <c r="J1007" s="18" t="s">
        <v>123</v>
      </c>
      <c r="K1007" s="19"/>
      <c r="L1007" s="19"/>
      <c r="M1007" s="19"/>
      <c r="N1007" s="19"/>
      <c r="O1007" s="19"/>
      <c r="P1007" s="19"/>
      <c r="Q1007" s="77" t="str">
        <f>VLOOKUP(J1007,'p1'!$B$2:$C$30,2,0)</f>
        <v>02- 150X150 #3/8</v>
      </c>
      <c r="R1007" s="94">
        <v>45988</v>
      </c>
      <c r="S1007" s="90" t="s">
        <v>217</v>
      </c>
      <c r="T1007" s="90">
        <f t="shared" si="92"/>
        <v>1</v>
      </c>
      <c r="U1007" s="94">
        <v>45988</v>
      </c>
      <c r="V1007" s="90" t="s">
        <v>86</v>
      </c>
      <c r="W1007" s="92">
        <v>2679</v>
      </c>
      <c r="X1007" s="93">
        <f t="shared" si="86"/>
        <v>1</v>
      </c>
      <c r="Y1007" s="92"/>
      <c r="Z1007" s="92"/>
      <c r="AA1007" s="13" t="str">
        <f t="shared" si="87"/>
        <v>nov/2025</v>
      </c>
    </row>
    <row r="1008" spans="1:27" x14ac:dyDescent="0.25">
      <c r="A1008" s="89">
        <v>1007</v>
      </c>
      <c r="B1008" s="68">
        <v>45969</v>
      </c>
      <c r="C1008" s="40">
        <v>140</v>
      </c>
      <c r="D1008" s="40">
        <f t="shared" si="84"/>
        <v>1</v>
      </c>
      <c r="E1008" s="209" t="s">
        <v>1201</v>
      </c>
      <c r="F1008" s="42" t="s">
        <v>58</v>
      </c>
      <c r="G1008" s="17" t="s">
        <v>86</v>
      </c>
      <c r="H1008" s="17">
        <v>115</v>
      </c>
      <c r="I1008" s="17" t="str">
        <f t="shared" si="91"/>
        <v>AER 2_PN-115</v>
      </c>
      <c r="J1008" s="18" t="s">
        <v>85</v>
      </c>
      <c r="K1008" s="19"/>
      <c r="L1008" s="19"/>
      <c r="M1008" s="19"/>
      <c r="N1008" s="19"/>
      <c r="O1008" s="19"/>
      <c r="P1008" s="19"/>
      <c r="Q1008" s="77" t="str">
        <f>VLOOKUP(J1008,'p1'!$B$2:$C$30,2,0)</f>
        <v>NÃO TEM CHAPA</v>
      </c>
      <c r="R1008" s="94">
        <v>45987</v>
      </c>
      <c r="S1008" s="90" t="s">
        <v>217</v>
      </c>
      <c r="T1008" s="90">
        <f t="shared" si="92"/>
        <v>1</v>
      </c>
      <c r="U1008" s="94">
        <v>45996</v>
      </c>
      <c r="V1008" s="90" t="s">
        <v>86</v>
      </c>
      <c r="W1008" s="92">
        <v>2698</v>
      </c>
      <c r="X1008" s="93">
        <f t="shared" si="86"/>
        <v>1</v>
      </c>
      <c r="Y1008" s="92"/>
      <c r="Z1008" s="92"/>
      <c r="AA1008" s="13" t="str">
        <f t="shared" si="87"/>
        <v>nov/2025</v>
      </c>
    </row>
    <row r="1009" spans="1:27" x14ac:dyDescent="0.25">
      <c r="A1009" s="89">
        <v>1008</v>
      </c>
      <c r="B1009" s="68">
        <v>45969</v>
      </c>
      <c r="C1009" s="40">
        <v>140</v>
      </c>
      <c r="D1009" s="40">
        <f t="shared" si="84"/>
        <v>1</v>
      </c>
      <c r="E1009" s="209" t="s">
        <v>1201</v>
      </c>
      <c r="F1009" s="42" t="s">
        <v>58</v>
      </c>
      <c r="G1009" s="17" t="s">
        <v>86</v>
      </c>
      <c r="H1009" s="17">
        <v>116</v>
      </c>
      <c r="I1009" s="17" t="str">
        <f t="shared" si="91"/>
        <v>AER 2_PN-116</v>
      </c>
      <c r="J1009" s="18" t="s">
        <v>85</v>
      </c>
      <c r="K1009" s="19"/>
      <c r="L1009" s="19"/>
      <c r="M1009" s="19"/>
      <c r="N1009" s="19"/>
      <c r="O1009" s="19"/>
      <c r="P1009" s="19"/>
      <c r="Q1009" s="77" t="str">
        <f>VLOOKUP(J1009,'p1'!$B$2:$C$30,2,0)</f>
        <v>NÃO TEM CHAPA</v>
      </c>
      <c r="R1009" s="94">
        <v>45987</v>
      </c>
      <c r="S1009" s="90" t="s">
        <v>217</v>
      </c>
      <c r="T1009" s="90">
        <f t="shared" si="92"/>
        <v>1</v>
      </c>
      <c r="U1009" s="94">
        <v>45996</v>
      </c>
      <c r="V1009" s="90" t="s">
        <v>86</v>
      </c>
      <c r="W1009" s="92">
        <v>2699</v>
      </c>
      <c r="X1009" s="93">
        <f t="shared" si="86"/>
        <v>1</v>
      </c>
      <c r="Y1009" s="92"/>
      <c r="Z1009" s="92"/>
      <c r="AA1009" s="13" t="str">
        <f t="shared" si="87"/>
        <v>nov/2025</v>
      </c>
    </row>
    <row r="1010" spans="1:27" x14ac:dyDescent="0.25">
      <c r="A1010" s="89">
        <v>1009</v>
      </c>
      <c r="B1010" s="68"/>
      <c r="C1010" s="40"/>
      <c r="D1010" s="40" t="str">
        <f t="shared" si="84"/>
        <v/>
      </c>
      <c r="E1010" s="209" t="s">
        <v>1201</v>
      </c>
      <c r="F1010" s="42" t="s">
        <v>60</v>
      </c>
      <c r="G1010" s="17" t="s">
        <v>86</v>
      </c>
      <c r="H1010" s="17">
        <v>117</v>
      </c>
      <c r="I1010" s="17" t="str">
        <f t="shared" si="91"/>
        <v>AER 2_PE-117</v>
      </c>
      <c r="J1010" s="18" t="s">
        <v>60</v>
      </c>
      <c r="K1010" s="19"/>
      <c r="L1010" s="19"/>
      <c r="M1010" s="19"/>
      <c r="N1010" s="19"/>
      <c r="O1010" s="19"/>
      <c r="P1010" s="19"/>
      <c r="Q1010" s="77" t="str">
        <f>VLOOKUP(J1010,'p1'!$B$2:$C$30,2,0)</f>
        <v>OLHAR DESENHO ESPECIFICO</v>
      </c>
      <c r="R1010" s="90"/>
      <c r="S1010" s="90"/>
      <c r="T1010" s="90">
        <f t="shared" si="92"/>
        <v>0</v>
      </c>
      <c r="U1010" s="90"/>
      <c r="V1010" s="90"/>
      <c r="W1010" s="92"/>
      <c r="X1010" s="93" t="str">
        <f t="shared" si="86"/>
        <v/>
      </c>
      <c r="Y1010" s="92"/>
      <c r="Z1010" s="92"/>
      <c r="AA1010" s="13" t="str">
        <f t="shared" si="87"/>
        <v>jan/1900</v>
      </c>
    </row>
    <row r="1011" spans="1:27" x14ac:dyDescent="0.25">
      <c r="A1011" s="89">
        <v>1010</v>
      </c>
      <c r="B1011" s="68"/>
      <c r="C1011" s="40"/>
      <c r="D1011" s="40" t="str">
        <f t="shared" si="84"/>
        <v/>
      </c>
      <c r="E1011" s="209" t="s">
        <v>1201</v>
      </c>
      <c r="F1011" s="42" t="s">
        <v>60</v>
      </c>
      <c r="G1011" s="17" t="s">
        <v>86</v>
      </c>
      <c r="H1011" s="17">
        <v>118</v>
      </c>
      <c r="I1011" s="17" t="str">
        <f t="shared" si="91"/>
        <v>AER 2_PE-118</v>
      </c>
      <c r="J1011" s="18" t="s">
        <v>60</v>
      </c>
      <c r="K1011" s="19"/>
      <c r="L1011" s="19"/>
      <c r="M1011" s="19"/>
      <c r="N1011" s="19"/>
      <c r="O1011" s="19"/>
      <c r="P1011" s="19"/>
      <c r="Q1011" s="77" t="str">
        <f>VLOOKUP(J1011,'p1'!$B$2:$C$30,2,0)</f>
        <v>OLHAR DESENHO ESPECIFICO</v>
      </c>
      <c r="R1011" s="90"/>
      <c r="S1011" s="90"/>
      <c r="T1011" s="90">
        <f t="shared" si="92"/>
        <v>0</v>
      </c>
      <c r="U1011" s="90"/>
      <c r="V1011" s="90"/>
      <c r="W1011" s="92"/>
      <c r="X1011" s="93" t="str">
        <f t="shared" si="86"/>
        <v/>
      </c>
      <c r="Y1011" s="92"/>
      <c r="Z1011" s="92"/>
      <c r="AA1011" s="13" t="str">
        <f t="shared" si="87"/>
        <v>jan/1900</v>
      </c>
    </row>
    <row r="1012" spans="1:27" x14ac:dyDescent="0.25">
      <c r="A1012" s="89">
        <v>1011</v>
      </c>
      <c r="B1012" s="68"/>
      <c r="C1012" s="40"/>
      <c r="D1012" s="40" t="str">
        <f t="shared" si="84"/>
        <v/>
      </c>
      <c r="E1012" s="209" t="s">
        <v>1201</v>
      </c>
      <c r="F1012" s="42" t="s">
        <v>60</v>
      </c>
      <c r="G1012" s="17" t="s">
        <v>86</v>
      </c>
      <c r="H1012" s="17">
        <v>119</v>
      </c>
      <c r="I1012" s="17" t="str">
        <f t="shared" si="91"/>
        <v>AER 2_PE-119</v>
      </c>
      <c r="J1012" s="18" t="s">
        <v>85</v>
      </c>
      <c r="K1012" s="19"/>
      <c r="L1012" s="19"/>
      <c r="M1012" s="19"/>
      <c r="N1012" s="19"/>
      <c r="O1012" s="19"/>
      <c r="P1012" s="19"/>
      <c r="Q1012" s="77" t="str">
        <f>VLOOKUP(J1012,'p1'!$B$2:$C$30,2,0)</f>
        <v>NÃO TEM CHAPA</v>
      </c>
      <c r="R1012" s="90"/>
      <c r="S1012" s="90"/>
      <c r="T1012" s="90">
        <f t="shared" si="92"/>
        <v>0</v>
      </c>
      <c r="U1012" s="90"/>
      <c r="V1012" s="90"/>
      <c r="W1012" s="92"/>
      <c r="X1012" s="93" t="str">
        <f t="shared" si="86"/>
        <v/>
      </c>
      <c r="Y1012" s="92"/>
      <c r="Z1012" s="92"/>
      <c r="AA1012" s="13" t="str">
        <f t="shared" si="87"/>
        <v>jan/1900</v>
      </c>
    </row>
    <row r="1013" spans="1:27" x14ac:dyDescent="0.25">
      <c r="A1013" s="89">
        <v>1012</v>
      </c>
      <c r="B1013" s="68">
        <v>45978</v>
      </c>
      <c r="C1013" s="40">
        <v>147</v>
      </c>
      <c r="D1013" s="40">
        <f t="shared" si="84"/>
        <v>1</v>
      </c>
      <c r="E1013" s="209" t="s">
        <v>1201</v>
      </c>
      <c r="F1013" s="42" t="s">
        <v>123</v>
      </c>
      <c r="G1013" s="17" t="s">
        <v>86</v>
      </c>
      <c r="H1013" s="17">
        <v>120</v>
      </c>
      <c r="I1013" s="17" t="str">
        <f t="shared" si="91"/>
        <v>AER 2_PNI-120</v>
      </c>
      <c r="J1013" s="18" t="s">
        <v>123</v>
      </c>
      <c r="K1013" s="19"/>
      <c r="L1013" s="19"/>
      <c r="M1013" s="19"/>
      <c r="N1013" s="19"/>
      <c r="O1013" s="19"/>
      <c r="P1013" s="19"/>
      <c r="Q1013" s="77" t="str">
        <f>VLOOKUP(J1013,'p1'!$B$2:$C$30,2,0)</f>
        <v>02- 150X150 #3/8</v>
      </c>
      <c r="R1013" s="94">
        <v>45986</v>
      </c>
      <c r="S1013" s="90" t="s">
        <v>217</v>
      </c>
      <c r="T1013" s="90">
        <f t="shared" si="92"/>
        <v>1</v>
      </c>
      <c r="U1013" s="94">
        <v>45986</v>
      </c>
      <c r="V1013" s="90" t="s">
        <v>86</v>
      </c>
      <c r="W1013" s="92">
        <v>2672</v>
      </c>
      <c r="X1013" s="93">
        <f t="shared" si="86"/>
        <v>1</v>
      </c>
      <c r="Y1013" s="92"/>
      <c r="Z1013" s="92"/>
      <c r="AA1013" s="13" t="str">
        <f t="shared" si="87"/>
        <v>nov/2025</v>
      </c>
    </row>
    <row r="1014" spans="1:27" x14ac:dyDescent="0.25">
      <c r="A1014" s="89">
        <v>1013</v>
      </c>
      <c r="B1014" s="68">
        <v>45994</v>
      </c>
      <c r="C1014" s="40">
        <v>161</v>
      </c>
      <c r="D1014" s="40">
        <f t="shared" si="84"/>
        <v>1</v>
      </c>
      <c r="E1014" s="209" t="s">
        <v>1201</v>
      </c>
      <c r="F1014" s="42" t="s">
        <v>61</v>
      </c>
      <c r="G1014" s="17" t="s">
        <v>86</v>
      </c>
      <c r="H1014" s="17">
        <v>121</v>
      </c>
      <c r="I1014" s="17" t="str">
        <f t="shared" si="91"/>
        <v>AER 2_PF-121</v>
      </c>
      <c r="J1014" s="18" t="s">
        <v>61</v>
      </c>
      <c r="K1014" s="19"/>
      <c r="L1014" s="19"/>
      <c r="M1014" s="19"/>
      <c r="N1014" s="19"/>
      <c r="O1014" s="19"/>
      <c r="P1014" s="19"/>
      <c r="Q1014" s="77" t="str">
        <f>VLOOKUP(J1014,'p1'!$B$2:$C$30,2,0)</f>
        <v>SEM CHAPA</v>
      </c>
      <c r="R1014" s="94">
        <v>46001</v>
      </c>
      <c r="S1014" s="90" t="s">
        <v>217</v>
      </c>
      <c r="T1014" s="90">
        <f t="shared" si="92"/>
        <v>1</v>
      </c>
      <c r="U1014" s="94">
        <v>46001</v>
      </c>
      <c r="V1014" s="90" t="s">
        <v>86</v>
      </c>
      <c r="W1014" s="92">
        <v>2709</v>
      </c>
      <c r="X1014" s="93">
        <f t="shared" si="86"/>
        <v>1</v>
      </c>
      <c r="Y1014" s="92"/>
      <c r="Z1014" s="92"/>
      <c r="AA1014" s="13" t="str">
        <f t="shared" si="87"/>
        <v>dez/2025</v>
      </c>
    </row>
    <row r="1015" spans="1:27" x14ac:dyDescent="0.25">
      <c r="A1015" s="89">
        <v>1014</v>
      </c>
      <c r="B1015" s="68">
        <v>45969</v>
      </c>
      <c r="C1015" s="40">
        <v>140</v>
      </c>
      <c r="D1015" s="40">
        <f t="shared" si="84"/>
        <v>1</v>
      </c>
      <c r="E1015" s="209" t="s">
        <v>1201</v>
      </c>
      <c r="F1015" s="42" t="s">
        <v>58</v>
      </c>
      <c r="G1015" s="17" t="s">
        <v>86</v>
      </c>
      <c r="H1015" s="17">
        <v>122</v>
      </c>
      <c r="I1015" s="17" t="str">
        <f t="shared" si="91"/>
        <v>AER 2_PN-122</v>
      </c>
      <c r="J1015" s="18" t="s">
        <v>85</v>
      </c>
      <c r="K1015" s="19"/>
      <c r="L1015" s="19"/>
      <c r="M1015" s="19"/>
      <c r="N1015" s="19"/>
      <c r="O1015" s="19"/>
      <c r="P1015" s="19"/>
      <c r="Q1015" s="77" t="str">
        <f>VLOOKUP(J1015,'p1'!$B$2:$C$30,2,0)</f>
        <v>NÃO TEM CHAPA</v>
      </c>
      <c r="R1015" s="94">
        <v>45987</v>
      </c>
      <c r="S1015" s="90" t="s">
        <v>217</v>
      </c>
      <c r="T1015" s="90">
        <f t="shared" si="92"/>
        <v>1</v>
      </c>
      <c r="U1015" s="94">
        <v>45987</v>
      </c>
      <c r="V1015" s="90" t="s">
        <v>86</v>
      </c>
      <c r="W1015" s="92">
        <v>2676</v>
      </c>
      <c r="X1015" s="93">
        <f t="shared" si="86"/>
        <v>1</v>
      </c>
      <c r="Y1015" s="92"/>
      <c r="Z1015" s="92"/>
      <c r="AA1015" s="13" t="str">
        <f t="shared" si="87"/>
        <v>nov/2025</v>
      </c>
    </row>
    <row r="1016" spans="1:27" x14ac:dyDescent="0.25">
      <c r="A1016" s="89">
        <v>1015</v>
      </c>
      <c r="B1016" s="68">
        <v>45969</v>
      </c>
      <c r="C1016" s="40">
        <v>140</v>
      </c>
      <c r="D1016" s="40">
        <f t="shared" si="84"/>
        <v>1</v>
      </c>
      <c r="E1016" s="209" t="s">
        <v>1201</v>
      </c>
      <c r="F1016" s="42" t="s">
        <v>58</v>
      </c>
      <c r="G1016" s="17" t="s">
        <v>86</v>
      </c>
      <c r="H1016" s="17">
        <v>123</v>
      </c>
      <c r="I1016" s="17" t="str">
        <f t="shared" si="91"/>
        <v>AER 2_PN-123</v>
      </c>
      <c r="J1016" s="18" t="s">
        <v>85</v>
      </c>
      <c r="K1016" s="19"/>
      <c r="L1016" s="19"/>
      <c r="M1016" s="19"/>
      <c r="N1016" s="19"/>
      <c r="O1016" s="19"/>
      <c r="P1016" s="19"/>
      <c r="Q1016" s="77" t="str">
        <f>VLOOKUP(J1016,'p1'!$B$2:$C$30,2,0)</f>
        <v>NÃO TEM CHAPA</v>
      </c>
      <c r="R1016" s="94">
        <v>45986</v>
      </c>
      <c r="S1016" s="90" t="s">
        <v>217</v>
      </c>
      <c r="T1016" s="90">
        <f t="shared" si="92"/>
        <v>1</v>
      </c>
      <c r="U1016" s="94">
        <v>45986</v>
      </c>
      <c r="V1016" s="90" t="s">
        <v>86</v>
      </c>
      <c r="W1016" s="92">
        <v>2671</v>
      </c>
      <c r="X1016" s="93">
        <f t="shared" si="86"/>
        <v>1</v>
      </c>
      <c r="Y1016" s="92"/>
      <c r="Z1016" s="92"/>
      <c r="AA1016" s="13" t="str">
        <f t="shared" si="87"/>
        <v>nov/2025</v>
      </c>
    </row>
    <row r="1017" spans="1:27" x14ac:dyDescent="0.25">
      <c r="A1017" s="89">
        <v>1016</v>
      </c>
      <c r="B1017" s="68">
        <v>45972</v>
      </c>
      <c r="C1017" s="40">
        <v>142</v>
      </c>
      <c r="D1017" s="40">
        <f t="shared" si="84"/>
        <v>1</v>
      </c>
      <c r="E1017" s="209" t="s">
        <v>1201</v>
      </c>
      <c r="F1017" s="42" t="s">
        <v>58</v>
      </c>
      <c r="G1017" s="17" t="s">
        <v>86</v>
      </c>
      <c r="H1017" s="17">
        <v>124</v>
      </c>
      <c r="I1017" s="17" t="str">
        <f t="shared" si="91"/>
        <v>AER 2_PN-124</v>
      </c>
      <c r="J1017" s="18" t="s">
        <v>85</v>
      </c>
      <c r="K1017" s="19"/>
      <c r="L1017" s="19"/>
      <c r="M1017" s="19"/>
      <c r="N1017" s="19"/>
      <c r="O1017" s="19"/>
      <c r="P1017" s="19"/>
      <c r="Q1017" s="77" t="str">
        <f>VLOOKUP(J1017,'p1'!$B$2:$C$30,2,0)</f>
        <v>NÃO TEM CHAPA</v>
      </c>
      <c r="R1017" s="90"/>
      <c r="S1017" s="90" t="s">
        <v>217</v>
      </c>
      <c r="T1017" s="90">
        <f t="shared" si="92"/>
        <v>0</v>
      </c>
      <c r="U1017" s="90"/>
      <c r="V1017" s="90"/>
      <c r="W1017" s="92"/>
      <c r="X1017" s="93" t="str">
        <f t="shared" si="86"/>
        <v/>
      </c>
      <c r="Y1017" s="92"/>
      <c r="Z1017" s="92"/>
      <c r="AA1017" s="13" t="str">
        <f t="shared" si="87"/>
        <v>jan/1900</v>
      </c>
    </row>
    <row r="1018" spans="1:27" x14ac:dyDescent="0.25">
      <c r="A1018" s="89">
        <v>1017</v>
      </c>
      <c r="B1018" s="68">
        <v>45972</v>
      </c>
      <c r="C1018" s="40">
        <v>142</v>
      </c>
      <c r="D1018" s="40">
        <f t="shared" si="84"/>
        <v>1</v>
      </c>
      <c r="E1018" s="209" t="s">
        <v>1201</v>
      </c>
      <c r="F1018" s="42" t="s">
        <v>58</v>
      </c>
      <c r="G1018" s="17" t="s">
        <v>86</v>
      </c>
      <c r="H1018" s="17">
        <v>125</v>
      </c>
      <c r="I1018" s="17" t="str">
        <f t="shared" si="91"/>
        <v>AER 2_PN-125</v>
      </c>
      <c r="J1018" s="18" t="s">
        <v>85</v>
      </c>
      <c r="K1018" s="19"/>
      <c r="L1018" s="19"/>
      <c r="M1018" s="19"/>
      <c r="N1018" s="19"/>
      <c r="O1018" s="19"/>
      <c r="P1018" s="19"/>
      <c r="Q1018" s="77" t="str">
        <f>VLOOKUP(J1018,'p1'!$B$2:$C$30,2,0)</f>
        <v>NÃO TEM CHAPA</v>
      </c>
      <c r="R1018" s="90"/>
      <c r="S1018" s="90" t="s">
        <v>217</v>
      </c>
      <c r="T1018" s="90">
        <f t="shared" si="92"/>
        <v>0</v>
      </c>
      <c r="U1018" s="90"/>
      <c r="V1018" s="90"/>
      <c r="W1018" s="92"/>
      <c r="X1018" s="93" t="str">
        <f t="shared" si="86"/>
        <v/>
      </c>
      <c r="Y1018" s="92"/>
      <c r="Z1018" s="92"/>
      <c r="AA1018" s="13" t="str">
        <f t="shared" si="87"/>
        <v>jan/1900</v>
      </c>
    </row>
    <row r="1019" spans="1:27" x14ac:dyDescent="0.25">
      <c r="A1019" s="89">
        <v>1018</v>
      </c>
      <c r="B1019" s="68">
        <v>45978</v>
      </c>
      <c r="C1019" s="40">
        <v>147</v>
      </c>
      <c r="D1019" s="40">
        <f t="shared" si="84"/>
        <v>1</v>
      </c>
      <c r="E1019" s="209" t="s">
        <v>1201</v>
      </c>
      <c r="F1019" s="42" t="s">
        <v>123</v>
      </c>
      <c r="G1019" s="17" t="s">
        <v>86</v>
      </c>
      <c r="H1019" s="17">
        <v>126</v>
      </c>
      <c r="I1019" s="17" t="str">
        <f t="shared" si="91"/>
        <v>AER 2_PNI-126</v>
      </c>
      <c r="J1019" s="18" t="s">
        <v>123</v>
      </c>
      <c r="K1019" s="19"/>
      <c r="L1019" s="19"/>
      <c r="M1019" s="19"/>
      <c r="N1019" s="19"/>
      <c r="O1019" s="19"/>
      <c r="P1019" s="19"/>
      <c r="Q1019" s="77" t="str">
        <f>VLOOKUP(J1019,'p1'!$B$2:$C$30,2,0)</f>
        <v>02- 150X150 #3/8</v>
      </c>
      <c r="R1019" s="94">
        <v>45986</v>
      </c>
      <c r="S1019" s="90" t="s">
        <v>217</v>
      </c>
      <c r="T1019" s="90">
        <f t="shared" si="92"/>
        <v>1</v>
      </c>
      <c r="U1019" s="94">
        <v>45986</v>
      </c>
      <c r="V1019" s="90" t="s">
        <v>86</v>
      </c>
      <c r="W1019" s="92">
        <v>2672</v>
      </c>
      <c r="X1019" s="93">
        <f t="shared" si="86"/>
        <v>1</v>
      </c>
      <c r="Y1019" s="92"/>
      <c r="Z1019" s="92"/>
      <c r="AA1019" s="13" t="str">
        <f t="shared" si="87"/>
        <v>nov/2025</v>
      </c>
    </row>
    <row r="1020" spans="1:27" x14ac:dyDescent="0.25">
      <c r="A1020" s="89">
        <v>1019</v>
      </c>
      <c r="B1020" s="68">
        <v>45972</v>
      </c>
      <c r="C1020" s="40">
        <v>142</v>
      </c>
      <c r="D1020" s="40">
        <f t="shared" si="84"/>
        <v>1</v>
      </c>
      <c r="E1020" s="209" t="s">
        <v>1201</v>
      </c>
      <c r="F1020" s="42" t="s">
        <v>58</v>
      </c>
      <c r="G1020" s="17" t="s">
        <v>86</v>
      </c>
      <c r="H1020" s="17">
        <v>127</v>
      </c>
      <c r="I1020" s="17" t="str">
        <f t="shared" si="91"/>
        <v>AER 2_PN-127</v>
      </c>
      <c r="J1020" s="18" t="s">
        <v>85</v>
      </c>
      <c r="K1020" s="19"/>
      <c r="L1020" s="19"/>
      <c r="M1020" s="19"/>
      <c r="N1020" s="19"/>
      <c r="O1020" s="19"/>
      <c r="P1020" s="19"/>
      <c r="Q1020" s="77" t="str">
        <f>VLOOKUP(J1020,'p1'!$B$2:$C$30,2,0)</f>
        <v>NÃO TEM CHAPA</v>
      </c>
      <c r="R1020" s="90"/>
      <c r="S1020" s="90" t="s">
        <v>217</v>
      </c>
      <c r="T1020" s="90">
        <f t="shared" si="92"/>
        <v>0</v>
      </c>
      <c r="U1020" s="90"/>
      <c r="V1020" s="90"/>
      <c r="W1020" s="92"/>
      <c r="X1020" s="93" t="str">
        <f t="shared" si="86"/>
        <v/>
      </c>
      <c r="Y1020" s="92"/>
      <c r="Z1020" s="92"/>
      <c r="AA1020" s="13" t="str">
        <f t="shared" si="87"/>
        <v>jan/1900</v>
      </c>
    </row>
    <row r="1021" spans="1:27" x14ac:dyDescent="0.25">
      <c r="A1021" s="89">
        <v>1020</v>
      </c>
      <c r="B1021" s="68">
        <v>45974</v>
      </c>
      <c r="C1021" s="40">
        <v>144</v>
      </c>
      <c r="D1021" s="40">
        <f t="shared" si="84"/>
        <v>1</v>
      </c>
      <c r="E1021" s="209" t="s">
        <v>1201</v>
      </c>
      <c r="F1021" s="42" t="s">
        <v>58</v>
      </c>
      <c r="G1021" s="17" t="s">
        <v>86</v>
      </c>
      <c r="H1021" s="17">
        <v>128</v>
      </c>
      <c r="I1021" s="17" t="str">
        <f t="shared" si="91"/>
        <v>AER 2_PN-128</v>
      </c>
      <c r="J1021" s="18" t="s">
        <v>85</v>
      </c>
      <c r="K1021" s="19"/>
      <c r="L1021" s="19"/>
      <c r="M1021" s="19"/>
      <c r="N1021" s="19"/>
      <c r="O1021" s="19"/>
      <c r="P1021" s="19"/>
      <c r="Q1021" s="77" t="str">
        <f>VLOOKUP(J1021,'p1'!$B$2:$C$30,2,0)</f>
        <v>NÃO TEM CHAPA</v>
      </c>
      <c r="R1021" s="94">
        <v>45988</v>
      </c>
      <c r="S1021" s="90" t="s">
        <v>217</v>
      </c>
      <c r="T1021" s="90">
        <f t="shared" si="92"/>
        <v>1</v>
      </c>
      <c r="U1021" s="94">
        <v>45988</v>
      </c>
      <c r="V1021" s="90" t="s">
        <v>86</v>
      </c>
      <c r="W1021" s="92">
        <v>2679</v>
      </c>
      <c r="X1021" s="93">
        <f t="shared" si="86"/>
        <v>1</v>
      </c>
      <c r="Y1021" s="92"/>
      <c r="Z1021" s="92"/>
      <c r="AA1021" s="13" t="str">
        <f t="shared" si="87"/>
        <v>nov/2025</v>
      </c>
    </row>
    <row r="1022" spans="1:27" x14ac:dyDescent="0.25">
      <c r="A1022" s="89">
        <v>1021</v>
      </c>
      <c r="B1022" s="68">
        <v>45974</v>
      </c>
      <c r="C1022" s="40">
        <v>144</v>
      </c>
      <c r="D1022" s="40">
        <f t="shared" si="84"/>
        <v>1</v>
      </c>
      <c r="E1022" s="209" t="s">
        <v>1201</v>
      </c>
      <c r="F1022" s="42" t="s">
        <v>58</v>
      </c>
      <c r="G1022" s="17" t="s">
        <v>86</v>
      </c>
      <c r="H1022" s="17">
        <v>129</v>
      </c>
      <c r="I1022" s="17" t="str">
        <f t="shared" si="91"/>
        <v>AER 2_PN-129</v>
      </c>
      <c r="J1022" s="18" t="s">
        <v>85</v>
      </c>
      <c r="K1022" s="19"/>
      <c r="L1022" s="19"/>
      <c r="M1022" s="19"/>
      <c r="N1022" s="19"/>
      <c r="O1022" s="19"/>
      <c r="P1022" s="19"/>
      <c r="Q1022" s="77" t="str">
        <f>VLOOKUP(J1022,'p1'!$B$2:$C$30,2,0)</f>
        <v>NÃO TEM CHAPA</v>
      </c>
      <c r="R1022" s="90"/>
      <c r="S1022" s="90" t="s">
        <v>217</v>
      </c>
      <c r="T1022" s="90">
        <f t="shared" si="92"/>
        <v>0</v>
      </c>
      <c r="U1022" s="90"/>
      <c r="V1022" s="90"/>
      <c r="W1022" s="92"/>
      <c r="X1022" s="93" t="str">
        <f t="shared" si="86"/>
        <v/>
      </c>
      <c r="Y1022" s="92"/>
      <c r="Z1022" s="92"/>
      <c r="AA1022" s="13" t="str">
        <f t="shared" si="87"/>
        <v>jan/1900</v>
      </c>
    </row>
    <row r="1023" spans="1:27" x14ac:dyDescent="0.25">
      <c r="A1023" s="89">
        <v>1022</v>
      </c>
      <c r="B1023" s="68">
        <v>45974</v>
      </c>
      <c r="C1023" s="40">
        <v>144</v>
      </c>
      <c r="D1023" s="40">
        <f t="shared" si="84"/>
        <v>1</v>
      </c>
      <c r="E1023" s="209" t="s">
        <v>1201</v>
      </c>
      <c r="F1023" s="42" t="s">
        <v>58</v>
      </c>
      <c r="G1023" s="17" t="s">
        <v>86</v>
      </c>
      <c r="H1023" s="17">
        <v>130</v>
      </c>
      <c r="I1023" s="17" t="str">
        <f t="shared" si="91"/>
        <v>AER 2_PN-130</v>
      </c>
      <c r="J1023" s="18" t="s">
        <v>85</v>
      </c>
      <c r="K1023" s="19"/>
      <c r="L1023" s="19"/>
      <c r="M1023" s="19"/>
      <c r="N1023" s="19"/>
      <c r="O1023" s="19"/>
      <c r="P1023" s="19"/>
      <c r="Q1023" s="77" t="str">
        <f>VLOOKUP(J1023,'p1'!$B$2:$C$30,2,0)</f>
        <v>NÃO TEM CHAPA</v>
      </c>
      <c r="R1023" s="90"/>
      <c r="S1023" s="90" t="s">
        <v>217</v>
      </c>
      <c r="T1023" s="90">
        <f t="shared" si="92"/>
        <v>0</v>
      </c>
      <c r="U1023" s="90"/>
      <c r="V1023" s="90"/>
      <c r="W1023" s="92"/>
      <c r="X1023" s="93" t="str">
        <f t="shared" si="86"/>
        <v/>
      </c>
      <c r="Y1023" s="92"/>
      <c r="Z1023" s="92"/>
      <c r="AA1023" s="13" t="str">
        <f t="shared" si="87"/>
        <v>jan/1900</v>
      </c>
    </row>
    <row r="1024" spans="1:27" x14ac:dyDescent="0.25">
      <c r="A1024" s="89">
        <v>1023</v>
      </c>
      <c r="B1024" s="68">
        <v>45978</v>
      </c>
      <c r="C1024" s="40">
        <v>147</v>
      </c>
      <c r="D1024" s="40">
        <f t="shared" si="84"/>
        <v>1</v>
      </c>
      <c r="E1024" s="209" t="s">
        <v>1201</v>
      </c>
      <c r="F1024" s="42" t="s">
        <v>58</v>
      </c>
      <c r="G1024" s="17" t="s">
        <v>86</v>
      </c>
      <c r="H1024" s="17">
        <v>131</v>
      </c>
      <c r="I1024" s="17" t="str">
        <f t="shared" si="91"/>
        <v>AER 2_PN-131</v>
      </c>
      <c r="J1024" s="18" t="s">
        <v>85</v>
      </c>
      <c r="K1024" s="19"/>
      <c r="L1024" s="19"/>
      <c r="M1024" s="19"/>
      <c r="N1024" s="19"/>
      <c r="O1024" s="19"/>
      <c r="P1024" s="19"/>
      <c r="Q1024" s="77" t="str">
        <f>VLOOKUP(J1024,'p1'!$B$2:$C$30,2,0)</f>
        <v>NÃO TEM CHAPA</v>
      </c>
      <c r="R1024" s="94">
        <v>45988</v>
      </c>
      <c r="S1024" s="90" t="s">
        <v>217</v>
      </c>
      <c r="T1024" s="90">
        <f t="shared" si="92"/>
        <v>1</v>
      </c>
      <c r="U1024" s="94">
        <v>45988</v>
      </c>
      <c r="V1024" s="90" t="s">
        <v>86</v>
      </c>
      <c r="W1024" s="92">
        <v>2678</v>
      </c>
      <c r="X1024" s="93">
        <f t="shared" si="86"/>
        <v>1</v>
      </c>
      <c r="Y1024" s="92"/>
      <c r="Z1024" s="92"/>
      <c r="AA1024" s="13" t="str">
        <f t="shared" si="87"/>
        <v>nov/2025</v>
      </c>
    </row>
    <row r="1025" spans="1:27" x14ac:dyDescent="0.25">
      <c r="A1025" s="89">
        <v>1024</v>
      </c>
      <c r="B1025" s="68">
        <v>45985</v>
      </c>
      <c r="C1025" s="40">
        <v>154</v>
      </c>
      <c r="D1025" s="40">
        <f t="shared" ref="D1025:D1088" si="93">IF(B1025&gt;0,1,"")</f>
        <v>1</v>
      </c>
      <c r="E1025" s="209" t="s">
        <v>1201</v>
      </c>
      <c r="F1025" s="42" t="s">
        <v>123</v>
      </c>
      <c r="G1025" s="17" t="s">
        <v>86</v>
      </c>
      <c r="H1025" s="17">
        <v>132</v>
      </c>
      <c r="I1025" s="17" t="str">
        <f t="shared" si="91"/>
        <v>AER 2_PNI-132</v>
      </c>
      <c r="J1025" s="18" t="s">
        <v>123</v>
      </c>
      <c r="K1025" s="19"/>
      <c r="L1025" s="19"/>
      <c r="M1025" s="19"/>
      <c r="N1025" s="19"/>
      <c r="O1025" s="19"/>
      <c r="P1025" s="19"/>
      <c r="Q1025" s="77" t="str">
        <f>VLOOKUP(J1025,'p1'!$B$2:$C$30,2,0)</f>
        <v>02- 150X150 #3/8</v>
      </c>
      <c r="R1025" s="94">
        <v>45996</v>
      </c>
      <c r="S1025" s="90" t="s">
        <v>217</v>
      </c>
      <c r="T1025" s="90">
        <f t="shared" si="92"/>
        <v>1</v>
      </c>
      <c r="U1025" s="94">
        <v>45996</v>
      </c>
      <c r="V1025" s="90" t="s">
        <v>86</v>
      </c>
      <c r="W1025" s="92">
        <v>2701</v>
      </c>
      <c r="X1025" s="93">
        <f t="shared" ref="X1025:X1088" si="94">IF(U1025&gt;0,1,"")</f>
        <v>1</v>
      </c>
      <c r="Y1025" s="92"/>
      <c r="Z1025" s="92"/>
      <c r="AA1025" s="13" t="str">
        <f t="shared" si="87"/>
        <v>dez/2025</v>
      </c>
    </row>
    <row r="1026" spans="1:27" x14ac:dyDescent="0.25">
      <c r="A1026" s="89">
        <v>1025</v>
      </c>
      <c r="B1026" s="68">
        <v>45978</v>
      </c>
      <c r="C1026" s="40">
        <v>147</v>
      </c>
      <c r="D1026" s="40">
        <f t="shared" si="93"/>
        <v>1</v>
      </c>
      <c r="E1026" s="209" t="s">
        <v>1201</v>
      </c>
      <c r="F1026" s="42" t="s">
        <v>58</v>
      </c>
      <c r="G1026" s="17" t="s">
        <v>86</v>
      </c>
      <c r="H1026" s="17">
        <v>133</v>
      </c>
      <c r="I1026" s="17" t="str">
        <f t="shared" si="91"/>
        <v>AER 2_PN-133</v>
      </c>
      <c r="J1026" s="18" t="s">
        <v>85</v>
      </c>
      <c r="K1026" s="19"/>
      <c r="L1026" s="19"/>
      <c r="M1026" s="19"/>
      <c r="N1026" s="19"/>
      <c r="O1026" s="19"/>
      <c r="P1026" s="19"/>
      <c r="Q1026" s="77" t="str">
        <f>VLOOKUP(J1026,'p1'!$B$2:$C$30,2,0)</f>
        <v>NÃO TEM CHAPA</v>
      </c>
      <c r="R1026" s="94">
        <v>45988</v>
      </c>
      <c r="S1026" s="90" t="s">
        <v>217</v>
      </c>
      <c r="T1026" s="90">
        <f t="shared" si="92"/>
        <v>1</v>
      </c>
      <c r="U1026" s="94">
        <v>45988</v>
      </c>
      <c r="V1026" s="90" t="s">
        <v>86</v>
      </c>
      <c r="W1026" s="92">
        <v>2678</v>
      </c>
      <c r="X1026" s="93">
        <f t="shared" si="94"/>
        <v>1</v>
      </c>
      <c r="Y1026" s="92"/>
      <c r="Z1026" s="92"/>
      <c r="AA1026" s="13" t="str">
        <f t="shared" si="87"/>
        <v>nov/2025</v>
      </c>
    </row>
    <row r="1027" spans="1:27" x14ac:dyDescent="0.25">
      <c r="A1027" s="89">
        <v>1026</v>
      </c>
      <c r="B1027" s="68">
        <v>45978</v>
      </c>
      <c r="C1027" s="40">
        <v>147</v>
      </c>
      <c r="D1027" s="40">
        <f t="shared" si="93"/>
        <v>1</v>
      </c>
      <c r="E1027" s="209" t="s">
        <v>1201</v>
      </c>
      <c r="F1027" s="42" t="s">
        <v>58</v>
      </c>
      <c r="G1027" s="17" t="s">
        <v>86</v>
      </c>
      <c r="H1027" s="17">
        <v>134</v>
      </c>
      <c r="I1027" s="17" t="str">
        <f t="shared" si="91"/>
        <v>AER 2_PN-134</v>
      </c>
      <c r="J1027" s="18" t="s">
        <v>85</v>
      </c>
      <c r="K1027" s="19"/>
      <c r="L1027" s="19"/>
      <c r="M1027" s="19"/>
      <c r="N1027" s="19"/>
      <c r="O1027" s="19"/>
      <c r="P1027" s="19"/>
      <c r="Q1027" s="77" t="str">
        <f>VLOOKUP(J1027,'p1'!$B$2:$C$30,2,0)</f>
        <v>NÃO TEM CHAPA</v>
      </c>
      <c r="R1027" s="94">
        <v>45987</v>
      </c>
      <c r="S1027" s="90" t="s">
        <v>217</v>
      </c>
      <c r="T1027" s="90">
        <f t="shared" si="92"/>
        <v>1</v>
      </c>
      <c r="U1027" s="94">
        <v>45987</v>
      </c>
      <c r="V1027" s="90" t="s">
        <v>86</v>
      </c>
      <c r="W1027" s="92">
        <v>2676</v>
      </c>
      <c r="X1027" s="93">
        <f t="shared" si="94"/>
        <v>1</v>
      </c>
      <c r="Y1027" s="92"/>
      <c r="Z1027" s="92"/>
      <c r="AA1027" s="13" t="str">
        <f t="shared" ref="AA1027:AA1090" si="95">TEXT(R1027,"mmm/aaaa")</f>
        <v>nov/2025</v>
      </c>
    </row>
    <row r="1028" spans="1:27" x14ac:dyDescent="0.25">
      <c r="A1028" s="89">
        <v>1027</v>
      </c>
      <c r="B1028" s="68">
        <v>45980</v>
      </c>
      <c r="C1028" s="40">
        <v>149</v>
      </c>
      <c r="D1028" s="40">
        <f t="shared" si="93"/>
        <v>1</v>
      </c>
      <c r="E1028" s="209" t="s">
        <v>1201</v>
      </c>
      <c r="F1028" s="42" t="s">
        <v>58</v>
      </c>
      <c r="G1028" s="17" t="s">
        <v>86</v>
      </c>
      <c r="H1028" s="17">
        <v>135</v>
      </c>
      <c r="I1028" s="17" t="str">
        <f t="shared" ref="I1028:I1081" si="96">_xlfn.CONCAT("AER 2_",F1028,G1028,H1028)</f>
        <v>AER 2_PN-135</v>
      </c>
      <c r="J1028" s="18" t="s">
        <v>85</v>
      </c>
      <c r="K1028" s="19"/>
      <c r="L1028" s="19"/>
      <c r="M1028" s="19"/>
      <c r="N1028" s="19"/>
      <c r="O1028" s="19"/>
      <c r="P1028" s="19"/>
      <c r="Q1028" s="77" t="str">
        <f>VLOOKUP(J1028,'p1'!$B$2:$C$30,2,0)</f>
        <v>NÃO TEM CHAPA</v>
      </c>
      <c r="R1028" s="94">
        <v>45992</v>
      </c>
      <c r="S1028" s="90" t="s">
        <v>217</v>
      </c>
      <c r="T1028" s="90">
        <f t="shared" ref="T1028:T1091" si="97">IF(R1028="",0,1)</f>
        <v>1</v>
      </c>
      <c r="U1028" s="94">
        <v>45992</v>
      </c>
      <c r="V1028" s="90" t="s">
        <v>86</v>
      </c>
      <c r="W1028" s="92">
        <v>2685</v>
      </c>
      <c r="X1028" s="93">
        <f t="shared" si="94"/>
        <v>1</v>
      </c>
      <c r="Y1028" s="92"/>
      <c r="Z1028" s="92"/>
      <c r="AA1028" s="13" t="str">
        <f t="shared" si="95"/>
        <v>dez/2025</v>
      </c>
    </row>
    <row r="1029" spans="1:27" x14ac:dyDescent="0.25">
      <c r="A1029" s="89">
        <v>1028</v>
      </c>
      <c r="B1029" s="68">
        <v>45980</v>
      </c>
      <c r="C1029" s="40">
        <v>149</v>
      </c>
      <c r="D1029" s="40">
        <f t="shared" si="93"/>
        <v>1</v>
      </c>
      <c r="E1029" s="209" t="s">
        <v>1201</v>
      </c>
      <c r="F1029" s="42" t="s">
        <v>58</v>
      </c>
      <c r="G1029" s="17" t="s">
        <v>86</v>
      </c>
      <c r="H1029" s="17">
        <v>136</v>
      </c>
      <c r="I1029" s="17" t="str">
        <f t="shared" si="96"/>
        <v>AER 2_PN-136</v>
      </c>
      <c r="J1029" s="18" t="s">
        <v>85</v>
      </c>
      <c r="K1029" s="19"/>
      <c r="L1029" s="19"/>
      <c r="M1029" s="19"/>
      <c r="N1029" s="19"/>
      <c r="O1029" s="19"/>
      <c r="P1029" s="19"/>
      <c r="Q1029" s="77" t="str">
        <f>VLOOKUP(J1029,'p1'!$B$2:$C$30,2,0)</f>
        <v>NÃO TEM CHAPA</v>
      </c>
      <c r="R1029" s="94">
        <v>45989</v>
      </c>
      <c r="S1029" s="90" t="s">
        <v>217</v>
      </c>
      <c r="T1029" s="90">
        <f t="shared" si="97"/>
        <v>1</v>
      </c>
      <c r="U1029" s="94">
        <v>45989</v>
      </c>
      <c r="V1029" s="90" t="s">
        <v>86</v>
      </c>
      <c r="W1029" s="92">
        <v>2684</v>
      </c>
      <c r="X1029" s="93">
        <f t="shared" si="94"/>
        <v>1</v>
      </c>
      <c r="Y1029" s="92"/>
      <c r="Z1029" s="92"/>
      <c r="AA1029" s="13" t="str">
        <f t="shared" si="95"/>
        <v>nov/2025</v>
      </c>
    </row>
    <row r="1030" spans="1:27" x14ac:dyDescent="0.25">
      <c r="A1030" s="89">
        <v>1029</v>
      </c>
      <c r="B1030" s="68">
        <v>45980</v>
      </c>
      <c r="C1030" s="40">
        <v>149</v>
      </c>
      <c r="D1030" s="40">
        <f t="shared" si="93"/>
        <v>1</v>
      </c>
      <c r="E1030" s="209" t="s">
        <v>1201</v>
      </c>
      <c r="F1030" s="42" t="s">
        <v>58</v>
      </c>
      <c r="G1030" s="17" t="s">
        <v>86</v>
      </c>
      <c r="H1030" s="17">
        <v>137</v>
      </c>
      <c r="I1030" s="17" t="str">
        <f t="shared" si="96"/>
        <v>AER 2_PN-137</v>
      </c>
      <c r="J1030" s="18" t="s">
        <v>85</v>
      </c>
      <c r="K1030" s="19"/>
      <c r="L1030" s="19"/>
      <c r="M1030" s="19"/>
      <c r="N1030" s="19"/>
      <c r="O1030" s="19"/>
      <c r="P1030" s="19"/>
      <c r="Q1030" s="77" t="str">
        <f>VLOOKUP(J1030,'p1'!$B$2:$C$30,2,0)</f>
        <v>NÃO TEM CHAPA</v>
      </c>
      <c r="R1030" s="94">
        <v>45992</v>
      </c>
      <c r="S1030" s="90" t="s">
        <v>217</v>
      </c>
      <c r="T1030" s="90">
        <f t="shared" si="97"/>
        <v>1</v>
      </c>
      <c r="U1030" s="94">
        <v>45992</v>
      </c>
      <c r="V1030" s="90" t="s">
        <v>86</v>
      </c>
      <c r="W1030" s="92">
        <v>2685</v>
      </c>
      <c r="X1030" s="93">
        <f t="shared" si="94"/>
        <v>1</v>
      </c>
      <c r="Y1030" s="92"/>
      <c r="Z1030" s="92"/>
      <c r="AA1030" s="13" t="str">
        <f t="shared" si="95"/>
        <v>dez/2025</v>
      </c>
    </row>
    <row r="1031" spans="1:27" x14ac:dyDescent="0.25">
      <c r="A1031" s="89">
        <v>1030</v>
      </c>
      <c r="B1031" s="68">
        <v>45985</v>
      </c>
      <c r="C1031" s="40">
        <v>154</v>
      </c>
      <c r="D1031" s="40">
        <f t="shared" si="93"/>
        <v>1</v>
      </c>
      <c r="E1031" s="209" t="s">
        <v>1201</v>
      </c>
      <c r="F1031" s="42" t="s">
        <v>123</v>
      </c>
      <c r="G1031" s="17" t="s">
        <v>86</v>
      </c>
      <c r="H1031" s="17">
        <v>138</v>
      </c>
      <c r="I1031" s="17" t="str">
        <f t="shared" si="96"/>
        <v>AER 2_PNI-138</v>
      </c>
      <c r="J1031" s="18" t="s">
        <v>123</v>
      </c>
      <c r="K1031" s="19"/>
      <c r="L1031" s="19"/>
      <c r="M1031" s="19"/>
      <c r="N1031" s="19"/>
      <c r="O1031" s="19"/>
      <c r="P1031" s="19"/>
      <c r="Q1031" s="77" t="str">
        <f>VLOOKUP(J1031,'p1'!$B$2:$C$30,2,0)</f>
        <v>02- 150X150 #3/8</v>
      </c>
      <c r="R1031" s="94">
        <v>45993</v>
      </c>
      <c r="S1031" s="90" t="s">
        <v>217</v>
      </c>
      <c r="T1031" s="90">
        <f t="shared" si="97"/>
        <v>1</v>
      </c>
      <c r="U1031" s="94">
        <v>45995</v>
      </c>
      <c r="V1031" s="90" t="s">
        <v>86</v>
      </c>
      <c r="W1031" s="92">
        <v>2694</v>
      </c>
      <c r="X1031" s="93">
        <f t="shared" si="94"/>
        <v>1</v>
      </c>
      <c r="Y1031" s="92"/>
      <c r="Z1031" s="92"/>
      <c r="AA1031" s="13" t="str">
        <f t="shared" si="95"/>
        <v>dez/2025</v>
      </c>
    </row>
    <row r="1032" spans="1:27" x14ac:dyDescent="0.25">
      <c r="A1032" s="89">
        <v>1031</v>
      </c>
      <c r="B1032" s="68">
        <v>45980</v>
      </c>
      <c r="C1032" s="40">
        <v>149</v>
      </c>
      <c r="D1032" s="40">
        <f t="shared" si="93"/>
        <v>1</v>
      </c>
      <c r="E1032" s="209" t="s">
        <v>1201</v>
      </c>
      <c r="F1032" s="42" t="s">
        <v>58</v>
      </c>
      <c r="G1032" s="17" t="s">
        <v>86</v>
      </c>
      <c r="H1032" s="17">
        <v>139</v>
      </c>
      <c r="I1032" s="17" t="str">
        <f t="shared" si="96"/>
        <v>AER 2_PN-139</v>
      </c>
      <c r="J1032" s="18" t="s">
        <v>85</v>
      </c>
      <c r="K1032" s="19"/>
      <c r="L1032" s="19"/>
      <c r="M1032" s="19"/>
      <c r="N1032" s="19"/>
      <c r="O1032" s="19"/>
      <c r="P1032" s="19"/>
      <c r="Q1032" s="77" t="str">
        <f>VLOOKUP(J1032,'p1'!$B$2:$C$30,2,0)</f>
        <v>NÃO TEM CHAPA</v>
      </c>
      <c r="R1032" s="94">
        <v>45989</v>
      </c>
      <c r="S1032" s="90" t="s">
        <v>217</v>
      </c>
      <c r="T1032" s="90">
        <f t="shared" si="97"/>
        <v>1</v>
      </c>
      <c r="U1032" s="94">
        <v>45989</v>
      </c>
      <c r="V1032" s="90" t="s">
        <v>86</v>
      </c>
      <c r="W1032" s="92">
        <v>2683</v>
      </c>
      <c r="X1032" s="93">
        <f t="shared" si="94"/>
        <v>1</v>
      </c>
      <c r="Y1032" s="92"/>
      <c r="Z1032" s="92"/>
      <c r="AA1032" s="13" t="str">
        <f t="shared" si="95"/>
        <v>nov/2025</v>
      </c>
    </row>
    <row r="1033" spans="1:27" x14ac:dyDescent="0.25">
      <c r="A1033" s="89">
        <v>1032</v>
      </c>
      <c r="B1033" s="68">
        <v>45980</v>
      </c>
      <c r="C1033" s="40">
        <v>149</v>
      </c>
      <c r="D1033" s="40">
        <f t="shared" si="93"/>
        <v>1</v>
      </c>
      <c r="E1033" s="209" t="s">
        <v>1201</v>
      </c>
      <c r="F1033" s="42" t="s">
        <v>58</v>
      </c>
      <c r="G1033" s="17" t="s">
        <v>86</v>
      </c>
      <c r="H1033" s="17">
        <v>140</v>
      </c>
      <c r="I1033" s="17" t="str">
        <f t="shared" si="96"/>
        <v>AER 2_PN-140</v>
      </c>
      <c r="J1033" s="18" t="s">
        <v>85</v>
      </c>
      <c r="K1033" s="19"/>
      <c r="L1033" s="19"/>
      <c r="M1033" s="19"/>
      <c r="N1033" s="19"/>
      <c r="O1033" s="19"/>
      <c r="P1033" s="19"/>
      <c r="Q1033" s="77" t="str">
        <f>VLOOKUP(J1033,'p1'!$B$2:$C$30,2,0)</f>
        <v>NÃO TEM CHAPA</v>
      </c>
      <c r="R1033" s="94">
        <v>45989</v>
      </c>
      <c r="S1033" s="90" t="s">
        <v>217</v>
      </c>
      <c r="T1033" s="90">
        <f t="shared" si="97"/>
        <v>1</v>
      </c>
      <c r="U1033" s="94">
        <v>45989</v>
      </c>
      <c r="V1033" s="90" t="s">
        <v>86</v>
      </c>
      <c r="W1033" s="92">
        <v>2684</v>
      </c>
      <c r="X1033" s="93">
        <f t="shared" si="94"/>
        <v>1</v>
      </c>
      <c r="Y1033" s="92"/>
      <c r="Z1033" s="92"/>
      <c r="AA1033" s="13" t="str">
        <f t="shared" si="95"/>
        <v>nov/2025</v>
      </c>
    </row>
    <row r="1034" spans="1:27" x14ac:dyDescent="0.25">
      <c r="A1034" s="89">
        <v>1033</v>
      </c>
      <c r="B1034" s="68">
        <v>45988</v>
      </c>
      <c r="C1034" s="40">
        <v>157</v>
      </c>
      <c r="D1034" s="40">
        <f t="shared" si="93"/>
        <v>1</v>
      </c>
      <c r="E1034" s="209" t="s">
        <v>1201</v>
      </c>
      <c r="F1034" s="42" t="s">
        <v>60</v>
      </c>
      <c r="G1034" s="17" t="s">
        <v>86</v>
      </c>
      <c r="H1034" s="17">
        <v>141</v>
      </c>
      <c r="I1034" s="17" t="str">
        <f t="shared" si="96"/>
        <v>AER 2_PE-141</v>
      </c>
      <c r="J1034" s="18" t="s">
        <v>60</v>
      </c>
      <c r="K1034" s="19"/>
      <c r="L1034" s="19"/>
      <c r="M1034" s="19"/>
      <c r="N1034" s="19"/>
      <c r="O1034" s="19"/>
      <c r="P1034" s="19"/>
      <c r="Q1034" s="77" t="s">
        <v>1212</v>
      </c>
      <c r="R1034" s="94">
        <v>45994</v>
      </c>
      <c r="S1034" s="90" t="s">
        <v>217</v>
      </c>
      <c r="T1034" s="90">
        <f t="shared" si="97"/>
        <v>1</v>
      </c>
      <c r="U1034" s="94">
        <v>45994</v>
      </c>
      <c r="V1034" s="90" t="s">
        <v>86</v>
      </c>
      <c r="W1034" s="92">
        <v>2692</v>
      </c>
      <c r="X1034" s="93">
        <f t="shared" si="94"/>
        <v>1</v>
      </c>
      <c r="Y1034" s="92"/>
      <c r="Z1034" s="92"/>
      <c r="AA1034" s="13" t="str">
        <f t="shared" si="95"/>
        <v>dez/2025</v>
      </c>
    </row>
    <row r="1035" spans="1:27" x14ac:dyDescent="0.25">
      <c r="A1035" s="89">
        <v>1034</v>
      </c>
      <c r="B1035" s="68">
        <v>45988</v>
      </c>
      <c r="C1035" s="40">
        <v>157</v>
      </c>
      <c r="D1035" s="40">
        <f t="shared" si="93"/>
        <v>1</v>
      </c>
      <c r="E1035" s="209" t="s">
        <v>1201</v>
      </c>
      <c r="F1035" s="42" t="s">
        <v>60</v>
      </c>
      <c r="G1035" s="17" t="s">
        <v>86</v>
      </c>
      <c r="H1035" s="17">
        <v>142</v>
      </c>
      <c r="I1035" s="17" t="str">
        <f t="shared" si="96"/>
        <v>AER 2_PE-142</v>
      </c>
      <c r="J1035" s="18" t="s">
        <v>60</v>
      </c>
      <c r="K1035" s="19"/>
      <c r="L1035" s="19"/>
      <c r="M1035" s="19"/>
      <c r="N1035" s="19"/>
      <c r="O1035" s="19"/>
      <c r="P1035" s="19"/>
      <c r="Q1035" s="77" t="s">
        <v>1212</v>
      </c>
      <c r="R1035" s="94">
        <v>45993</v>
      </c>
      <c r="S1035" s="90" t="s">
        <v>217</v>
      </c>
      <c r="T1035" s="90">
        <f t="shared" si="97"/>
        <v>1</v>
      </c>
      <c r="U1035" s="94">
        <v>45995</v>
      </c>
      <c r="V1035" s="90" t="s">
        <v>86</v>
      </c>
      <c r="W1035" s="92">
        <v>2695</v>
      </c>
      <c r="X1035" s="93">
        <f t="shared" si="94"/>
        <v>1</v>
      </c>
      <c r="Y1035" s="92"/>
      <c r="Z1035" s="92"/>
      <c r="AA1035" s="13" t="str">
        <f t="shared" si="95"/>
        <v>dez/2025</v>
      </c>
    </row>
    <row r="1036" spans="1:27" x14ac:dyDescent="0.25">
      <c r="A1036" s="89">
        <v>1035</v>
      </c>
      <c r="B1036" s="68">
        <v>45982</v>
      </c>
      <c r="C1036" s="40">
        <v>152</v>
      </c>
      <c r="D1036" s="40">
        <f t="shared" si="93"/>
        <v>1</v>
      </c>
      <c r="E1036" s="209" t="s">
        <v>1201</v>
      </c>
      <c r="F1036" s="42" t="s">
        <v>58</v>
      </c>
      <c r="G1036" s="17" t="s">
        <v>86</v>
      </c>
      <c r="H1036" s="17">
        <v>143</v>
      </c>
      <c r="I1036" s="17" t="str">
        <f t="shared" si="96"/>
        <v>AER 2_PN-143</v>
      </c>
      <c r="J1036" s="18" t="s">
        <v>85</v>
      </c>
      <c r="K1036" s="19"/>
      <c r="L1036" s="19"/>
      <c r="M1036" s="19"/>
      <c r="N1036" s="19"/>
      <c r="O1036" s="19"/>
      <c r="P1036" s="19"/>
      <c r="Q1036" s="77" t="str">
        <f>VLOOKUP(J1036,'p1'!$B$2:$C$30,2,0)</f>
        <v>NÃO TEM CHAPA</v>
      </c>
      <c r="R1036" s="94">
        <v>45987</v>
      </c>
      <c r="S1036" s="90" t="s">
        <v>217</v>
      </c>
      <c r="T1036" s="90">
        <f t="shared" si="97"/>
        <v>1</v>
      </c>
      <c r="U1036" s="94">
        <v>45993</v>
      </c>
      <c r="V1036" s="90" t="s">
        <v>86</v>
      </c>
      <c r="W1036" s="92">
        <v>2688</v>
      </c>
      <c r="X1036" s="93">
        <f t="shared" si="94"/>
        <v>1</v>
      </c>
      <c r="Y1036" s="92"/>
      <c r="Z1036" s="92"/>
      <c r="AA1036" s="13" t="str">
        <f t="shared" si="95"/>
        <v>nov/2025</v>
      </c>
    </row>
    <row r="1037" spans="1:27" x14ac:dyDescent="0.25">
      <c r="A1037" s="89">
        <v>1036</v>
      </c>
      <c r="B1037" s="68">
        <v>45988</v>
      </c>
      <c r="C1037" s="40">
        <v>157</v>
      </c>
      <c r="D1037" s="40">
        <f t="shared" si="93"/>
        <v>1</v>
      </c>
      <c r="E1037" s="209" t="s">
        <v>1201</v>
      </c>
      <c r="F1037" s="42" t="s">
        <v>123</v>
      </c>
      <c r="G1037" s="17" t="s">
        <v>86</v>
      </c>
      <c r="H1037" s="17">
        <v>144</v>
      </c>
      <c r="I1037" s="17" t="str">
        <f t="shared" si="96"/>
        <v>AER 2_PNI-144</v>
      </c>
      <c r="J1037" s="18" t="s">
        <v>123</v>
      </c>
      <c r="K1037" s="19"/>
      <c r="L1037" s="19"/>
      <c r="M1037" s="19"/>
      <c r="N1037" s="19"/>
      <c r="O1037" s="19"/>
      <c r="P1037" s="19"/>
      <c r="Q1037" s="77" t="str">
        <f>VLOOKUP(J1037,'p1'!$B$2:$C$30,2,0)</f>
        <v>02- 150X150 #3/8</v>
      </c>
      <c r="R1037" s="94">
        <v>45995</v>
      </c>
      <c r="S1037" s="90" t="s">
        <v>217</v>
      </c>
      <c r="T1037" s="90">
        <f t="shared" si="97"/>
        <v>1</v>
      </c>
      <c r="U1037" s="94">
        <v>45995</v>
      </c>
      <c r="V1037" s="90" t="s">
        <v>86</v>
      </c>
      <c r="W1037" s="92">
        <v>2696</v>
      </c>
      <c r="X1037" s="93">
        <f t="shared" si="94"/>
        <v>1</v>
      </c>
      <c r="Y1037" s="92"/>
      <c r="Z1037" s="92"/>
      <c r="AA1037" s="13" t="str">
        <f t="shared" si="95"/>
        <v>dez/2025</v>
      </c>
    </row>
    <row r="1038" spans="1:27" x14ac:dyDescent="0.25">
      <c r="A1038" s="89">
        <v>1037</v>
      </c>
      <c r="B1038" s="68">
        <v>45982</v>
      </c>
      <c r="C1038" s="40">
        <v>152</v>
      </c>
      <c r="D1038" s="40">
        <f t="shared" si="93"/>
        <v>1</v>
      </c>
      <c r="E1038" s="209" t="s">
        <v>1201</v>
      </c>
      <c r="F1038" s="42" t="s">
        <v>58</v>
      </c>
      <c r="G1038" s="17" t="s">
        <v>86</v>
      </c>
      <c r="H1038" s="17">
        <v>145</v>
      </c>
      <c r="I1038" s="17" t="str">
        <f t="shared" si="96"/>
        <v>AER 2_PN-145</v>
      </c>
      <c r="J1038" s="18" t="s">
        <v>85</v>
      </c>
      <c r="K1038" s="19"/>
      <c r="L1038" s="19"/>
      <c r="M1038" s="19"/>
      <c r="N1038" s="19"/>
      <c r="O1038" s="19"/>
      <c r="P1038" s="19"/>
      <c r="Q1038" s="77" t="str">
        <f>VLOOKUP(J1038,'p1'!$B$2:$C$30,2,0)</f>
        <v>NÃO TEM CHAPA</v>
      </c>
      <c r="R1038" s="94">
        <v>45988</v>
      </c>
      <c r="S1038" s="90" t="s">
        <v>217</v>
      </c>
      <c r="T1038" s="90">
        <f t="shared" si="97"/>
        <v>1</v>
      </c>
      <c r="U1038" s="94">
        <v>45993</v>
      </c>
      <c r="V1038" s="90" t="s">
        <v>86</v>
      </c>
      <c r="W1038" s="92">
        <v>2687</v>
      </c>
      <c r="X1038" s="93">
        <f t="shared" si="94"/>
        <v>1</v>
      </c>
      <c r="Y1038" s="92"/>
      <c r="Z1038" s="92"/>
      <c r="AA1038" s="13" t="str">
        <f t="shared" si="95"/>
        <v>nov/2025</v>
      </c>
    </row>
    <row r="1039" spans="1:27" x14ac:dyDescent="0.25">
      <c r="A1039" s="89">
        <v>1038</v>
      </c>
      <c r="B1039" s="68">
        <v>45982</v>
      </c>
      <c r="C1039" s="40">
        <v>152</v>
      </c>
      <c r="D1039" s="40">
        <f t="shared" si="93"/>
        <v>1</v>
      </c>
      <c r="E1039" s="209" t="s">
        <v>1201</v>
      </c>
      <c r="F1039" s="42" t="s">
        <v>58</v>
      </c>
      <c r="G1039" s="17" t="s">
        <v>86</v>
      </c>
      <c r="H1039" s="17">
        <v>146</v>
      </c>
      <c r="I1039" s="17" t="str">
        <f t="shared" si="96"/>
        <v>AER 2_PN-146</v>
      </c>
      <c r="J1039" s="18" t="s">
        <v>85</v>
      </c>
      <c r="K1039" s="19"/>
      <c r="L1039" s="19"/>
      <c r="M1039" s="19"/>
      <c r="N1039" s="19"/>
      <c r="O1039" s="19"/>
      <c r="P1039" s="19"/>
      <c r="Q1039" s="77" t="str">
        <f>VLOOKUP(J1039,'p1'!$B$2:$C$30,2,0)</f>
        <v>NÃO TEM CHAPA</v>
      </c>
      <c r="R1039" s="94">
        <v>45988</v>
      </c>
      <c r="S1039" s="90" t="s">
        <v>217</v>
      </c>
      <c r="T1039" s="90">
        <f t="shared" si="97"/>
        <v>1</v>
      </c>
      <c r="U1039" s="94">
        <v>45993</v>
      </c>
      <c r="V1039" s="90" t="s">
        <v>86</v>
      </c>
      <c r="W1039" s="92">
        <v>2687</v>
      </c>
      <c r="X1039" s="93">
        <f t="shared" si="94"/>
        <v>1</v>
      </c>
      <c r="Y1039" s="92"/>
      <c r="Z1039" s="92"/>
      <c r="AA1039" s="13" t="str">
        <f t="shared" si="95"/>
        <v>nov/2025</v>
      </c>
    </row>
    <row r="1040" spans="1:27" x14ac:dyDescent="0.25">
      <c r="A1040" s="89">
        <v>1039</v>
      </c>
      <c r="B1040" s="68">
        <v>45982</v>
      </c>
      <c r="C1040" s="40">
        <v>152</v>
      </c>
      <c r="D1040" s="40">
        <f t="shared" si="93"/>
        <v>1</v>
      </c>
      <c r="E1040" s="209" t="s">
        <v>1201</v>
      </c>
      <c r="F1040" s="42" t="s">
        <v>58</v>
      </c>
      <c r="G1040" s="17" t="s">
        <v>86</v>
      </c>
      <c r="H1040" s="17">
        <v>147</v>
      </c>
      <c r="I1040" s="17" t="str">
        <f t="shared" si="96"/>
        <v>AER 2_PN-147</v>
      </c>
      <c r="J1040" s="18" t="s">
        <v>85</v>
      </c>
      <c r="K1040" s="19"/>
      <c r="L1040" s="19"/>
      <c r="M1040" s="19"/>
      <c r="N1040" s="19"/>
      <c r="O1040" s="19"/>
      <c r="P1040" s="19"/>
      <c r="Q1040" s="77" t="str">
        <f>VLOOKUP(J1040,'p1'!$B$2:$C$30,2,0)</f>
        <v>NÃO TEM CHAPA</v>
      </c>
      <c r="R1040" s="90"/>
      <c r="S1040" s="90" t="s">
        <v>217</v>
      </c>
      <c r="T1040" s="90">
        <f t="shared" si="97"/>
        <v>0</v>
      </c>
      <c r="U1040" s="90"/>
      <c r="V1040" s="90"/>
      <c r="W1040" s="92"/>
      <c r="X1040" s="93" t="str">
        <f t="shared" si="94"/>
        <v/>
      </c>
      <c r="Y1040" s="92"/>
      <c r="Z1040" s="92"/>
      <c r="AA1040" s="13" t="str">
        <f t="shared" si="95"/>
        <v>jan/1900</v>
      </c>
    </row>
    <row r="1041" spans="1:27" x14ac:dyDescent="0.25">
      <c r="A1041" s="89">
        <v>1040</v>
      </c>
      <c r="B1041" s="68">
        <v>45982</v>
      </c>
      <c r="C1041" s="40">
        <v>152</v>
      </c>
      <c r="D1041" s="40">
        <f t="shared" si="93"/>
        <v>1</v>
      </c>
      <c r="E1041" s="209" t="s">
        <v>1201</v>
      </c>
      <c r="F1041" s="42" t="s">
        <v>58</v>
      </c>
      <c r="G1041" s="17" t="s">
        <v>86</v>
      </c>
      <c r="H1041" s="17">
        <v>148</v>
      </c>
      <c r="I1041" s="17" t="str">
        <f t="shared" si="96"/>
        <v>AER 2_PN-148</v>
      </c>
      <c r="J1041" s="18" t="s">
        <v>85</v>
      </c>
      <c r="K1041" s="19"/>
      <c r="L1041" s="19"/>
      <c r="M1041" s="19"/>
      <c r="N1041" s="19"/>
      <c r="O1041" s="19"/>
      <c r="P1041" s="19"/>
      <c r="Q1041" s="77" t="str">
        <f>VLOOKUP(J1041,'p1'!$B$2:$C$30,2,0)</f>
        <v>NÃO TEM CHAPA</v>
      </c>
      <c r="R1041" s="90"/>
      <c r="S1041" s="90" t="s">
        <v>217</v>
      </c>
      <c r="T1041" s="90">
        <f t="shared" si="97"/>
        <v>0</v>
      </c>
      <c r="U1041" s="90"/>
      <c r="V1041" s="90"/>
      <c r="W1041" s="92"/>
      <c r="X1041" s="93" t="str">
        <f t="shared" si="94"/>
        <v/>
      </c>
      <c r="Y1041" s="92"/>
      <c r="Z1041" s="92"/>
      <c r="AA1041" s="13" t="str">
        <f t="shared" si="95"/>
        <v>jan/1900</v>
      </c>
    </row>
    <row r="1042" spans="1:27" x14ac:dyDescent="0.25">
      <c r="A1042" s="89">
        <v>1041</v>
      </c>
      <c r="B1042" s="68">
        <v>45985</v>
      </c>
      <c r="C1042" s="40">
        <v>154</v>
      </c>
      <c r="D1042" s="40">
        <f t="shared" si="93"/>
        <v>1</v>
      </c>
      <c r="E1042" s="209" t="s">
        <v>1201</v>
      </c>
      <c r="F1042" s="42" t="s">
        <v>58</v>
      </c>
      <c r="G1042" s="17" t="s">
        <v>86</v>
      </c>
      <c r="H1042" s="17">
        <v>149</v>
      </c>
      <c r="I1042" s="17" t="str">
        <f t="shared" si="96"/>
        <v>AER 2_PN-149</v>
      </c>
      <c r="J1042" s="18" t="s">
        <v>85</v>
      </c>
      <c r="K1042" s="19"/>
      <c r="L1042" s="19"/>
      <c r="M1042" s="19"/>
      <c r="N1042" s="19"/>
      <c r="O1042" s="19"/>
      <c r="P1042" s="19"/>
      <c r="Q1042" s="77" t="str">
        <f>VLOOKUP(J1042,'p1'!$B$2:$C$30,2,0)</f>
        <v>NÃO TEM CHAPA</v>
      </c>
      <c r="R1042" s="94">
        <v>45993</v>
      </c>
      <c r="S1042" s="90" t="s">
        <v>217</v>
      </c>
      <c r="T1042" s="90">
        <f t="shared" si="97"/>
        <v>1</v>
      </c>
      <c r="U1042" s="94">
        <v>45995</v>
      </c>
      <c r="V1042" s="90" t="s">
        <v>86</v>
      </c>
      <c r="W1042" s="92">
        <v>2695</v>
      </c>
      <c r="X1042" s="93">
        <f t="shared" si="94"/>
        <v>1</v>
      </c>
      <c r="Y1042" s="92"/>
      <c r="Z1042" s="92"/>
      <c r="AA1042" s="13" t="str">
        <f t="shared" si="95"/>
        <v>dez/2025</v>
      </c>
    </row>
    <row r="1043" spans="1:27" x14ac:dyDescent="0.25">
      <c r="A1043" s="89">
        <v>1042</v>
      </c>
      <c r="B1043" s="68">
        <v>45988</v>
      </c>
      <c r="C1043" s="40">
        <v>157</v>
      </c>
      <c r="D1043" s="40">
        <f t="shared" si="93"/>
        <v>1</v>
      </c>
      <c r="E1043" s="209" t="s">
        <v>1201</v>
      </c>
      <c r="F1043" s="42" t="s">
        <v>123</v>
      </c>
      <c r="G1043" s="17" t="s">
        <v>86</v>
      </c>
      <c r="H1043" s="17">
        <v>150</v>
      </c>
      <c r="I1043" s="17" t="str">
        <f t="shared" si="96"/>
        <v>AER 2_PNI-150</v>
      </c>
      <c r="J1043" s="18" t="s">
        <v>123</v>
      </c>
      <c r="K1043" s="19"/>
      <c r="L1043" s="19"/>
      <c r="M1043" s="19"/>
      <c r="N1043" s="19"/>
      <c r="O1043" s="19"/>
      <c r="P1043" s="19"/>
      <c r="Q1043" s="77" t="str">
        <f>VLOOKUP(J1043,'p1'!$B$2:$C$30,2,0)</f>
        <v>02- 150X150 #3/8</v>
      </c>
      <c r="R1043" s="94">
        <v>45995</v>
      </c>
      <c r="S1043" s="90" t="s">
        <v>217</v>
      </c>
      <c r="T1043" s="90">
        <f t="shared" si="97"/>
        <v>1</v>
      </c>
      <c r="U1043" s="94">
        <v>45995</v>
      </c>
      <c r="V1043" s="90" t="s">
        <v>86</v>
      </c>
      <c r="W1043" s="92">
        <v>2694</v>
      </c>
      <c r="X1043" s="93">
        <f t="shared" si="94"/>
        <v>1</v>
      </c>
      <c r="Y1043" s="92"/>
      <c r="Z1043" s="92"/>
      <c r="AA1043" s="13" t="str">
        <f t="shared" si="95"/>
        <v>dez/2025</v>
      </c>
    </row>
    <row r="1044" spans="1:27" x14ac:dyDescent="0.25">
      <c r="A1044" s="89">
        <v>1043</v>
      </c>
      <c r="B1044" s="68">
        <v>45985</v>
      </c>
      <c r="C1044" s="40">
        <v>154</v>
      </c>
      <c r="D1044" s="40">
        <f t="shared" si="93"/>
        <v>1</v>
      </c>
      <c r="E1044" s="209" t="s">
        <v>1201</v>
      </c>
      <c r="F1044" s="42" t="s">
        <v>58</v>
      </c>
      <c r="G1044" s="17" t="s">
        <v>86</v>
      </c>
      <c r="H1044" s="17">
        <v>151</v>
      </c>
      <c r="I1044" s="17" t="str">
        <f t="shared" si="96"/>
        <v>AER 2_PN-151</v>
      </c>
      <c r="J1044" s="18" t="s">
        <v>85</v>
      </c>
      <c r="K1044" s="19"/>
      <c r="L1044" s="19"/>
      <c r="M1044" s="19"/>
      <c r="N1044" s="19"/>
      <c r="O1044" s="19"/>
      <c r="P1044" s="19"/>
      <c r="Q1044" s="77" t="str">
        <f>VLOOKUP(J1044,'p1'!$B$2:$C$30,2,0)</f>
        <v>NÃO TEM CHAPA</v>
      </c>
      <c r="R1044" s="94">
        <v>45993</v>
      </c>
      <c r="S1044" s="90" t="s">
        <v>217</v>
      </c>
      <c r="T1044" s="90">
        <f t="shared" si="97"/>
        <v>1</v>
      </c>
      <c r="U1044" s="94">
        <v>45996</v>
      </c>
      <c r="V1044" s="90" t="s">
        <v>86</v>
      </c>
      <c r="W1044" s="92">
        <v>2698</v>
      </c>
      <c r="X1044" s="93">
        <f t="shared" si="94"/>
        <v>1</v>
      </c>
      <c r="Y1044" s="92"/>
      <c r="Z1044" s="92"/>
      <c r="AA1044" s="13" t="str">
        <f t="shared" si="95"/>
        <v>dez/2025</v>
      </c>
    </row>
    <row r="1045" spans="1:27" x14ac:dyDescent="0.25">
      <c r="A1045" s="89">
        <v>1044</v>
      </c>
      <c r="B1045" s="68">
        <v>45985</v>
      </c>
      <c r="C1045" s="40">
        <v>154</v>
      </c>
      <c r="D1045" s="40">
        <f t="shared" si="93"/>
        <v>1</v>
      </c>
      <c r="E1045" s="209" t="s">
        <v>1201</v>
      </c>
      <c r="F1045" s="42" t="s">
        <v>58</v>
      </c>
      <c r="G1045" s="17" t="s">
        <v>86</v>
      </c>
      <c r="H1045" s="17">
        <v>152</v>
      </c>
      <c r="I1045" s="17" t="str">
        <f t="shared" si="96"/>
        <v>AER 2_PN-152</v>
      </c>
      <c r="J1045" s="18" t="s">
        <v>85</v>
      </c>
      <c r="K1045" s="19"/>
      <c r="L1045" s="19"/>
      <c r="M1045" s="19"/>
      <c r="N1045" s="19"/>
      <c r="O1045" s="19"/>
      <c r="P1045" s="19"/>
      <c r="Q1045" s="77" t="str">
        <f>VLOOKUP(J1045,'p1'!$B$2:$C$30,2,0)</f>
        <v>NÃO TEM CHAPA</v>
      </c>
      <c r="R1045" s="94">
        <v>45993</v>
      </c>
      <c r="S1045" s="90" t="s">
        <v>217</v>
      </c>
      <c r="T1045" s="90">
        <f t="shared" si="97"/>
        <v>1</v>
      </c>
      <c r="U1045" s="94">
        <v>45993</v>
      </c>
      <c r="V1045" s="90" t="s">
        <v>86</v>
      </c>
      <c r="W1045" s="92">
        <v>2688</v>
      </c>
      <c r="X1045" s="93">
        <f t="shared" si="94"/>
        <v>1</v>
      </c>
      <c r="Y1045" s="92"/>
      <c r="Z1045" s="92"/>
      <c r="AA1045" s="13" t="str">
        <f t="shared" si="95"/>
        <v>dez/2025</v>
      </c>
    </row>
    <row r="1046" spans="1:27" x14ac:dyDescent="0.25">
      <c r="A1046" s="89">
        <v>1045</v>
      </c>
      <c r="B1046" s="68">
        <v>45988</v>
      </c>
      <c r="C1046" s="40">
        <v>157</v>
      </c>
      <c r="D1046" s="40">
        <f t="shared" si="93"/>
        <v>1</v>
      </c>
      <c r="E1046" s="209" t="s">
        <v>1201</v>
      </c>
      <c r="F1046" s="42" t="s">
        <v>58</v>
      </c>
      <c r="G1046" s="17" t="s">
        <v>86</v>
      </c>
      <c r="H1046" s="17">
        <v>153</v>
      </c>
      <c r="I1046" s="17" t="str">
        <f t="shared" si="96"/>
        <v>AER 2_PN-153</v>
      </c>
      <c r="J1046" s="18" t="s">
        <v>85</v>
      </c>
      <c r="K1046" s="19"/>
      <c r="L1046" s="19"/>
      <c r="M1046" s="19"/>
      <c r="N1046" s="19"/>
      <c r="O1046" s="19"/>
      <c r="P1046" s="19"/>
      <c r="Q1046" s="77" t="str">
        <f>VLOOKUP(J1046,'p1'!$B$2:$C$30,2,0)</f>
        <v>NÃO TEM CHAPA</v>
      </c>
      <c r="R1046" s="94">
        <v>45994</v>
      </c>
      <c r="S1046" s="90" t="s">
        <v>217</v>
      </c>
      <c r="T1046" s="90">
        <f t="shared" si="97"/>
        <v>1</v>
      </c>
      <c r="U1046" s="94">
        <v>45994</v>
      </c>
      <c r="V1046" s="90" t="s">
        <v>86</v>
      </c>
      <c r="W1046" s="92">
        <v>2692</v>
      </c>
      <c r="X1046" s="93">
        <f t="shared" si="94"/>
        <v>1</v>
      </c>
      <c r="Y1046" s="92"/>
      <c r="Z1046" s="92"/>
      <c r="AA1046" s="13" t="str">
        <f t="shared" si="95"/>
        <v>dez/2025</v>
      </c>
    </row>
    <row r="1047" spans="1:27" x14ac:dyDescent="0.25">
      <c r="A1047" s="89">
        <v>1046</v>
      </c>
      <c r="B1047" s="68">
        <v>45990</v>
      </c>
      <c r="C1047" s="40">
        <v>159</v>
      </c>
      <c r="D1047" s="40">
        <f t="shared" si="93"/>
        <v>1</v>
      </c>
      <c r="E1047" s="209" t="s">
        <v>1201</v>
      </c>
      <c r="F1047" s="42" t="s">
        <v>58</v>
      </c>
      <c r="G1047" s="17" t="s">
        <v>86</v>
      </c>
      <c r="H1047" s="17">
        <v>154</v>
      </c>
      <c r="I1047" s="17" t="str">
        <f t="shared" si="96"/>
        <v>AER 2_PN-154</v>
      </c>
      <c r="J1047" s="18" t="s">
        <v>85</v>
      </c>
      <c r="K1047" s="19"/>
      <c r="L1047" s="19"/>
      <c r="M1047" s="19"/>
      <c r="N1047" s="19"/>
      <c r="O1047" s="19"/>
      <c r="P1047" s="19"/>
      <c r="Q1047" s="77" t="str">
        <f>VLOOKUP(J1047,'p1'!$B$2:$C$30,2,0)</f>
        <v>NÃO TEM CHAPA</v>
      </c>
      <c r="R1047" s="94">
        <v>45996</v>
      </c>
      <c r="S1047" s="90" t="s">
        <v>217</v>
      </c>
      <c r="T1047" s="90">
        <f t="shared" si="97"/>
        <v>1</v>
      </c>
      <c r="U1047" s="94">
        <v>46000</v>
      </c>
      <c r="V1047" s="90" t="s">
        <v>86</v>
      </c>
      <c r="W1047" s="92">
        <v>2702</v>
      </c>
      <c r="X1047" s="93">
        <f t="shared" si="94"/>
        <v>1</v>
      </c>
      <c r="Y1047" s="92"/>
      <c r="Z1047" s="92"/>
      <c r="AA1047" s="13" t="str">
        <f t="shared" si="95"/>
        <v>dez/2025</v>
      </c>
    </row>
    <row r="1048" spans="1:27" x14ac:dyDescent="0.25">
      <c r="A1048" s="89">
        <v>1047</v>
      </c>
      <c r="B1048" s="68">
        <v>46001</v>
      </c>
      <c r="C1048" s="40">
        <v>166</v>
      </c>
      <c r="D1048" s="40">
        <f t="shared" si="93"/>
        <v>1</v>
      </c>
      <c r="E1048" s="209" t="s">
        <v>1201</v>
      </c>
      <c r="F1048" s="42" t="s">
        <v>61</v>
      </c>
      <c r="G1048" s="17" t="s">
        <v>86</v>
      </c>
      <c r="H1048" s="17">
        <v>155</v>
      </c>
      <c r="I1048" s="17" t="str">
        <f t="shared" si="96"/>
        <v>AER 2_PF-155</v>
      </c>
      <c r="J1048" s="18" t="s">
        <v>61</v>
      </c>
      <c r="K1048" s="19"/>
      <c r="L1048" s="19"/>
      <c r="M1048" s="19"/>
      <c r="N1048" s="19"/>
      <c r="O1048" s="19"/>
      <c r="P1048" s="19"/>
      <c r="Q1048" s="77" t="str">
        <f>VLOOKUP(J1048,'p1'!$B$2:$C$30,2,0)</f>
        <v>SEM CHAPA</v>
      </c>
      <c r="R1048" s="90"/>
      <c r="S1048" s="90" t="s">
        <v>217</v>
      </c>
      <c r="T1048" s="90">
        <f t="shared" si="97"/>
        <v>0</v>
      </c>
      <c r="U1048" s="90"/>
      <c r="V1048" s="90"/>
      <c r="W1048" s="92"/>
      <c r="X1048" s="93" t="str">
        <f t="shared" si="94"/>
        <v/>
      </c>
      <c r="Y1048" s="92"/>
      <c r="Z1048" s="92"/>
      <c r="AA1048" s="13" t="str">
        <f t="shared" si="95"/>
        <v>jan/1900</v>
      </c>
    </row>
    <row r="1049" spans="1:27" x14ac:dyDescent="0.25">
      <c r="A1049" s="89">
        <v>1048</v>
      </c>
      <c r="B1049" s="68"/>
      <c r="C1049" s="40"/>
      <c r="D1049" s="40" t="str">
        <f t="shared" si="93"/>
        <v/>
      </c>
      <c r="E1049" s="209" t="s">
        <v>1201</v>
      </c>
      <c r="F1049" s="42" t="s">
        <v>123</v>
      </c>
      <c r="G1049" s="17" t="s">
        <v>86</v>
      </c>
      <c r="H1049" s="17">
        <v>156</v>
      </c>
      <c r="I1049" s="17" t="str">
        <f t="shared" si="96"/>
        <v>AER 2_PNI-156</v>
      </c>
      <c r="J1049" s="18" t="s">
        <v>123</v>
      </c>
      <c r="K1049" s="19"/>
      <c r="L1049" s="19"/>
      <c r="M1049" s="19"/>
      <c r="N1049" s="19"/>
      <c r="O1049" s="19"/>
      <c r="P1049" s="19"/>
      <c r="Q1049" s="77" t="str">
        <f>VLOOKUP(J1049,'p1'!$B$2:$C$30,2,0)</f>
        <v>02- 150X150 #3/8</v>
      </c>
      <c r="R1049" s="90"/>
      <c r="S1049" s="90"/>
      <c r="T1049" s="90">
        <f t="shared" si="97"/>
        <v>0</v>
      </c>
      <c r="U1049" s="90"/>
      <c r="V1049" s="90"/>
      <c r="W1049" s="92"/>
      <c r="X1049" s="93" t="str">
        <f t="shared" si="94"/>
        <v/>
      </c>
      <c r="Y1049" s="92"/>
      <c r="Z1049" s="92"/>
      <c r="AA1049" s="13" t="str">
        <f t="shared" si="95"/>
        <v>jan/1900</v>
      </c>
    </row>
    <row r="1050" spans="1:27" x14ac:dyDescent="0.25">
      <c r="A1050" s="89">
        <v>1049</v>
      </c>
      <c r="B1050" s="68">
        <v>45990</v>
      </c>
      <c r="C1050" s="40">
        <v>159</v>
      </c>
      <c r="D1050" s="40">
        <f t="shared" si="93"/>
        <v>1</v>
      </c>
      <c r="E1050" s="209" t="s">
        <v>1201</v>
      </c>
      <c r="F1050" s="42" t="s">
        <v>58</v>
      </c>
      <c r="G1050" s="17" t="s">
        <v>86</v>
      </c>
      <c r="H1050" s="17">
        <v>157</v>
      </c>
      <c r="I1050" s="17" t="str">
        <f t="shared" si="96"/>
        <v>AER 2_PN-157</v>
      </c>
      <c r="J1050" s="18" t="s">
        <v>85</v>
      </c>
      <c r="K1050" s="19"/>
      <c r="L1050" s="19"/>
      <c r="M1050" s="19"/>
      <c r="N1050" s="19"/>
      <c r="O1050" s="19"/>
      <c r="P1050" s="19"/>
      <c r="Q1050" s="77" t="str">
        <f>VLOOKUP(J1050,'p1'!$B$2:$C$30,2,0)</f>
        <v>NÃO TEM CHAPA</v>
      </c>
      <c r="R1050" s="94">
        <v>45995</v>
      </c>
      <c r="S1050" s="90" t="s">
        <v>217</v>
      </c>
      <c r="T1050" s="90">
        <f t="shared" si="97"/>
        <v>1</v>
      </c>
      <c r="U1050" s="94">
        <v>45995</v>
      </c>
      <c r="V1050" s="90" t="s">
        <v>86</v>
      </c>
      <c r="W1050" s="92">
        <v>2696</v>
      </c>
      <c r="X1050" s="93">
        <f t="shared" si="94"/>
        <v>1</v>
      </c>
      <c r="Y1050" s="92"/>
      <c r="Z1050" s="92"/>
      <c r="AA1050" s="13" t="str">
        <f t="shared" si="95"/>
        <v>dez/2025</v>
      </c>
    </row>
    <row r="1051" spans="1:27" x14ac:dyDescent="0.25">
      <c r="A1051" s="89">
        <v>1050</v>
      </c>
      <c r="B1051" s="68">
        <v>45990</v>
      </c>
      <c r="C1051" s="40">
        <v>159</v>
      </c>
      <c r="D1051" s="40">
        <f t="shared" si="93"/>
        <v>1</v>
      </c>
      <c r="E1051" s="209" t="s">
        <v>1201</v>
      </c>
      <c r="F1051" s="42" t="s">
        <v>58</v>
      </c>
      <c r="G1051" s="17" t="s">
        <v>86</v>
      </c>
      <c r="H1051" s="17">
        <v>158</v>
      </c>
      <c r="I1051" s="17" t="str">
        <f t="shared" si="96"/>
        <v>AER 2_PN-158</v>
      </c>
      <c r="J1051" s="18" t="s">
        <v>85</v>
      </c>
      <c r="K1051" s="19"/>
      <c r="L1051" s="19"/>
      <c r="M1051" s="19"/>
      <c r="N1051" s="19"/>
      <c r="O1051" s="19"/>
      <c r="P1051" s="19"/>
      <c r="Q1051" s="77" t="str">
        <f>VLOOKUP(J1051,'p1'!$B$2:$C$30,2,0)</f>
        <v>NÃO TEM CHAPA</v>
      </c>
      <c r="R1051" s="94">
        <v>45995</v>
      </c>
      <c r="S1051" s="90" t="s">
        <v>217</v>
      </c>
      <c r="T1051" s="90">
        <f t="shared" si="97"/>
        <v>1</v>
      </c>
      <c r="U1051" s="94">
        <v>45995</v>
      </c>
      <c r="V1051" s="90" t="s">
        <v>86</v>
      </c>
      <c r="W1051" s="92">
        <v>2693</v>
      </c>
      <c r="X1051" s="93">
        <f t="shared" si="94"/>
        <v>1</v>
      </c>
      <c r="Y1051" s="92"/>
      <c r="Z1051" s="92"/>
      <c r="AA1051" s="13" t="str">
        <f t="shared" si="95"/>
        <v>dez/2025</v>
      </c>
    </row>
    <row r="1052" spans="1:27" x14ac:dyDescent="0.25">
      <c r="A1052" s="89">
        <v>1051</v>
      </c>
      <c r="B1052" s="68">
        <v>45995</v>
      </c>
      <c r="C1052" s="40">
        <v>162</v>
      </c>
      <c r="D1052" s="40">
        <f t="shared" si="93"/>
        <v>1</v>
      </c>
      <c r="E1052" s="209" t="s">
        <v>1201</v>
      </c>
      <c r="F1052" s="42" t="s">
        <v>58</v>
      </c>
      <c r="G1052" s="17" t="s">
        <v>86</v>
      </c>
      <c r="H1052" s="17">
        <v>159</v>
      </c>
      <c r="I1052" s="17" t="str">
        <f t="shared" si="96"/>
        <v>AER 2_PN-159</v>
      </c>
      <c r="J1052" s="18" t="s">
        <v>85</v>
      </c>
      <c r="K1052" s="19"/>
      <c r="L1052" s="19"/>
      <c r="M1052" s="19"/>
      <c r="N1052" s="19"/>
      <c r="O1052" s="19"/>
      <c r="P1052" s="19"/>
      <c r="Q1052" s="77" t="str">
        <f>VLOOKUP(J1052,'p1'!$B$2:$C$30,2,0)</f>
        <v>NÃO TEM CHAPA</v>
      </c>
      <c r="R1052" s="90"/>
      <c r="S1052" s="90" t="s">
        <v>217</v>
      </c>
      <c r="T1052" s="90">
        <f t="shared" si="97"/>
        <v>0</v>
      </c>
      <c r="U1052" s="90"/>
      <c r="V1052" s="90"/>
      <c r="W1052" s="92"/>
      <c r="X1052" s="93" t="str">
        <f t="shared" si="94"/>
        <v/>
      </c>
      <c r="Y1052" s="92"/>
      <c r="Z1052" s="92"/>
      <c r="AA1052" s="13" t="str">
        <f t="shared" si="95"/>
        <v>jan/1900</v>
      </c>
    </row>
    <row r="1053" spans="1:27" x14ac:dyDescent="0.25">
      <c r="A1053" s="89">
        <v>1052</v>
      </c>
      <c r="B1053" s="68"/>
      <c r="C1053" s="40"/>
      <c r="D1053" s="40" t="str">
        <f t="shared" si="93"/>
        <v/>
      </c>
      <c r="E1053" s="209" t="s">
        <v>1201</v>
      </c>
      <c r="F1053" s="42" t="s">
        <v>123</v>
      </c>
      <c r="G1053" s="17" t="s">
        <v>86</v>
      </c>
      <c r="H1053" s="17">
        <v>160</v>
      </c>
      <c r="I1053" s="17" t="str">
        <f t="shared" si="96"/>
        <v>AER 2_PNI-160</v>
      </c>
      <c r="J1053" s="18" t="s">
        <v>123</v>
      </c>
      <c r="K1053" s="19"/>
      <c r="L1053" s="19"/>
      <c r="M1053" s="19"/>
      <c r="N1053" s="19"/>
      <c r="O1053" s="19"/>
      <c r="P1053" s="19"/>
      <c r="Q1053" s="77" t="str">
        <f>VLOOKUP(J1053,'p1'!$B$2:$C$30,2,0)</f>
        <v>02- 150X150 #3/8</v>
      </c>
      <c r="R1053" s="90"/>
      <c r="S1053" s="90"/>
      <c r="T1053" s="90">
        <f t="shared" si="97"/>
        <v>0</v>
      </c>
      <c r="U1053" s="90"/>
      <c r="V1053" s="90"/>
      <c r="W1053" s="92"/>
      <c r="X1053" s="93" t="str">
        <f t="shared" si="94"/>
        <v/>
      </c>
      <c r="Y1053" s="92"/>
      <c r="Z1053" s="92"/>
      <c r="AA1053" s="13" t="str">
        <f t="shared" si="95"/>
        <v>jan/1900</v>
      </c>
    </row>
    <row r="1054" spans="1:27" x14ac:dyDescent="0.25">
      <c r="A1054" s="89">
        <v>1053</v>
      </c>
      <c r="B1054" s="68">
        <v>46000</v>
      </c>
      <c r="C1054" s="40">
        <v>165</v>
      </c>
      <c r="D1054" s="40">
        <f t="shared" si="93"/>
        <v>1</v>
      </c>
      <c r="E1054" s="209" t="s">
        <v>1201</v>
      </c>
      <c r="F1054" s="42" t="s">
        <v>60</v>
      </c>
      <c r="G1054" s="17" t="s">
        <v>86</v>
      </c>
      <c r="H1054" s="17">
        <v>161</v>
      </c>
      <c r="I1054" s="17" t="str">
        <f t="shared" si="96"/>
        <v>AER 2_PE-161</v>
      </c>
      <c r="J1054" s="18" t="s">
        <v>60</v>
      </c>
      <c r="K1054" s="19"/>
      <c r="L1054" s="19"/>
      <c r="M1054" s="19"/>
      <c r="N1054" s="19"/>
      <c r="O1054" s="19"/>
      <c r="P1054" s="19"/>
      <c r="Q1054" s="77" t="str">
        <f>VLOOKUP(J1054,'p1'!$B$2:$C$30,2,0)</f>
        <v>OLHAR DESENHO ESPECIFICO</v>
      </c>
      <c r="R1054" s="90"/>
      <c r="S1054" s="90"/>
      <c r="T1054" s="90">
        <f t="shared" si="97"/>
        <v>0</v>
      </c>
      <c r="U1054" s="90"/>
      <c r="V1054" s="90"/>
      <c r="W1054" s="92"/>
      <c r="X1054" s="93" t="str">
        <f t="shared" si="94"/>
        <v/>
      </c>
      <c r="Y1054" s="92"/>
      <c r="Z1054" s="92"/>
      <c r="AA1054" s="13" t="str">
        <f t="shared" si="95"/>
        <v>jan/1900</v>
      </c>
    </row>
    <row r="1055" spans="1:27" x14ac:dyDescent="0.25">
      <c r="A1055" s="89">
        <v>1054</v>
      </c>
      <c r="B1055" s="68">
        <v>46004</v>
      </c>
      <c r="C1055" s="40">
        <v>168</v>
      </c>
      <c r="D1055" s="40">
        <f t="shared" si="93"/>
        <v>1</v>
      </c>
      <c r="E1055" s="209" t="s">
        <v>1201</v>
      </c>
      <c r="F1055" s="42" t="s">
        <v>60</v>
      </c>
      <c r="G1055" s="17" t="s">
        <v>86</v>
      </c>
      <c r="H1055" s="17">
        <v>162</v>
      </c>
      <c r="I1055" s="17" t="str">
        <f t="shared" si="96"/>
        <v>AER 2_PE-162</v>
      </c>
      <c r="J1055" s="18" t="s">
        <v>60</v>
      </c>
      <c r="K1055" s="19"/>
      <c r="L1055" s="19"/>
      <c r="M1055" s="19"/>
      <c r="N1055" s="19"/>
      <c r="O1055" s="19"/>
      <c r="P1055" s="19"/>
      <c r="Q1055" s="77" t="str">
        <f>VLOOKUP(J1055,'p1'!$B$2:$C$30,2,0)</f>
        <v>OLHAR DESENHO ESPECIFICO</v>
      </c>
      <c r="R1055" s="90"/>
      <c r="S1055" s="90" t="s">
        <v>217</v>
      </c>
      <c r="T1055" s="90">
        <f t="shared" si="97"/>
        <v>0</v>
      </c>
      <c r="U1055" s="90"/>
      <c r="V1055" s="90"/>
      <c r="W1055" s="92"/>
      <c r="X1055" s="93" t="str">
        <f t="shared" si="94"/>
        <v/>
      </c>
      <c r="Y1055" s="92"/>
      <c r="Z1055" s="92"/>
      <c r="AA1055" s="13" t="str">
        <f t="shared" si="95"/>
        <v>jan/1900</v>
      </c>
    </row>
    <row r="1056" spans="1:27" x14ac:dyDescent="0.25">
      <c r="A1056" s="89">
        <v>1055</v>
      </c>
      <c r="B1056" s="68"/>
      <c r="C1056" s="40"/>
      <c r="D1056" s="40" t="str">
        <f t="shared" si="93"/>
        <v/>
      </c>
      <c r="E1056" s="209" t="s">
        <v>1201</v>
      </c>
      <c r="F1056" s="42" t="s">
        <v>60</v>
      </c>
      <c r="G1056" s="17" t="s">
        <v>86</v>
      </c>
      <c r="H1056" s="17">
        <v>163</v>
      </c>
      <c r="I1056" s="17" t="str">
        <f t="shared" si="96"/>
        <v>AER 2_PE-163</v>
      </c>
      <c r="J1056" s="18" t="s">
        <v>60</v>
      </c>
      <c r="K1056" s="19"/>
      <c r="L1056" s="19"/>
      <c r="M1056" s="19"/>
      <c r="N1056" s="19"/>
      <c r="O1056" s="19"/>
      <c r="P1056" s="19"/>
      <c r="Q1056" s="77" t="str">
        <f>VLOOKUP(J1056,'p1'!$B$2:$C$30,2,0)</f>
        <v>OLHAR DESENHO ESPECIFICO</v>
      </c>
      <c r="R1056" s="90"/>
      <c r="S1056" s="90"/>
      <c r="T1056" s="90">
        <f t="shared" si="97"/>
        <v>0</v>
      </c>
      <c r="U1056" s="90"/>
      <c r="V1056" s="90"/>
      <c r="W1056" s="92"/>
      <c r="X1056" s="93" t="str">
        <f t="shared" si="94"/>
        <v/>
      </c>
      <c r="Y1056" s="92"/>
      <c r="Z1056" s="92"/>
      <c r="AA1056" s="13" t="str">
        <f t="shared" si="95"/>
        <v>jan/1900</v>
      </c>
    </row>
    <row r="1057" spans="1:27" x14ac:dyDescent="0.25">
      <c r="A1057" s="89">
        <v>1056</v>
      </c>
      <c r="B1057" s="68"/>
      <c r="C1057" s="40"/>
      <c r="D1057" s="40" t="str">
        <f t="shared" si="93"/>
        <v/>
      </c>
      <c r="E1057" s="209" t="s">
        <v>1201</v>
      </c>
      <c r="F1057" s="42" t="s">
        <v>60</v>
      </c>
      <c r="G1057" s="17" t="s">
        <v>86</v>
      </c>
      <c r="H1057" s="17">
        <v>164</v>
      </c>
      <c r="I1057" s="17" t="str">
        <f t="shared" si="96"/>
        <v>AER 2_PE-164</v>
      </c>
      <c r="J1057" s="18" t="s">
        <v>60</v>
      </c>
      <c r="K1057" s="19"/>
      <c r="L1057" s="19"/>
      <c r="M1057" s="19"/>
      <c r="N1057" s="19"/>
      <c r="O1057" s="19"/>
      <c r="P1057" s="19"/>
      <c r="Q1057" s="77" t="str">
        <f>VLOOKUP(J1057,'p1'!$B$2:$C$30,2,0)</f>
        <v>OLHAR DESENHO ESPECIFICO</v>
      </c>
      <c r="R1057" s="90"/>
      <c r="S1057" s="90"/>
      <c r="T1057" s="90">
        <f t="shared" si="97"/>
        <v>0</v>
      </c>
      <c r="U1057" s="90"/>
      <c r="V1057" s="90"/>
      <c r="W1057" s="92"/>
      <c r="X1057" s="93" t="str">
        <f t="shared" si="94"/>
        <v/>
      </c>
      <c r="Y1057" s="92"/>
      <c r="Z1057" s="92"/>
      <c r="AA1057" s="13" t="str">
        <f t="shared" si="95"/>
        <v>jan/1900</v>
      </c>
    </row>
    <row r="1058" spans="1:27" x14ac:dyDescent="0.25">
      <c r="A1058" s="89">
        <v>1057</v>
      </c>
      <c r="B1058" s="68">
        <v>45995</v>
      </c>
      <c r="C1058" s="40">
        <v>162</v>
      </c>
      <c r="D1058" s="40">
        <f t="shared" si="93"/>
        <v>1</v>
      </c>
      <c r="E1058" s="209" t="s">
        <v>1201</v>
      </c>
      <c r="F1058" s="42" t="s">
        <v>60</v>
      </c>
      <c r="G1058" s="17" t="s">
        <v>86</v>
      </c>
      <c r="H1058" s="17">
        <v>165</v>
      </c>
      <c r="I1058" s="17" t="str">
        <f t="shared" si="96"/>
        <v>AER 2_PE-165</v>
      </c>
      <c r="J1058" s="18" t="s">
        <v>60</v>
      </c>
      <c r="K1058" s="19"/>
      <c r="L1058" s="19"/>
      <c r="M1058" s="19"/>
      <c r="N1058" s="19"/>
      <c r="O1058" s="19"/>
      <c r="P1058" s="19"/>
      <c r="Q1058" s="77" t="str">
        <f>VLOOKUP(J1058,'p1'!$B$2:$C$30,2,0)</f>
        <v>OLHAR DESENHO ESPECIFICO</v>
      </c>
      <c r="R1058" s="90"/>
      <c r="S1058" s="90" t="s">
        <v>217</v>
      </c>
      <c r="T1058" s="90">
        <f t="shared" si="97"/>
        <v>0</v>
      </c>
      <c r="U1058" s="90"/>
      <c r="V1058" s="90"/>
      <c r="W1058" s="92"/>
      <c r="X1058" s="93" t="str">
        <f t="shared" si="94"/>
        <v/>
      </c>
      <c r="Y1058" s="92"/>
      <c r="Z1058" s="92"/>
      <c r="AA1058" s="13" t="str">
        <f t="shared" si="95"/>
        <v>jan/1900</v>
      </c>
    </row>
    <row r="1059" spans="1:27" x14ac:dyDescent="0.25">
      <c r="A1059" s="89">
        <v>1058</v>
      </c>
      <c r="B1059" s="68"/>
      <c r="C1059" s="40"/>
      <c r="D1059" s="40" t="str">
        <f t="shared" si="93"/>
        <v/>
      </c>
      <c r="E1059" s="209" t="s">
        <v>1201</v>
      </c>
      <c r="F1059" s="42" t="s">
        <v>123</v>
      </c>
      <c r="G1059" s="17" t="s">
        <v>86</v>
      </c>
      <c r="H1059" s="17">
        <v>166</v>
      </c>
      <c r="I1059" s="17" t="str">
        <f t="shared" si="96"/>
        <v>AER 2_PNI-166</v>
      </c>
      <c r="J1059" s="18" t="s">
        <v>123</v>
      </c>
      <c r="K1059" s="19"/>
      <c r="L1059" s="19"/>
      <c r="M1059" s="19"/>
      <c r="N1059" s="19"/>
      <c r="O1059" s="19"/>
      <c r="P1059" s="19"/>
      <c r="Q1059" s="77" t="str">
        <f>VLOOKUP(J1059,'p1'!$B$2:$C$30,2,0)</f>
        <v>02- 150X150 #3/8</v>
      </c>
      <c r="R1059" s="90"/>
      <c r="S1059" s="90"/>
      <c r="T1059" s="90">
        <f t="shared" si="97"/>
        <v>0</v>
      </c>
      <c r="U1059" s="90"/>
      <c r="V1059" s="90"/>
      <c r="W1059" s="92"/>
      <c r="X1059" s="93" t="str">
        <f t="shared" si="94"/>
        <v/>
      </c>
      <c r="Y1059" s="92"/>
      <c r="Z1059" s="92"/>
      <c r="AA1059" s="13" t="str">
        <f t="shared" si="95"/>
        <v>jan/1900</v>
      </c>
    </row>
    <row r="1060" spans="1:27" x14ac:dyDescent="0.25">
      <c r="A1060" s="89">
        <v>1059</v>
      </c>
      <c r="B1060" s="68">
        <v>45995</v>
      </c>
      <c r="C1060" s="40">
        <v>162</v>
      </c>
      <c r="D1060" s="40">
        <f t="shared" si="93"/>
        <v>1</v>
      </c>
      <c r="E1060" s="209" t="s">
        <v>1201</v>
      </c>
      <c r="F1060" s="42" t="s">
        <v>58</v>
      </c>
      <c r="G1060" s="17" t="s">
        <v>86</v>
      </c>
      <c r="H1060" s="17">
        <v>167</v>
      </c>
      <c r="I1060" s="17" t="str">
        <f t="shared" si="96"/>
        <v>AER 2_PN-167</v>
      </c>
      <c r="J1060" s="18" t="s">
        <v>85</v>
      </c>
      <c r="K1060" s="19"/>
      <c r="L1060" s="19"/>
      <c r="M1060" s="19"/>
      <c r="N1060" s="19"/>
      <c r="O1060" s="19"/>
      <c r="P1060" s="19"/>
      <c r="Q1060" s="77" t="str">
        <f>VLOOKUP(J1060,'p1'!$B$2:$C$30,2,0)</f>
        <v>NÃO TEM CHAPA</v>
      </c>
      <c r="R1060" s="90"/>
      <c r="S1060" s="90" t="s">
        <v>217</v>
      </c>
      <c r="T1060" s="90">
        <f t="shared" si="97"/>
        <v>0</v>
      </c>
      <c r="U1060" s="90"/>
      <c r="V1060" s="90"/>
      <c r="W1060" s="92"/>
      <c r="X1060" s="93" t="str">
        <f t="shared" si="94"/>
        <v/>
      </c>
      <c r="Y1060" s="92"/>
      <c r="Z1060" s="92"/>
      <c r="AA1060" s="13" t="str">
        <f t="shared" si="95"/>
        <v>jan/1900</v>
      </c>
    </row>
    <row r="1061" spans="1:27" x14ac:dyDescent="0.25">
      <c r="A1061" s="89">
        <v>1060</v>
      </c>
      <c r="B1061" s="68">
        <v>45995</v>
      </c>
      <c r="C1061" s="40">
        <v>162</v>
      </c>
      <c r="D1061" s="40">
        <f t="shared" si="93"/>
        <v>1</v>
      </c>
      <c r="E1061" s="209" t="s">
        <v>1201</v>
      </c>
      <c r="F1061" s="42" t="s">
        <v>58</v>
      </c>
      <c r="G1061" s="17" t="s">
        <v>86</v>
      </c>
      <c r="H1061" s="17">
        <v>168</v>
      </c>
      <c r="I1061" s="17" t="str">
        <f t="shared" si="96"/>
        <v>AER 2_PN-168</v>
      </c>
      <c r="J1061" s="18" t="s">
        <v>85</v>
      </c>
      <c r="K1061" s="19"/>
      <c r="L1061" s="19"/>
      <c r="M1061" s="19"/>
      <c r="N1061" s="19"/>
      <c r="O1061" s="19"/>
      <c r="P1061" s="19"/>
      <c r="Q1061" s="77" t="str">
        <f>VLOOKUP(J1061,'p1'!$B$2:$C$30,2,0)</f>
        <v>NÃO TEM CHAPA</v>
      </c>
      <c r="R1061" s="90"/>
      <c r="S1061" s="90" t="s">
        <v>217</v>
      </c>
      <c r="T1061" s="90">
        <f t="shared" si="97"/>
        <v>0</v>
      </c>
      <c r="U1061" s="90"/>
      <c r="V1061" s="90"/>
      <c r="W1061" s="92"/>
      <c r="X1061" s="93" t="str">
        <f t="shared" si="94"/>
        <v/>
      </c>
      <c r="Y1061" s="92"/>
      <c r="Z1061" s="92"/>
      <c r="AA1061" s="13" t="str">
        <f t="shared" si="95"/>
        <v>jan/1900</v>
      </c>
    </row>
    <row r="1062" spans="1:27" x14ac:dyDescent="0.25">
      <c r="A1062" s="89">
        <v>1061</v>
      </c>
      <c r="B1062" s="68">
        <v>45995</v>
      </c>
      <c r="C1062" s="40">
        <v>162</v>
      </c>
      <c r="D1062" s="40">
        <f t="shared" si="93"/>
        <v>1</v>
      </c>
      <c r="E1062" s="209" t="s">
        <v>1201</v>
      </c>
      <c r="F1062" s="42" t="s">
        <v>58</v>
      </c>
      <c r="G1062" s="17" t="s">
        <v>86</v>
      </c>
      <c r="H1062" s="17">
        <v>169</v>
      </c>
      <c r="I1062" s="17" t="str">
        <f t="shared" si="96"/>
        <v>AER 2_PN-169</v>
      </c>
      <c r="J1062" s="18" t="s">
        <v>85</v>
      </c>
      <c r="K1062" s="19"/>
      <c r="L1062" s="19"/>
      <c r="M1062" s="19"/>
      <c r="N1062" s="19"/>
      <c r="O1062" s="19"/>
      <c r="P1062" s="19"/>
      <c r="Q1062" s="77" t="str">
        <f>VLOOKUP(J1062,'p1'!$B$2:$C$30,2,0)</f>
        <v>NÃO TEM CHAPA</v>
      </c>
      <c r="R1062" s="90"/>
      <c r="S1062" s="90" t="s">
        <v>217</v>
      </c>
      <c r="T1062" s="90">
        <f t="shared" si="97"/>
        <v>0</v>
      </c>
      <c r="U1062" s="90"/>
      <c r="V1062" s="90"/>
      <c r="W1062" s="92"/>
      <c r="X1062" s="93" t="str">
        <f t="shared" si="94"/>
        <v/>
      </c>
      <c r="Y1062" s="92"/>
      <c r="Z1062" s="92"/>
      <c r="AA1062" s="13" t="str">
        <f t="shared" si="95"/>
        <v>jan/1900</v>
      </c>
    </row>
    <row r="1063" spans="1:27" x14ac:dyDescent="0.25">
      <c r="A1063" s="89">
        <v>1062</v>
      </c>
      <c r="B1063" s="68">
        <v>46000</v>
      </c>
      <c r="C1063" s="40">
        <v>165</v>
      </c>
      <c r="D1063" s="40">
        <f t="shared" si="93"/>
        <v>1</v>
      </c>
      <c r="E1063" s="209" t="s">
        <v>1201</v>
      </c>
      <c r="F1063" s="42" t="s">
        <v>58</v>
      </c>
      <c r="G1063" s="17" t="s">
        <v>86</v>
      </c>
      <c r="H1063" s="17">
        <v>170</v>
      </c>
      <c r="I1063" s="17" t="str">
        <f t="shared" si="96"/>
        <v>AER 2_PN-170</v>
      </c>
      <c r="J1063" s="18" t="s">
        <v>85</v>
      </c>
      <c r="K1063" s="19"/>
      <c r="L1063" s="19"/>
      <c r="M1063" s="19"/>
      <c r="N1063" s="19"/>
      <c r="O1063" s="19"/>
      <c r="P1063" s="19"/>
      <c r="Q1063" s="77" t="str">
        <f>VLOOKUP(J1063,'p1'!$B$2:$C$30,2,0)</f>
        <v>NÃO TEM CHAPA</v>
      </c>
      <c r="R1063" s="90"/>
      <c r="S1063" s="90" t="s">
        <v>217</v>
      </c>
      <c r="T1063" s="90">
        <f t="shared" si="97"/>
        <v>0</v>
      </c>
      <c r="U1063" s="90"/>
      <c r="V1063" s="90"/>
      <c r="W1063" s="92"/>
      <c r="X1063" s="93" t="str">
        <f t="shared" si="94"/>
        <v/>
      </c>
      <c r="Y1063" s="92"/>
      <c r="Z1063" s="92"/>
      <c r="AA1063" s="13" t="str">
        <f t="shared" si="95"/>
        <v>jan/1900</v>
      </c>
    </row>
    <row r="1064" spans="1:27" x14ac:dyDescent="0.25">
      <c r="A1064" s="89">
        <v>1063</v>
      </c>
      <c r="B1064" s="68">
        <v>46000</v>
      </c>
      <c r="C1064" s="40">
        <v>165</v>
      </c>
      <c r="D1064" s="40">
        <f t="shared" si="93"/>
        <v>1</v>
      </c>
      <c r="E1064" s="209" t="s">
        <v>1201</v>
      </c>
      <c r="F1064" s="42" t="s">
        <v>58</v>
      </c>
      <c r="G1064" s="17" t="s">
        <v>86</v>
      </c>
      <c r="H1064" s="17">
        <v>171</v>
      </c>
      <c r="I1064" s="17" t="str">
        <f t="shared" si="96"/>
        <v>AER 2_PN-171</v>
      </c>
      <c r="J1064" s="18" t="s">
        <v>85</v>
      </c>
      <c r="K1064" s="19"/>
      <c r="L1064" s="19"/>
      <c r="M1064" s="19"/>
      <c r="N1064" s="19"/>
      <c r="O1064" s="19"/>
      <c r="P1064" s="19"/>
      <c r="Q1064" s="77" t="str">
        <f>VLOOKUP(J1064,'p1'!$B$2:$C$30,2,0)</f>
        <v>NÃO TEM CHAPA</v>
      </c>
      <c r="R1064" s="90"/>
      <c r="S1064" s="90" t="s">
        <v>217</v>
      </c>
      <c r="T1064" s="90">
        <f t="shared" si="97"/>
        <v>0</v>
      </c>
      <c r="U1064" s="90"/>
      <c r="V1064" s="90"/>
      <c r="W1064" s="92"/>
      <c r="X1064" s="93" t="str">
        <f t="shared" si="94"/>
        <v/>
      </c>
      <c r="Y1064" s="92"/>
      <c r="Z1064" s="92"/>
      <c r="AA1064" s="13" t="str">
        <f t="shared" si="95"/>
        <v>jan/1900</v>
      </c>
    </row>
    <row r="1065" spans="1:27" x14ac:dyDescent="0.25">
      <c r="A1065" s="89">
        <v>1064</v>
      </c>
      <c r="B1065" s="68"/>
      <c r="C1065" s="40"/>
      <c r="D1065" s="40" t="str">
        <f t="shared" si="93"/>
        <v/>
      </c>
      <c r="E1065" s="209" t="s">
        <v>1201</v>
      </c>
      <c r="F1065" s="42" t="s">
        <v>123</v>
      </c>
      <c r="G1065" s="17" t="s">
        <v>86</v>
      </c>
      <c r="H1065" s="17">
        <v>172</v>
      </c>
      <c r="I1065" s="17" t="str">
        <f t="shared" si="96"/>
        <v>AER 2_PNI-172</v>
      </c>
      <c r="J1065" s="18" t="s">
        <v>123</v>
      </c>
      <c r="K1065" s="19"/>
      <c r="L1065" s="19"/>
      <c r="M1065" s="19"/>
      <c r="N1065" s="19"/>
      <c r="O1065" s="19"/>
      <c r="P1065" s="19"/>
      <c r="Q1065" s="77" t="str">
        <f>VLOOKUP(J1065,'p1'!$B$2:$C$30,2,0)</f>
        <v>02- 150X150 #3/8</v>
      </c>
      <c r="R1065" s="90"/>
      <c r="S1065" s="90"/>
      <c r="T1065" s="90">
        <f t="shared" si="97"/>
        <v>0</v>
      </c>
      <c r="U1065" s="90"/>
      <c r="V1065" s="90"/>
      <c r="W1065" s="92"/>
      <c r="X1065" s="93" t="str">
        <f t="shared" si="94"/>
        <v/>
      </c>
      <c r="Y1065" s="92"/>
      <c r="Z1065" s="92"/>
      <c r="AA1065" s="13" t="str">
        <f t="shared" si="95"/>
        <v>jan/1900</v>
      </c>
    </row>
    <row r="1066" spans="1:27" x14ac:dyDescent="0.25">
      <c r="A1066" s="89">
        <v>1065</v>
      </c>
      <c r="B1066" s="68">
        <v>46000</v>
      </c>
      <c r="C1066" s="40">
        <v>165</v>
      </c>
      <c r="D1066" s="40">
        <f t="shared" si="93"/>
        <v>1</v>
      </c>
      <c r="E1066" s="209" t="s">
        <v>1201</v>
      </c>
      <c r="F1066" s="42" t="s">
        <v>58</v>
      </c>
      <c r="G1066" s="17" t="s">
        <v>86</v>
      </c>
      <c r="H1066" s="17">
        <v>173</v>
      </c>
      <c r="I1066" s="17" t="str">
        <f t="shared" si="96"/>
        <v>AER 2_PN-173</v>
      </c>
      <c r="J1066" s="18" t="s">
        <v>85</v>
      </c>
      <c r="K1066" s="19"/>
      <c r="L1066" s="19"/>
      <c r="M1066" s="19"/>
      <c r="N1066" s="19"/>
      <c r="O1066" s="19"/>
      <c r="P1066" s="19"/>
      <c r="Q1066" s="77" t="str">
        <f>VLOOKUP(J1066,'p1'!$B$2:$C$30,2,0)</f>
        <v>NÃO TEM CHAPA</v>
      </c>
      <c r="R1066" s="90"/>
      <c r="S1066" s="90" t="s">
        <v>217</v>
      </c>
      <c r="T1066" s="90">
        <f t="shared" si="97"/>
        <v>0</v>
      </c>
      <c r="U1066" s="90"/>
      <c r="V1066" s="90"/>
      <c r="W1066" s="92"/>
      <c r="X1066" s="93" t="str">
        <f t="shared" si="94"/>
        <v/>
      </c>
      <c r="Y1066" s="92"/>
      <c r="Z1066" s="92"/>
      <c r="AA1066" s="13" t="str">
        <f t="shared" si="95"/>
        <v>jan/1900</v>
      </c>
    </row>
    <row r="1067" spans="1:27" x14ac:dyDescent="0.25">
      <c r="A1067" s="89">
        <v>1066</v>
      </c>
      <c r="B1067" s="68">
        <v>46000</v>
      </c>
      <c r="C1067" s="40">
        <v>165</v>
      </c>
      <c r="D1067" s="40">
        <f t="shared" si="93"/>
        <v>1</v>
      </c>
      <c r="E1067" s="209" t="s">
        <v>1201</v>
      </c>
      <c r="F1067" s="42" t="s">
        <v>58</v>
      </c>
      <c r="G1067" s="17" t="s">
        <v>86</v>
      </c>
      <c r="H1067" s="17">
        <v>174</v>
      </c>
      <c r="I1067" s="17" t="str">
        <f t="shared" si="96"/>
        <v>AER 2_PN-174</v>
      </c>
      <c r="J1067" s="18" t="s">
        <v>85</v>
      </c>
      <c r="K1067" s="19"/>
      <c r="L1067" s="19"/>
      <c r="M1067" s="19"/>
      <c r="N1067" s="19"/>
      <c r="O1067" s="19"/>
      <c r="P1067" s="19"/>
      <c r="Q1067" s="77" t="str">
        <f>VLOOKUP(J1067,'p1'!$B$2:$C$30,2,0)</f>
        <v>NÃO TEM CHAPA</v>
      </c>
      <c r="R1067" s="90"/>
      <c r="S1067" s="90" t="s">
        <v>217</v>
      </c>
      <c r="T1067" s="90">
        <f t="shared" si="97"/>
        <v>0</v>
      </c>
      <c r="U1067" s="90"/>
      <c r="V1067" s="90"/>
      <c r="W1067" s="92"/>
      <c r="X1067" s="93" t="str">
        <f t="shared" si="94"/>
        <v/>
      </c>
      <c r="Y1067" s="92"/>
      <c r="Z1067" s="92"/>
      <c r="AA1067" s="13" t="str">
        <f t="shared" si="95"/>
        <v>jan/1900</v>
      </c>
    </row>
    <row r="1068" spans="1:27" x14ac:dyDescent="0.25">
      <c r="A1068" s="89">
        <v>1067</v>
      </c>
      <c r="B1068" s="68">
        <v>46004</v>
      </c>
      <c r="C1068" s="40">
        <v>168</v>
      </c>
      <c r="D1068" s="40">
        <f t="shared" si="93"/>
        <v>1</v>
      </c>
      <c r="E1068" s="209" t="s">
        <v>1201</v>
      </c>
      <c r="F1068" s="42" t="s">
        <v>58</v>
      </c>
      <c r="G1068" s="17" t="s">
        <v>86</v>
      </c>
      <c r="H1068" s="17">
        <v>175</v>
      </c>
      <c r="I1068" s="17" t="str">
        <f t="shared" si="96"/>
        <v>AER 2_PN-175</v>
      </c>
      <c r="J1068" s="18" t="s">
        <v>85</v>
      </c>
      <c r="K1068" s="19"/>
      <c r="L1068" s="19"/>
      <c r="M1068" s="19"/>
      <c r="N1068" s="19"/>
      <c r="O1068" s="19"/>
      <c r="P1068" s="19"/>
      <c r="Q1068" s="77" t="str">
        <f>VLOOKUP(J1068,'p1'!$B$2:$C$30,2,0)</f>
        <v>NÃO TEM CHAPA</v>
      </c>
      <c r="R1068" s="90"/>
      <c r="S1068" s="90" t="s">
        <v>217</v>
      </c>
      <c r="T1068" s="90">
        <f t="shared" si="97"/>
        <v>0</v>
      </c>
      <c r="U1068" s="90"/>
      <c r="V1068" s="90"/>
      <c r="W1068" s="92"/>
      <c r="X1068" s="93" t="str">
        <f t="shared" si="94"/>
        <v/>
      </c>
      <c r="Y1068" s="92"/>
      <c r="Z1068" s="92"/>
      <c r="AA1068" s="13" t="str">
        <f t="shared" si="95"/>
        <v>jan/1900</v>
      </c>
    </row>
    <row r="1069" spans="1:27" x14ac:dyDescent="0.25">
      <c r="A1069" s="89">
        <v>1068</v>
      </c>
      <c r="B1069" s="68">
        <v>46004</v>
      </c>
      <c r="C1069" s="40">
        <v>168</v>
      </c>
      <c r="D1069" s="40">
        <f t="shared" si="93"/>
        <v>1</v>
      </c>
      <c r="E1069" s="209" t="s">
        <v>1201</v>
      </c>
      <c r="F1069" s="42" t="s">
        <v>58</v>
      </c>
      <c r="G1069" s="17" t="s">
        <v>86</v>
      </c>
      <c r="H1069" s="17">
        <v>176</v>
      </c>
      <c r="I1069" s="17" t="str">
        <f t="shared" si="96"/>
        <v>AER 2_PN-176</v>
      </c>
      <c r="J1069" s="18" t="s">
        <v>85</v>
      </c>
      <c r="K1069" s="19"/>
      <c r="L1069" s="19"/>
      <c r="M1069" s="19"/>
      <c r="N1069" s="19"/>
      <c r="O1069" s="19"/>
      <c r="P1069" s="19"/>
      <c r="Q1069" s="77" t="str">
        <f>VLOOKUP(J1069,'p1'!$B$2:$C$30,2,0)</f>
        <v>NÃO TEM CHAPA</v>
      </c>
      <c r="R1069" s="90"/>
      <c r="S1069" s="90" t="s">
        <v>217</v>
      </c>
      <c r="T1069" s="90">
        <f t="shared" si="97"/>
        <v>0</v>
      </c>
      <c r="U1069" s="90"/>
      <c r="V1069" s="90"/>
      <c r="W1069" s="92"/>
      <c r="X1069" s="93" t="str">
        <f t="shared" si="94"/>
        <v/>
      </c>
      <c r="Y1069" s="92"/>
      <c r="Z1069" s="92"/>
      <c r="AA1069" s="13" t="str">
        <f t="shared" si="95"/>
        <v>jan/1900</v>
      </c>
    </row>
    <row r="1070" spans="1:27" x14ac:dyDescent="0.25">
      <c r="A1070" s="89">
        <v>1069</v>
      </c>
      <c r="B1070" s="68">
        <v>46004</v>
      </c>
      <c r="C1070" s="40">
        <v>168</v>
      </c>
      <c r="D1070" s="40">
        <f t="shared" si="93"/>
        <v>1</v>
      </c>
      <c r="E1070" s="209" t="s">
        <v>1201</v>
      </c>
      <c r="F1070" s="42" t="s">
        <v>58</v>
      </c>
      <c r="G1070" s="17" t="s">
        <v>86</v>
      </c>
      <c r="H1070" s="17">
        <v>177</v>
      </c>
      <c r="I1070" s="17" t="str">
        <f t="shared" si="96"/>
        <v>AER 2_PN-177</v>
      </c>
      <c r="J1070" s="18" t="s">
        <v>85</v>
      </c>
      <c r="K1070" s="19"/>
      <c r="L1070" s="19"/>
      <c r="M1070" s="19"/>
      <c r="N1070" s="19"/>
      <c r="O1070" s="19"/>
      <c r="P1070" s="19"/>
      <c r="Q1070" s="77" t="str">
        <f>VLOOKUP(J1070,'p1'!$B$2:$C$30,2,0)</f>
        <v>NÃO TEM CHAPA</v>
      </c>
      <c r="R1070" s="90"/>
      <c r="S1070" s="90" t="s">
        <v>217</v>
      </c>
      <c r="T1070" s="90">
        <f t="shared" si="97"/>
        <v>0</v>
      </c>
      <c r="U1070" s="90"/>
      <c r="V1070" s="90"/>
      <c r="W1070" s="92"/>
      <c r="X1070" s="93" t="str">
        <f t="shared" si="94"/>
        <v/>
      </c>
      <c r="Y1070" s="92"/>
      <c r="Z1070" s="92"/>
      <c r="AA1070" s="13" t="str">
        <f t="shared" si="95"/>
        <v>jan/1900</v>
      </c>
    </row>
    <row r="1071" spans="1:27" x14ac:dyDescent="0.25">
      <c r="A1071" s="89">
        <v>1070</v>
      </c>
      <c r="B1071" s="68"/>
      <c r="C1071" s="40"/>
      <c r="D1071" s="40" t="str">
        <f t="shared" si="93"/>
        <v/>
      </c>
      <c r="E1071" s="209" t="s">
        <v>1201</v>
      </c>
      <c r="F1071" s="42" t="s">
        <v>123</v>
      </c>
      <c r="G1071" s="17" t="s">
        <v>86</v>
      </c>
      <c r="H1071" s="17">
        <v>178</v>
      </c>
      <c r="I1071" s="17" t="str">
        <f t="shared" si="96"/>
        <v>AER 2_PNI-178</v>
      </c>
      <c r="J1071" s="18" t="s">
        <v>123</v>
      </c>
      <c r="K1071" s="19"/>
      <c r="L1071" s="19"/>
      <c r="M1071" s="19"/>
      <c r="N1071" s="19"/>
      <c r="O1071" s="19"/>
      <c r="P1071" s="19"/>
      <c r="Q1071" s="77" t="str">
        <f>VLOOKUP(J1071,'p1'!$B$2:$C$30,2,0)</f>
        <v>02- 150X150 #3/8</v>
      </c>
      <c r="R1071" s="90"/>
      <c r="S1071" s="90"/>
      <c r="T1071" s="90">
        <f t="shared" si="97"/>
        <v>0</v>
      </c>
      <c r="U1071" s="90"/>
      <c r="V1071" s="90"/>
      <c r="W1071" s="92"/>
      <c r="X1071" s="93" t="str">
        <f t="shared" si="94"/>
        <v/>
      </c>
      <c r="Y1071" s="92"/>
      <c r="Z1071" s="92"/>
      <c r="AA1071" s="13" t="str">
        <f t="shared" si="95"/>
        <v>jan/1900</v>
      </c>
    </row>
    <row r="1072" spans="1:27" x14ac:dyDescent="0.25">
      <c r="A1072" s="89">
        <v>1071</v>
      </c>
      <c r="B1072" s="68">
        <v>46004</v>
      </c>
      <c r="C1072" s="40">
        <v>168</v>
      </c>
      <c r="D1072" s="40">
        <f t="shared" si="93"/>
        <v>1</v>
      </c>
      <c r="E1072" s="209" t="s">
        <v>1201</v>
      </c>
      <c r="F1072" s="42" t="s">
        <v>58</v>
      </c>
      <c r="G1072" s="17" t="s">
        <v>86</v>
      </c>
      <c r="H1072" s="17">
        <v>179</v>
      </c>
      <c r="I1072" s="17" t="str">
        <f t="shared" si="96"/>
        <v>AER 2_PN-179</v>
      </c>
      <c r="J1072" s="18" t="s">
        <v>85</v>
      </c>
      <c r="K1072" s="19"/>
      <c r="L1072" s="19"/>
      <c r="M1072" s="19"/>
      <c r="N1072" s="19"/>
      <c r="O1072" s="19"/>
      <c r="P1072" s="19"/>
      <c r="Q1072" s="77" t="str">
        <f>VLOOKUP(J1072,'p1'!$B$2:$C$30,2,0)</f>
        <v>NÃO TEM CHAPA</v>
      </c>
      <c r="R1072" s="90"/>
      <c r="S1072" s="90" t="s">
        <v>217</v>
      </c>
      <c r="T1072" s="90">
        <f t="shared" si="97"/>
        <v>0</v>
      </c>
      <c r="U1072" s="90"/>
      <c r="V1072" s="90"/>
      <c r="W1072" s="92"/>
      <c r="X1072" s="93" t="str">
        <f t="shared" si="94"/>
        <v/>
      </c>
      <c r="Y1072" s="92"/>
      <c r="Z1072" s="92"/>
      <c r="AA1072" s="13" t="str">
        <f t="shared" si="95"/>
        <v>jan/1900</v>
      </c>
    </row>
    <row r="1073" spans="1:27" x14ac:dyDescent="0.25">
      <c r="A1073" s="89">
        <v>1072</v>
      </c>
      <c r="B1073" s="68"/>
      <c r="C1073" s="40"/>
      <c r="D1073" s="40" t="str">
        <f t="shared" si="93"/>
        <v/>
      </c>
      <c r="E1073" s="209" t="s">
        <v>1201</v>
      </c>
      <c r="F1073" s="42" t="s">
        <v>61</v>
      </c>
      <c r="G1073" s="17" t="s">
        <v>86</v>
      </c>
      <c r="H1073" s="17">
        <v>180</v>
      </c>
      <c r="I1073" s="17" t="str">
        <f t="shared" si="96"/>
        <v>AER 2_PF-180</v>
      </c>
      <c r="J1073" s="18" t="s">
        <v>61</v>
      </c>
      <c r="K1073" s="19"/>
      <c r="L1073" s="19"/>
      <c r="M1073" s="19"/>
      <c r="N1073" s="19"/>
      <c r="O1073" s="19"/>
      <c r="P1073" s="19"/>
      <c r="Q1073" s="77" t="str">
        <f>VLOOKUP(J1073,'p1'!$B$2:$C$30,2,0)</f>
        <v>SEM CHAPA</v>
      </c>
      <c r="R1073" s="90"/>
      <c r="S1073" s="90"/>
      <c r="T1073" s="90">
        <f t="shared" si="97"/>
        <v>0</v>
      </c>
      <c r="U1073" s="90"/>
      <c r="V1073" s="90"/>
      <c r="W1073" s="92"/>
      <c r="X1073" s="93" t="str">
        <f t="shared" si="94"/>
        <v/>
      </c>
      <c r="Y1073" s="92"/>
      <c r="Z1073" s="92"/>
      <c r="AA1073" s="13" t="str">
        <f t="shared" si="95"/>
        <v>jan/1900</v>
      </c>
    </row>
    <row r="1074" spans="1:27" x14ac:dyDescent="0.25">
      <c r="A1074" s="89">
        <v>1073</v>
      </c>
      <c r="B1074" s="68"/>
      <c r="C1074" s="40"/>
      <c r="D1074" s="40" t="str">
        <f t="shared" si="93"/>
        <v/>
      </c>
      <c r="E1074" s="209" t="s">
        <v>1201</v>
      </c>
      <c r="F1074" s="42" t="s">
        <v>58</v>
      </c>
      <c r="G1074" s="17" t="s">
        <v>86</v>
      </c>
      <c r="H1074" s="17">
        <v>181</v>
      </c>
      <c r="I1074" s="17" t="str">
        <f t="shared" si="96"/>
        <v>AER 2_PN-181</v>
      </c>
      <c r="J1074" s="18" t="s">
        <v>85</v>
      </c>
      <c r="K1074" s="19"/>
      <c r="L1074" s="19"/>
      <c r="M1074" s="19"/>
      <c r="N1074" s="19"/>
      <c r="O1074" s="19"/>
      <c r="P1074" s="19"/>
      <c r="Q1074" s="77" t="str">
        <f>VLOOKUP(J1074,'p1'!$B$2:$C$30,2,0)</f>
        <v>NÃO TEM CHAPA</v>
      </c>
      <c r="R1074" s="90"/>
      <c r="S1074" s="90"/>
      <c r="T1074" s="90">
        <f t="shared" si="97"/>
        <v>0</v>
      </c>
      <c r="U1074" s="90"/>
      <c r="V1074" s="90"/>
      <c r="W1074" s="92"/>
      <c r="X1074" s="93" t="str">
        <f t="shared" si="94"/>
        <v/>
      </c>
      <c r="Y1074" s="92"/>
      <c r="Z1074" s="92"/>
      <c r="AA1074" s="13" t="str">
        <f t="shared" si="95"/>
        <v>jan/1900</v>
      </c>
    </row>
    <row r="1075" spans="1:27" x14ac:dyDescent="0.25">
      <c r="A1075" s="89">
        <v>1074</v>
      </c>
      <c r="B1075" s="68"/>
      <c r="C1075" s="40"/>
      <c r="D1075" s="40" t="str">
        <f t="shared" si="93"/>
        <v/>
      </c>
      <c r="E1075" s="209" t="s">
        <v>1201</v>
      </c>
      <c r="F1075" s="42" t="s">
        <v>58</v>
      </c>
      <c r="G1075" s="17" t="s">
        <v>86</v>
      </c>
      <c r="H1075" s="17">
        <v>182</v>
      </c>
      <c r="I1075" s="17" t="str">
        <f t="shared" si="96"/>
        <v>AER 2_PN-182</v>
      </c>
      <c r="J1075" s="18" t="s">
        <v>85</v>
      </c>
      <c r="K1075" s="19"/>
      <c r="L1075" s="19"/>
      <c r="M1075" s="19"/>
      <c r="N1075" s="19"/>
      <c r="O1075" s="19"/>
      <c r="P1075" s="19"/>
      <c r="Q1075" s="77" t="str">
        <f>VLOOKUP(J1075,'p1'!$B$2:$C$30,2,0)</f>
        <v>NÃO TEM CHAPA</v>
      </c>
      <c r="R1075" s="90"/>
      <c r="S1075" s="90"/>
      <c r="T1075" s="90">
        <f t="shared" si="97"/>
        <v>0</v>
      </c>
      <c r="U1075" s="90"/>
      <c r="V1075" s="90"/>
      <c r="W1075" s="92"/>
      <c r="X1075" s="93" t="str">
        <f t="shared" si="94"/>
        <v/>
      </c>
      <c r="Y1075" s="92"/>
      <c r="Z1075" s="92"/>
      <c r="AA1075" s="13" t="str">
        <f t="shared" si="95"/>
        <v>jan/1900</v>
      </c>
    </row>
    <row r="1076" spans="1:27" x14ac:dyDescent="0.25">
      <c r="A1076" s="89">
        <v>1075</v>
      </c>
      <c r="B1076" s="68"/>
      <c r="C1076" s="40"/>
      <c r="D1076" s="40" t="str">
        <f t="shared" si="93"/>
        <v/>
      </c>
      <c r="E1076" s="209" t="s">
        <v>1201</v>
      </c>
      <c r="F1076" s="42" t="s">
        <v>58</v>
      </c>
      <c r="G1076" s="17" t="s">
        <v>86</v>
      </c>
      <c r="H1076" s="17">
        <v>183</v>
      </c>
      <c r="I1076" s="17" t="str">
        <f t="shared" si="96"/>
        <v>AER 2_PN-183</v>
      </c>
      <c r="J1076" s="18" t="s">
        <v>85</v>
      </c>
      <c r="K1076" s="19"/>
      <c r="L1076" s="19"/>
      <c r="M1076" s="19"/>
      <c r="N1076" s="19"/>
      <c r="O1076" s="19"/>
      <c r="P1076" s="19"/>
      <c r="Q1076" s="77" t="str">
        <f>VLOOKUP(J1076,'p1'!$B$2:$C$30,2,0)</f>
        <v>NÃO TEM CHAPA</v>
      </c>
      <c r="R1076" s="90"/>
      <c r="S1076" s="90"/>
      <c r="T1076" s="90">
        <f t="shared" si="97"/>
        <v>0</v>
      </c>
      <c r="U1076" s="90"/>
      <c r="V1076" s="90"/>
      <c r="W1076" s="92"/>
      <c r="X1076" s="93" t="str">
        <f t="shared" si="94"/>
        <v/>
      </c>
      <c r="Y1076" s="92"/>
      <c r="Z1076" s="92"/>
      <c r="AA1076" s="13" t="str">
        <f t="shared" si="95"/>
        <v>jan/1900</v>
      </c>
    </row>
    <row r="1077" spans="1:27" x14ac:dyDescent="0.25">
      <c r="A1077" s="89">
        <v>1076</v>
      </c>
      <c r="B1077" s="68"/>
      <c r="C1077" s="40"/>
      <c r="D1077" s="40" t="str">
        <f t="shared" si="93"/>
        <v/>
      </c>
      <c r="E1077" s="209" t="s">
        <v>1201</v>
      </c>
      <c r="F1077" s="42" t="s">
        <v>123</v>
      </c>
      <c r="G1077" s="17" t="s">
        <v>86</v>
      </c>
      <c r="H1077" s="17">
        <v>184</v>
      </c>
      <c r="I1077" s="17" t="str">
        <f t="shared" si="96"/>
        <v>AER 2_PNI-184</v>
      </c>
      <c r="J1077" s="18" t="s">
        <v>123</v>
      </c>
      <c r="K1077" s="19"/>
      <c r="L1077" s="19"/>
      <c r="M1077" s="19"/>
      <c r="N1077" s="19"/>
      <c r="O1077" s="19"/>
      <c r="P1077" s="19"/>
      <c r="Q1077" s="77" t="str">
        <f>VLOOKUP(J1077,'p1'!$B$2:$C$30,2,0)</f>
        <v>02- 150X150 #3/8</v>
      </c>
      <c r="R1077" s="90"/>
      <c r="S1077" s="90"/>
      <c r="T1077" s="90">
        <f t="shared" si="97"/>
        <v>0</v>
      </c>
      <c r="U1077" s="90"/>
      <c r="V1077" s="90"/>
      <c r="W1077" s="92"/>
      <c r="X1077" s="93" t="str">
        <f t="shared" si="94"/>
        <v/>
      </c>
      <c r="Y1077" s="92"/>
      <c r="Z1077" s="92"/>
      <c r="AA1077" s="13" t="str">
        <f t="shared" si="95"/>
        <v>jan/1900</v>
      </c>
    </row>
    <row r="1078" spans="1:27" x14ac:dyDescent="0.25">
      <c r="A1078" s="89">
        <v>1077</v>
      </c>
      <c r="B1078" s="68"/>
      <c r="C1078" s="40"/>
      <c r="D1078" s="40" t="str">
        <f t="shared" si="93"/>
        <v/>
      </c>
      <c r="E1078" s="209" t="s">
        <v>1201</v>
      </c>
      <c r="F1078" s="42" t="s">
        <v>58</v>
      </c>
      <c r="G1078" s="17" t="s">
        <v>86</v>
      </c>
      <c r="H1078" s="17">
        <v>185</v>
      </c>
      <c r="I1078" s="17" t="str">
        <f t="shared" si="96"/>
        <v>AER 2_PN-185</v>
      </c>
      <c r="J1078" s="18" t="s">
        <v>85</v>
      </c>
      <c r="K1078" s="19"/>
      <c r="L1078" s="19"/>
      <c r="M1078" s="19"/>
      <c r="N1078" s="19"/>
      <c r="O1078" s="19"/>
      <c r="P1078" s="19"/>
      <c r="Q1078" s="77" t="str">
        <f>VLOOKUP(J1078,'p1'!$B$2:$C$30,2,0)</f>
        <v>NÃO TEM CHAPA</v>
      </c>
      <c r="R1078" s="90"/>
      <c r="S1078" s="90"/>
      <c r="T1078" s="90">
        <f t="shared" si="97"/>
        <v>0</v>
      </c>
      <c r="U1078" s="90"/>
      <c r="V1078" s="90"/>
      <c r="W1078" s="92"/>
      <c r="X1078" s="93" t="str">
        <f t="shared" si="94"/>
        <v/>
      </c>
      <c r="Y1078" s="92"/>
      <c r="Z1078" s="92"/>
      <c r="AA1078" s="13" t="str">
        <f t="shared" si="95"/>
        <v>jan/1900</v>
      </c>
    </row>
    <row r="1079" spans="1:27" x14ac:dyDescent="0.25">
      <c r="A1079" s="89">
        <v>1078</v>
      </c>
      <c r="B1079" s="68"/>
      <c r="C1079" s="40"/>
      <c r="D1079" s="40" t="str">
        <f t="shared" si="93"/>
        <v/>
      </c>
      <c r="E1079" s="209" t="s">
        <v>1201</v>
      </c>
      <c r="F1079" s="42" t="s">
        <v>58</v>
      </c>
      <c r="G1079" s="17" t="s">
        <v>86</v>
      </c>
      <c r="H1079" s="17">
        <v>186</v>
      </c>
      <c r="I1079" s="17" t="str">
        <f t="shared" si="96"/>
        <v>AER 2_PN-186</v>
      </c>
      <c r="J1079" s="18" t="s">
        <v>85</v>
      </c>
      <c r="K1079" s="19"/>
      <c r="L1079" s="19"/>
      <c r="M1079" s="19"/>
      <c r="N1079" s="19"/>
      <c r="O1079" s="19"/>
      <c r="P1079" s="19"/>
      <c r="Q1079" s="77" t="str">
        <f>VLOOKUP(J1079,'p1'!$B$2:$C$30,2,0)</f>
        <v>NÃO TEM CHAPA</v>
      </c>
      <c r="R1079" s="90"/>
      <c r="S1079" s="90"/>
      <c r="T1079" s="90">
        <f t="shared" si="97"/>
        <v>0</v>
      </c>
      <c r="U1079" s="90"/>
      <c r="V1079" s="90"/>
      <c r="W1079" s="92"/>
      <c r="X1079" s="93" t="str">
        <f t="shared" si="94"/>
        <v/>
      </c>
      <c r="Y1079" s="92"/>
      <c r="Z1079" s="92"/>
      <c r="AA1079" s="13" t="str">
        <f t="shared" si="95"/>
        <v>jan/1900</v>
      </c>
    </row>
    <row r="1080" spans="1:27" x14ac:dyDescent="0.25">
      <c r="A1080" s="89">
        <v>1079</v>
      </c>
      <c r="B1080" s="68"/>
      <c r="C1080" s="40"/>
      <c r="D1080" s="40" t="str">
        <f t="shared" si="93"/>
        <v/>
      </c>
      <c r="E1080" s="209" t="s">
        <v>1201</v>
      </c>
      <c r="F1080" s="42" t="s">
        <v>58</v>
      </c>
      <c r="G1080" s="17" t="s">
        <v>86</v>
      </c>
      <c r="H1080" s="17">
        <v>187</v>
      </c>
      <c r="I1080" s="17" t="str">
        <f t="shared" si="96"/>
        <v>AER 2_PN-187</v>
      </c>
      <c r="J1080" s="18" t="s">
        <v>85</v>
      </c>
      <c r="K1080" s="19"/>
      <c r="L1080" s="19"/>
      <c r="M1080" s="19"/>
      <c r="N1080" s="19"/>
      <c r="O1080" s="19"/>
      <c r="P1080" s="19"/>
      <c r="Q1080" s="77" t="str">
        <f>VLOOKUP(J1080,'p1'!$B$2:$C$30,2,0)</f>
        <v>NÃO TEM CHAPA</v>
      </c>
      <c r="R1080" s="90"/>
      <c r="S1080" s="90"/>
      <c r="T1080" s="90">
        <f t="shared" si="97"/>
        <v>0</v>
      </c>
      <c r="U1080" s="90"/>
      <c r="V1080" s="90"/>
      <c r="W1080" s="92"/>
      <c r="X1080" s="93" t="str">
        <f t="shared" si="94"/>
        <v/>
      </c>
      <c r="Y1080" s="92"/>
      <c r="Z1080" s="92"/>
      <c r="AA1080" s="13" t="str">
        <f t="shared" si="95"/>
        <v>jan/1900</v>
      </c>
    </row>
    <row r="1081" spans="1:27" x14ac:dyDescent="0.25">
      <c r="A1081" s="89">
        <v>1080</v>
      </c>
      <c r="B1081" s="68">
        <v>45990</v>
      </c>
      <c r="C1081" s="40">
        <v>159</v>
      </c>
      <c r="D1081" s="40">
        <f t="shared" si="93"/>
        <v>1</v>
      </c>
      <c r="E1081" s="209" t="s">
        <v>1201</v>
      </c>
      <c r="F1081" s="42" t="s">
        <v>60</v>
      </c>
      <c r="G1081" s="17" t="s">
        <v>86</v>
      </c>
      <c r="H1081" s="17">
        <v>188</v>
      </c>
      <c r="I1081" s="17" t="str">
        <f t="shared" si="96"/>
        <v>AER 2_PE-188</v>
      </c>
      <c r="J1081" s="18" t="s">
        <v>60</v>
      </c>
      <c r="K1081" s="19"/>
      <c r="L1081" s="19"/>
      <c r="M1081" s="19"/>
      <c r="N1081" s="19"/>
      <c r="O1081" s="19"/>
      <c r="P1081" s="19"/>
      <c r="Q1081" s="77" t="s">
        <v>1212</v>
      </c>
      <c r="R1081" s="94">
        <v>45995</v>
      </c>
      <c r="S1081" s="90" t="s">
        <v>217</v>
      </c>
      <c r="T1081" s="90">
        <f t="shared" si="97"/>
        <v>1</v>
      </c>
      <c r="U1081" s="94">
        <v>45995</v>
      </c>
      <c r="V1081" s="90" t="s">
        <v>86</v>
      </c>
      <c r="W1081" s="92">
        <v>2693</v>
      </c>
      <c r="X1081" s="93">
        <f t="shared" si="94"/>
        <v>1</v>
      </c>
      <c r="Y1081" s="92"/>
      <c r="Z1081" s="92"/>
      <c r="AA1081" s="13" t="str">
        <f t="shared" si="95"/>
        <v>dez/2025</v>
      </c>
    </row>
    <row r="1082" spans="1:27" x14ac:dyDescent="0.25">
      <c r="A1082" s="89">
        <v>1081</v>
      </c>
      <c r="B1082" s="68"/>
      <c r="C1082" s="40"/>
      <c r="D1082" s="40" t="str">
        <f t="shared" si="93"/>
        <v/>
      </c>
      <c r="E1082" s="47" t="s">
        <v>1163</v>
      </c>
      <c r="F1082" s="42" t="s">
        <v>58</v>
      </c>
      <c r="G1082" s="17" t="s">
        <v>86</v>
      </c>
      <c r="H1082" s="17">
        <v>189</v>
      </c>
      <c r="I1082" s="17" t="str">
        <f>_xlfn.CONCAT("AER 3_",F1082,G1082,H1082)</f>
        <v>AER 3_PN-189</v>
      </c>
      <c r="J1082" s="18" t="s">
        <v>85</v>
      </c>
      <c r="K1082" s="19"/>
      <c r="L1082" s="19"/>
      <c r="M1082" s="19"/>
      <c r="N1082" s="19"/>
      <c r="O1082" s="19"/>
      <c r="P1082" s="19"/>
      <c r="Q1082" s="77" t="str">
        <f>VLOOKUP(J1082,'p1'!$B$2:$C$30,2,0)</f>
        <v>NÃO TEM CHAPA</v>
      </c>
      <c r="R1082" s="90"/>
      <c r="S1082" s="90"/>
      <c r="T1082" s="90">
        <f t="shared" si="97"/>
        <v>0</v>
      </c>
      <c r="U1082" s="90"/>
      <c r="V1082" s="90"/>
      <c r="W1082" s="92"/>
      <c r="X1082" s="93" t="str">
        <f t="shared" si="94"/>
        <v/>
      </c>
      <c r="Y1082" s="92"/>
      <c r="Z1082" s="92"/>
      <c r="AA1082" s="13" t="str">
        <f t="shared" si="95"/>
        <v>jan/1900</v>
      </c>
    </row>
    <row r="1083" spans="1:27" x14ac:dyDescent="0.25">
      <c r="A1083" s="89">
        <v>1082</v>
      </c>
      <c r="B1083" s="68"/>
      <c r="C1083" s="40"/>
      <c r="D1083" s="40" t="str">
        <f t="shared" si="93"/>
        <v/>
      </c>
      <c r="E1083" s="47" t="s">
        <v>1163</v>
      </c>
      <c r="F1083" s="42" t="s">
        <v>58</v>
      </c>
      <c r="G1083" s="17" t="s">
        <v>86</v>
      </c>
      <c r="H1083" s="17">
        <v>190</v>
      </c>
      <c r="I1083" s="17" t="str">
        <f t="shared" ref="I1083:I1130" si="98">_xlfn.CONCAT("AER 3_",F1083,G1083,H1083)</f>
        <v>AER 3_PN-190</v>
      </c>
      <c r="J1083" s="18" t="s">
        <v>85</v>
      </c>
      <c r="K1083" s="19"/>
      <c r="L1083" s="19"/>
      <c r="M1083" s="19"/>
      <c r="N1083" s="19"/>
      <c r="O1083" s="19"/>
      <c r="P1083" s="19"/>
      <c r="Q1083" s="77" t="str">
        <f>VLOOKUP(J1083,'p1'!$B$2:$C$30,2,0)</f>
        <v>NÃO TEM CHAPA</v>
      </c>
      <c r="R1083" s="90"/>
      <c r="S1083" s="90"/>
      <c r="T1083" s="90">
        <f t="shared" si="97"/>
        <v>0</v>
      </c>
      <c r="U1083" s="90"/>
      <c r="V1083" s="90"/>
      <c r="W1083" s="92"/>
      <c r="X1083" s="93" t="str">
        <f t="shared" si="94"/>
        <v/>
      </c>
      <c r="Y1083" s="92"/>
      <c r="Z1083" s="92"/>
      <c r="AA1083" s="13" t="str">
        <f t="shared" si="95"/>
        <v>jan/1900</v>
      </c>
    </row>
    <row r="1084" spans="1:27" x14ac:dyDescent="0.25">
      <c r="A1084" s="89">
        <v>1083</v>
      </c>
      <c r="B1084" s="68"/>
      <c r="C1084" s="40"/>
      <c r="D1084" s="40" t="str">
        <f t="shared" si="93"/>
        <v/>
      </c>
      <c r="E1084" s="47" t="s">
        <v>1163</v>
      </c>
      <c r="F1084" s="42" t="s">
        <v>58</v>
      </c>
      <c r="G1084" s="17" t="s">
        <v>86</v>
      </c>
      <c r="H1084" s="17">
        <v>191</v>
      </c>
      <c r="I1084" s="17" t="str">
        <f t="shared" si="98"/>
        <v>AER 3_PN-191</v>
      </c>
      <c r="J1084" s="18" t="s">
        <v>85</v>
      </c>
      <c r="K1084" s="19"/>
      <c r="L1084" s="19"/>
      <c r="M1084" s="19"/>
      <c r="N1084" s="19"/>
      <c r="O1084" s="19"/>
      <c r="P1084" s="19"/>
      <c r="Q1084" s="77" t="str">
        <f>VLOOKUP(J1084,'p1'!$B$2:$C$30,2,0)</f>
        <v>NÃO TEM CHAPA</v>
      </c>
      <c r="R1084" s="90"/>
      <c r="S1084" s="90"/>
      <c r="T1084" s="90">
        <f t="shared" si="97"/>
        <v>0</v>
      </c>
      <c r="U1084" s="90"/>
      <c r="V1084" s="90"/>
      <c r="W1084" s="92"/>
      <c r="X1084" s="93" t="str">
        <f t="shared" si="94"/>
        <v/>
      </c>
      <c r="Y1084" s="92"/>
      <c r="Z1084" s="92"/>
      <c r="AA1084" s="13" t="str">
        <f t="shared" si="95"/>
        <v>jan/1900</v>
      </c>
    </row>
    <row r="1085" spans="1:27" x14ac:dyDescent="0.25">
      <c r="A1085" s="89">
        <v>1084</v>
      </c>
      <c r="B1085" s="68"/>
      <c r="C1085" s="40"/>
      <c r="D1085" s="40" t="str">
        <f t="shared" si="93"/>
        <v/>
      </c>
      <c r="E1085" s="47" t="s">
        <v>1163</v>
      </c>
      <c r="F1085" s="42" t="s">
        <v>58</v>
      </c>
      <c r="G1085" s="17" t="s">
        <v>86</v>
      </c>
      <c r="H1085" s="17">
        <v>192</v>
      </c>
      <c r="I1085" s="17" t="str">
        <f t="shared" si="98"/>
        <v>AER 3_PN-192</v>
      </c>
      <c r="J1085" s="18" t="s">
        <v>85</v>
      </c>
      <c r="K1085" s="19"/>
      <c r="L1085" s="19"/>
      <c r="M1085" s="19"/>
      <c r="N1085" s="19"/>
      <c r="O1085" s="19"/>
      <c r="P1085" s="19"/>
      <c r="Q1085" s="77" t="str">
        <f>VLOOKUP(J1085,'p1'!$B$2:$C$30,2,0)</f>
        <v>NÃO TEM CHAPA</v>
      </c>
      <c r="R1085" s="90"/>
      <c r="S1085" s="90"/>
      <c r="T1085" s="90">
        <f t="shared" si="97"/>
        <v>0</v>
      </c>
      <c r="U1085" s="90"/>
      <c r="V1085" s="90"/>
      <c r="W1085" s="92"/>
      <c r="X1085" s="93" t="str">
        <f t="shared" si="94"/>
        <v/>
      </c>
      <c r="Y1085" s="92"/>
      <c r="Z1085" s="92"/>
      <c r="AA1085" s="13" t="str">
        <f t="shared" si="95"/>
        <v>jan/1900</v>
      </c>
    </row>
    <row r="1086" spans="1:27" x14ac:dyDescent="0.25">
      <c r="A1086" s="89">
        <v>1085</v>
      </c>
      <c r="B1086" s="68"/>
      <c r="C1086" s="40"/>
      <c r="D1086" s="40" t="str">
        <f t="shared" si="93"/>
        <v/>
      </c>
      <c r="E1086" s="47" t="s">
        <v>1163</v>
      </c>
      <c r="F1086" s="42" t="s">
        <v>58</v>
      </c>
      <c r="G1086" s="17" t="s">
        <v>86</v>
      </c>
      <c r="H1086" s="17">
        <v>193</v>
      </c>
      <c r="I1086" s="17" t="str">
        <f t="shared" si="98"/>
        <v>AER 3_PN-193</v>
      </c>
      <c r="J1086" s="18" t="s">
        <v>85</v>
      </c>
      <c r="K1086" s="19"/>
      <c r="L1086" s="19"/>
      <c r="M1086" s="19"/>
      <c r="N1086" s="19"/>
      <c r="O1086" s="19"/>
      <c r="P1086" s="19"/>
      <c r="Q1086" s="77" t="str">
        <f>VLOOKUP(J1086,'p1'!$B$2:$C$30,2,0)</f>
        <v>NÃO TEM CHAPA</v>
      </c>
      <c r="R1086" s="90"/>
      <c r="S1086" s="90"/>
      <c r="T1086" s="90">
        <f t="shared" si="97"/>
        <v>0</v>
      </c>
      <c r="U1086" s="90"/>
      <c r="V1086" s="90"/>
      <c r="W1086" s="92"/>
      <c r="X1086" s="93" t="str">
        <f t="shared" si="94"/>
        <v/>
      </c>
      <c r="Y1086" s="92"/>
      <c r="Z1086" s="92"/>
      <c r="AA1086" s="13" t="str">
        <f t="shared" si="95"/>
        <v>jan/1900</v>
      </c>
    </row>
    <row r="1087" spans="1:27" x14ac:dyDescent="0.25">
      <c r="A1087" s="89">
        <v>1086</v>
      </c>
      <c r="B1087" s="68"/>
      <c r="C1087" s="40"/>
      <c r="D1087" s="40" t="str">
        <f t="shared" si="93"/>
        <v/>
      </c>
      <c r="E1087" s="47" t="s">
        <v>1163</v>
      </c>
      <c r="F1087" s="42" t="s">
        <v>58</v>
      </c>
      <c r="G1087" s="17" t="s">
        <v>86</v>
      </c>
      <c r="H1087" s="17">
        <v>194</v>
      </c>
      <c r="I1087" s="17" t="str">
        <f t="shared" si="98"/>
        <v>AER 3_PN-194</v>
      </c>
      <c r="J1087" s="18" t="s">
        <v>85</v>
      </c>
      <c r="K1087" s="19"/>
      <c r="L1087" s="19"/>
      <c r="M1087" s="19"/>
      <c r="N1087" s="19"/>
      <c r="O1087" s="19"/>
      <c r="P1087" s="19"/>
      <c r="Q1087" s="77" t="str">
        <f>VLOOKUP(J1087,'p1'!$B$2:$C$30,2,0)</f>
        <v>NÃO TEM CHAPA</v>
      </c>
      <c r="R1087" s="90"/>
      <c r="S1087" s="90"/>
      <c r="T1087" s="90">
        <f t="shared" si="97"/>
        <v>0</v>
      </c>
      <c r="U1087" s="90"/>
      <c r="V1087" s="90"/>
      <c r="W1087" s="92"/>
      <c r="X1087" s="93" t="str">
        <f t="shared" si="94"/>
        <v/>
      </c>
      <c r="Y1087" s="92"/>
      <c r="Z1087" s="92"/>
      <c r="AA1087" s="13" t="str">
        <f t="shared" si="95"/>
        <v>jan/1900</v>
      </c>
    </row>
    <row r="1088" spans="1:27" x14ac:dyDescent="0.25">
      <c r="A1088" s="89">
        <v>1087</v>
      </c>
      <c r="B1088" s="68"/>
      <c r="C1088" s="40"/>
      <c r="D1088" s="40" t="str">
        <f t="shared" si="93"/>
        <v/>
      </c>
      <c r="E1088" s="47" t="s">
        <v>1163</v>
      </c>
      <c r="F1088" s="42" t="s">
        <v>58</v>
      </c>
      <c r="G1088" s="17" t="s">
        <v>86</v>
      </c>
      <c r="H1088" s="17">
        <v>195</v>
      </c>
      <c r="I1088" s="17" t="str">
        <f t="shared" si="98"/>
        <v>AER 3_PN-195</v>
      </c>
      <c r="J1088" s="18" t="s">
        <v>85</v>
      </c>
      <c r="K1088" s="19"/>
      <c r="L1088" s="19"/>
      <c r="M1088" s="19"/>
      <c r="N1088" s="19"/>
      <c r="O1088" s="19"/>
      <c r="P1088" s="19"/>
      <c r="Q1088" s="77" t="str">
        <f>VLOOKUP(J1088,'p1'!$B$2:$C$30,2,0)</f>
        <v>NÃO TEM CHAPA</v>
      </c>
      <c r="R1088" s="90"/>
      <c r="S1088" s="90"/>
      <c r="T1088" s="90">
        <f t="shared" si="97"/>
        <v>0</v>
      </c>
      <c r="U1088" s="90"/>
      <c r="V1088" s="90"/>
      <c r="W1088" s="92"/>
      <c r="X1088" s="93" t="str">
        <f t="shared" si="94"/>
        <v/>
      </c>
      <c r="Y1088" s="92"/>
      <c r="Z1088" s="92"/>
      <c r="AA1088" s="13" t="str">
        <f t="shared" si="95"/>
        <v>jan/1900</v>
      </c>
    </row>
    <row r="1089" spans="1:27" x14ac:dyDescent="0.25">
      <c r="A1089" s="89">
        <v>1088</v>
      </c>
      <c r="B1089" s="68"/>
      <c r="C1089" s="40"/>
      <c r="D1089" s="40" t="str">
        <f t="shared" ref="D1089:D1152" si="99">IF(B1089&gt;0,1,"")</f>
        <v/>
      </c>
      <c r="E1089" s="47" t="s">
        <v>1163</v>
      </c>
      <c r="F1089" s="42" t="s">
        <v>58</v>
      </c>
      <c r="G1089" s="17" t="s">
        <v>86</v>
      </c>
      <c r="H1089" s="17">
        <v>196</v>
      </c>
      <c r="I1089" s="17" t="str">
        <f t="shared" si="98"/>
        <v>AER 3_PN-196</v>
      </c>
      <c r="J1089" s="18" t="s">
        <v>85</v>
      </c>
      <c r="K1089" s="19"/>
      <c r="L1089" s="19"/>
      <c r="M1089" s="19"/>
      <c r="N1089" s="19"/>
      <c r="O1089" s="19"/>
      <c r="P1089" s="19"/>
      <c r="Q1089" s="77" t="str">
        <f>VLOOKUP(J1089,'p1'!$B$2:$C$30,2,0)</f>
        <v>NÃO TEM CHAPA</v>
      </c>
      <c r="R1089" s="90"/>
      <c r="S1089" s="90"/>
      <c r="T1089" s="90">
        <f t="shared" si="97"/>
        <v>0</v>
      </c>
      <c r="U1089" s="90"/>
      <c r="V1089" s="90"/>
      <c r="W1089" s="92"/>
      <c r="X1089" s="93" t="str">
        <f t="shared" ref="X1089:X1152" si="100">IF(U1089&gt;0,1,"")</f>
        <v/>
      </c>
      <c r="Y1089" s="92"/>
      <c r="Z1089" s="92"/>
      <c r="AA1089" s="13" t="str">
        <f t="shared" si="95"/>
        <v>jan/1900</v>
      </c>
    </row>
    <row r="1090" spans="1:27" x14ac:dyDescent="0.25">
      <c r="A1090" s="89">
        <v>1089</v>
      </c>
      <c r="B1090" s="68"/>
      <c r="C1090" s="40"/>
      <c r="D1090" s="40" t="str">
        <f t="shared" si="99"/>
        <v/>
      </c>
      <c r="E1090" s="47" t="s">
        <v>1163</v>
      </c>
      <c r="F1090" s="42" t="s">
        <v>58</v>
      </c>
      <c r="G1090" s="17" t="s">
        <v>86</v>
      </c>
      <c r="H1090" s="17">
        <v>197</v>
      </c>
      <c r="I1090" s="17" t="str">
        <f t="shared" si="98"/>
        <v>AER 3_PN-197</v>
      </c>
      <c r="J1090" s="18" t="s">
        <v>85</v>
      </c>
      <c r="K1090" s="19"/>
      <c r="L1090" s="19"/>
      <c r="M1090" s="19"/>
      <c r="N1090" s="19"/>
      <c r="O1090" s="19"/>
      <c r="P1090" s="19"/>
      <c r="Q1090" s="77" t="str">
        <f>VLOOKUP(J1090,'p1'!$B$2:$C$30,2,0)</f>
        <v>NÃO TEM CHAPA</v>
      </c>
      <c r="R1090" s="90"/>
      <c r="S1090" s="90"/>
      <c r="T1090" s="90">
        <f t="shared" si="97"/>
        <v>0</v>
      </c>
      <c r="U1090" s="90"/>
      <c r="V1090" s="90"/>
      <c r="W1090" s="92"/>
      <c r="X1090" s="93" t="str">
        <f t="shared" si="100"/>
        <v/>
      </c>
      <c r="Y1090" s="92"/>
      <c r="Z1090" s="92"/>
      <c r="AA1090" s="13" t="str">
        <f t="shared" si="95"/>
        <v>jan/1900</v>
      </c>
    </row>
    <row r="1091" spans="1:27" x14ac:dyDescent="0.25">
      <c r="A1091" s="89">
        <v>1090</v>
      </c>
      <c r="B1091" s="68"/>
      <c r="C1091" s="40"/>
      <c r="D1091" s="40" t="str">
        <f t="shared" si="99"/>
        <v/>
      </c>
      <c r="E1091" s="47" t="s">
        <v>1163</v>
      </c>
      <c r="F1091" s="42" t="s">
        <v>58</v>
      </c>
      <c r="G1091" s="17" t="s">
        <v>86</v>
      </c>
      <c r="H1091" s="17">
        <v>198</v>
      </c>
      <c r="I1091" s="17" t="str">
        <f t="shared" si="98"/>
        <v>AER 3_PN-198</v>
      </c>
      <c r="J1091" s="18" t="s">
        <v>85</v>
      </c>
      <c r="K1091" s="19"/>
      <c r="L1091" s="19"/>
      <c r="M1091" s="19"/>
      <c r="N1091" s="19"/>
      <c r="O1091" s="19"/>
      <c r="P1091" s="19"/>
      <c r="Q1091" s="77" t="str">
        <f>VLOOKUP(J1091,'p1'!$B$2:$C$30,2,0)</f>
        <v>NÃO TEM CHAPA</v>
      </c>
      <c r="R1091" s="90"/>
      <c r="S1091" s="90"/>
      <c r="T1091" s="90">
        <f t="shared" si="97"/>
        <v>0</v>
      </c>
      <c r="U1091" s="90"/>
      <c r="V1091" s="90"/>
      <c r="W1091" s="92"/>
      <c r="X1091" s="93" t="str">
        <f t="shared" si="100"/>
        <v/>
      </c>
      <c r="Y1091" s="92"/>
      <c r="Z1091" s="92"/>
      <c r="AA1091" s="13" t="str">
        <f t="shared" ref="AA1091:AA1154" si="101">TEXT(R1091,"mmm/aaaa")</f>
        <v>jan/1900</v>
      </c>
    </row>
    <row r="1092" spans="1:27" x14ac:dyDescent="0.25">
      <c r="A1092" s="89">
        <v>1091</v>
      </c>
      <c r="B1092" s="68"/>
      <c r="C1092" s="40"/>
      <c r="D1092" s="40" t="str">
        <f t="shared" si="99"/>
        <v/>
      </c>
      <c r="E1092" s="47" t="s">
        <v>1163</v>
      </c>
      <c r="F1092" s="42" t="s">
        <v>58</v>
      </c>
      <c r="G1092" s="17" t="s">
        <v>86</v>
      </c>
      <c r="H1092" s="17">
        <v>199</v>
      </c>
      <c r="I1092" s="17" t="str">
        <f t="shared" si="98"/>
        <v>AER 3_PN-199</v>
      </c>
      <c r="J1092" s="18" t="s">
        <v>85</v>
      </c>
      <c r="K1092" s="19"/>
      <c r="L1092" s="19"/>
      <c r="M1092" s="19"/>
      <c r="N1092" s="19"/>
      <c r="O1092" s="19"/>
      <c r="P1092" s="19"/>
      <c r="Q1092" s="77" t="str">
        <f>VLOOKUP(J1092,'p1'!$B$2:$C$30,2,0)</f>
        <v>NÃO TEM CHAPA</v>
      </c>
      <c r="R1092" s="90"/>
      <c r="S1092" s="90"/>
      <c r="T1092" s="90">
        <f t="shared" ref="T1092:T1130" si="102">IF(R1092="",0,1)</f>
        <v>0</v>
      </c>
      <c r="U1092" s="90"/>
      <c r="V1092" s="90"/>
      <c r="W1092" s="92"/>
      <c r="X1092" s="93" t="str">
        <f t="shared" si="100"/>
        <v/>
      </c>
      <c r="Y1092" s="92"/>
      <c r="Z1092" s="92"/>
      <c r="AA1092" s="13" t="str">
        <f t="shared" si="101"/>
        <v>jan/1900</v>
      </c>
    </row>
    <row r="1093" spans="1:27" x14ac:dyDescent="0.25">
      <c r="A1093" s="89">
        <v>1092</v>
      </c>
      <c r="B1093" s="68"/>
      <c r="C1093" s="40"/>
      <c r="D1093" s="40" t="str">
        <f t="shared" si="99"/>
        <v/>
      </c>
      <c r="E1093" s="47" t="s">
        <v>1163</v>
      </c>
      <c r="F1093" s="42" t="s">
        <v>58</v>
      </c>
      <c r="G1093" s="17" t="s">
        <v>86</v>
      </c>
      <c r="H1093" s="17">
        <v>200</v>
      </c>
      <c r="I1093" s="17" t="str">
        <f t="shared" si="98"/>
        <v>AER 3_PN-200</v>
      </c>
      <c r="J1093" s="18" t="s">
        <v>85</v>
      </c>
      <c r="K1093" s="19"/>
      <c r="L1093" s="19"/>
      <c r="M1093" s="19"/>
      <c r="N1093" s="19"/>
      <c r="O1093" s="19"/>
      <c r="P1093" s="19"/>
      <c r="Q1093" s="77" t="str">
        <f>VLOOKUP(J1093,'p1'!$B$2:$C$30,2,0)</f>
        <v>NÃO TEM CHAPA</v>
      </c>
      <c r="R1093" s="90"/>
      <c r="S1093" s="90"/>
      <c r="T1093" s="90">
        <f t="shared" si="102"/>
        <v>0</v>
      </c>
      <c r="U1093" s="90"/>
      <c r="V1093" s="90"/>
      <c r="W1093" s="92"/>
      <c r="X1093" s="93" t="str">
        <f t="shared" si="100"/>
        <v/>
      </c>
      <c r="Y1093" s="92"/>
      <c r="Z1093" s="92"/>
      <c r="AA1093" s="13" t="str">
        <f t="shared" si="101"/>
        <v>jan/1900</v>
      </c>
    </row>
    <row r="1094" spans="1:27" x14ac:dyDescent="0.25">
      <c r="A1094" s="89">
        <v>1093</v>
      </c>
      <c r="B1094" s="68"/>
      <c r="C1094" s="40"/>
      <c r="D1094" s="40" t="str">
        <f t="shared" si="99"/>
        <v/>
      </c>
      <c r="E1094" s="47" t="s">
        <v>1163</v>
      </c>
      <c r="F1094" s="42" t="s">
        <v>58</v>
      </c>
      <c r="G1094" s="17" t="s">
        <v>86</v>
      </c>
      <c r="H1094" s="17">
        <v>201</v>
      </c>
      <c r="I1094" s="17" t="str">
        <f t="shared" si="98"/>
        <v>AER 3_PN-201</v>
      </c>
      <c r="J1094" s="18" t="s">
        <v>85</v>
      </c>
      <c r="K1094" s="19"/>
      <c r="L1094" s="19"/>
      <c r="M1094" s="19"/>
      <c r="N1094" s="19"/>
      <c r="O1094" s="19"/>
      <c r="P1094" s="19"/>
      <c r="Q1094" s="77" t="str">
        <f>VLOOKUP(J1094,'p1'!$B$2:$C$30,2,0)</f>
        <v>NÃO TEM CHAPA</v>
      </c>
      <c r="R1094" s="90"/>
      <c r="S1094" s="90"/>
      <c r="T1094" s="90">
        <f t="shared" si="102"/>
        <v>0</v>
      </c>
      <c r="U1094" s="90"/>
      <c r="V1094" s="90"/>
      <c r="W1094" s="92"/>
      <c r="X1094" s="93" t="str">
        <f t="shared" si="100"/>
        <v/>
      </c>
      <c r="Y1094" s="92"/>
      <c r="Z1094" s="92"/>
      <c r="AA1094" s="13" t="str">
        <f t="shared" si="101"/>
        <v>jan/1900</v>
      </c>
    </row>
    <row r="1095" spans="1:27" x14ac:dyDescent="0.25">
      <c r="A1095" s="89">
        <v>1094</v>
      </c>
      <c r="B1095" s="68"/>
      <c r="C1095" s="40"/>
      <c r="D1095" s="40" t="str">
        <f t="shared" si="99"/>
        <v/>
      </c>
      <c r="E1095" s="47" t="s">
        <v>1163</v>
      </c>
      <c r="F1095" s="42" t="s">
        <v>58</v>
      </c>
      <c r="G1095" s="17" t="s">
        <v>86</v>
      </c>
      <c r="H1095" s="17">
        <v>202</v>
      </c>
      <c r="I1095" s="17" t="str">
        <f t="shared" si="98"/>
        <v>AER 3_PN-202</v>
      </c>
      <c r="J1095" s="18" t="s">
        <v>85</v>
      </c>
      <c r="K1095" s="19"/>
      <c r="L1095" s="19"/>
      <c r="M1095" s="19"/>
      <c r="N1095" s="19"/>
      <c r="O1095" s="19"/>
      <c r="P1095" s="19"/>
      <c r="Q1095" s="77" t="str">
        <f>VLOOKUP(J1095,'p1'!$B$2:$C$30,2,0)</f>
        <v>NÃO TEM CHAPA</v>
      </c>
      <c r="R1095" s="90"/>
      <c r="S1095" s="90"/>
      <c r="T1095" s="90">
        <f t="shared" si="102"/>
        <v>0</v>
      </c>
      <c r="U1095" s="90"/>
      <c r="V1095" s="90"/>
      <c r="W1095" s="92"/>
      <c r="X1095" s="93" t="str">
        <f t="shared" si="100"/>
        <v/>
      </c>
      <c r="Y1095" s="92"/>
      <c r="Z1095" s="92"/>
      <c r="AA1095" s="13" t="str">
        <f t="shared" si="101"/>
        <v>jan/1900</v>
      </c>
    </row>
    <row r="1096" spans="1:27" x14ac:dyDescent="0.25">
      <c r="A1096" s="89">
        <v>1095</v>
      </c>
      <c r="B1096" s="68"/>
      <c r="C1096" s="40"/>
      <c r="D1096" s="40" t="str">
        <f t="shared" si="99"/>
        <v/>
      </c>
      <c r="E1096" s="47" t="s">
        <v>1163</v>
      </c>
      <c r="F1096" s="42" t="s">
        <v>58</v>
      </c>
      <c r="G1096" s="17" t="s">
        <v>86</v>
      </c>
      <c r="H1096" s="17">
        <v>203</v>
      </c>
      <c r="I1096" s="17" t="str">
        <f t="shared" si="98"/>
        <v>AER 3_PN-203</v>
      </c>
      <c r="J1096" s="18" t="s">
        <v>85</v>
      </c>
      <c r="K1096" s="19"/>
      <c r="L1096" s="19"/>
      <c r="M1096" s="19"/>
      <c r="N1096" s="19"/>
      <c r="O1096" s="19"/>
      <c r="P1096" s="19"/>
      <c r="Q1096" s="77" t="str">
        <f>VLOOKUP(J1096,'p1'!$B$2:$C$30,2,0)</f>
        <v>NÃO TEM CHAPA</v>
      </c>
      <c r="R1096" s="90"/>
      <c r="S1096" s="90"/>
      <c r="T1096" s="90">
        <f t="shared" si="102"/>
        <v>0</v>
      </c>
      <c r="U1096" s="90"/>
      <c r="V1096" s="90"/>
      <c r="W1096" s="92"/>
      <c r="X1096" s="93" t="str">
        <f t="shared" si="100"/>
        <v/>
      </c>
      <c r="Y1096" s="92"/>
      <c r="Z1096" s="92"/>
      <c r="AA1096" s="13" t="str">
        <f t="shared" si="101"/>
        <v>jan/1900</v>
      </c>
    </row>
    <row r="1097" spans="1:27" x14ac:dyDescent="0.25">
      <c r="A1097" s="89">
        <v>1096</v>
      </c>
      <c r="B1097" s="68"/>
      <c r="C1097" s="40"/>
      <c r="D1097" s="40" t="str">
        <f t="shared" si="99"/>
        <v/>
      </c>
      <c r="E1097" s="47" t="s">
        <v>1163</v>
      </c>
      <c r="F1097" s="42" t="s">
        <v>58</v>
      </c>
      <c r="G1097" s="17" t="s">
        <v>86</v>
      </c>
      <c r="H1097" s="17">
        <v>204</v>
      </c>
      <c r="I1097" s="17" t="str">
        <f t="shared" si="98"/>
        <v>AER 3_PN-204</v>
      </c>
      <c r="J1097" s="18" t="s">
        <v>85</v>
      </c>
      <c r="K1097" s="19"/>
      <c r="L1097" s="19"/>
      <c r="M1097" s="19"/>
      <c r="N1097" s="19"/>
      <c r="O1097" s="19"/>
      <c r="P1097" s="19"/>
      <c r="Q1097" s="77" t="str">
        <f>VLOOKUP(J1097,'p1'!$B$2:$C$30,2,0)</f>
        <v>NÃO TEM CHAPA</v>
      </c>
      <c r="R1097" s="90"/>
      <c r="S1097" s="90"/>
      <c r="T1097" s="90">
        <f t="shared" si="102"/>
        <v>0</v>
      </c>
      <c r="U1097" s="90"/>
      <c r="V1097" s="90"/>
      <c r="W1097" s="92"/>
      <c r="X1097" s="93" t="str">
        <f t="shared" si="100"/>
        <v/>
      </c>
      <c r="Y1097" s="92"/>
      <c r="Z1097" s="92"/>
      <c r="AA1097" s="13" t="str">
        <f t="shared" si="101"/>
        <v>jan/1900</v>
      </c>
    </row>
    <row r="1098" spans="1:27" x14ac:dyDescent="0.25">
      <c r="A1098" s="89">
        <v>1097</v>
      </c>
      <c r="B1098" s="68"/>
      <c r="C1098" s="40"/>
      <c r="D1098" s="40" t="str">
        <f t="shared" si="99"/>
        <v/>
      </c>
      <c r="E1098" s="47" t="s">
        <v>1163</v>
      </c>
      <c r="F1098" s="42" t="s">
        <v>58</v>
      </c>
      <c r="G1098" s="17" t="s">
        <v>86</v>
      </c>
      <c r="H1098" s="17">
        <v>205</v>
      </c>
      <c r="I1098" s="17" t="str">
        <f t="shared" si="98"/>
        <v>AER 3_PN-205</v>
      </c>
      <c r="J1098" s="18" t="s">
        <v>85</v>
      </c>
      <c r="K1098" s="19"/>
      <c r="L1098" s="19"/>
      <c r="M1098" s="19"/>
      <c r="N1098" s="19"/>
      <c r="O1098" s="19"/>
      <c r="P1098" s="19"/>
      <c r="Q1098" s="77" t="str">
        <f>VLOOKUP(J1098,'p1'!$B$2:$C$30,2,0)</f>
        <v>NÃO TEM CHAPA</v>
      </c>
      <c r="R1098" s="90"/>
      <c r="S1098" s="90"/>
      <c r="T1098" s="90">
        <f t="shared" si="102"/>
        <v>0</v>
      </c>
      <c r="U1098" s="90"/>
      <c r="V1098" s="90"/>
      <c r="W1098" s="92"/>
      <c r="X1098" s="93" t="str">
        <f t="shared" si="100"/>
        <v/>
      </c>
      <c r="Y1098" s="92"/>
      <c r="Z1098" s="92"/>
      <c r="AA1098" s="13" t="str">
        <f t="shared" si="101"/>
        <v>jan/1900</v>
      </c>
    </row>
    <row r="1099" spans="1:27" x14ac:dyDescent="0.25">
      <c r="A1099" s="89">
        <v>1098</v>
      </c>
      <c r="B1099" s="68"/>
      <c r="C1099" s="40"/>
      <c r="D1099" s="40" t="str">
        <f t="shared" si="99"/>
        <v/>
      </c>
      <c r="E1099" s="47" t="s">
        <v>1163</v>
      </c>
      <c r="F1099" s="42" t="s">
        <v>58</v>
      </c>
      <c r="G1099" s="17" t="s">
        <v>86</v>
      </c>
      <c r="H1099" s="17">
        <v>206</v>
      </c>
      <c r="I1099" s="17" t="str">
        <f t="shared" si="98"/>
        <v>AER 3_PN-206</v>
      </c>
      <c r="J1099" s="18" t="s">
        <v>85</v>
      </c>
      <c r="K1099" s="19"/>
      <c r="L1099" s="19"/>
      <c r="M1099" s="19"/>
      <c r="N1099" s="19"/>
      <c r="O1099" s="19"/>
      <c r="P1099" s="19"/>
      <c r="Q1099" s="77" t="str">
        <f>VLOOKUP(J1099,'p1'!$B$2:$C$30,2,0)</f>
        <v>NÃO TEM CHAPA</v>
      </c>
      <c r="R1099" s="90"/>
      <c r="S1099" s="90"/>
      <c r="T1099" s="90">
        <f t="shared" si="102"/>
        <v>0</v>
      </c>
      <c r="U1099" s="90"/>
      <c r="V1099" s="90"/>
      <c r="W1099" s="92"/>
      <c r="X1099" s="93" t="str">
        <f t="shared" si="100"/>
        <v/>
      </c>
      <c r="Y1099" s="92"/>
      <c r="Z1099" s="92"/>
      <c r="AA1099" s="13" t="str">
        <f t="shared" si="101"/>
        <v>jan/1900</v>
      </c>
    </row>
    <row r="1100" spans="1:27" x14ac:dyDescent="0.25">
      <c r="A1100" s="89">
        <v>1099</v>
      </c>
      <c r="B1100" s="68"/>
      <c r="C1100" s="40"/>
      <c r="D1100" s="40" t="str">
        <f t="shared" si="99"/>
        <v/>
      </c>
      <c r="E1100" s="47" t="s">
        <v>1163</v>
      </c>
      <c r="F1100" s="42" t="s">
        <v>58</v>
      </c>
      <c r="G1100" s="17" t="s">
        <v>86</v>
      </c>
      <c r="H1100" s="17">
        <v>207</v>
      </c>
      <c r="I1100" s="17" t="str">
        <f t="shared" si="98"/>
        <v>AER 3_PN-207</v>
      </c>
      <c r="J1100" s="18" t="s">
        <v>85</v>
      </c>
      <c r="K1100" s="19"/>
      <c r="L1100" s="19"/>
      <c r="M1100" s="19"/>
      <c r="N1100" s="19"/>
      <c r="O1100" s="19"/>
      <c r="P1100" s="19"/>
      <c r="Q1100" s="77" t="str">
        <f>VLOOKUP(J1100,'p1'!$B$2:$C$30,2,0)</f>
        <v>NÃO TEM CHAPA</v>
      </c>
      <c r="R1100" s="90"/>
      <c r="S1100" s="90"/>
      <c r="T1100" s="90">
        <f t="shared" si="102"/>
        <v>0</v>
      </c>
      <c r="U1100" s="90"/>
      <c r="V1100" s="90"/>
      <c r="W1100" s="92"/>
      <c r="X1100" s="93" t="str">
        <f t="shared" si="100"/>
        <v/>
      </c>
      <c r="Y1100" s="92"/>
      <c r="Z1100" s="92"/>
      <c r="AA1100" s="13" t="str">
        <f t="shared" si="101"/>
        <v>jan/1900</v>
      </c>
    </row>
    <row r="1101" spans="1:27" x14ac:dyDescent="0.25">
      <c r="A1101" s="89">
        <v>1100</v>
      </c>
      <c r="B1101" s="68"/>
      <c r="C1101" s="40"/>
      <c r="D1101" s="40" t="str">
        <f t="shared" si="99"/>
        <v/>
      </c>
      <c r="E1101" s="47" t="s">
        <v>1163</v>
      </c>
      <c r="F1101" s="42" t="s">
        <v>58</v>
      </c>
      <c r="G1101" s="17" t="s">
        <v>86</v>
      </c>
      <c r="H1101" s="17">
        <v>208</v>
      </c>
      <c r="I1101" s="17" t="str">
        <f t="shared" si="98"/>
        <v>AER 3_PN-208</v>
      </c>
      <c r="J1101" s="18" t="s">
        <v>85</v>
      </c>
      <c r="K1101" s="19"/>
      <c r="L1101" s="19"/>
      <c r="M1101" s="19"/>
      <c r="N1101" s="19"/>
      <c r="O1101" s="19"/>
      <c r="P1101" s="19"/>
      <c r="Q1101" s="77" t="str">
        <f>VLOOKUP(J1101,'p1'!$B$2:$C$30,2,0)</f>
        <v>NÃO TEM CHAPA</v>
      </c>
      <c r="R1101" s="90"/>
      <c r="S1101" s="90"/>
      <c r="T1101" s="90">
        <f t="shared" si="102"/>
        <v>0</v>
      </c>
      <c r="U1101" s="90"/>
      <c r="V1101" s="90"/>
      <c r="W1101" s="92"/>
      <c r="X1101" s="93" t="str">
        <f t="shared" si="100"/>
        <v/>
      </c>
      <c r="Y1101" s="92"/>
      <c r="Z1101" s="92"/>
      <c r="AA1101" s="13" t="str">
        <f t="shared" si="101"/>
        <v>jan/1900</v>
      </c>
    </row>
    <row r="1102" spans="1:27" x14ac:dyDescent="0.25">
      <c r="A1102" s="89">
        <v>1101</v>
      </c>
      <c r="B1102" s="68"/>
      <c r="C1102" s="40"/>
      <c r="D1102" s="40" t="str">
        <f t="shared" si="99"/>
        <v/>
      </c>
      <c r="E1102" s="47" t="s">
        <v>1163</v>
      </c>
      <c r="F1102" s="42" t="s">
        <v>58</v>
      </c>
      <c r="G1102" s="17" t="s">
        <v>86</v>
      </c>
      <c r="H1102" s="17">
        <v>209</v>
      </c>
      <c r="I1102" s="17" t="str">
        <f t="shared" si="98"/>
        <v>AER 3_PN-209</v>
      </c>
      <c r="J1102" s="18" t="s">
        <v>85</v>
      </c>
      <c r="K1102" s="19"/>
      <c r="L1102" s="19"/>
      <c r="M1102" s="19"/>
      <c r="N1102" s="19"/>
      <c r="O1102" s="19"/>
      <c r="P1102" s="19"/>
      <c r="Q1102" s="77" t="str">
        <f>VLOOKUP(J1102,'p1'!$B$2:$C$30,2,0)</f>
        <v>NÃO TEM CHAPA</v>
      </c>
      <c r="R1102" s="90"/>
      <c r="S1102" s="90"/>
      <c r="T1102" s="90">
        <f t="shared" si="102"/>
        <v>0</v>
      </c>
      <c r="U1102" s="90"/>
      <c r="V1102" s="90"/>
      <c r="W1102" s="92"/>
      <c r="X1102" s="93" t="str">
        <f t="shared" si="100"/>
        <v/>
      </c>
      <c r="Y1102" s="92"/>
      <c r="Z1102" s="92"/>
      <c r="AA1102" s="13" t="str">
        <f t="shared" si="101"/>
        <v>jan/1900</v>
      </c>
    </row>
    <row r="1103" spans="1:27" x14ac:dyDescent="0.25">
      <c r="A1103" s="89">
        <v>1102</v>
      </c>
      <c r="B1103" s="68"/>
      <c r="C1103" s="40"/>
      <c r="D1103" s="40" t="str">
        <f t="shared" si="99"/>
        <v/>
      </c>
      <c r="E1103" s="47" t="s">
        <v>1163</v>
      </c>
      <c r="F1103" s="42" t="s">
        <v>58</v>
      </c>
      <c r="G1103" s="17" t="s">
        <v>86</v>
      </c>
      <c r="H1103" s="17">
        <v>210</v>
      </c>
      <c r="I1103" s="17" t="str">
        <f t="shared" si="98"/>
        <v>AER 3_PN-210</v>
      </c>
      <c r="J1103" s="18" t="s">
        <v>85</v>
      </c>
      <c r="K1103" s="19"/>
      <c r="L1103" s="19"/>
      <c r="M1103" s="19"/>
      <c r="N1103" s="19"/>
      <c r="O1103" s="19"/>
      <c r="P1103" s="19"/>
      <c r="Q1103" s="77" t="str">
        <f>VLOOKUP(J1103,'p1'!$B$2:$C$30,2,0)</f>
        <v>NÃO TEM CHAPA</v>
      </c>
      <c r="R1103" s="90"/>
      <c r="S1103" s="90"/>
      <c r="T1103" s="90">
        <f t="shared" si="102"/>
        <v>0</v>
      </c>
      <c r="U1103" s="90"/>
      <c r="V1103" s="90"/>
      <c r="W1103" s="92"/>
      <c r="X1103" s="93" t="str">
        <f t="shared" si="100"/>
        <v/>
      </c>
      <c r="Y1103" s="92"/>
      <c r="Z1103" s="92"/>
      <c r="AA1103" s="13" t="str">
        <f t="shared" si="101"/>
        <v>jan/1900</v>
      </c>
    </row>
    <row r="1104" spans="1:27" x14ac:dyDescent="0.25">
      <c r="A1104" s="89">
        <v>1103</v>
      </c>
      <c r="B1104" s="68"/>
      <c r="C1104" s="40"/>
      <c r="D1104" s="40" t="str">
        <f t="shared" si="99"/>
        <v/>
      </c>
      <c r="E1104" s="47" t="s">
        <v>1163</v>
      </c>
      <c r="F1104" s="42" t="s">
        <v>58</v>
      </c>
      <c r="G1104" s="17" t="s">
        <v>86</v>
      </c>
      <c r="H1104" s="17">
        <v>211</v>
      </c>
      <c r="I1104" s="17" t="str">
        <f t="shared" si="98"/>
        <v>AER 3_PN-211</v>
      </c>
      <c r="J1104" s="18" t="s">
        <v>85</v>
      </c>
      <c r="K1104" s="19"/>
      <c r="L1104" s="19"/>
      <c r="M1104" s="19"/>
      <c r="N1104" s="19"/>
      <c r="O1104" s="19"/>
      <c r="P1104" s="19"/>
      <c r="Q1104" s="77" t="str">
        <f>VLOOKUP(J1104,'p1'!$B$2:$C$30,2,0)</f>
        <v>NÃO TEM CHAPA</v>
      </c>
      <c r="R1104" s="90"/>
      <c r="S1104" s="90"/>
      <c r="T1104" s="90">
        <f t="shared" si="102"/>
        <v>0</v>
      </c>
      <c r="U1104" s="90"/>
      <c r="V1104" s="90"/>
      <c r="W1104" s="92"/>
      <c r="X1104" s="93" t="str">
        <f t="shared" si="100"/>
        <v/>
      </c>
      <c r="Y1104" s="92"/>
      <c r="Z1104" s="92"/>
      <c r="AA1104" s="13" t="str">
        <f t="shared" si="101"/>
        <v>jan/1900</v>
      </c>
    </row>
    <row r="1105" spans="1:27" x14ac:dyDescent="0.25">
      <c r="A1105" s="89">
        <v>1104</v>
      </c>
      <c r="B1105" s="68"/>
      <c r="C1105" s="40"/>
      <c r="D1105" s="40" t="str">
        <f t="shared" si="99"/>
        <v/>
      </c>
      <c r="E1105" s="47" t="s">
        <v>1163</v>
      </c>
      <c r="F1105" s="42" t="s">
        <v>58</v>
      </c>
      <c r="G1105" s="17" t="s">
        <v>86</v>
      </c>
      <c r="H1105" s="17">
        <v>212</v>
      </c>
      <c r="I1105" s="17" t="str">
        <f t="shared" si="98"/>
        <v>AER 3_PN-212</v>
      </c>
      <c r="J1105" s="18" t="s">
        <v>85</v>
      </c>
      <c r="K1105" s="19"/>
      <c r="L1105" s="19"/>
      <c r="M1105" s="19"/>
      <c r="N1105" s="19"/>
      <c r="O1105" s="19"/>
      <c r="P1105" s="19"/>
      <c r="Q1105" s="77" t="str">
        <f>VLOOKUP(J1105,'p1'!$B$2:$C$30,2,0)</f>
        <v>NÃO TEM CHAPA</v>
      </c>
      <c r="R1105" s="90"/>
      <c r="S1105" s="90"/>
      <c r="T1105" s="90">
        <f t="shared" si="102"/>
        <v>0</v>
      </c>
      <c r="U1105" s="90"/>
      <c r="V1105" s="90"/>
      <c r="W1105" s="92"/>
      <c r="X1105" s="93" t="str">
        <f t="shared" si="100"/>
        <v/>
      </c>
      <c r="Y1105" s="92"/>
      <c r="Z1105" s="92"/>
      <c r="AA1105" s="13" t="str">
        <f t="shared" si="101"/>
        <v>jan/1900</v>
      </c>
    </row>
    <row r="1106" spans="1:27" x14ac:dyDescent="0.25">
      <c r="A1106" s="89">
        <v>1105</v>
      </c>
      <c r="B1106" s="68"/>
      <c r="C1106" s="40"/>
      <c r="D1106" s="40" t="str">
        <f t="shared" si="99"/>
        <v/>
      </c>
      <c r="E1106" s="47" t="s">
        <v>1163</v>
      </c>
      <c r="F1106" s="42" t="s">
        <v>58</v>
      </c>
      <c r="G1106" s="17" t="s">
        <v>86</v>
      </c>
      <c r="H1106" s="17">
        <v>213</v>
      </c>
      <c r="I1106" s="17" t="str">
        <f t="shared" si="98"/>
        <v>AER 3_PN-213</v>
      </c>
      <c r="J1106" s="18" t="s">
        <v>85</v>
      </c>
      <c r="K1106" s="19"/>
      <c r="L1106" s="19"/>
      <c r="M1106" s="19"/>
      <c r="N1106" s="19"/>
      <c r="O1106" s="19"/>
      <c r="P1106" s="19"/>
      <c r="Q1106" s="77" t="str">
        <f>VLOOKUP(J1106,'p1'!$B$2:$C$30,2,0)</f>
        <v>NÃO TEM CHAPA</v>
      </c>
      <c r="R1106" s="90"/>
      <c r="S1106" s="90"/>
      <c r="T1106" s="90">
        <f t="shared" si="102"/>
        <v>0</v>
      </c>
      <c r="U1106" s="90"/>
      <c r="V1106" s="90"/>
      <c r="W1106" s="92"/>
      <c r="X1106" s="93" t="str">
        <f t="shared" si="100"/>
        <v/>
      </c>
      <c r="Y1106" s="92"/>
      <c r="Z1106" s="92"/>
      <c r="AA1106" s="13" t="str">
        <f t="shared" si="101"/>
        <v>jan/1900</v>
      </c>
    </row>
    <row r="1107" spans="1:27" x14ac:dyDescent="0.25">
      <c r="A1107" s="89">
        <v>1106</v>
      </c>
      <c r="B1107" s="68"/>
      <c r="C1107" s="40"/>
      <c r="D1107" s="40" t="str">
        <f t="shared" si="99"/>
        <v/>
      </c>
      <c r="E1107" s="47" t="s">
        <v>1163</v>
      </c>
      <c r="F1107" s="42" t="s">
        <v>58</v>
      </c>
      <c r="G1107" s="17" t="s">
        <v>86</v>
      </c>
      <c r="H1107" s="17">
        <v>214</v>
      </c>
      <c r="I1107" s="17" t="str">
        <f t="shared" si="98"/>
        <v>AER 3_PN-214</v>
      </c>
      <c r="J1107" s="18" t="s">
        <v>85</v>
      </c>
      <c r="K1107" s="19"/>
      <c r="L1107" s="19"/>
      <c r="M1107" s="19"/>
      <c r="N1107" s="19"/>
      <c r="O1107" s="19"/>
      <c r="P1107" s="19"/>
      <c r="Q1107" s="77" t="str">
        <f>VLOOKUP(J1107,'p1'!$B$2:$C$30,2,0)</f>
        <v>NÃO TEM CHAPA</v>
      </c>
      <c r="R1107" s="90"/>
      <c r="S1107" s="90"/>
      <c r="T1107" s="90">
        <f t="shared" si="102"/>
        <v>0</v>
      </c>
      <c r="U1107" s="90"/>
      <c r="V1107" s="90"/>
      <c r="W1107" s="92"/>
      <c r="X1107" s="93" t="str">
        <f t="shared" si="100"/>
        <v/>
      </c>
      <c r="Y1107" s="92"/>
      <c r="Z1107" s="92"/>
      <c r="AA1107" s="13" t="str">
        <f t="shared" si="101"/>
        <v>jan/1900</v>
      </c>
    </row>
    <row r="1108" spans="1:27" x14ac:dyDescent="0.25">
      <c r="A1108" s="89">
        <v>1107</v>
      </c>
      <c r="B1108" s="68"/>
      <c r="C1108" s="40"/>
      <c r="D1108" s="40" t="str">
        <f t="shared" si="99"/>
        <v/>
      </c>
      <c r="E1108" s="47" t="s">
        <v>1163</v>
      </c>
      <c r="F1108" s="42" t="s">
        <v>58</v>
      </c>
      <c r="G1108" s="17" t="s">
        <v>86</v>
      </c>
      <c r="H1108" s="17">
        <v>215</v>
      </c>
      <c r="I1108" s="17" t="str">
        <f t="shared" si="98"/>
        <v>AER 3_PN-215</v>
      </c>
      <c r="J1108" s="18" t="s">
        <v>85</v>
      </c>
      <c r="K1108" s="19"/>
      <c r="L1108" s="19"/>
      <c r="M1108" s="19"/>
      <c r="N1108" s="19"/>
      <c r="O1108" s="19"/>
      <c r="P1108" s="19"/>
      <c r="Q1108" s="77" t="str">
        <f>VLOOKUP(J1108,'p1'!$B$2:$C$30,2,0)</f>
        <v>NÃO TEM CHAPA</v>
      </c>
      <c r="R1108" s="90"/>
      <c r="S1108" s="90"/>
      <c r="T1108" s="90">
        <f t="shared" si="102"/>
        <v>0</v>
      </c>
      <c r="U1108" s="90"/>
      <c r="V1108" s="90"/>
      <c r="W1108" s="92"/>
      <c r="X1108" s="93" t="str">
        <f t="shared" si="100"/>
        <v/>
      </c>
      <c r="Y1108" s="92"/>
      <c r="Z1108" s="92"/>
      <c r="AA1108" s="13" t="str">
        <f t="shared" si="101"/>
        <v>jan/1900</v>
      </c>
    </row>
    <row r="1109" spans="1:27" x14ac:dyDescent="0.25">
      <c r="A1109" s="89">
        <v>1108</v>
      </c>
      <c r="B1109" s="68"/>
      <c r="C1109" s="40"/>
      <c r="D1109" s="40" t="str">
        <f t="shared" si="99"/>
        <v/>
      </c>
      <c r="E1109" s="47" t="s">
        <v>1163</v>
      </c>
      <c r="F1109" s="42" t="s">
        <v>58</v>
      </c>
      <c r="G1109" s="17" t="s">
        <v>86</v>
      </c>
      <c r="H1109" s="17">
        <v>216</v>
      </c>
      <c r="I1109" s="17" t="str">
        <f t="shared" si="98"/>
        <v>AER 3_PN-216</v>
      </c>
      <c r="J1109" s="18" t="s">
        <v>85</v>
      </c>
      <c r="K1109" s="19"/>
      <c r="L1109" s="19"/>
      <c r="M1109" s="19"/>
      <c r="N1109" s="19"/>
      <c r="O1109" s="19"/>
      <c r="P1109" s="19"/>
      <c r="Q1109" s="77" t="str">
        <f>VLOOKUP(J1109,'p1'!$B$2:$C$30,2,0)</f>
        <v>NÃO TEM CHAPA</v>
      </c>
      <c r="R1109" s="90"/>
      <c r="S1109" s="90"/>
      <c r="T1109" s="90">
        <f t="shared" si="102"/>
        <v>0</v>
      </c>
      <c r="U1109" s="90"/>
      <c r="V1109" s="90"/>
      <c r="W1109" s="92"/>
      <c r="X1109" s="93" t="str">
        <f t="shared" si="100"/>
        <v/>
      </c>
      <c r="Y1109" s="92"/>
      <c r="Z1109" s="92"/>
      <c r="AA1109" s="13" t="str">
        <f t="shared" si="101"/>
        <v>jan/1900</v>
      </c>
    </row>
    <row r="1110" spans="1:27" x14ac:dyDescent="0.25">
      <c r="A1110" s="89">
        <v>1109</v>
      </c>
      <c r="B1110" s="68"/>
      <c r="C1110" s="40"/>
      <c r="D1110" s="40" t="str">
        <f t="shared" si="99"/>
        <v/>
      </c>
      <c r="E1110" s="47" t="s">
        <v>1163</v>
      </c>
      <c r="F1110" s="42" t="s">
        <v>58</v>
      </c>
      <c r="G1110" s="17" t="s">
        <v>86</v>
      </c>
      <c r="H1110" s="17">
        <v>217</v>
      </c>
      <c r="I1110" s="17" t="str">
        <f t="shared" si="98"/>
        <v>AER 3_PN-217</v>
      </c>
      <c r="J1110" s="18" t="s">
        <v>85</v>
      </c>
      <c r="K1110" s="19"/>
      <c r="L1110" s="19"/>
      <c r="M1110" s="19"/>
      <c r="N1110" s="19"/>
      <c r="O1110" s="19"/>
      <c r="P1110" s="19"/>
      <c r="Q1110" s="77" t="str">
        <f>VLOOKUP(J1110,'p1'!$B$2:$C$30,2,0)</f>
        <v>NÃO TEM CHAPA</v>
      </c>
      <c r="R1110" s="90"/>
      <c r="S1110" s="90"/>
      <c r="T1110" s="90">
        <f t="shared" si="102"/>
        <v>0</v>
      </c>
      <c r="U1110" s="90"/>
      <c r="V1110" s="90"/>
      <c r="W1110" s="92"/>
      <c r="X1110" s="93" t="str">
        <f t="shared" si="100"/>
        <v/>
      </c>
      <c r="Y1110" s="92"/>
      <c r="Z1110" s="92"/>
      <c r="AA1110" s="13" t="str">
        <f t="shared" si="101"/>
        <v>jan/1900</v>
      </c>
    </row>
    <row r="1111" spans="1:27" x14ac:dyDescent="0.25">
      <c r="A1111" s="89">
        <v>1110</v>
      </c>
      <c r="B1111" s="68"/>
      <c r="C1111" s="40"/>
      <c r="D1111" s="40" t="str">
        <f t="shared" si="99"/>
        <v/>
      </c>
      <c r="E1111" s="47" t="s">
        <v>1163</v>
      </c>
      <c r="F1111" s="42" t="s">
        <v>58</v>
      </c>
      <c r="G1111" s="17" t="s">
        <v>86</v>
      </c>
      <c r="H1111" s="17">
        <v>218</v>
      </c>
      <c r="I1111" s="17" t="str">
        <f t="shared" si="98"/>
        <v>AER 3_PN-218</v>
      </c>
      <c r="J1111" s="18" t="s">
        <v>85</v>
      </c>
      <c r="K1111" s="19"/>
      <c r="L1111" s="19"/>
      <c r="M1111" s="19"/>
      <c r="N1111" s="19"/>
      <c r="O1111" s="19"/>
      <c r="P1111" s="19"/>
      <c r="Q1111" s="77" t="str">
        <f>VLOOKUP(J1111,'p1'!$B$2:$C$30,2,0)</f>
        <v>NÃO TEM CHAPA</v>
      </c>
      <c r="R1111" s="90"/>
      <c r="S1111" s="90"/>
      <c r="T1111" s="90">
        <f t="shared" si="102"/>
        <v>0</v>
      </c>
      <c r="U1111" s="90"/>
      <c r="V1111" s="90"/>
      <c r="W1111" s="92"/>
      <c r="X1111" s="93" t="str">
        <f t="shared" si="100"/>
        <v/>
      </c>
      <c r="Y1111" s="92"/>
      <c r="Z1111" s="92"/>
      <c r="AA1111" s="13" t="str">
        <f t="shared" si="101"/>
        <v>jan/1900</v>
      </c>
    </row>
    <row r="1112" spans="1:27" x14ac:dyDescent="0.25">
      <c r="A1112" s="89">
        <v>1111</v>
      </c>
      <c r="B1112" s="68"/>
      <c r="C1112" s="40"/>
      <c r="D1112" s="40" t="str">
        <f t="shared" si="99"/>
        <v/>
      </c>
      <c r="E1112" s="47" t="s">
        <v>1163</v>
      </c>
      <c r="F1112" s="42" t="s">
        <v>58</v>
      </c>
      <c r="G1112" s="17" t="s">
        <v>86</v>
      </c>
      <c r="H1112" s="17">
        <v>219</v>
      </c>
      <c r="I1112" s="17" t="str">
        <f t="shared" si="98"/>
        <v>AER 3_PN-219</v>
      </c>
      <c r="J1112" s="18" t="s">
        <v>85</v>
      </c>
      <c r="K1112" s="19"/>
      <c r="L1112" s="19"/>
      <c r="M1112" s="19"/>
      <c r="N1112" s="19"/>
      <c r="O1112" s="19"/>
      <c r="P1112" s="19"/>
      <c r="Q1112" s="77" t="str">
        <f>VLOOKUP(J1112,'p1'!$B$2:$C$30,2,0)</f>
        <v>NÃO TEM CHAPA</v>
      </c>
      <c r="R1112" s="90"/>
      <c r="S1112" s="90"/>
      <c r="T1112" s="90">
        <f t="shared" si="102"/>
        <v>0</v>
      </c>
      <c r="U1112" s="90"/>
      <c r="V1112" s="90"/>
      <c r="W1112" s="92"/>
      <c r="X1112" s="93" t="str">
        <f t="shared" si="100"/>
        <v/>
      </c>
      <c r="Y1112" s="92"/>
      <c r="Z1112" s="92"/>
      <c r="AA1112" s="13" t="str">
        <f t="shared" si="101"/>
        <v>jan/1900</v>
      </c>
    </row>
    <row r="1113" spans="1:27" x14ac:dyDescent="0.25">
      <c r="A1113" s="89">
        <v>1112</v>
      </c>
      <c r="B1113" s="68"/>
      <c r="C1113" s="40"/>
      <c r="D1113" s="40" t="str">
        <f t="shared" si="99"/>
        <v/>
      </c>
      <c r="E1113" s="47" t="s">
        <v>1163</v>
      </c>
      <c r="F1113" s="42" t="s">
        <v>58</v>
      </c>
      <c r="G1113" s="17" t="s">
        <v>86</v>
      </c>
      <c r="H1113" s="17">
        <v>220</v>
      </c>
      <c r="I1113" s="17" t="str">
        <f t="shared" si="98"/>
        <v>AER 3_PN-220</v>
      </c>
      <c r="J1113" s="18" t="s">
        <v>85</v>
      </c>
      <c r="K1113" s="19"/>
      <c r="L1113" s="19"/>
      <c r="M1113" s="19"/>
      <c r="N1113" s="19"/>
      <c r="O1113" s="19"/>
      <c r="P1113" s="19"/>
      <c r="Q1113" s="77" t="str">
        <f>VLOOKUP(J1113,'p1'!$B$2:$C$30,2,0)</f>
        <v>NÃO TEM CHAPA</v>
      </c>
      <c r="R1113" s="90"/>
      <c r="S1113" s="90"/>
      <c r="T1113" s="90">
        <f t="shared" si="102"/>
        <v>0</v>
      </c>
      <c r="U1113" s="90"/>
      <c r="V1113" s="90"/>
      <c r="W1113" s="92"/>
      <c r="X1113" s="93" t="str">
        <f t="shared" si="100"/>
        <v/>
      </c>
      <c r="Y1113" s="92"/>
      <c r="Z1113" s="92"/>
      <c r="AA1113" s="13" t="str">
        <f t="shared" si="101"/>
        <v>jan/1900</v>
      </c>
    </row>
    <row r="1114" spans="1:27" x14ac:dyDescent="0.25">
      <c r="A1114" s="89">
        <v>1113</v>
      </c>
      <c r="B1114" s="68"/>
      <c r="C1114" s="40"/>
      <c r="D1114" s="40" t="str">
        <f t="shared" si="99"/>
        <v/>
      </c>
      <c r="E1114" s="47" t="s">
        <v>1163</v>
      </c>
      <c r="F1114" s="42" t="s">
        <v>58</v>
      </c>
      <c r="G1114" s="17" t="s">
        <v>86</v>
      </c>
      <c r="H1114" s="17">
        <v>221</v>
      </c>
      <c r="I1114" s="17" t="str">
        <f t="shared" si="98"/>
        <v>AER 3_PN-221</v>
      </c>
      <c r="J1114" s="18" t="s">
        <v>85</v>
      </c>
      <c r="K1114" s="19"/>
      <c r="L1114" s="19"/>
      <c r="M1114" s="19"/>
      <c r="N1114" s="19"/>
      <c r="O1114" s="19"/>
      <c r="P1114" s="19"/>
      <c r="Q1114" s="77" t="str">
        <f>VLOOKUP(J1114,'p1'!$B$2:$C$30,2,0)</f>
        <v>NÃO TEM CHAPA</v>
      </c>
      <c r="R1114" s="90"/>
      <c r="S1114" s="90"/>
      <c r="T1114" s="90">
        <f t="shared" si="102"/>
        <v>0</v>
      </c>
      <c r="U1114" s="90"/>
      <c r="V1114" s="90"/>
      <c r="W1114" s="92"/>
      <c r="X1114" s="93" t="str">
        <f t="shared" si="100"/>
        <v/>
      </c>
      <c r="Y1114" s="92"/>
      <c r="Z1114" s="92"/>
      <c r="AA1114" s="13" t="str">
        <f t="shared" si="101"/>
        <v>jan/1900</v>
      </c>
    </row>
    <row r="1115" spans="1:27" x14ac:dyDescent="0.25">
      <c r="A1115" s="89">
        <v>1114</v>
      </c>
      <c r="B1115" s="68"/>
      <c r="C1115" s="40"/>
      <c r="D1115" s="40" t="str">
        <f t="shared" si="99"/>
        <v/>
      </c>
      <c r="E1115" s="47" t="s">
        <v>1163</v>
      </c>
      <c r="F1115" s="42" t="s">
        <v>58</v>
      </c>
      <c r="G1115" s="17" t="s">
        <v>86</v>
      </c>
      <c r="H1115" s="17">
        <v>222</v>
      </c>
      <c r="I1115" s="17" t="str">
        <f t="shared" si="98"/>
        <v>AER 3_PN-222</v>
      </c>
      <c r="J1115" s="18" t="s">
        <v>85</v>
      </c>
      <c r="K1115" s="19"/>
      <c r="L1115" s="19"/>
      <c r="M1115" s="19"/>
      <c r="N1115" s="19"/>
      <c r="O1115" s="19"/>
      <c r="P1115" s="19"/>
      <c r="Q1115" s="77" t="str">
        <f>VLOOKUP(J1115,'p1'!$B$2:$C$30,2,0)</f>
        <v>NÃO TEM CHAPA</v>
      </c>
      <c r="R1115" s="90"/>
      <c r="S1115" s="90"/>
      <c r="T1115" s="90">
        <f t="shared" si="102"/>
        <v>0</v>
      </c>
      <c r="U1115" s="90"/>
      <c r="V1115" s="90"/>
      <c r="W1115" s="92"/>
      <c r="X1115" s="93" t="str">
        <f t="shared" si="100"/>
        <v/>
      </c>
      <c r="Y1115" s="92"/>
      <c r="Z1115" s="92"/>
      <c r="AA1115" s="13" t="str">
        <f t="shared" si="101"/>
        <v>jan/1900</v>
      </c>
    </row>
    <row r="1116" spans="1:27" x14ac:dyDescent="0.25">
      <c r="A1116" s="89">
        <v>1115</v>
      </c>
      <c r="B1116" s="68"/>
      <c r="C1116" s="40"/>
      <c r="D1116" s="40" t="str">
        <f t="shared" si="99"/>
        <v/>
      </c>
      <c r="E1116" s="47" t="s">
        <v>1163</v>
      </c>
      <c r="F1116" s="42" t="s">
        <v>58</v>
      </c>
      <c r="G1116" s="17" t="s">
        <v>86</v>
      </c>
      <c r="H1116" s="17">
        <v>223</v>
      </c>
      <c r="I1116" s="17" t="str">
        <f t="shared" si="98"/>
        <v>AER 3_PN-223</v>
      </c>
      <c r="J1116" s="18" t="s">
        <v>85</v>
      </c>
      <c r="K1116" s="19"/>
      <c r="L1116" s="19"/>
      <c r="M1116" s="19"/>
      <c r="N1116" s="19"/>
      <c r="O1116" s="19"/>
      <c r="P1116" s="19"/>
      <c r="Q1116" s="77" t="str">
        <f>VLOOKUP(J1116,'p1'!$B$2:$C$30,2,0)</f>
        <v>NÃO TEM CHAPA</v>
      </c>
      <c r="R1116" s="90"/>
      <c r="S1116" s="90"/>
      <c r="T1116" s="90">
        <f t="shared" si="102"/>
        <v>0</v>
      </c>
      <c r="U1116" s="90"/>
      <c r="V1116" s="90"/>
      <c r="W1116" s="92"/>
      <c r="X1116" s="93" t="str">
        <f t="shared" si="100"/>
        <v/>
      </c>
      <c r="Y1116" s="92"/>
      <c r="Z1116" s="92"/>
      <c r="AA1116" s="13" t="str">
        <f t="shared" si="101"/>
        <v>jan/1900</v>
      </c>
    </row>
    <row r="1117" spans="1:27" x14ac:dyDescent="0.25">
      <c r="A1117" s="89">
        <v>1116</v>
      </c>
      <c r="B1117" s="68"/>
      <c r="C1117" s="40"/>
      <c r="D1117" s="40" t="str">
        <f t="shared" si="99"/>
        <v/>
      </c>
      <c r="E1117" s="47" t="s">
        <v>1163</v>
      </c>
      <c r="F1117" s="42" t="s">
        <v>58</v>
      </c>
      <c r="G1117" s="17" t="s">
        <v>86</v>
      </c>
      <c r="H1117" s="17">
        <v>224</v>
      </c>
      <c r="I1117" s="17" t="str">
        <f t="shared" si="98"/>
        <v>AER 3_PN-224</v>
      </c>
      <c r="J1117" s="18" t="s">
        <v>85</v>
      </c>
      <c r="K1117" s="19"/>
      <c r="L1117" s="19"/>
      <c r="M1117" s="19"/>
      <c r="N1117" s="19"/>
      <c r="O1117" s="19"/>
      <c r="P1117" s="19"/>
      <c r="Q1117" s="77" t="str">
        <f>VLOOKUP(J1117,'p1'!$B$2:$C$30,2,0)</f>
        <v>NÃO TEM CHAPA</v>
      </c>
      <c r="R1117" s="90"/>
      <c r="S1117" s="90"/>
      <c r="T1117" s="90">
        <f t="shared" si="102"/>
        <v>0</v>
      </c>
      <c r="U1117" s="90"/>
      <c r="V1117" s="90"/>
      <c r="W1117" s="92"/>
      <c r="X1117" s="93" t="str">
        <f t="shared" si="100"/>
        <v/>
      </c>
      <c r="Y1117" s="92"/>
      <c r="Z1117" s="92"/>
      <c r="AA1117" s="13" t="str">
        <f t="shared" si="101"/>
        <v>jan/1900</v>
      </c>
    </row>
    <row r="1118" spans="1:27" x14ac:dyDescent="0.25">
      <c r="A1118" s="89">
        <v>1117</v>
      </c>
      <c r="B1118" s="68"/>
      <c r="C1118" s="40"/>
      <c r="D1118" s="40" t="str">
        <f t="shared" si="99"/>
        <v/>
      </c>
      <c r="E1118" s="47" t="s">
        <v>1163</v>
      </c>
      <c r="F1118" s="42" t="s">
        <v>58</v>
      </c>
      <c r="G1118" s="17" t="s">
        <v>86</v>
      </c>
      <c r="H1118" s="17">
        <v>225</v>
      </c>
      <c r="I1118" s="17" t="str">
        <f t="shared" si="98"/>
        <v>AER 3_PN-225</v>
      </c>
      <c r="J1118" s="18" t="s">
        <v>85</v>
      </c>
      <c r="K1118" s="19"/>
      <c r="L1118" s="19"/>
      <c r="M1118" s="19"/>
      <c r="N1118" s="19"/>
      <c r="O1118" s="19"/>
      <c r="P1118" s="19"/>
      <c r="Q1118" s="77" t="str">
        <f>VLOOKUP(J1118,'p1'!$B$2:$C$30,2,0)</f>
        <v>NÃO TEM CHAPA</v>
      </c>
      <c r="R1118" s="90"/>
      <c r="S1118" s="90"/>
      <c r="T1118" s="90">
        <f t="shared" si="102"/>
        <v>0</v>
      </c>
      <c r="U1118" s="90"/>
      <c r="V1118" s="90"/>
      <c r="W1118" s="92"/>
      <c r="X1118" s="93" t="str">
        <f t="shared" si="100"/>
        <v/>
      </c>
      <c r="Y1118" s="92"/>
      <c r="Z1118" s="92"/>
      <c r="AA1118" s="13" t="str">
        <f t="shared" si="101"/>
        <v>jan/1900</v>
      </c>
    </row>
    <row r="1119" spans="1:27" x14ac:dyDescent="0.25">
      <c r="A1119" s="89">
        <v>1118</v>
      </c>
      <c r="B1119" s="68"/>
      <c r="C1119" s="40"/>
      <c r="D1119" s="40" t="str">
        <f t="shared" si="99"/>
        <v/>
      </c>
      <c r="E1119" s="47" t="s">
        <v>1163</v>
      </c>
      <c r="F1119" s="42" t="s">
        <v>58</v>
      </c>
      <c r="G1119" s="17" t="s">
        <v>86</v>
      </c>
      <c r="H1119" s="17">
        <v>226</v>
      </c>
      <c r="I1119" s="17" t="str">
        <f t="shared" si="98"/>
        <v>AER 3_PN-226</v>
      </c>
      <c r="J1119" s="18" t="s">
        <v>85</v>
      </c>
      <c r="K1119" s="19"/>
      <c r="L1119" s="19"/>
      <c r="M1119" s="19"/>
      <c r="N1119" s="19"/>
      <c r="O1119" s="19"/>
      <c r="P1119" s="19"/>
      <c r="Q1119" s="77" t="str">
        <f>VLOOKUP(J1119,'p1'!$B$2:$C$30,2,0)</f>
        <v>NÃO TEM CHAPA</v>
      </c>
      <c r="R1119" s="90"/>
      <c r="S1119" s="90"/>
      <c r="T1119" s="90">
        <f t="shared" si="102"/>
        <v>0</v>
      </c>
      <c r="U1119" s="90"/>
      <c r="V1119" s="90"/>
      <c r="W1119" s="92"/>
      <c r="X1119" s="93" t="str">
        <f t="shared" si="100"/>
        <v/>
      </c>
      <c r="Y1119" s="92"/>
      <c r="Z1119" s="92"/>
      <c r="AA1119" s="13" t="str">
        <f t="shared" si="101"/>
        <v>jan/1900</v>
      </c>
    </row>
    <row r="1120" spans="1:27" x14ac:dyDescent="0.25">
      <c r="A1120" s="89">
        <v>1119</v>
      </c>
      <c r="B1120" s="68"/>
      <c r="C1120" s="40"/>
      <c r="D1120" s="40" t="str">
        <f t="shared" si="99"/>
        <v/>
      </c>
      <c r="E1120" s="47" t="s">
        <v>1163</v>
      </c>
      <c r="F1120" s="42" t="s">
        <v>58</v>
      </c>
      <c r="G1120" s="17" t="s">
        <v>86</v>
      </c>
      <c r="H1120" s="17">
        <v>227</v>
      </c>
      <c r="I1120" s="17" t="str">
        <f t="shared" si="98"/>
        <v>AER 3_PN-227</v>
      </c>
      <c r="J1120" s="18" t="s">
        <v>85</v>
      </c>
      <c r="K1120" s="19"/>
      <c r="L1120" s="19"/>
      <c r="M1120" s="19"/>
      <c r="N1120" s="19"/>
      <c r="O1120" s="19"/>
      <c r="P1120" s="19"/>
      <c r="Q1120" s="77" t="str">
        <f>VLOOKUP(J1120,'p1'!$B$2:$C$30,2,0)</f>
        <v>NÃO TEM CHAPA</v>
      </c>
      <c r="R1120" s="90"/>
      <c r="S1120" s="90"/>
      <c r="T1120" s="90">
        <f t="shared" si="102"/>
        <v>0</v>
      </c>
      <c r="U1120" s="90"/>
      <c r="V1120" s="90"/>
      <c r="W1120" s="92"/>
      <c r="X1120" s="93" t="str">
        <f t="shared" si="100"/>
        <v/>
      </c>
      <c r="Y1120" s="92"/>
      <c r="Z1120" s="92"/>
      <c r="AA1120" s="13" t="str">
        <f t="shared" si="101"/>
        <v>jan/1900</v>
      </c>
    </row>
    <row r="1121" spans="1:27" x14ac:dyDescent="0.25">
      <c r="A1121" s="89">
        <v>1120</v>
      </c>
      <c r="B1121" s="68"/>
      <c r="C1121" s="40"/>
      <c r="D1121" s="40" t="str">
        <f t="shared" si="99"/>
        <v/>
      </c>
      <c r="E1121" s="47" t="s">
        <v>1163</v>
      </c>
      <c r="F1121" s="42" t="s">
        <v>58</v>
      </c>
      <c r="G1121" s="17" t="s">
        <v>86</v>
      </c>
      <c r="H1121" s="17">
        <v>228</v>
      </c>
      <c r="I1121" s="17" t="str">
        <f t="shared" si="98"/>
        <v>AER 3_PN-228</v>
      </c>
      <c r="J1121" s="18" t="s">
        <v>85</v>
      </c>
      <c r="K1121" s="19"/>
      <c r="L1121" s="19"/>
      <c r="M1121" s="19"/>
      <c r="N1121" s="19"/>
      <c r="O1121" s="19"/>
      <c r="P1121" s="19"/>
      <c r="Q1121" s="77" t="str">
        <f>VLOOKUP(J1121,'p1'!$B$2:$C$30,2,0)</f>
        <v>NÃO TEM CHAPA</v>
      </c>
      <c r="R1121" s="90"/>
      <c r="S1121" s="90"/>
      <c r="T1121" s="90">
        <f t="shared" si="102"/>
        <v>0</v>
      </c>
      <c r="U1121" s="90"/>
      <c r="V1121" s="90"/>
      <c r="W1121" s="92"/>
      <c r="X1121" s="93" t="str">
        <f t="shared" si="100"/>
        <v/>
      </c>
      <c r="Y1121" s="92"/>
      <c r="Z1121" s="92"/>
      <c r="AA1121" s="13" t="str">
        <f t="shared" si="101"/>
        <v>jan/1900</v>
      </c>
    </row>
    <row r="1122" spans="1:27" x14ac:dyDescent="0.25">
      <c r="A1122" s="89">
        <v>1121</v>
      </c>
      <c r="B1122" s="68"/>
      <c r="C1122" s="40"/>
      <c r="D1122" s="40" t="str">
        <f t="shared" si="99"/>
        <v/>
      </c>
      <c r="E1122" s="47" t="s">
        <v>1163</v>
      </c>
      <c r="F1122" s="42" t="s">
        <v>58</v>
      </c>
      <c r="G1122" s="17" t="s">
        <v>86</v>
      </c>
      <c r="H1122" s="17">
        <v>229</v>
      </c>
      <c r="I1122" s="17" t="str">
        <f t="shared" si="98"/>
        <v>AER 3_PN-229</v>
      </c>
      <c r="J1122" s="18" t="s">
        <v>85</v>
      </c>
      <c r="K1122" s="19"/>
      <c r="L1122" s="19"/>
      <c r="M1122" s="19"/>
      <c r="N1122" s="19"/>
      <c r="O1122" s="19"/>
      <c r="P1122" s="19"/>
      <c r="Q1122" s="77" t="str">
        <f>VLOOKUP(J1122,'p1'!$B$2:$C$30,2,0)</f>
        <v>NÃO TEM CHAPA</v>
      </c>
      <c r="R1122" s="90"/>
      <c r="S1122" s="90"/>
      <c r="T1122" s="90">
        <f t="shared" si="102"/>
        <v>0</v>
      </c>
      <c r="U1122" s="90"/>
      <c r="V1122" s="90"/>
      <c r="W1122" s="92"/>
      <c r="X1122" s="93" t="str">
        <f t="shared" si="100"/>
        <v/>
      </c>
      <c r="Y1122" s="92"/>
      <c r="Z1122" s="92"/>
      <c r="AA1122" s="13" t="str">
        <f t="shared" si="101"/>
        <v>jan/1900</v>
      </c>
    </row>
    <row r="1123" spans="1:27" x14ac:dyDescent="0.25">
      <c r="A1123" s="89">
        <v>1122</v>
      </c>
      <c r="B1123" s="68"/>
      <c r="C1123" s="40"/>
      <c r="D1123" s="40" t="str">
        <f t="shared" si="99"/>
        <v/>
      </c>
      <c r="E1123" s="47" t="s">
        <v>1163</v>
      </c>
      <c r="F1123" s="42" t="s">
        <v>58</v>
      </c>
      <c r="G1123" s="17" t="s">
        <v>86</v>
      </c>
      <c r="H1123" s="17">
        <v>230</v>
      </c>
      <c r="I1123" s="17" t="str">
        <f t="shared" si="98"/>
        <v>AER 3_PN-230</v>
      </c>
      <c r="J1123" s="18" t="s">
        <v>85</v>
      </c>
      <c r="K1123" s="19"/>
      <c r="L1123" s="19"/>
      <c r="M1123" s="19"/>
      <c r="N1123" s="19"/>
      <c r="O1123" s="19"/>
      <c r="P1123" s="19"/>
      <c r="Q1123" s="77" t="str">
        <f>VLOOKUP(J1123,'p1'!$B$2:$C$30,2,0)</f>
        <v>NÃO TEM CHAPA</v>
      </c>
      <c r="R1123" s="90"/>
      <c r="S1123" s="90"/>
      <c r="T1123" s="90">
        <f t="shared" si="102"/>
        <v>0</v>
      </c>
      <c r="U1123" s="90"/>
      <c r="V1123" s="90"/>
      <c r="W1123" s="92"/>
      <c r="X1123" s="93" t="str">
        <f t="shared" si="100"/>
        <v/>
      </c>
      <c r="Y1123" s="92"/>
      <c r="Z1123" s="92"/>
      <c r="AA1123" s="13" t="str">
        <f t="shared" si="101"/>
        <v>jan/1900</v>
      </c>
    </row>
    <row r="1124" spans="1:27" x14ac:dyDescent="0.25">
      <c r="A1124" s="89">
        <v>1123</v>
      </c>
      <c r="B1124" s="68"/>
      <c r="C1124" s="40"/>
      <c r="D1124" s="40" t="str">
        <f t="shared" si="99"/>
        <v/>
      </c>
      <c r="E1124" s="47" t="s">
        <v>1163</v>
      </c>
      <c r="F1124" s="42" t="s">
        <v>58</v>
      </c>
      <c r="G1124" s="17" t="s">
        <v>86</v>
      </c>
      <c r="H1124" s="17">
        <v>231</v>
      </c>
      <c r="I1124" s="17" t="str">
        <f t="shared" si="98"/>
        <v>AER 3_PN-231</v>
      </c>
      <c r="J1124" s="18" t="s">
        <v>85</v>
      </c>
      <c r="K1124" s="19"/>
      <c r="L1124" s="19"/>
      <c r="M1124" s="19"/>
      <c r="N1124" s="19"/>
      <c r="O1124" s="19"/>
      <c r="P1124" s="19"/>
      <c r="Q1124" s="77" t="str">
        <f>VLOOKUP(J1124,'p1'!$B$2:$C$30,2,0)</f>
        <v>NÃO TEM CHAPA</v>
      </c>
      <c r="R1124" s="90"/>
      <c r="S1124" s="90"/>
      <c r="T1124" s="90">
        <f t="shared" si="102"/>
        <v>0</v>
      </c>
      <c r="U1124" s="90"/>
      <c r="V1124" s="90"/>
      <c r="W1124" s="92"/>
      <c r="X1124" s="93" t="str">
        <f t="shared" si="100"/>
        <v/>
      </c>
      <c r="Y1124" s="92"/>
      <c r="Z1124" s="92"/>
      <c r="AA1124" s="13" t="str">
        <f t="shared" si="101"/>
        <v>jan/1900</v>
      </c>
    </row>
    <row r="1125" spans="1:27" x14ac:dyDescent="0.25">
      <c r="A1125" s="89">
        <v>1124</v>
      </c>
      <c r="B1125" s="68"/>
      <c r="C1125" s="40"/>
      <c r="D1125" s="40" t="str">
        <f t="shared" si="99"/>
        <v/>
      </c>
      <c r="E1125" s="47" t="s">
        <v>1163</v>
      </c>
      <c r="F1125" s="42" t="s">
        <v>58</v>
      </c>
      <c r="G1125" s="17" t="s">
        <v>86</v>
      </c>
      <c r="H1125" s="17">
        <v>232</v>
      </c>
      <c r="I1125" s="17" t="str">
        <f t="shared" si="98"/>
        <v>AER 3_PN-232</v>
      </c>
      <c r="J1125" s="18" t="s">
        <v>85</v>
      </c>
      <c r="K1125" s="19"/>
      <c r="L1125" s="19"/>
      <c r="M1125" s="19"/>
      <c r="N1125" s="19"/>
      <c r="O1125" s="19"/>
      <c r="P1125" s="19"/>
      <c r="Q1125" s="77" t="str">
        <f>VLOOKUP(J1125,'p1'!$B$2:$C$30,2,0)</f>
        <v>NÃO TEM CHAPA</v>
      </c>
      <c r="R1125" s="90"/>
      <c r="S1125" s="90"/>
      <c r="T1125" s="90">
        <f t="shared" si="102"/>
        <v>0</v>
      </c>
      <c r="U1125" s="90"/>
      <c r="V1125" s="90"/>
      <c r="W1125" s="92"/>
      <c r="X1125" s="93" t="str">
        <f t="shared" si="100"/>
        <v/>
      </c>
      <c r="Y1125" s="92"/>
      <c r="Z1125" s="92"/>
      <c r="AA1125" s="13" t="str">
        <f t="shared" si="101"/>
        <v>jan/1900</v>
      </c>
    </row>
    <row r="1126" spans="1:27" x14ac:dyDescent="0.25">
      <c r="A1126" s="89">
        <v>1125</v>
      </c>
      <c r="B1126" s="68"/>
      <c r="C1126" s="40"/>
      <c r="D1126" s="40" t="str">
        <f t="shared" si="99"/>
        <v/>
      </c>
      <c r="E1126" s="47" t="s">
        <v>1163</v>
      </c>
      <c r="F1126" s="42" t="s">
        <v>58</v>
      </c>
      <c r="G1126" s="17" t="s">
        <v>86</v>
      </c>
      <c r="H1126" s="17">
        <v>233</v>
      </c>
      <c r="I1126" s="17" t="str">
        <f t="shared" si="98"/>
        <v>AER 3_PN-233</v>
      </c>
      <c r="J1126" s="18" t="s">
        <v>85</v>
      </c>
      <c r="K1126" s="19"/>
      <c r="L1126" s="19"/>
      <c r="M1126" s="19"/>
      <c r="N1126" s="19"/>
      <c r="O1126" s="19"/>
      <c r="P1126" s="19"/>
      <c r="Q1126" s="77" t="str">
        <f>VLOOKUP(J1126,'p1'!$B$2:$C$30,2,0)</f>
        <v>NÃO TEM CHAPA</v>
      </c>
      <c r="R1126" s="90"/>
      <c r="S1126" s="90"/>
      <c r="T1126" s="90">
        <f t="shared" si="102"/>
        <v>0</v>
      </c>
      <c r="U1126" s="90"/>
      <c r="V1126" s="90"/>
      <c r="W1126" s="92"/>
      <c r="X1126" s="93" t="str">
        <f t="shared" si="100"/>
        <v/>
      </c>
      <c r="Y1126" s="92"/>
      <c r="Z1126" s="92"/>
      <c r="AA1126" s="13" t="str">
        <f t="shared" si="101"/>
        <v>jan/1900</v>
      </c>
    </row>
    <row r="1127" spans="1:27" x14ac:dyDescent="0.25">
      <c r="A1127" s="89">
        <v>1126</v>
      </c>
      <c r="B1127" s="68"/>
      <c r="C1127" s="40"/>
      <c r="D1127" s="40" t="str">
        <f t="shared" si="99"/>
        <v/>
      </c>
      <c r="E1127" s="47" t="s">
        <v>1163</v>
      </c>
      <c r="F1127" s="42" t="s">
        <v>58</v>
      </c>
      <c r="G1127" s="17" t="s">
        <v>86</v>
      </c>
      <c r="H1127" s="17">
        <v>234</v>
      </c>
      <c r="I1127" s="17" t="str">
        <f t="shared" si="98"/>
        <v>AER 3_PN-234</v>
      </c>
      <c r="J1127" s="18" t="s">
        <v>85</v>
      </c>
      <c r="K1127" s="19"/>
      <c r="L1127" s="19"/>
      <c r="M1127" s="19"/>
      <c r="N1127" s="19"/>
      <c r="O1127" s="19"/>
      <c r="P1127" s="19"/>
      <c r="Q1127" s="77" t="str">
        <f>VLOOKUP(J1127,'p1'!$B$2:$C$30,2,0)</f>
        <v>NÃO TEM CHAPA</v>
      </c>
      <c r="R1127" s="90"/>
      <c r="S1127" s="90"/>
      <c r="T1127" s="90">
        <f t="shared" si="102"/>
        <v>0</v>
      </c>
      <c r="U1127" s="90"/>
      <c r="V1127" s="90"/>
      <c r="W1127" s="92"/>
      <c r="X1127" s="93" t="str">
        <f t="shared" si="100"/>
        <v/>
      </c>
      <c r="Y1127" s="92"/>
      <c r="Z1127" s="92"/>
      <c r="AA1127" s="13" t="str">
        <f t="shared" si="101"/>
        <v>jan/1900</v>
      </c>
    </row>
    <row r="1128" spans="1:27" x14ac:dyDescent="0.25">
      <c r="A1128" s="89">
        <v>1127</v>
      </c>
      <c r="B1128" s="68"/>
      <c r="C1128" s="40"/>
      <c r="D1128" s="40" t="str">
        <f t="shared" si="99"/>
        <v/>
      </c>
      <c r="E1128" s="47" t="s">
        <v>1163</v>
      </c>
      <c r="F1128" s="42" t="s">
        <v>58</v>
      </c>
      <c r="G1128" s="17" t="s">
        <v>86</v>
      </c>
      <c r="H1128" s="17">
        <v>235</v>
      </c>
      <c r="I1128" s="17" t="str">
        <f t="shared" si="98"/>
        <v>AER 3_PN-235</v>
      </c>
      <c r="J1128" s="18" t="s">
        <v>85</v>
      </c>
      <c r="K1128" s="19"/>
      <c r="L1128" s="19"/>
      <c r="M1128" s="19"/>
      <c r="N1128" s="19"/>
      <c r="O1128" s="19"/>
      <c r="P1128" s="19"/>
      <c r="Q1128" s="77" t="str">
        <f>VLOOKUP(J1128,'p1'!$B$2:$C$30,2,0)</f>
        <v>NÃO TEM CHAPA</v>
      </c>
      <c r="R1128" s="90"/>
      <c r="S1128" s="90"/>
      <c r="T1128" s="90">
        <f t="shared" si="102"/>
        <v>0</v>
      </c>
      <c r="U1128" s="90"/>
      <c r="V1128" s="90"/>
      <c r="W1128" s="92"/>
      <c r="X1128" s="93" t="str">
        <f t="shared" si="100"/>
        <v/>
      </c>
      <c r="Y1128" s="92"/>
      <c r="Z1128" s="92"/>
      <c r="AA1128" s="13" t="str">
        <f t="shared" si="101"/>
        <v>jan/1900</v>
      </c>
    </row>
    <row r="1129" spans="1:27" x14ac:dyDescent="0.25">
      <c r="A1129" s="89">
        <v>1128</v>
      </c>
      <c r="B1129" s="68"/>
      <c r="C1129" s="40"/>
      <c r="D1129" s="40" t="str">
        <f t="shared" si="99"/>
        <v/>
      </c>
      <c r="E1129" s="47" t="s">
        <v>1163</v>
      </c>
      <c r="F1129" s="42" t="s">
        <v>58</v>
      </c>
      <c r="G1129" s="17" t="s">
        <v>86</v>
      </c>
      <c r="H1129" s="17">
        <v>236</v>
      </c>
      <c r="I1129" s="17" t="str">
        <f t="shared" si="98"/>
        <v>AER 3_PN-236</v>
      </c>
      <c r="J1129" s="18" t="s">
        <v>85</v>
      </c>
      <c r="K1129" s="19"/>
      <c r="L1129" s="19"/>
      <c r="M1129" s="19"/>
      <c r="N1129" s="19"/>
      <c r="O1129" s="19"/>
      <c r="P1129" s="19"/>
      <c r="Q1129" s="77" t="str">
        <f>VLOOKUP(J1129,'p1'!$B$2:$C$30,2,0)</f>
        <v>NÃO TEM CHAPA</v>
      </c>
      <c r="R1129" s="90"/>
      <c r="S1129" s="90"/>
      <c r="T1129" s="90">
        <f t="shared" si="102"/>
        <v>0</v>
      </c>
      <c r="U1129" s="90"/>
      <c r="V1129" s="90"/>
      <c r="W1129" s="92"/>
      <c r="X1129" s="93" t="str">
        <f t="shared" si="100"/>
        <v/>
      </c>
      <c r="Y1129" s="92"/>
      <c r="Z1129" s="92"/>
      <c r="AA1129" s="13" t="str">
        <f t="shared" si="101"/>
        <v>jan/1900</v>
      </c>
    </row>
    <row r="1130" spans="1:27" x14ac:dyDescent="0.25">
      <c r="A1130" s="89">
        <v>1129</v>
      </c>
      <c r="B1130" s="68"/>
      <c r="C1130" s="40"/>
      <c r="D1130" s="40" t="str">
        <f t="shared" si="99"/>
        <v/>
      </c>
      <c r="E1130" s="47" t="s">
        <v>1163</v>
      </c>
      <c r="F1130" s="42" t="s">
        <v>58</v>
      </c>
      <c r="G1130" s="17" t="s">
        <v>86</v>
      </c>
      <c r="H1130" s="17">
        <v>237</v>
      </c>
      <c r="I1130" s="17" t="str">
        <f t="shared" si="98"/>
        <v>AER 3_PN-237</v>
      </c>
      <c r="J1130" s="18" t="s">
        <v>85</v>
      </c>
      <c r="K1130" s="19"/>
      <c r="L1130" s="19"/>
      <c r="M1130" s="19"/>
      <c r="N1130" s="19"/>
      <c r="O1130" s="19"/>
      <c r="P1130" s="19"/>
      <c r="Q1130" s="77" t="str">
        <f>VLOOKUP(J1130,'p1'!$B$2:$C$30,2,0)</f>
        <v>NÃO TEM CHAPA</v>
      </c>
      <c r="R1130" s="90"/>
      <c r="S1130" s="90"/>
      <c r="T1130" s="90">
        <f t="shared" si="102"/>
        <v>0</v>
      </c>
      <c r="U1130" s="90"/>
      <c r="V1130" s="90"/>
      <c r="W1130" s="92"/>
      <c r="X1130" s="93" t="str">
        <f t="shared" si="100"/>
        <v/>
      </c>
      <c r="Y1130" s="92"/>
      <c r="Z1130" s="92"/>
      <c r="AA1130" s="13" t="str">
        <f t="shared" si="101"/>
        <v>jan/1900</v>
      </c>
    </row>
    <row r="1131" spans="1:27" x14ac:dyDescent="0.25">
      <c r="A1131" s="89">
        <v>1130</v>
      </c>
      <c r="B1131" s="68"/>
      <c r="C1131" s="40"/>
      <c r="D1131" s="40" t="str">
        <f t="shared" si="99"/>
        <v/>
      </c>
      <c r="E1131" s="47" t="s">
        <v>1163</v>
      </c>
      <c r="F1131" s="42" t="s">
        <v>58</v>
      </c>
      <c r="G1131" s="17" t="s">
        <v>86</v>
      </c>
      <c r="H1131" s="17">
        <v>238</v>
      </c>
      <c r="I1131" s="17" t="str">
        <f t="shared" ref="I1131:I1175" si="103">_xlfn.CONCAT("AER 3_",F1131,G1131,H1131)</f>
        <v>AER 3_PN-238</v>
      </c>
      <c r="J1131" s="18" t="s">
        <v>85</v>
      </c>
      <c r="K1131" s="19"/>
      <c r="L1131" s="19"/>
      <c r="M1131" s="19"/>
      <c r="N1131" s="19"/>
      <c r="O1131" s="19"/>
      <c r="P1131" s="19"/>
      <c r="Q1131" s="77" t="str">
        <f>VLOOKUP(J1131,'p1'!$B$2:$C$30,2,0)</f>
        <v>NÃO TEM CHAPA</v>
      </c>
      <c r="R1131" s="90"/>
      <c r="S1131" s="90"/>
      <c r="T1131" s="90">
        <f t="shared" ref="T1131:T1175" si="104">IF(R1131="",0,1)</f>
        <v>0</v>
      </c>
      <c r="U1131" s="90"/>
      <c r="V1131" s="90"/>
      <c r="W1131" s="92"/>
      <c r="X1131" s="93" t="str">
        <f t="shared" si="100"/>
        <v/>
      </c>
      <c r="Y1131" s="92"/>
      <c r="Z1131" s="92"/>
      <c r="AA1131" s="13" t="str">
        <f t="shared" si="101"/>
        <v>jan/1900</v>
      </c>
    </row>
    <row r="1132" spans="1:27" x14ac:dyDescent="0.25">
      <c r="A1132" s="89">
        <v>1131</v>
      </c>
      <c r="B1132" s="68"/>
      <c r="C1132" s="40"/>
      <c r="D1132" s="40" t="str">
        <f t="shared" si="99"/>
        <v/>
      </c>
      <c r="E1132" s="47" t="s">
        <v>1163</v>
      </c>
      <c r="F1132" s="42" t="s">
        <v>58</v>
      </c>
      <c r="G1132" s="17" t="s">
        <v>86</v>
      </c>
      <c r="H1132" s="17">
        <v>239</v>
      </c>
      <c r="I1132" s="17" t="str">
        <f t="shared" si="103"/>
        <v>AER 3_PN-239</v>
      </c>
      <c r="J1132" s="18" t="s">
        <v>85</v>
      </c>
      <c r="K1132" s="19"/>
      <c r="L1132" s="19"/>
      <c r="M1132" s="19"/>
      <c r="N1132" s="19"/>
      <c r="O1132" s="19"/>
      <c r="P1132" s="19"/>
      <c r="Q1132" s="77" t="str">
        <f>VLOOKUP(J1132,'p1'!$B$2:$C$30,2,0)</f>
        <v>NÃO TEM CHAPA</v>
      </c>
      <c r="R1132" s="90"/>
      <c r="S1132" s="90"/>
      <c r="T1132" s="90">
        <f t="shared" si="104"/>
        <v>0</v>
      </c>
      <c r="U1132" s="90"/>
      <c r="V1132" s="90"/>
      <c r="W1132" s="92"/>
      <c r="X1132" s="93" t="str">
        <f t="shared" si="100"/>
        <v/>
      </c>
      <c r="Y1132" s="92"/>
      <c r="Z1132" s="92"/>
      <c r="AA1132" s="13" t="str">
        <f t="shared" si="101"/>
        <v>jan/1900</v>
      </c>
    </row>
    <row r="1133" spans="1:27" x14ac:dyDescent="0.25">
      <c r="A1133" s="89">
        <v>1132</v>
      </c>
      <c r="B1133" s="68"/>
      <c r="C1133" s="40"/>
      <c r="D1133" s="40" t="str">
        <f t="shared" si="99"/>
        <v/>
      </c>
      <c r="E1133" s="47" t="s">
        <v>1163</v>
      </c>
      <c r="F1133" s="42" t="s">
        <v>58</v>
      </c>
      <c r="G1133" s="17" t="s">
        <v>86</v>
      </c>
      <c r="H1133" s="17">
        <v>240</v>
      </c>
      <c r="I1133" s="17" t="str">
        <f t="shared" si="103"/>
        <v>AER 3_PN-240</v>
      </c>
      <c r="J1133" s="18" t="s">
        <v>85</v>
      </c>
      <c r="K1133" s="19"/>
      <c r="L1133" s="19"/>
      <c r="M1133" s="19"/>
      <c r="N1133" s="19"/>
      <c r="O1133" s="19"/>
      <c r="P1133" s="19"/>
      <c r="Q1133" s="77" t="str">
        <f>VLOOKUP(J1133,'p1'!$B$2:$C$30,2,0)</f>
        <v>NÃO TEM CHAPA</v>
      </c>
      <c r="R1133" s="90"/>
      <c r="S1133" s="90"/>
      <c r="T1133" s="90">
        <f t="shared" si="104"/>
        <v>0</v>
      </c>
      <c r="U1133" s="90"/>
      <c r="V1133" s="90"/>
      <c r="W1133" s="92"/>
      <c r="X1133" s="93" t="str">
        <f t="shared" si="100"/>
        <v/>
      </c>
      <c r="Y1133" s="92"/>
      <c r="Z1133" s="92"/>
      <c r="AA1133" s="13" t="str">
        <f t="shared" si="101"/>
        <v>jan/1900</v>
      </c>
    </row>
    <row r="1134" spans="1:27" x14ac:dyDescent="0.25">
      <c r="A1134" s="89">
        <v>1133</v>
      </c>
      <c r="B1134" s="68"/>
      <c r="C1134" s="40"/>
      <c r="D1134" s="40" t="str">
        <f t="shared" si="99"/>
        <v/>
      </c>
      <c r="E1134" s="47" t="s">
        <v>1163</v>
      </c>
      <c r="F1134" s="42" t="s">
        <v>58</v>
      </c>
      <c r="G1134" s="17" t="s">
        <v>86</v>
      </c>
      <c r="H1134" s="17">
        <v>241</v>
      </c>
      <c r="I1134" s="17" t="str">
        <f t="shared" si="103"/>
        <v>AER 3_PN-241</v>
      </c>
      <c r="J1134" s="18" t="s">
        <v>85</v>
      </c>
      <c r="K1134" s="19"/>
      <c r="L1134" s="19"/>
      <c r="M1134" s="19"/>
      <c r="N1134" s="19"/>
      <c r="O1134" s="19"/>
      <c r="P1134" s="19"/>
      <c r="Q1134" s="77" t="str">
        <f>VLOOKUP(J1134,'p1'!$B$2:$C$30,2,0)</f>
        <v>NÃO TEM CHAPA</v>
      </c>
      <c r="R1134" s="90"/>
      <c r="S1134" s="90"/>
      <c r="T1134" s="90">
        <f t="shared" si="104"/>
        <v>0</v>
      </c>
      <c r="U1134" s="90"/>
      <c r="V1134" s="90"/>
      <c r="W1134" s="92"/>
      <c r="X1134" s="93" t="str">
        <f t="shared" si="100"/>
        <v/>
      </c>
      <c r="Y1134" s="92"/>
      <c r="Z1134" s="92"/>
      <c r="AA1134" s="13" t="str">
        <f t="shared" si="101"/>
        <v>jan/1900</v>
      </c>
    </row>
    <row r="1135" spans="1:27" x14ac:dyDescent="0.25">
      <c r="A1135" s="89">
        <v>1134</v>
      </c>
      <c r="B1135" s="68"/>
      <c r="C1135" s="40"/>
      <c r="D1135" s="40" t="str">
        <f t="shared" si="99"/>
        <v/>
      </c>
      <c r="E1135" s="47" t="s">
        <v>1163</v>
      </c>
      <c r="F1135" s="42" t="s">
        <v>58</v>
      </c>
      <c r="G1135" s="17" t="s">
        <v>86</v>
      </c>
      <c r="H1135" s="17">
        <v>242</v>
      </c>
      <c r="I1135" s="17" t="str">
        <f t="shared" si="103"/>
        <v>AER 3_PN-242</v>
      </c>
      <c r="J1135" s="18" t="s">
        <v>85</v>
      </c>
      <c r="K1135" s="19"/>
      <c r="L1135" s="19"/>
      <c r="M1135" s="19"/>
      <c r="N1135" s="19"/>
      <c r="O1135" s="19"/>
      <c r="P1135" s="19"/>
      <c r="Q1135" s="77" t="str">
        <f>VLOOKUP(J1135,'p1'!$B$2:$C$30,2,0)</f>
        <v>NÃO TEM CHAPA</v>
      </c>
      <c r="R1135" s="90"/>
      <c r="S1135" s="90"/>
      <c r="T1135" s="90">
        <f t="shared" si="104"/>
        <v>0</v>
      </c>
      <c r="U1135" s="90"/>
      <c r="V1135" s="90"/>
      <c r="W1135" s="92"/>
      <c r="X1135" s="93" t="str">
        <f t="shared" si="100"/>
        <v/>
      </c>
      <c r="Y1135" s="92"/>
      <c r="Z1135" s="92"/>
      <c r="AA1135" s="13" t="str">
        <f t="shared" si="101"/>
        <v>jan/1900</v>
      </c>
    </row>
    <row r="1136" spans="1:27" x14ac:dyDescent="0.25">
      <c r="A1136" s="89">
        <v>1135</v>
      </c>
      <c r="B1136" s="68"/>
      <c r="C1136" s="40"/>
      <c r="D1136" s="40" t="str">
        <f t="shared" si="99"/>
        <v/>
      </c>
      <c r="E1136" s="47" t="s">
        <v>1163</v>
      </c>
      <c r="F1136" s="42" t="s">
        <v>58</v>
      </c>
      <c r="G1136" s="17" t="s">
        <v>86</v>
      </c>
      <c r="H1136" s="17">
        <v>243</v>
      </c>
      <c r="I1136" s="17" t="str">
        <f t="shared" si="103"/>
        <v>AER 3_PN-243</v>
      </c>
      <c r="J1136" s="18" t="s">
        <v>85</v>
      </c>
      <c r="K1136" s="19"/>
      <c r="L1136" s="19"/>
      <c r="M1136" s="19"/>
      <c r="N1136" s="19"/>
      <c r="O1136" s="19"/>
      <c r="P1136" s="19"/>
      <c r="Q1136" s="77" t="str">
        <f>VLOOKUP(J1136,'p1'!$B$2:$C$30,2,0)</f>
        <v>NÃO TEM CHAPA</v>
      </c>
      <c r="R1136" s="90"/>
      <c r="S1136" s="90"/>
      <c r="T1136" s="90">
        <f t="shared" si="104"/>
        <v>0</v>
      </c>
      <c r="U1136" s="90"/>
      <c r="V1136" s="90"/>
      <c r="W1136" s="92"/>
      <c r="X1136" s="93" t="str">
        <f t="shared" si="100"/>
        <v/>
      </c>
      <c r="Y1136" s="92"/>
      <c r="Z1136" s="92"/>
      <c r="AA1136" s="13" t="str">
        <f t="shared" si="101"/>
        <v>jan/1900</v>
      </c>
    </row>
    <row r="1137" spans="1:27" x14ac:dyDescent="0.25">
      <c r="A1137" s="89">
        <v>1136</v>
      </c>
      <c r="B1137" s="68"/>
      <c r="C1137" s="40"/>
      <c r="D1137" s="40" t="str">
        <f t="shared" si="99"/>
        <v/>
      </c>
      <c r="E1137" s="47" t="s">
        <v>1163</v>
      </c>
      <c r="F1137" s="42" t="s">
        <v>58</v>
      </c>
      <c r="G1137" s="17" t="s">
        <v>86</v>
      </c>
      <c r="H1137" s="17">
        <v>244</v>
      </c>
      <c r="I1137" s="17" t="str">
        <f t="shared" si="103"/>
        <v>AER 3_PN-244</v>
      </c>
      <c r="J1137" s="18" t="s">
        <v>85</v>
      </c>
      <c r="K1137" s="19"/>
      <c r="L1137" s="19"/>
      <c r="M1137" s="19"/>
      <c r="N1137" s="19"/>
      <c r="O1137" s="19"/>
      <c r="P1137" s="19"/>
      <c r="Q1137" s="77" t="str">
        <f>VLOOKUP(J1137,'p1'!$B$2:$C$30,2,0)</f>
        <v>NÃO TEM CHAPA</v>
      </c>
      <c r="R1137" s="90"/>
      <c r="S1137" s="90"/>
      <c r="T1137" s="90">
        <f t="shared" si="104"/>
        <v>0</v>
      </c>
      <c r="U1137" s="90"/>
      <c r="V1137" s="90"/>
      <c r="W1137" s="92"/>
      <c r="X1137" s="93" t="str">
        <f t="shared" si="100"/>
        <v/>
      </c>
      <c r="Y1137" s="92"/>
      <c r="Z1137" s="92"/>
      <c r="AA1137" s="13" t="str">
        <f t="shared" si="101"/>
        <v>jan/1900</v>
      </c>
    </row>
    <row r="1138" spans="1:27" x14ac:dyDescent="0.25">
      <c r="A1138" s="89">
        <v>1137</v>
      </c>
      <c r="B1138" s="68"/>
      <c r="C1138" s="40"/>
      <c r="D1138" s="40" t="str">
        <f t="shared" si="99"/>
        <v/>
      </c>
      <c r="E1138" s="47" t="s">
        <v>1163</v>
      </c>
      <c r="F1138" s="42" t="s">
        <v>58</v>
      </c>
      <c r="G1138" s="17" t="s">
        <v>86</v>
      </c>
      <c r="H1138" s="17">
        <v>245</v>
      </c>
      <c r="I1138" s="17" t="str">
        <f t="shared" si="103"/>
        <v>AER 3_PN-245</v>
      </c>
      <c r="J1138" s="18" t="s">
        <v>85</v>
      </c>
      <c r="K1138" s="19"/>
      <c r="L1138" s="19"/>
      <c r="M1138" s="19"/>
      <c r="N1138" s="19"/>
      <c r="O1138" s="19"/>
      <c r="P1138" s="19"/>
      <c r="Q1138" s="77" t="str">
        <f>VLOOKUP(J1138,'p1'!$B$2:$C$30,2,0)</f>
        <v>NÃO TEM CHAPA</v>
      </c>
      <c r="R1138" s="90"/>
      <c r="S1138" s="90"/>
      <c r="T1138" s="90">
        <f t="shared" si="104"/>
        <v>0</v>
      </c>
      <c r="U1138" s="90"/>
      <c r="V1138" s="90"/>
      <c r="W1138" s="92"/>
      <c r="X1138" s="93" t="str">
        <f t="shared" si="100"/>
        <v/>
      </c>
      <c r="Y1138" s="92"/>
      <c r="Z1138" s="92"/>
      <c r="AA1138" s="13" t="str">
        <f t="shared" si="101"/>
        <v>jan/1900</v>
      </c>
    </row>
    <row r="1139" spans="1:27" x14ac:dyDescent="0.25">
      <c r="A1139" s="89">
        <v>1138</v>
      </c>
      <c r="B1139" s="68"/>
      <c r="C1139" s="40"/>
      <c r="D1139" s="40" t="str">
        <f t="shared" si="99"/>
        <v/>
      </c>
      <c r="E1139" s="47" t="s">
        <v>1163</v>
      </c>
      <c r="F1139" s="42" t="s">
        <v>58</v>
      </c>
      <c r="G1139" s="17" t="s">
        <v>86</v>
      </c>
      <c r="H1139" s="17">
        <v>246</v>
      </c>
      <c r="I1139" s="17" t="str">
        <f t="shared" si="103"/>
        <v>AER 3_PN-246</v>
      </c>
      <c r="J1139" s="18" t="s">
        <v>85</v>
      </c>
      <c r="K1139" s="19"/>
      <c r="L1139" s="19"/>
      <c r="M1139" s="19"/>
      <c r="N1139" s="19"/>
      <c r="O1139" s="19"/>
      <c r="P1139" s="19"/>
      <c r="Q1139" s="77" t="str">
        <f>VLOOKUP(J1139,'p1'!$B$2:$C$30,2,0)</f>
        <v>NÃO TEM CHAPA</v>
      </c>
      <c r="R1139" s="90"/>
      <c r="S1139" s="90"/>
      <c r="T1139" s="90">
        <f t="shared" si="104"/>
        <v>0</v>
      </c>
      <c r="U1139" s="90"/>
      <c r="V1139" s="90"/>
      <c r="W1139" s="92"/>
      <c r="X1139" s="93" t="str">
        <f t="shared" si="100"/>
        <v/>
      </c>
      <c r="Y1139" s="92"/>
      <c r="Z1139" s="92"/>
      <c r="AA1139" s="13" t="str">
        <f t="shared" si="101"/>
        <v>jan/1900</v>
      </c>
    </row>
    <row r="1140" spans="1:27" x14ac:dyDescent="0.25">
      <c r="A1140" s="89">
        <v>1139</v>
      </c>
      <c r="B1140" s="68"/>
      <c r="C1140" s="40"/>
      <c r="D1140" s="40" t="str">
        <f t="shared" si="99"/>
        <v/>
      </c>
      <c r="E1140" s="47" t="s">
        <v>1163</v>
      </c>
      <c r="F1140" s="42" t="s">
        <v>58</v>
      </c>
      <c r="G1140" s="17" t="s">
        <v>86</v>
      </c>
      <c r="H1140" s="17">
        <v>247</v>
      </c>
      <c r="I1140" s="17" t="str">
        <f t="shared" si="103"/>
        <v>AER 3_PN-247</v>
      </c>
      <c r="J1140" s="18" t="s">
        <v>85</v>
      </c>
      <c r="K1140" s="19"/>
      <c r="L1140" s="19"/>
      <c r="M1140" s="19"/>
      <c r="N1140" s="19"/>
      <c r="O1140" s="19"/>
      <c r="P1140" s="19"/>
      <c r="Q1140" s="77" t="str">
        <f>VLOOKUP(J1140,'p1'!$B$2:$C$30,2,0)</f>
        <v>NÃO TEM CHAPA</v>
      </c>
      <c r="R1140" s="90"/>
      <c r="S1140" s="90"/>
      <c r="T1140" s="90">
        <f t="shared" si="104"/>
        <v>0</v>
      </c>
      <c r="U1140" s="90"/>
      <c r="V1140" s="90"/>
      <c r="W1140" s="92"/>
      <c r="X1140" s="93" t="str">
        <f t="shared" si="100"/>
        <v/>
      </c>
      <c r="Y1140" s="92"/>
      <c r="Z1140" s="92"/>
      <c r="AA1140" s="13" t="str">
        <f t="shared" si="101"/>
        <v>jan/1900</v>
      </c>
    </row>
    <row r="1141" spans="1:27" x14ac:dyDescent="0.25">
      <c r="A1141" s="89">
        <v>1140</v>
      </c>
      <c r="B1141" s="68"/>
      <c r="C1141" s="40"/>
      <c r="D1141" s="40" t="str">
        <f t="shared" si="99"/>
        <v/>
      </c>
      <c r="E1141" s="47" t="s">
        <v>1163</v>
      </c>
      <c r="F1141" s="42" t="s">
        <v>58</v>
      </c>
      <c r="G1141" s="17" t="s">
        <v>86</v>
      </c>
      <c r="H1141" s="17">
        <v>248</v>
      </c>
      <c r="I1141" s="17" t="str">
        <f t="shared" si="103"/>
        <v>AER 3_PN-248</v>
      </c>
      <c r="J1141" s="18" t="s">
        <v>85</v>
      </c>
      <c r="K1141" s="19"/>
      <c r="L1141" s="19"/>
      <c r="M1141" s="19"/>
      <c r="N1141" s="19"/>
      <c r="O1141" s="19"/>
      <c r="P1141" s="19"/>
      <c r="Q1141" s="77" t="str">
        <f>VLOOKUP(J1141,'p1'!$B$2:$C$30,2,0)</f>
        <v>NÃO TEM CHAPA</v>
      </c>
      <c r="R1141" s="90"/>
      <c r="S1141" s="90"/>
      <c r="T1141" s="90">
        <f t="shared" si="104"/>
        <v>0</v>
      </c>
      <c r="U1141" s="90"/>
      <c r="V1141" s="90"/>
      <c r="W1141" s="92"/>
      <c r="X1141" s="93" t="str">
        <f t="shared" si="100"/>
        <v/>
      </c>
      <c r="Y1141" s="92"/>
      <c r="Z1141" s="92"/>
      <c r="AA1141" s="13" t="str">
        <f t="shared" si="101"/>
        <v>jan/1900</v>
      </c>
    </row>
    <row r="1142" spans="1:27" x14ac:dyDescent="0.25">
      <c r="A1142" s="89">
        <v>1141</v>
      </c>
      <c r="B1142" s="68"/>
      <c r="C1142" s="40"/>
      <c r="D1142" s="40" t="str">
        <f t="shared" si="99"/>
        <v/>
      </c>
      <c r="E1142" s="47" t="s">
        <v>1163</v>
      </c>
      <c r="F1142" s="42" t="s">
        <v>58</v>
      </c>
      <c r="G1142" s="17" t="s">
        <v>86</v>
      </c>
      <c r="H1142" s="17">
        <v>249</v>
      </c>
      <c r="I1142" s="17" t="str">
        <f t="shared" si="103"/>
        <v>AER 3_PN-249</v>
      </c>
      <c r="J1142" s="18" t="s">
        <v>85</v>
      </c>
      <c r="K1142" s="19"/>
      <c r="L1142" s="19"/>
      <c r="M1142" s="19"/>
      <c r="N1142" s="19"/>
      <c r="O1142" s="19"/>
      <c r="P1142" s="19"/>
      <c r="Q1142" s="77" t="str">
        <f>VLOOKUP(J1142,'p1'!$B$2:$C$30,2,0)</f>
        <v>NÃO TEM CHAPA</v>
      </c>
      <c r="R1142" s="90"/>
      <c r="S1142" s="90"/>
      <c r="T1142" s="90">
        <f t="shared" si="104"/>
        <v>0</v>
      </c>
      <c r="U1142" s="90"/>
      <c r="V1142" s="90"/>
      <c r="W1142" s="92"/>
      <c r="X1142" s="93" t="str">
        <f t="shared" si="100"/>
        <v/>
      </c>
      <c r="Y1142" s="92"/>
      <c r="Z1142" s="92"/>
      <c r="AA1142" s="13" t="str">
        <f t="shared" si="101"/>
        <v>jan/1900</v>
      </c>
    </row>
    <row r="1143" spans="1:27" x14ac:dyDescent="0.25">
      <c r="A1143" s="89">
        <v>1142</v>
      </c>
      <c r="B1143" s="68"/>
      <c r="C1143" s="40"/>
      <c r="D1143" s="40" t="str">
        <f t="shared" si="99"/>
        <v/>
      </c>
      <c r="E1143" s="47" t="s">
        <v>1163</v>
      </c>
      <c r="F1143" s="42" t="s">
        <v>58</v>
      </c>
      <c r="G1143" s="17" t="s">
        <v>86</v>
      </c>
      <c r="H1143" s="17">
        <v>250</v>
      </c>
      <c r="I1143" s="17" t="str">
        <f t="shared" si="103"/>
        <v>AER 3_PN-250</v>
      </c>
      <c r="J1143" s="18" t="s">
        <v>85</v>
      </c>
      <c r="K1143" s="19"/>
      <c r="L1143" s="19"/>
      <c r="M1143" s="19"/>
      <c r="N1143" s="19"/>
      <c r="O1143" s="19"/>
      <c r="P1143" s="19"/>
      <c r="Q1143" s="77" t="str">
        <f>VLOOKUP(J1143,'p1'!$B$2:$C$30,2,0)</f>
        <v>NÃO TEM CHAPA</v>
      </c>
      <c r="R1143" s="90"/>
      <c r="S1143" s="90"/>
      <c r="T1143" s="90">
        <f t="shared" si="104"/>
        <v>0</v>
      </c>
      <c r="U1143" s="90"/>
      <c r="V1143" s="90"/>
      <c r="W1143" s="92"/>
      <c r="X1143" s="93" t="str">
        <f t="shared" si="100"/>
        <v/>
      </c>
      <c r="Y1143" s="92"/>
      <c r="Z1143" s="92"/>
      <c r="AA1143" s="13" t="str">
        <f t="shared" si="101"/>
        <v>jan/1900</v>
      </c>
    </row>
    <row r="1144" spans="1:27" x14ac:dyDescent="0.25">
      <c r="A1144" s="89">
        <v>1143</v>
      </c>
      <c r="B1144" s="68"/>
      <c r="C1144" s="40"/>
      <c r="D1144" s="40" t="str">
        <f t="shared" si="99"/>
        <v/>
      </c>
      <c r="E1144" s="47" t="s">
        <v>1163</v>
      </c>
      <c r="F1144" s="42" t="s">
        <v>58</v>
      </c>
      <c r="G1144" s="17" t="s">
        <v>86</v>
      </c>
      <c r="H1144" s="17">
        <v>251</v>
      </c>
      <c r="I1144" s="17" t="str">
        <f t="shared" si="103"/>
        <v>AER 3_PN-251</v>
      </c>
      <c r="J1144" s="18" t="s">
        <v>85</v>
      </c>
      <c r="K1144" s="19"/>
      <c r="L1144" s="19"/>
      <c r="M1144" s="19"/>
      <c r="N1144" s="19"/>
      <c r="O1144" s="19"/>
      <c r="P1144" s="19"/>
      <c r="Q1144" s="77" t="str">
        <f>VLOOKUP(J1144,'p1'!$B$2:$C$30,2,0)</f>
        <v>NÃO TEM CHAPA</v>
      </c>
      <c r="R1144" s="90"/>
      <c r="S1144" s="90"/>
      <c r="T1144" s="90">
        <f t="shared" si="104"/>
        <v>0</v>
      </c>
      <c r="U1144" s="90"/>
      <c r="V1144" s="90"/>
      <c r="W1144" s="92"/>
      <c r="X1144" s="93" t="str">
        <f t="shared" si="100"/>
        <v/>
      </c>
      <c r="Y1144" s="92"/>
      <c r="Z1144" s="92"/>
      <c r="AA1144" s="13" t="str">
        <f t="shared" si="101"/>
        <v>jan/1900</v>
      </c>
    </row>
    <row r="1145" spans="1:27" x14ac:dyDescent="0.25">
      <c r="A1145" s="89">
        <v>1144</v>
      </c>
      <c r="B1145" s="68"/>
      <c r="C1145" s="40"/>
      <c r="D1145" s="40" t="str">
        <f t="shared" si="99"/>
        <v/>
      </c>
      <c r="E1145" s="47" t="s">
        <v>1163</v>
      </c>
      <c r="F1145" s="42" t="s">
        <v>58</v>
      </c>
      <c r="G1145" s="17" t="s">
        <v>86</v>
      </c>
      <c r="H1145" s="17">
        <v>252</v>
      </c>
      <c r="I1145" s="17" t="str">
        <f t="shared" si="103"/>
        <v>AER 3_PN-252</v>
      </c>
      <c r="J1145" s="18" t="s">
        <v>85</v>
      </c>
      <c r="K1145" s="19"/>
      <c r="L1145" s="19"/>
      <c r="M1145" s="19"/>
      <c r="N1145" s="19"/>
      <c r="O1145" s="19"/>
      <c r="P1145" s="19"/>
      <c r="Q1145" s="77" t="str">
        <f>VLOOKUP(J1145,'p1'!$B$2:$C$30,2,0)</f>
        <v>NÃO TEM CHAPA</v>
      </c>
      <c r="R1145" s="90"/>
      <c r="S1145" s="90"/>
      <c r="T1145" s="90">
        <f t="shared" si="104"/>
        <v>0</v>
      </c>
      <c r="U1145" s="90"/>
      <c r="V1145" s="90"/>
      <c r="W1145" s="92"/>
      <c r="X1145" s="93" t="str">
        <f t="shared" si="100"/>
        <v/>
      </c>
      <c r="Y1145" s="92"/>
      <c r="Z1145" s="92"/>
      <c r="AA1145" s="13" t="str">
        <f t="shared" si="101"/>
        <v>jan/1900</v>
      </c>
    </row>
    <row r="1146" spans="1:27" x14ac:dyDescent="0.25">
      <c r="A1146" s="89">
        <v>1145</v>
      </c>
      <c r="B1146" s="68"/>
      <c r="C1146" s="40"/>
      <c r="D1146" s="40" t="str">
        <f t="shared" si="99"/>
        <v/>
      </c>
      <c r="E1146" s="47" t="s">
        <v>1163</v>
      </c>
      <c r="F1146" s="42" t="s">
        <v>58</v>
      </c>
      <c r="G1146" s="17" t="s">
        <v>86</v>
      </c>
      <c r="H1146" s="17">
        <v>253</v>
      </c>
      <c r="I1146" s="17" t="str">
        <f t="shared" si="103"/>
        <v>AER 3_PN-253</v>
      </c>
      <c r="J1146" s="18" t="s">
        <v>85</v>
      </c>
      <c r="K1146" s="19"/>
      <c r="L1146" s="19"/>
      <c r="M1146" s="19"/>
      <c r="N1146" s="19"/>
      <c r="O1146" s="19"/>
      <c r="P1146" s="19"/>
      <c r="Q1146" s="77" t="str">
        <f>VLOOKUP(J1146,'p1'!$B$2:$C$30,2,0)</f>
        <v>NÃO TEM CHAPA</v>
      </c>
      <c r="R1146" s="90"/>
      <c r="S1146" s="90"/>
      <c r="T1146" s="90">
        <f t="shared" si="104"/>
        <v>0</v>
      </c>
      <c r="U1146" s="90"/>
      <c r="V1146" s="90"/>
      <c r="W1146" s="92"/>
      <c r="X1146" s="93" t="str">
        <f t="shared" si="100"/>
        <v/>
      </c>
      <c r="Y1146" s="92"/>
      <c r="Z1146" s="92"/>
      <c r="AA1146" s="13" t="str">
        <f t="shared" si="101"/>
        <v>jan/1900</v>
      </c>
    </row>
    <row r="1147" spans="1:27" x14ac:dyDescent="0.25">
      <c r="A1147" s="89">
        <v>1146</v>
      </c>
      <c r="B1147" s="68"/>
      <c r="C1147" s="40"/>
      <c r="D1147" s="40" t="str">
        <f t="shared" si="99"/>
        <v/>
      </c>
      <c r="E1147" s="47" t="s">
        <v>1163</v>
      </c>
      <c r="F1147" s="42" t="s">
        <v>58</v>
      </c>
      <c r="G1147" s="17" t="s">
        <v>86</v>
      </c>
      <c r="H1147" s="17">
        <v>254</v>
      </c>
      <c r="I1147" s="17" t="str">
        <f t="shared" si="103"/>
        <v>AER 3_PN-254</v>
      </c>
      <c r="J1147" s="18" t="s">
        <v>85</v>
      </c>
      <c r="K1147" s="19"/>
      <c r="L1147" s="19"/>
      <c r="M1147" s="19"/>
      <c r="N1147" s="19"/>
      <c r="O1147" s="19"/>
      <c r="P1147" s="19"/>
      <c r="Q1147" s="77" t="str">
        <f>VLOOKUP(J1147,'p1'!$B$2:$C$30,2,0)</f>
        <v>NÃO TEM CHAPA</v>
      </c>
      <c r="R1147" s="90"/>
      <c r="S1147" s="90"/>
      <c r="T1147" s="90">
        <f t="shared" si="104"/>
        <v>0</v>
      </c>
      <c r="U1147" s="90"/>
      <c r="V1147" s="90"/>
      <c r="W1147" s="92"/>
      <c r="X1147" s="93" t="str">
        <f t="shared" si="100"/>
        <v/>
      </c>
      <c r="Y1147" s="92"/>
      <c r="Z1147" s="92"/>
      <c r="AA1147" s="13" t="str">
        <f t="shared" si="101"/>
        <v>jan/1900</v>
      </c>
    </row>
    <row r="1148" spans="1:27" x14ac:dyDescent="0.25">
      <c r="A1148" s="89">
        <v>1147</v>
      </c>
      <c r="B1148" s="68"/>
      <c r="C1148" s="40"/>
      <c r="D1148" s="40" t="str">
        <f t="shared" si="99"/>
        <v/>
      </c>
      <c r="E1148" s="47" t="s">
        <v>1163</v>
      </c>
      <c r="F1148" s="42" t="s">
        <v>58</v>
      </c>
      <c r="G1148" s="17" t="s">
        <v>86</v>
      </c>
      <c r="H1148" s="17">
        <v>255</v>
      </c>
      <c r="I1148" s="17" t="str">
        <f t="shared" si="103"/>
        <v>AER 3_PN-255</v>
      </c>
      <c r="J1148" s="18" t="s">
        <v>85</v>
      </c>
      <c r="K1148" s="19"/>
      <c r="L1148" s="19"/>
      <c r="M1148" s="19"/>
      <c r="N1148" s="19"/>
      <c r="O1148" s="19"/>
      <c r="P1148" s="19"/>
      <c r="Q1148" s="77" t="str">
        <f>VLOOKUP(J1148,'p1'!$B$2:$C$30,2,0)</f>
        <v>NÃO TEM CHAPA</v>
      </c>
      <c r="R1148" s="90"/>
      <c r="S1148" s="90"/>
      <c r="T1148" s="90">
        <f t="shared" si="104"/>
        <v>0</v>
      </c>
      <c r="U1148" s="90"/>
      <c r="V1148" s="90"/>
      <c r="W1148" s="92"/>
      <c r="X1148" s="93" t="str">
        <f t="shared" si="100"/>
        <v/>
      </c>
      <c r="Y1148" s="92"/>
      <c r="Z1148" s="92"/>
      <c r="AA1148" s="13" t="str">
        <f t="shared" si="101"/>
        <v>jan/1900</v>
      </c>
    </row>
    <row r="1149" spans="1:27" x14ac:dyDescent="0.25">
      <c r="A1149" s="89">
        <v>1148</v>
      </c>
      <c r="B1149" s="68"/>
      <c r="C1149" s="40"/>
      <c r="D1149" s="40" t="str">
        <f t="shared" si="99"/>
        <v/>
      </c>
      <c r="E1149" s="47" t="s">
        <v>1163</v>
      </c>
      <c r="F1149" s="42" t="s">
        <v>58</v>
      </c>
      <c r="G1149" s="17" t="s">
        <v>86</v>
      </c>
      <c r="H1149" s="17">
        <v>256</v>
      </c>
      <c r="I1149" s="17" t="str">
        <f t="shared" si="103"/>
        <v>AER 3_PN-256</v>
      </c>
      <c r="J1149" s="18" t="s">
        <v>85</v>
      </c>
      <c r="K1149" s="19"/>
      <c r="L1149" s="19"/>
      <c r="M1149" s="19"/>
      <c r="N1149" s="19"/>
      <c r="O1149" s="19"/>
      <c r="P1149" s="19"/>
      <c r="Q1149" s="77" t="str">
        <f>VLOOKUP(J1149,'p1'!$B$2:$C$30,2,0)</f>
        <v>NÃO TEM CHAPA</v>
      </c>
      <c r="R1149" s="90"/>
      <c r="S1149" s="90"/>
      <c r="T1149" s="90">
        <f t="shared" si="104"/>
        <v>0</v>
      </c>
      <c r="U1149" s="90"/>
      <c r="V1149" s="90"/>
      <c r="W1149" s="92"/>
      <c r="X1149" s="93" t="str">
        <f t="shared" si="100"/>
        <v/>
      </c>
      <c r="Y1149" s="92"/>
      <c r="Z1149" s="92"/>
      <c r="AA1149" s="13" t="str">
        <f t="shared" si="101"/>
        <v>jan/1900</v>
      </c>
    </row>
    <row r="1150" spans="1:27" x14ac:dyDescent="0.25">
      <c r="A1150" s="89">
        <v>1149</v>
      </c>
      <c r="B1150" s="68"/>
      <c r="C1150" s="40"/>
      <c r="D1150" s="40" t="str">
        <f t="shared" si="99"/>
        <v/>
      </c>
      <c r="E1150" s="47" t="s">
        <v>1163</v>
      </c>
      <c r="F1150" s="42" t="s">
        <v>58</v>
      </c>
      <c r="G1150" s="17" t="s">
        <v>86</v>
      </c>
      <c r="H1150" s="17">
        <v>257</v>
      </c>
      <c r="I1150" s="17" t="str">
        <f t="shared" si="103"/>
        <v>AER 3_PN-257</v>
      </c>
      <c r="J1150" s="18" t="s">
        <v>85</v>
      </c>
      <c r="K1150" s="19"/>
      <c r="L1150" s="19"/>
      <c r="M1150" s="19"/>
      <c r="N1150" s="19"/>
      <c r="O1150" s="19"/>
      <c r="P1150" s="19"/>
      <c r="Q1150" s="77" t="str">
        <f>VLOOKUP(J1150,'p1'!$B$2:$C$30,2,0)</f>
        <v>NÃO TEM CHAPA</v>
      </c>
      <c r="R1150" s="90"/>
      <c r="S1150" s="90"/>
      <c r="T1150" s="90">
        <f t="shared" si="104"/>
        <v>0</v>
      </c>
      <c r="U1150" s="90"/>
      <c r="V1150" s="90"/>
      <c r="W1150" s="92"/>
      <c r="X1150" s="93" t="str">
        <f t="shared" si="100"/>
        <v/>
      </c>
      <c r="Y1150" s="92"/>
      <c r="Z1150" s="92"/>
      <c r="AA1150" s="13" t="str">
        <f t="shared" si="101"/>
        <v>jan/1900</v>
      </c>
    </row>
    <row r="1151" spans="1:27" x14ac:dyDescent="0.25">
      <c r="A1151" s="89">
        <v>1150</v>
      </c>
      <c r="B1151" s="68"/>
      <c r="C1151" s="40"/>
      <c r="D1151" s="40" t="str">
        <f t="shared" si="99"/>
        <v/>
      </c>
      <c r="E1151" s="47" t="s">
        <v>1163</v>
      </c>
      <c r="F1151" s="42" t="s">
        <v>58</v>
      </c>
      <c r="G1151" s="17" t="s">
        <v>86</v>
      </c>
      <c r="H1151" s="17">
        <v>258</v>
      </c>
      <c r="I1151" s="17" t="str">
        <f t="shared" si="103"/>
        <v>AER 3_PN-258</v>
      </c>
      <c r="J1151" s="18" t="s">
        <v>85</v>
      </c>
      <c r="K1151" s="19"/>
      <c r="L1151" s="19"/>
      <c r="M1151" s="19"/>
      <c r="N1151" s="19"/>
      <c r="O1151" s="19"/>
      <c r="P1151" s="19"/>
      <c r="Q1151" s="77" t="str">
        <f>VLOOKUP(J1151,'p1'!$B$2:$C$30,2,0)</f>
        <v>NÃO TEM CHAPA</v>
      </c>
      <c r="R1151" s="90"/>
      <c r="S1151" s="90"/>
      <c r="T1151" s="90">
        <f t="shared" si="104"/>
        <v>0</v>
      </c>
      <c r="U1151" s="90"/>
      <c r="V1151" s="90"/>
      <c r="W1151" s="92"/>
      <c r="X1151" s="93" t="str">
        <f t="shared" si="100"/>
        <v/>
      </c>
      <c r="Y1151" s="92"/>
      <c r="Z1151" s="92"/>
      <c r="AA1151" s="13" t="str">
        <f t="shared" si="101"/>
        <v>jan/1900</v>
      </c>
    </row>
    <row r="1152" spans="1:27" x14ac:dyDescent="0.25">
      <c r="A1152" s="89">
        <v>1151</v>
      </c>
      <c r="B1152" s="68"/>
      <c r="C1152" s="40"/>
      <c r="D1152" s="40" t="str">
        <f t="shared" si="99"/>
        <v/>
      </c>
      <c r="E1152" s="47" t="s">
        <v>1163</v>
      </c>
      <c r="F1152" s="42" t="s">
        <v>58</v>
      </c>
      <c r="G1152" s="17" t="s">
        <v>86</v>
      </c>
      <c r="H1152" s="17">
        <v>259</v>
      </c>
      <c r="I1152" s="17" t="str">
        <f t="shared" si="103"/>
        <v>AER 3_PN-259</v>
      </c>
      <c r="J1152" s="18" t="s">
        <v>85</v>
      </c>
      <c r="K1152" s="19"/>
      <c r="L1152" s="19"/>
      <c r="M1152" s="19"/>
      <c r="N1152" s="19"/>
      <c r="O1152" s="19"/>
      <c r="P1152" s="19"/>
      <c r="Q1152" s="77" t="str">
        <f>VLOOKUP(J1152,'p1'!$B$2:$C$30,2,0)</f>
        <v>NÃO TEM CHAPA</v>
      </c>
      <c r="R1152" s="90"/>
      <c r="S1152" s="90"/>
      <c r="T1152" s="90">
        <f t="shared" si="104"/>
        <v>0</v>
      </c>
      <c r="U1152" s="90"/>
      <c r="V1152" s="90"/>
      <c r="W1152" s="92"/>
      <c r="X1152" s="93" t="str">
        <f t="shared" si="100"/>
        <v/>
      </c>
      <c r="Y1152" s="92"/>
      <c r="Z1152" s="92"/>
      <c r="AA1152" s="13" t="str">
        <f t="shared" si="101"/>
        <v>jan/1900</v>
      </c>
    </row>
    <row r="1153" spans="1:27" x14ac:dyDescent="0.25">
      <c r="A1153" s="89">
        <v>1152</v>
      </c>
      <c r="B1153" s="68"/>
      <c r="C1153" s="40"/>
      <c r="D1153" s="40" t="str">
        <f t="shared" ref="D1153:D1175" si="105">IF(B1153&gt;0,1,"")</f>
        <v/>
      </c>
      <c r="E1153" s="47" t="s">
        <v>1163</v>
      </c>
      <c r="F1153" s="42" t="s">
        <v>58</v>
      </c>
      <c r="G1153" s="17" t="s">
        <v>86</v>
      </c>
      <c r="H1153" s="17">
        <v>260</v>
      </c>
      <c r="I1153" s="17" t="str">
        <f t="shared" si="103"/>
        <v>AER 3_PN-260</v>
      </c>
      <c r="J1153" s="18" t="s">
        <v>85</v>
      </c>
      <c r="K1153" s="19"/>
      <c r="L1153" s="19"/>
      <c r="M1153" s="19"/>
      <c r="N1153" s="19"/>
      <c r="O1153" s="19"/>
      <c r="P1153" s="19"/>
      <c r="Q1153" s="77" t="str">
        <f>VLOOKUP(J1153,'p1'!$B$2:$C$30,2,0)</f>
        <v>NÃO TEM CHAPA</v>
      </c>
      <c r="R1153" s="90"/>
      <c r="S1153" s="90"/>
      <c r="T1153" s="90">
        <f t="shared" si="104"/>
        <v>0</v>
      </c>
      <c r="U1153" s="90"/>
      <c r="V1153" s="90"/>
      <c r="W1153" s="92"/>
      <c r="X1153" s="93" t="str">
        <f t="shared" ref="X1153:X1175" si="106">IF(U1153&gt;0,1,"")</f>
        <v/>
      </c>
      <c r="Y1153" s="92"/>
      <c r="Z1153" s="92"/>
      <c r="AA1153" s="13" t="str">
        <f t="shared" si="101"/>
        <v>jan/1900</v>
      </c>
    </row>
    <row r="1154" spans="1:27" x14ac:dyDescent="0.25">
      <c r="A1154" s="89">
        <v>1153</v>
      </c>
      <c r="B1154" s="68"/>
      <c r="C1154" s="40"/>
      <c r="D1154" s="40" t="str">
        <f t="shared" si="105"/>
        <v/>
      </c>
      <c r="E1154" s="47" t="s">
        <v>1163</v>
      </c>
      <c r="F1154" s="42" t="s">
        <v>58</v>
      </c>
      <c r="G1154" s="17" t="s">
        <v>86</v>
      </c>
      <c r="H1154" s="17">
        <v>261</v>
      </c>
      <c r="I1154" s="17" t="str">
        <f t="shared" si="103"/>
        <v>AER 3_PN-261</v>
      </c>
      <c r="J1154" s="18" t="s">
        <v>85</v>
      </c>
      <c r="K1154" s="19"/>
      <c r="L1154" s="19"/>
      <c r="M1154" s="19"/>
      <c r="N1154" s="19"/>
      <c r="O1154" s="19"/>
      <c r="P1154" s="19"/>
      <c r="Q1154" s="77" t="str">
        <f>VLOOKUP(J1154,'p1'!$B$2:$C$30,2,0)</f>
        <v>NÃO TEM CHAPA</v>
      </c>
      <c r="R1154" s="90"/>
      <c r="S1154" s="90"/>
      <c r="T1154" s="90">
        <f t="shared" si="104"/>
        <v>0</v>
      </c>
      <c r="U1154" s="90"/>
      <c r="V1154" s="90"/>
      <c r="W1154" s="92"/>
      <c r="X1154" s="93" t="str">
        <f t="shared" si="106"/>
        <v/>
      </c>
      <c r="Y1154" s="92"/>
      <c r="Z1154" s="92"/>
      <c r="AA1154" s="13" t="str">
        <f t="shared" si="101"/>
        <v>jan/1900</v>
      </c>
    </row>
    <row r="1155" spans="1:27" x14ac:dyDescent="0.25">
      <c r="A1155" s="89">
        <v>1154</v>
      </c>
      <c r="B1155" s="68"/>
      <c r="C1155" s="40"/>
      <c r="D1155" s="40" t="str">
        <f t="shared" si="105"/>
        <v/>
      </c>
      <c r="E1155" s="47" t="s">
        <v>1163</v>
      </c>
      <c r="F1155" s="42" t="s">
        <v>58</v>
      </c>
      <c r="G1155" s="17" t="s">
        <v>86</v>
      </c>
      <c r="H1155" s="17">
        <v>262</v>
      </c>
      <c r="I1155" s="17" t="str">
        <f t="shared" si="103"/>
        <v>AER 3_PN-262</v>
      </c>
      <c r="J1155" s="18" t="s">
        <v>85</v>
      </c>
      <c r="K1155" s="19"/>
      <c r="L1155" s="19"/>
      <c r="M1155" s="19"/>
      <c r="N1155" s="19"/>
      <c r="O1155" s="19"/>
      <c r="P1155" s="19"/>
      <c r="Q1155" s="77" t="str">
        <f>VLOOKUP(J1155,'p1'!$B$2:$C$30,2,0)</f>
        <v>NÃO TEM CHAPA</v>
      </c>
      <c r="R1155" s="90"/>
      <c r="S1155" s="90"/>
      <c r="T1155" s="90">
        <f t="shared" si="104"/>
        <v>0</v>
      </c>
      <c r="U1155" s="90"/>
      <c r="V1155" s="90"/>
      <c r="W1155" s="92"/>
      <c r="X1155" s="93" t="str">
        <f t="shared" si="106"/>
        <v/>
      </c>
      <c r="Y1155" s="92"/>
      <c r="Z1155" s="92"/>
      <c r="AA1155" s="13" t="str">
        <f t="shared" ref="AA1155:AA1177" si="107">TEXT(R1155,"mmm/aaaa")</f>
        <v>jan/1900</v>
      </c>
    </row>
    <row r="1156" spans="1:27" x14ac:dyDescent="0.25">
      <c r="A1156" s="89">
        <v>1155</v>
      </c>
      <c r="B1156" s="68"/>
      <c r="C1156" s="40"/>
      <c r="D1156" s="40" t="str">
        <f t="shared" si="105"/>
        <v/>
      </c>
      <c r="E1156" s="47" t="s">
        <v>1163</v>
      </c>
      <c r="F1156" s="42" t="s">
        <v>58</v>
      </c>
      <c r="G1156" s="17" t="s">
        <v>86</v>
      </c>
      <c r="H1156" s="17">
        <v>263</v>
      </c>
      <c r="I1156" s="17" t="str">
        <f t="shared" si="103"/>
        <v>AER 3_PN-263</v>
      </c>
      <c r="J1156" s="18" t="s">
        <v>85</v>
      </c>
      <c r="K1156" s="19"/>
      <c r="L1156" s="19"/>
      <c r="M1156" s="19"/>
      <c r="N1156" s="19"/>
      <c r="O1156" s="19"/>
      <c r="P1156" s="19"/>
      <c r="Q1156" s="77" t="str">
        <f>VLOOKUP(J1156,'p1'!$B$2:$C$30,2,0)</f>
        <v>NÃO TEM CHAPA</v>
      </c>
      <c r="R1156" s="90"/>
      <c r="S1156" s="90"/>
      <c r="T1156" s="90">
        <f t="shared" si="104"/>
        <v>0</v>
      </c>
      <c r="U1156" s="90"/>
      <c r="V1156" s="90"/>
      <c r="W1156" s="92"/>
      <c r="X1156" s="93" t="str">
        <f t="shared" si="106"/>
        <v/>
      </c>
      <c r="Y1156" s="92"/>
      <c r="Z1156" s="92"/>
      <c r="AA1156" s="13" t="str">
        <f t="shared" si="107"/>
        <v>jan/1900</v>
      </c>
    </row>
    <row r="1157" spans="1:27" x14ac:dyDescent="0.25">
      <c r="A1157" s="89">
        <v>1156</v>
      </c>
      <c r="B1157" s="68"/>
      <c r="C1157" s="40"/>
      <c r="D1157" s="40" t="str">
        <f t="shared" si="105"/>
        <v/>
      </c>
      <c r="E1157" s="47" t="s">
        <v>1163</v>
      </c>
      <c r="F1157" s="42" t="s">
        <v>58</v>
      </c>
      <c r="G1157" s="17" t="s">
        <v>86</v>
      </c>
      <c r="H1157" s="17">
        <v>264</v>
      </c>
      <c r="I1157" s="17" t="str">
        <f t="shared" si="103"/>
        <v>AER 3_PN-264</v>
      </c>
      <c r="J1157" s="18" t="s">
        <v>85</v>
      </c>
      <c r="K1157" s="19"/>
      <c r="L1157" s="19"/>
      <c r="M1157" s="19"/>
      <c r="N1157" s="19"/>
      <c r="O1157" s="19"/>
      <c r="P1157" s="19"/>
      <c r="Q1157" s="77" t="str">
        <f>VLOOKUP(J1157,'p1'!$B$2:$C$30,2,0)</f>
        <v>NÃO TEM CHAPA</v>
      </c>
      <c r="R1157" s="90"/>
      <c r="S1157" s="90"/>
      <c r="T1157" s="90">
        <f t="shared" si="104"/>
        <v>0</v>
      </c>
      <c r="U1157" s="90"/>
      <c r="V1157" s="90"/>
      <c r="W1157" s="92"/>
      <c r="X1157" s="93" t="str">
        <f t="shared" si="106"/>
        <v/>
      </c>
      <c r="Y1157" s="92"/>
      <c r="Z1157" s="92"/>
      <c r="AA1157" s="13" t="str">
        <f t="shared" si="107"/>
        <v>jan/1900</v>
      </c>
    </row>
    <row r="1158" spans="1:27" x14ac:dyDescent="0.25">
      <c r="A1158" s="89">
        <v>1157</v>
      </c>
      <c r="B1158" s="68"/>
      <c r="C1158" s="40"/>
      <c r="D1158" s="40" t="str">
        <f t="shared" si="105"/>
        <v/>
      </c>
      <c r="E1158" s="47" t="s">
        <v>1163</v>
      </c>
      <c r="F1158" s="42" t="s">
        <v>58</v>
      </c>
      <c r="G1158" s="17" t="s">
        <v>86</v>
      </c>
      <c r="H1158" s="17">
        <v>265</v>
      </c>
      <c r="I1158" s="17" t="str">
        <f t="shared" si="103"/>
        <v>AER 3_PN-265</v>
      </c>
      <c r="J1158" s="18" t="s">
        <v>85</v>
      </c>
      <c r="K1158" s="19"/>
      <c r="L1158" s="19"/>
      <c r="M1158" s="19"/>
      <c r="N1158" s="19"/>
      <c r="O1158" s="19"/>
      <c r="P1158" s="19"/>
      <c r="Q1158" s="77" t="str">
        <f>VLOOKUP(J1158,'p1'!$B$2:$C$30,2,0)</f>
        <v>NÃO TEM CHAPA</v>
      </c>
      <c r="R1158" s="90"/>
      <c r="S1158" s="90"/>
      <c r="T1158" s="90">
        <f t="shared" si="104"/>
        <v>0</v>
      </c>
      <c r="U1158" s="90"/>
      <c r="V1158" s="90"/>
      <c r="W1158" s="92"/>
      <c r="X1158" s="93" t="str">
        <f t="shared" si="106"/>
        <v/>
      </c>
      <c r="Y1158" s="92"/>
      <c r="Z1158" s="92"/>
      <c r="AA1158" s="13" t="str">
        <f t="shared" si="107"/>
        <v>jan/1900</v>
      </c>
    </row>
    <row r="1159" spans="1:27" x14ac:dyDescent="0.25">
      <c r="A1159" s="89">
        <v>1158</v>
      </c>
      <c r="B1159" s="68"/>
      <c r="C1159" s="40"/>
      <c r="D1159" s="40" t="str">
        <f t="shared" si="105"/>
        <v/>
      </c>
      <c r="E1159" s="47" t="s">
        <v>1163</v>
      </c>
      <c r="F1159" s="42" t="s">
        <v>58</v>
      </c>
      <c r="G1159" s="17" t="s">
        <v>86</v>
      </c>
      <c r="H1159" s="17">
        <v>266</v>
      </c>
      <c r="I1159" s="17" t="str">
        <f t="shared" si="103"/>
        <v>AER 3_PN-266</v>
      </c>
      <c r="J1159" s="18" t="s">
        <v>85</v>
      </c>
      <c r="K1159" s="19"/>
      <c r="L1159" s="19"/>
      <c r="M1159" s="19"/>
      <c r="N1159" s="19"/>
      <c r="O1159" s="19"/>
      <c r="P1159" s="19"/>
      <c r="Q1159" s="77" t="str">
        <f>VLOOKUP(J1159,'p1'!$B$2:$C$30,2,0)</f>
        <v>NÃO TEM CHAPA</v>
      </c>
      <c r="R1159" s="90"/>
      <c r="S1159" s="90"/>
      <c r="T1159" s="90">
        <f t="shared" si="104"/>
        <v>0</v>
      </c>
      <c r="U1159" s="90"/>
      <c r="V1159" s="90"/>
      <c r="W1159" s="92"/>
      <c r="X1159" s="93" t="str">
        <f t="shared" si="106"/>
        <v/>
      </c>
      <c r="Y1159" s="92"/>
      <c r="Z1159" s="92"/>
      <c r="AA1159" s="13" t="str">
        <f t="shared" si="107"/>
        <v>jan/1900</v>
      </c>
    </row>
    <row r="1160" spans="1:27" x14ac:dyDescent="0.25">
      <c r="A1160" s="89">
        <v>1159</v>
      </c>
      <c r="B1160" s="68"/>
      <c r="C1160" s="40"/>
      <c r="D1160" s="40" t="str">
        <f t="shared" si="105"/>
        <v/>
      </c>
      <c r="E1160" s="47" t="s">
        <v>1163</v>
      </c>
      <c r="F1160" s="42" t="s">
        <v>58</v>
      </c>
      <c r="G1160" s="17" t="s">
        <v>86</v>
      </c>
      <c r="H1160" s="17">
        <v>267</v>
      </c>
      <c r="I1160" s="17" t="str">
        <f t="shared" si="103"/>
        <v>AER 3_PN-267</v>
      </c>
      <c r="J1160" s="18" t="s">
        <v>85</v>
      </c>
      <c r="K1160" s="19"/>
      <c r="L1160" s="19"/>
      <c r="M1160" s="19"/>
      <c r="N1160" s="19"/>
      <c r="O1160" s="19"/>
      <c r="P1160" s="19"/>
      <c r="Q1160" s="77" t="str">
        <f>VLOOKUP(J1160,'p1'!$B$2:$C$30,2,0)</f>
        <v>NÃO TEM CHAPA</v>
      </c>
      <c r="R1160" s="90"/>
      <c r="S1160" s="90"/>
      <c r="T1160" s="90">
        <f t="shared" si="104"/>
        <v>0</v>
      </c>
      <c r="U1160" s="90"/>
      <c r="V1160" s="90"/>
      <c r="W1160" s="92"/>
      <c r="X1160" s="93" t="str">
        <f t="shared" si="106"/>
        <v/>
      </c>
      <c r="Y1160" s="92"/>
      <c r="Z1160" s="92"/>
      <c r="AA1160" s="13" t="str">
        <f t="shared" si="107"/>
        <v>jan/1900</v>
      </c>
    </row>
    <row r="1161" spans="1:27" x14ac:dyDescent="0.25">
      <c r="A1161" s="89">
        <v>1160</v>
      </c>
      <c r="B1161" s="68"/>
      <c r="C1161" s="40"/>
      <c r="D1161" s="40" t="str">
        <f t="shared" si="105"/>
        <v/>
      </c>
      <c r="E1161" s="47" t="s">
        <v>1163</v>
      </c>
      <c r="F1161" s="42" t="s">
        <v>58</v>
      </c>
      <c r="G1161" s="17" t="s">
        <v>86</v>
      </c>
      <c r="H1161" s="17">
        <v>268</v>
      </c>
      <c r="I1161" s="17" t="str">
        <f t="shared" si="103"/>
        <v>AER 3_PN-268</v>
      </c>
      <c r="J1161" s="18" t="s">
        <v>85</v>
      </c>
      <c r="K1161" s="19"/>
      <c r="L1161" s="19"/>
      <c r="M1161" s="19"/>
      <c r="N1161" s="19"/>
      <c r="O1161" s="19"/>
      <c r="P1161" s="19"/>
      <c r="Q1161" s="77" t="str">
        <f>VLOOKUP(J1161,'p1'!$B$2:$C$30,2,0)</f>
        <v>NÃO TEM CHAPA</v>
      </c>
      <c r="R1161" s="90"/>
      <c r="S1161" s="90"/>
      <c r="T1161" s="90">
        <f t="shared" si="104"/>
        <v>0</v>
      </c>
      <c r="U1161" s="90"/>
      <c r="V1161" s="90"/>
      <c r="W1161" s="92"/>
      <c r="X1161" s="93" t="str">
        <f t="shared" si="106"/>
        <v/>
      </c>
      <c r="Y1161" s="92"/>
      <c r="Z1161" s="92"/>
      <c r="AA1161" s="13" t="str">
        <f t="shared" si="107"/>
        <v>jan/1900</v>
      </c>
    </row>
    <row r="1162" spans="1:27" x14ac:dyDescent="0.25">
      <c r="A1162" s="89">
        <v>1161</v>
      </c>
      <c r="B1162" s="68"/>
      <c r="C1162" s="40"/>
      <c r="D1162" s="40" t="str">
        <f t="shared" si="105"/>
        <v/>
      </c>
      <c r="E1162" s="47" t="s">
        <v>1163</v>
      </c>
      <c r="F1162" s="42" t="s">
        <v>58</v>
      </c>
      <c r="G1162" s="17" t="s">
        <v>86</v>
      </c>
      <c r="H1162" s="17">
        <v>269</v>
      </c>
      <c r="I1162" s="17" t="str">
        <f t="shared" si="103"/>
        <v>AER 3_PN-269</v>
      </c>
      <c r="J1162" s="18" t="s">
        <v>85</v>
      </c>
      <c r="K1162" s="19"/>
      <c r="L1162" s="19"/>
      <c r="M1162" s="19"/>
      <c r="N1162" s="19"/>
      <c r="O1162" s="19"/>
      <c r="P1162" s="19"/>
      <c r="Q1162" s="77" t="str">
        <f>VLOOKUP(J1162,'p1'!$B$2:$C$30,2,0)</f>
        <v>NÃO TEM CHAPA</v>
      </c>
      <c r="R1162" s="90"/>
      <c r="S1162" s="90"/>
      <c r="T1162" s="90">
        <f t="shared" si="104"/>
        <v>0</v>
      </c>
      <c r="U1162" s="90"/>
      <c r="V1162" s="90"/>
      <c r="W1162" s="92"/>
      <c r="X1162" s="93" t="str">
        <f t="shared" si="106"/>
        <v/>
      </c>
      <c r="Y1162" s="92"/>
      <c r="Z1162" s="92"/>
      <c r="AA1162" s="13" t="str">
        <f t="shared" si="107"/>
        <v>jan/1900</v>
      </c>
    </row>
    <row r="1163" spans="1:27" x14ac:dyDescent="0.25">
      <c r="A1163" s="89">
        <v>1162</v>
      </c>
      <c r="B1163" s="68"/>
      <c r="C1163" s="40"/>
      <c r="D1163" s="40" t="str">
        <f t="shared" si="105"/>
        <v/>
      </c>
      <c r="E1163" s="47" t="s">
        <v>1163</v>
      </c>
      <c r="F1163" s="42" t="s">
        <v>58</v>
      </c>
      <c r="G1163" s="17" t="s">
        <v>86</v>
      </c>
      <c r="H1163" s="17">
        <v>270</v>
      </c>
      <c r="I1163" s="17" t="str">
        <f t="shared" si="103"/>
        <v>AER 3_PN-270</v>
      </c>
      <c r="J1163" s="18" t="s">
        <v>85</v>
      </c>
      <c r="K1163" s="19"/>
      <c r="L1163" s="19"/>
      <c r="M1163" s="19"/>
      <c r="N1163" s="19"/>
      <c r="O1163" s="19"/>
      <c r="P1163" s="19"/>
      <c r="Q1163" s="77" t="str">
        <f>VLOOKUP(J1163,'p1'!$B$2:$C$30,2,0)</f>
        <v>NÃO TEM CHAPA</v>
      </c>
      <c r="R1163" s="90"/>
      <c r="S1163" s="90"/>
      <c r="T1163" s="90">
        <f t="shared" si="104"/>
        <v>0</v>
      </c>
      <c r="U1163" s="90"/>
      <c r="V1163" s="90"/>
      <c r="W1163" s="92"/>
      <c r="X1163" s="93" t="str">
        <f t="shared" si="106"/>
        <v/>
      </c>
      <c r="Y1163" s="92"/>
      <c r="Z1163" s="92"/>
      <c r="AA1163" s="13" t="str">
        <f t="shared" si="107"/>
        <v>jan/1900</v>
      </c>
    </row>
    <row r="1164" spans="1:27" x14ac:dyDescent="0.25">
      <c r="A1164" s="89">
        <v>1163</v>
      </c>
      <c r="B1164" s="68"/>
      <c r="C1164" s="40"/>
      <c r="D1164" s="40" t="str">
        <f t="shared" si="105"/>
        <v/>
      </c>
      <c r="E1164" s="47" t="s">
        <v>1163</v>
      </c>
      <c r="F1164" s="42" t="s">
        <v>58</v>
      </c>
      <c r="G1164" s="17" t="s">
        <v>86</v>
      </c>
      <c r="H1164" s="17">
        <v>271</v>
      </c>
      <c r="I1164" s="17" t="str">
        <f t="shared" si="103"/>
        <v>AER 3_PN-271</v>
      </c>
      <c r="J1164" s="18" t="s">
        <v>85</v>
      </c>
      <c r="K1164" s="19"/>
      <c r="L1164" s="19"/>
      <c r="M1164" s="19"/>
      <c r="N1164" s="19"/>
      <c r="O1164" s="19"/>
      <c r="P1164" s="19"/>
      <c r="Q1164" s="77" t="str">
        <f>VLOOKUP(J1164,'p1'!$B$2:$C$30,2,0)</f>
        <v>NÃO TEM CHAPA</v>
      </c>
      <c r="R1164" s="90"/>
      <c r="S1164" s="90"/>
      <c r="T1164" s="90">
        <f t="shared" si="104"/>
        <v>0</v>
      </c>
      <c r="U1164" s="90"/>
      <c r="V1164" s="90"/>
      <c r="W1164" s="92"/>
      <c r="X1164" s="93" t="str">
        <f t="shared" si="106"/>
        <v/>
      </c>
      <c r="Y1164" s="92"/>
      <c r="Z1164" s="92"/>
      <c r="AA1164" s="13" t="str">
        <f t="shared" si="107"/>
        <v>jan/1900</v>
      </c>
    </row>
    <row r="1165" spans="1:27" x14ac:dyDescent="0.25">
      <c r="A1165" s="89">
        <v>1164</v>
      </c>
      <c r="B1165" s="68"/>
      <c r="C1165" s="40"/>
      <c r="D1165" s="40" t="str">
        <f t="shared" si="105"/>
        <v/>
      </c>
      <c r="E1165" s="47" t="s">
        <v>1163</v>
      </c>
      <c r="F1165" s="42" t="s">
        <v>58</v>
      </c>
      <c r="G1165" s="17" t="s">
        <v>86</v>
      </c>
      <c r="H1165" s="17">
        <v>272</v>
      </c>
      <c r="I1165" s="17" t="str">
        <f t="shared" si="103"/>
        <v>AER 3_PN-272</v>
      </c>
      <c r="J1165" s="18" t="s">
        <v>85</v>
      </c>
      <c r="K1165" s="19"/>
      <c r="L1165" s="19"/>
      <c r="M1165" s="19"/>
      <c r="N1165" s="19"/>
      <c r="O1165" s="19"/>
      <c r="P1165" s="19"/>
      <c r="Q1165" s="77" t="str">
        <f>VLOOKUP(J1165,'p1'!$B$2:$C$30,2,0)</f>
        <v>NÃO TEM CHAPA</v>
      </c>
      <c r="R1165" s="90"/>
      <c r="S1165" s="90"/>
      <c r="T1165" s="90">
        <f t="shared" si="104"/>
        <v>0</v>
      </c>
      <c r="U1165" s="90"/>
      <c r="V1165" s="90"/>
      <c r="W1165" s="92"/>
      <c r="X1165" s="93" t="str">
        <f t="shared" si="106"/>
        <v/>
      </c>
      <c r="Y1165" s="92"/>
      <c r="Z1165" s="92"/>
      <c r="AA1165" s="13" t="str">
        <f t="shared" si="107"/>
        <v>jan/1900</v>
      </c>
    </row>
    <row r="1166" spans="1:27" x14ac:dyDescent="0.25">
      <c r="A1166" s="89">
        <v>1165</v>
      </c>
      <c r="B1166" s="68"/>
      <c r="C1166" s="40"/>
      <c r="D1166" s="40" t="str">
        <f t="shared" si="105"/>
        <v/>
      </c>
      <c r="E1166" s="47" t="s">
        <v>1163</v>
      </c>
      <c r="F1166" s="42" t="s">
        <v>58</v>
      </c>
      <c r="G1166" s="17" t="s">
        <v>86</v>
      </c>
      <c r="H1166" s="17">
        <v>273</v>
      </c>
      <c r="I1166" s="17" t="str">
        <f t="shared" si="103"/>
        <v>AER 3_PN-273</v>
      </c>
      <c r="J1166" s="18" t="s">
        <v>85</v>
      </c>
      <c r="K1166" s="19"/>
      <c r="L1166" s="19"/>
      <c r="M1166" s="19"/>
      <c r="N1166" s="19"/>
      <c r="O1166" s="19"/>
      <c r="P1166" s="19"/>
      <c r="Q1166" s="77" t="str">
        <f>VLOOKUP(J1166,'p1'!$B$2:$C$30,2,0)</f>
        <v>NÃO TEM CHAPA</v>
      </c>
      <c r="R1166" s="90"/>
      <c r="S1166" s="90"/>
      <c r="T1166" s="90">
        <f t="shared" si="104"/>
        <v>0</v>
      </c>
      <c r="U1166" s="90"/>
      <c r="V1166" s="90"/>
      <c r="W1166" s="92"/>
      <c r="X1166" s="93" t="str">
        <f t="shared" si="106"/>
        <v/>
      </c>
      <c r="Y1166" s="92"/>
      <c r="Z1166" s="92"/>
      <c r="AA1166" s="13" t="str">
        <f t="shared" si="107"/>
        <v>jan/1900</v>
      </c>
    </row>
    <row r="1167" spans="1:27" x14ac:dyDescent="0.25">
      <c r="A1167" s="89">
        <v>1166</v>
      </c>
      <c r="B1167" s="68"/>
      <c r="C1167" s="40"/>
      <c r="D1167" s="40" t="str">
        <f t="shared" si="105"/>
        <v/>
      </c>
      <c r="E1167" s="47" t="s">
        <v>1163</v>
      </c>
      <c r="F1167" s="42" t="s">
        <v>58</v>
      </c>
      <c r="G1167" s="17" t="s">
        <v>86</v>
      </c>
      <c r="H1167" s="17">
        <v>274</v>
      </c>
      <c r="I1167" s="17" t="str">
        <f t="shared" si="103"/>
        <v>AER 3_PN-274</v>
      </c>
      <c r="J1167" s="18" t="s">
        <v>85</v>
      </c>
      <c r="K1167" s="19"/>
      <c r="L1167" s="19"/>
      <c r="M1167" s="19"/>
      <c r="N1167" s="19"/>
      <c r="O1167" s="19"/>
      <c r="P1167" s="19"/>
      <c r="Q1167" s="77" t="str">
        <f>VLOOKUP(J1167,'p1'!$B$2:$C$30,2,0)</f>
        <v>NÃO TEM CHAPA</v>
      </c>
      <c r="R1167" s="90"/>
      <c r="S1167" s="90"/>
      <c r="T1167" s="90">
        <f t="shared" si="104"/>
        <v>0</v>
      </c>
      <c r="U1167" s="90"/>
      <c r="V1167" s="90"/>
      <c r="W1167" s="92"/>
      <c r="X1167" s="93" t="str">
        <f t="shared" si="106"/>
        <v/>
      </c>
      <c r="Y1167" s="92"/>
      <c r="Z1167" s="92"/>
      <c r="AA1167" s="13" t="str">
        <f t="shared" si="107"/>
        <v>jan/1900</v>
      </c>
    </row>
    <row r="1168" spans="1:27" x14ac:dyDescent="0.25">
      <c r="A1168" s="89">
        <v>1167</v>
      </c>
      <c r="B1168" s="68"/>
      <c r="C1168" s="40"/>
      <c r="D1168" s="40" t="str">
        <f t="shared" si="105"/>
        <v/>
      </c>
      <c r="E1168" s="47" t="s">
        <v>1163</v>
      </c>
      <c r="F1168" s="42" t="s">
        <v>58</v>
      </c>
      <c r="G1168" s="17" t="s">
        <v>86</v>
      </c>
      <c r="H1168" s="17">
        <v>275</v>
      </c>
      <c r="I1168" s="17" t="str">
        <f t="shared" si="103"/>
        <v>AER 3_PN-275</v>
      </c>
      <c r="J1168" s="18" t="s">
        <v>85</v>
      </c>
      <c r="K1168" s="19"/>
      <c r="L1168" s="19"/>
      <c r="M1168" s="19"/>
      <c r="N1168" s="19"/>
      <c r="O1168" s="19"/>
      <c r="P1168" s="19"/>
      <c r="Q1168" s="77" t="str">
        <f>VLOOKUP(J1168,'p1'!$B$2:$C$30,2,0)</f>
        <v>NÃO TEM CHAPA</v>
      </c>
      <c r="R1168" s="90"/>
      <c r="S1168" s="90"/>
      <c r="T1168" s="90">
        <f t="shared" si="104"/>
        <v>0</v>
      </c>
      <c r="U1168" s="90"/>
      <c r="V1168" s="90"/>
      <c r="W1168" s="92"/>
      <c r="X1168" s="93" t="str">
        <f t="shared" si="106"/>
        <v/>
      </c>
      <c r="Y1168" s="92"/>
      <c r="Z1168" s="92"/>
      <c r="AA1168" s="13" t="str">
        <f t="shared" si="107"/>
        <v>jan/1900</v>
      </c>
    </row>
    <row r="1169" spans="1:27" x14ac:dyDescent="0.25">
      <c r="A1169" s="89">
        <v>1168</v>
      </c>
      <c r="B1169" s="68"/>
      <c r="C1169" s="40"/>
      <c r="D1169" s="40" t="str">
        <f t="shared" si="105"/>
        <v/>
      </c>
      <c r="E1169" s="47" t="s">
        <v>1163</v>
      </c>
      <c r="F1169" s="42" t="s">
        <v>58</v>
      </c>
      <c r="G1169" s="17" t="s">
        <v>86</v>
      </c>
      <c r="H1169" s="17">
        <v>276</v>
      </c>
      <c r="I1169" s="17" t="str">
        <f t="shared" si="103"/>
        <v>AER 3_PN-276</v>
      </c>
      <c r="J1169" s="18" t="s">
        <v>85</v>
      </c>
      <c r="K1169" s="19"/>
      <c r="L1169" s="19"/>
      <c r="M1169" s="19"/>
      <c r="N1169" s="19"/>
      <c r="O1169" s="19"/>
      <c r="P1169" s="19"/>
      <c r="Q1169" s="77" t="str">
        <f>VLOOKUP(J1169,'p1'!$B$2:$C$30,2,0)</f>
        <v>NÃO TEM CHAPA</v>
      </c>
      <c r="R1169" s="90"/>
      <c r="S1169" s="90"/>
      <c r="T1169" s="90">
        <f t="shared" si="104"/>
        <v>0</v>
      </c>
      <c r="U1169" s="90"/>
      <c r="V1169" s="90"/>
      <c r="W1169" s="92"/>
      <c r="X1169" s="93" t="str">
        <f t="shared" si="106"/>
        <v/>
      </c>
      <c r="Y1169" s="92"/>
      <c r="Z1169" s="92"/>
      <c r="AA1169" s="13" t="str">
        <f t="shared" si="107"/>
        <v>jan/1900</v>
      </c>
    </row>
    <row r="1170" spans="1:27" x14ac:dyDescent="0.25">
      <c r="A1170" s="89">
        <v>1169</v>
      </c>
      <c r="B1170" s="68"/>
      <c r="C1170" s="40"/>
      <c r="D1170" s="40" t="str">
        <f t="shared" si="105"/>
        <v/>
      </c>
      <c r="E1170" s="47" t="s">
        <v>1163</v>
      </c>
      <c r="F1170" s="42" t="s">
        <v>58</v>
      </c>
      <c r="G1170" s="17" t="s">
        <v>86</v>
      </c>
      <c r="H1170" s="17">
        <v>277</v>
      </c>
      <c r="I1170" s="17" t="str">
        <f t="shared" si="103"/>
        <v>AER 3_PN-277</v>
      </c>
      <c r="J1170" s="18" t="s">
        <v>85</v>
      </c>
      <c r="K1170" s="19"/>
      <c r="L1170" s="19"/>
      <c r="M1170" s="19"/>
      <c r="N1170" s="19"/>
      <c r="O1170" s="19"/>
      <c r="P1170" s="19"/>
      <c r="Q1170" s="77" t="str">
        <f>VLOOKUP(J1170,'p1'!$B$2:$C$30,2,0)</f>
        <v>NÃO TEM CHAPA</v>
      </c>
      <c r="R1170" s="90"/>
      <c r="S1170" s="90"/>
      <c r="T1170" s="90">
        <f t="shared" si="104"/>
        <v>0</v>
      </c>
      <c r="U1170" s="90"/>
      <c r="V1170" s="90"/>
      <c r="W1170" s="92"/>
      <c r="X1170" s="93" t="str">
        <f t="shared" si="106"/>
        <v/>
      </c>
      <c r="Y1170" s="92"/>
      <c r="Z1170" s="92"/>
      <c r="AA1170" s="13" t="str">
        <f t="shared" si="107"/>
        <v>jan/1900</v>
      </c>
    </row>
    <row r="1171" spans="1:27" x14ac:dyDescent="0.25">
      <c r="A1171" s="89">
        <v>1170</v>
      </c>
      <c r="B1171" s="68"/>
      <c r="C1171" s="40"/>
      <c r="D1171" s="40" t="str">
        <f t="shared" si="105"/>
        <v/>
      </c>
      <c r="E1171" s="47" t="s">
        <v>1163</v>
      </c>
      <c r="F1171" s="42" t="s">
        <v>58</v>
      </c>
      <c r="G1171" s="17" t="s">
        <v>86</v>
      </c>
      <c r="H1171" s="17">
        <v>278</v>
      </c>
      <c r="I1171" s="17" t="str">
        <f t="shared" si="103"/>
        <v>AER 3_PN-278</v>
      </c>
      <c r="J1171" s="18" t="s">
        <v>85</v>
      </c>
      <c r="K1171" s="19"/>
      <c r="L1171" s="19"/>
      <c r="M1171" s="19"/>
      <c r="N1171" s="19"/>
      <c r="O1171" s="19"/>
      <c r="P1171" s="19"/>
      <c r="Q1171" s="77" t="str">
        <f>VLOOKUP(J1171,'p1'!$B$2:$C$30,2,0)</f>
        <v>NÃO TEM CHAPA</v>
      </c>
      <c r="R1171" s="90"/>
      <c r="S1171" s="90"/>
      <c r="T1171" s="90">
        <f t="shared" si="104"/>
        <v>0</v>
      </c>
      <c r="U1171" s="90"/>
      <c r="V1171" s="90"/>
      <c r="W1171" s="92"/>
      <c r="X1171" s="93" t="str">
        <f t="shared" si="106"/>
        <v/>
      </c>
      <c r="Y1171" s="92"/>
      <c r="Z1171" s="92"/>
      <c r="AA1171" s="13" t="str">
        <f t="shared" si="107"/>
        <v>jan/1900</v>
      </c>
    </row>
    <row r="1172" spans="1:27" x14ac:dyDescent="0.25">
      <c r="A1172" s="89">
        <v>1171</v>
      </c>
      <c r="B1172" s="68"/>
      <c r="C1172" s="40"/>
      <c r="D1172" s="40" t="str">
        <f t="shared" si="105"/>
        <v/>
      </c>
      <c r="E1172" s="47" t="s">
        <v>1163</v>
      </c>
      <c r="F1172" s="42" t="s">
        <v>58</v>
      </c>
      <c r="G1172" s="17" t="s">
        <v>86</v>
      </c>
      <c r="H1172" s="17">
        <v>279</v>
      </c>
      <c r="I1172" s="17" t="str">
        <f t="shared" si="103"/>
        <v>AER 3_PN-279</v>
      </c>
      <c r="J1172" s="18" t="s">
        <v>85</v>
      </c>
      <c r="K1172" s="19"/>
      <c r="L1172" s="19"/>
      <c r="M1172" s="19"/>
      <c r="N1172" s="19"/>
      <c r="O1172" s="19"/>
      <c r="P1172" s="19"/>
      <c r="Q1172" s="77" t="str">
        <f>VLOOKUP(J1172,'p1'!$B$2:$C$30,2,0)</f>
        <v>NÃO TEM CHAPA</v>
      </c>
      <c r="R1172" s="90"/>
      <c r="S1172" s="90"/>
      <c r="T1172" s="90">
        <f t="shared" si="104"/>
        <v>0</v>
      </c>
      <c r="U1172" s="90"/>
      <c r="V1172" s="90"/>
      <c r="W1172" s="92"/>
      <c r="X1172" s="93" t="str">
        <f t="shared" si="106"/>
        <v/>
      </c>
      <c r="Y1172" s="92"/>
      <c r="Z1172" s="92"/>
      <c r="AA1172" s="13" t="str">
        <f t="shared" si="107"/>
        <v>jan/1900</v>
      </c>
    </row>
    <row r="1173" spans="1:27" x14ac:dyDescent="0.25">
      <c r="A1173" s="89">
        <v>1172</v>
      </c>
      <c r="B1173" s="68"/>
      <c r="C1173" s="40"/>
      <c r="D1173" s="40" t="str">
        <f t="shared" si="105"/>
        <v/>
      </c>
      <c r="E1173" s="47" t="s">
        <v>1163</v>
      </c>
      <c r="F1173" s="42" t="s">
        <v>58</v>
      </c>
      <c r="G1173" s="17" t="s">
        <v>86</v>
      </c>
      <c r="H1173" s="17">
        <v>280</v>
      </c>
      <c r="I1173" s="17" t="str">
        <f t="shared" si="103"/>
        <v>AER 3_PN-280</v>
      </c>
      <c r="J1173" s="18" t="s">
        <v>85</v>
      </c>
      <c r="K1173" s="19"/>
      <c r="L1173" s="19"/>
      <c r="M1173" s="19"/>
      <c r="N1173" s="19"/>
      <c r="O1173" s="19"/>
      <c r="P1173" s="19"/>
      <c r="Q1173" s="77" t="str">
        <f>VLOOKUP(J1173,'p1'!$B$2:$C$30,2,0)</f>
        <v>NÃO TEM CHAPA</v>
      </c>
      <c r="R1173" s="90"/>
      <c r="S1173" s="90"/>
      <c r="T1173" s="90">
        <f t="shared" si="104"/>
        <v>0</v>
      </c>
      <c r="U1173" s="90"/>
      <c r="V1173" s="90"/>
      <c r="W1173" s="92"/>
      <c r="X1173" s="93" t="str">
        <f t="shared" si="106"/>
        <v/>
      </c>
      <c r="Y1173" s="92"/>
      <c r="Z1173" s="92"/>
      <c r="AA1173" s="13" t="str">
        <f t="shared" si="107"/>
        <v>jan/1900</v>
      </c>
    </row>
    <row r="1174" spans="1:27" x14ac:dyDescent="0.25">
      <c r="A1174" s="89">
        <v>1173</v>
      </c>
      <c r="B1174" s="68"/>
      <c r="C1174" s="40"/>
      <c r="D1174" s="40" t="str">
        <f t="shared" si="105"/>
        <v/>
      </c>
      <c r="E1174" s="47" t="s">
        <v>1163</v>
      </c>
      <c r="F1174" s="42" t="s">
        <v>58</v>
      </c>
      <c r="G1174" s="17" t="s">
        <v>86</v>
      </c>
      <c r="H1174" s="17">
        <v>281</v>
      </c>
      <c r="I1174" s="17" t="str">
        <f t="shared" si="103"/>
        <v>AER 3_PN-281</v>
      </c>
      <c r="J1174" s="18" t="s">
        <v>85</v>
      </c>
      <c r="K1174" s="19"/>
      <c r="L1174" s="19"/>
      <c r="M1174" s="19"/>
      <c r="N1174" s="19"/>
      <c r="O1174" s="19"/>
      <c r="P1174" s="19"/>
      <c r="Q1174" s="77" t="str">
        <f>VLOOKUP(J1174,'p1'!$B$2:$C$30,2,0)</f>
        <v>NÃO TEM CHAPA</v>
      </c>
      <c r="R1174" s="90"/>
      <c r="S1174" s="90"/>
      <c r="T1174" s="90">
        <f t="shared" si="104"/>
        <v>0</v>
      </c>
      <c r="U1174" s="90"/>
      <c r="V1174" s="90"/>
      <c r="W1174" s="92"/>
      <c r="X1174" s="93" t="str">
        <f t="shared" si="106"/>
        <v/>
      </c>
      <c r="Y1174" s="92"/>
      <c r="Z1174" s="92"/>
      <c r="AA1174" s="13" t="str">
        <f t="shared" si="107"/>
        <v>jan/1900</v>
      </c>
    </row>
    <row r="1175" spans="1:27" x14ac:dyDescent="0.25">
      <c r="A1175" s="89">
        <v>1174</v>
      </c>
      <c r="B1175" s="68"/>
      <c r="C1175" s="40"/>
      <c r="D1175" s="40" t="str">
        <f t="shared" si="105"/>
        <v/>
      </c>
      <c r="E1175" s="47" t="s">
        <v>1163</v>
      </c>
      <c r="F1175" s="42" t="s">
        <v>58</v>
      </c>
      <c r="G1175" s="17" t="s">
        <v>86</v>
      </c>
      <c r="H1175" s="17">
        <v>282</v>
      </c>
      <c r="I1175" s="17" t="str">
        <f t="shared" si="103"/>
        <v>AER 3_PN-282</v>
      </c>
      <c r="J1175" s="18" t="s">
        <v>85</v>
      </c>
      <c r="K1175" s="19"/>
      <c r="L1175" s="19"/>
      <c r="M1175" s="19"/>
      <c r="N1175" s="19"/>
      <c r="O1175" s="19"/>
      <c r="P1175" s="19"/>
      <c r="Q1175" s="77" t="str">
        <f>VLOOKUP(J1175,'p1'!$B$2:$C$30,2,0)</f>
        <v>NÃO TEM CHAPA</v>
      </c>
      <c r="R1175" s="90"/>
      <c r="S1175" s="90"/>
      <c r="T1175" s="90">
        <f t="shared" si="104"/>
        <v>0</v>
      </c>
      <c r="U1175" s="90"/>
      <c r="V1175" s="90"/>
      <c r="W1175" s="92"/>
      <c r="X1175" s="93" t="str">
        <f t="shared" si="106"/>
        <v/>
      </c>
      <c r="Y1175" s="92"/>
      <c r="Z1175" s="92"/>
      <c r="AA1175" s="13" t="str">
        <f t="shared" si="107"/>
        <v>jan/1900</v>
      </c>
    </row>
    <row r="1176" spans="1:27" x14ac:dyDescent="0.25">
      <c r="A1176" s="89">
        <v>1175</v>
      </c>
      <c r="B1176" s="498" t="s">
        <v>1224</v>
      </c>
      <c r="C1176" s="40">
        <v>169</v>
      </c>
      <c r="E1176" s="40" t="s">
        <v>105</v>
      </c>
      <c r="I1176" s="40" t="s">
        <v>1222</v>
      </c>
      <c r="J1176" s="40" t="s">
        <v>85</v>
      </c>
      <c r="Q1176" s="19" t="str">
        <f>VLOOKUP(J1176,'p1'!$B$2:$C$30,2,0)</f>
        <v>NÃO TEM CHAPA</v>
      </c>
      <c r="R1176" s="90"/>
      <c r="S1176" s="90"/>
      <c r="U1176" s="90"/>
      <c r="V1176" s="90"/>
      <c r="W1176" s="92"/>
      <c r="Y1176" s="92"/>
      <c r="Z1176" s="92"/>
      <c r="AA1176" s="13" t="str">
        <f t="shared" si="107"/>
        <v>jan/1900</v>
      </c>
    </row>
    <row r="1177" spans="1:27" x14ac:dyDescent="0.25">
      <c r="A1177" s="89">
        <v>1176</v>
      </c>
      <c r="B1177" s="498" t="s">
        <v>1224</v>
      </c>
      <c r="C1177" s="40">
        <v>169</v>
      </c>
      <c r="E1177" s="40" t="s">
        <v>105</v>
      </c>
      <c r="I1177" s="40" t="s">
        <v>1223</v>
      </c>
      <c r="J1177" s="40" t="s">
        <v>85</v>
      </c>
      <c r="Q1177" s="19" t="str">
        <f>VLOOKUP(J1177,'p1'!$B$2:$C$30,2,0)</f>
        <v>NÃO TEM CHAPA</v>
      </c>
      <c r="R1177" s="90"/>
      <c r="S1177" s="90"/>
      <c r="U1177" s="90"/>
      <c r="V1177" s="90"/>
      <c r="W1177" s="92"/>
      <c r="Y1177" s="92"/>
      <c r="Z1177" s="92"/>
      <c r="AA1177" s="13" t="str">
        <f t="shared" si="107"/>
        <v>jan/1900</v>
      </c>
    </row>
    <row r="1178" spans="1:27" x14ac:dyDescent="0.25">
      <c r="A1178" s="89">
        <v>1177</v>
      </c>
    </row>
    <row r="1179" spans="1:27" x14ac:dyDescent="0.25">
      <c r="A1179" s="89">
        <v>1178</v>
      </c>
    </row>
    <row r="1180" spans="1:27" x14ac:dyDescent="0.25">
      <c r="T1180" s="92">
        <v>2604</v>
      </c>
    </row>
    <row r="1182" spans="1:27" x14ac:dyDescent="0.25">
      <c r="R1182" s="14" t="s">
        <v>1176</v>
      </c>
    </row>
    <row r="1189" spans="22:22" x14ac:dyDescent="0.25">
      <c r="V1189" s="14" t="s">
        <v>1055</v>
      </c>
    </row>
  </sheetData>
  <autoFilter ref="A1:Y1180" xr:uid="{52C19134-FFD1-4693-B9A4-7A2CD156AE45}"/>
  <phoneticPr fontId="1" type="noConversion"/>
  <conditionalFormatting sqref="K2:Q1175">
    <cfRule type="cellIs" dxfId="8" priority="9" operator="equal">
      <formula>0</formula>
    </cfRule>
  </conditionalFormatting>
  <conditionalFormatting sqref="Q1176">
    <cfRule type="cellIs" dxfId="1" priority="2" operator="equal">
      <formula>0</formula>
    </cfRule>
  </conditionalFormatting>
  <conditionalFormatting sqref="Q1177">
    <cfRule type="cellIs" dxfId="0" priority="1" operator="equal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45" orientation="landscape" r:id="rId1"/>
  <rowBreaks count="1" manualBreakCount="1">
    <brk id="816" max="2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B3E84B-A98A-4B89-A2EB-6895ED9B08CC}">
          <x14:formula1>
            <xm:f>'p1'!$B$2:$B$30</xm:f>
          </x14:formula1>
          <xm:sqref>J2:J1175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DA88-B26E-480D-8761-1E695B517EA6}">
  <dimension ref="A1:F28"/>
  <sheetViews>
    <sheetView topLeftCell="A2" workbookViewId="0">
      <selection activeCell="J23" sqref="J23"/>
    </sheetView>
  </sheetViews>
  <sheetFormatPr defaultRowHeight="15" x14ac:dyDescent="0.25"/>
  <cols>
    <col min="2" max="2" width="21.5703125" customWidth="1"/>
    <col min="4" max="4" width="24.7109375" style="14" customWidth="1"/>
    <col min="5" max="5" width="24.28515625" customWidth="1"/>
    <col min="6" max="6" width="26.85546875" customWidth="1"/>
  </cols>
  <sheetData>
    <row r="1" spans="1:6" ht="39.75" customHeight="1" x14ac:dyDescent="0.25">
      <c r="A1" s="266" t="s">
        <v>104</v>
      </c>
      <c r="B1" s="266"/>
      <c r="C1" s="266"/>
      <c r="D1" s="266"/>
      <c r="E1" s="266"/>
      <c r="F1" s="266"/>
    </row>
    <row r="2" spans="1:6" ht="15.75" x14ac:dyDescent="0.25">
      <c r="B2" s="202" t="s">
        <v>1166</v>
      </c>
      <c r="C2" s="202" t="s">
        <v>1170</v>
      </c>
      <c r="D2" s="202" t="s">
        <v>1167</v>
      </c>
      <c r="E2" s="202" t="s">
        <v>1168</v>
      </c>
      <c r="F2" s="202" t="s">
        <v>1169</v>
      </c>
    </row>
    <row r="3" spans="1:6" ht="19.5" x14ac:dyDescent="0.25">
      <c r="B3" s="85">
        <f>COUNTIF(' CADASTRO'!$F$746:$F$893,C3)</f>
        <v>6</v>
      </c>
      <c r="C3" s="85" t="s">
        <v>61</v>
      </c>
      <c r="D3" s="195">
        <f>SUMIF(' CADASTRO'!$F$746:$F$893,'CALCULOS '!C3,' CADASTRO'!$D$746:$D$893)</f>
        <v>6</v>
      </c>
      <c r="E3" s="196">
        <f>SUMIF(' CADASTRO'!$F$746:$F$893,C3,' CADASTRO'!$T$746:$T$893)</f>
        <v>1</v>
      </c>
      <c r="F3" s="197">
        <f>SUMIF(' CADASTRO'!$F$746:$F$893,C3,' CADASTRO'!$X$746:$X$893)</f>
        <v>0</v>
      </c>
    </row>
    <row r="4" spans="1:6" ht="19.5" x14ac:dyDescent="0.25">
      <c r="B4" s="85">
        <f>COUNTIF(' CADASTRO'!$F$746:$F$893,C4)</f>
        <v>104</v>
      </c>
      <c r="C4" s="85" t="s">
        <v>58</v>
      </c>
      <c r="D4" s="195">
        <f>SUMIF(' CADASTRO'!$F$746:$F$893,'CALCULOS '!C4,' CADASTRO'!$D$746:$D$893)</f>
        <v>104</v>
      </c>
      <c r="E4" s="196">
        <f>SUMIF(' CADASTRO'!$F$746:$F$893,C4,' CADASTRO'!$T$746:$T$893)</f>
        <v>57</v>
      </c>
      <c r="F4" s="197">
        <f>SUMIF(' CADASTRO'!$F$746:$F$893,C4,' CADASTRO'!$X$746:$X$893)</f>
        <v>52</v>
      </c>
    </row>
    <row r="5" spans="1:6" ht="19.5" x14ac:dyDescent="0.25">
      <c r="B5" s="85">
        <f>COUNTIF(' CADASTRO'!$F$746:$F$893,C5)</f>
        <v>12</v>
      </c>
      <c r="C5" s="85" t="s">
        <v>60</v>
      </c>
      <c r="D5" s="195">
        <f>SUMIF(' CADASTRO'!$F$746:$F$893,'CALCULOS '!C5,' CADASTRO'!$D$746:$D$893)</f>
        <v>12</v>
      </c>
      <c r="E5" s="196">
        <f>SUMIF(' CADASTRO'!$F$746:$F$893,C5,' CADASTRO'!$T$746:$T$893)</f>
        <v>0</v>
      </c>
      <c r="F5" s="197">
        <f>SUMIF(' CADASTRO'!$F$746:$F$893,C5,' CADASTRO'!$X$746:$X$893)</f>
        <v>0</v>
      </c>
    </row>
    <row r="6" spans="1:6" ht="19.5" x14ac:dyDescent="0.25">
      <c r="B6" s="85">
        <f>COUNTIF(' CADASTRO'!$F$746:$F$893,C6)</f>
        <v>1</v>
      </c>
      <c r="C6" s="203" t="s">
        <v>175</v>
      </c>
      <c r="D6" s="195">
        <f>SUMIF(' CADASTRO'!$F$746:$F$893,'CALCULOS '!C6,' CADASTRO'!$D$746:$D$893)</f>
        <v>1</v>
      </c>
      <c r="E6" s="196">
        <f>SUMIF(' CADASTRO'!$F$746:$F$893,C6,' CADASTRO'!$T$746:$T$893)</f>
        <v>0</v>
      </c>
      <c r="F6" s="197">
        <f>SUMIF(' CADASTRO'!$F$746:$F$893,C6,' CADASTRO'!$X$746:$X$893)</f>
        <v>0</v>
      </c>
    </row>
    <row r="7" spans="1:6" ht="19.5" x14ac:dyDescent="0.25">
      <c r="B7" s="85">
        <f>COUNTIF(' CADASTRO'!$F$746:$F$893,C7)</f>
        <v>3</v>
      </c>
      <c r="C7" s="203" t="s">
        <v>176</v>
      </c>
      <c r="D7" s="195">
        <f>SUMIF(' CADASTRO'!$F$746:$F$893,'CALCULOS '!C7,' CADASTRO'!$D$746:$D$893)</f>
        <v>3</v>
      </c>
      <c r="E7" s="196">
        <f>SUMIF(' CADASTRO'!$F$746:$F$893,C7,' CADASTRO'!$T$746:$T$893)</f>
        <v>0</v>
      </c>
      <c r="F7" s="197">
        <f>SUMIF(' CADASTRO'!$F$746:$F$893,C7,' CADASTRO'!$X$746:$X$893)</f>
        <v>0</v>
      </c>
    </row>
    <row r="8" spans="1:6" ht="19.5" x14ac:dyDescent="0.25">
      <c r="B8" s="85">
        <f>COUNTIF(' CADASTRO'!$F$746:$F$893,C8)</f>
        <v>0</v>
      </c>
      <c r="C8" s="204" t="s">
        <v>172</v>
      </c>
      <c r="D8" s="195">
        <f>SUMIF(' CADASTRO'!$F$746:$F$893,'CALCULOS '!C8,' CADASTRO'!$D$746:$D$893)</f>
        <v>0</v>
      </c>
      <c r="E8" s="196">
        <f>SUMIF(' CADASTRO'!$F$746:$F$893,C8,' CADASTRO'!$T$746:$T$893)</f>
        <v>0</v>
      </c>
      <c r="F8" s="197">
        <f>SUMIF(' CADASTRO'!$F$746:$F$893,C8,' CADASTRO'!$X$746:$X$893)</f>
        <v>0</v>
      </c>
    </row>
    <row r="9" spans="1:6" ht="19.5" x14ac:dyDescent="0.25">
      <c r="B9" s="85">
        <f>COUNTIF(' CADASTRO'!$F$746:$F$893,C9)</f>
        <v>0</v>
      </c>
      <c r="C9" s="204" t="s">
        <v>179</v>
      </c>
      <c r="D9" s="195">
        <f>SUMIF(' CADASTRO'!$F$746:$F$893,'CALCULOS '!C9,' CADASTRO'!$D$746:$D$893)</f>
        <v>0</v>
      </c>
      <c r="E9" s="196">
        <f>SUMIF(' CADASTRO'!$F$746:$F$893,C9,' CADASTRO'!$T$746:$T$893)</f>
        <v>0</v>
      </c>
      <c r="F9" s="197">
        <f>SUMIF(' CADASTRO'!$F$746:$F$893,C9,' CADASTRO'!$X$746:$X$893)</f>
        <v>0</v>
      </c>
    </row>
    <row r="10" spans="1:6" ht="19.5" x14ac:dyDescent="0.25">
      <c r="B10" s="85">
        <f>COUNTIF(' CADASTRO'!$F$746:$F$893,C10)</f>
        <v>22</v>
      </c>
      <c r="C10" s="204" t="s">
        <v>123</v>
      </c>
      <c r="D10" s="195">
        <f>SUMIF(' CADASTRO'!$F$746:$F$893,'CALCULOS '!C10,' CADASTRO'!$D$746:$D$893)</f>
        <v>22</v>
      </c>
      <c r="E10" s="196">
        <f>SUMIF(' CADASTRO'!$F$746:$F$893,C10,' CADASTRO'!$T$746:$T$893)</f>
        <v>16</v>
      </c>
      <c r="F10" s="197">
        <f>SUMIF(' CADASTRO'!$F$746:$F$893,C10,' CADASTRO'!$X$746:$X$893)</f>
        <v>12</v>
      </c>
    </row>
    <row r="11" spans="1:6" ht="19.5" x14ac:dyDescent="0.25">
      <c r="A11" s="198" t="s">
        <v>230</v>
      </c>
      <c r="B11" s="199">
        <f>SUM(B3:B10)</f>
        <v>148</v>
      </c>
      <c r="C11" s="200"/>
      <c r="D11" s="201">
        <f>SUM(D3:D10)</f>
        <v>148</v>
      </c>
      <c r="E11" s="201">
        <f>SUM(E3:E10)</f>
        <v>74</v>
      </c>
      <c r="F11" s="201">
        <f>SUM(F3:F10)</f>
        <v>64</v>
      </c>
    </row>
    <row r="18" spans="1:6" ht="26.25" x14ac:dyDescent="0.25">
      <c r="A18" s="266" t="s">
        <v>1171</v>
      </c>
      <c r="B18" s="266"/>
      <c r="C18" s="266"/>
      <c r="D18" s="266"/>
      <c r="E18" s="266"/>
      <c r="F18" s="266"/>
    </row>
    <row r="19" spans="1:6" ht="15.75" x14ac:dyDescent="0.25">
      <c r="B19" s="202" t="s">
        <v>1166</v>
      </c>
      <c r="C19" s="202" t="s">
        <v>1170</v>
      </c>
      <c r="D19" s="202" t="s">
        <v>1167</v>
      </c>
      <c r="E19" s="202" t="s">
        <v>1168</v>
      </c>
      <c r="F19" s="202" t="s">
        <v>1169</v>
      </c>
    </row>
    <row r="20" spans="1:6" ht="19.5" x14ac:dyDescent="0.25">
      <c r="B20" s="85">
        <f>COUNTIF(' CADASTRO'!$F$894:$F$1175,C20)</f>
        <v>6</v>
      </c>
      <c r="C20" s="85" t="s">
        <v>61</v>
      </c>
      <c r="D20" s="195">
        <f>SUMIF(' CADASTRO'!$F$894:$F$1175,'CALCULOS '!C20,' CADASTRO'!$D$894:$D$1175)</f>
        <v>5</v>
      </c>
      <c r="E20" s="196">
        <f>SUMIF(' CADASTRO'!$F$894:$F$1175,C20,' CADASTRO'!$T$894:$T$1175)</f>
        <v>4</v>
      </c>
      <c r="F20" s="197">
        <f>SUMIF(' CADASTRO'!$F$894:$F$1175,C20,' CADASTRO'!$X$894:$X$1175)</f>
        <v>4</v>
      </c>
    </row>
    <row r="21" spans="1:6" ht="19.5" x14ac:dyDescent="0.25">
      <c r="B21" s="85">
        <f>COUNTIF(' CADASTRO'!$F$894:$F$1175,C21)</f>
        <v>229</v>
      </c>
      <c r="C21" s="85" t="s">
        <v>58</v>
      </c>
      <c r="D21" s="195">
        <f>SUMIF(' CADASTRO'!$F$894:$F$1175,'CALCULOS '!C21,' CADASTRO'!$D$894:$D$1175)</f>
        <v>129</v>
      </c>
      <c r="E21" s="196">
        <f>SUMIF(' CADASTRO'!$F$894:$F$1175,C21,' CADASTRO'!$T$894:$T$1175)</f>
        <v>102</v>
      </c>
      <c r="F21" s="197">
        <f>SUMIF(' CADASTRO'!$F$894:$F$1175,C21,' CADASTRO'!$X$894:$X$1175)</f>
        <v>100</v>
      </c>
    </row>
    <row r="22" spans="1:6" ht="19.5" x14ac:dyDescent="0.25">
      <c r="B22" s="85">
        <f>COUNTIF(' CADASTRO'!$F$894:$F$1175,C22)</f>
        <v>15</v>
      </c>
      <c r="C22" s="85" t="s">
        <v>60</v>
      </c>
      <c r="D22" s="195">
        <f>SUMIF(' CADASTRO'!$F$894:$F$1175,'CALCULOS '!C22,' CADASTRO'!$D$894:$D$1175)</f>
        <v>10</v>
      </c>
      <c r="E22" s="196">
        <f>SUMIF(' CADASTRO'!$F$894:$F$1175,C22,' CADASTRO'!$T$894:$T$1175)</f>
        <v>7</v>
      </c>
      <c r="F22" s="197">
        <f>SUMIF(' CADASTRO'!$F$894:$F$1175,C22,' CADASTRO'!$X$894:$X$1175)</f>
        <v>7</v>
      </c>
    </row>
    <row r="23" spans="1:6" ht="19.5" x14ac:dyDescent="0.25">
      <c r="B23" s="85">
        <f>COUNTIF(' CADASTRO'!$F$894:$F$1175,C23)</f>
        <v>0</v>
      </c>
      <c r="C23" s="203" t="s">
        <v>175</v>
      </c>
      <c r="D23" s="195">
        <f>SUMIF(' CADASTRO'!$F$894:$F$1175,'CALCULOS '!C23,' CADASTRO'!$D$894:$D$1175)</f>
        <v>0</v>
      </c>
      <c r="E23" s="196">
        <f>SUMIF(' CADASTRO'!$F$894:$F$1175,C23,' CADASTRO'!$T$894:$T$1175)</f>
        <v>0</v>
      </c>
      <c r="F23" s="197">
        <f>SUMIF(' CADASTRO'!$F$894:$F$1175,C23,' CADASTRO'!$X$894:$X$1175)</f>
        <v>0</v>
      </c>
    </row>
    <row r="24" spans="1:6" ht="19.5" x14ac:dyDescent="0.25">
      <c r="B24" s="85">
        <f>COUNTIF(' CADASTRO'!$F$894:$F$1175,C24)</f>
        <v>0</v>
      </c>
      <c r="C24" s="203" t="s">
        <v>176</v>
      </c>
      <c r="D24" s="195">
        <f>SUMIF(' CADASTRO'!$F$894:$F$1175,'CALCULOS '!C24,' CADASTRO'!$D$894:$D$1175)</f>
        <v>0</v>
      </c>
      <c r="E24" s="196">
        <f>SUMIF(' CADASTRO'!$F$894:$F$1175,C24,' CADASTRO'!$T$894:$T$1175)</f>
        <v>0</v>
      </c>
      <c r="F24" s="197">
        <f>SUMIF(' CADASTRO'!$F$894:$F$1175,C24,' CADASTRO'!$X$894:$X$1175)</f>
        <v>0</v>
      </c>
    </row>
    <row r="25" spans="1:6" ht="19.5" x14ac:dyDescent="0.25">
      <c r="B25" s="85">
        <f>COUNTIF(' CADASTRO'!$F$894:$F$1175,C25)</f>
        <v>0</v>
      </c>
      <c r="C25" s="204" t="s">
        <v>172</v>
      </c>
      <c r="D25" s="195">
        <f>SUMIF(' CADASTRO'!$F$894:$F$1175,'CALCULOS '!C25,' CADASTRO'!$D$894:$D$1175)</f>
        <v>0</v>
      </c>
      <c r="E25" s="196">
        <f>SUMIF(' CADASTRO'!$F$894:$F$1175,C25,' CADASTRO'!$T$894:$T$1175)</f>
        <v>0</v>
      </c>
      <c r="F25" s="197">
        <f>SUMIF(' CADASTRO'!$F$894:$F$1175,C25,' CADASTRO'!$X$894:$X$1175)</f>
        <v>0</v>
      </c>
    </row>
    <row r="26" spans="1:6" ht="19.5" x14ac:dyDescent="0.25">
      <c r="B26" s="85">
        <f>COUNTIF(' CADASTRO'!$F$894:$F$1175,C26)</f>
        <v>0</v>
      </c>
      <c r="C26" s="204" t="s">
        <v>179</v>
      </c>
      <c r="D26" s="195">
        <f>SUMIF(' CADASTRO'!$F$894:$F$1175,'CALCULOS '!C26,' CADASTRO'!$D$894:$D$1175)</f>
        <v>0</v>
      </c>
      <c r="E26" s="196">
        <f>SUMIF(' CADASTRO'!$F$894:$F$1175,C26,' CADASTRO'!$T$894:$T$1175)</f>
        <v>0</v>
      </c>
      <c r="F26" s="197">
        <f>SUMIF(' CADASTRO'!$F$894:$F$1175,C26,' CADASTRO'!$X$894:$X$1175)</f>
        <v>0</v>
      </c>
    </row>
    <row r="27" spans="1:6" ht="19.5" x14ac:dyDescent="0.25">
      <c r="B27" s="85">
        <f>COUNTIF(' CADASTRO'!$F$894:$F$1175,C27)</f>
        <v>32</v>
      </c>
      <c r="C27" s="204" t="s">
        <v>123</v>
      </c>
      <c r="D27" s="195">
        <f>SUMIF(' CADASTRO'!$F$894:$F$1175,'CALCULOS '!C27,' CADASTRO'!$D$894:$D$1175)</f>
        <v>26</v>
      </c>
      <c r="E27" s="196">
        <f>SUMIF(' CADASTRO'!$F$894:$F$1175,C27,' CADASTRO'!$T$894:$T$1175)</f>
        <v>24</v>
      </c>
      <c r="F27" s="197">
        <f>SUMIF(' CADASTRO'!$F$894:$F$1175,C27,' CADASTRO'!$X$894:$X$1175)</f>
        <v>24</v>
      </c>
    </row>
    <row r="28" spans="1:6" ht="19.5" x14ac:dyDescent="0.25">
      <c r="A28" s="198" t="s">
        <v>230</v>
      </c>
      <c r="B28" s="199">
        <f>SUM(B20:B27)</f>
        <v>282</v>
      </c>
      <c r="C28" s="200"/>
      <c r="D28" s="201">
        <f>SUM(D20:D27)</f>
        <v>170</v>
      </c>
      <c r="E28" s="201">
        <f>SUM(E20:E27)</f>
        <v>137</v>
      </c>
      <c r="F28" s="201">
        <f>SUM(F20:F27)</f>
        <v>135</v>
      </c>
    </row>
  </sheetData>
  <mergeCells count="2">
    <mergeCell ref="A1:F1"/>
    <mergeCell ref="A18:F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D485-57E9-40C5-9239-E571940DE0D8}">
  <dimension ref="A1:AA78"/>
  <sheetViews>
    <sheetView view="pageBreakPreview" zoomScale="40" zoomScaleNormal="100" zoomScaleSheetLayoutView="40" workbookViewId="0">
      <selection activeCell="S4" sqref="S4:T4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77.42578125" style="2" customWidth="1"/>
    <col min="6" max="12" width="25.7109375" style="2" customWidth="1"/>
    <col min="13" max="14" width="25.7109375" customWidth="1"/>
    <col min="15" max="15" width="20.85546875" customWidth="1"/>
    <col min="16" max="16" width="3.28515625" customWidth="1"/>
    <col min="17" max="17" width="8.85546875" style="24"/>
    <col min="19" max="19" width="12" customWidth="1"/>
    <col min="20" max="20" width="33.140625" customWidth="1"/>
    <col min="21" max="21" width="14.28515625" customWidth="1"/>
    <col min="22" max="22" width="24" customWidth="1"/>
    <col min="23" max="23" width="43.42578125" customWidth="1"/>
    <col min="24" max="24" width="47.140625" customWidth="1"/>
    <col min="26" max="26" width="9.140625" customWidth="1"/>
  </cols>
  <sheetData>
    <row r="1" spans="1:27" ht="26.45" customHeight="1" x14ac:dyDescent="0.5">
      <c r="E1" s="349" t="s">
        <v>996</v>
      </c>
      <c r="F1" s="351"/>
      <c r="G1" s="352"/>
      <c r="H1" s="351"/>
      <c r="I1" s="352"/>
      <c r="J1" s="351"/>
      <c r="K1" s="352"/>
      <c r="L1" s="351"/>
      <c r="M1" s="352"/>
      <c r="N1" s="351"/>
      <c r="O1" s="352"/>
      <c r="Q1" s="340" t="s">
        <v>73</v>
      </c>
      <c r="R1" s="340"/>
    </row>
    <row r="2" spans="1:27" ht="55.15" customHeight="1" x14ac:dyDescent="0.25">
      <c r="E2" s="350"/>
      <c r="F2" s="353"/>
      <c r="G2" s="354"/>
      <c r="H2" s="353"/>
      <c r="I2" s="354"/>
      <c r="J2" s="353"/>
      <c r="K2" s="354"/>
      <c r="L2" s="353"/>
      <c r="M2" s="354"/>
      <c r="N2" s="353"/>
      <c r="O2" s="354"/>
      <c r="Q2" s="333" t="s">
        <v>1020</v>
      </c>
      <c r="R2" s="333"/>
      <c r="S2" s="347">
        <f>S3-378</f>
        <v>1259</v>
      </c>
      <c r="T2" s="348"/>
      <c r="U2" s="355" t="s">
        <v>1014</v>
      </c>
      <c r="V2" s="356"/>
      <c r="W2" s="130"/>
      <c r="X2" s="130" t="s">
        <v>1023</v>
      </c>
      <c r="Z2" s="40">
        <v>1</v>
      </c>
      <c r="AA2" s="52" t="s">
        <v>1022</v>
      </c>
    </row>
    <row r="3" spans="1:27" ht="55.9" customHeight="1" x14ac:dyDescent="0.25">
      <c r="B3" s="282" t="s">
        <v>161</v>
      </c>
      <c r="C3" s="282"/>
      <c r="D3" s="108">
        <f>MAX(' CADASTRO'!C:C)</f>
        <v>169</v>
      </c>
      <c r="E3" s="191" t="s">
        <v>6</v>
      </c>
      <c r="F3" s="281" t="s">
        <v>1216</v>
      </c>
      <c r="G3" s="281"/>
      <c r="H3" s="281" t="s">
        <v>1217</v>
      </c>
      <c r="I3" s="281"/>
      <c r="J3" s="281" t="s">
        <v>1218</v>
      </c>
      <c r="K3" s="281"/>
      <c r="L3" s="281" t="s">
        <v>1219</v>
      </c>
      <c r="M3" s="281"/>
      <c r="N3" s="281" t="s">
        <v>1220</v>
      </c>
      <c r="O3" s="281"/>
      <c r="Q3" s="299" t="s">
        <v>1019</v>
      </c>
      <c r="R3" s="300"/>
      <c r="S3" s="357">
        <v>1637</v>
      </c>
      <c r="T3" s="358"/>
      <c r="U3" s="134" t="s">
        <v>1015</v>
      </c>
      <c r="V3" s="135"/>
      <c r="W3" s="75"/>
      <c r="X3" s="75"/>
      <c r="Z3" s="40">
        <v>2</v>
      </c>
      <c r="AA3" s="52" t="s">
        <v>1022</v>
      </c>
    </row>
    <row r="4" spans="1:27" ht="37.9" customHeight="1" x14ac:dyDescent="0.25">
      <c r="A4" s="278" t="s">
        <v>1</v>
      </c>
      <c r="B4" s="278"/>
      <c r="C4" s="279">
        <f ca="1">TODAY()</f>
        <v>46007</v>
      </c>
      <c r="D4" s="280"/>
      <c r="E4" s="191" t="s">
        <v>1142</v>
      </c>
      <c r="F4" s="281" t="s">
        <v>1144</v>
      </c>
      <c r="G4" s="281"/>
      <c r="H4" s="281" t="s">
        <v>1144</v>
      </c>
      <c r="I4" s="281"/>
      <c r="J4" s="281" t="s">
        <v>1213</v>
      </c>
      <c r="K4" s="281"/>
      <c r="L4" s="281" t="s">
        <v>1144</v>
      </c>
      <c r="M4" s="281"/>
      <c r="N4" s="281" t="s">
        <v>1143</v>
      </c>
      <c r="O4" s="281"/>
      <c r="Q4" s="318" t="s">
        <v>1016</v>
      </c>
      <c r="R4" s="319"/>
      <c r="S4" s="359" t="s">
        <v>1009</v>
      </c>
      <c r="T4" s="360"/>
      <c r="U4" s="359" t="s">
        <v>1010</v>
      </c>
      <c r="V4" s="360"/>
      <c r="W4" s="129" t="s">
        <v>1011</v>
      </c>
      <c r="X4" s="129" t="s">
        <v>1012</v>
      </c>
      <c r="Z4" s="40">
        <v>3</v>
      </c>
      <c r="AA4" s="52" t="s">
        <v>1022</v>
      </c>
    </row>
    <row r="5" spans="1:27" ht="79.900000000000006" customHeight="1" x14ac:dyDescent="0.25">
      <c r="A5" s="278"/>
      <c r="B5" s="278"/>
      <c r="C5" s="279"/>
      <c r="D5" s="280"/>
      <c r="E5" s="191" t="s">
        <v>51</v>
      </c>
      <c r="F5" s="334"/>
      <c r="G5" s="334"/>
      <c r="H5" s="334"/>
      <c r="I5" s="334"/>
      <c r="J5" s="334"/>
      <c r="K5" s="334"/>
      <c r="L5" s="334"/>
      <c r="M5" s="334"/>
      <c r="N5" s="335" t="s">
        <v>1221</v>
      </c>
      <c r="O5" s="335"/>
      <c r="Q5" s="323" t="s">
        <v>1013</v>
      </c>
      <c r="R5" s="323"/>
      <c r="S5" s="291"/>
      <c r="T5" s="292"/>
      <c r="U5" s="291"/>
      <c r="V5" s="292"/>
      <c r="W5" s="75"/>
      <c r="X5" s="75"/>
      <c r="Z5" s="40">
        <v>4</v>
      </c>
      <c r="AA5" s="52" t="s">
        <v>1022</v>
      </c>
    </row>
    <row r="6" spans="1:27" ht="15.6" customHeight="1" x14ac:dyDescent="0.25">
      <c r="A6" s="341" t="s">
        <v>82</v>
      </c>
      <c r="B6" s="341"/>
      <c r="C6" s="342"/>
      <c r="D6" s="343"/>
      <c r="E6" s="344" t="s">
        <v>62</v>
      </c>
      <c r="F6" s="336"/>
      <c r="G6" s="337"/>
      <c r="H6" s="336"/>
      <c r="I6" s="337"/>
      <c r="J6" s="336"/>
      <c r="K6" s="337"/>
      <c r="L6" s="336"/>
      <c r="M6" s="337"/>
      <c r="N6" s="336"/>
      <c r="O6" s="337"/>
      <c r="Q6" s="340" t="s">
        <v>75</v>
      </c>
      <c r="R6" s="340"/>
      <c r="Z6" s="40">
        <v>5</v>
      </c>
      <c r="AA6" s="52" t="s">
        <v>1022</v>
      </c>
    </row>
    <row r="7" spans="1:27" ht="36.6" customHeight="1" x14ac:dyDescent="0.25">
      <c r="C7" s="346" t="s">
        <v>110</v>
      </c>
      <c r="D7" s="346"/>
      <c r="E7" s="345"/>
      <c r="F7" s="338"/>
      <c r="G7" s="339"/>
      <c r="H7" s="338"/>
      <c r="I7" s="339"/>
      <c r="J7" s="338"/>
      <c r="K7" s="339"/>
      <c r="L7" s="338"/>
      <c r="M7" s="339"/>
      <c r="N7" s="338"/>
      <c r="O7" s="339"/>
      <c r="Q7" s="340"/>
      <c r="R7" s="340"/>
      <c r="Z7" s="40">
        <v>6</v>
      </c>
      <c r="AA7" s="52"/>
    </row>
    <row r="8" spans="1:27" ht="48" customHeight="1" x14ac:dyDescent="0.25">
      <c r="C8" s="346"/>
      <c r="D8" s="346"/>
      <c r="E8" s="43" t="s">
        <v>65</v>
      </c>
      <c r="F8" s="331" t="s">
        <v>59</v>
      </c>
      <c r="G8" s="332"/>
      <c r="H8" s="331" t="s">
        <v>66</v>
      </c>
      <c r="I8" s="332"/>
      <c r="J8" s="331" t="s">
        <v>67</v>
      </c>
      <c r="K8" s="332"/>
      <c r="L8" s="331" t="s">
        <v>68</v>
      </c>
      <c r="M8" s="332"/>
      <c r="N8" s="331" t="s">
        <v>69</v>
      </c>
      <c r="O8" s="332"/>
      <c r="Q8" s="333" t="s">
        <v>1020</v>
      </c>
      <c r="R8" s="333"/>
      <c r="S8" s="310">
        <f>IF(S9="","",S9-378)</f>
        <v>1260</v>
      </c>
      <c r="T8" s="311"/>
      <c r="U8" s="299" t="s">
        <v>1014</v>
      </c>
      <c r="V8" s="300"/>
      <c r="W8" s="130"/>
      <c r="X8" s="130" t="s">
        <v>1023</v>
      </c>
      <c r="Z8" s="14"/>
    </row>
    <row r="9" spans="1:27" ht="38.450000000000003" customHeight="1" x14ac:dyDescent="0.25">
      <c r="B9" s="327" t="s">
        <v>3</v>
      </c>
      <c r="C9" s="328" t="s">
        <v>4</v>
      </c>
      <c r="D9" s="328"/>
      <c r="E9" s="325"/>
      <c r="F9" s="325" t="s">
        <v>0</v>
      </c>
      <c r="G9" s="326" t="s">
        <v>2</v>
      </c>
      <c r="H9" s="325" t="s">
        <v>0</v>
      </c>
      <c r="I9" s="326" t="s">
        <v>2</v>
      </c>
      <c r="J9" s="325" t="s">
        <v>0</v>
      </c>
      <c r="K9" s="326" t="s">
        <v>2</v>
      </c>
      <c r="L9" s="325" t="s">
        <v>0</v>
      </c>
      <c r="M9" s="326" t="s">
        <v>2</v>
      </c>
      <c r="N9" s="325" t="s">
        <v>0</v>
      </c>
      <c r="O9" s="326" t="s">
        <v>2</v>
      </c>
      <c r="Q9" s="299" t="s">
        <v>1019</v>
      </c>
      <c r="R9" s="300"/>
      <c r="S9" s="310">
        <f>IF(AA3="X",S3+1,"")</f>
        <v>1638</v>
      </c>
      <c r="T9" s="311"/>
      <c r="U9" s="134" t="s">
        <v>1015</v>
      </c>
      <c r="V9" s="135"/>
      <c r="W9" s="75"/>
      <c r="X9" s="75"/>
      <c r="Z9" s="14"/>
    </row>
    <row r="10" spans="1:27" ht="30" customHeight="1" thickBot="1" x14ac:dyDescent="0.3">
      <c r="A10" s="317"/>
      <c r="B10" s="327"/>
      <c r="C10" s="325"/>
      <c r="D10" s="325"/>
      <c r="E10" s="325"/>
      <c r="F10" s="329"/>
      <c r="G10" s="330"/>
      <c r="H10" s="325"/>
      <c r="I10" s="326"/>
      <c r="J10" s="329"/>
      <c r="K10" s="330"/>
      <c r="L10" s="325"/>
      <c r="M10" s="326"/>
      <c r="N10" s="325"/>
      <c r="O10" s="326"/>
      <c r="Q10" s="318" t="s">
        <v>1016</v>
      </c>
      <c r="R10" s="319"/>
      <c r="S10" s="139" t="s">
        <v>1009</v>
      </c>
      <c r="T10" s="140"/>
      <c r="U10" s="139" t="s">
        <v>1010</v>
      </c>
      <c r="V10" s="140"/>
      <c r="W10" s="133" t="s">
        <v>1011</v>
      </c>
      <c r="X10" s="133" t="s">
        <v>1012</v>
      </c>
    </row>
    <row r="11" spans="1:27" ht="70.900000000000006" customHeight="1" x14ac:dyDescent="0.25">
      <c r="A11" s="317"/>
      <c r="B11" s="5">
        <v>1</v>
      </c>
      <c r="C11" s="305" t="s">
        <v>1145</v>
      </c>
      <c r="D11" s="306"/>
      <c r="E11" s="306"/>
      <c r="F11" s="27"/>
      <c r="G11" s="28"/>
      <c r="H11" s="25"/>
      <c r="I11" s="35"/>
      <c r="J11" s="27"/>
      <c r="K11" s="28"/>
      <c r="L11" s="25"/>
      <c r="M11" s="22"/>
      <c r="N11" s="27"/>
      <c r="O11" s="28"/>
      <c r="Q11" s="320" t="s">
        <v>1013</v>
      </c>
      <c r="R11" s="321"/>
      <c r="S11" s="291"/>
      <c r="T11" s="292"/>
      <c r="U11" s="291"/>
      <c r="V11" s="292"/>
      <c r="W11" s="75"/>
      <c r="X11" s="75"/>
    </row>
    <row r="12" spans="1:27" ht="49.9" customHeight="1" x14ac:dyDescent="0.45">
      <c r="A12" s="317"/>
      <c r="B12" s="5">
        <v>2</v>
      </c>
      <c r="C12" s="296" t="s">
        <v>1146</v>
      </c>
      <c r="D12" s="297"/>
      <c r="E12" s="297"/>
      <c r="F12" s="29"/>
      <c r="G12" s="30"/>
      <c r="H12" s="26"/>
      <c r="I12" s="36"/>
      <c r="J12" s="29"/>
      <c r="K12" s="30"/>
      <c r="L12" s="26"/>
      <c r="M12" s="3"/>
      <c r="N12" s="29"/>
      <c r="O12" s="30"/>
      <c r="Q12" s="322" t="s">
        <v>76</v>
      </c>
      <c r="R12" s="322"/>
      <c r="S12" s="138"/>
      <c r="T12" s="138"/>
      <c r="U12" s="138"/>
      <c r="V12" s="138"/>
    </row>
    <row r="13" spans="1:27" ht="49.9" customHeight="1" x14ac:dyDescent="0.25">
      <c r="A13" s="317"/>
      <c r="B13" s="5">
        <v>3</v>
      </c>
      <c r="C13" s="308" t="s">
        <v>101</v>
      </c>
      <c r="D13" s="309"/>
      <c r="E13" s="309"/>
      <c r="F13" s="31"/>
      <c r="G13" s="32"/>
      <c r="H13" s="25"/>
      <c r="I13" s="35"/>
      <c r="J13" s="31"/>
      <c r="K13" s="32"/>
      <c r="L13" s="25"/>
      <c r="M13" s="22"/>
      <c r="N13" s="31"/>
      <c r="O13" s="32"/>
      <c r="Q13" s="299" t="s">
        <v>1020</v>
      </c>
      <c r="R13" s="300"/>
      <c r="S13" s="310">
        <f>IF(S14="","",S14-378)</f>
        <v>1261</v>
      </c>
      <c r="T13" s="311"/>
      <c r="U13" s="303" t="s">
        <v>1055</v>
      </c>
      <c r="V13" s="304"/>
      <c r="W13" s="130"/>
      <c r="X13" s="130" t="s">
        <v>1023</v>
      </c>
    </row>
    <row r="14" spans="1:27" ht="64.5" customHeight="1" x14ac:dyDescent="0.25">
      <c r="A14" s="317"/>
      <c r="B14" s="5">
        <v>4</v>
      </c>
      <c r="C14" s="312" t="s">
        <v>1147</v>
      </c>
      <c r="D14" s="313"/>
      <c r="E14" s="313"/>
      <c r="F14" s="29"/>
      <c r="G14" s="30"/>
      <c r="H14" s="26"/>
      <c r="I14" s="36"/>
      <c r="J14" s="29"/>
      <c r="K14" s="30"/>
      <c r="L14" s="26"/>
      <c r="M14" s="3"/>
      <c r="N14" s="29"/>
      <c r="O14" s="30"/>
      <c r="Q14" s="299" t="s">
        <v>1019</v>
      </c>
      <c r="R14" s="300"/>
      <c r="S14" s="310">
        <f>IF(AA4="X",$S$3+2,"")</f>
        <v>1639</v>
      </c>
      <c r="T14" s="311"/>
      <c r="U14" s="303" t="s">
        <v>1015</v>
      </c>
      <c r="V14" s="304"/>
      <c r="W14" s="75"/>
      <c r="X14" s="75"/>
    </row>
    <row r="15" spans="1:27" ht="49.9" customHeight="1" x14ac:dyDescent="0.25">
      <c r="A15" s="317"/>
      <c r="B15" s="5">
        <v>5</v>
      </c>
      <c r="C15" s="305" t="s">
        <v>133</v>
      </c>
      <c r="D15" s="306"/>
      <c r="E15" s="306"/>
      <c r="F15" s="31"/>
      <c r="G15" s="32"/>
      <c r="H15" s="25"/>
      <c r="I15" s="35"/>
      <c r="J15" s="31"/>
      <c r="K15" s="32"/>
      <c r="L15" s="25"/>
      <c r="M15" s="22"/>
      <c r="N15" s="31"/>
      <c r="O15" s="32"/>
      <c r="Q15" s="318" t="s">
        <v>1016</v>
      </c>
      <c r="R15" s="319"/>
      <c r="S15" s="139" t="s">
        <v>1009</v>
      </c>
      <c r="T15" s="140"/>
      <c r="U15" s="139" t="s">
        <v>1010</v>
      </c>
      <c r="V15" s="140"/>
      <c r="W15" s="133" t="s">
        <v>1011</v>
      </c>
      <c r="X15" s="133" t="s">
        <v>1012</v>
      </c>
    </row>
    <row r="16" spans="1:27" ht="69.599999999999994" customHeight="1" x14ac:dyDescent="0.25">
      <c r="A16" s="317"/>
      <c r="B16" s="5">
        <v>6</v>
      </c>
      <c r="C16" s="296" t="s">
        <v>1148</v>
      </c>
      <c r="D16" s="297"/>
      <c r="E16" s="297"/>
      <c r="F16" s="29"/>
      <c r="G16" s="30"/>
      <c r="H16" s="26"/>
      <c r="I16" s="36"/>
      <c r="J16" s="29"/>
      <c r="K16" s="30"/>
      <c r="L16" s="26"/>
      <c r="M16" s="3"/>
      <c r="N16" s="29"/>
      <c r="O16" s="30"/>
      <c r="Q16" s="323" t="s">
        <v>1013</v>
      </c>
      <c r="R16" s="323"/>
      <c r="S16" s="324"/>
      <c r="T16" s="324"/>
      <c r="U16" s="324"/>
      <c r="V16" s="324"/>
      <c r="W16" s="75"/>
      <c r="X16" s="75"/>
    </row>
    <row r="17" spans="1:24" ht="49.9" customHeight="1" x14ac:dyDescent="0.25">
      <c r="A17" s="317"/>
      <c r="B17" s="5">
        <v>7</v>
      </c>
      <c r="C17" s="305" t="s">
        <v>27</v>
      </c>
      <c r="D17" s="306"/>
      <c r="E17" s="306"/>
      <c r="F17" s="31"/>
      <c r="G17" s="32"/>
      <c r="H17" s="25"/>
      <c r="I17" s="35"/>
      <c r="J17" s="31"/>
      <c r="K17" s="32"/>
      <c r="L17" s="25"/>
      <c r="M17" s="22"/>
      <c r="N17" s="31"/>
      <c r="O17" s="32"/>
      <c r="Q17" s="316"/>
      <c r="R17" s="316"/>
    </row>
    <row r="18" spans="1:24" ht="49.9" customHeight="1" x14ac:dyDescent="0.25">
      <c r="A18" s="317"/>
      <c r="B18" s="5">
        <v>8</v>
      </c>
      <c r="C18" s="296" t="s">
        <v>26</v>
      </c>
      <c r="D18" s="297"/>
      <c r="E18" s="297"/>
      <c r="F18" s="29"/>
      <c r="G18" s="30"/>
      <c r="H18" s="26"/>
      <c r="I18" s="36"/>
      <c r="J18" s="29"/>
      <c r="K18" s="30"/>
      <c r="L18" s="26"/>
      <c r="M18" s="3"/>
      <c r="N18" s="29"/>
      <c r="O18" s="30"/>
      <c r="Q18" s="307" t="s">
        <v>77</v>
      </c>
      <c r="R18" s="307"/>
    </row>
    <row r="19" spans="1:24" ht="49.9" customHeight="1" x14ac:dyDescent="0.25">
      <c r="A19" s="317"/>
      <c r="B19" s="5">
        <v>9</v>
      </c>
      <c r="C19" s="305" t="s">
        <v>81</v>
      </c>
      <c r="D19" s="306"/>
      <c r="E19" s="306"/>
      <c r="F19" s="31"/>
      <c r="G19" s="32"/>
      <c r="H19" s="25"/>
      <c r="I19" s="35"/>
      <c r="J19" s="31"/>
      <c r="K19" s="32"/>
      <c r="L19" s="25"/>
      <c r="M19" s="22"/>
      <c r="N19" s="31"/>
      <c r="O19" s="32"/>
      <c r="Q19" s="299" t="s">
        <v>1020</v>
      </c>
      <c r="R19" s="300"/>
      <c r="S19" s="310">
        <f>IF(S20="","",S20-378)</f>
        <v>1262</v>
      </c>
      <c r="T19" s="311"/>
      <c r="U19" s="303" t="s">
        <v>1014</v>
      </c>
      <c r="V19" s="304"/>
      <c r="W19" s="130"/>
      <c r="X19" s="130" t="s">
        <v>1023</v>
      </c>
    </row>
    <row r="20" spans="1:24" ht="49.9" customHeight="1" x14ac:dyDescent="0.25">
      <c r="A20" s="317"/>
      <c r="B20" s="5">
        <v>10</v>
      </c>
      <c r="C20" s="296" t="s">
        <v>45</v>
      </c>
      <c r="D20" s="297"/>
      <c r="E20" s="297"/>
      <c r="F20" s="29"/>
      <c r="G20" s="30"/>
      <c r="H20" s="26"/>
      <c r="I20" s="36"/>
      <c r="J20" s="29"/>
      <c r="K20" s="30"/>
      <c r="L20" s="26"/>
      <c r="M20" s="3"/>
      <c r="N20" s="29"/>
      <c r="O20" s="30"/>
      <c r="Q20" s="299" t="s">
        <v>1021</v>
      </c>
      <c r="R20" s="300"/>
      <c r="S20" s="310">
        <f>IF(AA5="X",$S$3+3,"")</f>
        <v>1640</v>
      </c>
      <c r="T20" s="311"/>
      <c r="U20" s="303" t="s">
        <v>1015</v>
      </c>
      <c r="V20" s="304"/>
      <c r="W20" s="75"/>
      <c r="X20" s="75"/>
    </row>
    <row r="21" spans="1:24" ht="49.9" customHeight="1" x14ac:dyDescent="0.25">
      <c r="A21" s="317"/>
      <c r="B21" s="5">
        <v>11</v>
      </c>
      <c r="C21" s="305" t="s">
        <v>1149</v>
      </c>
      <c r="D21" s="306"/>
      <c r="E21" s="306"/>
      <c r="F21" s="31"/>
      <c r="G21" s="32"/>
      <c r="H21" s="25"/>
      <c r="I21" s="35"/>
      <c r="J21" s="31"/>
      <c r="K21" s="32"/>
      <c r="L21" s="25"/>
      <c r="M21" s="22"/>
      <c r="N21" s="31"/>
      <c r="O21" s="32"/>
      <c r="Q21" s="136" t="s">
        <v>1016</v>
      </c>
      <c r="R21" s="137"/>
      <c r="S21" s="293" t="s">
        <v>1009</v>
      </c>
      <c r="T21" s="294"/>
      <c r="U21" s="293" t="s">
        <v>1010</v>
      </c>
      <c r="V21" s="294"/>
      <c r="W21" s="23" t="s">
        <v>1011</v>
      </c>
      <c r="X21" s="23" t="s">
        <v>1012</v>
      </c>
    </row>
    <row r="22" spans="1:24" ht="71.45" customHeight="1" x14ac:dyDescent="0.25">
      <c r="A22" s="317"/>
      <c r="B22" s="5">
        <v>12</v>
      </c>
      <c r="C22" s="296" t="s">
        <v>78</v>
      </c>
      <c r="D22" s="297"/>
      <c r="E22" s="297"/>
      <c r="F22" s="29"/>
      <c r="G22" s="30"/>
      <c r="H22" s="26"/>
      <c r="I22" s="36"/>
      <c r="J22" s="29"/>
      <c r="K22" s="30"/>
      <c r="L22" s="26"/>
      <c r="M22" s="3"/>
      <c r="N22" s="29"/>
      <c r="O22" s="30"/>
      <c r="Q22" s="131" t="s">
        <v>1013</v>
      </c>
      <c r="R22" s="132"/>
      <c r="S22" s="291"/>
      <c r="T22" s="292"/>
      <c r="U22" s="291"/>
      <c r="V22" s="292"/>
      <c r="W22" s="75"/>
      <c r="X22" s="75"/>
    </row>
    <row r="23" spans="1:24" ht="49.9" customHeight="1" x14ac:dyDescent="0.25">
      <c r="A23" s="317"/>
      <c r="B23" s="5">
        <v>13</v>
      </c>
      <c r="C23" s="308" t="s">
        <v>29</v>
      </c>
      <c r="D23" s="309"/>
      <c r="E23" s="309"/>
      <c r="F23" s="31"/>
      <c r="G23" s="32"/>
      <c r="H23" s="25"/>
      <c r="I23" s="35"/>
      <c r="J23" s="31"/>
      <c r="K23" s="32"/>
      <c r="L23" s="25"/>
      <c r="M23" s="22"/>
      <c r="N23" s="31"/>
      <c r="O23" s="32"/>
      <c r="Q23" s="314"/>
      <c r="R23" s="314"/>
      <c r="S23" s="314"/>
      <c r="T23" s="314"/>
      <c r="U23" s="314"/>
      <c r="V23" s="314"/>
      <c r="W23" s="315"/>
      <c r="X23" s="315"/>
    </row>
    <row r="24" spans="1:24" ht="49.9" customHeight="1" x14ac:dyDescent="0.25">
      <c r="A24" s="317"/>
      <c r="B24" s="5">
        <v>14</v>
      </c>
      <c r="C24" s="296" t="s">
        <v>28</v>
      </c>
      <c r="D24" s="297"/>
      <c r="E24" s="297"/>
      <c r="F24" s="29"/>
      <c r="G24" s="30"/>
      <c r="H24" s="26"/>
      <c r="I24" s="36"/>
      <c r="J24" s="29"/>
      <c r="K24" s="30"/>
      <c r="L24" s="26"/>
      <c r="M24" s="3"/>
      <c r="N24" s="29"/>
      <c r="O24" s="30"/>
      <c r="Q24" s="307" t="s">
        <v>107</v>
      </c>
      <c r="R24" s="307"/>
    </row>
    <row r="25" spans="1:24" ht="49.9" customHeight="1" x14ac:dyDescent="0.25">
      <c r="A25" s="317"/>
      <c r="B25" s="5">
        <v>15</v>
      </c>
      <c r="C25" s="308" t="s">
        <v>1209</v>
      </c>
      <c r="D25" s="309"/>
      <c r="E25" s="309"/>
      <c r="F25" s="31"/>
      <c r="G25" s="32"/>
      <c r="H25" s="25"/>
      <c r="I25" s="35"/>
      <c r="J25" s="31"/>
      <c r="K25" s="32"/>
      <c r="L25" s="25"/>
      <c r="M25" s="22"/>
      <c r="N25" s="31"/>
      <c r="O25" s="32"/>
      <c r="Q25" s="299" t="s">
        <v>1020</v>
      </c>
      <c r="R25" s="300"/>
      <c r="S25" s="310">
        <f>IF(S26="","",S26-378)</f>
        <v>1263</v>
      </c>
      <c r="T25" s="311"/>
      <c r="U25" s="303" t="s">
        <v>1014</v>
      </c>
      <c r="V25" s="304"/>
      <c r="W25" s="130"/>
      <c r="X25" s="130" t="s">
        <v>1023</v>
      </c>
    </row>
    <row r="26" spans="1:24" ht="49.9" customHeight="1" x14ac:dyDescent="0.25">
      <c r="A26" s="317"/>
      <c r="B26" s="5">
        <v>16</v>
      </c>
      <c r="C26" s="312" t="s">
        <v>1150</v>
      </c>
      <c r="D26" s="313"/>
      <c r="E26" s="313"/>
      <c r="F26" s="29"/>
      <c r="G26" s="30"/>
      <c r="H26" s="26"/>
      <c r="I26" s="36"/>
      <c r="J26" s="29"/>
      <c r="K26" s="30"/>
      <c r="L26" s="26"/>
      <c r="M26" s="3"/>
      <c r="N26" s="29"/>
      <c r="O26" s="30"/>
      <c r="Q26" s="299" t="s">
        <v>1019</v>
      </c>
      <c r="R26" s="300"/>
      <c r="S26" s="310">
        <f>IF(AA6="X",$S$3+4,"")</f>
        <v>1641</v>
      </c>
      <c r="T26" s="311"/>
      <c r="U26" s="303" t="s">
        <v>1015</v>
      </c>
      <c r="V26" s="304"/>
      <c r="W26" s="75"/>
      <c r="X26" s="75"/>
    </row>
    <row r="27" spans="1:24" ht="49.9" customHeight="1" x14ac:dyDescent="0.25">
      <c r="A27" s="317"/>
      <c r="B27" s="5">
        <v>17</v>
      </c>
      <c r="C27" s="305" t="s">
        <v>46</v>
      </c>
      <c r="D27" s="306"/>
      <c r="E27" s="306"/>
      <c r="F27" s="31"/>
      <c r="G27" s="32"/>
      <c r="H27" s="25"/>
      <c r="I27" s="35"/>
      <c r="J27" s="31"/>
      <c r="K27" s="32"/>
      <c r="L27" s="25"/>
      <c r="M27" s="22"/>
      <c r="N27" s="31"/>
      <c r="O27" s="32"/>
      <c r="Q27" s="136" t="s">
        <v>1016</v>
      </c>
      <c r="R27" s="137"/>
      <c r="S27" s="293" t="s">
        <v>1009</v>
      </c>
      <c r="T27" s="294"/>
      <c r="U27" s="293" t="s">
        <v>1010</v>
      </c>
      <c r="V27" s="294"/>
      <c r="W27" s="133" t="s">
        <v>1011</v>
      </c>
      <c r="X27" s="133" t="s">
        <v>1012</v>
      </c>
    </row>
    <row r="28" spans="1:24" ht="72" customHeight="1" x14ac:dyDescent="0.25">
      <c r="A28" s="317"/>
      <c r="B28" s="5">
        <v>18</v>
      </c>
      <c r="C28" s="296" t="s">
        <v>79</v>
      </c>
      <c r="D28" s="297"/>
      <c r="E28" s="297"/>
      <c r="F28" s="29"/>
      <c r="G28" s="30"/>
      <c r="H28" s="26"/>
      <c r="I28" s="36"/>
      <c r="J28" s="29"/>
      <c r="K28" s="30"/>
      <c r="L28" s="26"/>
      <c r="M28" s="3"/>
      <c r="N28" s="29"/>
      <c r="O28" s="30"/>
      <c r="Q28" s="131" t="s">
        <v>1013</v>
      </c>
      <c r="R28" s="132"/>
      <c r="S28" s="291"/>
      <c r="T28" s="292"/>
      <c r="U28" s="291"/>
      <c r="V28" s="292"/>
      <c r="W28" s="75"/>
      <c r="X28" s="75"/>
    </row>
    <row r="29" spans="1:24" ht="49.9" customHeight="1" x14ac:dyDescent="0.25">
      <c r="A29" s="317"/>
      <c r="B29" s="5">
        <v>19</v>
      </c>
      <c r="C29" s="305" t="s">
        <v>83</v>
      </c>
      <c r="D29" s="306"/>
      <c r="E29" s="306"/>
      <c r="F29" s="31"/>
      <c r="G29" s="32"/>
      <c r="H29" s="25"/>
      <c r="I29" s="35"/>
      <c r="J29" s="31"/>
      <c r="K29" s="32"/>
      <c r="L29" s="25"/>
      <c r="M29" s="22"/>
      <c r="N29" s="31"/>
      <c r="O29" s="32"/>
    </row>
    <row r="30" spans="1:24" ht="49.9" customHeight="1" thickBot="1" x14ac:dyDescent="0.3">
      <c r="A30" s="317"/>
      <c r="B30" s="12">
        <v>20</v>
      </c>
      <c r="C30" s="296" t="s">
        <v>1151</v>
      </c>
      <c r="D30" s="297"/>
      <c r="E30" s="297"/>
      <c r="F30" s="33"/>
      <c r="G30" s="34"/>
      <c r="H30" s="26"/>
      <c r="I30" s="36"/>
      <c r="J30" s="33"/>
      <c r="K30" s="34"/>
      <c r="L30" s="26"/>
      <c r="M30" s="3"/>
      <c r="N30" s="33"/>
      <c r="O30" s="34"/>
      <c r="Q30" s="307" t="s">
        <v>1017</v>
      </c>
      <c r="R30" s="307"/>
    </row>
    <row r="31" spans="1:24" ht="49.9" customHeight="1" thickBot="1" x14ac:dyDescent="0.3">
      <c r="A31" s="317"/>
      <c r="B31" s="12">
        <v>21</v>
      </c>
      <c r="C31" s="296" t="s">
        <v>1174</v>
      </c>
      <c r="D31" s="297"/>
      <c r="E31" s="297"/>
      <c r="F31" s="33"/>
      <c r="G31" s="34"/>
      <c r="H31" s="26"/>
      <c r="I31" s="36"/>
      <c r="J31" s="33"/>
      <c r="K31" s="34"/>
      <c r="L31" s="26"/>
      <c r="M31" s="3"/>
      <c r="N31" s="33"/>
      <c r="O31" s="34"/>
      <c r="Q31" s="299" t="s">
        <v>1018</v>
      </c>
      <c r="R31" s="300"/>
      <c r="S31" s="301" t="str">
        <f>IF(S32="","",S32-378)</f>
        <v/>
      </c>
      <c r="T31" s="302"/>
      <c r="U31" s="295" t="s">
        <v>1014</v>
      </c>
      <c r="V31" s="295"/>
      <c r="W31" s="130"/>
      <c r="X31" s="130" t="s">
        <v>1023</v>
      </c>
    </row>
    <row r="32" spans="1:24" ht="49.9" customHeight="1" thickBot="1" x14ac:dyDescent="0.3">
      <c r="A32" s="317"/>
      <c r="B32" s="12">
        <v>22</v>
      </c>
      <c r="C32" s="296" t="s">
        <v>84</v>
      </c>
      <c r="D32" s="297"/>
      <c r="E32" s="298"/>
      <c r="F32" s="185"/>
      <c r="G32" s="186"/>
      <c r="H32" s="187"/>
      <c r="I32" s="188"/>
      <c r="J32" s="185"/>
      <c r="K32" s="186"/>
      <c r="L32" s="187"/>
      <c r="M32" s="189"/>
      <c r="N32" s="185"/>
      <c r="O32" s="34"/>
      <c r="Q32" s="299" t="s">
        <v>1019</v>
      </c>
      <c r="R32" s="300"/>
      <c r="S32" s="301" t="str">
        <f>IF(AA7="X",$S$3+5,"")</f>
        <v/>
      </c>
      <c r="T32" s="302"/>
      <c r="U32" s="303" t="s">
        <v>1015</v>
      </c>
      <c r="V32" s="304"/>
      <c r="W32" s="75"/>
      <c r="X32" s="75"/>
    </row>
    <row r="33" spans="1:26" ht="37.9" customHeight="1" x14ac:dyDescent="0.25">
      <c r="A33" s="317"/>
      <c r="E33" s="184"/>
      <c r="F33" s="190" t="s">
        <v>30</v>
      </c>
      <c r="G33" s="190" t="s">
        <v>31</v>
      </c>
      <c r="H33" s="190" t="s">
        <v>32</v>
      </c>
      <c r="I33" s="190" t="s">
        <v>33</v>
      </c>
      <c r="J33" s="190" t="s">
        <v>34</v>
      </c>
      <c r="K33" s="190" t="s">
        <v>35</v>
      </c>
      <c r="L33" s="190" t="s">
        <v>36</v>
      </c>
      <c r="M33" s="190" t="s">
        <v>37</v>
      </c>
      <c r="N33" s="190" t="s">
        <v>1139</v>
      </c>
      <c r="O33" s="180"/>
      <c r="Q33" s="136" t="s">
        <v>1016</v>
      </c>
      <c r="R33" s="137"/>
      <c r="S33" s="293" t="s">
        <v>1009</v>
      </c>
      <c r="T33" s="294"/>
      <c r="U33" s="293" t="s">
        <v>1010</v>
      </c>
      <c r="V33" s="294"/>
      <c r="W33" s="23" t="s">
        <v>1011</v>
      </c>
      <c r="X33" s="23" t="s">
        <v>1012</v>
      </c>
    </row>
    <row r="34" spans="1:26" ht="44.45" customHeight="1" x14ac:dyDescent="0.25">
      <c r="A34" s="317"/>
      <c r="F34" s="181"/>
      <c r="G34" s="182"/>
      <c r="H34" s="182"/>
      <c r="I34" s="182"/>
      <c r="J34" s="182"/>
      <c r="K34" s="182"/>
      <c r="L34" s="182"/>
      <c r="M34" s="182"/>
      <c r="N34" s="182"/>
      <c r="O34" s="179"/>
      <c r="Q34" s="131" t="s">
        <v>1013</v>
      </c>
      <c r="R34" s="132"/>
      <c r="S34" s="291"/>
      <c r="T34" s="292"/>
      <c r="U34" s="291"/>
      <c r="V34" s="292"/>
      <c r="W34" s="75"/>
      <c r="X34" s="75"/>
    </row>
    <row r="35" spans="1:26" ht="8.4499999999999993" customHeight="1" x14ac:dyDescent="0.3">
      <c r="A35" s="317"/>
      <c r="C35" s="178"/>
      <c r="D35" s="178"/>
      <c r="E35" s="17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Q35"/>
    </row>
    <row r="36" spans="1:26" ht="34.9" customHeight="1" x14ac:dyDescent="0.25">
      <c r="A36" s="317"/>
      <c r="E36" s="184"/>
      <c r="F36" s="190" t="s">
        <v>38</v>
      </c>
      <c r="G36" s="190" t="s">
        <v>39</v>
      </c>
      <c r="H36" s="190" t="s">
        <v>40</v>
      </c>
      <c r="I36" s="190" t="s">
        <v>41</v>
      </c>
      <c r="J36" s="190" t="s">
        <v>42</v>
      </c>
      <c r="K36" s="190" t="s">
        <v>43</v>
      </c>
      <c r="L36" s="190" t="s">
        <v>44</v>
      </c>
      <c r="M36" s="190" t="s">
        <v>1140</v>
      </c>
      <c r="N36" s="190" t="s">
        <v>1141</v>
      </c>
      <c r="O36" s="183"/>
      <c r="Q36"/>
    </row>
    <row r="37" spans="1:26" ht="45.6" customHeight="1" x14ac:dyDescent="0.25">
      <c r="A37" s="317"/>
      <c r="F37" s="182"/>
      <c r="G37" s="182"/>
      <c r="H37" s="182"/>
      <c r="I37" s="182"/>
      <c r="J37" s="182"/>
      <c r="K37" s="182"/>
      <c r="L37" s="182"/>
      <c r="M37" s="182"/>
      <c r="N37" s="182"/>
      <c r="O37" s="179"/>
      <c r="Q37"/>
    </row>
    <row r="38" spans="1:26" ht="45.75" x14ac:dyDescent="0.65">
      <c r="F38" s="285" t="s">
        <v>63</v>
      </c>
      <c r="G38" s="285"/>
      <c r="H38" s="285"/>
      <c r="I38" s="285"/>
      <c r="J38" s="286">
        <v>1063497359</v>
      </c>
      <c r="K38" s="287"/>
      <c r="L38" s="287"/>
      <c r="M38" s="287"/>
      <c r="N38" s="287"/>
      <c r="O38" s="287"/>
      <c r="P38" s="267"/>
      <c r="Q38" s="268"/>
      <c r="R38" s="268"/>
      <c r="S38" s="268"/>
      <c r="T38" s="268"/>
      <c r="U38" s="268"/>
      <c r="V38" s="268"/>
      <c r="W38" s="268"/>
    </row>
    <row r="39" spans="1:26" ht="45.75" x14ac:dyDescent="0.65">
      <c r="F39" s="285" t="s">
        <v>64</v>
      </c>
      <c r="G39" s="285"/>
      <c r="H39" s="285"/>
      <c r="I39" s="285"/>
      <c r="J39" s="288">
        <v>45932</v>
      </c>
      <c r="K39" s="289"/>
      <c r="L39" s="289"/>
      <c r="M39" s="289"/>
      <c r="N39" s="289"/>
      <c r="O39" s="290"/>
      <c r="P39" s="288"/>
      <c r="Q39" s="289"/>
      <c r="R39" s="289"/>
      <c r="S39" s="289"/>
      <c r="T39" s="289"/>
      <c r="U39" s="290"/>
    </row>
    <row r="40" spans="1:26" x14ac:dyDescent="0.25">
      <c r="M40" s="2"/>
      <c r="N40" s="2"/>
      <c r="O40" s="2"/>
    </row>
    <row r="41" spans="1:26" ht="42.6" customHeight="1" x14ac:dyDescent="0.25">
      <c r="B41" s="282" t="s">
        <v>161</v>
      </c>
      <c r="C41" s="282"/>
      <c r="D41" s="108">
        <f>D3</f>
        <v>169</v>
      </c>
      <c r="E41" s="6" t="s">
        <v>121</v>
      </c>
      <c r="F41" s="283" t="str">
        <f>F3</f>
        <v>AER 2_PN-175</v>
      </c>
      <c r="G41" s="284"/>
      <c r="H41" s="283" t="str">
        <f t="shared" ref="H41" si="0">H3</f>
        <v>AER 2_PN-176</v>
      </c>
      <c r="I41" s="284"/>
      <c r="J41" s="283" t="str">
        <f t="shared" ref="J41" si="1">J3</f>
        <v>AER 2_PN-177</v>
      </c>
      <c r="K41" s="284"/>
      <c r="L41" s="283" t="str">
        <f t="shared" ref="L41" si="2">L3</f>
        <v>AER 2_PN-179</v>
      </c>
      <c r="M41" s="284"/>
      <c r="N41" s="283" t="str">
        <f t="shared" ref="N41" si="3">N3</f>
        <v>AER 2_PE-162</v>
      </c>
      <c r="O41" s="284"/>
    </row>
    <row r="42" spans="1:26" ht="55.15" customHeight="1" x14ac:dyDescent="0.25">
      <c r="A42" s="278" t="s">
        <v>1</v>
      </c>
      <c r="B42" s="278"/>
      <c r="C42" s="279"/>
      <c r="D42" s="280"/>
      <c r="E42" s="6" t="s">
        <v>6</v>
      </c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Q42" s="276"/>
      <c r="R42" s="276"/>
      <c r="S42" s="276"/>
      <c r="T42" s="276"/>
      <c r="U42" s="276"/>
      <c r="Z42" s="14"/>
    </row>
    <row r="43" spans="1:26" ht="37.15" customHeight="1" x14ac:dyDescent="0.25">
      <c r="A43" s="278"/>
      <c r="B43" s="278"/>
      <c r="C43" s="279"/>
      <c r="D43" s="280"/>
      <c r="E43" s="6" t="s">
        <v>51</v>
      </c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Z43" s="14"/>
    </row>
    <row r="44" spans="1:26" ht="46.9" customHeight="1" x14ac:dyDescent="0.25">
      <c r="B44" s="275" t="s">
        <v>986</v>
      </c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</row>
    <row r="45" spans="1:26" ht="52.9" customHeight="1" x14ac:dyDescent="0.55000000000000004">
      <c r="B45" s="269">
        <v>1</v>
      </c>
      <c r="C45" s="269"/>
      <c r="D45" s="273" t="s">
        <v>987</v>
      </c>
      <c r="E45" s="274"/>
      <c r="F45" s="270"/>
      <c r="G45" s="270"/>
      <c r="H45" s="270"/>
      <c r="I45" s="270"/>
      <c r="J45" s="270"/>
      <c r="K45" s="270"/>
      <c r="L45" s="270"/>
      <c r="M45" s="270"/>
      <c r="N45" s="270"/>
      <c r="O45" s="270"/>
    </row>
    <row r="46" spans="1:26" ht="38.25" x14ac:dyDescent="0.55000000000000004">
      <c r="B46" s="269">
        <v>2</v>
      </c>
      <c r="C46" s="269"/>
      <c r="D46" s="273" t="s">
        <v>988</v>
      </c>
      <c r="E46" s="274"/>
      <c r="F46" s="270"/>
      <c r="G46" s="270"/>
      <c r="H46" s="270"/>
      <c r="I46" s="270"/>
      <c r="J46" s="270"/>
      <c r="K46" s="270"/>
      <c r="L46" s="270"/>
      <c r="M46" s="270"/>
      <c r="N46" s="270"/>
      <c r="O46" s="270"/>
    </row>
    <row r="47" spans="1:26" ht="38.25" x14ac:dyDescent="0.55000000000000004">
      <c r="B47" s="269">
        <v>3</v>
      </c>
      <c r="C47" s="269"/>
      <c r="D47" s="273" t="s">
        <v>989</v>
      </c>
      <c r="E47" s="274"/>
      <c r="F47" s="270"/>
      <c r="G47" s="270"/>
      <c r="H47" s="270"/>
      <c r="I47" s="270"/>
      <c r="J47" s="270"/>
      <c r="K47" s="270"/>
      <c r="L47" s="270"/>
      <c r="M47" s="270"/>
      <c r="N47" s="270"/>
      <c r="O47" s="270"/>
    </row>
    <row r="48" spans="1:26" ht="38.25" x14ac:dyDescent="0.55000000000000004">
      <c r="B48" s="269">
        <v>4</v>
      </c>
      <c r="C48" s="269"/>
      <c r="D48" s="273" t="s">
        <v>990</v>
      </c>
      <c r="E48" s="274"/>
      <c r="F48" s="270"/>
      <c r="G48" s="270"/>
      <c r="H48" s="270"/>
      <c r="I48" s="270"/>
      <c r="J48" s="270"/>
      <c r="K48" s="270"/>
      <c r="L48" s="270"/>
      <c r="M48" s="270"/>
      <c r="N48" s="270"/>
      <c r="O48" s="270"/>
    </row>
    <row r="49" spans="2:17" ht="38.25" x14ac:dyDescent="0.55000000000000004">
      <c r="B49" s="269">
        <v>5</v>
      </c>
      <c r="C49" s="269"/>
      <c r="D49" s="273" t="s">
        <v>994</v>
      </c>
      <c r="E49" s="274"/>
      <c r="F49" s="270"/>
      <c r="G49" s="270"/>
      <c r="H49" s="270"/>
      <c r="I49" s="270"/>
      <c r="J49" s="270"/>
      <c r="K49" s="270"/>
      <c r="L49" s="270"/>
      <c r="M49" s="270"/>
      <c r="N49" s="270"/>
      <c r="O49" s="270"/>
    </row>
    <row r="50" spans="2:17" ht="38.25" x14ac:dyDescent="0.55000000000000004">
      <c r="B50" s="269">
        <v>6</v>
      </c>
      <c r="C50" s="269"/>
      <c r="D50" s="273" t="s">
        <v>995</v>
      </c>
      <c r="E50" s="274"/>
      <c r="F50" s="270"/>
      <c r="G50" s="270"/>
      <c r="H50" s="270"/>
      <c r="I50" s="270"/>
      <c r="J50" s="270"/>
      <c r="K50" s="270"/>
      <c r="L50" s="270"/>
      <c r="M50" s="270"/>
      <c r="N50" s="270"/>
      <c r="O50" s="270"/>
    </row>
    <row r="51" spans="2:17" ht="38.25" x14ac:dyDescent="0.55000000000000004">
      <c r="B51" s="269">
        <v>7</v>
      </c>
      <c r="C51" s="269"/>
      <c r="D51" s="271"/>
      <c r="E51" s="272"/>
      <c r="F51" s="270"/>
      <c r="G51" s="270"/>
      <c r="H51" s="270"/>
      <c r="I51" s="270"/>
      <c r="J51" s="270"/>
      <c r="K51" s="270"/>
      <c r="L51" s="270"/>
      <c r="M51" s="270"/>
      <c r="N51" s="270"/>
      <c r="O51" s="270"/>
    </row>
    <row r="52" spans="2:17" ht="38.25" x14ac:dyDescent="0.55000000000000004">
      <c r="B52" s="269">
        <v>8</v>
      </c>
      <c r="C52" s="269"/>
      <c r="D52" s="271"/>
      <c r="E52" s="272"/>
      <c r="F52" s="270"/>
      <c r="G52" s="270"/>
      <c r="H52" s="270"/>
      <c r="I52" s="270"/>
      <c r="J52" s="270"/>
      <c r="K52" s="270"/>
      <c r="L52" s="270"/>
      <c r="M52" s="270"/>
      <c r="N52" s="270"/>
      <c r="O52" s="270"/>
    </row>
    <row r="53" spans="2:17" ht="38.25" x14ac:dyDescent="0.55000000000000004">
      <c r="B53" s="269">
        <v>9</v>
      </c>
      <c r="C53" s="269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</row>
    <row r="54" spans="2:17" ht="38.25" x14ac:dyDescent="0.55000000000000004">
      <c r="B54" s="269">
        <v>10</v>
      </c>
      <c r="C54" s="269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</row>
    <row r="55" spans="2:17" ht="38.25" x14ac:dyDescent="0.55000000000000004">
      <c r="B55" s="269">
        <v>11</v>
      </c>
      <c r="C55" s="269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</row>
    <row r="56" spans="2:17" ht="38.25" x14ac:dyDescent="0.55000000000000004">
      <c r="B56" s="269">
        <v>12</v>
      </c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</row>
    <row r="57" spans="2:17" ht="38.25" x14ac:dyDescent="0.55000000000000004">
      <c r="B57" s="269">
        <v>13</v>
      </c>
      <c r="C57" s="269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</row>
    <row r="58" spans="2:17" ht="38.25" x14ac:dyDescent="0.55000000000000004">
      <c r="B58" s="269">
        <v>14</v>
      </c>
      <c r="C58" s="269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</row>
    <row r="59" spans="2:17" ht="37.9" customHeight="1" x14ac:dyDescent="0.25">
      <c r="B59"/>
      <c r="C59"/>
      <c r="D59"/>
      <c r="E59"/>
      <c r="F59"/>
      <c r="G59"/>
      <c r="H59"/>
      <c r="I59"/>
      <c r="J59"/>
      <c r="K59"/>
      <c r="L59"/>
      <c r="Q59"/>
    </row>
    <row r="60" spans="2:17" ht="37.9" customHeight="1" x14ac:dyDescent="0.25">
      <c r="B60"/>
      <c r="C60"/>
      <c r="D60"/>
      <c r="E60"/>
      <c r="F60"/>
      <c r="G60"/>
      <c r="H60"/>
      <c r="I60"/>
      <c r="J60"/>
      <c r="K60"/>
      <c r="L60"/>
      <c r="Q60"/>
    </row>
    <row r="61" spans="2:17" ht="37.9" customHeight="1" x14ac:dyDescent="0.25">
      <c r="B61"/>
      <c r="C61"/>
      <c r="D61"/>
      <c r="E61"/>
      <c r="F61"/>
      <c r="G61"/>
      <c r="H61"/>
      <c r="I61"/>
      <c r="J61"/>
      <c r="K61"/>
      <c r="L61"/>
      <c r="Q61"/>
    </row>
    <row r="62" spans="2:17" ht="37.9" customHeight="1" x14ac:dyDescent="0.25">
      <c r="B62"/>
      <c r="C62"/>
      <c r="D62"/>
      <c r="E62"/>
      <c r="F62"/>
      <c r="G62"/>
      <c r="H62"/>
      <c r="I62"/>
      <c r="J62"/>
      <c r="K62"/>
      <c r="L62"/>
      <c r="Q62"/>
    </row>
    <row r="63" spans="2:17" ht="37.9" customHeight="1" x14ac:dyDescent="0.25">
      <c r="B63"/>
      <c r="C63"/>
      <c r="D63"/>
      <c r="E63"/>
      <c r="F63"/>
      <c r="G63"/>
      <c r="H63"/>
      <c r="I63"/>
      <c r="J63"/>
      <c r="K63"/>
      <c r="L63"/>
      <c r="Q63"/>
    </row>
    <row r="64" spans="2:17" ht="37.9" customHeight="1" x14ac:dyDescent="0.25">
      <c r="B64"/>
      <c r="C64"/>
      <c r="D64"/>
      <c r="E64"/>
      <c r="F64"/>
      <c r="G64"/>
      <c r="H64"/>
      <c r="I64"/>
      <c r="J64"/>
      <c r="K64"/>
      <c r="L64"/>
      <c r="Q64"/>
    </row>
    <row r="65" customFormat="1" ht="37.9" customHeight="1" x14ac:dyDescent="0.25"/>
    <row r="66" customFormat="1" ht="37.9" customHeight="1" x14ac:dyDescent="0.25"/>
    <row r="67" customFormat="1" ht="37.9" customHeight="1" x14ac:dyDescent="0.25"/>
    <row r="68" customFormat="1" ht="37.9" customHeight="1" x14ac:dyDescent="0.25"/>
    <row r="69" customFormat="1" ht="37.9" customHeight="1" x14ac:dyDescent="0.25"/>
    <row r="70" customFormat="1" ht="37.9" customHeight="1" x14ac:dyDescent="0.25"/>
    <row r="71" customFormat="1" ht="37.9" customHeight="1" x14ac:dyDescent="0.25"/>
    <row r="72" customFormat="1" ht="37.9" customHeight="1" x14ac:dyDescent="0.25"/>
    <row r="73" customFormat="1" ht="37.9" customHeight="1" x14ac:dyDescent="0.25"/>
    <row r="74" customFormat="1" ht="37.9" customHeight="1" x14ac:dyDescent="0.25"/>
    <row r="75" customFormat="1" ht="37.9" customHeight="1" x14ac:dyDescent="0.25"/>
    <row r="76" customFormat="1" ht="37.9" customHeight="1" x14ac:dyDescent="0.25"/>
    <row r="77" customFormat="1" ht="37.9" customHeight="1" x14ac:dyDescent="0.25"/>
    <row r="78" customFormat="1" ht="37.9" customHeight="1" x14ac:dyDescent="0.25"/>
  </sheetData>
  <mergeCells count="268">
    <mergeCell ref="P39:U39"/>
    <mergeCell ref="U2:V2"/>
    <mergeCell ref="B3:C3"/>
    <mergeCell ref="F3:G3"/>
    <mergeCell ref="H3:I3"/>
    <mergeCell ref="J3:K3"/>
    <mergeCell ref="L3:M3"/>
    <mergeCell ref="N3:O3"/>
    <mergeCell ref="Q3:R3"/>
    <mergeCell ref="S3:T3"/>
    <mergeCell ref="A4:B5"/>
    <mergeCell ref="C4:D5"/>
    <mergeCell ref="F4:G4"/>
    <mergeCell ref="H4:I4"/>
    <mergeCell ref="J4:K4"/>
    <mergeCell ref="L4:M4"/>
    <mergeCell ref="N4:O4"/>
    <mergeCell ref="Q5:R5"/>
    <mergeCell ref="S5:T5"/>
    <mergeCell ref="U5:V5"/>
    <mergeCell ref="Q4:R4"/>
    <mergeCell ref="S4:T4"/>
    <mergeCell ref="U4:V4"/>
    <mergeCell ref="F5:G5"/>
    <mergeCell ref="Q1:R1"/>
    <mergeCell ref="Q2:R2"/>
    <mergeCell ref="S2:T2"/>
    <mergeCell ref="E1:E2"/>
    <mergeCell ref="F1:G2"/>
    <mergeCell ref="H1:I2"/>
    <mergeCell ref="J1:K2"/>
    <mergeCell ref="L1:M2"/>
    <mergeCell ref="N1:O2"/>
    <mergeCell ref="H5:I5"/>
    <mergeCell ref="J5:K5"/>
    <mergeCell ref="L5:M5"/>
    <mergeCell ref="N5:O5"/>
    <mergeCell ref="L6:M7"/>
    <mergeCell ref="N6:O7"/>
    <mergeCell ref="Q6:R7"/>
    <mergeCell ref="A6:B6"/>
    <mergeCell ref="C6:D6"/>
    <mergeCell ref="E6:E7"/>
    <mergeCell ref="F6:G7"/>
    <mergeCell ref="H6:I7"/>
    <mergeCell ref="J6:K7"/>
    <mergeCell ref="C7:D8"/>
    <mergeCell ref="F8:G8"/>
    <mergeCell ref="H8:I8"/>
    <mergeCell ref="J8:K8"/>
    <mergeCell ref="Q9:R9"/>
    <mergeCell ref="S9:T9"/>
    <mergeCell ref="L9:L10"/>
    <mergeCell ref="M9:M10"/>
    <mergeCell ref="N9:N10"/>
    <mergeCell ref="O9:O10"/>
    <mergeCell ref="S8:T8"/>
    <mergeCell ref="U8:V8"/>
    <mergeCell ref="B9:B10"/>
    <mergeCell ref="C9:E10"/>
    <mergeCell ref="F9:F10"/>
    <mergeCell ref="G9:G10"/>
    <mergeCell ref="H9:H10"/>
    <mergeCell ref="I9:I10"/>
    <mergeCell ref="J9:J10"/>
    <mergeCell ref="K9:K10"/>
    <mergeCell ref="L8:M8"/>
    <mergeCell ref="N8:O8"/>
    <mergeCell ref="Q8:R8"/>
    <mergeCell ref="A10:A37"/>
    <mergeCell ref="Q10:R10"/>
    <mergeCell ref="C11:E11"/>
    <mergeCell ref="Q11:R11"/>
    <mergeCell ref="S11:T11"/>
    <mergeCell ref="U11:V11"/>
    <mergeCell ref="C12:E12"/>
    <mergeCell ref="Q12:R12"/>
    <mergeCell ref="C13:E13"/>
    <mergeCell ref="Q13:R13"/>
    <mergeCell ref="C15:E15"/>
    <mergeCell ref="Q15:R15"/>
    <mergeCell ref="C16:E16"/>
    <mergeCell ref="Q16:R16"/>
    <mergeCell ref="S16:T16"/>
    <mergeCell ref="U16:V16"/>
    <mergeCell ref="S13:T13"/>
    <mergeCell ref="U13:V13"/>
    <mergeCell ref="C14:E14"/>
    <mergeCell ref="Q14:R14"/>
    <mergeCell ref="S14:T14"/>
    <mergeCell ref="U14:V14"/>
    <mergeCell ref="S19:T19"/>
    <mergeCell ref="U19:V19"/>
    <mergeCell ref="C20:E20"/>
    <mergeCell ref="Q20:R20"/>
    <mergeCell ref="S20:T20"/>
    <mergeCell ref="U20:V20"/>
    <mergeCell ref="C17:E17"/>
    <mergeCell ref="Q17:R17"/>
    <mergeCell ref="C18:E18"/>
    <mergeCell ref="Q18:R18"/>
    <mergeCell ref="C19:E19"/>
    <mergeCell ref="Q19:R19"/>
    <mergeCell ref="W23:X23"/>
    <mergeCell ref="C24:E24"/>
    <mergeCell ref="Q24:R24"/>
    <mergeCell ref="C21:E21"/>
    <mergeCell ref="S21:T21"/>
    <mergeCell ref="U21:V21"/>
    <mergeCell ref="C22:E22"/>
    <mergeCell ref="S22:T22"/>
    <mergeCell ref="U22:V22"/>
    <mergeCell ref="C25:E25"/>
    <mergeCell ref="Q25:R25"/>
    <mergeCell ref="S25:T25"/>
    <mergeCell ref="U25:V25"/>
    <mergeCell ref="C26:E26"/>
    <mergeCell ref="Q26:R26"/>
    <mergeCell ref="S26:T26"/>
    <mergeCell ref="U26:V26"/>
    <mergeCell ref="C23:E23"/>
    <mergeCell ref="Q23:R23"/>
    <mergeCell ref="S23:T23"/>
    <mergeCell ref="U23:V23"/>
    <mergeCell ref="C29:E29"/>
    <mergeCell ref="C30:E30"/>
    <mergeCell ref="Q30:R30"/>
    <mergeCell ref="C31:E31"/>
    <mergeCell ref="Q31:R31"/>
    <mergeCell ref="S31:T31"/>
    <mergeCell ref="C27:E27"/>
    <mergeCell ref="S27:T27"/>
    <mergeCell ref="U27:V27"/>
    <mergeCell ref="C28:E28"/>
    <mergeCell ref="S28:T28"/>
    <mergeCell ref="U28:V28"/>
    <mergeCell ref="S34:T34"/>
    <mergeCell ref="U34:V34"/>
    <mergeCell ref="S33:T33"/>
    <mergeCell ref="U33:V33"/>
    <mergeCell ref="U31:V31"/>
    <mergeCell ref="C32:E32"/>
    <mergeCell ref="Q32:R32"/>
    <mergeCell ref="S32:T32"/>
    <mergeCell ref="U32:V32"/>
    <mergeCell ref="B41:C41"/>
    <mergeCell ref="F41:G41"/>
    <mergeCell ref="H41:I41"/>
    <mergeCell ref="J41:K41"/>
    <mergeCell ref="L41:M41"/>
    <mergeCell ref="N41:O41"/>
    <mergeCell ref="F38:I38"/>
    <mergeCell ref="J38:O38"/>
    <mergeCell ref="F39:I39"/>
    <mergeCell ref="J39:O39"/>
    <mergeCell ref="B44:X44"/>
    <mergeCell ref="B45:C45"/>
    <mergeCell ref="D45:E45"/>
    <mergeCell ref="F45:G45"/>
    <mergeCell ref="H45:I45"/>
    <mergeCell ref="J45:K45"/>
    <mergeCell ref="L45:M45"/>
    <mergeCell ref="N45:O45"/>
    <mergeCell ref="Q42:U42"/>
    <mergeCell ref="F43:G43"/>
    <mergeCell ref="H43:I43"/>
    <mergeCell ref="J43:K43"/>
    <mergeCell ref="L43:M43"/>
    <mergeCell ref="N43:O43"/>
    <mergeCell ref="A42:B43"/>
    <mergeCell ref="C42:D43"/>
    <mergeCell ref="F42:G42"/>
    <mergeCell ref="H42:I42"/>
    <mergeCell ref="J42:K42"/>
    <mergeCell ref="L42:M42"/>
    <mergeCell ref="N42:O42"/>
    <mergeCell ref="B47:C47"/>
    <mergeCell ref="D47:E47"/>
    <mergeCell ref="F47:G47"/>
    <mergeCell ref="H47:I47"/>
    <mergeCell ref="J47:K47"/>
    <mergeCell ref="L47:M47"/>
    <mergeCell ref="N47:O47"/>
    <mergeCell ref="B46:C46"/>
    <mergeCell ref="D46:E46"/>
    <mergeCell ref="F46:G46"/>
    <mergeCell ref="H46:I46"/>
    <mergeCell ref="J46:K46"/>
    <mergeCell ref="L46:M46"/>
    <mergeCell ref="N46:O46"/>
    <mergeCell ref="B49:C49"/>
    <mergeCell ref="D49:E49"/>
    <mergeCell ref="F49:G49"/>
    <mergeCell ref="H49:I49"/>
    <mergeCell ref="J49:K49"/>
    <mergeCell ref="L49:M49"/>
    <mergeCell ref="N49:O49"/>
    <mergeCell ref="B48:C48"/>
    <mergeCell ref="D48:E48"/>
    <mergeCell ref="F48:G48"/>
    <mergeCell ref="H48:I48"/>
    <mergeCell ref="J48:K48"/>
    <mergeCell ref="L48:M48"/>
    <mergeCell ref="N48:O48"/>
    <mergeCell ref="B51:C51"/>
    <mergeCell ref="D51:E51"/>
    <mergeCell ref="F51:G51"/>
    <mergeCell ref="H51:I51"/>
    <mergeCell ref="J51:K51"/>
    <mergeCell ref="L51:M51"/>
    <mergeCell ref="N51:O51"/>
    <mergeCell ref="B50:C50"/>
    <mergeCell ref="D50:E50"/>
    <mergeCell ref="F50:G50"/>
    <mergeCell ref="H50:I50"/>
    <mergeCell ref="J50:K50"/>
    <mergeCell ref="L50:M50"/>
    <mergeCell ref="N50:O50"/>
    <mergeCell ref="B53:C53"/>
    <mergeCell ref="D53:E53"/>
    <mergeCell ref="F53:G53"/>
    <mergeCell ref="H53:I53"/>
    <mergeCell ref="J53:K53"/>
    <mergeCell ref="L53:M53"/>
    <mergeCell ref="N53:O53"/>
    <mergeCell ref="B52:C52"/>
    <mergeCell ref="D52:E52"/>
    <mergeCell ref="F52:G52"/>
    <mergeCell ref="H52:I52"/>
    <mergeCell ref="J52:K52"/>
    <mergeCell ref="L52:M52"/>
    <mergeCell ref="N52:O52"/>
    <mergeCell ref="F55:G55"/>
    <mergeCell ref="H55:I55"/>
    <mergeCell ref="J55:K55"/>
    <mergeCell ref="L55:M55"/>
    <mergeCell ref="N55:O55"/>
    <mergeCell ref="B54:C54"/>
    <mergeCell ref="D54:E54"/>
    <mergeCell ref="F54:G54"/>
    <mergeCell ref="H54:I54"/>
    <mergeCell ref="J54:K54"/>
    <mergeCell ref="L54:M54"/>
    <mergeCell ref="N54:O54"/>
    <mergeCell ref="P38:W38"/>
    <mergeCell ref="B58:C58"/>
    <mergeCell ref="D58:E58"/>
    <mergeCell ref="F58:G58"/>
    <mergeCell ref="H58:I58"/>
    <mergeCell ref="J58:K58"/>
    <mergeCell ref="L58:M58"/>
    <mergeCell ref="N58:O58"/>
    <mergeCell ref="B57:C57"/>
    <mergeCell ref="D57:E57"/>
    <mergeCell ref="F57:G57"/>
    <mergeCell ref="H57:I57"/>
    <mergeCell ref="J57:K57"/>
    <mergeCell ref="L57:M57"/>
    <mergeCell ref="N57:O57"/>
    <mergeCell ref="B56:C56"/>
    <mergeCell ref="D56:E56"/>
    <mergeCell ref="F56:G56"/>
    <mergeCell ref="H56:I56"/>
    <mergeCell ref="J56:K56"/>
    <mergeCell ref="L56:M56"/>
    <mergeCell ref="N56:O56"/>
    <mergeCell ref="B55:C55"/>
    <mergeCell ref="D55:E55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3" orientation="landscape" r:id="rId1"/>
  <rowBreaks count="1" manualBreakCount="1">
    <brk id="39" max="2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084417-80A1-41A4-9BF6-43EFC20C6EE8}">
          <x14:formula1>
            <xm:f>' CADASTRO'!$I$2:$I$992</xm:f>
          </x14:formula1>
          <xm:sqref>F42:O42</xm:sqref>
        </x14:dataValidation>
        <x14:dataValidation type="list" allowBlank="1" showInputMessage="1" showErrorMessage="1" xr:uid="{EA57A579-9118-449C-82E2-9AAB25CFD941}">
          <x14:formula1>
            <xm:f>' CADASTRO'!$J$2:$J$992</xm:f>
          </x14:formula1>
          <xm:sqref>F43:O43</xm:sqref>
        </x14:dataValidation>
        <x14:dataValidation type="list" allowBlank="1" showInputMessage="1" showErrorMessage="1" xr:uid="{3DA5EEA8-C70B-4C41-AEAD-C50F8FCFCB56}">
          <x14:formula1>
            <xm:f>' CADASTRO'!$I$2:$I$2000</xm:f>
          </x14:formula1>
          <xm:sqref>F3:O3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1F41-41D1-4091-9A87-A89837360BB3}">
  <dimension ref="A1:AG78"/>
  <sheetViews>
    <sheetView view="pageBreakPreview" topLeftCell="A14" zoomScale="40" zoomScaleNormal="100" zoomScaleSheetLayoutView="40" workbookViewId="0">
      <selection activeCell="J39" sqref="J39:O39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77.42578125" style="2" customWidth="1"/>
    <col min="6" max="12" width="11.7109375" style="2" customWidth="1"/>
    <col min="13" max="15" width="11.7109375" customWidth="1"/>
    <col min="16" max="17" width="11.7109375" style="2" customWidth="1"/>
    <col min="18" max="20" width="11.7109375" customWidth="1"/>
    <col min="21" max="21" width="17.7109375" customWidth="1"/>
    <col min="22" max="22" width="3.28515625" customWidth="1"/>
    <col min="23" max="23" width="8.85546875" style="24"/>
    <col min="25" max="25" width="12" customWidth="1"/>
    <col min="26" max="26" width="33.140625" customWidth="1"/>
    <col min="27" max="27" width="14.28515625" customWidth="1"/>
    <col min="28" max="28" width="24" customWidth="1"/>
    <col min="29" max="29" width="43.42578125" customWidth="1"/>
    <col min="30" max="30" width="47.140625" customWidth="1"/>
    <col min="32" max="32" width="9.140625" customWidth="1"/>
  </cols>
  <sheetData>
    <row r="1" spans="1:33" ht="26.45" customHeight="1" x14ac:dyDescent="0.5">
      <c r="E1" s="361" t="s">
        <v>996</v>
      </c>
      <c r="F1" s="351"/>
      <c r="G1" s="352"/>
      <c r="H1" s="351"/>
      <c r="I1" s="352"/>
      <c r="J1" s="351"/>
      <c r="K1" s="352"/>
      <c r="L1" s="351"/>
      <c r="M1" s="352"/>
      <c r="N1" s="351"/>
      <c r="O1" s="352"/>
      <c r="P1" s="351"/>
      <c r="Q1" s="352"/>
      <c r="R1" s="351"/>
      <c r="S1" s="352"/>
      <c r="T1" s="351"/>
      <c r="U1" s="352"/>
      <c r="W1" s="340" t="s">
        <v>73</v>
      </c>
      <c r="X1" s="340"/>
    </row>
    <row r="2" spans="1:33" ht="55.15" customHeight="1" x14ac:dyDescent="0.25">
      <c r="E2" s="362"/>
      <c r="F2" s="353"/>
      <c r="G2" s="354"/>
      <c r="H2" s="353"/>
      <c r="I2" s="354"/>
      <c r="J2" s="353"/>
      <c r="K2" s="354"/>
      <c r="L2" s="353"/>
      <c r="M2" s="354"/>
      <c r="N2" s="353"/>
      <c r="O2" s="354"/>
      <c r="P2" s="353"/>
      <c r="Q2" s="354"/>
      <c r="R2" s="353"/>
      <c r="S2" s="354"/>
      <c r="T2" s="353"/>
      <c r="U2" s="354"/>
      <c r="W2" s="333" t="s">
        <v>1020</v>
      </c>
      <c r="X2" s="333"/>
      <c r="Y2" s="347">
        <f>Y3-378</f>
        <v>942</v>
      </c>
      <c r="Z2" s="348"/>
      <c r="AA2" s="355" t="s">
        <v>1014</v>
      </c>
      <c r="AB2" s="356"/>
      <c r="AC2" s="130"/>
      <c r="AD2" s="130" t="s">
        <v>1023</v>
      </c>
      <c r="AF2" s="40">
        <v>1</v>
      </c>
      <c r="AG2" s="52" t="s">
        <v>1022</v>
      </c>
    </row>
    <row r="3" spans="1:33" ht="55.9" customHeight="1" x14ac:dyDescent="0.25">
      <c r="B3" s="282" t="s">
        <v>161</v>
      </c>
      <c r="C3" s="282"/>
      <c r="D3" s="108">
        <f>MAX(' CADASTRO'!C2:C999)</f>
        <v>169</v>
      </c>
      <c r="E3" s="117" t="s">
        <v>121</v>
      </c>
      <c r="F3" s="283" t="s">
        <v>105</v>
      </c>
      <c r="G3" s="284"/>
      <c r="H3" s="283" t="s">
        <v>105</v>
      </c>
      <c r="I3" s="284"/>
      <c r="J3" s="283" t="s">
        <v>105</v>
      </c>
      <c r="K3" s="284"/>
      <c r="L3" s="283" t="s">
        <v>105</v>
      </c>
      <c r="M3" s="284"/>
      <c r="N3" s="283" t="s">
        <v>105</v>
      </c>
      <c r="O3" s="284"/>
      <c r="P3" s="283" t="s">
        <v>105</v>
      </c>
      <c r="Q3" s="284"/>
      <c r="R3" s="283" t="s">
        <v>105</v>
      </c>
      <c r="S3" s="284"/>
      <c r="T3" s="283" t="s">
        <v>104</v>
      </c>
      <c r="U3" s="284"/>
      <c r="W3" s="299" t="s">
        <v>1019</v>
      </c>
      <c r="X3" s="300"/>
      <c r="Y3" s="357">
        <v>1320</v>
      </c>
      <c r="Z3" s="358"/>
      <c r="AA3" s="134" t="s">
        <v>1015</v>
      </c>
      <c r="AB3" s="135"/>
      <c r="AC3" s="75"/>
      <c r="AD3" s="75"/>
      <c r="AF3" s="40">
        <v>2</v>
      </c>
      <c r="AG3" s="52" t="s">
        <v>1022</v>
      </c>
    </row>
    <row r="4" spans="1:33" ht="37.9" customHeight="1" x14ac:dyDescent="0.25">
      <c r="A4" s="278" t="s">
        <v>1</v>
      </c>
      <c r="B4" s="278"/>
      <c r="C4" s="279">
        <f ca="1">TODAY()</f>
        <v>46007</v>
      </c>
      <c r="D4" s="280"/>
      <c r="E4" s="117" t="s">
        <v>6</v>
      </c>
      <c r="F4" s="281" t="s">
        <v>1101</v>
      </c>
      <c r="G4" s="281"/>
      <c r="H4" s="383" t="s">
        <v>1102</v>
      </c>
      <c r="I4" s="384"/>
      <c r="J4" s="383" t="s">
        <v>1103</v>
      </c>
      <c r="K4" s="384"/>
      <c r="L4" s="383" t="s">
        <v>1104</v>
      </c>
      <c r="M4" s="384"/>
      <c r="N4" s="383" t="s">
        <v>1105</v>
      </c>
      <c r="O4" s="384"/>
      <c r="P4" s="383" t="s">
        <v>1106</v>
      </c>
      <c r="Q4" s="384"/>
      <c r="R4" s="281" t="s">
        <v>1107</v>
      </c>
      <c r="S4" s="281"/>
      <c r="T4" s="281" t="s">
        <v>1108</v>
      </c>
      <c r="U4" s="281"/>
      <c r="W4" s="318" t="s">
        <v>1016</v>
      </c>
      <c r="X4" s="319"/>
      <c r="Y4" s="359" t="s">
        <v>1009</v>
      </c>
      <c r="Z4" s="360"/>
      <c r="AA4" s="359" t="s">
        <v>1010</v>
      </c>
      <c r="AB4" s="360"/>
      <c r="AC4" s="129" t="s">
        <v>1011</v>
      </c>
      <c r="AD4" s="129" t="s">
        <v>1012</v>
      </c>
      <c r="AF4" s="40">
        <v>3</v>
      </c>
      <c r="AG4" s="52" t="s">
        <v>1022</v>
      </c>
    </row>
    <row r="5" spans="1:33" ht="79.900000000000006" customHeight="1" x14ac:dyDescent="0.25">
      <c r="A5" s="278"/>
      <c r="B5" s="278"/>
      <c r="C5" s="279"/>
      <c r="D5" s="280"/>
      <c r="E5" s="117" t="s">
        <v>51</v>
      </c>
      <c r="F5" s="334" t="str">
        <f>VLOOKUP(F4,' CADASTRO'!$I$2:$J$999,2,0)</f>
        <v>P</v>
      </c>
      <c r="G5" s="334"/>
      <c r="H5" s="334" t="str">
        <f>VLOOKUP(H4,' CADASTRO'!$I$2:$J$999,2,0)</f>
        <v>P</v>
      </c>
      <c r="I5" s="334"/>
      <c r="J5" s="334" t="str">
        <f>VLOOKUP(J4,' CADASTRO'!$I$2:$J$999,2,0)</f>
        <v>P</v>
      </c>
      <c r="K5" s="334"/>
      <c r="L5" s="334" t="str">
        <f>VLOOKUP(L4,' CADASTRO'!$I$2:$J$999,2,0)</f>
        <v>P</v>
      </c>
      <c r="M5" s="334"/>
      <c r="N5" s="334" t="str">
        <f>VLOOKUP(N4,' CADASTRO'!$I$2:$J$999,2,0)</f>
        <v>P</v>
      </c>
      <c r="O5" s="334"/>
      <c r="P5" s="334" t="str">
        <f>VLOOKUP(P4,' CADASTRO'!$I$2:$J$999,2,0)</f>
        <v>P</v>
      </c>
      <c r="Q5" s="334"/>
      <c r="R5" s="334" t="str">
        <f>VLOOKUP(R4,' CADASTRO'!$I$2:$J$999,2,0)</f>
        <v>P</v>
      </c>
      <c r="S5" s="334"/>
      <c r="T5" s="334" t="str">
        <f>VLOOKUP(T4,' CADASTRO'!$I$2:$J$999,2,0)</f>
        <v>P</v>
      </c>
      <c r="U5" s="334"/>
      <c r="W5" s="323" t="s">
        <v>1013</v>
      </c>
      <c r="X5" s="323"/>
      <c r="Y5" s="291"/>
      <c r="Z5" s="292"/>
      <c r="AA5" s="291"/>
      <c r="AB5" s="292"/>
      <c r="AC5" s="75"/>
      <c r="AD5" s="75"/>
      <c r="AF5" s="40">
        <v>4</v>
      </c>
      <c r="AG5" s="52" t="s">
        <v>1022</v>
      </c>
    </row>
    <row r="6" spans="1:33" ht="15.6" customHeight="1" x14ac:dyDescent="0.25">
      <c r="A6" s="341" t="s">
        <v>82</v>
      </c>
      <c r="B6" s="341"/>
      <c r="C6" s="342"/>
      <c r="D6" s="343"/>
      <c r="E6" s="344" t="s">
        <v>62</v>
      </c>
      <c r="F6" s="336" t="str">
        <f>VLOOKUP(F4,' CADASTRO'!$I$2:$Q$993,9,0)</f>
        <v>NÃO TEM CHAPA</v>
      </c>
      <c r="G6" s="337"/>
      <c r="H6" s="336" t="str">
        <f>VLOOKUP(H4,' CADASTRO'!$I$2:$Q$993,9,0)</f>
        <v>NÃO TEM CHAPA</v>
      </c>
      <c r="I6" s="337"/>
      <c r="J6" s="336" t="str">
        <f>VLOOKUP(J4,' CADASTRO'!$I$2:$Q$993,9,0)</f>
        <v>NÃO TEM CHAPA</v>
      </c>
      <c r="K6" s="337"/>
      <c r="L6" s="336" t="str">
        <f>VLOOKUP(L4,' CADASTRO'!$I$2:$Q$993,9,0)</f>
        <v>NÃO TEM CHAPA</v>
      </c>
      <c r="M6" s="337"/>
      <c r="N6" s="336" t="str">
        <f>VLOOKUP(N4,' CADASTRO'!$I$2:$Q$993,9,0)</f>
        <v>NÃO TEM CHAPA</v>
      </c>
      <c r="O6" s="337"/>
      <c r="P6" s="336" t="str">
        <f>VLOOKUP(P4,' CADASTRO'!$I$2:$Q$993,9,0)</f>
        <v>NÃO TEM CHAPA</v>
      </c>
      <c r="Q6" s="337"/>
      <c r="R6" s="336" t="str">
        <f>VLOOKUP(R4,' CADASTRO'!$I$2:$Q$993,9,0)</f>
        <v>NÃO TEM CHAPA</v>
      </c>
      <c r="S6" s="378"/>
      <c r="T6" s="380" t="str">
        <f>VLOOKUP(T4,' CADASTRO'!$I$2:$Q$993,9,0)</f>
        <v>NÃO TEM CHAPA</v>
      </c>
      <c r="U6" s="380"/>
      <c r="W6" s="340" t="s">
        <v>75</v>
      </c>
      <c r="X6" s="340"/>
      <c r="AF6" s="40">
        <v>5</v>
      </c>
      <c r="AG6" s="52" t="s">
        <v>1022</v>
      </c>
    </row>
    <row r="7" spans="1:33" ht="36.6" customHeight="1" x14ac:dyDescent="0.25">
      <c r="C7" s="346" t="s">
        <v>110</v>
      </c>
      <c r="D7" s="346"/>
      <c r="E7" s="345"/>
      <c r="F7" s="338"/>
      <c r="G7" s="339"/>
      <c r="H7" s="338"/>
      <c r="I7" s="339"/>
      <c r="J7" s="338"/>
      <c r="K7" s="339"/>
      <c r="L7" s="338"/>
      <c r="M7" s="339"/>
      <c r="N7" s="338"/>
      <c r="O7" s="339"/>
      <c r="P7" s="338"/>
      <c r="Q7" s="339"/>
      <c r="R7" s="338"/>
      <c r="S7" s="379"/>
      <c r="T7" s="380"/>
      <c r="U7" s="380"/>
      <c r="W7" s="340"/>
      <c r="X7" s="340"/>
      <c r="AF7" s="40">
        <v>6</v>
      </c>
      <c r="AG7" s="52"/>
    </row>
    <row r="8" spans="1:33" ht="48" customHeight="1" x14ac:dyDescent="0.25">
      <c r="C8" s="346"/>
      <c r="D8" s="346"/>
      <c r="E8" s="43" t="s">
        <v>65</v>
      </c>
      <c r="F8" s="331" t="s">
        <v>59</v>
      </c>
      <c r="G8" s="332"/>
      <c r="H8" s="331" t="s">
        <v>66</v>
      </c>
      <c r="I8" s="332"/>
      <c r="J8" s="331" t="s">
        <v>67</v>
      </c>
      <c r="K8" s="332"/>
      <c r="L8" s="331" t="s">
        <v>68</v>
      </c>
      <c r="M8" s="332"/>
      <c r="N8" s="331" t="s">
        <v>69</v>
      </c>
      <c r="O8" s="332"/>
      <c r="P8" s="331" t="s">
        <v>70</v>
      </c>
      <c r="Q8" s="332"/>
      <c r="R8" s="331" t="s">
        <v>71</v>
      </c>
      <c r="S8" s="381"/>
      <c r="T8" s="382" t="s">
        <v>72</v>
      </c>
      <c r="U8" s="382"/>
      <c r="W8" s="333" t="s">
        <v>1020</v>
      </c>
      <c r="X8" s="333"/>
      <c r="Y8" s="310">
        <f>IF(Y9="","",Y9-378)</f>
        <v>943</v>
      </c>
      <c r="Z8" s="311"/>
      <c r="AA8" s="299" t="s">
        <v>1014</v>
      </c>
      <c r="AB8" s="300"/>
      <c r="AC8" s="130"/>
      <c r="AD8" s="130" t="s">
        <v>1023</v>
      </c>
      <c r="AF8" s="14"/>
    </row>
    <row r="9" spans="1:33" ht="38.450000000000003" customHeight="1" x14ac:dyDescent="0.25">
      <c r="B9" s="327" t="s">
        <v>3</v>
      </c>
      <c r="C9" s="328" t="s">
        <v>4</v>
      </c>
      <c r="D9" s="328"/>
      <c r="E9" s="325"/>
      <c r="F9" s="325" t="s">
        <v>0</v>
      </c>
      <c r="G9" s="326" t="s">
        <v>2</v>
      </c>
      <c r="H9" s="325" t="s">
        <v>0</v>
      </c>
      <c r="I9" s="326" t="s">
        <v>2</v>
      </c>
      <c r="J9" s="325" t="s">
        <v>0</v>
      </c>
      <c r="K9" s="326" t="s">
        <v>2</v>
      </c>
      <c r="L9" s="325" t="s">
        <v>0</v>
      </c>
      <c r="M9" s="326" t="s">
        <v>2</v>
      </c>
      <c r="N9" s="325" t="s">
        <v>0</v>
      </c>
      <c r="O9" s="326" t="s">
        <v>2</v>
      </c>
      <c r="P9" s="325" t="s">
        <v>0</v>
      </c>
      <c r="Q9" s="326" t="s">
        <v>2</v>
      </c>
      <c r="R9" s="325" t="s">
        <v>0</v>
      </c>
      <c r="S9" s="363" t="s">
        <v>2</v>
      </c>
      <c r="T9" s="325" t="s">
        <v>0</v>
      </c>
      <c r="U9" s="326" t="s">
        <v>2</v>
      </c>
      <c r="W9" s="299" t="s">
        <v>1019</v>
      </c>
      <c r="X9" s="300"/>
      <c r="Y9" s="310">
        <f>IF(AG3="X",Y3+1,"")</f>
        <v>1321</v>
      </c>
      <c r="Z9" s="311"/>
      <c r="AA9" s="134" t="s">
        <v>1015</v>
      </c>
      <c r="AB9" s="135"/>
      <c r="AC9" s="75"/>
      <c r="AD9" s="75"/>
      <c r="AF9" s="14"/>
    </row>
    <row r="10" spans="1:33" ht="30" customHeight="1" thickBot="1" x14ac:dyDescent="0.3">
      <c r="A10" s="317"/>
      <c r="B10" s="327"/>
      <c r="C10" s="325"/>
      <c r="D10" s="325"/>
      <c r="E10" s="325"/>
      <c r="F10" s="329"/>
      <c r="G10" s="330"/>
      <c r="H10" s="325"/>
      <c r="I10" s="326"/>
      <c r="J10" s="329"/>
      <c r="K10" s="330"/>
      <c r="L10" s="325"/>
      <c r="M10" s="326"/>
      <c r="N10" s="325"/>
      <c r="O10" s="326"/>
      <c r="P10" s="325"/>
      <c r="Q10" s="326"/>
      <c r="R10" s="325"/>
      <c r="S10" s="363"/>
      <c r="T10" s="325"/>
      <c r="U10" s="326"/>
      <c r="W10" s="318" t="s">
        <v>1016</v>
      </c>
      <c r="X10" s="319"/>
      <c r="Y10" s="139" t="s">
        <v>1009</v>
      </c>
      <c r="Z10" s="140"/>
      <c r="AA10" s="139" t="s">
        <v>1010</v>
      </c>
      <c r="AB10" s="140"/>
      <c r="AC10" s="133" t="s">
        <v>1011</v>
      </c>
      <c r="AD10" s="133" t="s">
        <v>1012</v>
      </c>
    </row>
    <row r="11" spans="1:33" ht="70.900000000000006" customHeight="1" x14ac:dyDescent="0.25">
      <c r="A11" s="317"/>
      <c r="B11" s="5">
        <v>1</v>
      </c>
      <c r="C11" s="305" t="s">
        <v>111</v>
      </c>
      <c r="D11" s="306"/>
      <c r="E11" s="306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6"/>
      <c r="T11" s="22"/>
      <c r="U11" s="22"/>
      <c r="W11" s="320" t="s">
        <v>1013</v>
      </c>
      <c r="X11" s="321"/>
      <c r="Y11" s="291"/>
      <c r="Z11" s="292"/>
      <c r="AA11" s="291"/>
      <c r="AB11" s="292"/>
      <c r="AC11" s="75"/>
      <c r="AD11" s="75"/>
    </row>
    <row r="12" spans="1:33" ht="49.9" customHeight="1" x14ac:dyDescent="0.45">
      <c r="A12" s="317"/>
      <c r="B12" s="5">
        <v>2</v>
      </c>
      <c r="C12" s="296" t="s">
        <v>106</v>
      </c>
      <c r="D12" s="297"/>
      <c r="E12" s="297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322" t="s">
        <v>76</v>
      </c>
      <c r="X12" s="322"/>
      <c r="Y12" s="138"/>
      <c r="Z12" s="138"/>
      <c r="AA12" s="138"/>
      <c r="AB12" s="138"/>
    </row>
    <row r="13" spans="1:33" ht="49.9" customHeight="1" x14ac:dyDescent="0.25">
      <c r="A13" s="317"/>
      <c r="B13" s="5">
        <v>3</v>
      </c>
      <c r="C13" s="308" t="s">
        <v>101</v>
      </c>
      <c r="D13" s="309"/>
      <c r="E13" s="309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299" t="s">
        <v>1020</v>
      </c>
      <c r="X13" s="300"/>
      <c r="Y13" s="310">
        <f>IF(Y14="","",Y14-378)</f>
        <v>944</v>
      </c>
      <c r="Z13" s="311"/>
      <c r="AA13" s="303" t="s">
        <v>1055</v>
      </c>
      <c r="AB13" s="304"/>
      <c r="AC13" s="130"/>
      <c r="AD13" s="130" t="s">
        <v>1023</v>
      </c>
    </row>
    <row r="14" spans="1:33" ht="49.9" customHeight="1" x14ac:dyDescent="0.25">
      <c r="A14" s="317"/>
      <c r="B14" s="5">
        <v>4</v>
      </c>
      <c r="C14" s="312" t="s">
        <v>112</v>
      </c>
      <c r="D14" s="313"/>
      <c r="E14" s="313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299" t="s">
        <v>1019</v>
      </c>
      <c r="X14" s="300"/>
      <c r="Y14" s="310">
        <f>IF(AG4="X",$Y$3+2,"")</f>
        <v>1322</v>
      </c>
      <c r="Z14" s="311"/>
      <c r="AA14" s="303" t="s">
        <v>1015</v>
      </c>
      <c r="AB14" s="304"/>
      <c r="AC14" s="75"/>
      <c r="AD14" s="75"/>
    </row>
    <row r="15" spans="1:33" ht="49.9" customHeight="1" x14ac:dyDescent="0.25">
      <c r="A15" s="317"/>
      <c r="B15" s="5">
        <v>5</v>
      </c>
      <c r="C15" s="305" t="s">
        <v>133</v>
      </c>
      <c r="D15" s="306"/>
      <c r="E15" s="306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318" t="s">
        <v>1016</v>
      </c>
      <c r="X15" s="319"/>
      <c r="Y15" s="139" t="s">
        <v>1009</v>
      </c>
      <c r="Z15" s="140"/>
      <c r="AA15" s="139" t="s">
        <v>1010</v>
      </c>
      <c r="AB15" s="140"/>
      <c r="AC15" s="133" t="s">
        <v>1011</v>
      </c>
      <c r="AD15" s="133" t="s">
        <v>1012</v>
      </c>
    </row>
    <row r="16" spans="1:33" ht="69.599999999999994" customHeight="1" x14ac:dyDescent="0.25">
      <c r="A16" s="317"/>
      <c r="B16" s="5">
        <v>6</v>
      </c>
      <c r="C16" s="296" t="s">
        <v>113</v>
      </c>
      <c r="D16" s="297"/>
      <c r="E16" s="297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323" t="s">
        <v>1013</v>
      </c>
      <c r="X16" s="323"/>
      <c r="Y16" s="324"/>
      <c r="Z16" s="324"/>
      <c r="AA16" s="324"/>
      <c r="AB16" s="324"/>
      <c r="AC16" s="75"/>
      <c r="AD16" s="75"/>
    </row>
    <row r="17" spans="1:30" ht="49.9" customHeight="1" x14ac:dyDescent="0.25">
      <c r="A17" s="317"/>
      <c r="B17" s="5">
        <v>7</v>
      </c>
      <c r="C17" s="305" t="s">
        <v>27</v>
      </c>
      <c r="D17" s="306"/>
      <c r="E17" s="306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316"/>
      <c r="X17" s="316"/>
    </row>
    <row r="18" spans="1:30" ht="49.9" customHeight="1" x14ac:dyDescent="0.25">
      <c r="A18" s="317"/>
      <c r="B18" s="5">
        <v>8</v>
      </c>
      <c r="C18" s="296" t="s">
        <v>26</v>
      </c>
      <c r="D18" s="297"/>
      <c r="E18" s="297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307" t="s">
        <v>77</v>
      </c>
      <c r="X18" s="307"/>
    </row>
    <row r="19" spans="1:30" ht="49.9" customHeight="1" x14ac:dyDescent="0.25">
      <c r="A19" s="317"/>
      <c r="B19" s="5">
        <v>9</v>
      </c>
      <c r="C19" s="305" t="s">
        <v>81</v>
      </c>
      <c r="D19" s="306"/>
      <c r="E19" s="306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299" t="s">
        <v>1020</v>
      </c>
      <c r="X19" s="300"/>
      <c r="Y19" s="310">
        <f>IF(Y20="","",Y20-378)</f>
        <v>945</v>
      </c>
      <c r="Z19" s="311"/>
      <c r="AA19" s="303" t="s">
        <v>1014</v>
      </c>
      <c r="AB19" s="304"/>
      <c r="AC19" s="130"/>
      <c r="AD19" s="130" t="s">
        <v>1023</v>
      </c>
    </row>
    <row r="20" spans="1:30" ht="49.9" customHeight="1" x14ac:dyDescent="0.25">
      <c r="A20" s="317"/>
      <c r="B20" s="5">
        <v>10</v>
      </c>
      <c r="C20" s="296" t="s">
        <v>45</v>
      </c>
      <c r="D20" s="297"/>
      <c r="E20" s="297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299" t="s">
        <v>1021</v>
      </c>
      <c r="X20" s="300"/>
      <c r="Y20" s="310">
        <f>IF(AG5="X",$Y$3+3,"")</f>
        <v>1323</v>
      </c>
      <c r="Z20" s="311"/>
      <c r="AA20" s="303" t="s">
        <v>1015</v>
      </c>
      <c r="AB20" s="304"/>
      <c r="AC20" s="75"/>
      <c r="AD20" s="75"/>
    </row>
    <row r="21" spans="1:30" ht="49.9" customHeight="1" x14ac:dyDescent="0.25">
      <c r="A21" s="317"/>
      <c r="B21" s="5">
        <v>11</v>
      </c>
      <c r="C21" s="305" t="s">
        <v>134</v>
      </c>
      <c r="D21" s="306"/>
      <c r="E21" s="306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6" t="s">
        <v>1016</v>
      </c>
      <c r="X21" s="137"/>
      <c r="Y21" s="293" t="s">
        <v>1009</v>
      </c>
      <c r="Z21" s="294"/>
      <c r="AA21" s="293" t="s">
        <v>1010</v>
      </c>
      <c r="AB21" s="294"/>
      <c r="AC21" s="23" t="s">
        <v>1011</v>
      </c>
      <c r="AD21" s="23" t="s">
        <v>1012</v>
      </c>
    </row>
    <row r="22" spans="1:30" ht="71.45" customHeight="1" x14ac:dyDescent="0.25">
      <c r="A22" s="317"/>
      <c r="B22" s="5">
        <v>12</v>
      </c>
      <c r="C22" s="296" t="s">
        <v>78</v>
      </c>
      <c r="D22" s="297"/>
      <c r="E22" s="297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1" t="s">
        <v>1013</v>
      </c>
      <c r="X22" s="132"/>
      <c r="Y22" s="291"/>
      <c r="Z22" s="292"/>
      <c r="AA22" s="291"/>
      <c r="AB22" s="292"/>
      <c r="AC22" s="75"/>
      <c r="AD22" s="75"/>
    </row>
    <row r="23" spans="1:30" ht="49.9" customHeight="1" x14ac:dyDescent="0.25">
      <c r="A23" s="317"/>
      <c r="B23" s="5">
        <v>13</v>
      </c>
      <c r="C23" s="308" t="s">
        <v>29</v>
      </c>
      <c r="D23" s="309"/>
      <c r="E23" s="309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314"/>
      <c r="X23" s="314"/>
      <c r="Y23" s="314"/>
      <c r="Z23" s="314"/>
      <c r="AA23" s="314"/>
      <c r="AB23" s="314"/>
      <c r="AC23" s="315"/>
      <c r="AD23" s="315"/>
    </row>
    <row r="24" spans="1:30" ht="49.9" customHeight="1" x14ac:dyDescent="0.25">
      <c r="A24" s="317"/>
      <c r="B24" s="5">
        <v>14</v>
      </c>
      <c r="C24" s="296" t="s">
        <v>28</v>
      </c>
      <c r="D24" s="297"/>
      <c r="E24" s="297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307" t="s">
        <v>107</v>
      </c>
      <c r="X24" s="307"/>
    </row>
    <row r="25" spans="1:30" ht="49.9" customHeight="1" x14ac:dyDescent="0.25">
      <c r="A25" s="317"/>
      <c r="B25" s="5">
        <v>15</v>
      </c>
      <c r="C25" s="308" t="s">
        <v>102</v>
      </c>
      <c r="D25" s="309"/>
      <c r="E25" s="309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299" t="s">
        <v>1020</v>
      </c>
      <c r="X25" s="300"/>
      <c r="Y25" s="310">
        <f>IF(Y26="","",Y26-378)</f>
        <v>946</v>
      </c>
      <c r="Z25" s="311"/>
      <c r="AA25" s="303" t="s">
        <v>1014</v>
      </c>
      <c r="AB25" s="304"/>
      <c r="AC25" s="130"/>
      <c r="AD25" s="130" t="s">
        <v>1023</v>
      </c>
    </row>
    <row r="26" spans="1:30" ht="49.9" customHeight="1" x14ac:dyDescent="0.25">
      <c r="A26" s="317"/>
      <c r="B26" s="5">
        <v>16</v>
      </c>
      <c r="C26" s="312" t="s">
        <v>103</v>
      </c>
      <c r="D26" s="313"/>
      <c r="E26" s="313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299" t="s">
        <v>1019</v>
      </c>
      <c r="X26" s="300"/>
      <c r="Y26" s="310">
        <f>IF(AG6="X",$Y$3+4,"")</f>
        <v>1324</v>
      </c>
      <c r="Z26" s="311"/>
      <c r="AA26" s="303" t="s">
        <v>1015</v>
      </c>
      <c r="AB26" s="304"/>
      <c r="AC26" s="75"/>
      <c r="AD26" s="75"/>
    </row>
    <row r="27" spans="1:30" ht="49.9" customHeight="1" x14ac:dyDescent="0.25">
      <c r="A27" s="317"/>
      <c r="B27" s="5">
        <v>17</v>
      </c>
      <c r="C27" s="305" t="s">
        <v>46</v>
      </c>
      <c r="D27" s="306"/>
      <c r="E27" s="306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6" t="s">
        <v>1016</v>
      </c>
      <c r="X27" s="137"/>
      <c r="Y27" s="293" t="s">
        <v>1009</v>
      </c>
      <c r="Z27" s="294"/>
      <c r="AA27" s="293" t="s">
        <v>1010</v>
      </c>
      <c r="AB27" s="294"/>
      <c r="AC27" s="133" t="s">
        <v>1011</v>
      </c>
      <c r="AD27" s="133" t="s">
        <v>1012</v>
      </c>
    </row>
    <row r="28" spans="1:30" ht="72" customHeight="1" x14ac:dyDescent="0.25">
      <c r="A28" s="317"/>
      <c r="B28" s="5">
        <v>18</v>
      </c>
      <c r="C28" s="296" t="s">
        <v>79</v>
      </c>
      <c r="D28" s="297"/>
      <c r="E28" s="297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1" t="s">
        <v>1013</v>
      </c>
      <c r="X28" s="132"/>
      <c r="Y28" s="291"/>
      <c r="Z28" s="292"/>
      <c r="AA28" s="291"/>
      <c r="AB28" s="292"/>
      <c r="AC28" s="75"/>
      <c r="AD28" s="75"/>
    </row>
    <row r="29" spans="1:30" ht="49.9" customHeight="1" x14ac:dyDescent="0.25">
      <c r="A29" s="317"/>
      <c r="B29" s="5">
        <v>19</v>
      </c>
      <c r="C29" s="305" t="s">
        <v>83</v>
      </c>
      <c r="D29" s="306"/>
      <c r="E29" s="306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30" ht="49.9" customHeight="1" thickBot="1" x14ac:dyDescent="0.3">
      <c r="A30" s="317"/>
      <c r="B30" s="12">
        <v>20</v>
      </c>
      <c r="C30" s="296" t="s">
        <v>114</v>
      </c>
      <c r="D30" s="297"/>
      <c r="E30" s="297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27"/>
      <c r="T30" s="3"/>
      <c r="U30" s="3"/>
      <c r="W30" s="307" t="s">
        <v>1017</v>
      </c>
      <c r="X30" s="307"/>
    </row>
    <row r="31" spans="1:30" ht="49.9" customHeight="1" thickBot="1" x14ac:dyDescent="0.3">
      <c r="A31" s="317"/>
      <c r="B31" s="12">
        <v>21</v>
      </c>
      <c r="C31" s="296" t="s">
        <v>115</v>
      </c>
      <c r="D31" s="297"/>
      <c r="E31" s="297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27"/>
      <c r="T31" s="3"/>
      <c r="U31" s="3"/>
      <c r="W31" s="299" t="s">
        <v>1018</v>
      </c>
      <c r="X31" s="300"/>
      <c r="Y31" s="301" t="str">
        <f>IF(Y32="","",Y32-378)</f>
        <v/>
      </c>
      <c r="Z31" s="302"/>
      <c r="AA31" s="295" t="s">
        <v>1014</v>
      </c>
      <c r="AB31" s="295"/>
      <c r="AC31" s="130"/>
      <c r="AD31" s="130" t="s">
        <v>1023</v>
      </c>
    </row>
    <row r="32" spans="1:30" ht="49.9" customHeight="1" thickBot="1" x14ac:dyDescent="0.3">
      <c r="A32" s="317"/>
      <c r="B32" s="12">
        <v>22</v>
      </c>
      <c r="C32" s="296" t="s">
        <v>84</v>
      </c>
      <c r="D32" s="297"/>
      <c r="E32" s="297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27"/>
      <c r="T32" s="3"/>
      <c r="U32" s="3"/>
      <c r="W32" s="299" t="s">
        <v>1019</v>
      </c>
      <c r="X32" s="300"/>
      <c r="Y32" s="301" t="str">
        <f>IF(AG7="X",$Y$3+5,"")</f>
        <v/>
      </c>
      <c r="Z32" s="302"/>
      <c r="AA32" s="303" t="s">
        <v>1015</v>
      </c>
      <c r="AB32" s="304"/>
      <c r="AC32" s="75"/>
      <c r="AD32" s="75"/>
    </row>
    <row r="33" spans="1:32" ht="37.9" customHeight="1" x14ac:dyDescent="0.25">
      <c r="A33" s="317"/>
      <c r="C33" s="377"/>
      <c r="D33" s="377"/>
      <c r="E33" s="377"/>
      <c r="F33" s="374" t="s">
        <v>30</v>
      </c>
      <c r="G33" s="375"/>
      <c r="H33" s="369" t="s">
        <v>31</v>
      </c>
      <c r="I33" s="370"/>
      <c r="J33" s="374" t="s">
        <v>32</v>
      </c>
      <c r="K33" s="375"/>
      <c r="L33" s="369" t="s">
        <v>33</v>
      </c>
      <c r="M33" s="370"/>
      <c r="N33" s="369" t="s">
        <v>34</v>
      </c>
      <c r="O33" s="370"/>
      <c r="P33" s="369" t="s">
        <v>35</v>
      </c>
      <c r="Q33" s="370"/>
      <c r="R33" s="369" t="s">
        <v>36</v>
      </c>
      <c r="S33" s="371"/>
      <c r="T33" s="372" t="s">
        <v>37</v>
      </c>
      <c r="U33" s="372"/>
      <c r="W33" s="136" t="s">
        <v>1016</v>
      </c>
      <c r="X33" s="137"/>
      <c r="Y33" s="293" t="s">
        <v>1009</v>
      </c>
      <c r="Z33" s="294"/>
      <c r="AA33" s="293" t="s">
        <v>1010</v>
      </c>
      <c r="AB33" s="294"/>
      <c r="AC33" s="23" t="s">
        <v>1011</v>
      </c>
      <c r="AD33" s="23" t="s">
        <v>1012</v>
      </c>
    </row>
    <row r="34" spans="1:32" ht="44.45" customHeight="1" x14ac:dyDescent="0.25">
      <c r="A34" s="317"/>
      <c r="F34" s="373"/>
      <c r="G34" s="366"/>
      <c r="H34" s="365"/>
      <c r="I34" s="366"/>
      <c r="J34" s="365"/>
      <c r="K34" s="366"/>
      <c r="L34" s="365"/>
      <c r="M34" s="366"/>
      <c r="N34" s="365"/>
      <c r="O34" s="366"/>
      <c r="P34" s="365"/>
      <c r="Q34" s="366"/>
      <c r="R34" s="365"/>
      <c r="S34" s="367"/>
      <c r="T34" s="368"/>
      <c r="U34" s="368"/>
      <c r="W34" s="131" t="s">
        <v>1013</v>
      </c>
      <c r="X34" s="132"/>
      <c r="Y34" s="291"/>
      <c r="Z34" s="292"/>
      <c r="AA34" s="291"/>
      <c r="AB34" s="292"/>
      <c r="AC34" s="75"/>
      <c r="AD34" s="75"/>
    </row>
    <row r="35" spans="1:32" ht="8.4499999999999993" customHeight="1" x14ac:dyDescent="0.3">
      <c r="A35" s="317"/>
      <c r="C35" s="376"/>
      <c r="D35" s="376"/>
      <c r="E35" s="376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28"/>
      <c r="U35" s="128"/>
      <c r="W35"/>
    </row>
    <row r="36" spans="1:32" ht="34.9" customHeight="1" x14ac:dyDescent="0.25">
      <c r="A36" s="317"/>
      <c r="F36" s="369" t="s">
        <v>109</v>
      </c>
      <c r="G36" s="370"/>
      <c r="H36" s="369" t="s">
        <v>38</v>
      </c>
      <c r="I36" s="370"/>
      <c r="J36" s="369" t="s">
        <v>39</v>
      </c>
      <c r="K36" s="370"/>
      <c r="L36" s="369" t="s">
        <v>40</v>
      </c>
      <c r="M36" s="370"/>
      <c r="N36" s="369" t="s">
        <v>41</v>
      </c>
      <c r="O36" s="370"/>
      <c r="P36" s="369" t="s">
        <v>42</v>
      </c>
      <c r="Q36" s="370"/>
      <c r="R36" s="369" t="s">
        <v>43</v>
      </c>
      <c r="S36" s="371"/>
      <c r="T36" s="372" t="s">
        <v>44</v>
      </c>
      <c r="U36" s="372"/>
      <c r="W36"/>
    </row>
    <row r="37" spans="1:32" ht="45.6" customHeight="1" x14ac:dyDescent="0.25">
      <c r="A37" s="317"/>
      <c r="F37" s="365"/>
      <c r="G37" s="366"/>
      <c r="H37" s="365"/>
      <c r="I37" s="366"/>
      <c r="J37" s="365"/>
      <c r="K37" s="366"/>
      <c r="L37" s="365"/>
      <c r="M37" s="366"/>
      <c r="N37" s="365"/>
      <c r="O37" s="366"/>
      <c r="P37" s="365"/>
      <c r="Q37" s="366"/>
      <c r="R37" s="365"/>
      <c r="S37" s="367"/>
      <c r="T37" s="368"/>
      <c r="U37" s="368"/>
      <c r="W37"/>
    </row>
    <row r="38" spans="1:32" ht="45.75" x14ac:dyDescent="0.65">
      <c r="F38" s="270" t="s">
        <v>63</v>
      </c>
      <c r="G38" s="270"/>
      <c r="H38" s="270"/>
      <c r="I38" s="270"/>
      <c r="J38" s="286">
        <v>1063497359</v>
      </c>
      <c r="K38" s="287"/>
      <c r="L38" s="287"/>
      <c r="M38" s="287"/>
      <c r="N38" s="287"/>
      <c r="O38" s="287"/>
      <c r="P38" s="364"/>
      <c r="Q38" s="364"/>
      <c r="R38" s="364"/>
      <c r="S38" s="364"/>
      <c r="T38" s="364"/>
      <c r="U38" s="364"/>
      <c r="W38"/>
    </row>
    <row r="39" spans="1:32" ht="45.75" x14ac:dyDescent="0.65">
      <c r="F39" s="270" t="s">
        <v>64</v>
      </c>
      <c r="G39" s="270"/>
      <c r="H39" s="270"/>
      <c r="I39" s="270"/>
      <c r="J39" s="288">
        <v>45932</v>
      </c>
      <c r="K39" s="289"/>
      <c r="L39" s="289"/>
      <c r="M39" s="289"/>
      <c r="N39" s="289"/>
      <c r="O39" s="290"/>
      <c r="P39" s="288"/>
      <c r="Q39" s="289"/>
      <c r="R39" s="289"/>
      <c r="S39" s="289"/>
      <c r="T39" s="289"/>
      <c r="U39" s="290"/>
      <c r="W39"/>
    </row>
    <row r="40" spans="1:32" x14ac:dyDescent="0.25">
      <c r="J40" s="2">
        <v>3</v>
      </c>
      <c r="M40" s="2"/>
      <c r="N40" s="2"/>
      <c r="O40" s="2"/>
      <c r="R40" s="2"/>
      <c r="S40" s="2"/>
      <c r="T40" s="2"/>
      <c r="U40" s="2"/>
    </row>
    <row r="41" spans="1:32" ht="42.6" customHeight="1" x14ac:dyDescent="0.25">
      <c r="B41" s="282" t="s">
        <v>161</v>
      </c>
      <c r="C41" s="282"/>
      <c r="D41" s="108">
        <f>D3</f>
        <v>169</v>
      </c>
      <c r="E41" s="6" t="s">
        <v>121</v>
      </c>
      <c r="F41" s="283" t="s">
        <v>105</v>
      </c>
      <c r="G41" s="284"/>
      <c r="H41" s="283" t="s">
        <v>105</v>
      </c>
      <c r="I41" s="284"/>
      <c r="J41" s="283" t="s">
        <v>105</v>
      </c>
      <c r="K41" s="284"/>
      <c r="L41" s="283" t="s">
        <v>105</v>
      </c>
      <c r="M41" s="284"/>
      <c r="N41" s="283" t="s">
        <v>105</v>
      </c>
      <c r="O41" s="284"/>
      <c r="P41" s="283" t="s">
        <v>105</v>
      </c>
      <c r="Q41" s="284"/>
      <c r="R41" s="283" t="s">
        <v>105</v>
      </c>
      <c r="S41" s="284"/>
      <c r="T41" s="283" t="s">
        <v>104</v>
      </c>
      <c r="U41" s="284"/>
    </row>
    <row r="42" spans="1:32" ht="55.15" customHeight="1" x14ac:dyDescent="0.25">
      <c r="A42" s="278" t="s">
        <v>1</v>
      </c>
      <c r="B42" s="278"/>
      <c r="C42" s="279"/>
      <c r="D42" s="280"/>
      <c r="E42" s="6" t="s">
        <v>6</v>
      </c>
      <c r="F42" s="281" t="str">
        <f>F4</f>
        <v>PN-501</v>
      </c>
      <c r="G42" s="281"/>
      <c r="H42" s="281" t="str">
        <f t="shared" ref="H42:H43" si="0">H4</f>
        <v>PN-502</v>
      </c>
      <c r="I42" s="281"/>
      <c r="J42" s="281" t="str">
        <f t="shared" ref="J42:J43" si="1">J4</f>
        <v>PN-503</v>
      </c>
      <c r="K42" s="281"/>
      <c r="L42" s="281" t="str">
        <f t="shared" ref="L42:L43" si="2">L4</f>
        <v>PN-504</v>
      </c>
      <c r="M42" s="281"/>
      <c r="N42" s="281" t="str">
        <f t="shared" ref="N42:N43" si="3">N4</f>
        <v>PN-505</v>
      </c>
      <c r="O42" s="281"/>
      <c r="P42" s="281" t="str">
        <f t="shared" ref="P42:P43" si="4">P4</f>
        <v>PN-506</v>
      </c>
      <c r="Q42" s="281"/>
      <c r="R42" s="281" t="str">
        <f t="shared" ref="R42:R43" si="5">R4</f>
        <v>PN-507</v>
      </c>
      <c r="S42" s="281"/>
      <c r="T42" s="281" t="str">
        <f t="shared" ref="T42:T43" si="6">T4</f>
        <v>PR_PN-135</v>
      </c>
      <c r="U42" s="281"/>
      <c r="W42" s="276"/>
      <c r="X42" s="276"/>
      <c r="Y42" s="276"/>
      <c r="Z42" s="276"/>
      <c r="AA42" s="276"/>
      <c r="AF42" s="14"/>
    </row>
    <row r="43" spans="1:32" ht="37.15" customHeight="1" x14ac:dyDescent="0.25">
      <c r="A43" s="278"/>
      <c r="B43" s="278"/>
      <c r="C43" s="279"/>
      <c r="D43" s="280"/>
      <c r="E43" s="6" t="s">
        <v>51</v>
      </c>
      <c r="F43" s="277" t="str">
        <f>F5</f>
        <v>P</v>
      </c>
      <c r="G43" s="277"/>
      <c r="H43" s="277" t="str">
        <f t="shared" si="0"/>
        <v>P</v>
      </c>
      <c r="I43" s="277"/>
      <c r="J43" s="277" t="str">
        <f t="shared" si="1"/>
        <v>P</v>
      </c>
      <c r="K43" s="277"/>
      <c r="L43" s="277" t="str">
        <f t="shared" si="2"/>
        <v>P</v>
      </c>
      <c r="M43" s="277"/>
      <c r="N43" s="277" t="str">
        <f t="shared" si="3"/>
        <v>P</v>
      </c>
      <c r="O43" s="277"/>
      <c r="P43" s="277" t="str">
        <f t="shared" si="4"/>
        <v>P</v>
      </c>
      <c r="Q43" s="277"/>
      <c r="R43" s="277" t="str">
        <f t="shared" si="5"/>
        <v>P</v>
      </c>
      <c r="S43" s="277"/>
      <c r="T43" s="277" t="str">
        <f t="shared" si="6"/>
        <v>P</v>
      </c>
      <c r="U43" s="277"/>
      <c r="AF43" s="14"/>
    </row>
    <row r="44" spans="1:32" ht="46.9" customHeight="1" x14ac:dyDescent="0.25">
      <c r="B44" s="275" t="s">
        <v>986</v>
      </c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</row>
    <row r="45" spans="1:32" ht="52.9" customHeight="1" x14ac:dyDescent="0.55000000000000004">
      <c r="B45" s="269">
        <v>1</v>
      </c>
      <c r="C45" s="269"/>
      <c r="D45" s="273" t="s">
        <v>987</v>
      </c>
      <c r="E45" s="274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</row>
    <row r="46" spans="1:32" ht="38.25" x14ac:dyDescent="0.55000000000000004">
      <c r="B46" s="269">
        <v>2</v>
      </c>
      <c r="C46" s="269"/>
      <c r="D46" s="273" t="s">
        <v>988</v>
      </c>
      <c r="E46" s="274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</row>
    <row r="47" spans="1:32" ht="38.25" x14ac:dyDescent="0.55000000000000004">
      <c r="B47" s="269">
        <v>3</v>
      </c>
      <c r="C47" s="269"/>
      <c r="D47" s="273" t="s">
        <v>989</v>
      </c>
      <c r="E47" s="274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</row>
    <row r="48" spans="1:32" ht="38.25" x14ac:dyDescent="0.55000000000000004">
      <c r="B48" s="269">
        <v>4</v>
      </c>
      <c r="C48" s="269"/>
      <c r="D48" s="273" t="s">
        <v>990</v>
      </c>
      <c r="E48" s="274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</row>
    <row r="49" spans="2:23" ht="38.25" x14ac:dyDescent="0.55000000000000004">
      <c r="B49" s="269">
        <v>5</v>
      </c>
      <c r="C49" s="269"/>
      <c r="D49" s="273" t="s">
        <v>994</v>
      </c>
      <c r="E49" s="274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</row>
    <row r="50" spans="2:23" ht="38.25" x14ac:dyDescent="0.55000000000000004">
      <c r="B50" s="269">
        <v>6</v>
      </c>
      <c r="C50" s="269"/>
      <c r="D50" s="273" t="s">
        <v>995</v>
      </c>
      <c r="E50" s="274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</row>
    <row r="51" spans="2:23" ht="38.25" x14ac:dyDescent="0.55000000000000004">
      <c r="B51" s="269">
        <v>7</v>
      </c>
      <c r="C51" s="269"/>
      <c r="D51" s="271"/>
      <c r="E51" s="272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</row>
    <row r="52" spans="2:23" ht="38.25" x14ac:dyDescent="0.55000000000000004">
      <c r="B52" s="269">
        <v>8</v>
      </c>
      <c r="C52" s="269"/>
      <c r="D52" s="271"/>
      <c r="E52" s="272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</row>
    <row r="53" spans="2:23" ht="38.25" x14ac:dyDescent="0.55000000000000004">
      <c r="B53" s="269">
        <v>9</v>
      </c>
      <c r="C53" s="269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</row>
    <row r="54" spans="2:23" ht="38.25" x14ac:dyDescent="0.55000000000000004">
      <c r="B54" s="269">
        <v>10</v>
      </c>
      <c r="C54" s="269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</row>
    <row r="55" spans="2:23" ht="38.25" x14ac:dyDescent="0.55000000000000004">
      <c r="B55" s="269">
        <v>11</v>
      </c>
      <c r="C55" s="269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</row>
    <row r="56" spans="2:23" ht="38.25" x14ac:dyDescent="0.55000000000000004">
      <c r="B56" s="269">
        <v>12</v>
      </c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</row>
    <row r="57" spans="2:23" ht="38.25" x14ac:dyDescent="0.55000000000000004">
      <c r="B57" s="269">
        <v>13</v>
      </c>
      <c r="C57" s="269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</row>
    <row r="58" spans="2:23" ht="38.25" x14ac:dyDescent="0.55000000000000004">
      <c r="B58" s="269">
        <v>14</v>
      </c>
      <c r="C58" s="269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</row>
    <row r="59" spans="2:23" ht="37.9" customHeight="1" x14ac:dyDescent="0.25">
      <c r="B59"/>
      <c r="C59"/>
      <c r="D59"/>
      <c r="E59"/>
      <c r="F59"/>
      <c r="G59"/>
      <c r="H59"/>
      <c r="I59"/>
      <c r="J59"/>
      <c r="K59"/>
      <c r="L59"/>
      <c r="P59"/>
      <c r="Q59"/>
      <c r="W59"/>
    </row>
    <row r="60" spans="2:23" ht="37.9" customHeight="1" x14ac:dyDescent="0.25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9" customHeight="1" x14ac:dyDescent="0.25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9" customHeight="1" x14ac:dyDescent="0.25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9" customHeight="1" x14ac:dyDescent="0.25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9" customHeight="1" x14ac:dyDescent="0.25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customFormat="1" ht="37.9" customHeight="1" x14ac:dyDescent="0.25"/>
    <row r="66" customFormat="1" ht="37.9" customHeight="1" x14ac:dyDescent="0.25"/>
    <row r="67" customFormat="1" ht="37.9" customHeight="1" x14ac:dyDescent="0.25"/>
    <row r="68" customFormat="1" ht="37.9" customHeight="1" x14ac:dyDescent="0.25"/>
    <row r="69" customFormat="1" ht="37.9" customHeight="1" x14ac:dyDescent="0.25"/>
    <row r="70" customFormat="1" ht="37.9" customHeight="1" x14ac:dyDescent="0.25"/>
    <row r="71" customFormat="1" ht="37.9" customHeight="1" x14ac:dyDescent="0.25"/>
    <row r="72" customFormat="1" ht="37.9" customHeight="1" x14ac:dyDescent="0.25"/>
    <row r="73" customFormat="1" ht="37.9" customHeight="1" x14ac:dyDescent="0.25"/>
    <row r="74" customFormat="1" ht="37.9" customHeight="1" x14ac:dyDescent="0.25"/>
    <row r="75" customFormat="1" ht="37.9" customHeight="1" x14ac:dyDescent="0.25"/>
    <row r="76" customFormat="1" ht="37.9" customHeight="1" x14ac:dyDescent="0.25"/>
    <row r="77" customFormat="1" ht="37.9" customHeight="1" x14ac:dyDescent="0.25"/>
    <row r="78" customFormat="1" ht="37.9" customHeight="1" x14ac:dyDescent="0.25"/>
  </sheetData>
  <mergeCells count="377">
    <mergeCell ref="R3:S3"/>
    <mergeCell ref="T3:U3"/>
    <mergeCell ref="A4:B5"/>
    <mergeCell ref="C4:D5"/>
    <mergeCell ref="F4:G4"/>
    <mergeCell ref="H4:I4"/>
    <mergeCell ref="J4:K4"/>
    <mergeCell ref="L4:M4"/>
    <mergeCell ref="B3:C3"/>
    <mergeCell ref="F3:G3"/>
    <mergeCell ref="H3:I3"/>
    <mergeCell ref="J3:K3"/>
    <mergeCell ref="L3:M3"/>
    <mergeCell ref="N3:O3"/>
    <mergeCell ref="P3:Q3"/>
    <mergeCell ref="N4:O4"/>
    <mergeCell ref="P4:Q4"/>
    <mergeCell ref="R4:S4"/>
    <mergeCell ref="T4:U4"/>
    <mergeCell ref="F5:G5"/>
    <mergeCell ref="H5:I5"/>
    <mergeCell ref="J5:K5"/>
    <mergeCell ref="L5:M5"/>
    <mergeCell ref="N5:O5"/>
    <mergeCell ref="P5:Q5"/>
    <mergeCell ref="R5:S5"/>
    <mergeCell ref="T5:U5"/>
    <mergeCell ref="A6:B6"/>
    <mergeCell ref="C6:D6"/>
    <mergeCell ref="E6:E7"/>
    <mergeCell ref="F6:G7"/>
    <mergeCell ref="H6:I7"/>
    <mergeCell ref="J6:K7"/>
    <mergeCell ref="L6:M7"/>
    <mergeCell ref="N6:O7"/>
    <mergeCell ref="P6:Q7"/>
    <mergeCell ref="R6:S7"/>
    <mergeCell ref="T6:U7"/>
    <mergeCell ref="C7:D8"/>
    <mergeCell ref="F8:G8"/>
    <mergeCell ref="H8:I8"/>
    <mergeCell ref="J8:K8"/>
    <mergeCell ref="L8:M8"/>
    <mergeCell ref="N8:O8"/>
    <mergeCell ref="P8:Q8"/>
    <mergeCell ref="R8:S8"/>
    <mergeCell ref="T8:U8"/>
    <mergeCell ref="B9:B10"/>
    <mergeCell ref="C9:E10"/>
    <mergeCell ref="F9:F10"/>
    <mergeCell ref="G9:G10"/>
    <mergeCell ref="H9:H10"/>
    <mergeCell ref="I9:I10"/>
    <mergeCell ref="J9:J10"/>
    <mergeCell ref="A10:A37"/>
    <mergeCell ref="C11:E11"/>
    <mergeCell ref="C15:E15"/>
    <mergeCell ref="C16:E16"/>
    <mergeCell ref="C21:E21"/>
    <mergeCell ref="C22:E22"/>
    <mergeCell ref="C23:E23"/>
    <mergeCell ref="C19:E19"/>
    <mergeCell ref="C20:E20"/>
    <mergeCell ref="C17:E17"/>
    <mergeCell ref="C18:E18"/>
    <mergeCell ref="C12:E12"/>
    <mergeCell ref="C13:E13"/>
    <mergeCell ref="C14:E14"/>
    <mergeCell ref="C30:E30"/>
    <mergeCell ref="C31:E31"/>
    <mergeCell ref="C32:E32"/>
    <mergeCell ref="C27:E27"/>
    <mergeCell ref="C28:E28"/>
    <mergeCell ref="C29:E29"/>
    <mergeCell ref="AC23:AD23"/>
    <mergeCell ref="C24:E24"/>
    <mergeCell ref="C25:E25"/>
    <mergeCell ref="C26:E26"/>
    <mergeCell ref="T34:U34"/>
    <mergeCell ref="C35:E35"/>
    <mergeCell ref="C33:E33"/>
    <mergeCell ref="Y34:Z34"/>
    <mergeCell ref="AA34:AB34"/>
    <mergeCell ref="AA25:AB25"/>
    <mergeCell ref="Y25:Z25"/>
    <mergeCell ref="W24:X24"/>
    <mergeCell ref="Y28:Z28"/>
    <mergeCell ref="AA28:AB28"/>
    <mergeCell ref="Y32:Z32"/>
    <mergeCell ref="Y31:Z31"/>
    <mergeCell ref="W26:X26"/>
    <mergeCell ref="Y26:Z26"/>
    <mergeCell ref="AA26:AB26"/>
    <mergeCell ref="W30:X30"/>
    <mergeCell ref="W31:X31"/>
    <mergeCell ref="P33:Q33"/>
    <mergeCell ref="R33:S33"/>
    <mergeCell ref="T33:U33"/>
    <mergeCell ref="F34:G34"/>
    <mergeCell ref="H34:I34"/>
    <mergeCell ref="J34:K34"/>
    <mergeCell ref="L34:M34"/>
    <mergeCell ref="N34:O34"/>
    <mergeCell ref="P34:Q34"/>
    <mergeCell ref="R34:S34"/>
    <mergeCell ref="F33:G33"/>
    <mergeCell ref="H33:I33"/>
    <mergeCell ref="J33:K33"/>
    <mergeCell ref="L33:M33"/>
    <mergeCell ref="N33:O33"/>
    <mergeCell ref="F38:I38"/>
    <mergeCell ref="J38:O38"/>
    <mergeCell ref="P38:U38"/>
    <mergeCell ref="P37:Q37"/>
    <mergeCell ref="R37:S37"/>
    <mergeCell ref="T37:U37"/>
    <mergeCell ref="N36:O36"/>
    <mergeCell ref="P36:Q36"/>
    <mergeCell ref="R36:S36"/>
    <mergeCell ref="T36:U36"/>
    <mergeCell ref="F37:G37"/>
    <mergeCell ref="H37:I37"/>
    <mergeCell ref="J37:K37"/>
    <mergeCell ref="L37:M37"/>
    <mergeCell ref="N37:O37"/>
    <mergeCell ref="F36:G36"/>
    <mergeCell ref="H36:I36"/>
    <mergeCell ref="J36:K36"/>
    <mergeCell ref="L36:M36"/>
    <mergeCell ref="F39:I39"/>
    <mergeCell ref="J39:O39"/>
    <mergeCell ref="P39:U39"/>
    <mergeCell ref="B41:C41"/>
    <mergeCell ref="F41:G41"/>
    <mergeCell ref="H41:I41"/>
    <mergeCell ref="J41:K41"/>
    <mergeCell ref="L41:M41"/>
    <mergeCell ref="N41:O41"/>
    <mergeCell ref="P41:Q41"/>
    <mergeCell ref="R41:S41"/>
    <mergeCell ref="T41:U41"/>
    <mergeCell ref="A42:B43"/>
    <mergeCell ref="C42:D43"/>
    <mergeCell ref="F42:G42"/>
    <mergeCell ref="H42:I42"/>
    <mergeCell ref="J42:K42"/>
    <mergeCell ref="L42:M42"/>
    <mergeCell ref="N42:O42"/>
    <mergeCell ref="P42:Q42"/>
    <mergeCell ref="R42:S42"/>
    <mergeCell ref="H45:I45"/>
    <mergeCell ref="J45:K45"/>
    <mergeCell ref="L45:M45"/>
    <mergeCell ref="N45:O45"/>
    <mergeCell ref="P45:Q45"/>
    <mergeCell ref="R45:S45"/>
    <mergeCell ref="T45:U45"/>
    <mergeCell ref="T42:U42"/>
    <mergeCell ref="F43:G43"/>
    <mergeCell ref="H43:I43"/>
    <mergeCell ref="J43:K43"/>
    <mergeCell ref="L43:M43"/>
    <mergeCell ref="N43:O43"/>
    <mergeCell ref="P43:Q43"/>
    <mergeCell ref="R43:S43"/>
    <mergeCell ref="T43:U43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P56:Q56"/>
    <mergeCell ref="T54:U54"/>
    <mergeCell ref="B55:C55"/>
    <mergeCell ref="D55:E55"/>
    <mergeCell ref="F55:G55"/>
    <mergeCell ref="H55:I55"/>
    <mergeCell ref="J55:K55"/>
    <mergeCell ref="L55:M55"/>
    <mergeCell ref="N55:O55"/>
    <mergeCell ref="P55:Q55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B58:C58"/>
    <mergeCell ref="D58:E58"/>
    <mergeCell ref="F58:G58"/>
    <mergeCell ref="H58:I58"/>
    <mergeCell ref="J58:K58"/>
    <mergeCell ref="L58:M58"/>
    <mergeCell ref="N58:O58"/>
    <mergeCell ref="P58:Q58"/>
    <mergeCell ref="R56:S56"/>
    <mergeCell ref="B57:C57"/>
    <mergeCell ref="D57:E57"/>
    <mergeCell ref="F57:G57"/>
    <mergeCell ref="H57:I57"/>
    <mergeCell ref="J57:K57"/>
    <mergeCell ref="L57:M57"/>
    <mergeCell ref="N57:O57"/>
    <mergeCell ref="P57:Q57"/>
    <mergeCell ref="B56:C56"/>
    <mergeCell ref="D56:E56"/>
    <mergeCell ref="F56:G56"/>
    <mergeCell ref="H56:I56"/>
    <mergeCell ref="J56:K56"/>
    <mergeCell ref="L56:M56"/>
    <mergeCell ref="N56:O56"/>
    <mergeCell ref="Y2:Z2"/>
    <mergeCell ref="AA2:AB2"/>
    <mergeCell ref="W3:X3"/>
    <mergeCell ref="W25:X25"/>
    <mergeCell ref="R58:S58"/>
    <mergeCell ref="T58:U58"/>
    <mergeCell ref="W42:AA42"/>
    <mergeCell ref="R57:S57"/>
    <mergeCell ref="T57:U57"/>
    <mergeCell ref="T56:U56"/>
    <mergeCell ref="R55:S55"/>
    <mergeCell ref="T55:U55"/>
    <mergeCell ref="T52:U52"/>
    <mergeCell ref="T53:U53"/>
    <mergeCell ref="T50:U50"/>
    <mergeCell ref="T51:U51"/>
    <mergeCell ref="T48:U48"/>
    <mergeCell ref="T49:U49"/>
    <mergeCell ref="T46:U46"/>
    <mergeCell ref="T47:U47"/>
    <mergeCell ref="B44:AD44"/>
    <mergeCell ref="B45:C45"/>
    <mergeCell ref="D45:E45"/>
    <mergeCell ref="F45:G45"/>
    <mergeCell ref="Y21:Z21"/>
    <mergeCell ref="AA20:AB20"/>
    <mergeCell ref="W1:X1"/>
    <mergeCell ref="W6:X7"/>
    <mergeCell ref="W14:X14"/>
    <mergeCell ref="Y14:Z14"/>
    <mergeCell ref="W5:X5"/>
    <mergeCell ref="Y5:Z5"/>
    <mergeCell ref="Y3:Z3"/>
    <mergeCell ref="AA5:AB5"/>
    <mergeCell ref="Y9:Z9"/>
    <mergeCell ref="Y8:Z8"/>
    <mergeCell ref="AA8:AB8"/>
    <mergeCell ref="W8:X8"/>
    <mergeCell ref="W11:X11"/>
    <mergeCell ref="Y11:Z11"/>
    <mergeCell ref="AA11:AB11"/>
    <mergeCell ref="W12:X12"/>
    <mergeCell ref="W9:X9"/>
    <mergeCell ref="W10:X10"/>
    <mergeCell ref="Y4:Z4"/>
    <mergeCell ref="AA4:AB4"/>
    <mergeCell ref="W2:X2"/>
    <mergeCell ref="W4:X4"/>
    <mergeCell ref="E1:E2"/>
    <mergeCell ref="F1:G2"/>
    <mergeCell ref="H1:I2"/>
    <mergeCell ref="J1:K2"/>
    <mergeCell ref="L1:M2"/>
    <mergeCell ref="N1:O2"/>
    <mergeCell ref="P1:Q2"/>
    <mergeCell ref="R1:S2"/>
    <mergeCell ref="W18:X18"/>
    <mergeCell ref="W16:X16"/>
    <mergeCell ref="W17:X17"/>
    <mergeCell ref="W13:X13"/>
    <mergeCell ref="W15:X15"/>
    <mergeCell ref="Q9:Q10"/>
    <mergeCell ref="R9:R10"/>
    <mergeCell ref="S9:S10"/>
    <mergeCell ref="T9:T10"/>
    <mergeCell ref="U9:U10"/>
    <mergeCell ref="K9:K10"/>
    <mergeCell ref="L9:L10"/>
    <mergeCell ref="M9:M10"/>
    <mergeCell ref="N9:N10"/>
    <mergeCell ref="O9:O10"/>
    <mergeCell ref="P9:P10"/>
    <mergeCell ref="AA32:AB32"/>
    <mergeCell ref="AA31:AB31"/>
    <mergeCell ref="T1:U2"/>
    <mergeCell ref="AA14:AB14"/>
    <mergeCell ref="Y33:Z33"/>
    <mergeCell ref="AA33:AB33"/>
    <mergeCell ref="W32:X32"/>
    <mergeCell ref="Y27:Z27"/>
    <mergeCell ref="AA27:AB27"/>
    <mergeCell ref="Y19:Z19"/>
    <mergeCell ref="W19:X19"/>
    <mergeCell ref="Y22:Z22"/>
    <mergeCell ref="AA22:AB22"/>
    <mergeCell ref="Y20:Z20"/>
    <mergeCell ref="AA19:AB19"/>
    <mergeCell ref="W20:X20"/>
    <mergeCell ref="AA21:AB21"/>
    <mergeCell ref="W23:X23"/>
    <mergeCell ref="Y23:Z23"/>
    <mergeCell ref="AA23:AB23"/>
    <mergeCell ref="AA16:AB16"/>
    <mergeCell ref="Y13:Z13"/>
    <mergeCell ref="AA13:AB13"/>
    <mergeCell ref="Y16:Z16"/>
  </mergeCells>
  <pageMargins left="0.51181102362204722" right="0.51181102362204722" top="0.78740157480314965" bottom="0.78740157480314965" header="0.31496062992125984" footer="0.31496062992125984"/>
  <pageSetup paperSize="9" scale="25" orientation="landscape" r:id="rId1"/>
  <rowBreaks count="1" manualBreakCount="1">
    <brk id="39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B91746-886B-48C7-9368-12C5E819738C}">
          <x14:formula1>
            <xm:f>' CADASTRO'!$J$2:$J$992</xm:f>
          </x14:formula1>
          <xm:sqref>F5:U5 F43:U43</xm:sqref>
        </x14:dataValidation>
        <x14:dataValidation type="list" allowBlank="1" showInputMessage="1" showErrorMessage="1" xr:uid="{D72870CD-D1DE-45AC-9919-AA251D061B7B}">
          <x14:formula1>
            <xm:f>' CADASTRO'!$I$2:$I$992</xm:f>
          </x14:formula1>
          <xm:sqref>F4:U4 F42:U42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9836-FF9F-4C82-8CC7-69A1F6935902}">
  <dimension ref="A1:AW79"/>
  <sheetViews>
    <sheetView view="pageBreakPreview" zoomScale="40" zoomScaleNormal="100" zoomScaleSheetLayoutView="40" workbookViewId="0">
      <selection activeCell="AK17" sqref="AK17"/>
    </sheetView>
  </sheetViews>
  <sheetFormatPr defaultRowHeight="15.75" x14ac:dyDescent="0.25"/>
  <cols>
    <col min="1" max="1" width="4.42578125" customWidth="1"/>
    <col min="2" max="2" width="12" style="1" customWidth="1"/>
    <col min="3" max="3" width="18.140625" style="2" customWidth="1"/>
    <col min="4" max="4" width="12.85546875" style="2" customWidth="1"/>
    <col min="5" max="5" width="81.85546875" style="2" customWidth="1"/>
    <col min="6" max="12" width="11.7109375" style="2" customWidth="1"/>
    <col min="13" max="13" width="16.85546875" customWidth="1"/>
    <col min="14" max="15" width="11.7109375" customWidth="1"/>
    <col min="16" max="17" width="11.7109375" style="2" customWidth="1"/>
    <col min="18" max="20" width="11.7109375" customWidth="1"/>
    <col min="21" max="21" width="14.5703125" customWidth="1"/>
    <col min="22" max="22" width="3.28515625" customWidth="1"/>
    <col min="23" max="23" width="8.85546875" style="24"/>
    <col min="24" max="24" width="25.7109375" customWidth="1"/>
    <col min="25" max="25" width="12" customWidth="1"/>
    <col min="26" max="26" width="32.28515625" customWidth="1"/>
    <col min="27" max="27" width="14.28515625" customWidth="1"/>
    <col min="28" max="28" width="26.28515625" customWidth="1"/>
    <col min="29" max="29" width="39.42578125" customWidth="1"/>
    <col min="30" max="30" width="49.28515625" customWidth="1"/>
    <col min="32" max="32" width="9.140625" customWidth="1"/>
    <col min="34" max="34" width="18.7109375" style="141" bestFit="1" customWidth="1"/>
    <col min="35" max="35" width="20" style="141" bestFit="1" customWidth="1"/>
    <col min="36" max="36" width="13.28515625" style="141" customWidth="1"/>
    <col min="37" max="37" width="14" style="141" customWidth="1"/>
    <col min="38" max="38" width="21.28515625" style="141" customWidth="1"/>
    <col min="39" max="40" width="8.85546875" style="141"/>
    <col min="41" max="41" width="8.85546875" style="149"/>
    <col min="42" max="42" width="25.7109375" style="149" customWidth="1"/>
    <col min="43" max="43" width="8.85546875" style="149"/>
  </cols>
  <sheetData>
    <row r="1" spans="1:43" ht="34.9" customHeight="1" x14ac:dyDescent="0.45">
      <c r="E1" s="361" t="s">
        <v>996</v>
      </c>
      <c r="F1" s="351"/>
      <c r="G1" s="352"/>
      <c r="H1" s="351"/>
      <c r="I1" s="352"/>
      <c r="J1" s="351"/>
      <c r="K1" s="352"/>
      <c r="L1" s="351"/>
      <c r="M1" s="352"/>
      <c r="N1" s="351"/>
      <c r="O1" s="352"/>
      <c r="P1" s="351"/>
      <c r="Q1" s="352"/>
      <c r="R1" s="351"/>
      <c r="S1" s="352"/>
      <c r="T1" s="351"/>
      <c r="U1" s="352"/>
      <c r="W1" s="400" t="s">
        <v>73</v>
      </c>
      <c r="X1" s="400"/>
      <c r="AI1" s="142" t="s">
        <v>163</v>
      </c>
      <c r="AJ1" s="143" t="s">
        <v>48</v>
      </c>
      <c r="AK1" s="143" t="s">
        <v>236</v>
      </c>
      <c r="AL1" s="143" t="s">
        <v>49</v>
      </c>
      <c r="AM1" s="144" t="s">
        <v>50</v>
      </c>
      <c r="AN1" s="145"/>
      <c r="AO1" s="147"/>
      <c r="AP1" s="147"/>
      <c r="AQ1" s="148" t="s">
        <v>51</v>
      </c>
    </row>
    <row r="2" spans="1:43" ht="36.6" customHeight="1" x14ac:dyDescent="0.25">
      <c r="E2" s="362"/>
      <c r="F2" s="353"/>
      <c r="G2" s="354"/>
      <c r="H2" s="353"/>
      <c r="I2" s="354"/>
      <c r="J2" s="353"/>
      <c r="K2" s="354"/>
      <c r="L2" s="353"/>
      <c r="M2" s="354"/>
      <c r="N2" s="353"/>
      <c r="O2" s="354"/>
      <c r="P2" s="353"/>
      <c r="Q2" s="354"/>
      <c r="R2" s="353"/>
      <c r="S2" s="354"/>
      <c r="T2" s="353"/>
      <c r="U2" s="354"/>
      <c r="W2" s="333" t="s">
        <v>1020</v>
      </c>
      <c r="X2" s="333"/>
      <c r="Y2" s="301">
        <f>Y3-378</f>
        <v>1255</v>
      </c>
      <c r="Z2" s="302"/>
      <c r="AA2" s="355" t="s">
        <v>1014</v>
      </c>
      <c r="AB2" s="356"/>
      <c r="AC2" s="130"/>
      <c r="AD2" s="130" t="s">
        <v>1023</v>
      </c>
      <c r="AF2" s="40">
        <v>1</v>
      </c>
      <c r="AG2" s="52" t="s">
        <v>1022</v>
      </c>
      <c r="AH2" s="141">
        <v>51</v>
      </c>
      <c r="AI2" s="146" cm="1">
        <f t="array" ref="AI2:AQ9">_xlfn._xlws.FILTER(' CADASTRO'!B:J,' CADASTRO'!C:C='SC-10 PN2'!AH2,)</f>
        <v>45856</v>
      </c>
      <c r="AJ2" s="141">
        <v>51</v>
      </c>
      <c r="AK2" s="141">
        <v>1</v>
      </c>
      <c r="AL2" s="141" t="str">
        <v>REATOR 5</v>
      </c>
      <c r="AM2" s="141" t="str">
        <v>PN</v>
      </c>
      <c r="AN2" s="141" t="str">
        <v>-</v>
      </c>
      <c r="AO2" s="149" t="str">
        <v>285</v>
      </c>
      <c r="AP2" s="149" t="str">
        <v>PN-285</v>
      </c>
      <c r="AQ2" s="149" t="str">
        <v>P</v>
      </c>
    </row>
    <row r="3" spans="1:43" ht="42.6" customHeight="1" x14ac:dyDescent="0.25">
      <c r="B3" s="282" t="s">
        <v>161</v>
      </c>
      <c r="C3" s="282"/>
      <c r="D3" s="108">
        <f>MAX(' CADASTRO'!C2:C999)</f>
        <v>169</v>
      </c>
      <c r="E3" s="117" t="s">
        <v>121</v>
      </c>
      <c r="F3" s="283" t="s">
        <v>104</v>
      </c>
      <c r="G3" s="284"/>
      <c r="H3" s="283" t="s">
        <v>105</v>
      </c>
      <c r="I3" s="284"/>
      <c r="J3" s="283" t="s">
        <v>105</v>
      </c>
      <c r="K3" s="284"/>
      <c r="L3" s="283"/>
      <c r="M3" s="284"/>
      <c r="N3" s="283"/>
      <c r="O3" s="284"/>
      <c r="P3" s="283"/>
      <c r="Q3" s="284"/>
      <c r="R3" s="283"/>
      <c r="S3" s="284"/>
      <c r="T3" s="283"/>
      <c r="U3" s="284"/>
      <c r="W3" s="299" t="s">
        <v>1019</v>
      </c>
      <c r="X3" s="300"/>
      <c r="Y3" s="405">
        <v>1633</v>
      </c>
      <c r="Z3" s="406"/>
      <c r="AA3" s="134" t="s">
        <v>1015</v>
      </c>
      <c r="AB3" s="135"/>
      <c r="AC3" s="75"/>
      <c r="AD3" s="75"/>
      <c r="AF3" s="40">
        <v>2</v>
      </c>
      <c r="AG3" s="52" t="s">
        <v>1022</v>
      </c>
      <c r="AI3" s="146">
        <v>45856</v>
      </c>
      <c r="AJ3" s="141">
        <v>51</v>
      </c>
      <c r="AK3" s="141">
        <v>1</v>
      </c>
      <c r="AL3" s="141" t="str">
        <v>REATOR 5</v>
      </c>
      <c r="AM3" s="141" t="str">
        <v>PN</v>
      </c>
      <c r="AN3" s="141" t="str">
        <v>-</v>
      </c>
      <c r="AO3" s="149" t="str">
        <v>286</v>
      </c>
      <c r="AP3" s="149" t="str">
        <v>PN-286</v>
      </c>
      <c r="AQ3" s="149" t="str">
        <v>P</v>
      </c>
    </row>
    <row r="4" spans="1:43" ht="63" customHeight="1" x14ac:dyDescent="0.25">
      <c r="A4" s="278" t="s">
        <v>1</v>
      </c>
      <c r="B4" s="278"/>
      <c r="C4" s="279">
        <f ca="1">TODAY()</f>
        <v>46007</v>
      </c>
      <c r="D4" s="280"/>
      <c r="E4" s="117" t="s">
        <v>6</v>
      </c>
      <c r="F4" s="401" t="s">
        <v>1225</v>
      </c>
      <c r="G4" s="401"/>
      <c r="H4" s="402" t="s">
        <v>1223</v>
      </c>
      <c r="I4" s="403"/>
      <c r="J4" s="499" t="s">
        <v>1222</v>
      </c>
      <c r="K4" s="500"/>
      <c r="L4" s="402"/>
      <c r="M4" s="403"/>
      <c r="N4" s="402"/>
      <c r="O4" s="403"/>
      <c r="P4" s="402"/>
      <c r="Q4" s="403"/>
      <c r="R4" s="404"/>
      <c r="S4" s="404"/>
      <c r="T4" s="404"/>
      <c r="U4" s="404"/>
      <c r="W4" s="501" t="s">
        <v>1016</v>
      </c>
      <c r="X4" s="502"/>
      <c r="Y4" s="359" t="s">
        <v>1153</v>
      </c>
      <c r="Z4" s="360"/>
      <c r="AA4" s="359" t="s">
        <v>1010</v>
      </c>
      <c r="AB4" s="360"/>
      <c r="AC4" s="129" t="s">
        <v>1011</v>
      </c>
      <c r="AD4" s="129" t="s">
        <v>1012</v>
      </c>
      <c r="AF4" s="40">
        <v>3</v>
      </c>
      <c r="AG4" s="52" t="s">
        <v>1022</v>
      </c>
      <c r="AI4" s="146">
        <v>45856</v>
      </c>
      <c r="AJ4" s="141">
        <v>51</v>
      </c>
      <c r="AK4" s="141">
        <v>1</v>
      </c>
      <c r="AL4" s="141" t="str">
        <v>REATOR 5</v>
      </c>
      <c r="AM4" s="141" t="str">
        <v>PN</v>
      </c>
      <c r="AN4" s="141" t="str">
        <v>-</v>
      </c>
      <c r="AO4" s="149" t="str">
        <v>287</v>
      </c>
      <c r="AP4" s="149" t="str">
        <v>PN-287</v>
      </c>
      <c r="AQ4" s="149" t="str">
        <v>P</v>
      </c>
    </row>
    <row r="5" spans="1:43" ht="44.25" customHeight="1" x14ac:dyDescent="0.25">
      <c r="A5" s="278"/>
      <c r="B5" s="278"/>
      <c r="C5" s="279"/>
      <c r="D5" s="280"/>
      <c r="E5" s="117" t="s">
        <v>51</v>
      </c>
      <c r="F5" s="277" t="str">
        <f>VLOOKUP(F4,' CADASTRO'!$I$2:$J$999,2,0)</f>
        <v>PEV</v>
      </c>
      <c r="G5" s="277"/>
      <c r="H5" s="277" t="e">
        <f>VLOOKUP(H4,' CADASTRO'!$I$2:$J$999,2,0)</f>
        <v>#N/A</v>
      </c>
      <c r="I5" s="277"/>
      <c r="J5" s="277" t="e">
        <f>VLOOKUP(J4,' CADASTRO'!$I$2:$J$999,2,0)</f>
        <v>#N/A</v>
      </c>
      <c r="K5" s="277"/>
      <c r="L5" s="277" t="e">
        <f>VLOOKUP(L4,' CADASTRO'!$I$2:$J$999,2,0)</f>
        <v>#N/A</v>
      </c>
      <c r="M5" s="277"/>
      <c r="N5" s="277" t="e">
        <f>VLOOKUP(N4,' CADASTRO'!$I$2:$J$999,2,0)</f>
        <v>#N/A</v>
      </c>
      <c r="O5" s="277"/>
      <c r="P5" s="277" t="e">
        <f>VLOOKUP(P4,' CADASTRO'!$I$2:$J$999,2,0)</f>
        <v>#N/A</v>
      </c>
      <c r="Q5" s="277"/>
      <c r="R5" s="277" t="e">
        <f>VLOOKUP(R4,' CADASTRO'!$I$2:$J$999,2,0)</f>
        <v>#N/A</v>
      </c>
      <c r="S5" s="277"/>
      <c r="T5" s="277" t="e">
        <f>VLOOKUP(T4,' CADASTRO'!$I$2:$J$999,2,0)</f>
        <v>#N/A</v>
      </c>
      <c r="U5" s="277"/>
      <c r="W5" s="323" t="s">
        <v>1013</v>
      </c>
      <c r="X5" s="323"/>
      <c r="Y5" s="291"/>
      <c r="Z5" s="292"/>
      <c r="AA5" s="291"/>
      <c r="AB5" s="292"/>
      <c r="AC5" s="75"/>
      <c r="AD5" s="75"/>
      <c r="AF5" s="40">
        <v>4</v>
      </c>
      <c r="AG5" s="52" t="s">
        <v>1022</v>
      </c>
      <c r="AI5" s="146">
        <v>45856</v>
      </c>
      <c r="AJ5" s="141">
        <v>51</v>
      </c>
      <c r="AK5" s="141">
        <v>1</v>
      </c>
      <c r="AL5" s="141" t="str">
        <v>REATOR 5</v>
      </c>
      <c r="AM5" s="141" t="str">
        <v>PN</v>
      </c>
      <c r="AN5" s="141" t="str">
        <v>-</v>
      </c>
      <c r="AO5" s="149" t="str">
        <v>289</v>
      </c>
      <c r="AP5" s="149" t="str">
        <v>PN-289</v>
      </c>
      <c r="AQ5" s="149" t="str">
        <v>P</v>
      </c>
    </row>
    <row r="6" spans="1:43" ht="15.6" customHeight="1" x14ac:dyDescent="0.25">
      <c r="A6" s="341" t="s">
        <v>82</v>
      </c>
      <c r="B6" s="341"/>
      <c r="C6" s="342"/>
      <c r="D6" s="343"/>
      <c r="E6" s="344" t="s">
        <v>62</v>
      </c>
      <c r="F6" s="336" t="str">
        <f>VLOOKUP(F4,' CADASTRO'!$I$2:$Q$993,9,0)</f>
        <v>ARM. CANAL SAIDA</v>
      </c>
      <c r="G6" s="337"/>
      <c r="H6" s="336" t="e">
        <f>VLOOKUP(H4,' CADASTRO'!$I$2:$Q$993,9,0)</f>
        <v>#N/A</v>
      </c>
      <c r="I6" s="337"/>
      <c r="J6" s="336" t="e">
        <f>VLOOKUP(J4,' CADASTRO'!$I$2:$Q$993,9,0)</f>
        <v>#N/A</v>
      </c>
      <c r="K6" s="337"/>
      <c r="L6" s="336" t="e">
        <f>VLOOKUP(L4,' CADASTRO'!$I$2:$Q$993,9,0)</f>
        <v>#N/A</v>
      </c>
      <c r="M6" s="337"/>
      <c r="N6" s="336" t="e">
        <f>VLOOKUP(N4,' CADASTRO'!$I$2:$Q$993,9,0)</f>
        <v>#N/A</v>
      </c>
      <c r="O6" s="337"/>
      <c r="P6" s="336" t="e">
        <f>VLOOKUP(P4,' CADASTRO'!$I$2:$Q$993,9,0)</f>
        <v>#N/A</v>
      </c>
      <c r="Q6" s="337"/>
      <c r="R6" s="336" t="e">
        <f>VLOOKUP(R4,' CADASTRO'!$I$2:$Q$993,9,0)</f>
        <v>#N/A</v>
      </c>
      <c r="S6" s="378"/>
      <c r="T6" s="380" t="e">
        <f>VLOOKUP(T4,' CADASTRO'!$I$2:$Q$993,9,0)</f>
        <v>#N/A</v>
      </c>
      <c r="U6" s="380"/>
      <c r="W6" s="400" t="s">
        <v>75</v>
      </c>
      <c r="X6" s="400"/>
      <c r="AF6" s="40">
        <v>5</v>
      </c>
      <c r="AG6" s="52" t="s">
        <v>1022</v>
      </c>
      <c r="AI6" s="146">
        <v>45856</v>
      </c>
      <c r="AJ6" s="141">
        <v>51</v>
      </c>
      <c r="AK6" s="141">
        <v>1</v>
      </c>
      <c r="AL6" s="141" t="str">
        <v>REATOR 5</v>
      </c>
      <c r="AM6" s="141" t="str">
        <v>PN</v>
      </c>
      <c r="AN6" s="141" t="str">
        <v>-</v>
      </c>
      <c r="AO6" s="149" t="str">
        <v>290</v>
      </c>
      <c r="AP6" s="149" t="str">
        <v>PN-290</v>
      </c>
      <c r="AQ6" s="149" t="str">
        <v>P</v>
      </c>
    </row>
    <row r="7" spans="1:43" ht="43.9" customHeight="1" x14ac:dyDescent="0.25">
      <c r="C7" s="346" t="s">
        <v>108</v>
      </c>
      <c r="D7" s="346"/>
      <c r="E7" s="345"/>
      <c r="F7" s="338"/>
      <c r="G7" s="339"/>
      <c r="H7" s="338"/>
      <c r="I7" s="339"/>
      <c r="J7" s="338"/>
      <c r="K7" s="339"/>
      <c r="L7" s="338"/>
      <c r="M7" s="339"/>
      <c r="N7" s="338"/>
      <c r="O7" s="339"/>
      <c r="P7" s="338"/>
      <c r="Q7" s="339"/>
      <c r="R7" s="338"/>
      <c r="S7" s="379"/>
      <c r="T7" s="380"/>
      <c r="U7" s="380"/>
      <c r="W7" s="400"/>
      <c r="X7" s="400"/>
      <c r="AF7" s="40">
        <v>6</v>
      </c>
      <c r="AG7" s="52" t="s">
        <v>1022</v>
      </c>
      <c r="AI7" s="146">
        <v>45856</v>
      </c>
      <c r="AJ7" s="141">
        <v>51</v>
      </c>
      <c r="AK7" s="141">
        <v>1</v>
      </c>
      <c r="AL7" s="141" t="str">
        <v>REATOR 5</v>
      </c>
      <c r="AM7" s="141" t="str">
        <v>PN</v>
      </c>
      <c r="AN7" s="141" t="str">
        <v>-</v>
      </c>
      <c r="AO7" s="149" t="str">
        <v>291</v>
      </c>
      <c r="AP7" s="149" t="str">
        <v>PN-291</v>
      </c>
      <c r="AQ7" s="149" t="str">
        <v>P</v>
      </c>
    </row>
    <row r="8" spans="1:43" ht="48" customHeight="1" x14ac:dyDescent="0.25">
      <c r="C8" s="346"/>
      <c r="D8" s="346"/>
      <c r="E8" s="43" t="s">
        <v>65</v>
      </c>
      <c r="F8" s="331" t="s">
        <v>59</v>
      </c>
      <c r="G8" s="332"/>
      <c r="H8" s="331" t="s">
        <v>66</v>
      </c>
      <c r="I8" s="332"/>
      <c r="J8" s="331" t="s">
        <v>67</v>
      </c>
      <c r="K8" s="332"/>
      <c r="L8" s="331" t="s">
        <v>68</v>
      </c>
      <c r="M8" s="332"/>
      <c r="N8" s="331" t="s">
        <v>69</v>
      </c>
      <c r="O8" s="332"/>
      <c r="P8" s="331" t="s">
        <v>70</v>
      </c>
      <c r="Q8" s="332"/>
      <c r="R8" s="331" t="s">
        <v>71</v>
      </c>
      <c r="S8" s="381"/>
      <c r="T8" s="382" t="s">
        <v>72</v>
      </c>
      <c r="U8" s="382"/>
      <c r="W8" s="333" t="s">
        <v>1020</v>
      </c>
      <c r="X8" s="333"/>
      <c r="Y8" s="301">
        <f>IF(Y9="","",Y9-378)</f>
        <v>1256</v>
      </c>
      <c r="Z8" s="302"/>
      <c r="AA8" s="299" t="s">
        <v>1014</v>
      </c>
      <c r="AB8" s="300"/>
      <c r="AC8" s="130"/>
      <c r="AD8" s="130" t="s">
        <v>1023</v>
      </c>
      <c r="AF8" s="14"/>
      <c r="AI8" s="146">
        <v>45856</v>
      </c>
      <c r="AJ8" s="141">
        <v>51</v>
      </c>
      <c r="AK8" s="141">
        <v>1</v>
      </c>
      <c r="AL8" s="141" t="str">
        <v>REATOR 5</v>
      </c>
      <c r="AM8" s="141" t="str">
        <v>PN</v>
      </c>
      <c r="AN8" s="141" t="str">
        <v>-</v>
      </c>
      <c r="AO8" s="149" t="str">
        <v>292</v>
      </c>
      <c r="AP8" s="149" t="str">
        <v>PN-292</v>
      </c>
      <c r="AQ8" s="149" t="str">
        <v>P</v>
      </c>
    </row>
    <row r="9" spans="1:43" ht="38.450000000000003" customHeight="1" x14ac:dyDescent="0.25">
      <c r="B9" s="327" t="s">
        <v>3</v>
      </c>
      <c r="C9" s="328" t="s">
        <v>4</v>
      </c>
      <c r="D9" s="328"/>
      <c r="E9" s="325"/>
      <c r="F9" s="325" t="s">
        <v>0</v>
      </c>
      <c r="G9" s="326" t="s">
        <v>2</v>
      </c>
      <c r="H9" s="325" t="s">
        <v>0</v>
      </c>
      <c r="I9" s="326" t="s">
        <v>2</v>
      </c>
      <c r="J9" s="325" t="s">
        <v>0</v>
      </c>
      <c r="K9" s="326" t="s">
        <v>2</v>
      </c>
      <c r="L9" s="325" t="s">
        <v>0</v>
      </c>
      <c r="M9" s="326" t="s">
        <v>2</v>
      </c>
      <c r="N9" s="325" t="s">
        <v>0</v>
      </c>
      <c r="O9" s="326" t="s">
        <v>2</v>
      </c>
      <c r="P9" s="325" t="s">
        <v>0</v>
      </c>
      <c r="Q9" s="326" t="s">
        <v>2</v>
      </c>
      <c r="R9" s="325" t="s">
        <v>0</v>
      </c>
      <c r="S9" s="363" t="s">
        <v>2</v>
      </c>
      <c r="T9" s="325" t="s">
        <v>0</v>
      </c>
      <c r="U9" s="326" t="s">
        <v>2</v>
      </c>
      <c r="W9" s="299" t="s">
        <v>1019</v>
      </c>
      <c r="X9" s="300"/>
      <c r="Y9" s="301">
        <f>IF(AG3="X",Y3+1,"")</f>
        <v>1634</v>
      </c>
      <c r="Z9" s="302"/>
      <c r="AA9" s="134" t="s">
        <v>1015</v>
      </c>
      <c r="AB9" s="135"/>
      <c r="AC9" s="75"/>
      <c r="AD9" s="75"/>
      <c r="AF9" s="14"/>
      <c r="AI9" s="146">
        <v>45856</v>
      </c>
      <c r="AJ9" s="141">
        <v>51</v>
      </c>
      <c r="AK9" s="141">
        <v>1</v>
      </c>
      <c r="AL9" s="141" t="str">
        <v>PRIMARIO 2</v>
      </c>
      <c r="AM9" s="141" t="str">
        <v>PNI</v>
      </c>
      <c r="AN9" s="141" t="str">
        <v>-</v>
      </c>
      <c r="AO9" s="149">
        <v>87</v>
      </c>
      <c r="AP9" s="149" t="str">
        <v>PR_PNI-87</v>
      </c>
      <c r="AQ9" s="149" t="str">
        <v>PNI</v>
      </c>
    </row>
    <row r="10" spans="1:43" ht="30" customHeight="1" thickBot="1" x14ac:dyDescent="0.3">
      <c r="A10" s="317"/>
      <c r="B10" s="327"/>
      <c r="C10" s="325"/>
      <c r="D10" s="325"/>
      <c r="E10" s="325"/>
      <c r="F10" s="329"/>
      <c r="G10" s="330"/>
      <c r="H10" s="325"/>
      <c r="I10" s="326"/>
      <c r="J10" s="329"/>
      <c r="K10" s="330"/>
      <c r="L10" s="325"/>
      <c r="M10" s="326"/>
      <c r="N10" s="325"/>
      <c r="O10" s="326"/>
      <c r="P10" s="325"/>
      <c r="Q10" s="326"/>
      <c r="R10" s="325"/>
      <c r="S10" s="363"/>
      <c r="T10" s="325"/>
      <c r="U10" s="326"/>
      <c r="W10" s="318" t="s">
        <v>1016</v>
      </c>
      <c r="X10" s="319"/>
      <c r="Y10" s="139" t="s">
        <v>1009</v>
      </c>
      <c r="Z10" s="140"/>
      <c r="AA10" s="139" t="s">
        <v>1010</v>
      </c>
      <c r="AB10" s="140"/>
      <c r="AC10" s="133" t="s">
        <v>1011</v>
      </c>
      <c r="AD10" s="133" t="s">
        <v>1012</v>
      </c>
      <c r="AI10" s="146"/>
    </row>
    <row r="11" spans="1:43" ht="70.900000000000006" customHeight="1" x14ac:dyDescent="0.25">
      <c r="A11" s="317"/>
      <c r="B11" s="5">
        <v>1</v>
      </c>
      <c r="C11" s="305" t="s">
        <v>111</v>
      </c>
      <c r="D11" s="306"/>
      <c r="E11" s="306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126"/>
      <c r="T11" s="22"/>
      <c r="U11" s="22"/>
      <c r="W11" s="320" t="s">
        <v>1013</v>
      </c>
      <c r="X11" s="321"/>
      <c r="Y11" s="291"/>
      <c r="Z11" s="292"/>
      <c r="AA11" s="291"/>
      <c r="AB11" s="292"/>
      <c r="AC11" s="75"/>
      <c r="AD11" s="75"/>
      <c r="AI11" s="146"/>
    </row>
    <row r="12" spans="1:43" ht="49.9" customHeight="1" x14ac:dyDescent="0.45">
      <c r="A12" s="317"/>
      <c r="B12" s="5">
        <v>2</v>
      </c>
      <c r="C12" s="296" t="s">
        <v>106</v>
      </c>
      <c r="D12" s="297"/>
      <c r="E12" s="297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6"/>
      <c r="T12" s="3"/>
      <c r="U12" s="3"/>
      <c r="W12" s="322" t="s">
        <v>76</v>
      </c>
      <c r="X12" s="322"/>
      <c r="Y12" s="90" t="s">
        <v>218</v>
      </c>
      <c r="Z12" s="138"/>
      <c r="AA12" s="138"/>
      <c r="AB12" s="138"/>
      <c r="AI12" s="146"/>
    </row>
    <row r="13" spans="1:43" ht="49.9" customHeight="1" x14ac:dyDescent="0.25">
      <c r="A13" s="317"/>
      <c r="B13" s="5">
        <v>3</v>
      </c>
      <c r="C13" s="308" t="s">
        <v>101</v>
      </c>
      <c r="D13" s="309"/>
      <c r="E13" s="309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5"/>
      <c r="T13" s="22"/>
      <c r="U13" s="22"/>
      <c r="W13" s="299" t="s">
        <v>1020</v>
      </c>
      <c r="X13" s="300"/>
      <c r="Y13" s="301">
        <f>IF(Y14="","",Y14-378)</f>
        <v>1257</v>
      </c>
      <c r="Z13" s="302"/>
      <c r="AA13" s="355" t="s">
        <v>1014</v>
      </c>
      <c r="AB13" s="356"/>
      <c r="AC13" s="130"/>
      <c r="AD13" s="130" t="s">
        <v>1023</v>
      </c>
      <c r="AI13" s="146"/>
    </row>
    <row r="14" spans="1:43" ht="49.9" customHeight="1" x14ac:dyDescent="0.25">
      <c r="A14" s="317"/>
      <c r="B14" s="5">
        <v>4</v>
      </c>
      <c r="C14" s="312" t="s">
        <v>112</v>
      </c>
      <c r="D14" s="313"/>
      <c r="E14" s="313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6"/>
      <c r="T14" s="3"/>
      <c r="U14" s="3"/>
      <c r="W14" s="299" t="s">
        <v>1019</v>
      </c>
      <c r="X14" s="300"/>
      <c r="Y14" s="301">
        <f>IF(AG4="X",$Y$3+2,"")</f>
        <v>1635</v>
      </c>
      <c r="Z14" s="302"/>
      <c r="AA14" s="299" t="s">
        <v>1015</v>
      </c>
      <c r="AB14" s="300"/>
      <c r="AC14" s="75"/>
      <c r="AD14" s="75"/>
    </row>
    <row r="15" spans="1:43" ht="49.9" customHeight="1" x14ac:dyDescent="0.25">
      <c r="A15" s="317"/>
      <c r="B15" s="5">
        <v>5</v>
      </c>
      <c r="C15" s="305" t="s">
        <v>133</v>
      </c>
      <c r="D15" s="306"/>
      <c r="E15" s="306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5"/>
      <c r="T15" s="22"/>
      <c r="U15" s="22"/>
      <c r="W15" s="318" t="s">
        <v>1016</v>
      </c>
      <c r="X15" s="319"/>
      <c r="Y15" s="139" t="s">
        <v>1009</v>
      </c>
      <c r="Z15" s="140"/>
      <c r="AA15" s="139" t="s">
        <v>1010</v>
      </c>
      <c r="AB15" s="140"/>
      <c r="AC15" s="133" t="s">
        <v>1011</v>
      </c>
      <c r="AD15" s="133" t="s">
        <v>1012</v>
      </c>
    </row>
    <row r="16" spans="1:43" ht="49.9" customHeight="1" x14ac:dyDescent="0.25">
      <c r="A16" s="317"/>
      <c r="B16" s="5">
        <v>6</v>
      </c>
      <c r="C16" s="296" t="s">
        <v>113</v>
      </c>
      <c r="D16" s="297"/>
      <c r="E16" s="297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6"/>
      <c r="T16" s="3"/>
      <c r="U16" s="3"/>
      <c r="W16" s="323" t="s">
        <v>1013</v>
      </c>
      <c r="X16" s="323"/>
      <c r="Y16" s="324"/>
      <c r="Z16" s="324"/>
      <c r="AA16" s="324"/>
      <c r="AB16" s="324"/>
      <c r="AC16" s="75"/>
      <c r="AD16" s="75"/>
    </row>
    <row r="17" spans="1:49" ht="49.9" customHeight="1" x14ac:dyDescent="0.25">
      <c r="A17" s="317"/>
      <c r="B17" s="5">
        <v>7</v>
      </c>
      <c r="C17" s="305" t="s">
        <v>27</v>
      </c>
      <c r="D17" s="306"/>
      <c r="E17" s="306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5"/>
      <c r="T17" s="22"/>
      <c r="U17" s="22"/>
      <c r="W17" s="316"/>
      <c r="X17" s="316"/>
      <c r="Z17" t="s">
        <v>1153</v>
      </c>
    </row>
    <row r="18" spans="1:49" ht="49.9" customHeight="1" x14ac:dyDescent="0.25">
      <c r="A18" s="317"/>
      <c r="B18" s="5">
        <v>8</v>
      </c>
      <c r="C18" s="296" t="s">
        <v>26</v>
      </c>
      <c r="D18" s="297"/>
      <c r="E18" s="297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6"/>
      <c r="T18" s="3"/>
      <c r="U18" s="3"/>
      <c r="W18" s="307" t="s">
        <v>77</v>
      </c>
      <c r="X18" s="307"/>
    </row>
    <row r="19" spans="1:49" ht="49.9" customHeight="1" x14ac:dyDescent="0.25">
      <c r="A19" s="317"/>
      <c r="B19" s="5">
        <v>9</v>
      </c>
      <c r="C19" s="305" t="s">
        <v>81</v>
      </c>
      <c r="D19" s="306"/>
      <c r="E19" s="306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5"/>
      <c r="T19" s="22"/>
      <c r="U19" s="22"/>
      <c r="W19" s="299" t="s">
        <v>1020</v>
      </c>
      <c r="X19" s="300"/>
      <c r="Y19" s="301">
        <f>IF(Y20="","",Y20-378)</f>
        <v>1258</v>
      </c>
      <c r="Z19" s="302"/>
      <c r="AA19" s="299" t="s">
        <v>1014</v>
      </c>
      <c r="AB19" s="300"/>
      <c r="AC19" s="130"/>
      <c r="AD19" s="130" t="s">
        <v>1023</v>
      </c>
    </row>
    <row r="20" spans="1:49" ht="49.9" customHeight="1" x14ac:dyDescent="0.25">
      <c r="A20" s="317"/>
      <c r="B20" s="5">
        <v>10</v>
      </c>
      <c r="C20" s="296" t="s">
        <v>45</v>
      </c>
      <c r="D20" s="297"/>
      <c r="E20" s="297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6"/>
      <c r="T20" s="3"/>
      <c r="U20" s="3"/>
      <c r="W20" s="299" t="s">
        <v>1021</v>
      </c>
      <c r="X20" s="300"/>
      <c r="Y20" s="301">
        <f>IF(AG5="X",$Y$3+3,"")</f>
        <v>1636</v>
      </c>
      <c r="Z20" s="302"/>
      <c r="AA20" s="134" t="s">
        <v>1015</v>
      </c>
      <c r="AB20" s="135"/>
      <c r="AC20" s="75"/>
      <c r="AD20" s="75"/>
      <c r="AW20" t="s">
        <v>1210</v>
      </c>
    </row>
    <row r="21" spans="1:49" ht="49.9" customHeight="1" x14ac:dyDescent="0.25">
      <c r="A21" s="317"/>
      <c r="B21" s="5">
        <v>11</v>
      </c>
      <c r="C21" s="305" t="s">
        <v>134</v>
      </c>
      <c r="D21" s="306"/>
      <c r="E21" s="306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5"/>
      <c r="T21" s="22"/>
      <c r="U21" s="22"/>
      <c r="W21" s="136" t="s">
        <v>1016</v>
      </c>
      <c r="X21" s="137"/>
      <c r="Y21" s="293" t="s">
        <v>1009</v>
      </c>
      <c r="Z21" s="294"/>
      <c r="AA21" s="293" t="s">
        <v>1010</v>
      </c>
      <c r="AB21" s="294"/>
      <c r="AC21" s="23" t="s">
        <v>1011</v>
      </c>
      <c r="AD21" s="23" t="s">
        <v>1012</v>
      </c>
    </row>
    <row r="22" spans="1:49" ht="49.9" customHeight="1" x14ac:dyDescent="0.25">
      <c r="A22" s="317"/>
      <c r="B22" s="5">
        <v>12</v>
      </c>
      <c r="C22" s="296" t="s">
        <v>78</v>
      </c>
      <c r="D22" s="297"/>
      <c r="E22" s="297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6"/>
      <c r="T22" s="3"/>
      <c r="U22" s="3"/>
      <c r="W22" s="131" t="s">
        <v>1013</v>
      </c>
      <c r="X22" s="132"/>
      <c r="Y22" s="291"/>
      <c r="Z22" s="292"/>
      <c r="AA22" s="291"/>
      <c r="AB22" s="292"/>
      <c r="AC22" s="75"/>
      <c r="AD22" s="75"/>
    </row>
    <row r="23" spans="1:49" ht="49.9" customHeight="1" x14ac:dyDescent="0.25">
      <c r="A23" s="317"/>
      <c r="B23" s="5">
        <v>13</v>
      </c>
      <c r="C23" s="308" t="s">
        <v>29</v>
      </c>
      <c r="D23" s="309"/>
      <c r="E23" s="309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5"/>
      <c r="T23" s="22"/>
      <c r="U23" s="22"/>
      <c r="W23" s="314"/>
      <c r="X23" s="314"/>
      <c r="Y23" s="314"/>
      <c r="Z23" s="314"/>
      <c r="AA23" s="314"/>
      <c r="AB23" s="314"/>
      <c r="AC23" s="315"/>
      <c r="AD23" s="315"/>
    </row>
    <row r="24" spans="1:49" ht="49.9" customHeight="1" x14ac:dyDescent="0.25">
      <c r="A24" s="317"/>
      <c r="B24" s="5">
        <v>14</v>
      </c>
      <c r="C24" s="296" t="s">
        <v>28</v>
      </c>
      <c r="D24" s="297"/>
      <c r="E24" s="297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6"/>
      <c r="T24" s="3"/>
      <c r="U24" s="3"/>
      <c r="W24" s="307" t="s">
        <v>107</v>
      </c>
      <c r="X24" s="307"/>
    </row>
    <row r="25" spans="1:49" ht="49.9" customHeight="1" x14ac:dyDescent="0.25">
      <c r="A25" s="317"/>
      <c r="B25" s="5">
        <v>15</v>
      </c>
      <c r="C25" s="308" t="s">
        <v>102</v>
      </c>
      <c r="D25" s="309"/>
      <c r="E25" s="309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5"/>
      <c r="T25" s="22"/>
      <c r="U25" s="22"/>
      <c r="W25" s="299" t="s">
        <v>1020</v>
      </c>
      <c r="X25" s="300"/>
      <c r="Y25" s="301">
        <f>IF(Y26="","",Y26-378)</f>
        <v>1259</v>
      </c>
      <c r="Z25" s="302"/>
      <c r="AA25" s="355" t="s">
        <v>1014</v>
      </c>
      <c r="AB25" s="356"/>
      <c r="AC25" s="130"/>
      <c r="AD25" s="130" t="s">
        <v>1023</v>
      </c>
    </row>
    <row r="26" spans="1:49" ht="49.9" customHeight="1" x14ac:dyDescent="0.25">
      <c r="A26" s="317"/>
      <c r="B26" s="5">
        <v>16</v>
      </c>
      <c r="C26" s="312" t="s">
        <v>103</v>
      </c>
      <c r="D26" s="313"/>
      <c r="E26" s="313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6"/>
      <c r="T26" s="3"/>
      <c r="U26" s="3"/>
      <c r="W26" s="299" t="s">
        <v>1019</v>
      </c>
      <c r="X26" s="300"/>
      <c r="Y26" s="301">
        <f>IF(AG6="X",$Y$3+4,"")</f>
        <v>1637</v>
      </c>
      <c r="Z26" s="302"/>
      <c r="AA26" s="299" t="s">
        <v>1015</v>
      </c>
      <c r="AB26" s="300"/>
      <c r="AC26" s="75"/>
      <c r="AD26" s="75"/>
    </row>
    <row r="27" spans="1:49" ht="49.9" customHeight="1" x14ac:dyDescent="0.25">
      <c r="A27" s="317"/>
      <c r="B27" s="5">
        <v>17</v>
      </c>
      <c r="C27" s="305" t="s">
        <v>1136</v>
      </c>
      <c r="D27" s="306"/>
      <c r="E27" s="306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5"/>
      <c r="T27" s="22"/>
      <c r="U27" s="22"/>
      <c r="W27" s="136" t="s">
        <v>1016</v>
      </c>
      <c r="X27" s="137"/>
      <c r="Y27" s="293" t="s">
        <v>1009</v>
      </c>
      <c r="Z27" s="294"/>
      <c r="AA27" s="293" t="s">
        <v>1010</v>
      </c>
      <c r="AB27" s="294"/>
      <c r="AC27" s="133" t="s">
        <v>1011</v>
      </c>
      <c r="AD27" s="133" t="s">
        <v>1012</v>
      </c>
    </row>
    <row r="28" spans="1:49" ht="49.9" customHeight="1" x14ac:dyDescent="0.25">
      <c r="A28" s="317"/>
      <c r="B28" s="5">
        <v>18</v>
      </c>
      <c r="C28" s="312" t="s">
        <v>1137</v>
      </c>
      <c r="D28" s="313"/>
      <c r="E28" s="313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6"/>
      <c r="T28" s="3"/>
      <c r="U28" s="3"/>
      <c r="W28" s="131" t="s">
        <v>1013</v>
      </c>
      <c r="X28" s="132"/>
      <c r="Y28" s="291"/>
      <c r="Z28" s="292"/>
      <c r="AA28" s="291"/>
      <c r="AB28" s="292"/>
      <c r="AC28" s="75"/>
      <c r="AD28" s="75"/>
    </row>
    <row r="29" spans="1:49" ht="49.9" customHeight="1" x14ac:dyDescent="0.25">
      <c r="A29" s="317"/>
      <c r="B29" s="5">
        <v>19</v>
      </c>
      <c r="C29" s="305" t="s">
        <v>83</v>
      </c>
      <c r="D29" s="306"/>
      <c r="E29" s="306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5"/>
      <c r="T29" s="22"/>
      <c r="U29" s="22"/>
    </row>
    <row r="30" spans="1:49" ht="49.9" customHeight="1" thickBot="1" x14ac:dyDescent="0.3">
      <c r="A30" s="317"/>
      <c r="B30" s="12">
        <v>20</v>
      </c>
      <c r="C30" s="296" t="s">
        <v>114</v>
      </c>
      <c r="D30" s="297"/>
      <c r="E30" s="297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127"/>
      <c r="T30" s="3"/>
      <c r="U30" s="3"/>
      <c r="W30" s="307" t="s">
        <v>1017</v>
      </c>
      <c r="X30" s="307"/>
    </row>
    <row r="31" spans="1:49" ht="49.9" customHeight="1" thickBot="1" x14ac:dyDescent="0.3">
      <c r="A31" s="317"/>
      <c r="B31" s="12">
        <v>21</v>
      </c>
      <c r="C31" s="296" t="s">
        <v>115</v>
      </c>
      <c r="D31" s="297"/>
      <c r="E31" s="297"/>
      <c r="F31" s="33"/>
      <c r="G31" s="34"/>
      <c r="H31" s="153" t="s">
        <v>1041</v>
      </c>
      <c r="I31" s="36"/>
      <c r="J31" s="33"/>
      <c r="K31" s="34"/>
      <c r="L31" s="26"/>
      <c r="M31" s="3"/>
      <c r="N31" s="33"/>
      <c r="O31" s="34"/>
      <c r="P31" s="3"/>
      <c r="Q31" s="3"/>
      <c r="R31" s="33"/>
      <c r="S31" s="127"/>
      <c r="T31" s="3"/>
      <c r="U31" s="3"/>
      <c r="W31" s="299" t="s">
        <v>1018</v>
      </c>
      <c r="X31" s="300"/>
      <c r="Y31" s="301">
        <f>IF(Y32="","",Y32-378)</f>
        <v>1260</v>
      </c>
      <c r="Z31" s="302"/>
      <c r="AA31" s="399" t="s">
        <v>1014</v>
      </c>
      <c r="AB31" s="399"/>
      <c r="AC31" s="130"/>
      <c r="AD31" s="130" t="s">
        <v>1023</v>
      </c>
    </row>
    <row r="32" spans="1:49" ht="49.9" customHeight="1" thickBot="1" x14ac:dyDescent="0.3">
      <c r="A32" s="317"/>
      <c r="B32" s="12">
        <v>22</v>
      </c>
      <c r="C32" s="296" t="s">
        <v>84</v>
      </c>
      <c r="D32" s="297"/>
      <c r="E32" s="297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127"/>
      <c r="T32" s="3"/>
      <c r="U32" s="3"/>
      <c r="W32" s="299" t="s">
        <v>1019</v>
      </c>
      <c r="X32" s="300"/>
      <c r="Y32" s="301">
        <f>IF(AG7="X",$Y$3+5,"")</f>
        <v>1638</v>
      </c>
      <c r="Z32" s="302"/>
      <c r="AA32" s="134" t="s">
        <v>1015</v>
      </c>
      <c r="AB32" s="135"/>
      <c r="AC32" s="75"/>
      <c r="AD32" s="75"/>
    </row>
    <row r="33" spans="1:32" ht="37.9" customHeight="1" x14ac:dyDescent="0.25">
      <c r="A33" s="317"/>
      <c r="C33" s="377"/>
      <c r="D33" s="377"/>
      <c r="E33" s="377"/>
      <c r="F33" s="374" t="s">
        <v>30</v>
      </c>
      <c r="G33" s="375"/>
      <c r="H33" s="369" t="s">
        <v>31</v>
      </c>
      <c r="I33" s="370"/>
      <c r="J33" s="374" t="s">
        <v>32</v>
      </c>
      <c r="K33" s="375"/>
      <c r="L33" s="369" t="s">
        <v>33</v>
      </c>
      <c r="M33" s="370"/>
      <c r="N33" s="369" t="s">
        <v>34</v>
      </c>
      <c r="O33" s="370"/>
      <c r="P33" s="369" t="s">
        <v>35</v>
      </c>
      <c r="Q33" s="370"/>
      <c r="R33" s="369" t="s">
        <v>36</v>
      </c>
      <c r="S33" s="371"/>
      <c r="T33" s="372" t="s">
        <v>37</v>
      </c>
      <c r="U33" s="372"/>
      <c r="W33" s="136" t="s">
        <v>1016</v>
      </c>
      <c r="X33" s="137"/>
      <c r="Y33" s="293" t="s">
        <v>1009</v>
      </c>
      <c r="Z33" s="294"/>
      <c r="AA33" s="293" t="s">
        <v>1010</v>
      </c>
      <c r="AB33" s="294"/>
      <c r="AC33" s="23" t="s">
        <v>1011</v>
      </c>
      <c r="AD33" s="23" t="s">
        <v>1012</v>
      </c>
    </row>
    <row r="34" spans="1:32" ht="44.45" customHeight="1" x14ac:dyDescent="0.55000000000000004">
      <c r="A34" s="317"/>
      <c r="C34" s="397" t="s">
        <v>1138</v>
      </c>
      <c r="D34" s="397"/>
      <c r="E34" s="398"/>
      <c r="F34" s="395"/>
      <c r="G34" s="396"/>
      <c r="H34" s="391"/>
      <c r="I34" s="392"/>
      <c r="J34" s="391"/>
      <c r="K34" s="392"/>
      <c r="L34" s="391"/>
      <c r="M34" s="392"/>
      <c r="N34" s="391"/>
      <c r="O34" s="392"/>
      <c r="P34" s="391"/>
      <c r="Q34" s="392"/>
      <c r="R34" s="391"/>
      <c r="S34" s="393"/>
      <c r="T34" s="394"/>
      <c r="U34" s="394"/>
      <c r="W34" s="131" t="s">
        <v>1013</v>
      </c>
      <c r="X34" s="132"/>
      <c r="Y34" s="291"/>
      <c r="Z34" s="292"/>
      <c r="AA34" s="291"/>
      <c r="AB34" s="292"/>
      <c r="AC34" s="75"/>
      <c r="AD34" s="75"/>
    </row>
    <row r="35" spans="1:32" ht="8.4499999999999993" customHeight="1" x14ac:dyDescent="0.3">
      <c r="A35" s="317"/>
      <c r="C35" s="376"/>
      <c r="D35" s="376"/>
      <c r="E35" s="376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391"/>
      <c r="U35" s="392"/>
      <c r="W35"/>
    </row>
    <row r="36" spans="1:32" ht="34.9" customHeight="1" x14ac:dyDescent="0.25">
      <c r="A36" s="317"/>
      <c r="F36" s="369" t="s">
        <v>109</v>
      </c>
      <c r="G36" s="370"/>
      <c r="H36" s="369" t="s">
        <v>38</v>
      </c>
      <c r="I36" s="370"/>
      <c r="J36" s="369" t="s">
        <v>39</v>
      </c>
      <c r="K36" s="370"/>
      <c r="L36" s="369" t="s">
        <v>40</v>
      </c>
      <c r="M36" s="370"/>
      <c r="N36" s="369" t="s">
        <v>41</v>
      </c>
      <c r="O36" s="370"/>
      <c r="P36" s="369" t="s">
        <v>42</v>
      </c>
      <c r="Q36" s="370"/>
      <c r="R36" s="369" t="s">
        <v>43</v>
      </c>
      <c r="S36" s="371"/>
      <c r="T36" s="372" t="s">
        <v>44</v>
      </c>
      <c r="U36" s="372"/>
      <c r="W36"/>
    </row>
    <row r="37" spans="1:32" ht="46.9" customHeight="1" x14ac:dyDescent="0.55000000000000004">
      <c r="A37" s="317"/>
      <c r="C37" s="397" t="s">
        <v>1138</v>
      </c>
      <c r="D37" s="397"/>
      <c r="E37" s="398"/>
      <c r="F37" s="388"/>
      <c r="G37" s="389"/>
      <c r="H37" s="388"/>
      <c r="I37" s="389"/>
      <c r="J37" s="388"/>
      <c r="K37" s="389"/>
      <c r="L37" s="388"/>
      <c r="M37" s="389"/>
      <c r="N37" s="388"/>
      <c r="O37" s="389"/>
      <c r="P37" s="388"/>
      <c r="Q37" s="389"/>
      <c r="R37" s="388"/>
      <c r="S37" s="390"/>
      <c r="T37" s="270"/>
      <c r="U37" s="270"/>
      <c r="W37"/>
    </row>
    <row r="38" spans="1:32" ht="7.15" customHeight="1" x14ac:dyDescent="0.25">
      <c r="A38" s="317"/>
      <c r="M38" s="2"/>
      <c r="N38" s="2"/>
      <c r="O38" s="2"/>
      <c r="R38" s="2"/>
      <c r="S38" s="2"/>
      <c r="T38" s="2"/>
      <c r="U38" s="2"/>
      <c r="W38"/>
    </row>
    <row r="39" spans="1:32" ht="52.9" customHeight="1" x14ac:dyDescent="0.45">
      <c r="F39" s="270" t="s">
        <v>63</v>
      </c>
      <c r="G39" s="270"/>
      <c r="H39" s="270"/>
      <c r="I39" s="270"/>
      <c r="J39" s="386">
        <v>1063123216</v>
      </c>
      <c r="K39" s="386"/>
      <c r="L39" s="386"/>
      <c r="M39" s="386"/>
      <c r="N39" s="386"/>
      <c r="O39" s="386"/>
      <c r="P39" s="386"/>
      <c r="Q39" s="386"/>
      <c r="R39" s="386"/>
      <c r="S39" s="386"/>
      <c r="T39" s="386"/>
      <c r="U39" s="386"/>
      <c r="W39"/>
    </row>
    <row r="40" spans="1:32" ht="33" x14ac:dyDescent="0.45">
      <c r="F40" s="270" t="s">
        <v>64</v>
      </c>
      <c r="G40" s="270"/>
      <c r="H40" s="270"/>
      <c r="I40" s="270"/>
      <c r="J40" s="387">
        <v>45860</v>
      </c>
      <c r="K40" s="387"/>
      <c r="L40" s="387"/>
      <c r="M40" s="387"/>
      <c r="N40" s="387"/>
      <c r="O40" s="387"/>
      <c r="P40" s="387"/>
      <c r="Q40" s="387"/>
      <c r="R40" s="387"/>
      <c r="S40" s="387"/>
      <c r="T40" s="387"/>
      <c r="U40" s="387"/>
      <c r="W40"/>
    </row>
    <row r="41" spans="1:32" x14ac:dyDescent="0.25">
      <c r="J41" s="2">
        <v>3</v>
      </c>
      <c r="M41" s="2"/>
      <c r="N41" s="2"/>
      <c r="O41" s="2"/>
      <c r="R41" s="2"/>
      <c r="S41" s="2"/>
      <c r="T41" s="2"/>
      <c r="U41" s="2"/>
    </row>
    <row r="42" spans="1:32" ht="42.6" customHeight="1" x14ac:dyDescent="0.25">
      <c r="B42" s="282" t="s">
        <v>161</v>
      </c>
      <c r="C42" s="282"/>
      <c r="D42" s="108">
        <f>D3</f>
        <v>169</v>
      </c>
      <c r="E42" s="6" t="s">
        <v>121</v>
      </c>
      <c r="F42" s="283" t="s">
        <v>105</v>
      </c>
      <c r="G42" s="284"/>
      <c r="H42" s="283" t="s">
        <v>105</v>
      </c>
      <c r="I42" s="284"/>
      <c r="J42" s="283" t="s">
        <v>105</v>
      </c>
      <c r="K42" s="284"/>
      <c r="L42" s="283" t="s">
        <v>105</v>
      </c>
      <c r="M42" s="284"/>
      <c r="N42" s="283" t="s">
        <v>105</v>
      </c>
      <c r="O42" s="284"/>
      <c r="P42" s="283" t="s">
        <v>105</v>
      </c>
      <c r="Q42" s="284"/>
      <c r="R42" s="283" t="s">
        <v>105</v>
      </c>
      <c r="S42" s="284"/>
      <c r="T42" s="283" t="s">
        <v>104</v>
      </c>
      <c r="U42" s="284"/>
    </row>
    <row r="43" spans="1:32" ht="55.15" customHeight="1" x14ac:dyDescent="0.25">
      <c r="A43" s="278" t="s">
        <v>1</v>
      </c>
      <c r="B43" s="278"/>
      <c r="C43" s="279"/>
      <c r="D43" s="280"/>
      <c r="E43" s="6" t="s">
        <v>6</v>
      </c>
      <c r="F43" s="281" t="str">
        <f>F4</f>
        <v>PR_PE-98</v>
      </c>
      <c r="G43" s="281"/>
      <c r="H43" s="281" t="str">
        <f t="shared" ref="H43:H44" si="0">H4</f>
        <v>PN-292-A</v>
      </c>
      <c r="I43" s="281"/>
      <c r="J43" s="281" t="str">
        <f t="shared" ref="J43:J44" si="1">J4</f>
        <v>PLACA TESTE</v>
      </c>
      <c r="K43" s="281"/>
      <c r="L43" s="281">
        <f t="shared" ref="L43:L44" si="2">L4</f>
        <v>0</v>
      </c>
      <c r="M43" s="281"/>
      <c r="N43" s="281">
        <f t="shared" ref="N43:N44" si="3">N4</f>
        <v>0</v>
      </c>
      <c r="O43" s="281"/>
      <c r="P43" s="281">
        <f t="shared" ref="P43:P44" si="4">P4</f>
        <v>0</v>
      </c>
      <c r="Q43" s="281"/>
      <c r="R43" s="281">
        <f t="shared" ref="R43:R44" si="5">R4</f>
        <v>0</v>
      </c>
      <c r="S43" s="281"/>
      <c r="T43" s="281">
        <f t="shared" ref="T43:T44" si="6">T4</f>
        <v>0</v>
      </c>
      <c r="U43" s="281"/>
      <c r="W43" s="276"/>
      <c r="X43" s="276"/>
      <c r="Y43" s="276"/>
      <c r="Z43" s="276"/>
      <c r="AA43" s="276"/>
      <c r="AF43" s="14"/>
    </row>
    <row r="44" spans="1:32" ht="37.15" customHeight="1" x14ac:dyDescent="0.25">
      <c r="A44" s="278"/>
      <c r="B44" s="278"/>
      <c r="C44" s="279"/>
      <c r="D44" s="280"/>
      <c r="E44" s="6" t="s">
        <v>51</v>
      </c>
      <c r="F44" s="277" t="str">
        <f>F5</f>
        <v>PEV</v>
      </c>
      <c r="G44" s="277"/>
      <c r="H44" s="277" t="e">
        <f t="shared" si="0"/>
        <v>#N/A</v>
      </c>
      <c r="I44" s="277"/>
      <c r="J44" s="277" t="e">
        <f t="shared" si="1"/>
        <v>#N/A</v>
      </c>
      <c r="K44" s="277"/>
      <c r="L44" s="277" t="e">
        <f t="shared" si="2"/>
        <v>#N/A</v>
      </c>
      <c r="M44" s="277"/>
      <c r="N44" s="277" t="e">
        <f t="shared" si="3"/>
        <v>#N/A</v>
      </c>
      <c r="O44" s="277"/>
      <c r="P44" s="277" t="e">
        <f t="shared" si="4"/>
        <v>#N/A</v>
      </c>
      <c r="Q44" s="277"/>
      <c r="R44" s="277" t="e">
        <f t="shared" si="5"/>
        <v>#N/A</v>
      </c>
      <c r="S44" s="277"/>
      <c r="T44" s="277" t="e">
        <f t="shared" si="6"/>
        <v>#N/A</v>
      </c>
      <c r="U44" s="277"/>
      <c r="AF44" s="14"/>
    </row>
    <row r="45" spans="1:32" ht="46.9" customHeight="1" x14ac:dyDescent="0.25">
      <c r="B45" s="385" t="s">
        <v>986</v>
      </c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161"/>
      <c r="W45" s="161"/>
      <c r="X45" s="161"/>
      <c r="Y45" s="161"/>
      <c r="Z45" s="161"/>
      <c r="AA45" s="161"/>
      <c r="AB45" s="161"/>
      <c r="AC45" s="161"/>
      <c r="AD45" s="161"/>
    </row>
    <row r="46" spans="1:32" ht="52.9" customHeight="1" x14ac:dyDescent="0.55000000000000004">
      <c r="B46" s="269">
        <v>1</v>
      </c>
      <c r="C46" s="269"/>
      <c r="D46" s="273" t="s">
        <v>987</v>
      </c>
      <c r="E46" s="274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</row>
    <row r="47" spans="1:32" ht="38.25" x14ac:dyDescent="0.55000000000000004">
      <c r="B47" s="269">
        <v>2</v>
      </c>
      <c r="C47" s="269"/>
      <c r="D47" s="273" t="s">
        <v>988</v>
      </c>
      <c r="E47" s="274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</row>
    <row r="48" spans="1:32" ht="38.25" x14ac:dyDescent="0.55000000000000004">
      <c r="B48" s="269">
        <v>3</v>
      </c>
      <c r="C48" s="269"/>
      <c r="D48" s="273" t="s">
        <v>989</v>
      </c>
      <c r="E48" s="274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</row>
    <row r="49" spans="2:23" ht="38.25" x14ac:dyDescent="0.55000000000000004">
      <c r="B49" s="269">
        <v>4</v>
      </c>
      <c r="C49" s="269"/>
      <c r="D49" s="273" t="s">
        <v>990</v>
      </c>
      <c r="E49" s="274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</row>
    <row r="50" spans="2:23" ht="38.25" x14ac:dyDescent="0.55000000000000004">
      <c r="B50" s="269">
        <v>5</v>
      </c>
      <c r="C50" s="269"/>
      <c r="D50" s="273" t="s">
        <v>994</v>
      </c>
      <c r="E50" s="274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</row>
    <row r="51" spans="2:23" ht="38.25" x14ac:dyDescent="0.55000000000000004">
      <c r="B51" s="269">
        <v>6</v>
      </c>
      <c r="C51" s="269"/>
      <c r="D51" s="273" t="s">
        <v>995</v>
      </c>
      <c r="E51" s="274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</row>
    <row r="52" spans="2:23" ht="38.25" x14ac:dyDescent="0.55000000000000004">
      <c r="B52" s="269">
        <v>7</v>
      </c>
      <c r="C52" s="269"/>
      <c r="D52" s="271"/>
      <c r="E52" s="272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</row>
    <row r="53" spans="2:23" ht="38.25" x14ac:dyDescent="0.55000000000000004">
      <c r="B53" s="269">
        <v>8</v>
      </c>
      <c r="C53" s="269"/>
      <c r="D53" s="271"/>
      <c r="E53" s="272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</row>
    <row r="54" spans="2:23" ht="38.25" x14ac:dyDescent="0.55000000000000004">
      <c r="B54" s="269">
        <v>9</v>
      </c>
      <c r="C54" s="269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</row>
    <row r="55" spans="2:23" ht="38.25" x14ac:dyDescent="0.55000000000000004">
      <c r="B55" s="269">
        <v>10</v>
      </c>
      <c r="C55" s="269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</row>
    <row r="56" spans="2:23" ht="38.25" x14ac:dyDescent="0.55000000000000004">
      <c r="B56" s="269">
        <v>11</v>
      </c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</row>
    <row r="57" spans="2:23" ht="38.25" x14ac:dyDescent="0.55000000000000004">
      <c r="B57" s="269">
        <v>12</v>
      </c>
      <c r="C57" s="269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</row>
    <row r="58" spans="2:23" ht="38.25" x14ac:dyDescent="0.55000000000000004">
      <c r="B58" s="269">
        <v>13</v>
      </c>
      <c r="C58" s="269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</row>
    <row r="59" spans="2:23" ht="38.25" x14ac:dyDescent="0.55000000000000004">
      <c r="B59" s="269">
        <v>14</v>
      </c>
      <c r="C59" s="269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</row>
    <row r="60" spans="2:23" ht="37.9" customHeight="1" x14ac:dyDescent="0.25">
      <c r="B60"/>
      <c r="C60"/>
      <c r="D60"/>
      <c r="E60"/>
      <c r="F60"/>
      <c r="G60"/>
      <c r="H60"/>
      <c r="I60"/>
      <c r="J60"/>
      <c r="K60"/>
      <c r="L60"/>
      <c r="P60"/>
      <c r="Q60"/>
      <c r="W60"/>
    </row>
    <row r="61" spans="2:23" ht="37.9" customHeight="1" x14ac:dyDescent="0.25">
      <c r="B61"/>
      <c r="C61"/>
      <c r="D61"/>
      <c r="E61"/>
      <c r="F61"/>
      <c r="G61"/>
      <c r="H61"/>
      <c r="I61"/>
      <c r="J61"/>
      <c r="K61"/>
      <c r="L61"/>
      <c r="P61"/>
      <c r="Q61"/>
      <c r="W61"/>
    </row>
    <row r="62" spans="2:23" ht="37.9" customHeight="1" x14ac:dyDescent="0.25">
      <c r="B62"/>
      <c r="C62"/>
      <c r="D62"/>
      <c r="E62"/>
      <c r="F62"/>
      <c r="G62"/>
      <c r="H62"/>
      <c r="I62"/>
      <c r="J62"/>
      <c r="K62"/>
      <c r="L62"/>
      <c r="P62"/>
      <c r="Q62"/>
      <c r="W62"/>
    </row>
    <row r="63" spans="2:23" ht="37.9" customHeight="1" x14ac:dyDescent="0.25">
      <c r="B63"/>
      <c r="C63"/>
      <c r="D63"/>
      <c r="E63"/>
      <c r="F63"/>
      <c r="G63"/>
      <c r="H63"/>
      <c r="I63"/>
      <c r="J63"/>
      <c r="K63"/>
      <c r="L63"/>
      <c r="P63"/>
      <c r="Q63"/>
      <c r="W63"/>
    </row>
    <row r="64" spans="2:23" ht="37.9" customHeight="1" x14ac:dyDescent="0.25">
      <c r="B64"/>
      <c r="C64"/>
      <c r="D64"/>
      <c r="E64"/>
      <c r="F64"/>
      <c r="G64"/>
      <c r="H64"/>
      <c r="I64"/>
      <c r="J64"/>
      <c r="K64"/>
      <c r="L64"/>
      <c r="P64"/>
      <c r="Q64"/>
      <c r="W64"/>
    </row>
    <row r="65" spans="2:23" ht="37.9" customHeight="1" x14ac:dyDescent="0.25">
      <c r="B65"/>
      <c r="C65"/>
      <c r="D65"/>
      <c r="E65"/>
      <c r="F65"/>
      <c r="G65"/>
      <c r="H65"/>
      <c r="I65"/>
      <c r="J65"/>
      <c r="K65"/>
      <c r="L65"/>
      <c r="P65"/>
      <c r="Q65"/>
      <c r="W65"/>
    </row>
    <row r="66" spans="2:23" ht="37.9" customHeight="1" x14ac:dyDescent="0.25">
      <c r="B66"/>
      <c r="C66"/>
      <c r="D66"/>
      <c r="E66"/>
      <c r="F66"/>
      <c r="G66"/>
      <c r="H66"/>
      <c r="I66"/>
      <c r="J66"/>
      <c r="K66"/>
      <c r="L66"/>
      <c r="P66"/>
      <c r="Q66"/>
      <c r="W66"/>
    </row>
    <row r="67" spans="2:23" ht="37.9" customHeight="1" x14ac:dyDescent="0.25">
      <c r="B67"/>
      <c r="C67"/>
      <c r="D67"/>
      <c r="E67"/>
      <c r="F67"/>
      <c r="G67"/>
      <c r="H67"/>
      <c r="I67"/>
      <c r="J67"/>
      <c r="K67"/>
      <c r="L67"/>
      <c r="P67"/>
      <c r="Q67"/>
      <c r="W67"/>
    </row>
    <row r="68" spans="2:23" ht="37.9" customHeight="1" x14ac:dyDescent="0.25">
      <c r="B68"/>
      <c r="C68"/>
      <c r="D68"/>
      <c r="E68"/>
      <c r="F68"/>
      <c r="G68"/>
      <c r="H68"/>
      <c r="I68"/>
      <c r="J68"/>
      <c r="K68"/>
      <c r="L68"/>
      <c r="P68"/>
      <c r="Q68"/>
      <c r="W68"/>
    </row>
    <row r="69" spans="2:23" ht="37.9" customHeight="1" x14ac:dyDescent="0.25">
      <c r="B69"/>
      <c r="C69"/>
      <c r="D69"/>
      <c r="E69"/>
      <c r="F69"/>
      <c r="G69"/>
      <c r="H69"/>
      <c r="I69"/>
      <c r="J69"/>
      <c r="K69"/>
      <c r="L69"/>
      <c r="P69"/>
      <c r="Q69"/>
      <c r="W69"/>
    </row>
    <row r="70" spans="2:23" ht="37.9" customHeight="1" x14ac:dyDescent="0.25">
      <c r="B70"/>
      <c r="C70"/>
      <c r="D70"/>
      <c r="E70"/>
      <c r="F70"/>
      <c r="G70"/>
      <c r="H70"/>
      <c r="I70"/>
      <c r="J70"/>
      <c r="K70"/>
      <c r="L70"/>
      <c r="P70"/>
      <c r="Q70"/>
      <c r="W70"/>
    </row>
    <row r="71" spans="2:23" ht="37.9" customHeight="1" x14ac:dyDescent="0.25">
      <c r="B71"/>
      <c r="C71"/>
      <c r="D71"/>
      <c r="E71"/>
      <c r="F71"/>
      <c r="G71"/>
      <c r="H71"/>
      <c r="I71"/>
      <c r="J71"/>
      <c r="K71"/>
      <c r="L71"/>
      <c r="P71"/>
      <c r="Q71"/>
      <c r="W71"/>
    </row>
    <row r="72" spans="2:23" ht="37.9" customHeight="1" x14ac:dyDescent="0.25">
      <c r="B72"/>
      <c r="C72"/>
      <c r="D72"/>
      <c r="E72"/>
      <c r="F72"/>
      <c r="G72"/>
      <c r="H72"/>
      <c r="I72"/>
      <c r="J72"/>
      <c r="K72"/>
      <c r="L72"/>
      <c r="P72"/>
      <c r="Q72"/>
      <c r="W72"/>
    </row>
    <row r="73" spans="2:23" ht="37.9" customHeight="1" x14ac:dyDescent="0.25">
      <c r="B73"/>
      <c r="C73"/>
      <c r="D73"/>
      <c r="E73"/>
      <c r="F73"/>
      <c r="G73"/>
      <c r="H73"/>
      <c r="I73"/>
      <c r="J73"/>
      <c r="K73"/>
      <c r="L73"/>
      <c r="P73"/>
      <c r="Q73"/>
      <c r="W73"/>
    </row>
    <row r="74" spans="2:23" ht="37.9" customHeight="1" x14ac:dyDescent="0.25">
      <c r="B74"/>
      <c r="C74"/>
      <c r="D74"/>
      <c r="E74"/>
      <c r="F74"/>
      <c r="G74"/>
      <c r="H74"/>
      <c r="I74"/>
      <c r="J74"/>
      <c r="K74"/>
      <c r="L74"/>
      <c r="P74"/>
      <c r="Q74"/>
      <c r="W74"/>
    </row>
    <row r="75" spans="2:23" ht="37.9" customHeight="1" x14ac:dyDescent="0.25">
      <c r="B75"/>
      <c r="C75"/>
      <c r="D75"/>
      <c r="E75"/>
      <c r="F75"/>
      <c r="G75"/>
      <c r="H75"/>
      <c r="I75"/>
      <c r="J75"/>
      <c r="K75"/>
      <c r="L75"/>
      <c r="P75"/>
      <c r="Q75"/>
      <c r="W75"/>
    </row>
    <row r="76" spans="2:23" ht="37.9" customHeight="1" x14ac:dyDescent="0.25">
      <c r="B76"/>
      <c r="C76"/>
      <c r="D76"/>
      <c r="E76"/>
      <c r="F76"/>
      <c r="G76"/>
      <c r="H76"/>
      <c r="I76"/>
      <c r="J76"/>
      <c r="K76"/>
      <c r="L76"/>
      <c r="P76"/>
      <c r="Q76"/>
      <c r="W76"/>
    </row>
    <row r="77" spans="2:23" ht="37.9" customHeight="1" x14ac:dyDescent="0.25">
      <c r="B77"/>
      <c r="C77"/>
      <c r="D77"/>
      <c r="E77"/>
      <c r="F77"/>
      <c r="G77"/>
      <c r="H77"/>
      <c r="I77"/>
      <c r="J77"/>
      <c r="K77"/>
      <c r="L77"/>
      <c r="P77"/>
      <c r="Q77"/>
      <c r="W77"/>
    </row>
    <row r="78" spans="2:23" ht="37.9" customHeight="1" x14ac:dyDescent="0.25">
      <c r="B78"/>
      <c r="C78"/>
      <c r="D78"/>
      <c r="E78"/>
      <c r="F78"/>
      <c r="G78"/>
      <c r="H78"/>
      <c r="I78"/>
      <c r="J78"/>
      <c r="K78"/>
      <c r="L78"/>
      <c r="P78"/>
      <c r="Q78"/>
      <c r="W78"/>
    </row>
    <row r="79" spans="2:23" ht="37.9" customHeight="1" x14ac:dyDescent="0.25">
      <c r="B79"/>
      <c r="C79"/>
      <c r="D79"/>
      <c r="E79"/>
      <c r="F79"/>
      <c r="G79"/>
      <c r="H79"/>
      <c r="I79"/>
      <c r="J79"/>
      <c r="K79"/>
      <c r="L79"/>
      <c r="P79"/>
      <c r="Q79"/>
      <c r="W79"/>
    </row>
  </sheetData>
  <mergeCells count="378">
    <mergeCell ref="C37:E37"/>
    <mergeCell ref="Y3:Z3"/>
    <mergeCell ref="Y4:Z4"/>
    <mergeCell ref="AA2:AB2"/>
    <mergeCell ref="B3:C3"/>
    <mergeCell ref="F3:G3"/>
    <mergeCell ref="H3:I3"/>
    <mergeCell ref="J3:K3"/>
    <mergeCell ref="L3:M3"/>
    <mergeCell ref="N3:O3"/>
    <mergeCell ref="P3:Q3"/>
    <mergeCell ref="R3:S3"/>
    <mergeCell ref="P1:Q2"/>
    <mergeCell ref="R1:S2"/>
    <mergeCell ref="T1:U2"/>
    <mergeCell ref="W1:X1"/>
    <mergeCell ref="W2:X2"/>
    <mergeCell ref="Y2:Z2"/>
    <mergeCell ref="E1:E2"/>
    <mergeCell ref="F1:G2"/>
    <mergeCell ref="H1:I2"/>
    <mergeCell ref="J1:K2"/>
    <mergeCell ref="L1:M2"/>
    <mergeCell ref="N1:O2"/>
    <mergeCell ref="T3:U3"/>
    <mergeCell ref="W3:X3"/>
    <mergeCell ref="H5:I5"/>
    <mergeCell ref="J5:K5"/>
    <mergeCell ref="L5:M5"/>
    <mergeCell ref="N5:O5"/>
    <mergeCell ref="P5:Q5"/>
    <mergeCell ref="R5:S5"/>
    <mergeCell ref="T5:U5"/>
    <mergeCell ref="W5:X5"/>
    <mergeCell ref="N4:O4"/>
    <mergeCell ref="P4:Q4"/>
    <mergeCell ref="R4:S4"/>
    <mergeCell ref="T4:U4"/>
    <mergeCell ref="W4:X4"/>
    <mergeCell ref="C7:D8"/>
    <mergeCell ref="F8:G8"/>
    <mergeCell ref="H8:I8"/>
    <mergeCell ref="J8:K8"/>
    <mergeCell ref="L8:M8"/>
    <mergeCell ref="N8:O8"/>
    <mergeCell ref="Y5:Z5"/>
    <mergeCell ref="AA5:AB5"/>
    <mergeCell ref="A6:B6"/>
    <mergeCell ref="C6:D6"/>
    <mergeCell ref="E6:E7"/>
    <mergeCell ref="F6:G7"/>
    <mergeCell ref="H6:I7"/>
    <mergeCell ref="J6:K7"/>
    <mergeCell ref="L6:M7"/>
    <mergeCell ref="N6:O7"/>
    <mergeCell ref="A4:B5"/>
    <mergeCell ref="C4:D5"/>
    <mergeCell ref="F4:G4"/>
    <mergeCell ref="H4:I4"/>
    <mergeCell ref="J4:K4"/>
    <mergeCell ref="L4:M4"/>
    <mergeCell ref="AA4:AB4"/>
    <mergeCell ref="F5:G5"/>
    <mergeCell ref="L9:L10"/>
    <mergeCell ref="P8:Q8"/>
    <mergeCell ref="R8:S8"/>
    <mergeCell ref="T8:U8"/>
    <mergeCell ref="W8:X8"/>
    <mergeCell ref="Y8:Z8"/>
    <mergeCell ref="AA8:AB8"/>
    <mergeCell ref="P6:Q7"/>
    <mergeCell ref="R6:S7"/>
    <mergeCell ref="T6:U7"/>
    <mergeCell ref="W6:X7"/>
    <mergeCell ref="S9:S10"/>
    <mergeCell ref="T9:T10"/>
    <mergeCell ref="U9:U10"/>
    <mergeCell ref="W9:X9"/>
    <mergeCell ref="Y9:Z9"/>
    <mergeCell ref="A10:A38"/>
    <mergeCell ref="W10:X10"/>
    <mergeCell ref="C11:E11"/>
    <mergeCell ref="W11:X11"/>
    <mergeCell ref="Y11:Z11"/>
    <mergeCell ref="M9:M10"/>
    <mergeCell ref="N9:N10"/>
    <mergeCell ref="O9:O10"/>
    <mergeCell ref="P9:P10"/>
    <mergeCell ref="Q9:Q10"/>
    <mergeCell ref="R9:R10"/>
    <mergeCell ref="B9:B10"/>
    <mergeCell ref="C9:E10"/>
    <mergeCell ref="F9:F10"/>
    <mergeCell ref="G9:G10"/>
    <mergeCell ref="H9:H10"/>
    <mergeCell ref="I9:I10"/>
    <mergeCell ref="J9:J10"/>
    <mergeCell ref="K9:K10"/>
    <mergeCell ref="C14:E14"/>
    <mergeCell ref="W14:X14"/>
    <mergeCell ref="Y14:Z14"/>
    <mergeCell ref="C18:E18"/>
    <mergeCell ref="W18:X18"/>
    <mergeCell ref="AA14:AB14"/>
    <mergeCell ref="C15:E15"/>
    <mergeCell ref="W15:X15"/>
    <mergeCell ref="AA11:AB11"/>
    <mergeCell ref="C12:E12"/>
    <mergeCell ref="W12:X12"/>
    <mergeCell ref="C13:E13"/>
    <mergeCell ref="W13:X13"/>
    <mergeCell ref="Y13:Z13"/>
    <mergeCell ref="AA13:AB13"/>
    <mergeCell ref="C19:E19"/>
    <mergeCell ref="W19:X19"/>
    <mergeCell ref="Y19:Z19"/>
    <mergeCell ref="AA19:AB19"/>
    <mergeCell ref="C16:E16"/>
    <mergeCell ref="W16:X16"/>
    <mergeCell ref="Y16:Z16"/>
    <mergeCell ref="AA16:AB16"/>
    <mergeCell ref="C17:E17"/>
    <mergeCell ref="W17:X17"/>
    <mergeCell ref="C22:E22"/>
    <mergeCell ref="Y22:Z22"/>
    <mergeCell ref="AA22:AB22"/>
    <mergeCell ref="C23:E23"/>
    <mergeCell ref="W23:X23"/>
    <mergeCell ref="Y23:Z23"/>
    <mergeCell ref="AA23:AB23"/>
    <mergeCell ref="C20:E20"/>
    <mergeCell ref="W20:X20"/>
    <mergeCell ref="Y20:Z20"/>
    <mergeCell ref="C21:E21"/>
    <mergeCell ref="Y21:Z21"/>
    <mergeCell ref="AA21:AB21"/>
    <mergeCell ref="C26:E26"/>
    <mergeCell ref="W26:X26"/>
    <mergeCell ref="Y26:Z26"/>
    <mergeCell ref="AA26:AB26"/>
    <mergeCell ref="C27:E27"/>
    <mergeCell ref="Y27:Z27"/>
    <mergeCell ref="AA27:AB27"/>
    <mergeCell ref="AC23:AD23"/>
    <mergeCell ref="C24:E24"/>
    <mergeCell ref="W24:X24"/>
    <mergeCell ref="C25:E25"/>
    <mergeCell ref="W25:X25"/>
    <mergeCell ref="Y25:Z25"/>
    <mergeCell ref="AA25:AB25"/>
    <mergeCell ref="C31:E31"/>
    <mergeCell ref="W31:X31"/>
    <mergeCell ref="Y31:Z31"/>
    <mergeCell ref="AA31:AB31"/>
    <mergeCell ref="C32:E32"/>
    <mergeCell ref="W32:X32"/>
    <mergeCell ref="Y32:Z32"/>
    <mergeCell ref="C28:E28"/>
    <mergeCell ref="Y28:Z28"/>
    <mergeCell ref="AA28:AB28"/>
    <mergeCell ref="C29:E29"/>
    <mergeCell ref="C30:E30"/>
    <mergeCell ref="W30:X30"/>
    <mergeCell ref="P34:Q34"/>
    <mergeCell ref="R34:S34"/>
    <mergeCell ref="T34:U34"/>
    <mergeCell ref="Y34:Z34"/>
    <mergeCell ref="AA34:AB34"/>
    <mergeCell ref="C35:E35"/>
    <mergeCell ref="P33:Q33"/>
    <mergeCell ref="R33:S33"/>
    <mergeCell ref="T33:U33"/>
    <mergeCell ref="Y33:Z33"/>
    <mergeCell ref="AA33:AB33"/>
    <mergeCell ref="F34:G34"/>
    <mergeCell ref="H34:I34"/>
    <mergeCell ref="J34:K34"/>
    <mergeCell ref="L34:M34"/>
    <mergeCell ref="N34:O34"/>
    <mergeCell ref="C33:E33"/>
    <mergeCell ref="F33:G33"/>
    <mergeCell ref="H33:I33"/>
    <mergeCell ref="J33:K33"/>
    <mergeCell ref="L33:M33"/>
    <mergeCell ref="N33:O33"/>
    <mergeCell ref="T35:U35"/>
    <mergeCell ref="C34:E34"/>
    <mergeCell ref="F39:I39"/>
    <mergeCell ref="J39:O39"/>
    <mergeCell ref="P39:U39"/>
    <mergeCell ref="F40:I40"/>
    <mergeCell ref="J40:O40"/>
    <mergeCell ref="P40:U40"/>
    <mergeCell ref="R36:S36"/>
    <mergeCell ref="T36:U36"/>
    <mergeCell ref="F37:G37"/>
    <mergeCell ref="H37:I37"/>
    <mergeCell ref="J37:K37"/>
    <mergeCell ref="L37:M37"/>
    <mergeCell ref="N37:O37"/>
    <mergeCell ref="P37:Q37"/>
    <mergeCell ref="R37:S37"/>
    <mergeCell ref="T37:U37"/>
    <mergeCell ref="F36:G36"/>
    <mergeCell ref="H36:I36"/>
    <mergeCell ref="J36:K36"/>
    <mergeCell ref="L36:M36"/>
    <mergeCell ref="N36:O36"/>
    <mergeCell ref="P36:Q36"/>
    <mergeCell ref="P42:Q42"/>
    <mergeCell ref="R42:S42"/>
    <mergeCell ref="T42:U42"/>
    <mergeCell ref="A43:B44"/>
    <mergeCell ref="C43:D44"/>
    <mergeCell ref="F43:G43"/>
    <mergeCell ref="H43:I43"/>
    <mergeCell ref="J43:K43"/>
    <mergeCell ref="L43:M43"/>
    <mergeCell ref="N43:O43"/>
    <mergeCell ref="B42:C42"/>
    <mergeCell ref="F42:G42"/>
    <mergeCell ref="H42:I42"/>
    <mergeCell ref="J42:K42"/>
    <mergeCell ref="L42:M42"/>
    <mergeCell ref="N42:O42"/>
    <mergeCell ref="P43:Q43"/>
    <mergeCell ref="R43:S43"/>
    <mergeCell ref="T43:U43"/>
    <mergeCell ref="F46:G46"/>
    <mergeCell ref="H46:I46"/>
    <mergeCell ref="J46:K46"/>
    <mergeCell ref="L46:M46"/>
    <mergeCell ref="N46:O46"/>
    <mergeCell ref="P46:Q46"/>
    <mergeCell ref="R46:S46"/>
    <mergeCell ref="W43:AA43"/>
    <mergeCell ref="F44:G44"/>
    <mergeCell ref="H44:I44"/>
    <mergeCell ref="J44:K44"/>
    <mergeCell ref="L44:M44"/>
    <mergeCell ref="N44:O44"/>
    <mergeCell ref="P44:Q44"/>
    <mergeCell ref="R44:S44"/>
    <mergeCell ref="T44:U44"/>
    <mergeCell ref="T46:U46"/>
    <mergeCell ref="B45:U45"/>
    <mergeCell ref="B46:C46"/>
    <mergeCell ref="D46:E46"/>
    <mergeCell ref="T47: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9: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P55:Q55"/>
    <mergeCell ref="R55:S55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H57:I57"/>
    <mergeCell ref="J57:K57"/>
    <mergeCell ref="L57:M57"/>
    <mergeCell ref="N57:O57"/>
    <mergeCell ref="P57:Q57"/>
    <mergeCell ref="R57:S57"/>
    <mergeCell ref="T55: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B55:C55"/>
    <mergeCell ref="D55:E55"/>
    <mergeCell ref="F55:G55"/>
    <mergeCell ref="H55:I55"/>
    <mergeCell ref="J55:K55"/>
    <mergeCell ref="L55:M55"/>
    <mergeCell ref="N55:O55"/>
    <mergeCell ref="T57:U57"/>
    <mergeCell ref="B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P58:Q58"/>
    <mergeCell ref="R58:S58"/>
    <mergeCell ref="T58:U58"/>
    <mergeCell ref="B59:C59"/>
    <mergeCell ref="D59:E59"/>
    <mergeCell ref="F59:G59"/>
    <mergeCell ref="H59:I59"/>
    <mergeCell ref="J59:K59"/>
    <mergeCell ref="L59:M59"/>
    <mergeCell ref="N59:O59"/>
    <mergeCell ref="B57:C57"/>
    <mergeCell ref="D57:E57"/>
    <mergeCell ref="F57:G57"/>
  </mergeCells>
  <pageMargins left="0.19685039370078741" right="0.19685039370078741" top="0.39370078740157483" bottom="0.39370078740157483" header="0" footer="0"/>
  <pageSetup paperSize="9" scale="26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6340BF-4661-41E1-861F-5699A007915B}">
          <x14:formula1>
            <xm:f>' CADASTRO'!$I$2:$I$992</xm:f>
          </x14:formula1>
          <xm:sqref>F43:U43 F4:G4 L4:U4</xm:sqref>
        </x14:dataValidation>
        <x14:dataValidation type="list" allowBlank="1" showInputMessage="1" showErrorMessage="1" xr:uid="{E5BAF912-9758-4A09-B1C9-2948D3AA3F00}">
          <x14:formula1>
            <xm:f>' CADASTRO'!$J$2:$J$992</xm:f>
          </x14:formula1>
          <xm:sqref>F5:U5 F44:U44</xm:sqref>
        </x14:dataValidation>
        <x14:dataValidation type="list" allowBlank="1" showInputMessage="1" showErrorMessage="1" xr:uid="{046AE7C0-4C8D-493C-8AA3-5505FBFE5539}">
          <x14:formula1>
            <xm:f>' CADASTRO'!$I$2:$I$3000</xm:f>
          </x14:formula1>
          <xm:sqref>H4:I4 J4:K4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7D55-CCD1-49B6-AAB9-1676765E4C92}">
  <dimension ref="A1:AY79"/>
  <sheetViews>
    <sheetView view="pageBreakPreview" zoomScale="70" zoomScaleNormal="100" zoomScaleSheetLayoutView="70" workbookViewId="0">
      <selection activeCell="C11" sqref="C11:E11"/>
    </sheetView>
  </sheetViews>
  <sheetFormatPr defaultRowHeight="15.75" x14ac:dyDescent="0.25"/>
  <cols>
    <col min="1" max="1" width="4.42578125" customWidth="1"/>
    <col min="2" max="2" width="7" style="1" customWidth="1"/>
    <col min="3" max="3" width="18.140625" style="2" customWidth="1"/>
    <col min="4" max="4" width="12.85546875" style="2" customWidth="1"/>
    <col min="5" max="5" width="50.7109375" style="2" customWidth="1"/>
    <col min="6" max="6" width="11.7109375" style="2" customWidth="1"/>
    <col min="7" max="7" width="10.28515625" style="2" customWidth="1"/>
    <col min="8" max="8" width="11.7109375" style="2" customWidth="1"/>
    <col min="9" max="9" width="9.28515625" style="2" customWidth="1"/>
    <col min="10" max="10" width="11.7109375" style="2" customWidth="1"/>
    <col min="11" max="11" width="9.140625" style="2" customWidth="1"/>
    <col min="12" max="12" width="11.7109375" style="2" customWidth="1"/>
    <col min="13" max="13" width="9.7109375" customWidth="1"/>
    <col min="14" max="14" width="11.7109375" customWidth="1"/>
    <col min="15" max="15" width="9.28515625" customWidth="1"/>
    <col min="16" max="16" width="11.7109375" style="2" customWidth="1"/>
    <col min="17" max="17" width="8.7109375" style="2" customWidth="1"/>
    <col min="18" max="22" width="11.7109375" customWidth="1"/>
    <col min="23" max="23" width="9.42578125" customWidth="1"/>
    <col min="24" max="24" width="11.7109375" customWidth="1"/>
    <col min="25" max="25" width="10.140625" customWidth="1"/>
    <col min="26" max="26" width="8.7109375" customWidth="1"/>
    <col min="27" max="27" width="12.140625" customWidth="1"/>
    <col min="28" max="28" width="11.7109375" customWidth="1"/>
    <col min="29" max="29" width="9.42578125" customWidth="1"/>
    <col min="30" max="30" width="3.28515625" customWidth="1"/>
    <col min="31" max="31" width="8.85546875" style="24"/>
    <col min="33" max="33" width="12" customWidth="1"/>
    <col min="34" max="34" width="16.85546875" customWidth="1"/>
    <col min="35" max="35" width="14.28515625" customWidth="1"/>
    <col min="36" max="36" width="21.28515625" customWidth="1"/>
    <col min="37" max="37" width="27.7109375" customWidth="1"/>
    <col min="38" max="38" width="28.7109375" customWidth="1"/>
    <col min="40" max="40" width="9.140625" customWidth="1"/>
    <col min="42" max="42" width="18.7109375" style="141" bestFit="1" customWidth="1"/>
    <col min="43" max="43" width="20" style="141" bestFit="1" customWidth="1"/>
    <col min="44" max="44" width="13.28515625" style="141" customWidth="1"/>
    <col min="45" max="45" width="14" style="141" customWidth="1"/>
    <col min="46" max="46" width="21.28515625" style="141" customWidth="1"/>
    <col min="47" max="48" width="8.85546875" style="141"/>
    <col min="49" max="49" width="8.85546875" style="149"/>
    <col min="50" max="50" width="25.7109375" style="149" customWidth="1"/>
    <col min="51" max="51" width="8.85546875" style="149"/>
  </cols>
  <sheetData>
    <row r="1" spans="1:51" ht="34.9" customHeight="1" x14ac:dyDescent="0.45">
      <c r="E1" s="361" t="s">
        <v>996</v>
      </c>
      <c r="F1" s="351"/>
      <c r="G1" s="352"/>
      <c r="H1" s="351"/>
      <c r="I1" s="352"/>
      <c r="J1" s="351"/>
      <c r="K1" s="352"/>
      <c r="L1" s="351"/>
      <c r="M1" s="352"/>
      <c r="N1" s="351"/>
      <c r="O1" s="352"/>
      <c r="P1" s="351"/>
      <c r="Q1" s="352"/>
      <c r="R1" s="351"/>
      <c r="S1" s="352"/>
      <c r="T1" s="351"/>
      <c r="U1" s="352"/>
      <c r="V1" s="351"/>
      <c r="W1" s="352"/>
      <c r="X1" s="351"/>
      <c r="Y1" s="352"/>
      <c r="Z1" s="351"/>
      <c r="AA1" s="352"/>
      <c r="AB1" s="351"/>
      <c r="AC1" s="352"/>
      <c r="AE1" s="400" t="s">
        <v>73</v>
      </c>
      <c r="AF1" s="400"/>
      <c r="AQ1" s="142" t="s">
        <v>163</v>
      </c>
      <c r="AR1" s="143" t="s">
        <v>48</v>
      </c>
      <c r="AS1" s="143" t="s">
        <v>236</v>
      </c>
      <c r="AT1" s="143" t="s">
        <v>49</v>
      </c>
      <c r="AU1" s="144" t="s">
        <v>50</v>
      </c>
      <c r="AV1" s="145"/>
      <c r="AW1" s="147"/>
      <c r="AX1" s="147"/>
      <c r="AY1" s="148" t="s">
        <v>51</v>
      </c>
    </row>
    <row r="2" spans="1:51" ht="36.6" customHeight="1" x14ac:dyDescent="0.25">
      <c r="E2" s="362"/>
      <c r="F2" s="353"/>
      <c r="G2" s="354"/>
      <c r="H2" s="353"/>
      <c r="I2" s="354"/>
      <c r="J2" s="353"/>
      <c r="K2" s="354"/>
      <c r="L2" s="353"/>
      <c r="M2" s="354"/>
      <c r="N2" s="353"/>
      <c r="O2" s="354"/>
      <c r="P2" s="353"/>
      <c r="Q2" s="354"/>
      <c r="R2" s="353"/>
      <c r="S2" s="354"/>
      <c r="T2" s="353"/>
      <c r="U2" s="354"/>
      <c r="V2" s="353"/>
      <c r="W2" s="354"/>
      <c r="X2" s="353"/>
      <c r="Y2" s="354"/>
      <c r="Z2" s="353"/>
      <c r="AA2" s="354"/>
      <c r="AB2" s="353"/>
      <c r="AC2" s="354"/>
      <c r="AE2" s="333" t="s">
        <v>1020</v>
      </c>
      <c r="AF2" s="333"/>
      <c r="AG2" s="301">
        <f>AG3-378</f>
        <v>791</v>
      </c>
      <c r="AH2" s="302"/>
      <c r="AI2" s="355" t="s">
        <v>1014</v>
      </c>
      <c r="AJ2" s="356"/>
      <c r="AK2" s="130"/>
      <c r="AL2" s="130" t="s">
        <v>1023</v>
      </c>
      <c r="AN2" s="40">
        <v>1</v>
      </c>
      <c r="AO2" s="52" t="s">
        <v>1022</v>
      </c>
      <c r="AQ2" s="146"/>
    </row>
    <row r="3" spans="1:51" ht="42.6" customHeight="1" x14ac:dyDescent="0.25">
      <c r="B3" s="282" t="s">
        <v>161</v>
      </c>
      <c r="C3" s="282"/>
      <c r="D3" s="108">
        <f>MAX(' CADASTRO'!C2:C999)</f>
        <v>169</v>
      </c>
      <c r="E3" s="117" t="s">
        <v>121</v>
      </c>
      <c r="F3" s="283" t="s">
        <v>104</v>
      </c>
      <c r="G3" s="284"/>
      <c r="H3" s="283" t="s">
        <v>104</v>
      </c>
      <c r="I3" s="284"/>
      <c r="J3" s="283" t="s">
        <v>104</v>
      </c>
      <c r="K3" s="284"/>
      <c r="L3" s="283" t="s">
        <v>104</v>
      </c>
      <c r="M3" s="284"/>
      <c r="N3" s="283" t="s">
        <v>104</v>
      </c>
      <c r="O3" s="284"/>
      <c r="P3" s="283" t="s">
        <v>104</v>
      </c>
      <c r="Q3" s="284"/>
      <c r="R3" s="283" t="s">
        <v>104</v>
      </c>
      <c r="S3" s="284"/>
      <c r="T3" s="283" t="s">
        <v>104</v>
      </c>
      <c r="U3" s="284"/>
      <c r="V3" s="283" t="s">
        <v>104</v>
      </c>
      <c r="W3" s="284"/>
      <c r="X3" s="283" t="s">
        <v>104</v>
      </c>
      <c r="Y3" s="284"/>
      <c r="Z3" s="283" t="s">
        <v>104</v>
      </c>
      <c r="AA3" s="284"/>
      <c r="AB3" s="283" t="s">
        <v>104</v>
      </c>
      <c r="AC3" s="284"/>
      <c r="AE3" s="299" t="s">
        <v>1019</v>
      </c>
      <c r="AF3" s="300"/>
      <c r="AG3" s="407">
        <v>1169</v>
      </c>
      <c r="AH3" s="408"/>
      <c r="AI3" s="134" t="s">
        <v>1015</v>
      </c>
      <c r="AJ3" s="135"/>
      <c r="AK3" s="75"/>
      <c r="AL3" s="75"/>
      <c r="AN3" s="40">
        <v>2</v>
      </c>
      <c r="AO3" s="52" t="s">
        <v>1022</v>
      </c>
      <c r="AQ3" s="146"/>
    </row>
    <row r="4" spans="1:51" ht="37.9" customHeight="1" x14ac:dyDescent="0.25">
      <c r="A4" s="278" t="s">
        <v>1</v>
      </c>
      <c r="B4" s="278"/>
      <c r="C4" s="279">
        <f ca="1">TODAY()+1</f>
        <v>46008</v>
      </c>
      <c r="D4" s="280"/>
      <c r="E4" s="117" t="s">
        <v>6</v>
      </c>
      <c r="F4" s="281" t="s">
        <v>1027</v>
      </c>
      <c r="G4" s="281"/>
      <c r="H4" s="383" t="s">
        <v>1028</v>
      </c>
      <c r="I4" s="384"/>
      <c r="J4" s="383" t="s">
        <v>1029</v>
      </c>
      <c r="K4" s="384"/>
      <c r="L4" s="383" t="s">
        <v>1030</v>
      </c>
      <c r="M4" s="384"/>
      <c r="N4" s="383" t="s">
        <v>1031</v>
      </c>
      <c r="O4" s="384"/>
      <c r="P4" s="383" t="s">
        <v>1032</v>
      </c>
      <c r="Q4" s="384"/>
      <c r="R4" s="281" t="s">
        <v>1033</v>
      </c>
      <c r="S4" s="281"/>
      <c r="T4" s="281" t="s">
        <v>1034</v>
      </c>
      <c r="U4" s="281"/>
      <c r="V4" s="281" t="s">
        <v>1024</v>
      </c>
      <c r="W4" s="281"/>
      <c r="X4" s="281" t="s">
        <v>1035</v>
      </c>
      <c r="Y4" s="281"/>
      <c r="Z4" s="281" t="s">
        <v>1025</v>
      </c>
      <c r="AA4" s="281"/>
      <c r="AB4" s="281" t="s">
        <v>1026</v>
      </c>
      <c r="AC4" s="281"/>
      <c r="AE4" s="318" t="s">
        <v>1016</v>
      </c>
      <c r="AF4" s="319"/>
      <c r="AG4" s="359" t="s">
        <v>1009</v>
      </c>
      <c r="AH4" s="360"/>
      <c r="AI4" s="359" t="s">
        <v>1010</v>
      </c>
      <c r="AJ4" s="360"/>
      <c r="AK4" s="129" t="s">
        <v>1011</v>
      </c>
      <c r="AL4" s="129" t="s">
        <v>1012</v>
      </c>
      <c r="AN4" s="40">
        <v>3</v>
      </c>
      <c r="AO4" s="52" t="s">
        <v>1022</v>
      </c>
      <c r="AQ4" s="146"/>
    </row>
    <row r="5" spans="1:51" ht="37.15" customHeight="1" x14ac:dyDescent="0.25">
      <c r="A5" s="278"/>
      <c r="B5" s="278"/>
      <c r="C5" s="279"/>
      <c r="D5" s="280"/>
      <c r="E5" s="117" t="s">
        <v>51</v>
      </c>
      <c r="F5" s="277" t="str">
        <f>VLOOKUP(F4,' CADASTRO'!$I$2:$J$999,2,0)</f>
        <v>P</v>
      </c>
      <c r="G5" s="277"/>
      <c r="H5" s="277" t="str">
        <f>VLOOKUP(H4,' CADASTRO'!$I$2:$J$999,2,0)</f>
        <v>P</v>
      </c>
      <c r="I5" s="277"/>
      <c r="J5" s="277" t="str">
        <f>VLOOKUP(J4,' CADASTRO'!$I$2:$J$999,2,0)</f>
        <v>P</v>
      </c>
      <c r="K5" s="277"/>
      <c r="L5" s="277" t="str">
        <f>VLOOKUP(L4,' CADASTRO'!$I$2:$J$999,2,0)</f>
        <v>P</v>
      </c>
      <c r="M5" s="277"/>
      <c r="N5" s="277" t="str">
        <f>VLOOKUP(N4,' CADASTRO'!$I$2:$J$999,2,0)</f>
        <v>P</v>
      </c>
      <c r="O5" s="277"/>
      <c r="P5" s="277" t="str">
        <f>VLOOKUP(P4,' CADASTRO'!$I$2:$J$999,2,0)</f>
        <v>P</v>
      </c>
      <c r="Q5" s="277"/>
      <c r="R5" s="277" t="str">
        <f>VLOOKUP(R4,' CADASTRO'!$I$2:$J$999,2,0)</f>
        <v>P</v>
      </c>
      <c r="S5" s="277"/>
      <c r="T5" s="277" t="str">
        <f>VLOOKUP(T4,' CADASTRO'!$I$2:$J$999,2,0)</f>
        <v>P</v>
      </c>
      <c r="U5" s="277"/>
      <c r="V5" s="277" t="str">
        <f>VLOOKUP(V4,' CADASTRO'!$I$2:$J$999,2,0)</f>
        <v>PNI</v>
      </c>
      <c r="W5" s="277"/>
      <c r="X5" s="277" t="str">
        <f>VLOOKUP(X4,' CADASTRO'!$I$2:$J$999,2,0)</f>
        <v>P</v>
      </c>
      <c r="Y5" s="277"/>
      <c r="Z5" s="277" t="str">
        <f>VLOOKUP(Z4,' CADASTRO'!$I$2:$J$999,2,0)</f>
        <v>PNI</v>
      </c>
      <c r="AA5" s="277"/>
      <c r="AB5" s="277" t="str">
        <f>VLOOKUP(AB4,' CADASTRO'!$I$2:$J$999,2,0)</f>
        <v>PNI</v>
      </c>
      <c r="AC5" s="277"/>
      <c r="AE5" s="323" t="s">
        <v>1013</v>
      </c>
      <c r="AF5" s="323"/>
      <c r="AG5" s="291"/>
      <c r="AH5" s="292"/>
      <c r="AI5" s="291"/>
      <c r="AJ5" s="292"/>
      <c r="AK5" s="75"/>
      <c r="AL5" s="75"/>
      <c r="AN5" s="40">
        <v>4</v>
      </c>
      <c r="AO5" s="52" t="s">
        <v>1022</v>
      </c>
      <c r="AQ5" s="146"/>
    </row>
    <row r="6" spans="1:51" x14ac:dyDescent="0.25">
      <c r="A6" s="341" t="s">
        <v>82</v>
      </c>
      <c r="B6" s="341"/>
      <c r="C6" s="342"/>
      <c r="D6" s="343"/>
      <c r="E6" s="344" t="s">
        <v>62</v>
      </c>
      <c r="F6" s="336" t="str">
        <f>VLOOKUP(F4,' CADASTRO'!$I$2:$Q$993,9,0)</f>
        <v>NÃO TEM CHAPA</v>
      </c>
      <c r="G6" s="337"/>
      <c r="H6" s="336" t="str">
        <f>VLOOKUP(H4,' CADASTRO'!$I$2:$Q$993,9,0)</f>
        <v>NÃO TEM CHAPA</v>
      </c>
      <c r="I6" s="337"/>
      <c r="J6" s="336" t="str">
        <f>VLOOKUP(J4,' CADASTRO'!$I$2:$Q$993,9,0)</f>
        <v>NÃO TEM CHAPA</v>
      </c>
      <c r="K6" s="337"/>
      <c r="L6" s="336" t="str">
        <f>VLOOKUP(L4,' CADASTRO'!$I$2:$Q$993,9,0)</f>
        <v>NÃO TEM CHAPA</v>
      </c>
      <c r="M6" s="337"/>
      <c r="N6" s="336" t="str">
        <f>VLOOKUP(N4,' CADASTRO'!$I$2:$Q$993,9,0)</f>
        <v>NÃO TEM CHAPA</v>
      </c>
      <c r="O6" s="337"/>
      <c r="P6" s="336" t="str">
        <f>VLOOKUP(P4,' CADASTRO'!$I$2:$Q$993,9,0)</f>
        <v>NÃO TEM CHAPA</v>
      </c>
      <c r="Q6" s="337"/>
      <c r="R6" s="336" t="str">
        <f>VLOOKUP(R4,' CADASTRO'!$I$2:$Q$993,9,0)</f>
        <v>NÃO TEM CHAPA</v>
      </c>
      <c r="S6" s="337"/>
      <c r="T6" s="336" t="str">
        <f>VLOOKUP(T4,' CADASTRO'!$I$2:$Q$993,9,0)</f>
        <v>NÃO TEM CHAPA</v>
      </c>
      <c r="U6" s="337"/>
      <c r="V6" s="336" t="str">
        <f>VLOOKUP(V4,' CADASTRO'!$I$2:$Q$993,9,0)</f>
        <v>02- 150X150 #3/8</v>
      </c>
      <c r="W6" s="337"/>
      <c r="X6" s="336" t="str">
        <f>VLOOKUP(X4,' CADASTRO'!$I$2:$Q$993,9,0)</f>
        <v>NÃO TEM CHAPA</v>
      </c>
      <c r="Y6" s="337"/>
      <c r="Z6" s="336" t="str">
        <f>VLOOKUP(Z4,' CADASTRO'!$I$2:$Q$993,9,0)</f>
        <v>02- 150X150 #3/8</v>
      </c>
      <c r="AA6" s="337"/>
      <c r="AB6" s="336" t="str">
        <f>VLOOKUP(AB4,' CADASTRO'!$I$2:$Q$993,9,0)</f>
        <v>02- 150X150 #3/8</v>
      </c>
      <c r="AC6" s="337"/>
      <c r="AE6" s="400" t="s">
        <v>75</v>
      </c>
      <c r="AF6" s="400"/>
      <c r="AN6" s="40">
        <v>5</v>
      </c>
      <c r="AO6" s="52" t="s">
        <v>1022</v>
      </c>
      <c r="AQ6" s="146"/>
    </row>
    <row r="7" spans="1:51" ht="34.15" customHeight="1" x14ac:dyDescent="0.25">
      <c r="C7" s="346" t="s">
        <v>108</v>
      </c>
      <c r="D7" s="346"/>
      <c r="E7" s="345"/>
      <c r="F7" s="338"/>
      <c r="G7" s="339"/>
      <c r="H7" s="338"/>
      <c r="I7" s="339"/>
      <c r="J7" s="338"/>
      <c r="K7" s="339"/>
      <c r="L7" s="338"/>
      <c r="M7" s="339"/>
      <c r="N7" s="338"/>
      <c r="O7" s="339"/>
      <c r="P7" s="338"/>
      <c r="Q7" s="339"/>
      <c r="R7" s="338"/>
      <c r="S7" s="339"/>
      <c r="T7" s="338"/>
      <c r="U7" s="339"/>
      <c r="V7" s="338"/>
      <c r="W7" s="339"/>
      <c r="X7" s="338"/>
      <c r="Y7" s="339"/>
      <c r="Z7" s="338"/>
      <c r="AA7" s="339"/>
      <c r="AB7" s="338"/>
      <c r="AC7" s="339"/>
      <c r="AE7" s="400"/>
      <c r="AF7" s="400"/>
      <c r="AN7" s="40">
        <v>6</v>
      </c>
      <c r="AO7" s="52" t="s">
        <v>1022</v>
      </c>
      <c r="AQ7" s="146"/>
    </row>
    <row r="8" spans="1:51" ht="32.25" x14ac:dyDescent="0.25">
      <c r="C8" s="346"/>
      <c r="D8" s="346"/>
      <c r="E8" s="43" t="s">
        <v>65</v>
      </c>
      <c r="F8" s="331" t="s">
        <v>59</v>
      </c>
      <c r="G8" s="332"/>
      <c r="H8" s="331" t="s">
        <v>66</v>
      </c>
      <c r="I8" s="332"/>
      <c r="J8" s="331" t="s">
        <v>67</v>
      </c>
      <c r="K8" s="332"/>
      <c r="L8" s="331" t="s">
        <v>68</v>
      </c>
      <c r="M8" s="332"/>
      <c r="N8" s="331" t="s">
        <v>69</v>
      </c>
      <c r="O8" s="332"/>
      <c r="P8" s="331" t="s">
        <v>70</v>
      </c>
      <c r="Q8" s="332"/>
      <c r="R8" s="331" t="s">
        <v>71</v>
      </c>
      <c r="S8" s="332"/>
      <c r="T8" s="331" t="s">
        <v>72</v>
      </c>
      <c r="U8" s="332"/>
      <c r="V8" s="331" t="s">
        <v>997</v>
      </c>
      <c r="W8" s="332"/>
      <c r="X8" s="331" t="s">
        <v>998</v>
      </c>
      <c r="Y8" s="332"/>
      <c r="Z8" s="331" t="s">
        <v>999</v>
      </c>
      <c r="AA8" s="332"/>
      <c r="AB8" s="331" t="s">
        <v>1000</v>
      </c>
      <c r="AC8" s="332"/>
      <c r="AE8" s="333" t="s">
        <v>1020</v>
      </c>
      <c r="AF8" s="333"/>
      <c r="AG8" s="301">
        <f>IF(AG9="","",AG9-378)</f>
        <v>792</v>
      </c>
      <c r="AH8" s="302"/>
      <c r="AI8" s="299" t="s">
        <v>1014</v>
      </c>
      <c r="AJ8" s="300"/>
      <c r="AK8" s="130"/>
      <c r="AL8" s="130" t="s">
        <v>1023</v>
      </c>
      <c r="AN8" s="14"/>
      <c r="AQ8" s="146"/>
    </row>
    <row r="9" spans="1:51" ht="24" customHeight="1" x14ac:dyDescent="0.25">
      <c r="B9" s="327" t="s">
        <v>3</v>
      </c>
      <c r="C9" s="328" t="s">
        <v>4</v>
      </c>
      <c r="D9" s="328"/>
      <c r="E9" s="325"/>
      <c r="F9" s="325" t="s">
        <v>0</v>
      </c>
      <c r="G9" s="326" t="s">
        <v>2</v>
      </c>
      <c r="H9" s="325" t="s">
        <v>0</v>
      </c>
      <c r="I9" s="326" t="s">
        <v>2</v>
      </c>
      <c r="J9" s="325" t="s">
        <v>0</v>
      </c>
      <c r="K9" s="326" t="s">
        <v>2</v>
      </c>
      <c r="L9" s="325" t="s">
        <v>0</v>
      </c>
      <c r="M9" s="326" t="s">
        <v>2</v>
      </c>
      <c r="N9" s="325" t="s">
        <v>0</v>
      </c>
      <c r="O9" s="326" t="s">
        <v>2</v>
      </c>
      <c r="P9" s="325" t="s">
        <v>0</v>
      </c>
      <c r="Q9" s="326" t="s">
        <v>2</v>
      </c>
      <c r="R9" s="325" t="s">
        <v>0</v>
      </c>
      <c r="S9" s="326" t="s">
        <v>2</v>
      </c>
      <c r="T9" s="325" t="s">
        <v>0</v>
      </c>
      <c r="U9" s="326" t="s">
        <v>2</v>
      </c>
      <c r="V9" s="325" t="s">
        <v>0</v>
      </c>
      <c r="W9" s="326" t="s">
        <v>2</v>
      </c>
      <c r="X9" s="325" t="s">
        <v>0</v>
      </c>
      <c r="Y9" s="326" t="s">
        <v>2</v>
      </c>
      <c r="Z9" s="325" t="s">
        <v>0</v>
      </c>
      <c r="AA9" s="326" t="s">
        <v>2</v>
      </c>
      <c r="AB9" s="325" t="s">
        <v>0</v>
      </c>
      <c r="AC9" s="326" t="s">
        <v>2</v>
      </c>
      <c r="AE9" s="299" t="s">
        <v>1019</v>
      </c>
      <c r="AF9" s="300"/>
      <c r="AG9" s="301">
        <f>IF(AO3="X",AG3+1,"")</f>
        <v>1170</v>
      </c>
      <c r="AH9" s="302"/>
      <c r="AI9" s="134" t="s">
        <v>1015</v>
      </c>
      <c r="AJ9" s="135"/>
      <c r="AK9" s="75"/>
      <c r="AL9" s="75"/>
      <c r="AN9" s="14"/>
      <c r="AQ9" s="146"/>
    </row>
    <row r="10" spans="1:51" ht="24.6" customHeight="1" thickBot="1" x14ac:dyDescent="0.3">
      <c r="A10" s="317"/>
      <c r="B10" s="327"/>
      <c r="C10" s="325"/>
      <c r="D10" s="325"/>
      <c r="E10" s="325"/>
      <c r="F10" s="329"/>
      <c r="G10" s="330"/>
      <c r="H10" s="325"/>
      <c r="I10" s="326"/>
      <c r="J10" s="329"/>
      <c r="K10" s="330"/>
      <c r="L10" s="325"/>
      <c r="M10" s="326"/>
      <c r="N10" s="325"/>
      <c r="O10" s="326"/>
      <c r="P10" s="325"/>
      <c r="Q10" s="326"/>
      <c r="R10" s="325"/>
      <c r="S10" s="326"/>
      <c r="T10" s="325"/>
      <c r="U10" s="326"/>
      <c r="V10" s="325"/>
      <c r="W10" s="326"/>
      <c r="X10" s="325"/>
      <c r="Y10" s="326"/>
      <c r="Z10" s="325"/>
      <c r="AA10" s="326"/>
      <c r="AB10" s="325"/>
      <c r="AC10" s="326"/>
      <c r="AE10" s="318" t="s">
        <v>1016</v>
      </c>
      <c r="AF10" s="319"/>
      <c r="AG10" s="139" t="s">
        <v>1009</v>
      </c>
      <c r="AH10" s="140"/>
      <c r="AI10" s="139" t="s">
        <v>1010</v>
      </c>
      <c r="AJ10" s="140"/>
      <c r="AK10" s="133" t="s">
        <v>1011</v>
      </c>
      <c r="AL10" s="133" t="s">
        <v>1012</v>
      </c>
      <c r="AQ10" s="146"/>
    </row>
    <row r="11" spans="1:51" ht="49.9" customHeight="1" x14ac:dyDescent="0.25">
      <c r="A11" s="317"/>
      <c r="B11" s="5">
        <v>1</v>
      </c>
      <c r="C11" s="308" t="s">
        <v>111</v>
      </c>
      <c r="D11" s="309"/>
      <c r="E11" s="309"/>
      <c r="F11" s="27"/>
      <c r="G11" s="28"/>
      <c r="H11" s="25"/>
      <c r="I11" s="35"/>
      <c r="J11" s="27"/>
      <c r="K11" s="28"/>
      <c r="L11" s="25"/>
      <c r="M11" s="22"/>
      <c r="N11" s="27"/>
      <c r="O11" s="28"/>
      <c r="P11" s="22"/>
      <c r="Q11" s="22"/>
      <c r="R11" s="27"/>
      <c r="S11" s="28"/>
      <c r="T11" s="27"/>
      <c r="U11" s="28"/>
      <c r="V11" s="27"/>
      <c r="W11" s="28"/>
      <c r="X11" s="27"/>
      <c r="Y11" s="28"/>
      <c r="Z11" s="27"/>
      <c r="AA11" s="28"/>
      <c r="AB11" s="22"/>
      <c r="AC11" s="22"/>
      <c r="AE11" s="320" t="s">
        <v>1013</v>
      </c>
      <c r="AF11" s="321"/>
      <c r="AG11" s="291"/>
      <c r="AH11" s="292"/>
      <c r="AI11" s="291"/>
      <c r="AJ11" s="292"/>
      <c r="AK11" s="75"/>
      <c r="AL11" s="75"/>
      <c r="AQ11" s="146"/>
    </row>
    <row r="12" spans="1:51" ht="49.9" customHeight="1" x14ac:dyDescent="0.45">
      <c r="A12" s="317"/>
      <c r="B12" s="5">
        <v>2</v>
      </c>
      <c r="C12" s="312" t="s">
        <v>106</v>
      </c>
      <c r="D12" s="313"/>
      <c r="E12" s="313"/>
      <c r="F12" s="29"/>
      <c r="G12" s="30"/>
      <c r="H12" s="26"/>
      <c r="I12" s="36"/>
      <c r="J12" s="29"/>
      <c r="K12" s="30"/>
      <c r="L12" s="26"/>
      <c r="M12" s="3"/>
      <c r="N12" s="29"/>
      <c r="O12" s="30"/>
      <c r="P12" s="3"/>
      <c r="Q12" s="3"/>
      <c r="R12" s="29"/>
      <c r="S12" s="30"/>
      <c r="T12" s="29"/>
      <c r="U12" s="30"/>
      <c r="V12" s="29"/>
      <c r="W12" s="30"/>
      <c r="X12" s="29"/>
      <c r="Y12" s="30"/>
      <c r="Z12" s="29"/>
      <c r="AA12" s="30"/>
      <c r="AB12" s="3"/>
      <c r="AC12" s="3"/>
      <c r="AE12" s="322" t="s">
        <v>76</v>
      </c>
      <c r="AF12" s="322"/>
      <c r="AG12" s="138"/>
      <c r="AH12" s="138"/>
      <c r="AI12" s="138"/>
      <c r="AJ12" s="138"/>
      <c r="AQ12" s="146"/>
    </row>
    <row r="13" spans="1:51" ht="49.9" customHeight="1" x14ac:dyDescent="0.25">
      <c r="A13" s="317"/>
      <c r="B13" s="5">
        <v>3</v>
      </c>
      <c r="C13" s="308" t="s">
        <v>101</v>
      </c>
      <c r="D13" s="309"/>
      <c r="E13" s="309"/>
      <c r="F13" s="31"/>
      <c r="G13" s="32"/>
      <c r="H13" s="25"/>
      <c r="I13" s="35"/>
      <c r="J13" s="31"/>
      <c r="K13" s="32"/>
      <c r="L13" s="25"/>
      <c r="M13" s="22"/>
      <c r="N13" s="31"/>
      <c r="O13" s="32"/>
      <c r="P13" s="22"/>
      <c r="Q13" s="22"/>
      <c r="R13" s="31"/>
      <c r="S13" s="32"/>
      <c r="T13" s="31"/>
      <c r="U13" s="32"/>
      <c r="V13" s="31"/>
      <c r="W13" s="32"/>
      <c r="X13" s="31"/>
      <c r="Y13" s="32"/>
      <c r="Z13" s="31"/>
      <c r="AA13" s="32"/>
      <c r="AB13" s="22"/>
      <c r="AC13" s="22"/>
      <c r="AE13" s="299" t="s">
        <v>1020</v>
      </c>
      <c r="AF13" s="300"/>
      <c r="AG13" s="301">
        <f>IF(AG14="","",AG14-378)</f>
        <v>793</v>
      </c>
      <c r="AH13" s="302"/>
      <c r="AI13" s="355" t="s">
        <v>1014</v>
      </c>
      <c r="AJ13" s="356"/>
      <c r="AK13" s="130"/>
      <c r="AL13" s="130" t="s">
        <v>1023</v>
      </c>
      <c r="AQ13" s="146"/>
    </row>
    <row r="14" spans="1:51" ht="58.15" customHeight="1" x14ac:dyDescent="0.25">
      <c r="A14" s="317"/>
      <c r="B14" s="5">
        <v>4</v>
      </c>
      <c r="C14" s="312" t="s">
        <v>1002</v>
      </c>
      <c r="D14" s="313"/>
      <c r="E14" s="313"/>
      <c r="F14" s="29"/>
      <c r="G14" s="30"/>
      <c r="H14" s="26"/>
      <c r="I14" s="36"/>
      <c r="J14" s="29"/>
      <c r="K14" s="30"/>
      <c r="L14" s="26"/>
      <c r="M14" s="3"/>
      <c r="N14" s="29"/>
      <c r="O14" s="30"/>
      <c r="P14" s="3"/>
      <c r="Q14" s="3"/>
      <c r="R14" s="29"/>
      <c r="S14" s="30"/>
      <c r="T14" s="29"/>
      <c r="U14" s="30"/>
      <c r="V14" s="29"/>
      <c r="W14" s="30"/>
      <c r="X14" s="29"/>
      <c r="Y14" s="30"/>
      <c r="Z14" s="29"/>
      <c r="AA14" s="30"/>
      <c r="AB14" s="3"/>
      <c r="AC14" s="3"/>
      <c r="AE14" s="299" t="s">
        <v>1019</v>
      </c>
      <c r="AF14" s="300"/>
      <c r="AG14" s="301">
        <f>IF(AO4="X",$AG$3+2,"")</f>
        <v>1171</v>
      </c>
      <c r="AH14" s="302"/>
      <c r="AI14" s="299" t="s">
        <v>1015</v>
      </c>
      <c r="AJ14" s="300"/>
      <c r="AK14" s="75"/>
      <c r="AL14" s="75"/>
    </row>
    <row r="15" spans="1:51" ht="49.9" customHeight="1" x14ac:dyDescent="0.25">
      <c r="A15" s="317"/>
      <c r="B15" s="5">
        <v>5</v>
      </c>
      <c r="C15" s="308" t="s">
        <v>133</v>
      </c>
      <c r="D15" s="309"/>
      <c r="E15" s="309"/>
      <c r="F15" s="31"/>
      <c r="G15" s="32"/>
      <c r="H15" s="25"/>
      <c r="I15" s="35"/>
      <c r="J15" s="31"/>
      <c r="K15" s="32"/>
      <c r="L15" s="25"/>
      <c r="M15" s="22"/>
      <c r="N15" s="31"/>
      <c r="O15" s="32"/>
      <c r="P15" s="22"/>
      <c r="Q15" s="22"/>
      <c r="R15" s="31"/>
      <c r="S15" s="32"/>
      <c r="T15" s="31"/>
      <c r="U15" s="32"/>
      <c r="V15" s="31"/>
      <c r="W15" s="32"/>
      <c r="X15" s="31"/>
      <c r="Y15" s="32"/>
      <c r="Z15" s="31"/>
      <c r="AA15" s="32"/>
      <c r="AB15" s="22"/>
      <c r="AC15" s="22"/>
      <c r="AE15" s="318" t="s">
        <v>1016</v>
      </c>
      <c r="AF15" s="319"/>
      <c r="AG15" s="139" t="s">
        <v>1009</v>
      </c>
      <c r="AH15" s="140"/>
      <c r="AI15" s="139" t="s">
        <v>1010</v>
      </c>
      <c r="AJ15" s="140"/>
      <c r="AK15" s="133" t="s">
        <v>1011</v>
      </c>
      <c r="AL15" s="133" t="s">
        <v>1012</v>
      </c>
    </row>
    <row r="16" spans="1:51" ht="49.9" customHeight="1" x14ac:dyDescent="0.25">
      <c r="A16" s="317"/>
      <c r="B16" s="5">
        <v>6</v>
      </c>
      <c r="C16" s="312" t="s">
        <v>113</v>
      </c>
      <c r="D16" s="313"/>
      <c r="E16" s="313"/>
      <c r="F16" s="29"/>
      <c r="G16" s="30"/>
      <c r="H16" s="26"/>
      <c r="I16" s="36"/>
      <c r="J16" s="29"/>
      <c r="K16" s="30"/>
      <c r="L16" s="26"/>
      <c r="M16" s="3"/>
      <c r="N16" s="29"/>
      <c r="O16" s="30"/>
      <c r="P16" s="3"/>
      <c r="Q16" s="3"/>
      <c r="R16" s="29"/>
      <c r="S16" s="30"/>
      <c r="T16" s="29"/>
      <c r="U16" s="30"/>
      <c r="V16" s="29"/>
      <c r="W16" s="30"/>
      <c r="X16" s="29"/>
      <c r="Y16" s="30"/>
      <c r="Z16" s="29"/>
      <c r="AA16" s="30"/>
      <c r="AB16" s="3"/>
      <c r="AC16" s="3"/>
      <c r="AE16" s="323" t="s">
        <v>1013</v>
      </c>
      <c r="AF16" s="323"/>
      <c r="AG16" s="324"/>
      <c r="AH16" s="324"/>
      <c r="AI16" s="324"/>
      <c r="AJ16" s="324"/>
      <c r="AK16" s="75"/>
      <c r="AL16" s="75"/>
    </row>
    <row r="17" spans="1:38" ht="49.9" customHeight="1" x14ac:dyDescent="0.25">
      <c r="A17" s="317"/>
      <c r="B17" s="5">
        <v>7</v>
      </c>
      <c r="C17" s="308" t="s">
        <v>27</v>
      </c>
      <c r="D17" s="309"/>
      <c r="E17" s="309"/>
      <c r="F17" s="31"/>
      <c r="G17" s="32"/>
      <c r="H17" s="25"/>
      <c r="I17" s="35"/>
      <c r="J17" s="31"/>
      <c r="K17" s="32"/>
      <c r="L17" s="25"/>
      <c r="M17" s="22"/>
      <c r="N17" s="31"/>
      <c r="O17" s="32"/>
      <c r="P17" s="22"/>
      <c r="Q17" s="22"/>
      <c r="R17" s="31"/>
      <c r="S17" s="32"/>
      <c r="T17" s="31"/>
      <c r="U17" s="32"/>
      <c r="V17" s="31"/>
      <c r="W17" s="32"/>
      <c r="X17" s="31"/>
      <c r="Y17" s="32"/>
      <c r="Z17" s="31"/>
      <c r="AA17" s="32"/>
      <c r="AB17" s="22"/>
      <c r="AC17" s="22"/>
      <c r="AE17" s="316"/>
      <c r="AF17" s="316"/>
    </row>
    <row r="18" spans="1:38" ht="49.9" customHeight="1" x14ac:dyDescent="0.25">
      <c r="A18" s="317"/>
      <c r="B18" s="5">
        <v>8</v>
      </c>
      <c r="C18" s="312" t="s">
        <v>26</v>
      </c>
      <c r="D18" s="313"/>
      <c r="E18" s="313"/>
      <c r="F18" s="29"/>
      <c r="G18" s="30"/>
      <c r="H18" s="26"/>
      <c r="I18" s="36"/>
      <c r="J18" s="29"/>
      <c r="K18" s="30"/>
      <c r="L18" s="26"/>
      <c r="M18" s="3"/>
      <c r="N18" s="29"/>
      <c r="O18" s="30"/>
      <c r="P18" s="3"/>
      <c r="Q18" s="3"/>
      <c r="R18" s="29"/>
      <c r="S18" s="30"/>
      <c r="T18" s="29"/>
      <c r="U18" s="30"/>
      <c r="V18" s="29"/>
      <c r="W18" s="30"/>
      <c r="X18" s="29"/>
      <c r="Y18" s="30"/>
      <c r="Z18" s="29"/>
      <c r="AA18" s="30"/>
      <c r="AB18" s="3"/>
      <c r="AC18" s="3"/>
      <c r="AE18" s="307" t="s">
        <v>77</v>
      </c>
      <c r="AF18" s="307"/>
    </row>
    <row r="19" spans="1:38" ht="49.9" customHeight="1" x14ac:dyDescent="0.25">
      <c r="A19" s="317"/>
      <c r="B19" s="5">
        <v>9</v>
      </c>
      <c r="C19" s="308" t="s">
        <v>81</v>
      </c>
      <c r="D19" s="309"/>
      <c r="E19" s="309"/>
      <c r="F19" s="31"/>
      <c r="G19" s="32"/>
      <c r="H19" s="25"/>
      <c r="I19" s="35"/>
      <c r="J19" s="31"/>
      <c r="K19" s="32"/>
      <c r="L19" s="25"/>
      <c r="M19" s="22"/>
      <c r="N19" s="31"/>
      <c r="O19" s="32"/>
      <c r="P19" s="22"/>
      <c r="Q19" s="22"/>
      <c r="R19" s="31"/>
      <c r="S19" s="32"/>
      <c r="T19" s="31"/>
      <c r="U19" s="32"/>
      <c r="V19" s="31"/>
      <c r="W19" s="32"/>
      <c r="X19" s="31"/>
      <c r="Y19" s="32"/>
      <c r="Z19" s="31"/>
      <c r="AA19" s="32"/>
      <c r="AB19" s="22"/>
      <c r="AC19" s="22"/>
      <c r="AE19" s="299" t="s">
        <v>1020</v>
      </c>
      <c r="AF19" s="300"/>
      <c r="AG19" s="301">
        <f>IF(AG20="","",AG20-378)</f>
        <v>794</v>
      </c>
      <c r="AH19" s="302"/>
      <c r="AI19" s="299" t="s">
        <v>1014</v>
      </c>
      <c r="AJ19" s="300"/>
      <c r="AK19" s="130"/>
      <c r="AL19" s="130" t="s">
        <v>1023</v>
      </c>
    </row>
    <row r="20" spans="1:38" ht="49.9" customHeight="1" x14ac:dyDescent="0.25">
      <c r="A20" s="317"/>
      <c r="B20" s="5">
        <v>10</v>
      </c>
      <c r="C20" s="312" t="s">
        <v>45</v>
      </c>
      <c r="D20" s="313"/>
      <c r="E20" s="313"/>
      <c r="F20" s="29"/>
      <c r="G20" s="30"/>
      <c r="H20" s="26"/>
      <c r="I20" s="36"/>
      <c r="J20" s="29"/>
      <c r="K20" s="30"/>
      <c r="L20" s="26"/>
      <c r="M20" s="3"/>
      <c r="N20" s="29"/>
      <c r="O20" s="30"/>
      <c r="P20" s="3"/>
      <c r="Q20" s="3"/>
      <c r="R20" s="29"/>
      <c r="S20" s="30"/>
      <c r="T20" s="29"/>
      <c r="U20" s="30"/>
      <c r="V20" s="29"/>
      <c r="W20" s="30"/>
      <c r="X20" s="29"/>
      <c r="Y20" s="30"/>
      <c r="Z20" s="29"/>
      <c r="AA20" s="30"/>
      <c r="AB20" s="3"/>
      <c r="AC20" s="3"/>
      <c r="AE20" s="299" t="s">
        <v>1021</v>
      </c>
      <c r="AF20" s="300"/>
      <c r="AG20" s="301">
        <f>IF(AO5="X",$AG$3+3,"")</f>
        <v>1172</v>
      </c>
      <c r="AH20" s="302"/>
      <c r="AI20" s="134" t="s">
        <v>1015</v>
      </c>
      <c r="AJ20" s="135"/>
      <c r="AK20" s="75"/>
      <c r="AL20" s="75"/>
    </row>
    <row r="21" spans="1:38" ht="49.9" customHeight="1" x14ac:dyDescent="0.25">
      <c r="A21" s="317"/>
      <c r="B21" s="5">
        <v>11</v>
      </c>
      <c r="C21" s="308" t="s">
        <v>1001</v>
      </c>
      <c r="D21" s="309"/>
      <c r="E21" s="309"/>
      <c r="F21" s="31"/>
      <c r="G21" s="32"/>
      <c r="H21" s="25"/>
      <c r="I21" s="35"/>
      <c r="J21" s="31"/>
      <c r="K21" s="32"/>
      <c r="L21" s="25"/>
      <c r="M21" s="22"/>
      <c r="N21" s="31"/>
      <c r="O21" s="32"/>
      <c r="P21" s="22"/>
      <c r="Q21" s="22"/>
      <c r="R21" s="31"/>
      <c r="S21" s="32"/>
      <c r="T21" s="31"/>
      <c r="U21" s="32"/>
      <c r="V21" s="31"/>
      <c r="W21" s="32"/>
      <c r="X21" s="31"/>
      <c r="Y21" s="32"/>
      <c r="Z21" s="31"/>
      <c r="AA21" s="32"/>
      <c r="AB21" s="22"/>
      <c r="AC21" s="22"/>
      <c r="AE21" s="136" t="s">
        <v>1016</v>
      </c>
      <c r="AF21" s="137"/>
      <c r="AG21" s="293" t="s">
        <v>1009</v>
      </c>
      <c r="AH21" s="294"/>
      <c r="AI21" s="293" t="s">
        <v>1010</v>
      </c>
      <c r="AJ21" s="294"/>
      <c r="AK21" s="23" t="s">
        <v>1011</v>
      </c>
      <c r="AL21" s="23" t="s">
        <v>1012</v>
      </c>
    </row>
    <row r="22" spans="1:38" ht="49.9" customHeight="1" x14ac:dyDescent="0.25">
      <c r="A22" s="317"/>
      <c r="B22" s="5">
        <v>12</v>
      </c>
      <c r="C22" s="312" t="s">
        <v>78</v>
      </c>
      <c r="D22" s="313"/>
      <c r="E22" s="313"/>
      <c r="F22" s="29"/>
      <c r="G22" s="30"/>
      <c r="H22" s="26"/>
      <c r="I22" s="36"/>
      <c r="J22" s="29"/>
      <c r="K22" s="30"/>
      <c r="L22" s="26"/>
      <c r="M22" s="3"/>
      <c r="N22" s="29"/>
      <c r="O22" s="30"/>
      <c r="P22" s="3"/>
      <c r="Q22" s="3"/>
      <c r="R22" s="29"/>
      <c r="S22" s="30"/>
      <c r="T22" s="29"/>
      <c r="U22" s="30"/>
      <c r="V22" s="29"/>
      <c r="W22" s="30"/>
      <c r="X22" s="29"/>
      <c r="Y22" s="30"/>
      <c r="Z22" s="29"/>
      <c r="AA22" s="30"/>
      <c r="AB22" s="3"/>
      <c r="AC22" s="3"/>
      <c r="AE22" s="131" t="s">
        <v>1013</v>
      </c>
      <c r="AF22" s="132"/>
      <c r="AG22" s="291"/>
      <c r="AH22" s="292"/>
      <c r="AI22" s="291"/>
      <c r="AJ22" s="292"/>
      <c r="AK22" s="75"/>
      <c r="AL22" s="75"/>
    </row>
    <row r="23" spans="1:38" ht="49.9" customHeight="1" x14ac:dyDescent="0.25">
      <c r="A23" s="317"/>
      <c r="B23" s="5">
        <v>13</v>
      </c>
      <c r="C23" s="308" t="s">
        <v>29</v>
      </c>
      <c r="D23" s="309"/>
      <c r="E23" s="309"/>
      <c r="F23" s="31"/>
      <c r="G23" s="32"/>
      <c r="H23" s="25"/>
      <c r="I23" s="35"/>
      <c r="J23" s="31"/>
      <c r="K23" s="32"/>
      <c r="L23" s="25"/>
      <c r="M23" s="22"/>
      <c r="N23" s="31"/>
      <c r="O23" s="32"/>
      <c r="P23" s="22"/>
      <c r="Q23" s="22"/>
      <c r="R23" s="31"/>
      <c r="S23" s="32"/>
      <c r="T23" s="31"/>
      <c r="U23" s="32"/>
      <c r="V23" s="31"/>
      <c r="W23" s="32"/>
      <c r="X23" s="31"/>
      <c r="Y23" s="32"/>
      <c r="Z23" s="31"/>
      <c r="AA23" s="32"/>
      <c r="AB23" s="22"/>
      <c r="AC23" s="22"/>
      <c r="AE23" s="314"/>
      <c r="AF23" s="314"/>
      <c r="AG23" s="314"/>
      <c r="AH23" s="314"/>
      <c r="AI23" s="314"/>
      <c r="AJ23" s="314"/>
      <c r="AK23" s="315"/>
      <c r="AL23" s="315"/>
    </row>
    <row r="24" spans="1:38" ht="49.9" customHeight="1" x14ac:dyDescent="0.25">
      <c r="A24" s="317"/>
      <c r="B24" s="5">
        <v>14</v>
      </c>
      <c r="C24" s="312" t="s">
        <v>28</v>
      </c>
      <c r="D24" s="313"/>
      <c r="E24" s="313"/>
      <c r="F24" s="29"/>
      <c r="G24" s="30"/>
      <c r="H24" s="26"/>
      <c r="I24" s="36"/>
      <c r="J24" s="29"/>
      <c r="K24" s="30"/>
      <c r="L24" s="26"/>
      <c r="M24" s="3"/>
      <c r="N24" s="29"/>
      <c r="O24" s="30"/>
      <c r="P24" s="3"/>
      <c r="Q24" s="3"/>
      <c r="R24" s="29"/>
      <c r="S24" s="30"/>
      <c r="T24" s="29"/>
      <c r="U24" s="30"/>
      <c r="V24" s="29"/>
      <c r="W24" s="30"/>
      <c r="X24" s="29"/>
      <c r="Y24" s="30"/>
      <c r="Z24" s="29"/>
      <c r="AA24" s="30"/>
      <c r="AB24" s="3"/>
      <c r="AC24" s="3"/>
      <c r="AE24" s="307" t="s">
        <v>107</v>
      </c>
      <c r="AF24" s="307"/>
    </row>
    <row r="25" spans="1:38" ht="49.9" customHeight="1" x14ac:dyDescent="0.25">
      <c r="A25" s="317"/>
      <c r="B25" s="5">
        <v>15</v>
      </c>
      <c r="C25" s="308" t="s">
        <v>102</v>
      </c>
      <c r="D25" s="309"/>
      <c r="E25" s="309"/>
      <c r="F25" s="31"/>
      <c r="G25" s="32"/>
      <c r="H25" s="25"/>
      <c r="I25" s="35"/>
      <c r="J25" s="31"/>
      <c r="K25" s="32"/>
      <c r="L25" s="25"/>
      <c r="M25" s="22"/>
      <c r="N25" s="31"/>
      <c r="O25" s="32"/>
      <c r="P25" s="22"/>
      <c r="Q25" s="22"/>
      <c r="R25" s="31"/>
      <c r="S25" s="32"/>
      <c r="T25" s="31"/>
      <c r="U25" s="32"/>
      <c r="V25" s="31"/>
      <c r="W25" s="32"/>
      <c r="X25" s="31"/>
      <c r="Y25" s="32"/>
      <c r="Z25" s="31"/>
      <c r="AA25" s="32"/>
      <c r="AB25" s="22"/>
      <c r="AC25" s="22"/>
      <c r="AE25" s="299" t="s">
        <v>1020</v>
      </c>
      <c r="AF25" s="300"/>
      <c r="AG25" s="301"/>
      <c r="AH25" s="302"/>
      <c r="AI25" s="355" t="s">
        <v>1014</v>
      </c>
      <c r="AJ25" s="356"/>
      <c r="AK25" s="130"/>
      <c r="AL25" s="130" t="s">
        <v>1023</v>
      </c>
    </row>
    <row r="26" spans="1:38" ht="49.9" customHeight="1" x14ac:dyDescent="0.25">
      <c r="A26" s="317"/>
      <c r="B26" s="5">
        <v>16</v>
      </c>
      <c r="C26" s="312" t="s">
        <v>103</v>
      </c>
      <c r="D26" s="313"/>
      <c r="E26" s="313"/>
      <c r="F26" s="29"/>
      <c r="G26" s="30"/>
      <c r="H26" s="26"/>
      <c r="I26" s="36"/>
      <c r="J26" s="29"/>
      <c r="K26" s="30"/>
      <c r="L26" s="26"/>
      <c r="M26" s="3"/>
      <c r="N26" s="29"/>
      <c r="O26" s="30"/>
      <c r="P26" s="3"/>
      <c r="Q26" s="3"/>
      <c r="R26" s="29"/>
      <c r="S26" s="30"/>
      <c r="T26" s="29"/>
      <c r="U26" s="30"/>
      <c r="V26" s="29"/>
      <c r="W26" s="30"/>
      <c r="X26" s="29"/>
      <c r="Y26" s="30"/>
      <c r="Z26" s="29"/>
      <c r="AA26" s="30"/>
      <c r="AB26" s="3"/>
      <c r="AC26" s="3"/>
      <c r="AE26" s="299" t="s">
        <v>1019</v>
      </c>
      <c r="AF26" s="300"/>
      <c r="AG26" s="301"/>
      <c r="AH26" s="302"/>
      <c r="AI26" s="299" t="s">
        <v>1015</v>
      </c>
      <c r="AJ26" s="300"/>
      <c r="AK26" s="75"/>
      <c r="AL26" s="75"/>
    </row>
    <row r="27" spans="1:38" ht="49.9" customHeight="1" x14ac:dyDescent="0.25">
      <c r="A27" s="317"/>
      <c r="B27" s="5">
        <v>17</v>
      </c>
      <c r="C27" s="308" t="s">
        <v>46</v>
      </c>
      <c r="D27" s="309"/>
      <c r="E27" s="309"/>
      <c r="F27" s="31"/>
      <c r="G27" s="32"/>
      <c r="H27" s="25"/>
      <c r="I27" s="35"/>
      <c r="J27" s="31"/>
      <c r="K27" s="32"/>
      <c r="L27" s="25"/>
      <c r="M27" s="22"/>
      <c r="N27" s="31"/>
      <c r="O27" s="32"/>
      <c r="P27" s="22"/>
      <c r="Q27" s="22"/>
      <c r="R27" s="31"/>
      <c r="S27" s="32"/>
      <c r="T27" s="31"/>
      <c r="U27" s="32"/>
      <c r="V27" s="31"/>
      <c r="W27" s="32"/>
      <c r="X27" s="31"/>
      <c r="Y27" s="32"/>
      <c r="Z27" s="31"/>
      <c r="AA27" s="32"/>
      <c r="AB27" s="22"/>
      <c r="AC27" s="22"/>
      <c r="AE27" s="136" t="s">
        <v>1016</v>
      </c>
      <c r="AF27" s="137"/>
      <c r="AG27" s="293" t="s">
        <v>1009</v>
      </c>
      <c r="AH27" s="294"/>
      <c r="AI27" s="293" t="s">
        <v>1010</v>
      </c>
      <c r="AJ27" s="294"/>
      <c r="AK27" s="133" t="s">
        <v>1011</v>
      </c>
      <c r="AL27" s="133" t="s">
        <v>1012</v>
      </c>
    </row>
    <row r="28" spans="1:38" ht="49.9" customHeight="1" x14ac:dyDescent="0.25">
      <c r="A28" s="317"/>
      <c r="B28" s="5">
        <v>18</v>
      </c>
      <c r="C28" s="312" t="s">
        <v>79</v>
      </c>
      <c r="D28" s="313"/>
      <c r="E28" s="313"/>
      <c r="F28" s="29"/>
      <c r="G28" s="30"/>
      <c r="H28" s="26"/>
      <c r="I28" s="36"/>
      <c r="J28" s="29"/>
      <c r="K28" s="30"/>
      <c r="L28" s="26"/>
      <c r="M28" s="3"/>
      <c r="N28" s="29"/>
      <c r="O28" s="30"/>
      <c r="P28" s="3"/>
      <c r="Q28" s="3"/>
      <c r="R28" s="29"/>
      <c r="S28" s="30"/>
      <c r="T28" s="29"/>
      <c r="U28" s="30"/>
      <c r="V28" s="29"/>
      <c r="W28" s="30"/>
      <c r="X28" s="29"/>
      <c r="Y28" s="30"/>
      <c r="Z28" s="29"/>
      <c r="AA28" s="30"/>
      <c r="AB28" s="3"/>
      <c r="AC28" s="3"/>
      <c r="AE28" s="131" t="s">
        <v>1013</v>
      </c>
      <c r="AF28" s="132"/>
      <c r="AG28" s="291"/>
      <c r="AH28" s="292"/>
      <c r="AI28" s="291"/>
      <c r="AJ28" s="292"/>
      <c r="AK28" s="75"/>
      <c r="AL28" s="75"/>
    </row>
    <row r="29" spans="1:38" ht="49.9" customHeight="1" x14ac:dyDescent="0.25">
      <c r="A29" s="317"/>
      <c r="B29" s="5">
        <v>19</v>
      </c>
      <c r="C29" s="308" t="s">
        <v>83</v>
      </c>
      <c r="D29" s="309"/>
      <c r="E29" s="309"/>
      <c r="F29" s="31"/>
      <c r="G29" s="32"/>
      <c r="H29" s="25"/>
      <c r="I29" s="35"/>
      <c r="J29" s="31"/>
      <c r="K29" s="32"/>
      <c r="L29" s="25"/>
      <c r="M29" s="22"/>
      <c r="N29" s="31"/>
      <c r="O29" s="32"/>
      <c r="P29" s="22"/>
      <c r="Q29" s="22"/>
      <c r="R29" s="31"/>
      <c r="S29" s="32"/>
      <c r="T29" s="31"/>
      <c r="U29" s="32"/>
      <c r="V29" s="31"/>
      <c r="W29" s="32"/>
      <c r="X29" s="31"/>
      <c r="Y29" s="32"/>
      <c r="Z29" s="31"/>
      <c r="AA29" s="32"/>
      <c r="AB29" s="22"/>
      <c r="AC29" s="22"/>
    </row>
    <row r="30" spans="1:38" ht="49.9" customHeight="1" thickBot="1" x14ac:dyDescent="0.3">
      <c r="A30" s="317"/>
      <c r="B30" s="12">
        <v>20</v>
      </c>
      <c r="C30" s="312"/>
      <c r="D30" s="313"/>
      <c r="E30" s="313"/>
      <c r="F30" s="33"/>
      <c r="G30" s="34"/>
      <c r="H30" s="26"/>
      <c r="I30" s="36"/>
      <c r="J30" s="33"/>
      <c r="K30" s="34"/>
      <c r="L30" s="26"/>
      <c r="M30" s="3"/>
      <c r="N30" s="33"/>
      <c r="O30" s="34"/>
      <c r="P30" s="3"/>
      <c r="Q30" s="3"/>
      <c r="R30" s="33"/>
      <c r="S30" s="34"/>
      <c r="T30" s="33"/>
      <c r="U30" s="34"/>
      <c r="V30" s="33"/>
      <c r="W30" s="34"/>
      <c r="X30" s="33"/>
      <c r="Y30" s="34"/>
      <c r="Z30" s="33"/>
      <c r="AA30" s="34"/>
      <c r="AB30" s="3"/>
      <c r="AC30" s="3"/>
      <c r="AE30" s="307" t="s">
        <v>1017</v>
      </c>
      <c r="AF30" s="307"/>
    </row>
    <row r="31" spans="1:38" ht="49.9" customHeight="1" thickBot="1" x14ac:dyDescent="0.3">
      <c r="A31" s="317"/>
      <c r="B31" s="12">
        <v>21</v>
      </c>
      <c r="C31" s="312" t="s">
        <v>115</v>
      </c>
      <c r="D31" s="313"/>
      <c r="E31" s="313"/>
      <c r="F31" s="33"/>
      <c r="G31" s="34"/>
      <c r="H31" s="26"/>
      <c r="I31" s="36"/>
      <c r="J31" s="33"/>
      <c r="K31" s="34"/>
      <c r="L31" s="26"/>
      <c r="M31" s="3"/>
      <c r="N31" s="33"/>
      <c r="O31" s="34"/>
      <c r="P31" s="3"/>
      <c r="Q31" s="3"/>
      <c r="R31" s="33"/>
      <c r="S31" s="34"/>
      <c r="T31" s="33"/>
      <c r="U31" s="34"/>
      <c r="V31" s="33"/>
      <c r="W31" s="34"/>
      <c r="X31" s="33"/>
      <c r="Y31" s="34"/>
      <c r="Z31" s="33"/>
      <c r="AA31" s="34"/>
      <c r="AB31" s="3"/>
      <c r="AC31" s="3"/>
      <c r="AE31" s="299" t="s">
        <v>1018</v>
      </c>
      <c r="AF31" s="300"/>
      <c r="AG31" s="301"/>
      <c r="AH31" s="302"/>
      <c r="AI31" s="399" t="s">
        <v>1014</v>
      </c>
      <c r="AJ31" s="399"/>
      <c r="AK31" s="130"/>
      <c r="AL31" s="130" t="s">
        <v>1023</v>
      </c>
    </row>
    <row r="32" spans="1:38" ht="49.9" customHeight="1" thickBot="1" x14ac:dyDescent="0.3">
      <c r="A32" s="317"/>
      <c r="B32" s="12">
        <v>22</v>
      </c>
      <c r="C32" s="312" t="s">
        <v>84</v>
      </c>
      <c r="D32" s="313"/>
      <c r="E32" s="313"/>
      <c r="F32" s="33"/>
      <c r="G32" s="34"/>
      <c r="H32" s="26"/>
      <c r="I32" s="36"/>
      <c r="J32" s="33"/>
      <c r="K32" s="34"/>
      <c r="L32" s="26"/>
      <c r="M32" s="3"/>
      <c r="N32" s="33"/>
      <c r="O32" s="34"/>
      <c r="P32" s="3"/>
      <c r="Q32" s="3"/>
      <c r="R32" s="33"/>
      <c r="S32" s="34"/>
      <c r="T32" s="33"/>
      <c r="U32" s="34"/>
      <c r="V32" s="33"/>
      <c r="W32" s="34"/>
      <c r="X32" s="33"/>
      <c r="Y32" s="34"/>
      <c r="Z32" s="33"/>
      <c r="AA32" s="34"/>
      <c r="AB32" s="3"/>
      <c r="AC32" s="3"/>
      <c r="AE32" s="299" t="s">
        <v>1019</v>
      </c>
      <c r="AF32" s="300"/>
      <c r="AG32" s="301"/>
      <c r="AH32" s="302"/>
      <c r="AI32" s="134" t="s">
        <v>1015</v>
      </c>
      <c r="AJ32" s="135"/>
      <c r="AK32" s="75"/>
      <c r="AL32" s="75"/>
    </row>
    <row r="33" spans="1:40" ht="26.25" x14ac:dyDescent="0.3">
      <c r="A33" s="317"/>
      <c r="C33" s="377"/>
      <c r="D33" s="377"/>
      <c r="E33" s="377"/>
      <c r="F33" s="428" t="s">
        <v>30</v>
      </c>
      <c r="G33" s="429"/>
      <c r="H33" s="391" t="s">
        <v>31</v>
      </c>
      <c r="I33" s="392"/>
      <c r="J33" s="428" t="s">
        <v>32</v>
      </c>
      <c r="K33" s="429"/>
      <c r="L33" s="391" t="s">
        <v>33</v>
      </c>
      <c r="M33" s="392"/>
      <c r="N33" s="391" t="s">
        <v>34</v>
      </c>
      <c r="O33" s="392"/>
      <c r="P33" s="391" t="s">
        <v>35</v>
      </c>
      <c r="Q33" s="392"/>
      <c r="R33" s="391" t="s">
        <v>36</v>
      </c>
      <c r="S33" s="392"/>
      <c r="T33" s="391" t="s">
        <v>37</v>
      </c>
      <c r="U33" s="392"/>
      <c r="V33" s="391"/>
      <c r="W33" s="392"/>
      <c r="X33" s="391"/>
      <c r="Y33" s="392"/>
      <c r="Z33" s="391"/>
      <c r="AA33" s="392"/>
      <c r="AB33" s="391"/>
      <c r="AC33" s="392"/>
      <c r="AE33" s="136" t="s">
        <v>1016</v>
      </c>
      <c r="AF33" s="137"/>
      <c r="AG33" s="293" t="s">
        <v>1009</v>
      </c>
      <c r="AH33" s="294"/>
      <c r="AI33" s="293" t="s">
        <v>1010</v>
      </c>
      <c r="AJ33" s="294"/>
      <c r="AK33" s="23" t="s">
        <v>1011</v>
      </c>
      <c r="AL33" s="23" t="s">
        <v>1012</v>
      </c>
    </row>
    <row r="34" spans="1:40" ht="49.9" customHeight="1" x14ac:dyDescent="0.3">
      <c r="A34" s="317"/>
      <c r="F34" s="395"/>
      <c r="G34" s="396"/>
      <c r="H34" s="391"/>
      <c r="I34" s="392"/>
      <c r="J34" s="391"/>
      <c r="K34" s="392"/>
      <c r="L34" s="391"/>
      <c r="M34" s="392"/>
      <c r="N34" s="391"/>
      <c r="O34" s="392"/>
      <c r="P34" s="391"/>
      <c r="Q34" s="392"/>
      <c r="R34" s="391"/>
      <c r="S34" s="392"/>
      <c r="T34" s="391"/>
      <c r="U34" s="392"/>
      <c r="V34" s="391"/>
      <c r="W34" s="392"/>
      <c r="X34" s="391"/>
      <c r="Y34" s="392"/>
      <c r="Z34" s="391"/>
      <c r="AA34" s="392"/>
      <c r="AB34" s="391"/>
      <c r="AC34" s="392"/>
      <c r="AE34" s="131" t="s">
        <v>1013</v>
      </c>
      <c r="AF34" s="132"/>
      <c r="AG34" s="291"/>
      <c r="AH34" s="292"/>
      <c r="AI34" s="291"/>
      <c r="AJ34" s="292"/>
      <c r="AK34" s="75"/>
      <c r="AL34" s="75"/>
    </row>
    <row r="35" spans="1:40" ht="8.4499999999999993" customHeight="1" x14ac:dyDescent="0.3">
      <c r="A35" s="317"/>
      <c r="C35" s="376"/>
      <c r="D35" s="376"/>
      <c r="E35" s="376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E35"/>
    </row>
    <row r="36" spans="1:40" ht="25.15" customHeight="1" x14ac:dyDescent="0.3">
      <c r="A36" s="317"/>
      <c r="F36" s="391" t="s">
        <v>109</v>
      </c>
      <c r="G36" s="392"/>
      <c r="H36" s="391" t="s">
        <v>38</v>
      </c>
      <c r="I36" s="392"/>
      <c r="J36" s="391" t="s">
        <v>39</v>
      </c>
      <c r="K36" s="392"/>
      <c r="L36" s="391" t="s">
        <v>40</v>
      </c>
      <c r="M36" s="392"/>
      <c r="N36" s="391" t="s">
        <v>41</v>
      </c>
      <c r="O36" s="392"/>
      <c r="P36" s="391" t="s">
        <v>42</v>
      </c>
      <c r="Q36" s="392"/>
      <c r="R36" s="391" t="s">
        <v>43</v>
      </c>
      <c r="S36" s="392"/>
      <c r="T36" s="391" t="s">
        <v>44</v>
      </c>
      <c r="U36" s="392"/>
      <c r="V36" s="391"/>
      <c r="W36" s="392"/>
      <c r="X36" s="391"/>
      <c r="Y36" s="392"/>
      <c r="Z36" s="391"/>
      <c r="AA36" s="392"/>
      <c r="AB36" s="391"/>
      <c r="AC36" s="392"/>
      <c r="AE36"/>
    </row>
    <row r="37" spans="1:40" ht="51" customHeight="1" x14ac:dyDescent="0.4">
      <c r="A37" s="317"/>
      <c r="F37" s="388"/>
      <c r="G37" s="389"/>
      <c r="H37" s="388"/>
      <c r="I37" s="389"/>
      <c r="J37" s="388"/>
      <c r="K37" s="389"/>
      <c r="L37" s="388"/>
      <c r="M37" s="389"/>
      <c r="N37" s="388"/>
      <c r="O37" s="389"/>
      <c r="P37" s="388"/>
      <c r="Q37" s="389"/>
      <c r="R37" s="388"/>
      <c r="S37" s="389"/>
      <c r="T37" s="388"/>
      <c r="U37" s="389"/>
      <c r="V37" s="388"/>
      <c r="W37" s="389"/>
      <c r="X37" s="388"/>
      <c r="Y37" s="389"/>
      <c r="Z37" s="388"/>
      <c r="AA37" s="389"/>
      <c r="AB37" s="426"/>
      <c r="AC37" s="427"/>
      <c r="AE37"/>
    </row>
    <row r="38" spans="1:40" x14ac:dyDescent="0.25">
      <c r="A38" s="317"/>
      <c r="M38" s="2"/>
      <c r="N38" s="2"/>
      <c r="O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E38"/>
    </row>
    <row r="39" spans="1:40" ht="31.5" x14ac:dyDescent="0.45">
      <c r="F39" s="270" t="s">
        <v>63</v>
      </c>
      <c r="G39" s="270"/>
      <c r="H39" s="270"/>
      <c r="I39" s="270"/>
      <c r="J39" s="420">
        <v>1062631306</v>
      </c>
      <c r="K39" s="421"/>
      <c r="L39" s="421"/>
      <c r="M39" s="421"/>
      <c r="N39" s="421"/>
      <c r="O39" s="422"/>
      <c r="P39" s="122"/>
      <c r="Q39" s="123"/>
      <c r="R39" s="270" t="s">
        <v>63</v>
      </c>
      <c r="S39" s="270"/>
      <c r="T39" s="270"/>
      <c r="U39" s="270"/>
      <c r="V39" s="420">
        <v>1062631306</v>
      </c>
      <c r="W39" s="421"/>
      <c r="X39" s="421"/>
      <c r="Y39" s="421"/>
      <c r="Z39" s="421"/>
      <c r="AA39" s="422"/>
      <c r="AB39" s="123"/>
      <c r="AC39" s="124"/>
      <c r="AE39"/>
    </row>
    <row r="40" spans="1:40" ht="27.75" x14ac:dyDescent="0.4">
      <c r="F40" s="270" t="s">
        <v>64</v>
      </c>
      <c r="G40" s="270"/>
      <c r="H40" s="270"/>
      <c r="I40" s="270"/>
      <c r="J40" s="423">
        <v>45760</v>
      </c>
      <c r="K40" s="424"/>
      <c r="L40" s="424"/>
      <c r="M40" s="424"/>
      <c r="N40" s="424"/>
      <c r="O40" s="425"/>
      <c r="P40" s="119"/>
      <c r="Q40" s="120"/>
      <c r="R40" s="270" t="s">
        <v>64</v>
      </c>
      <c r="S40" s="270"/>
      <c r="T40" s="270"/>
      <c r="U40" s="270"/>
      <c r="V40" s="423">
        <v>45760</v>
      </c>
      <c r="W40" s="424"/>
      <c r="X40" s="424"/>
      <c r="Y40" s="424"/>
      <c r="Z40" s="424"/>
      <c r="AA40" s="425"/>
      <c r="AB40" s="120"/>
      <c r="AC40" s="121"/>
      <c r="AE40"/>
    </row>
    <row r="41" spans="1:40" x14ac:dyDescent="0.25">
      <c r="M41" s="2"/>
      <c r="N41" s="2"/>
      <c r="O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40" ht="42.6" customHeight="1" x14ac:dyDescent="0.25">
      <c r="B42" s="282" t="s">
        <v>161</v>
      </c>
      <c r="C42" s="282"/>
      <c r="D42" s="108">
        <f>D3</f>
        <v>169</v>
      </c>
      <c r="E42" s="6" t="s">
        <v>121</v>
      </c>
      <c r="F42" s="283" t="s">
        <v>105</v>
      </c>
      <c r="G42" s="284"/>
      <c r="H42" s="283" t="s">
        <v>105</v>
      </c>
      <c r="I42" s="284"/>
      <c r="J42" s="283" t="s">
        <v>105</v>
      </c>
      <c r="K42" s="284"/>
      <c r="L42" s="283" t="s">
        <v>105</v>
      </c>
      <c r="M42" s="284"/>
      <c r="N42" s="283" t="s">
        <v>105</v>
      </c>
      <c r="O42" s="284"/>
      <c r="P42" s="283" t="s">
        <v>105</v>
      </c>
      <c r="Q42" s="284"/>
      <c r="R42" s="283" t="s">
        <v>105</v>
      </c>
      <c r="S42" s="284"/>
      <c r="T42" s="283" t="s">
        <v>105</v>
      </c>
      <c r="U42" s="284"/>
      <c r="V42" s="283" t="s">
        <v>105</v>
      </c>
      <c r="W42" s="284"/>
      <c r="X42" s="283" t="s">
        <v>105</v>
      </c>
      <c r="Y42" s="284"/>
      <c r="Z42" s="283" t="s">
        <v>105</v>
      </c>
      <c r="AA42" s="284"/>
      <c r="AB42" s="283" t="s">
        <v>104</v>
      </c>
      <c r="AC42" s="284"/>
    </row>
    <row r="43" spans="1:40" ht="55.15" customHeight="1" x14ac:dyDescent="0.25">
      <c r="A43" s="278" t="s">
        <v>1</v>
      </c>
      <c r="B43" s="278"/>
      <c r="C43" s="279"/>
      <c r="D43" s="280"/>
      <c r="E43" s="6" t="s">
        <v>6</v>
      </c>
      <c r="F43" s="281" t="str">
        <f>F4</f>
        <v>PR_PN-89</v>
      </c>
      <c r="G43" s="281"/>
      <c r="H43" s="281" t="str">
        <f t="shared" ref="H43:H44" si="0">H4</f>
        <v>PR_PN-90</v>
      </c>
      <c r="I43" s="281"/>
      <c r="J43" s="281" t="str">
        <f t="shared" ref="J43:J44" si="1">J4</f>
        <v>PR_PN-91</v>
      </c>
      <c r="K43" s="281"/>
      <c r="L43" s="281" t="str">
        <f t="shared" ref="L43:L44" si="2">L4</f>
        <v>PR_PN-92</v>
      </c>
      <c r="M43" s="281"/>
      <c r="N43" s="281" t="str">
        <f t="shared" ref="N43:N44" si="3">N4</f>
        <v>PR_PN-94</v>
      </c>
      <c r="O43" s="281"/>
      <c r="P43" s="281" t="str">
        <f t="shared" ref="P43:P44" si="4">P4</f>
        <v>PR_PN-96</v>
      </c>
      <c r="Q43" s="281"/>
      <c r="R43" s="281" t="str">
        <f t="shared" ref="R43" si="5">R4</f>
        <v>PR_PN-100</v>
      </c>
      <c r="S43" s="281"/>
      <c r="T43" s="281" t="str">
        <f t="shared" ref="T43" si="6">T4</f>
        <v>PR_PN-101</v>
      </c>
      <c r="U43" s="281"/>
      <c r="V43" s="281" t="str">
        <f t="shared" ref="V43" si="7">V4</f>
        <v>PR_PNI-63</v>
      </c>
      <c r="W43" s="281"/>
      <c r="X43" s="281" t="str">
        <f t="shared" ref="X43:Z44" si="8">X4</f>
        <v>PR_PN-102</v>
      </c>
      <c r="Y43" s="281"/>
      <c r="Z43" s="281" t="str">
        <f t="shared" si="8"/>
        <v>PR_PNI-69</v>
      </c>
      <c r="AA43" s="281"/>
      <c r="AB43" s="281" t="str">
        <f t="shared" ref="AB43:AB44" si="9">AB4</f>
        <v>PR_PNI-75</v>
      </c>
      <c r="AC43" s="281"/>
      <c r="AE43" s="276"/>
      <c r="AF43" s="276"/>
      <c r="AG43" s="276"/>
      <c r="AH43" s="276"/>
      <c r="AI43" s="276"/>
      <c r="AN43" s="14"/>
    </row>
    <row r="44" spans="1:40" ht="37.15" customHeight="1" x14ac:dyDescent="0.25">
      <c r="A44" s="278"/>
      <c r="B44" s="278"/>
      <c r="C44" s="279"/>
      <c r="D44" s="280"/>
      <c r="E44" s="6" t="s">
        <v>51</v>
      </c>
      <c r="F44" s="277" t="str">
        <f>F5</f>
        <v>P</v>
      </c>
      <c r="G44" s="277"/>
      <c r="H44" s="277" t="str">
        <f t="shared" si="0"/>
        <v>P</v>
      </c>
      <c r="I44" s="277"/>
      <c r="J44" s="277" t="str">
        <f t="shared" si="1"/>
        <v>P</v>
      </c>
      <c r="K44" s="277"/>
      <c r="L44" s="277" t="str">
        <f t="shared" si="2"/>
        <v>P</v>
      </c>
      <c r="M44" s="277"/>
      <c r="N44" s="277" t="str">
        <f t="shared" si="3"/>
        <v>P</v>
      </c>
      <c r="O44" s="277"/>
      <c r="P44" s="277" t="str">
        <f t="shared" si="4"/>
        <v>P</v>
      </c>
      <c r="Q44" s="277"/>
      <c r="R44" s="277" t="str">
        <f t="shared" ref="R44" si="10">R5</f>
        <v>P</v>
      </c>
      <c r="S44" s="277"/>
      <c r="T44" s="277" t="str">
        <f t="shared" ref="T44" si="11">T5</f>
        <v>P</v>
      </c>
      <c r="U44" s="277"/>
      <c r="V44" s="277" t="str">
        <f t="shared" ref="V44" si="12">V5</f>
        <v>PNI</v>
      </c>
      <c r="W44" s="277"/>
      <c r="X44" s="277" t="str">
        <f t="shared" si="8"/>
        <v>P</v>
      </c>
      <c r="Y44" s="277"/>
      <c r="Z44" s="277" t="str">
        <f t="shared" si="8"/>
        <v>PNI</v>
      </c>
      <c r="AA44" s="277"/>
      <c r="AB44" s="277" t="str">
        <f t="shared" si="9"/>
        <v>PNI</v>
      </c>
      <c r="AC44" s="277"/>
      <c r="AN44" s="14"/>
    </row>
    <row r="45" spans="1:40" ht="46.9" customHeight="1" x14ac:dyDescent="0.25">
      <c r="B45" s="275" t="s">
        <v>986</v>
      </c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  <c r="AD45" s="275"/>
      <c r="AE45" s="275"/>
      <c r="AF45" s="275"/>
      <c r="AG45" s="275"/>
      <c r="AH45" s="275"/>
      <c r="AI45" s="275"/>
      <c r="AJ45" s="275"/>
      <c r="AK45" s="275"/>
      <c r="AL45" s="275"/>
    </row>
    <row r="46" spans="1:40" ht="52.9" customHeight="1" x14ac:dyDescent="0.55000000000000004">
      <c r="B46" s="269">
        <v>1</v>
      </c>
      <c r="C46" s="269"/>
      <c r="D46" s="273" t="s">
        <v>987</v>
      </c>
      <c r="E46" s="274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</row>
    <row r="47" spans="1:40" ht="38.25" x14ac:dyDescent="0.55000000000000004">
      <c r="B47" s="269">
        <v>2</v>
      </c>
      <c r="C47" s="269"/>
      <c r="D47" s="418" t="s">
        <v>988</v>
      </c>
      <c r="E47" s="419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</row>
    <row r="48" spans="1:40" ht="38.25" x14ac:dyDescent="0.55000000000000004">
      <c r="B48" s="269">
        <v>3</v>
      </c>
      <c r="C48" s="269"/>
      <c r="D48" s="418" t="s">
        <v>989</v>
      </c>
      <c r="E48" s="419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  <c r="AA48" s="270"/>
      <c r="AB48" s="270"/>
      <c r="AC48" s="270"/>
    </row>
    <row r="49" spans="2:31" ht="38.25" x14ac:dyDescent="0.55000000000000004">
      <c r="B49" s="269">
        <v>4</v>
      </c>
      <c r="C49" s="269"/>
      <c r="D49" s="418" t="s">
        <v>990</v>
      </c>
      <c r="E49" s="419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  <c r="AB49" s="270"/>
      <c r="AC49" s="270"/>
    </row>
    <row r="50" spans="2:31" ht="38.25" x14ac:dyDescent="0.55000000000000004">
      <c r="B50" s="269">
        <v>5</v>
      </c>
      <c r="C50" s="269"/>
      <c r="D50" s="418" t="s">
        <v>994</v>
      </c>
      <c r="E50" s="419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</row>
    <row r="51" spans="2:31" ht="38.25" x14ac:dyDescent="0.55000000000000004">
      <c r="B51" s="269">
        <v>6</v>
      </c>
      <c r="C51" s="269"/>
      <c r="D51" s="418" t="s">
        <v>995</v>
      </c>
      <c r="E51" s="419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  <c r="AA51" s="270"/>
      <c r="AB51" s="270"/>
      <c r="AC51" s="270"/>
    </row>
    <row r="52" spans="2:31" ht="38.25" x14ac:dyDescent="0.55000000000000004">
      <c r="B52" s="269">
        <v>7</v>
      </c>
      <c r="C52" s="269"/>
      <c r="D52" s="271"/>
      <c r="E52" s="272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  <c r="AA52" s="270"/>
      <c r="AB52" s="270"/>
      <c r="AC52" s="270"/>
    </row>
    <row r="53" spans="2:31" ht="38.25" x14ac:dyDescent="0.55000000000000004">
      <c r="B53" s="269">
        <v>8</v>
      </c>
      <c r="C53" s="269"/>
      <c r="D53" s="271"/>
      <c r="E53" s="272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  <c r="AA53" s="270"/>
      <c r="AB53" s="270"/>
      <c r="AC53" s="270"/>
    </row>
    <row r="54" spans="2:31" ht="38.25" x14ac:dyDescent="0.55000000000000004">
      <c r="B54" s="269">
        <v>9</v>
      </c>
      <c r="C54" s="269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  <c r="AB54" s="270"/>
      <c r="AC54" s="270"/>
    </row>
    <row r="55" spans="2:31" ht="38.25" x14ac:dyDescent="0.55000000000000004">
      <c r="B55" s="269">
        <v>10</v>
      </c>
      <c r="C55" s="269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270"/>
      <c r="AB55" s="270"/>
      <c r="AC55" s="270"/>
    </row>
    <row r="56" spans="2:31" ht="38.25" x14ac:dyDescent="0.55000000000000004">
      <c r="B56" s="269">
        <v>11</v>
      </c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</row>
    <row r="57" spans="2:31" ht="38.25" x14ac:dyDescent="0.55000000000000004">
      <c r="B57" s="269">
        <v>12</v>
      </c>
      <c r="C57" s="269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  <c r="AA57" s="270"/>
      <c r="AB57" s="270"/>
      <c r="AC57" s="270"/>
    </row>
    <row r="58" spans="2:31" ht="38.25" x14ac:dyDescent="0.55000000000000004">
      <c r="B58" s="269">
        <v>13</v>
      </c>
      <c r="C58" s="269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  <c r="AA58" s="270"/>
      <c r="AB58" s="270"/>
      <c r="AC58" s="270"/>
    </row>
    <row r="59" spans="2:31" ht="38.25" x14ac:dyDescent="0.55000000000000004">
      <c r="B59" s="269">
        <v>14</v>
      </c>
      <c r="C59" s="269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</row>
    <row r="60" spans="2:31" ht="37.9" customHeight="1" x14ac:dyDescent="0.25">
      <c r="B60" s="409">
        <v>15</v>
      </c>
      <c r="C60" s="410"/>
      <c r="D60" s="410"/>
      <c r="E60" s="410"/>
      <c r="F60" s="410"/>
      <c r="G60" s="410"/>
      <c r="H60" s="410"/>
      <c r="I60" s="410"/>
      <c r="J60" s="410"/>
      <c r="K60" s="410"/>
      <c r="L60" s="410"/>
      <c r="M60" s="410"/>
      <c r="N60" s="410"/>
      <c r="O60" s="410"/>
      <c r="P60" s="410"/>
      <c r="Q60" s="410"/>
      <c r="R60" s="410"/>
      <c r="S60" s="410"/>
      <c r="T60" s="410"/>
      <c r="U60" s="410"/>
      <c r="V60" s="410"/>
      <c r="W60" s="410"/>
      <c r="X60" s="410"/>
      <c r="Y60" s="410"/>
      <c r="Z60" s="410"/>
      <c r="AA60" s="410"/>
      <c r="AB60" s="410"/>
      <c r="AC60" s="411"/>
      <c r="AE60"/>
    </row>
    <row r="61" spans="2:31" ht="37.9" customHeight="1" x14ac:dyDescent="0.25">
      <c r="B61" s="412"/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  <c r="P61" s="413"/>
      <c r="Q61" s="413"/>
      <c r="R61" s="413"/>
      <c r="S61" s="413"/>
      <c r="T61" s="413"/>
      <c r="U61" s="413"/>
      <c r="V61" s="413"/>
      <c r="W61" s="413"/>
      <c r="X61" s="413"/>
      <c r="Y61" s="413"/>
      <c r="Z61" s="413"/>
      <c r="AA61" s="413"/>
      <c r="AB61" s="413"/>
      <c r="AC61" s="414"/>
      <c r="AE61"/>
    </row>
    <row r="62" spans="2:31" ht="37.9" customHeight="1" x14ac:dyDescent="0.25">
      <c r="B62" s="412"/>
      <c r="C62" s="413"/>
      <c r="D62" s="413"/>
      <c r="E62" s="413"/>
      <c r="F62" s="413"/>
      <c r="G62" s="413"/>
      <c r="H62" s="413"/>
      <c r="I62" s="413"/>
      <c r="J62" s="413"/>
      <c r="K62" s="413"/>
      <c r="L62" s="413"/>
      <c r="M62" s="413"/>
      <c r="N62" s="413"/>
      <c r="O62" s="413"/>
      <c r="P62" s="413"/>
      <c r="Q62" s="413"/>
      <c r="R62" s="413"/>
      <c r="S62" s="413"/>
      <c r="T62" s="413"/>
      <c r="U62" s="413"/>
      <c r="V62" s="413"/>
      <c r="W62" s="413"/>
      <c r="X62" s="413"/>
      <c r="Y62" s="413"/>
      <c r="Z62" s="413"/>
      <c r="AA62" s="413"/>
      <c r="AB62" s="413"/>
      <c r="AC62" s="414"/>
      <c r="AE62"/>
    </row>
    <row r="63" spans="2:31" ht="37.9" customHeight="1" x14ac:dyDescent="0.25">
      <c r="B63" s="412"/>
      <c r="C63" s="413"/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3"/>
      <c r="R63" s="413"/>
      <c r="S63" s="413"/>
      <c r="T63" s="413"/>
      <c r="U63" s="413"/>
      <c r="V63" s="413"/>
      <c r="W63" s="413"/>
      <c r="X63" s="413"/>
      <c r="Y63" s="413"/>
      <c r="Z63" s="413"/>
      <c r="AA63" s="413"/>
      <c r="AB63" s="413"/>
      <c r="AC63" s="414"/>
      <c r="AE63"/>
    </row>
    <row r="64" spans="2:31" ht="37.9" customHeight="1" x14ac:dyDescent="0.25">
      <c r="B64" s="412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3"/>
      <c r="Q64" s="413"/>
      <c r="R64" s="413"/>
      <c r="S64" s="413"/>
      <c r="T64" s="413"/>
      <c r="U64" s="413"/>
      <c r="V64" s="413"/>
      <c r="W64" s="413"/>
      <c r="X64" s="413"/>
      <c r="Y64" s="413"/>
      <c r="Z64" s="413"/>
      <c r="AA64" s="413"/>
      <c r="AB64" s="413"/>
      <c r="AC64" s="414"/>
      <c r="AE64"/>
    </row>
    <row r="65" spans="2:31" ht="37.9" customHeight="1" x14ac:dyDescent="0.25">
      <c r="B65" s="412"/>
      <c r="C65" s="413"/>
      <c r="D65" s="413"/>
      <c r="E65" s="413"/>
      <c r="F65" s="413"/>
      <c r="G65" s="413"/>
      <c r="H65" s="413"/>
      <c r="I65" s="413"/>
      <c r="J65" s="413"/>
      <c r="K65" s="413"/>
      <c r="L65" s="413"/>
      <c r="M65" s="413"/>
      <c r="N65" s="413"/>
      <c r="O65" s="413"/>
      <c r="P65" s="413"/>
      <c r="Q65" s="413"/>
      <c r="R65" s="413"/>
      <c r="S65" s="413"/>
      <c r="T65" s="413"/>
      <c r="U65" s="413"/>
      <c r="V65" s="413"/>
      <c r="W65" s="413"/>
      <c r="X65" s="413"/>
      <c r="Y65" s="413"/>
      <c r="Z65" s="413"/>
      <c r="AA65" s="413"/>
      <c r="AB65" s="413"/>
      <c r="AC65" s="414"/>
      <c r="AE65"/>
    </row>
    <row r="66" spans="2:31" ht="37.9" customHeight="1" x14ac:dyDescent="0.25">
      <c r="B66" s="412"/>
      <c r="C66" s="413"/>
      <c r="D66" s="413"/>
      <c r="E66" s="413"/>
      <c r="F66" s="413"/>
      <c r="G66" s="413"/>
      <c r="H66" s="413"/>
      <c r="I66" s="413"/>
      <c r="J66" s="413"/>
      <c r="K66" s="413"/>
      <c r="L66" s="413"/>
      <c r="M66" s="413"/>
      <c r="N66" s="413"/>
      <c r="O66" s="413"/>
      <c r="P66" s="413"/>
      <c r="Q66" s="413"/>
      <c r="R66" s="413"/>
      <c r="S66" s="413"/>
      <c r="T66" s="413"/>
      <c r="U66" s="413"/>
      <c r="V66" s="413"/>
      <c r="W66" s="413"/>
      <c r="X66" s="413"/>
      <c r="Y66" s="413"/>
      <c r="Z66" s="413"/>
      <c r="AA66" s="413"/>
      <c r="AB66" s="413"/>
      <c r="AC66" s="414"/>
      <c r="AE66"/>
    </row>
    <row r="67" spans="2:31" ht="37.9" customHeight="1" x14ac:dyDescent="0.25">
      <c r="B67" s="412"/>
      <c r="C67" s="413"/>
      <c r="D67" s="413"/>
      <c r="E67" s="413"/>
      <c r="F67" s="413"/>
      <c r="G67" s="413"/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3"/>
      <c r="S67" s="413"/>
      <c r="T67" s="413"/>
      <c r="U67" s="413"/>
      <c r="V67" s="413"/>
      <c r="W67" s="413"/>
      <c r="X67" s="413"/>
      <c r="Y67" s="413"/>
      <c r="Z67" s="413"/>
      <c r="AA67" s="413"/>
      <c r="AB67" s="413"/>
      <c r="AC67" s="414"/>
      <c r="AE67"/>
    </row>
    <row r="68" spans="2:31" ht="37.9" customHeight="1" x14ac:dyDescent="0.25">
      <c r="B68" s="412"/>
      <c r="C68" s="413"/>
      <c r="D68" s="413"/>
      <c r="E68" s="413"/>
      <c r="F68" s="413"/>
      <c r="G68" s="413"/>
      <c r="H68" s="413"/>
      <c r="I68" s="413"/>
      <c r="J68" s="413"/>
      <c r="K68" s="413"/>
      <c r="L68" s="413"/>
      <c r="M68" s="413"/>
      <c r="N68" s="413"/>
      <c r="O68" s="413"/>
      <c r="P68" s="413"/>
      <c r="Q68" s="413"/>
      <c r="R68" s="413"/>
      <c r="S68" s="413"/>
      <c r="T68" s="413"/>
      <c r="U68" s="413"/>
      <c r="V68" s="413"/>
      <c r="W68" s="413"/>
      <c r="X68" s="413"/>
      <c r="Y68" s="413"/>
      <c r="Z68" s="413"/>
      <c r="AA68" s="413"/>
      <c r="AB68" s="413"/>
      <c r="AC68" s="414"/>
      <c r="AE68"/>
    </row>
    <row r="69" spans="2:31" ht="37.9" customHeight="1" x14ac:dyDescent="0.25">
      <c r="B69" s="412"/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3"/>
      <c r="N69" s="413"/>
      <c r="O69" s="413"/>
      <c r="P69" s="413"/>
      <c r="Q69" s="413"/>
      <c r="R69" s="413"/>
      <c r="S69" s="413"/>
      <c r="T69" s="413"/>
      <c r="U69" s="413"/>
      <c r="V69" s="413"/>
      <c r="W69" s="413"/>
      <c r="X69" s="413"/>
      <c r="Y69" s="413"/>
      <c r="Z69" s="413"/>
      <c r="AA69" s="413"/>
      <c r="AB69" s="413"/>
      <c r="AC69" s="414"/>
      <c r="AE69"/>
    </row>
    <row r="70" spans="2:31" ht="37.9" customHeight="1" x14ac:dyDescent="0.25">
      <c r="B70" s="412"/>
      <c r="C70" s="413"/>
      <c r="D70" s="413"/>
      <c r="E70" s="413"/>
      <c r="F70" s="413"/>
      <c r="G70" s="413"/>
      <c r="H70" s="413"/>
      <c r="I70" s="413"/>
      <c r="J70" s="413"/>
      <c r="K70" s="413"/>
      <c r="L70" s="413"/>
      <c r="M70" s="413"/>
      <c r="N70" s="413"/>
      <c r="O70" s="413"/>
      <c r="P70" s="413"/>
      <c r="Q70" s="413"/>
      <c r="R70" s="413"/>
      <c r="S70" s="413"/>
      <c r="T70" s="413"/>
      <c r="U70" s="413"/>
      <c r="V70" s="413"/>
      <c r="W70" s="413"/>
      <c r="X70" s="413"/>
      <c r="Y70" s="413"/>
      <c r="Z70" s="413"/>
      <c r="AA70" s="413"/>
      <c r="AB70" s="413"/>
      <c r="AC70" s="414"/>
      <c r="AE70"/>
    </row>
    <row r="71" spans="2:31" ht="37.9" customHeight="1" x14ac:dyDescent="0.25">
      <c r="B71" s="412"/>
      <c r="C71" s="413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13"/>
      <c r="R71" s="413"/>
      <c r="S71" s="413"/>
      <c r="T71" s="413"/>
      <c r="U71" s="413"/>
      <c r="V71" s="413"/>
      <c r="W71" s="413"/>
      <c r="X71" s="413"/>
      <c r="Y71" s="413"/>
      <c r="Z71" s="413"/>
      <c r="AA71" s="413"/>
      <c r="AB71" s="413"/>
      <c r="AC71" s="414"/>
      <c r="AE71"/>
    </row>
    <row r="72" spans="2:31" ht="37.9" customHeight="1" x14ac:dyDescent="0.25">
      <c r="B72" s="412"/>
      <c r="C72" s="413"/>
      <c r="D72" s="413"/>
      <c r="E72" s="413"/>
      <c r="F72" s="413"/>
      <c r="G72" s="413"/>
      <c r="H72" s="413"/>
      <c r="I72" s="413"/>
      <c r="J72" s="413"/>
      <c r="K72" s="413"/>
      <c r="L72" s="413"/>
      <c r="M72" s="413"/>
      <c r="N72" s="413"/>
      <c r="O72" s="413"/>
      <c r="P72" s="413"/>
      <c r="Q72" s="413"/>
      <c r="R72" s="413"/>
      <c r="S72" s="413"/>
      <c r="T72" s="413"/>
      <c r="U72" s="413"/>
      <c r="V72" s="413"/>
      <c r="W72" s="413"/>
      <c r="X72" s="413"/>
      <c r="Y72" s="413"/>
      <c r="Z72" s="413"/>
      <c r="AA72" s="413"/>
      <c r="AB72" s="413"/>
      <c r="AC72" s="414"/>
      <c r="AE72"/>
    </row>
    <row r="73" spans="2:31" ht="37.9" customHeight="1" x14ac:dyDescent="0.25">
      <c r="B73" s="412"/>
      <c r="C73" s="413"/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413"/>
      <c r="S73" s="413"/>
      <c r="T73" s="413"/>
      <c r="U73" s="413"/>
      <c r="V73" s="413"/>
      <c r="W73" s="413"/>
      <c r="X73" s="413"/>
      <c r="Y73" s="413"/>
      <c r="Z73" s="413"/>
      <c r="AA73" s="413"/>
      <c r="AB73" s="413"/>
      <c r="AC73" s="414"/>
      <c r="AE73"/>
    </row>
    <row r="74" spans="2:31" ht="37.9" customHeight="1" x14ac:dyDescent="0.25">
      <c r="B74" s="412"/>
      <c r="C74" s="413"/>
      <c r="D74" s="413"/>
      <c r="E74" s="413"/>
      <c r="F74" s="413"/>
      <c r="G74" s="413"/>
      <c r="H74" s="413"/>
      <c r="I74" s="413"/>
      <c r="J74" s="413"/>
      <c r="K74" s="413"/>
      <c r="L74" s="413"/>
      <c r="M74" s="413"/>
      <c r="N74" s="413"/>
      <c r="O74" s="413"/>
      <c r="P74" s="413"/>
      <c r="Q74" s="413"/>
      <c r="R74" s="413"/>
      <c r="S74" s="413"/>
      <c r="T74" s="413"/>
      <c r="U74" s="413"/>
      <c r="V74" s="413"/>
      <c r="W74" s="413"/>
      <c r="X74" s="413"/>
      <c r="Y74" s="413"/>
      <c r="Z74" s="413"/>
      <c r="AA74" s="413"/>
      <c r="AB74" s="413"/>
      <c r="AC74" s="414"/>
      <c r="AE74"/>
    </row>
    <row r="75" spans="2:31" ht="37.9" customHeight="1" x14ac:dyDescent="0.25">
      <c r="B75" s="412"/>
      <c r="C75" s="413"/>
      <c r="D75" s="413"/>
      <c r="E75" s="413"/>
      <c r="F75" s="413"/>
      <c r="G75" s="413"/>
      <c r="H75" s="413"/>
      <c r="I75" s="413"/>
      <c r="J75" s="413"/>
      <c r="K75" s="413"/>
      <c r="L75" s="413"/>
      <c r="M75" s="413"/>
      <c r="N75" s="413"/>
      <c r="O75" s="413"/>
      <c r="P75" s="413"/>
      <c r="Q75" s="413"/>
      <c r="R75" s="413"/>
      <c r="S75" s="413"/>
      <c r="T75" s="413"/>
      <c r="U75" s="413"/>
      <c r="V75" s="413"/>
      <c r="W75" s="413"/>
      <c r="X75" s="413"/>
      <c r="Y75" s="413"/>
      <c r="Z75" s="413"/>
      <c r="AA75" s="413"/>
      <c r="AB75" s="413"/>
      <c r="AC75" s="414"/>
      <c r="AE75"/>
    </row>
    <row r="76" spans="2:31" ht="37.9" customHeight="1" x14ac:dyDescent="0.25">
      <c r="B76" s="412"/>
      <c r="C76" s="413"/>
      <c r="D76" s="413"/>
      <c r="E76" s="413"/>
      <c r="F76" s="413"/>
      <c r="G76" s="413"/>
      <c r="H76" s="413"/>
      <c r="I76" s="413"/>
      <c r="J76" s="413"/>
      <c r="K76" s="413"/>
      <c r="L76" s="413"/>
      <c r="M76" s="413"/>
      <c r="N76" s="413"/>
      <c r="O76" s="413"/>
      <c r="P76" s="413"/>
      <c r="Q76" s="413"/>
      <c r="R76" s="413"/>
      <c r="S76" s="413"/>
      <c r="T76" s="413"/>
      <c r="U76" s="413"/>
      <c r="V76" s="413"/>
      <c r="W76" s="413"/>
      <c r="X76" s="413"/>
      <c r="Y76" s="413"/>
      <c r="Z76" s="413"/>
      <c r="AA76" s="413"/>
      <c r="AB76" s="413"/>
      <c r="AC76" s="414"/>
      <c r="AE76"/>
    </row>
    <row r="77" spans="2:31" ht="37.9" customHeight="1" x14ac:dyDescent="0.25">
      <c r="B77" s="412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4"/>
      <c r="AE77"/>
    </row>
    <row r="78" spans="2:31" ht="37.9" customHeight="1" x14ac:dyDescent="0.25">
      <c r="B78" s="412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4"/>
      <c r="AE78"/>
    </row>
    <row r="79" spans="2:31" ht="37.9" customHeight="1" x14ac:dyDescent="0.25">
      <c r="B79" s="415"/>
      <c r="C79" s="416"/>
      <c r="D79" s="416"/>
      <c r="E79" s="416"/>
      <c r="F79" s="416"/>
      <c r="G79" s="416"/>
      <c r="H79" s="416"/>
      <c r="I79" s="416"/>
      <c r="J79" s="416"/>
      <c r="K79" s="416"/>
      <c r="L79" s="416"/>
      <c r="M79" s="416"/>
      <c r="N79" s="416"/>
      <c r="O79" s="416"/>
      <c r="P79" s="416"/>
      <c r="Q79" s="416"/>
      <c r="R79" s="416"/>
      <c r="S79" s="416"/>
      <c r="T79" s="416"/>
      <c r="U79" s="416"/>
      <c r="V79" s="416"/>
      <c r="W79" s="416"/>
      <c r="X79" s="416"/>
      <c r="Y79" s="416"/>
      <c r="Z79" s="416"/>
      <c r="AA79" s="416"/>
      <c r="AB79" s="416"/>
      <c r="AC79" s="417"/>
      <c r="AE79"/>
    </row>
  </sheetData>
  <mergeCells count="494">
    <mergeCell ref="F1:G2"/>
    <mergeCell ref="H1:I2"/>
    <mergeCell ref="J1:K2"/>
    <mergeCell ref="L6:M7"/>
    <mergeCell ref="N6:O7"/>
    <mergeCell ref="P6:Q7"/>
    <mergeCell ref="F5:G5"/>
    <mergeCell ref="H5:I5"/>
    <mergeCell ref="AE1:AF1"/>
    <mergeCell ref="J5:K5"/>
    <mergeCell ref="L5:M5"/>
    <mergeCell ref="N5:O5"/>
    <mergeCell ref="P5:Q5"/>
    <mergeCell ref="AB5:AC5"/>
    <mergeCell ref="AE2:AF2"/>
    <mergeCell ref="J6:K7"/>
    <mergeCell ref="AB1:AC2"/>
    <mergeCell ref="AE5:AF5"/>
    <mergeCell ref="AB4:AC4"/>
    <mergeCell ref="V1:W2"/>
    <mergeCell ref="X1:Y2"/>
    <mergeCell ref="Z1:AA2"/>
    <mergeCell ref="B3:C3"/>
    <mergeCell ref="F3:G3"/>
    <mergeCell ref="H3:I3"/>
    <mergeCell ref="J3:K3"/>
    <mergeCell ref="L3:M3"/>
    <mergeCell ref="N3:O3"/>
    <mergeCell ref="P3:Q3"/>
    <mergeCell ref="X3:Y3"/>
    <mergeCell ref="AB3:AC3"/>
    <mergeCell ref="T3:U3"/>
    <mergeCell ref="Z3:AA3"/>
    <mergeCell ref="E1:E2"/>
    <mergeCell ref="X6:Y7"/>
    <mergeCell ref="AB6:AC7"/>
    <mergeCell ref="A4:B5"/>
    <mergeCell ref="C4:D5"/>
    <mergeCell ref="F4:G4"/>
    <mergeCell ref="H4:I4"/>
    <mergeCell ref="J4:K4"/>
    <mergeCell ref="L4:M4"/>
    <mergeCell ref="N4:O4"/>
    <mergeCell ref="P4:Q4"/>
    <mergeCell ref="V5:W5"/>
    <mergeCell ref="T4:U4"/>
    <mergeCell ref="T5:U5"/>
    <mergeCell ref="Z4:AA4"/>
    <mergeCell ref="Z5:AA5"/>
    <mergeCell ref="X4:Y4"/>
    <mergeCell ref="X5:Y5"/>
    <mergeCell ref="R5:S5"/>
    <mergeCell ref="A6:B6"/>
    <mergeCell ref="C6:D6"/>
    <mergeCell ref="E6:E7"/>
    <mergeCell ref="F6:G7"/>
    <mergeCell ref="H6:I7"/>
    <mergeCell ref="I9:I10"/>
    <mergeCell ref="J9:J10"/>
    <mergeCell ref="V9:V10"/>
    <mergeCell ref="W9:W10"/>
    <mergeCell ref="AE10:AF10"/>
    <mergeCell ref="C7:D8"/>
    <mergeCell ref="F8:G8"/>
    <mergeCell ref="H8:I8"/>
    <mergeCell ref="J8:K8"/>
    <mergeCell ref="L8:M8"/>
    <mergeCell ref="N8:O8"/>
    <mergeCell ref="P9:P10"/>
    <mergeCell ref="P8:Q8"/>
    <mergeCell ref="X8:Y8"/>
    <mergeCell ref="AB8:AC8"/>
    <mergeCell ref="V6:W7"/>
    <mergeCell ref="V8:W8"/>
    <mergeCell ref="T8:U8"/>
    <mergeCell ref="R6:S7"/>
    <mergeCell ref="R8:S8"/>
    <mergeCell ref="R9:R10"/>
    <mergeCell ref="S9:S10"/>
    <mergeCell ref="T6:U7"/>
    <mergeCell ref="Z6:AA7"/>
    <mergeCell ref="A10:A38"/>
    <mergeCell ref="C11:E11"/>
    <mergeCell ref="C15:E15"/>
    <mergeCell ref="C16:E16"/>
    <mergeCell ref="Q9:Q10"/>
    <mergeCell ref="X9:X10"/>
    <mergeCell ref="Y9:Y10"/>
    <mergeCell ref="AB9:AB10"/>
    <mergeCell ref="AC9:AC10"/>
    <mergeCell ref="AA9:AA10"/>
    <mergeCell ref="T9:T10"/>
    <mergeCell ref="U9:U10"/>
    <mergeCell ref="K9:K10"/>
    <mergeCell ref="L9:L10"/>
    <mergeCell ref="M9:M10"/>
    <mergeCell ref="N9:N10"/>
    <mergeCell ref="O9:O10"/>
    <mergeCell ref="C21:E21"/>
    <mergeCell ref="C22:E22"/>
    <mergeCell ref="B9:B10"/>
    <mergeCell ref="C9:E10"/>
    <mergeCell ref="F9:F10"/>
    <mergeCell ref="G9:G10"/>
    <mergeCell ref="H9:H10"/>
    <mergeCell ref="C12:E12"/>
    <mergeCell ref="C13:E13"/>
    <mergeCell ref="C14:E14"/>
    <mergeCell ref="AE11:AF11"/>
    <mergeCell ref="AG11:AH11"/>
    <mergeCell ref="AI11:AJ11"/>
    <mergeCell ref="AE12:AF12"/>
    <mergeCell ref="AE13:AF13"/>
    <mergeCell ref="AG13:AH13"/>
    <mergeCell ref="AI13:AJ13"/>
    <mergeCell ref="AE14:AF14"/>
    <mergeCell ref="AG14:AH14"/>
    <mergeCell ref="AI14:AJ14"/>
    <mergeCell ref="C19:E19"/>
    <mergeCell ref="AE20:AF20"/>
    <mergeCell ref="AG20:AH20"/>
    <mergeCell ref="AG21:AH21"/>
    <mergeCell ref="AI21:AJ21"/>
    <mergeCell ref="AG22:AH22"/>
    <mergeCell ref="AI22:AJ22"/>
    <mergeCell ref="C20:E20"/>
    <mergeCell ref="C17:E17"/>
    <mergeCell ref="C18:E18"/>
    <mergeCell ref="AK23:AL23"/>
    <mergeCell ref="C24:E24"/>
    <mergeCell ref="C25:E25"/>
    <mergeCell ref="C26:E26"/>
    <mergeCell ref="AE23:AF23"/>
    <mergeCell ref="AG23:AH23"/>
    <mergeCell ref="AI23:AJ23"/>
    <mergeCell ref="AE24:AF24"/>
    <mergeCell ref="AE25:AF25"/>
    <mergeCell ref="AG25:AH25"/>
    <mergeCell ref="AI25:AJ25"/>
    <mergeCell ref="C23:E23"/>
    <mergeCell ref="AI26:AJ26"/>
    <mergeCell ref="P33:Q33"/>
    <mergeCell ref="X33:Y33"/>
    <mergeCell ref="AB33:AC33"/>
    <mergeCell ref="Z33:AA33"/>
    <mergeCell ref="V33:W33"/>
    <mergeCell ref="T33:U33"/>
    <mergeCell ref="AE32:AF32"/>
    <mergeCell ref="AG32:AH32"/>
    <mergeCell ref="C27:E27"/>
    <mergeCell ref="C28:E28"/>
    <mergeCell ref="C29:E29"/>
    <mergeCell ref="C33:E33"/>
    <mergeCell ref="F33:G33"/>
    <mergeCell ref="H33:I33"/>
    <mergeCell ref="J33:K33"/>
    <mergeCell ref="L33:M33"/>
    <mergeCell ref="N33:O33"/>
    <mergeCell ref="C30:E30"/>
    <mergeCell ref="C31:E31"/>
    <mergeCell ref="C32:E32"/>
    <mergeCell ref="R33:S33"/>
    <mergeCell ref="AG27:AH27"/>
    <mergeCell ref="AG33:AH33"/>
    <mergeCell ref="F34:G34"/>
    <mergeCell ref="H34:I34"/>
    <mergeCell ref="J34:K34"/>
    <mergeCell ref="L34:M34"/>
    <mergeCell ref="N34:O34"/>
    <mergeCell ref="P34:Q34"/>
    <mergeCell ref="X34:Y34"/>
    <mergeCell ref="AB34:AC34"/>
    <mergeCell ref="Z34:AA34"/>
    <mergeCell ref="V34:W34"/>
    <mergeCell ref="T34:U34"/>
    <mergeCell ref="R34:S34"/>
    <mergeCell ref="AB37:AC37"/>
    <mergeCell ref="Z36:AA36"/>
    <mergeCell ref="Z37:AA37"/>
    <mergeCell ref="V36:W36"/>
    <mergeCell ref="V37:W37"/>
    <mergeCell ref="T36:U36"/>
    <mergeCell ref="T37:U37"/>
    <mergeCell ref="C35:E35"/>
    <mergeCell ref="F36:G36"/>
    <mergeCell ref="H36:I36"/>
    <mergeCell ref="J36:K36"/>
    <mergeCell ref="L36:M36"/>
    <mergeCell ref="N36:O36"/>
    <mergeCell ref="P36:Q36"/>
    <mergeCell ref="X36:Y36"/>
    <mergeCell ref="AB36:AC36"/>
    <mergeCell ref="F37:G37"/>
    <mergeCell ref="H37:I37"/>
    <mergeCell ref="J37:K37"/>
    <mergeCell ref="L37:M37"/>
    <mergeCell ref="N37:O37"/>
    <mergeCell ref="R36:S36"/>
    <mergeCell ref="F39:I39"/>
    <mergeCell ref="J39:O39"/>
    <mergeCell ref="P37:Q37"/>
    <mergeCell ref="X37:Y37"/>
    <mergeCell ref="F40:I40"/>
    <mergeCell ref="J40:O40"/>
    <mergeCell ref="B42:C42"/>
    <mergeCell ref="F42:G42"/>
    <mergeCell ref="H42:I42"/>
    <mergeCell ref="J42:K42"/>
    <mergeCell ref="L42:M42"/>
    <mergeCell ref="N42:O42"/>
    <mergeCell ref="P42:Q42"/>
    <mergeCell ref="R39:U39"/>
    <mergeCell ref="V39:AA39"/>
    <mergeCell ref="R40:U40"/>
    <mergeCell ref="V40:AA40"/>
    <mergeCell ref="R37:S37"/>
    <mergeCell ref="X46:Y46"/>
    <mergeCell ref="X43:Y43"/>
    <mergeCell ref="R46:S46"/>
    <mergeCell ref="R43:S43"/>
    <mergeCell ref="R44:S44"/>
    <mergeCell ref="AB42:AC42"/>
    <mergeCell ref="A43:B44"/>
    <mergeCell ref="C43:D44"/>
    <mergeCell ref="F43:G43"/>
    <mergeCell ref="H43:I43"/>
    <mergeCell ref="J43:K43"/>
    <mergeCell ref="L43:M43"/>
    <mergeCell ref="N43:O43"/>
    <mergeCell ref="P43:Q43"/>
    <mergeCell ref="AB43:AC43"/>
    <mergeCell ref="Z42:AA42"/>
    <mergeCell ref="V42:W42"/>
    <mergeCell ref="T42:U42"/>
    <mergeCell ref="X42:Y42"/>
    <mergeCell ref="R42:S42"/>
    <mergeCell ref="Z44:AA44"/>
    <mergeCell ref="L46:M46"/>
    <mergeCell ref="AE43:AI43"/>
    <mergeCell ref="F44:G44"/>
    <mergeCell ref="H44:I44"/>
    <mergeCell ref="J44:K44"/>
    <mergeCell ref="L44:M44"/>
    <mergeCell ref="N44:O44"/>
    <mergeCell ref="P44:Q44"/>
    <mergeCell ref="X44:Y44"/>
    <mergeCell ref="AB44:AC44"/>
    <mergeCell ref="Z43:AA43"/>
    <mergeCell ref="V44:W44"/>
    <mergeCell ref="V43:W43"/>
    <mergeCell ref="T44:U44"/>
    <mergeCell ref="T43:U43"/>
    <mergeCell ref="B47:C47"/>
    <mergeCell ref="D47:E47"/>
    <mergeCell ref="F47:G47"/>
    <mergeCell ref="H47:I47"/>
    <mergeCell ref="J47:K47"/>
    <mergeCell ref="L47:M47"/>
    <mergeCell ref="N47:O47"/>
    <mergeCell ref="P47:Q47"/>
    <mergeCell ref="AB47:AC47"/>
    <mergeCell ref="Z47:AA47"/>
    <mergeCell ref="V47:W47"/>
    <mergeCell ref="T47:U47"/>
    <mergeCell ref="X47:Y47"/>
    <mergeCell ref="B48:C48"/>
    <mergeCell ref="D48:E48"/>
    <mergeCell ref="F48:G48"/>
    <mergeCell ref="H48:I48"/>
    <mergeCell ref="J48:K48"/>
    <mergeCell ref="L48:M48"/>
    <mergeCell ref="N48:O48"/>
    <mergeCell ref="P48:Q48"/>
    <mergeCell ref="AB48:AC48"/>
    <mergeCell ref="Z48:AA48"/>
    <mergeCell ref="V48:W48"/>
    <mergeCell ref="T48:U48"/>
    <mergeCell ref="X48:Y48"/>
    <mergeCell ref="B49:C49"/>
    <mergeCell ref="D49:E49"/>
    <mergeCell ref="F49:G49"/>
    <mergeCell ref="H49:I49"/>
    <mergeCell ref="J49:K49"/>
    <mergeCell ref="L49:M49"/>
    <mergeCell ref="N49:O49"/>
    <mergeCell ref="P49:Q49"/>
    <mergeCell ref="AB49:AC49"/>
    <mergeCell ref="Z49:AA49"/>
    <mergeCell ref="V49:W49"/>
    <mergeCell ref="T49:U49"/>
    <mergeCell ref="X49:Y49"/>
    <mergeCell ref="B50:C50"/>
    <mergeCell ref="D50:E50"/>
    <mergeCell ref="F50:G50"/>
    <mergeCell ref="H50:I50"/>
    <mergeCell ref="J50:K50"/>
    <mergeCell ref="L50:M50"/>
    <mergeCell ref="N50:O50"/>
    <mergeCell ref="P50:Q50"/>
    <mergeCell ref="AB50:AC50"/>
    <mergeCell ref="Z50:AA50"/>
    <mergeCell ref="V50:W50"/>
    <mergeCell ref="T50:U50"/>
    <mergeCell ref="X50:Y50"/>
    <mergeCell ref="B51:C51"/>
    <mergeCell ref="D51:E51"/>
    <mergeCell ref="F51:G51"/>
    <mergeCell ref="H51:I51"/>
    <mergeCell ref="J51:K51"/>
    <mergeCell ref="L51:M51"/>
    <mergeCell ref="N51:O51"/>
    <mergeCell ref="P51:Q51"/>
    <mergeCell ref="AB51:AC51"/>
    <mergeCell ref="Z51:AA51"/>
    <mergeCell ref="V51:W51"/>
    <mergeCell ref="X51:Y51"/>
    <mergeCell ref="B52:C52"/>
    <mergeCell ref="D52:E52"/>
    <mergeCell ref="F52:G52"/>
    <mergeCell ref="H52:I52"/>
    <mergeCell ref="J52:K52"/>
    <mergeCell ref="L52:M52"/>
    <mergeCell ref="N52:O52"/>
    <mergeCell ref="P52:Q52"/>
    <mergeCell ref="AB52:AC52"/>
    <mergeCell ref="Z52:AA52"/>
    <mergeCell ref="V52:W52"/>
    <mergeCell ref="X52:Y52"/>
    <mergeCell ref="B53:C53"/>
    <mergeCell ref="D53:E53"/>
    <mergeCell ref="F53:G53"/>
    <mergeCell ref="H53:I53"/>
    <mergeCell ref="J53:K53"/>
    <mergeCell ref="L53:M53"/>
    <mergeCell ref="N53:O53"/>
    <mergeCell ref="P53:Q53"/>
    <mergeCell ref="AB53:AC53"/>
    <mergeCell ref="Z53:AA53"/>
    <mergeCell ref="V53:W53"/>
    <mergeCell ref="T53:U53"/>
    <mergeCell ref="X53:Y53"/>
    <mergeCell ref="B54:C54"/>
    <mergeCell ref="D54:E54"/>
    <mergeCell ref="F54:G54"/>
    <mergeCell ref="H54:I54"/>
    <mergeCell ref="J54:K54"/>
    <mergeCell ref="L54:M54"/>
    <mergeCell ref="N54:O54"/>
    <mergeCell ref="P54:Q54"/>
    <mergeCell ref="AB54:AC54"/>
    <mergeCell ref="Z54:AA54"/>
    <mergeCell ref="V54:W54"/>
    <mergeCell ref="T54:U54"/>
    <mergeCell ref="X54:Y54"/>
    <mergeCell ref="F55:G55"/>
    <mergeCell ref="H55:I55"/>
    <mergeCell ref="J55:K55"/>
    <mergeCell ref="L55:M55"/>
    <mergeCell ref="N55:O55"/>
    <mergeCell ref="P55:Q55"/>
    <mergeCell ref="AB55:AC55"/>
    <mergeCell ref="Z55:AA55"/>
    <mergeCell ref="V55:W55"/>
    <mergeCell ref="T55:U55"/>
    <mergeCell ref="X55:Y55"/>
    <mergeCell ref="AB57:AC57"/>
    <mergeCell ref="Z57:AA57"/>
    <mergeCell ref="V57:W57"/>
    <mergeCell ref="T57:U57"/>
    <mergeCell ref="B56:C56"/>
    <mergeCell ref="D56:E56"/>
    <mergeCell ref="F56:G56"/>
    <mergeCell ref="H56:I56"/>
    <mergeCell ref="J56:K56"/>
    <mergeCell ref="L56:M56"/>
    <mergeCell ref="N56:O56"/>
    <mergeCell ref="P56:Q56"/>
    <mergeCell ref="AB56:AC56"/>
    <mergeCell ref="Z56:AA56"/>
    <mergeCell ref="V56:W56"/>
    <mergeCell ref="T56:U56"/>
    <mergeCell ref="X57:Y57"/>
    <mergeCell ref="X56:Y56"/>
    <mergeCell ref="J57:K57"/>
    <mergeCell ref="L57:M57"/>
    <mergeCell ref="N57:O57"/>
    <mergeCell ref="P57:Q57"/>
    <mergeCell ref="B55:C55"/>
    <mergeCell ref="D55:E55"/>
    <mergeCell ref="AB59:AC59"/>
    <mergeCell ref="X58:Y58"/>
    <mergeCell ref="AB58:AC58"/>
    <mergeCell ref="B59:C59"/>
    <mergeCell ref="D59:E59"/>
    <mergeCell ref="F59:G59"/>
    <mergeCell ref="H59:I59"/>
    <mergeCell ref="J59:K59"/>
    <mergeCell ref="L59:M59"/>
    <mergeCell ref="N59:O59"/>
    <mergeCell ref="P59:Q59"/>
    <mergeCell ref="Z58:AA58"/>
    <mergeCell ref="Z59:AA59"/>
    <mergeCell ref="V59:W59"/>
    <mergeCell ref="V58:W58"/>
    <mergeCell ref="T58:U58"/>
    <mergeCell ref="X59:Y59"/>
    <mergeCell ref="B58:C58"/>
    <mergeCell ref="D58:E58"/>
    <mergeCell ref="F58:G58"/>
    <mergeCell ref="H58:I58"/>
    <mergeCell ref="J58:K58"/>
    <mergeCell ref="Z8:AA8"/>
    <mergeCell ref="Z9:Z10"/>
    <mergeCell ref="AE15:AF15"/>
    <mergeCell ref="AE16:AF16"/>
    <mergeCell ref="AG16:AH16"/>
    <mergeCell ref="AI16:AJ16"/>
    <mergeCell ref="AE17:AF17"/>
    <mergeCell ref="AE18:AF18"/>
    <mergeCell ref="AE19:AF19"/>
    <mergeCell ref="AG19:AH19"/>
    <mergeCell ref="AI19:AJ19"/>
    <mergeCell ref="AI33:AJ33"/>
    <mergeCell ref="AG34:AH34"/>
    <mergeCell ref="AI34:AJ34"/>
    <mergeCell ref="AE26:AF26"/>
    <mergeCell ref="AG26:AH26"/>
    <mergeCell ref="Z46:AA46"/>
    <mergeCell ref="N46:O46"/>
    <mergeCell ref="P46:Q46"/>
    <mergeCell ref="AB46:AC46"/>
    <mergeCell ref="V46:W46"/>
    <mergeCell ref="T46:U46"/>
    <mergeCell ref="B45:AL45"/>
    <mergeCell ref="B46:C46"/>
    <mergeCell ref="D46:E46"/>
    <mergeCell ref="F46:G46"/>
    <mergeCell ref="H46:I46"/>
    <mergeCell ref="J46:K46"/>
    <mergeCell ref="AE31:AF31"/>
    <mergeCell ref="AG31:AH31"/>
    <mergeCell ref="AI31:AJ31"/>
    <mergeCell ref="AI27:AJ27"/>
    <mergeCell ref="AG28:AH28"/>
    <mergeCell ref="AI28:AJ28"/>
    <mergeCell ref="AE30:AF30"/>
    <mergeCell ref="B60:AC79"/>
    <mergeCell ref="R59:S59"/>
    <mergeCell ref="R53:S53"/>
    <mergeCell ref="R54:S54"/>
    <mergeCell ref="R55:S55"/>
    <mergeCell ref="R56:S56"/>
    <mergeCell ref="R57:S57"/>
    <mergeCell ref="R58:S58"/>
    <mergeCell ref="R47:S47"/>
    <mergeCell ref="R48:S48"/>
    <mergeCell ref="R49:S49"/>
    <mergeCell ref="R50:S50"/>
    <mergeCell ref="R51:S51"/>
    <mergeCell ref="R52:S52"/>
    <mergeCell ref="T59:U59"/>
    <mergeCell ref="T51:U51"/>
    <mergeCell ref="T52:U52"/>
    <mergeCell ref="L58:M58"/>
    <mergeCell ref="N58:O58"/>
    <mergeCell ref="P58:Q58"/>
    <mergeCell ref="B57:C57"/>
    <mergeCell ref="D57:E57"/>
    <mergeCell ref="F57:G57"/>
    <mergeCell ref="H57:I57"/>
    <mergeCell ref="AG5:AH5"/>
    <mergeCell ref="AI5:AJ5"/>
    <mergeCell ref="AE6:AF7"/>
    <mergeCell ref="AE8:AF8"/>
    <mergeCell ref="AG8:AH8"/>
    <mergeCell ref="AI8:AJ8"/>
    <mergeCell ref="AE9:AF9"/>
    <mergeCell ref="AG9:AH9"/>
    <mergeCell ref="L1:M2"/>
    <mergeCell ref="N1:O2"/>
    <mergeCell ref="P1:Q2"/>
    <mergeCell ref="R1:S2"/>
    <mergeCell ref="T1:U2"/>
    <mergeCell ref="AG2:AH2"/>
    <mergeCell ref="AE3:AF3"/>
    <mergeCell ref="AG3:AH3"/>
    <mergeCell ref="AE4:AF4"/>
    <mergeCell ref="AG4:AH4"/>
    <mergeCell ref="AI4:AJ4"/>
    <mergeCell ref="R3:S3"/>
    <mergeCell ref="R4:S4"/>
    <mergeCell ref="V3:W3"/>
    <mergeCell ref="V4:W4"/>
    <mergeCell ref="AI2:AJ2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27" orientation="landscape" r:id="rId1"/>
  <rowBreaks count="1" manualBreakCount="1">
    <brk id="40" max="2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52A96F-51B3-4BE3-8498-982EE061D760}">
          <x14:formula1>
            <xm:f>' CADASTRO'!$I$2:$I$992</xm:f>
          </x14:formula1>
          <xm:sqref>F4:AC4 F43:AC43</xm:sqref>
        </x14:dataValidation>
        <x14:dataValidation type="list" allowBlank="1" showInputMessage="1" showErrorMessage="1" xr:uid="{DFBB9C03-08B8-43F3-91DB-D007C12C35E5}">
          <x14:formula1>
            <xm:f>' CADASTRO'!$J$2:$J$992</xm:f>
          </x14:formula1>
          <xm:sqref>F5:AC5 F44:AC44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3154-7A16-461E-A1C3-B2F0B377E013}">
  <dimension ref="A1:AG77"/>
  <sheetViews>
    <sheetView view="pageBreakPreview" zoomScale="40" zoomScaleNormal="100" zoomScaleSheetLayoutView="40" workbookViewId="0">
      <selection activeCell="AJ12" sqref="AJ12"/>
    </sheetView>
  </sheetViews>
  <sheetFormatPr defaultRowHeight="26.25" x14ac:dyDescent="0.4"/>
  <cols>
    <col min="2" max="2" width="7" style="1" customWidth="1"/>
    <col min="3" max="3" width="18.140625" style="2" customWidth="1"/>
    <col min="4" max="4" width="12.85546875" style="2" customWidth="1"/>
    <col min="5" max="5" width="105.28515625" style="2" customWidth="1"/>
    <col min="6" max="11" width="11.7109375" style="2" customWidth="1"/>
    <col min="12" max="12" width="2.42578125" customWidth="1"/>
    <col min="13" max="13" width="17.28515625" customWidth="1"/>
    <col min="14" max="14" width="19.140625" customWidth="1"/>
    <col min="15" max="15" width="8.42578125" customWidth="1"/>
    <col min="16" max="17" width="17.28515625" customWidth="1"/>
    <col min="18" max="18" width="20.7109375" customWidth="1"/>
    <col min="19" max="19" width="22.7109375" customWidth="1"/>
    <col min="20" max="20" width="26" customWidth="1"/>
    <col min="21" max="21" width="24.7109375" customWidth="1"/>
    <col min="22" max="22" width="8.85546875" style="24"/>
    <col min="28" max="28" width="20.42578125" customWidth="1"/>
    <col min="30" max="30" width="18.7109375" style="58" bestFit="1" customWidth="1"/>
    <col min="31" max="31" width="20" bestFit="1" customWidth="1"/>
    <col min="32" max="32" width="13.28515625" hidden="1" customWidth="1"/>
    <col min="33" max="33" width="14" hidden="1" customWidth="1"/>
    <col min="34" max="34" width="10.42578125" bestFit="1" customWidth="1"/>
  </cols>
  <sheetData>
    <row r="1" spans="1:30" ht="42.6" customHeight="1" x14ac:dyDescent="0.4">
      <c r="B1" s="282" t="s">
        <v>161</v>
      </c>
      <c r="C1" s="282"/>
      <c r="D1" s="57">
        <f>MAX(' CADASTRO'!C:C)</f>
        <v>169</v>
      </c>
      <c r="E1" s="6" t="s">
        <v>121</v>
      </c>
      <c r="F1" s="283"/>
      <c r="G1" s="284"/>
      <c r="H1" s="283" t="s">
        <v>105</v>
      </c>
      <c r="I1" s="284"/>
      <c r="J1" s="283"/>
      <c r="K1" s="284"/>
      <c r="M1" s="449" t="s">
        <v>206</v>
      </c>
      <c r="N1" s="449"/>
      <c r="O1" s="72"/>
      <c r="P1" s="72"/>
      <c r="Q1" s="72"/>
      <c r="R1" s="72" t="s">
        <v>1006</v>
      </c>
      <c r="S1" s="72" t="s">
        <v>1007</v>
      </c>
      <c r="T1" s="72" t="s">
        <v>1008</v>
      </c>
      <c r="U1" s="72" t="s">
        <v>1158</v>
      </c>
    </row>
    <row r="2" spans="1:30" ht="55.15" customHeight="1" x14ac:dyDescent="0.6">
      <c r="A2" s="278" t="s">
        <v>1</v>
      </c>
      <c r="B2" s="278"/>
      <c r="C2" s="279">
        <f ca="1">TODAY()</f>
        <v>46007</v>
      </c>
      <c r="D2" s="280"/>
      <c r="E2" s="6" t="s">
        <v>6</v>
      </c>
      <c r="F2" s="281"/>
      <c r="G2" s="281"/>
      <c r="H2" s="447" t="s">
        <v>1214</v>
      </c>
      <c r="I2" s="448"/>
      <c r="J2" s="383"/>
      <c r="K2" s="384"/>
      <c r="M2" s="450">
        <v>1063497359</v>
      </c>
      <c r="N2" s="451"/>
      <c r="O2" s="72"/>
      <c r="P2" s="72"/>
      <c r="Q2" s="72" t="s">
        <v>1004</v>
      </c>
      <c r="R2" s="125"/>
      <c r="S2" s="125"/>
      <c r="T2" s="192"/>
      <c r="U2" s="193">
        <v>1631</v>
      </c>
      <c r="V2" s="276">
        <v>378</v>
      </c>
      <c r="W2" s="276"/>
      <c r="X2" s="276"/>
      <c r="Y2" s="276"/>
      <c r="AB2" s="107"/>
      <c r="AD2"/>
    </row>
    <row r="3" spans="1:30" ht="37.15" customHeight="1" x14ac:dyDescent="0.35">
      <c r="A3" s="278"/>
      <c r="B3" s="278"/>
      <c r="C3" s="279"/>
      <c r="D3" s="280"/>
      <c r="E3" s="6" t="s">
        <v>51</v>
      </c>
      <c r="F3" s="446" t="s">
        <v>85</v>
      </c>
      <c r="G3" s="446"/>
      <c r="H3" s="446" t="s">
        <v>85</v>
      </c>
      <c r="I3" s="446"/>
      <c r="J3" s="446"/>
      <c r="K3" s="446"/>
      <c r="M3" s="449" t="s">
        <v>207</v>
      </c>
      <c r="N3" s="449"/>
      <c r="O3" s="72"/>
      <c r="P3" s="72"/>
      <c r="Q3" s="72" t="s">
        <v>1005</v>
      </c>
      <c r="R3" s="125"/>
      <c r="S3" s="125"/>
      <c r="T3" s="125"/>
      <c r="U3" s="125"/>
      <c r="AB3" s="107"/>
      <c r="AD3"/>
    </row>
    <row r="4" spans="1:30" ht="21" x14ac:dyDescent="0.25">
      <c r="A4" s="341" t="s">
        <v>82</v>
      </c>
      <c r="B4" s="341"/>
      <c r="C4" s="342"/>
      <c r="D4" s="343"/>
      <c r="E4" s="344" t="s">
        <v>62</v>
      </c>
      <c r="F4" s="336"/>
      <c r="G4" s="337"/>
      <c r="H4" s="336" t="e">
        <f>VLOOKUP(H2,' CADASTRO'!$I$2:$Q$993,9,0)</f>
        <v>#N/A</v>
      </c>
      <c r="I4" s="337"/>
      <c r="J4" s="336"/>
      <c r="K4" s="337"/>
      <c r="M4" s="440">
        <v>45932</v>
      </c>
      <c r="N4" s="441"/>
      <c r="O4" s="13"/>
      <c r="P4" s="13"/>
      <c r="Q4" s="13"/>
      <c r="R4" s="13"/>
      <c r="S4" s="13"/>
      <c r="T4" s="13"/>
      <c r="V4" s="439"/>
      <c r="W4" s="439"/>
      <c r="X4" s="317"/>
      <c r="Y4" s="317"/>
      <c r="Z4" s="317"/>
      <c r="AD4"/>
    </row>
    <row r="5" spans="1:30" ht="15.75" x14ac:dyDescent="0.25">
      <c r="C5" s="346" t="s">
        <v>187</v>
      </c>
      <c r="D5" s="346"/>
      <c r="E5" s="345"/>
      <c r="F5" s="338"/>
      <c r="G5" s="339"/>
      <c r="H5" s="338"/>
      <c r="I5" s="339"/>
      <c r="J5" s="338"/>
      <c r="K5" s="339"/>
      <c r="M5" s="442"/>
      <c r="N5" s="443"/>
      <c r="O5" s="13"/>
      <c r="P5" s="13"/>
      <c r="Q5" s="13"/>
      <c r="R5" s="13"/>
      <c r="S5" s="13"/>
      <c r="T5" s="13"/>
      <c r="AD5"/>
    </row>
    <row r="6" spans="1:30" ht="27" x14ac:dyDescent="0.25">
      <c r="C6" s="346"/>
      <c r="D6" s="346"/>
      <c r="E6" s="43" t="s">
        <v>65</v>
      </c>
      <c r="F6" s="331" t="s">
        <v>59</v>
      </c>
      <c r="G6" s="332"/>
      <c r="H6" s="331" t="s">
        <v>66</v>
      </c>
      <c r="I6" s="332"/>
      <c r="J6" s="331"/>
      <c r="K6" s="332"/>
      <c r="M6" s="444"/>
      <c r="N6" s="445"/>
      <c r="O6" s="13"/>
      <c r="P6" s="13"/>
      <c r="Q6" s="13"/>
      <c r="R6" s="13"/>
      <c r="S6" s="13"/>
      <c r="T6" s="13"/>
      <c r="AD6"/>
    </row>
    <row r="7" spans="1:30" ht="14.45" customHeight="1" x14ac:dyDescent="0.35">
      <c r="B7" s="327" t="s">
        <v>3</v>
      </c>
      <c r="C7" s="328" t="s">
        <v>4</v>
      </c>
      <c r="D7" s="328"/>
      <c r="E7" s="325"/>
      <c r="F7" s="325" t="s">
        <v>0</v>
      </c>
      <c r="G7" s="326" t="s">
        <v>2</v>
      </c>
      <c r="H7" s="325" t="s">
        <v>0</v>
      </c>
      <c r="I7" s="326" t="s">
        <v>2</v>
      </c>
      <c r="J7" s="325" t="s">
        <v>0</v>
      </c>
      <c r="K7" s="326" t="s">
        <v>2</v>
      </c>
      <c r="Q7" s="73"/>
      <c r="R7" s="73"/>
      <c r="S7" s="73"/>
      <c r="T7" s="73"/>
      <c r="U7" s="73"/>
      <c r="V7" s="401" t="s">
        <v>73</v>
      </c>
      <c r="W7" s="434" t="s">
        <v>208</v>
      </c>
      <c r="X7" s="436">
        <f>U2</f>
        <v>1631</v>
      </c>
      <c r="Y7" s="436"/>
      <c r="Z7" s="436"/>
      <c r="AD7"/>
    </row>
    <row r="8" spans="1:30" ht="24" thickBot="1" x14ac:dyDescent="0.4">
      <c r="A8" s="317"/>
      <c r="B8" s="327"/>
      <c r="C8" s="325"/>
      <c r="D8" s="325"/>
      <c r="E8" s="325"/>
      <c r="F8" s="329"/>
      <c r="G8" s="330"/>
      <c r="H8" s="325"/>
      <c r="I8" s="326"/>
      <c r="J8" s="329"/>
      <c r="K8" s="330"/>
      <c r="Q8" s="73"/>
      <c r="R8" s="73"/>
      <c r="S8" s="73"/>
      <c r="T8" s="73"/>
      <c r="U8" s="73"/>
      <c r="V8" s="401"/>
      <c r="W8" s="435"/>
      <c r="X8" s="437"/>
      <c r="Y8" s="437"/>
      <c r="Z8" s="437"/>
      <c r="AD8"/>
    </row>
    <row r="9" spans="1:30" ht="49.9" customHeight="1" x14ac:dyDescent="0.5">
      <c r="A9" s="317"/>
      <c r="B9" s="5">
        <v>1</v>
      </c>
      <c r="C9" s="305" t="s">
        <v>209</v>
      </c>
      <c r="D9" s="306"/>
      <c r="E9" s="306"/>
      <c r="F9" s="27"/>
      <c r="G9" s="28"/>
      <c r="H9" s="25"/>
      <c r="I9" s="35"/>
      <c r="J9" s="27"/>
      <c r="K9" s="28"/>
      <c r="M9" s="70" t="s">
        <v>188</v>
      </c>
      <c r="N9" s="70" t="s">
        <v>186</v>
      </c>
      <c r="O9" s="13"/>
      <c r="P9" s="116" t="s">
        <v>212</v>
      </c>
      <c r="Q9" s="431" t="s">
        <v>210</v>
      </c>
      <c r="R9" s="431"/>
      <c r="S9" s="431"/>
      <c r="T9" s="431"/>
      <c r="U9" s="431"/>
      <c r="V9" s="401" t="s">
        <v>74</v>
      </c>
      <c r="W9" s="324"/>
      <c r="X9" s="324"/>
      <c r="Y9" s="324"/>
      <c r="Z9" s="324"/>
      <c r="AD9"/>
    </row>
    <row r="10" spans="1:30" ht="49.9" customHeight="1" x14ac:dyDescent="0.4">
      <c r="A10" s="317"/>
      <c r="B10" s="5">
        <v>2</v>
      </c>
      <c r="C10" s="296" t="s">
        <v>1146</v>
      </c>
      <c r="D10" s="297"/>
      <c r="E10" s="297"/>
      <c r="F10" s="29"/>
      <c r="G10" s="30"/>
      <c r="H10" s="26"/>
      <c r="I10" s="36"/>
      <c r="J10" s="29"/>
      <c r="K10" s="30"/>
      <c r="M10" s="69" t="s">
        <v>185</v>
      </c>
      <c r="N10" s="69"/>
      <c r="O10" s="13"/>
      <c r="P10" s="16"/>
      <c r="Q10" s="433" t="s">
        <v>211</v>
      </c>
      <c r="R10" s="433"/>
      <c r="S10" s="433"/>
      <c r="T10" s="433"/>
      <c r="U10" s="433"/>
      <c r="V10" s="401"/>
      <c r="W10" s="324"/>
      <c r="X10" s="324"/>
      <c r="Y10" s="324"/>
      <c r="Z10" s="324"/>
      <c r="AD10"/>
    </row>
    <row r="11" spans="1:30" ht="49.9" customHeight="1" x14ac:dyDescent="0.4">
      <c r="A11" s="317"/>
      <c r="B11" s="5">
        <v>3</v>
      </c>
      <c r="C11" s="308" t="s">
        <v>101</v>
      </c>
      <c r="D11" s="309"/>
      <c r="E11" s="309"/>
      <c r="F11" s="31"/>
      <c r="G11" s="32"/>
      <c r="H11" s="25"/>
      <c r="I11" s="35"/>
      <c r="J11" s="31"/>
      <c r="K11" s="32"/>
      <c r="M11" s="69" t="s">
        <v>189</v>
      </c>
      <c r="N11" s="69"/>
      <c r="O11" s="73"/>
      <c r="P11" s="69"/>
      <c r="Q11" s="433" t="s">
        <v>213</v>
      </c>
      <c r="R11" s="433"/>
      <c r="S11" s="433"/>
      <c r="T11" s="433"/>
      <c r="U11" s="433"/>
      <c r="V11" s="401" t="s">
        <v>74</v>
      </c>
      <c r="W11" s="324"/>
      <c r="X11" s="324"/>
      <c r="Y11" s="324"/>
      <c r="Z11" s="324"/>
      <c r="AD11"/>
    </row>
    <row r="12" spans="1:30" ht="49.9" customHeight="1" x14ac:dyDescent="0.4">
      <c r="A12" s="317"/>
      <c r="B12" s="5">
        <v>4</v>
      </c>
      <c r="C12" s="312" t="s">
        <v>1203</v>
      </c>
      <c r="D12" s="313"/>
      <c r="E12" s="313"/>
      <c r="F12" s="29"/>
      <c r="G12" s="30"/>
      <c r="H12" s="26"/>
      <c r="I12" s="36"/>
      <c r="J12" s="29"/>
      <c r="K12" s="30"/>
      <c r="M12" s="69" t="s">
        <v>190</v>
      </c>
      <c r="N12" s="69"/>
      <c r="O12" s="73"/>
      <c r="P12" s="69"/>
      <c r="Q12" s="433" t="s">
        <v>214</v>
      </c>
      <c r="R12" s="433"/>
      <c r="S12" s="433"/>
      <c r="T12" s="433"/>
      <c r="U12" s="433"/>
      <c r="V12" s="401"/>
      <c r="W12" s="324"/>
      <c r="X12" s="324"/>
      <c r="Y12" s="324"/>
      <c r="Z12" s="324"/>
      <c r="AD12"/>
    </row>
    <row r="13" spans="1:30" ht="49.9" customHeight="1" x14ac:dyDescent="0.4">
      <c r="A13" s="317"/>
      <c r="B13" s="5">
        <v>5</v>
      </c>
      <c r="C13" s="305" t="s">
        <v>133</v>
      </c>
      <c r="D13" s="306"/>
      <c r="E13" s="306"/>
      <c r="F13" s="31"/>
      <c r="G13" s="32"/>
      <c r="H13" s="25"/>
      <c r="I13" s="35"/>
      <c r="J13" s="31"/>
      <c r="K13" s="32"/>
      <c r="M13" s="69" t="s">
        <v>191</v>
      </c>
      <c r="N13" s="69"/>
      <c r="O13" s="73"/>
      <c r="P13" s="69"/>
      <c r="Q13" s="433" t="s">
        <v>215</v>
      </c>
      <c r="R13" s="433"/>
      <c r="S13" s="433"/>
      <c r="T13" s="433"/>
      <c r="U13" s="433"/>
      <c r="AD13"/>
    </row>
    <row r="14" spans="1:30" ht="49.9" customHeight="1" x14ac:dyDescent="0.4">
      <c r="A14" s="317"/>
      <c r="B14" s="5">
        <v>6</v>
      </c>
      <c r="C14" s="296" t="s">
        <v>1204</v>
      </c>
      <c r="D14" s="297"/>
      <c r="E14" s="297"/>
      <c r="F14" s="29"/>
      <c r="G14" s="30"/>
      <c r="H14" s="26"/>
      <c r="I14" s="36"/>
      <c r="J14" s="29"/>
      <c r="K14" s="30"/>
      <c r="M14" s="69" t="s">
        <v>192</v>
      </c>
      <c r="N14" s="69"/>
      <c r="O14" s="73"/>
      <c r="P14" s="69"/>
      <c r="Q14" s="433" t="s">
        <v>216</v>
      </c>
      <c r="R14" s="433"/>
      <c r="S14" s="433"/>
      <c r="T14" s="433"/>
      <c r="U14" s="433"/>
      <c r="V14" s="23" t="s">
        <v>75</v>
      </c>
      <c r="W14" s="71" t="s">
        <v>80</v>
      </c>
      <c r="X14" s="438">
        <f>X7+1</f>
        <v>1632</v>
      </c>
      <c r="Y14" s="438"/>
      <c r="Z14" s="438"/>
      <c r="AD14"/>
    </row>
    <row r="15" spans="1:30" ht="49.9" customHeight="1" x14ac:dyDescent="0.35">
      <c r="A15" s="317"/>
      <c r="B15" s="5">
        <v>7</v>
      </c>
      <c r="C15" s="305" t="s">
        <v>27</v>
      </c>
      <c r="D15" s="306"/>
      <c r="E15" s="306"/>
      <c r="F15" s="31"/>
      <c r="G15" s="32"/>
      <c r="H15" s="25"/>
      <c r="I15" s="35"/>
      <c r="J15" s="31"/>
      <c r="K15" s="32"/>
      <c r="M15" s="69" t="s">
        <v>193</v>
      </c>
      <c r="N15" s="69"/>
      <c r="O15" s="73"/>
      <c r="P15" s="69"/>
      <c r="Q15" s="430"/>
      <c r="R15" s="430"/>
      <c r="S15" s="430"/>
      <c r="T15" s="430"/>
      <c r="U15" s="430"/>
      <c r="V15" s="401" t="s">
        <v>74</v>
      </c>
      <c r="W15" s="324"/>
      <c r="X15" s="324"/>
      <c r="Y15" s="324"/>
      <c r="Z15" s="324"/>
      <c r="AD15"/>
    </row>
    <row r="16" spans="1:30" ht="49.9" customHeight="1" x14ac:dyDescent="0.35">
      <c r="A16" s="317"/>
      <c r="B16" s="5">
        <v>8</v>
      </c>
      <c r="C16" s="296" t="s">
        <v>26</v>
      </c>
      <c r="D16" s="297"/>
      <c r="E16" s="297"/>
      <c r="F16" s="29"/>
      <c r="G16" s="30"/>
      <c r="H16" s="26"/>
      <c r="I16" s="36"/>
      <c r="J16" s="29"/>
      <c r="K16" s="30"/>
      <c r="M16" s="69" t="s">
        <v>194</v>
      </c>
      <c r="N16" s="69"/>
      <c r="O16" s="73"/>
      <c r="P16" s="69"/>
      <c r="Q16" s="430"/>
      <c r="R16" s="430"/>
      <c r="S16" s="430"/>
      <c r="T16" s="430"/>
      <c r="U16" s="430"/>
      <c r="V16" s="401"/>
      <c r="W16" s="324"/>
      <c r="X16" s="324"/>
      <c r="Y16" s="324"/>
      <c r="Z16" s="324"/>
      <c r="AD16"/>
    </row>
    <row r="17" spans="1:30" ht="49.9" customHeight="1" x14ac:dyDescent="0.35">
      <c r="A17" s="317"/>
      <c r="B17" s="5">
        <v>9</v>
      </c>
      <c r="C17" s="305" t="s">
        <v>184</v>
      </c>
      <c r="D17" s="306"/>
      <c r="E17" s="306"/>
      <c r="F17" s="31"/>
      <c r="G17" s="32"/>
      <c r="H17" s="25"/>
      <c r="I17" s="35"/>
      <c r="J17" s="31"/>
      <c r="K17" s="32"/>
      <c r="M17" s="69" t="s">
        <v>195</v>
      </c>
      <c r="N17" s="69"/>
      <c r="O17" s="73"/>
      <c r="P17" s="69"/>
      <c r="Q17" s="430"/>
      <c r="R17" s="430"/>
      <c r="S17" s="430"/>
      <c r="T17" s="430"/>
      <c r="U17" s="430"/>
      <c r="V17" s="401" t="s">
        <v>74</v>
      </c>
      <c r="W17" s="324"/>
      <c r="X17" s="324"/>
      <c r="Y17" s="324"/>
      <c r="Z17" s="324"/>
      <c r="AD17"/>
    </row>
    <row r="18" spans="1:30" ht="49.9" customHeight="1" x14ac:dyDescent="0.35">
      <c r="A18" s="317"/>
      <c r="B18" s="5">
        <v>10</v>
      </c>
      <c r="C18" s="296" t="s">
        <v>45</v>
      </c>
      <c r="D18" s="297"/>
      <c r="E18" s="297"/>
      <c r="F18" s="29"/>
      <c r="G18" s="30"/>
      <c r="H18" s="26"/>
      <c r="I18" s="36"/>
      <c r="J18" s="29"/>
      <c r="K18" s="30"/>
      <c r="M18" s="69" t="s">
        <v>196</v>
      </c>
      <c r="N18" s="69"/>
      <c r="O18" s="73"/>
      <c r="P18" s="69"/>
      <c r="Q18" s="430"/>
      <c r="R18" s="430"/>
      <c r="S18" s="430"/>
      <c r="T18" s="430"/>
      <c r="U18" s="430"/>
      <c r="V18" s="401"/>
      <c r="W18" s="324"/>
      <c r="X18" s="324"/>
      <c r="Y18" s="324"/>
      <c r="Z18" s="324"/>
      <c r="AD18"/>
    </row>
    <row r="19" spans="1:30" ht="49.9" customHeight="1" x14ac:dyDescent="0.35">
      <c r="A19" s="317"/>
      <c r="B19" s="5">
        <v>11</v>
      </c>
      <c r="C19" s="305" t="s">
        <v>134</v>
      </c>
      <c r="D19" s="306"/>
      <c r="E19" s="306"/>
      <c r="F19" s="31"/>
      <c r="G19" s="32"/>
      <c r="H19" s="25"/>
      <c r="I19" s="35"/>
      <c r="J19" s="31"/>
      <c r="K19" s="32"/>
      <c r="M19" s="69" t="s">
        <v>197</v>
      </c>
      <c r="N19" s="69"/>
      <c r="O19" s="73"/>
      <c r="P19" s="69"/>
      <c r="Q19" s="430"/>
      <c r="R19" s="430"/>
      <c r="S19" s="430"/>
      <c r="T19" s="430"/>
      <c r="U19" s="430"/>
      <c r="AD19"/>
    </row>
    <row r="20" spans="1:30" ht="49.9" customHeight="1" x14ac:dyDescent="0.35">
      <c r="A20" s="317"/>
      <c r="B20" s="5">
        <v>12</v>
      </c>
      <c r="C20" s="296" t="s">
        <v>78</v>
      </c>
      <c r="D20" s="297"/>
      <c r="E20" s="297"/>
      <c r="F20" s="29"/>
      <c r="G20" s="30"/>
      <c r="H20" s="26"/>
      <c r="I20" s="36"/>
      <c r="J20" s="29"/>
      <c r="K20" s="30"/>
      <c r="M20" s="69" t="s">
        <v>198</v>
      </c>
      <c r="N20" s="69"/>
      <c r="O20" s="73"/>
      <c r="P20" s="69"/>
      <c r="Q20" s="430"/>
      <c r="R20" s="430"/>
      <c r="S20" s="430"/>
      <c r="T20" s="430"/>
      <c r="U20" s="430"/>
      <c r="V20" s="23" t="s">
        <v>76</v>
      </c>
      <c r="W20" s="71" t="s">
        <v>80</v>
      </c>
      <c r="X20" s="432"/>
      <c r="Y20" s="432"/>
      <c r="Z20" s="432"/>
      <c r="AD20"/>
    </row>
    <row r="21" spans="1:30" ht="49.9" customHeight="1" x14ac:dyDescent="0.35">
      <c r="A21" s="317"/>
      <c r="B21" s="5">
        <v>13</v>
      </c>
      <c r="C21" s="308" t="s">
        <v>29</v>
      </c>
      <c r="D21" s="309"/>
      <c r="E21" s="309"/>
      <c r="F21" s="31"/>
      <c r="G21" s="32"/>
      <c r="H21" s="25"/>
      <c r="I21" s="35"/>
      <c r="J21" s="31"/>
      <c r="K21" s="32"/>
      <c r="M21" s="69" t="s">
        <v>199</v>
      </c>
      <c r="N21" s="69"/>
      <c r="O21" s="73"/>
      <c r="P21" s="69"/>
      <c r="Q21" s="430"/>
      <c r="R21" s="430"/>
      <c r="S21" s="430"/>
      <c r="T21" s="430"/>
      <c r="U21" s="430"/>
      <c r="V21" s="401" t="s">
        <v>74</v>
      </c>
      <c r="W21" s="324"/>
      <c r="X21" s="324"/>
      <c r="Y21" s="324"/>
      <c r="Z21" s="324"/>
      <c r="AD21"/>
    </row>
    <row r="22" spans="1:30" ht="49.9" customHeight="1" x14ac:dyDescent="0.35">
      <c r="A22" s="317"/>
      <c r="B22" s="5">
        <v>14</v>
      </c>
      <c r="C22" s="296" t="s">
        <v>28</v>
      </c>
      <c r="D22" s="297"/>
      <c r="E22" s="297"/>
      <c r="F22" s="29"/>
      <c r="G22" s="30"/>
      <c r="H22" s="26"/>
      <c r="I22" s="36"/>
      <c r="J22" s="29"/>
      <c r="K22" s="30"/>
      <c r="M22" s="69" t="s">
        <v>200</v>
      </c>
      <c r="N22" s="69"/>
      <c r="O22" s="73"/>
      <c r="P22" s="69"/>
      <c r="Q22" s="430"/>
      <c r="R22" s="430"/>
      <c r="S22" s="430"/>
      <c r="T22" s="430"/>
      <c r="U22" s="430"/>
      <c r="V22" s="401"/>
      <c r="W22" s="324"/>
      <c r="X22" s="324"/>
      <c r="Y22" s="324"/>
      <c r="Z22" s="324"/>
      <c r="AD22"/>
    </row>
    <row r="23" spans="1:30" ht="49.9" customHeight="1" x14ac:dyDescent="0.4">
      <c r="A23" s="317"/>
      <c r="B23" s="5">
        <v>15</v>
      </c>
      <c r="C23" s="308" t="s">
        <v>1205</v>
      </c>
      <c r="D23" s="309"/>
      <c r="E23" s="309"/>
      <c r="F23" s="31"/>
      <c r="G23" s="32"/>
      <c r="H23" s="25"/>
      <c r="I23" s="35"/>
      <c r="J23" s="31"/>
      <c r="K23" s="32"/>
      <c r="M23" s="69" t="s">
        <v>201</v>
      </c>
      <c r="N23" s="69"/>
      <c r="O23" s="73"/>
      <c r="P23" s="69"/>
      <c r="Q23" s="430"/>
      <c r="R23" s="430"/>
      <c r="S23" s="430"/>
      <c r="T23" s="430"/>
      <c r="U23" s="430"/>
      <c r="V23" s="401" t="s">
        <v>74</v>
      </c>
      <c r="W23" s="324"/>
      <c r="X23" s="324"/>
      <c r="Y23" s="324"/>
      <c r="Z23" s="324"/>
    </row>
    <row r="24" spans="1:30" ht="49.9" customHeight="1" x14ac:dyDescent="0.4">
      <c r="A24" s="317"/>
      <c r="B24" s="5">
        <v>16</v>
      </c>
      <c r="C24" s="312" t="s">
        <v>1206</v>
      </c>
      <c r="D24" s="313"/>
      <c r="E24" s="313"/>
      <c r="F24" s="29"/>
      <c r="G24" s="30"/>
      <c r="H24" s="26"/>
      <c r="I24" s="36"/>
      <c r="J24" s="29"/>
      <c r="K24" s="30"/>
      <c r="M24" s="69" t="s">
        <v>202</v>
      </c>
      <c r="N24" s="69"/>
      <c r="O24" s="73"/>
      <c r="P24" s="69"/>
      <c r="Q24" s="430"/>
      <c r="R24" s="430"/>
      <c r="S24" s="430"/>
      <c r="T24" s="430"/>
      <c r="U24" s="430"/>
      <c r="V24" s="401"/>
      <c r="W24" s="324"/>
      <c r="X24" s="324"/>
      <c r="Y24" s="324"/>
      <c r="Z24" s="324"/>
    </row>
    <row r="25" spans="1:30" ht="49.9" customHeight="1" x14ac:dyDescent="0.4">
      <c r="A25" s="317"/>
      <c r="B25" s="5">
        <v>17</v>
      </c>
      <c r="C25" s="305" t="s">
        <v>46</v>
      </c>
      <c r="D25" s="306"/>
      <c r="E25" s="306"/>
      <c r="F25" s="31"/>
      <c r="G25" s="32"/>
      <c r="H25" s="25"/>
      <c r="I25" s="35"/>
      <c r="J25" s="31"/>
      <c r="K25" s="32"/>
      <c r="M25" s="69" t="s">
        <v>203</v>
      </c>
      <c r="N25" s="69"/>
      <c r="O25" s="73"/>
      <c r="P25" s="69"/>
      <c r="Q25" s="430"/>
      <c r="R25" s="430"/>
      <c r="S25" s="430"/>
      <c r="T25" s="430"/>
      <c r="U25" s="430"/>
      <c r="V25"/>
    </row>
    <row r="26" spans="1:30" ht="49.9" customHeight="1" x14ac:dyDescent="0.4">
      <c r="A26" s="317"/>
      <c r="B26" s="5">
        <v>18</v>
      </c>
      <c r="C26" s="296" t="s">
        <v>79</v>
      </c>
      <c r="D26" s="297"/>
      <c r="E26" s="297"/>
      <c r="F26" s="29"/>
      <c r="G26" s="30"/>
      <c r="H26" s="26"/>
      <c r="I26" s="36"/>
      <c r="J26" s="29"/>
      <c r="K26" s="30"/>
      <c r="M26" s="69" t="s">
        <v>204</v>
      </c>
      <c r="N26" s="69"/>
      <c r="O26" s="73"/>
      <c r="P26" s="69"/>
      <c r="Q26" s="430"/>
      <c r="R26" s="430"/>
      <c r="S26" s="430"/>
      <c r="T26" s="430"/>
      <c r="U26" s="430"/>
      <c r="V26"/>
      <c r="X26" s="58"/>
      <c r="AD26"/>
    </row>
    <row r="27" spans="1:30" ht="49.9" customHeight="1" x14ac:dyDescent="0.4">
      <c r="A27" s="317"/>
      <c r="B27" s="5">
        <v>19</v>
      </c>
      <c r="C27" s="305" t="s">
        <v>83</v>
      </c>
      <c r="D27" s="306"/>
      <c r="E27" s="306"/>
      <c r="F27" s="31"/>
      <c r="G27" s="32"/>
      <c r="H27" s="25"/>
      <c r="I27" s="35"/>
      <c r="J27" s="31"/>
      <c r="K27" s="32"/>
      <c r="M27" s="69" t="s">
        <v>205</v>
      </c>
      <c r="N27" s="69"/>
      <c r="O27" s="73"/>
      <c r="P27" s="69"/>
      <c r="Q27" s="430"/>
      <c r="R27" s="430"/>
      <c r="S27" s="430"/>
      <c r="T27" s="430"/>
      <c r="U27" s="430"/>
      <c r="V27"/>
      <c r="X27" s="58"/>
      <c r="AD27"/>
    </row>
    <row r="28" spans="1:30" ht="49.9" customHeight="1" thickBot="1" x14ac:dyDescent="0.45">
      <c r="A28" s="317"/>
      <c r="B28" s="12">
        <v>20</v>
      </c>
      <c r="C28" s="296" t="s">
        <v>1207</v>
      </c>
      <c r="D28" s="297"/>
      <c r="E28" s="297"/>
      <c r="F28" s="33"/>
      <c r="G28" s="34"/>
      <c r="H28" s="26"/>
      <c r="I28" s="36"/>
      <c r="J28" s="33"/>
      <c r="K28" s="34"/>
      <c r="M28" s="69"/>
      <c r="N28" s="69"/>
      <c r="O28" s="73"/>
      <c r="P28" s="69"/>
      <c r="Q28" s="430"/>
      <c r="R28" s="430"/>
      <c r="S28" s="430"/>
      <c r="T28" s="430"/>
      <c r="U28" s="430"/>
      <c r="V28"/>
      <c r="X28" s="58"/>
      <c r="AD28"/>
    </row>
    <row r="29" spans="1:30" ht="49.9" customHeight="1" thickBot="1" x14ac:dyDescent="0.45">
      <c r="A29" s="317"/>
      <c r="B29" s="12">
        <v>21</v>
      </c>
      <c r="C29" s="296"/>
      <c r="D29" s="297"/>
      <c r="E29" s="297"/>
      <c r="F29" s="33"/>
      <c r="G29" s="34"/>
      <c r="H29" s="26"/>
      <c r="I29" s="36"/>
      <c r="J29" s="33"/>
      <c r="K29" s="34"/>
      <c r="M29" s="69"/>
      <c r="N29" s="69"/>
      <c r="O29" s="73"/>
      <c r="P29" s="69"/>
      <c r="Q29" s="430"/>
      <c r="R29" s="430"/>
      <c r="S29" s="430"/>
      <c r="T29" s="430"/>
      <c r="U29" s="430"/>
      <c r="V29"/>
      <c r="X29" s="58"/>
      <c r="AD29"/>
    </row>
    <row r="30" spans="1:30" ht="49.9" customHeight="1" thickBot="1" x14ac:dyDescent="0.45">
      <c r="A30" s="317"/>
      <c r="B30" s="12">
        <v>22</v>
      </c>
      <c r="C30" s="296" t="s">
        <v>84</v>
      </c>
      <c r="D30" s="297"/>
      <c r="E30" s="297"/>
      <c r="F30" s="33"/>
      <c r="G30" s="34"/>
      <c r="H30" s="26"/>
      <c r="I30" s="36"/>
      <c r="J30" s="33"/>
      <c r="K30" s="34"/>
      <c r="M30" s="69"/>
      <c r="N30" s="69"/>
      <c r="O30" s="73"/>
      <c r="P30" s="69"/>
      <c r="Q30" s="430"/>
      <c r="R30" s="430"/>
      <c r="S30" s="430"/>
      <c r="T30" s="430"/>
      <c r="U30" s="430"/>
      <c r="V30"/>
      <c r="X30" s="58"/>
      <c r="AD30"/>
    </row>
    <row r="32" spans="1:30" x14ac:dyDescent="0.4">
      <c r="A32" s="317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</row>
    <row r="33" spans="1:28" ht="30" customHeight="1" x14ac:dyDescent="0.4">
      <c r="A33" s="317"/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</row>
    <row r="34" spans="1:28" x14ac:dyDescent="0.4">
      <c r="A34" s="317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</row>
    <row r="35" spans="1:28" x14ac:dyDescent="0.4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</row>
    <row r="36" spans="1:28" x14ac:dyDescent="0.4">
      <c r="A36" s="317"/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</row>
    <row r="37" spans="1:28" x14ac:dyDescent="0.4">
      <c r="A37" s="317"/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</row>
    <row r="38" spans="1:28" x14ac:dyDescent="0.4">
      <c r="A38" s="317"/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</row>
    <row r="39" spans="1:28" x14ac:dyDescent="0.4">
      <c r="L39" s="2"/>
      <c r="M39" s="2"/>
      <c r="N39" s="2"/>
      <c r="O39" s="2"/>
      <c r="P39" s="2"/>
      <c r="Q39" s="2"/>
      <c r="R39" s="2"/>
      <c r="S39" s="2"/>
      <c r="T39" s="2"/>
      <c r="U39" s="2"/>
      <c r="V39"/>
      <c r="W39" s="24"/>
    </row>
    <row r="40" spans="1:28" ht="30" x14ac:dyDescent="0.4">
      <c r="B40" s="282" t="s">
        <v>161</v>
      </c>
      <c r="C40" s="282"/>
      <c r="D40" s="108">
        <f>D1</f>
        <v>169</v>
      </c>
      <c r="E40" s="6" t="s">
        <v>121</v>
      </c>
      <c r="F40" s="283" t="s">
        <v>105</v>
      </c>
      <c r="G40" s="284"/>
      <c r="H40" s="283" t="s">
        <v>105</v>
      </c>
      <c r="I40" s="284"/>
      <c r="J40" s="283" t="s">
        <v>105</v>
      </c>
      <c r="K40" s="284"/>
      <c r="L40" s="283" t="s">
        <v>105</v>
      </c>
      <c r="M40" s="284"/>
      <c r="N40" s="283" t="s">
        <v>105</v>
      </c>
      <c r="O40" s="284"/>
      <c r="P40" s="283" t="s">
        <v>105</v>
      </c>
      <c r="Q40" s="284"/>
      <c r="R40" s="283" t="s">
        <v>105</v>
      </c>
      <c r="S40" s="284"/>
      <c r="T40" s="283" t="s">
        <v>104</v>
      </c>
      <c r="U40" s="284"/>
      <c r="V40"/>
      <c r="W40" s="24"/>
    </row>
    <row r="41" spans="1:28" ht="31.5" x14ac:dyDescent="0.4">
      <c r="A41" s="278" t="s">
        <v>1</v>
      </c>
      <c r="B41" s="278"/>
      <c r="C41" s="279"/>
      <c r="D41" s="280"/>
      <c r="E41" s="6" t="s">
        <v>6</v>
      </c>
      <c r="F41" s="281">
        <f>F2</f>
        <v>0</v>
      </c>
      <c r="G41" s="281"/>
      <c r="H41" s="281" t="str">
        <f t="shared" ref="H41:H42" si="0">H2</f>
        <v>AER 2_PF-155</v>
      </c>
      <c r="I41" s="281"/>
      <c r="J41" s="281">
        <f t="shared" ref="J41:J42" si="1">J2</f>
        <v>0</v>
      </c>
      <c r="K41" s="281"/>
      <c r="L41" s="281">
        <f t="shared" ref="L41:L42" si="2">L2</f>
        <v>0</v>
      </c>
      <c r="M41" s="281"/>
      <c r="N41" s="281">
        <f t="shared" ref="N41:N42" si="3">N2</f>
        <v>0</v>
      </c>
      <c r="O41" s="281"/>
      <c r="P41" s="281">
        <f t="shared" ref="P41:P42" si="4">P2</f>
        <v>0</v>
      </c>
      <c r="Q41" s="281"/>
      <c r="R41" s="281">
        <f t="shared" ref="R41:R42" si="5">R2</f>
        <v>0</v>
      </c>
      <c r="S41" s="281"/>
      <c r="T41" s="281" t="e">
        <f>#REF!</f>
        <v>#REF!</v>
      </c>
      <c r="U41" s="281"/>
      <c r="V41"/>
      <c r="W41" s="276"/>
      <c r="X41" s="276"/>
      <c r="Y41" s="276"/>
      <c r="Z41" s="276"/>
    </row>
    <row r="42" spans="1:28" ht="30" x14ac:dyDescent="0.4">
      <c r="A42" s="278"/>
      <c r="B42" s="278"/>
      <c r="C42" s="279"/>
      <c r="D42" s="280"/>
      <c r="E42" s="6" t="s">
        <v>51</v>
      </c>
      <c r="F42" s="277" t="str">
        <f>F3</f>
        <v>P</v>
      </c>
      <c r="G42" s="277"/>
      <c r="H42" s="277" t="str">
        <f t="shared" si="0"/>
        <v>P</v>
      </c>
      <c r="I42" s="277"/>
      <c r="J42" s="277">
        <f t="shared" si="1"/>
        <v>0</v>
      </c>
      <c r="K42" s="277"/>
      <c r="L42" s="277">
        <f t="shared" si="2"/>
        <v>0</v>
      </c>
      <c r="M42" s="277"/>
      <c r="N42" s="277">
        <f t="shared" si="3"/>
        <v>0</v>
      </c>
      <c r="O42" s="277"/>
      <c r="P42" s="277">
        <f t="shared" si="4"/>
        <v>0</v>
      </c>
      <c r="Q42" s="277"/>
      <c r="R42" s="277">
        <f t="shared" si="5"/>
        <v>0</v>
      </c>
      <c r="S42" s="277"/>
      <c r="T42" s="277">
        <f t="shared" ref="T42" si="6">T3</f>
        <v>0</v>
      </c>
      <c r="U42" s="277"/>
      <c r="V42"/>
      <c r="W42" s="24"/>
    </row>
    <row r="43" spans="1:28" ht="36" x14ac:dyDescent="0.4">
      <c r="B43" s="275" t="s">
        <v>986</v>
      </c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</row>
    <row r="44" spans="1:28" ht="38.25" x14ac:dyDescent="0.55000000000000004">
      <c r="B44" s="269">
        <v>1</v>
      </c>
      <c r="C44" s="269"/>
      <c r="D44" s="273" t="s">
        <v>987</v>
      </c>
      <c r="E44" s="274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/>
      <c r="W44" s="24"/>
    </row>
    <row r="45" spans="1:28" ht="38.25" x14ac:dyDescent="0.55000000000000004">
      <c r="B45" s="269">
        <v>2</v>
      </c>
      <c r="C45" s="269"/>
      <c r="D45" s="273" t="s">
        <v>988</v>
      </c>
      <c r="E45" s="274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/>
      <c r="W45" s="24"/>
    </row>
    <row r="46" spans="1:28" ht="38.25" x14ac:dyDescent="0.55000000000000004">
      <c r="B46" s="269">
        <v>3</v>
      </c>
      <c r="C46" s="269"/>
      <c r="D46" s="273" t="s">
        <v>989</v>
      </c>
      <c r="E46" s="274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/>
      <c r="W46" s="24"/>
    </row>
    <row r="47" spans="1:28" ht="38.25" x14ac:dyDescent="0.55000000000000004">
      <c r="B47" s="269">
        <v>4</v>
      </c>
      <c r="C47" s="269"/>
      <c r="D47" s="273" t="s">
        <v>990</v>
      </c>
      <c r="E47" s="274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/>
      <c r="W47" s="24"/>
    </row>
    <row r="48" spans="1:28" ht="38.25" x14ac:dyDescent="0.55000000000000004">
      <c r="B48" s="269">
        <v>5</v>
      </c>
      <c r="C48" s="269"/>
      <c r="D48" s="273" t="s">
        <v>994</v>
      </c>
      <c r="E48" s="274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/>
      <c r="W48" s="24"/>
    </row>
    <row r="49" spans="2:23" ht="38.25" x14ac:dyDescent="0.55000000000000004">
      <c r="B49" s="269">
        <v>6</v>
      </c>
      <c r="C49" s="269"/>
      <c r="D49" s="273" t="s">
        <v>995</v>
      </c>
      <c r="E49" s="274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/>
      <c r="W49" s="24"/>
    </row>
    <row r="50" spans="2:23" ht="38.25" x14ac:dyDescent="0.55000000000000004">
      <c r="B50" s="269">
        <v>7</v>
      </c>
      <c r="C50" s="269"/>
      <c r="D50" s="271"/>
      <c r="E50" s="272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/>
      <c r="W50" s="24"/>
    </row>
    <row r="51" spans="2:23" ht="38.25" x14ac:dyDescent="0.55000000000000004">
      <c r="B51" s="269">
        <v>8</v>
      </c>
      <c r="C51" s="269"/>
      <c r="D51" s="271"/>
      <c r="E51" s="272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/>
      <c r="W51" s="24"/>
    </row>
    <row r="52" spans="2:23" ht="38.25" x14ac:dyDescent="0.55000000000000004">
      <c r="B52" s="269">
        <v>9</v>
      </c>
      <c r="C52" s="269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/>
      <c r="W52" s="24"/>
    </row>
    <row r="53" spans="2:23" ht="38.25" x14ac:dyDescent="0.55000000000000004">
      <c r="B53" s="269">
        <v>10</v>
      </c>
      <c r="C53" s="269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/>
      <c r="W53" s="24"/>
    </row>
    <row r="54" spans="2:23" ht="38.25" x14ac:dyDescent="0.55000000000000004">
      <c r="B54" s="269">
        <v>11</v>
      </c>
      <c r="C54" s="269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/>
      <c r="W54" s="24"/>
    </row>
    <row r="55" spans="2:23" ht="38.25" x14ac:dyDescent="0.55000000000000004">
      <c r="B55" s="269">
        <v>12</v>
      </c>
      <c r="C55" s="269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/>
      <c r="W55" s="24"/>
    </row>
    <row r="56" spans="2:23" ht="38.25" x14ac:dyDescent="0.55000000000000004">
      <c r="B56" s="269">
        <v>13</v>
      </c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/>
      <c r="W56" s="24"/>
    </row>
    <row r="57" spans="2:23" ht="38.25" x14ac:dyDescent="0.55000000000000004">
      <c r="B57" s="269">
        <v>14</v>
      </c>
      <c r="C57" s="269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/>
      <c r="W57" s="24"/>
    </row>
    <row r="58" spans="2:23" ht="38.25" x14ac:dyDescent="0.55000000000000004">
      <c r="B58" s="269">
        <v>15</v>
      </c>
      <c r="C58" s="269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/>
      <c r="W58" s="24"/>
    </row>
    <row r="59" spans="2:23" ht="38.25" x14ac:dyDescent="0.55000000000000004">
      <c r="B59" s="269">
        <v>16</v>
      </c>
      <c r="C59" s="269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/>
      <c r="W59" s="24"/>
    </row>
    <row r="60" spans="2:23" ht="38.25" x14ac:dyDescent="0.55000000000000004">
      <c r="B60" s="269">
        <v>17</v>
      </c>
      <c r="C60" s="269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/>
      <c r="W60" s="24"/>
    </row>
    <row r="61" spans="2:23" ht="38.25" x14ac:dyDescent="0.55000000000000004">
      <c r="B61" s="269">
        <v>18</v>
      </c>
      <c r="C61" s="269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/>
      <c r="W61" s="24"/>
    </row>
    <row r="62" spans="2:23" ht="38.25" x14ac:dyDescent="0.55000000000000004">
      <c r="B62" s="269">
        <v>19</v>
      </c>
      <c r="C62" s="269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/>
      <c r="W62" s="24"/>
    </row>
    <row r="63" spans="2:23" ht="38.25" x14ac:dyDescent="0.55000000000000004">
      <c r="B63" s="269">
        <v>20</v>
      </c>
      <c r="C63" s="269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/>
      <c r="W63" s="24"/>
    </row>
    <row r="64" spans="2:23" ht="38.25" x14ac:dyDescent="0.55000000000000004">
      <c r="B64" s="269">
        <v>21</v>
      </c>
      <c r="C64" s="269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/>
      <c r="W64" s="24"/>
    </row>
    <row r="65" spans="2:23" ht="38.25" x14ac:dyDescent="0.55000000000000004">
      <c r="B65" s="454">
        <v>22</v>
      </c>
      <c r="C65" s="454"/>
      <c r="D65" s="453"/>
      <c r="E65" s="453"/>
      <c r="F65" s="453"/>
      <c r="G65" s="453"/>
      <c r="H65" s="453"/>
      <c r="I65" s="453"/>
      <c r="J65" s="453"/>
      <c r="K65" s="453"/>
      <c r="L65" s="270"/>
      <c r="M65" s="270"/>
      <c r="N65" s="270"/>
      <c r="O65" s="270"/>
      <c r="P65" s="270"/>
      <c r="Q65" s="270"/>
      <c r="R65" s="270"/>
      <c r="S65" s="270"/>
      <c r="T65" s="453"/>
      <c r="U65" s="453"/>
      <c r="V65"/>
      <c r="W65" s="24"/>
    </row>
    <row r="66" spans="2:23" ht="38.25" x14ac:dyDescent="0.55000000000000004">
      <c r="B66" s="413"/>
      <c r="C66" s="413"/>
      <c r="D66" s="342"/>
      <c r="E66" s="342"/>
      <c r="F66" s="342"/>
      <c r="G66" s="342"/>
      <c r="H66" s="342"/>
      <c r="I66" s="342"/>
      <c r="J66" s="342"/>
      <c r="K66" s="342"/>
      <c r="L66" s="452" t="s">
        <v>73</v>
      </c>
      <c r="M66" s="452"/>
      <c r="T66" s="342"/>
      <c r="U66" s="342"/>
      <c r="V66"/>
      <c r="W66" s="24"/>
    </row>
    <row r="67" spans="2:23" ht="38.25" x14ac:dyDescent="0.55000000000000004">
      <c r="B67" s="413"/>
      <c r="C67" s="413"/>
      <c r="D67" s="342"/>
      <c r="E67" s="342"/>
      <c r="F67" s="342"/>
      <c r="G67" s="342"/>
      <c r="H67" s="342"/>
      <c r="I67" s="342"/>
      <c r="J67" s="342"/>
      <c r="K67" s="342"/>
      <c r="L67" s="333" t="s">
        <v>1020</v>
      </c>
      <c r="M67" s="333"/>
      <c r="N67" s="456">
        <f>N68-378</f>
        <v>1253</v>
      </c>
      <c r="O67" s="456"/>
      <c r="P67" s="399" t="s">
        <v>1014</v>
      </c>
      <c r="Q67" s="399"/>
      <c r="R67" s="130"/>
      <c r="S67" s="130" t="s">
        <v>1023</v>
      </c>
      <c r="T67" s="342"/>
      <c r="U67" s="342"/>
      <c r="V67"/>
      <c r="W67" s="24"/>
    </row>
    <row r="68" spans="2:23" ht="38.25" x14ac:dyDescent="0.55000000000000004">
      <c r="B68" s="413"/>
      <c r="C68" s="413"/>
      <c r="D68" s="342"/>
      <c r="E68" s="342"/>
      <c r="F68" s="342"/>
      <c r="G68" s="342"/>
      <c r="H68" s="342"/>
      <c r="I68" s="342"/>
      <c r="J68" s="342"/>
      <c r="K68" s="342"/>
      <c r="L68" s="333" t="s">
        <v>1019</v>
      </c>
      <c r="M68" s="333"/>
      <c r="N68" s="455">
        <f>U2</f>
        <v>1631</v>
      </c>
      <c r="O68" s="455"/>
      <c r="P68" s="150" t="s">
        <v>1015</v>
      </c>
      <c r="Q68" s="150"/>
      <c r="R68" s="75"/>
      <c r="S68" s="75"/>
      <c r="T68" s="342"/>
      <c r="U68" s="342"/>
      <c r="V68"/>
      <c r="W68" s="24"/>
    </row>
    <row r="69" spans="2:23" ht="38.25" x14ac:dyDescent="0.55000000000000004">
      <c r="B69" s="413"/>
      <c r="C69" s="413"/>
      <c r="D69" s="342"/>
      <c r="E69" s="342"/>
      <c r="F69" s="342"/>
      <c r="G69" s="342"/>
      <c r="H69" s="342"/>
      <c r="I69" s="342"/>
      <c r="J69" s="342"/>
      <c r="K69" s="342"/>
      <c r="L69" s="457" t="s">
        <v>1016</v>
      </c>
      <c r="M69" s="457"/>
      <c r="N69" s="458" t="s">
        <v>1009</v>
      </c>
      <c r="O69" s="458"/>
      <c r="P69" s="458" t="s">
        <v>1010</v>
      </c>
      <c r="Q69" s="458"/>
      <c r="R69" s="129" t="s">
        <v>1011</v>
      </c>
      <c r="S69" s="129" t="s">
        <v>1012</v>
      </c>
      <c r="T69" s="342"/>
      <c r="U69" s="342"/>
      <c r="V69"/>
      <c r="W69" s="24"/>
    </row>
    <row r="70" spans="2:23" ht="38.25" x14ac:dyDescent="0.55000000000000004">
      <c r="B70" s="413"/>
      <c r="C70" s="413"/>
      <c r="D70" s="342"/>
      <c r="E70" s="342"/>
      <c r="F70" s="342"/>
      <c r="G70" s="342"/>
      <c r="H70" s="342"/>
      <c r="I70" s="342"/>
      <c r="J70" s="342"/>
      <c r="K70" s="342"/>
      <c r="L70" s="323" t="s">
        <v>1013</v>
      </c>
      <c r="M70" s="323"/>
      <c r="N70" s="324"/>
      <c r="O70" s="324"/>
      <c r="P70" s="324"/>
      <c r="Q70" s="324"/>
      <c r="R70" s="75"/>
      <c r="S70" s="75"/>
      <c r="T70" s="342"/>
      <c r="U70" s="342"/>
      <c r="V70"/>
      <c r="W70" s="24"/>
    </row>
    <row r="71" spans="2:23" ht="38.25" x14ac:dyDescent="0.55000000000000004">
      <c r="B71" s="413"/>
      <c r="C71" s="413"/>
      <c r="D71" s="342"/>
      <c r="E71" s="342"/>
      <c r="F71" s="342"/>
      <c r="G71" s="342"/>
      <c r="H71" s="342"/>
      <c r="I71" s="342"/>
      <c r="J71" s="342"/>
      <c r="K71" s="342"/>
      <c r="M71" s="151"/>
      <c r="T71" s="342"/>
      <c r="U71" s="342"/>
      <c r="V71"/>
      <c r="W71" s="24"/>
    </row>
    <row r="72" spans="2:23" ht="38.25" x14ac:dyDescent="0.55000000000000004">
      <c r="B72" s="413"/>
      <c r="C72" s="413"/>
      <c r="D72" s="342"/>
      <c r="E72" s="342"/>
      <c r="F72" s="342"/>
      <c r="G72" s="342"/>
      <c r="H72" s="342"/>
      <c r="I72" s="342"/>
      <c r="J72" s="342"/>
      <c r="K72" s="342"/>
      <c r="L72" s="452" t="s">
        <v>75</v>
      </c>
      <c r="M72" s="452"/>
      <c r="T72" s="342"/>
      <c r="U72" s="342"/>
      <c r="V72"/>
      <c r="W72" s="24"/>
    </row>
    <row r="73" spans="2:23" ht="38.25" x14ac:dyDescent="0.55000000000000004">
      <c r="B73" s="413"/>
      <c r="C73" s="413"/>
      <c r="D73" s="342"/>
      <c r="E73" s="342"/>
      <c r="F73" s="342"/>
      <c r="G73" s="342"/>
      <c r="H73" s="342"/>
      <c r="I73" s="342"/>
      <c r="J73" s="342"/>
      <c r="K73" s="342"/>
      <c r="L73" s="333" t="s">
        <v>1020</v>
      </c>
      <c r="M73" s="333"/>
      <c r="N73" s="456">
        <f>N74-378</f>
        <v>1254</v>
      </c>
      <c r="O73" s="456"/>
      <c r="P73" s="333" t="s">
        <v>1014</v>
      </c>
      <c r="Q73" s="333"/>
      <c r="R73" s="130"/>
      <c r="S73" s="130" t="s">
        <v>1023</v>
      </c>
      <c r="T73" s="342"/>
      <c r="U73" s="342"/>
      <c r="V73"/>
      <c r="W73" s="24"/>
    </row>
    <row r="74" spans="2:23" ht="38.25" x14ac:dyDescent="0.55000000000000004">
      <c r="B74" s="413"/>
      <c r="C74" s="413"/>
      <c r="D74" s="342"/>
      <c r="E74" s="342"/>
      <c r="F74" s="342"/>
      <c r="G74" s="342"/>
      <c r="H74" s="342"/>
      <c r="I74" s="342"/>
      <c r="J74" s="342"/>
      <c r="K74" s="342"/>
      <c r="L74" s="333" t="s">
        <v>1019</v>
      </c>
      <c r="M74" s="333"/>
      <c r="N74" s="455">
        <f>N68+1</f>
        <v>1632</v>
      </c>
      <c r="O74" s="455"/>
      <c r="P74" s="150" t="s">
        <v>1015</v>
      </c>
      <c r="Q74" s="150"/>
      <c r="R74" s="75"/>
      <c r="S74" s="75"/>
      <c r="T74" s="342"/>
      <c r="U74" s="342"/>
      <c r="V74"/>
      <c r="W74" s="24"/>
    </row>
    <row r="75" spans="2:23" ht="38.25" x14ac:dyDescent="0.55000000000000004">
      <c r="B75" s="413"/>
      <c r="C75" s="413"/>
      <c r="D75" s="342"/>
      <c r="E75" s="342"/>
      <c r="F75" s="342"/>
      <c r="G75" s="342"/>
      <c r="H75" s="342"/>
      <c r="I75" s="342"/>
      <c r="J75" s="342"/>
      <c r="K75" s="342"/>
      <c r="L75" s="457" t="s">
        <v>1016</v>
      </c>
      <c r="M75" s="457"/>
      <c r="N75" s="133" t="s">
        <v>1009</v>
      </c>
      <c r="O75" s="133"/>
      <c r="P75" s="133" t="s">
        <v>1010</v>
      </c>
      <c r="Q75" s="133"/>
      <c r="R75" s="133" t="s">
        <v>1011</v>
      </c>
      <c r="S75" s="133" t="s">
        <v>1012</v>
      </c>
      <c r="T75" s="342"/>
      <c r="U75" s="342"/>
      <c r="V75"/>
      <c r="W75" s="24"/>
    </row>
    <row r="76" spans="2:23" ht="38.25" x14ac:dyDescent="0.55000000000000004">
      <c r="B76" s="413"/>
      <c r="C76" s="413"/>
      <c r="D76" s="342"/>
      <c r="E76" s="342"/>
      <c r="F76" s="342"/>
      <c r="G76" s="342"/>
      <c r="H76" s="342"/>
      <c r="I76" s="342"/>
      <c r="J76" s="342"/>
      <c r="K76" s="342"/>
      <c r="L76" s="323" t="s">
        <v>1013</v>
      </c>
      <c r="M76" s="323"/>
      <c r="N76" s="324"/>
      <c r="O76" s="324"/>
      <c r="P76" s="324"/>
      <c r="Q76" s="324"/>
      <c r="R76" s="75"/>
      <c r="S76" s="75"/>
      <c r="T76" s="342"/>
      <c r="U76" s="342"/>
      <c r="V76"/>
      <c r="W76" s="24"/>
    </row>
    <row r="77" spans="2:23" ht="38.25" x14ac:dyDescent="0.55000000000000004">
      <c r="B77" s="413"/>
      <c r="C77" s="413"/>
      <c r="D77" s="342"/>
      <c r="E77" s="342"/>
      <c r="F77" s="342"/>
      <c r="G77" s="342"/>
      <c r="H77" s="342"/>
      <c r="I77" s="342"/>
      <c r="J77" s="342"/>
      <c r="K77" s="342"/>
      <c r="L77" s="270"/>
      <c r="M77" s="270"/>
      <c r="N77" s="270"/>
      <c r="O77" s="270"/>
      <c r="P77" s="270"/>
      <c r="Q77" s="270"/>
      <c r="R77" s="270"/>
      <c r="S77" s="270"/>
      <c r="T77" s="342"/>
      <c r="U77" s="342"/>
      <c r="V77"/>
      <c r="W77" s="24"/>
    </row>
  </sheetData>
  <mergeCells count="447">
    <mergeCell ref="L77:M77"/>
    <mergeCell ref="N77:O77"/>
    <mergeCell ref="P77:Q77"/>
    <mergeCell ref="R77:S77"/>
    <mergeCell ref="T77:U77"/>
    <mergeCell ref="B77:C77"/>
    <mergeCell ref="D77:E77"/>
    <mergeCell ref="F77:G77"/>
    <mergeCell ref="H77:I77"/>
    <mergeCell ref="J77:K77"/>
    <mergeCell ref="L76:M76"/>
    <mergeCell ref="N76:O76"/>
    <mergeCell ref="P76:Q76"/>
    <mergeCell ref="T76:U76"/>
    <mergeCell ref="B76:C76"/>
    <mergeCell ref="D76:E76"/>
    <mergeCell ref="F76:G76"/>
    <mergeCell ref="H76:I76"/>
    <mergeCell ref="J76:K76"/>
    <mergeCell ref="L75:M75"/>
    <mergeCell ref="T75:U75"/>
    <mergeCell ref="B75:C75"/>
    <mergeCell ref="D75:E75"/>
    <mergeCell ref="F75:G75"/>
    <mergeCell ref="H75:I75"/>
    <mergeCell ref="J75:K75"/>
    <mergeCell ref="L74:M74"/>
    <mergeCell ref="N74:O74"/>
    <mergeCell ref="T74:U74"/>
    <mergeCell ref="B74:C74"/>
    <mergeCell ref="D74:E74"/>
    <mergeCell ref="F74:G74"/>
    <mergeCell ref="H74:I74"/>
    <mergeCell ref="J74:K74"/>
    <mergeCell ref="L73:M73"/>
    <mergeCell ref="N73:O73"/>
    <mergeCell ref="P73:Q73"/>
    <mergeCell ref="T73:U73"/>
    <mergeCell ref="B73:C73"/>
    <mergeCell ref="D73:E73"/>
    <mergeCell ref="F73:G73"/>
    <mergeCell ref="H73:I73"/>
    <mergeCell ref="J73:K73"/>
    <mergeCell ref="L72:M72"/>
    <mergeCell ref="T72:U72"/>
    <mergeCell ref="B72:C72"/>
    <mergeCell ref="D72:E72"/>
    <mergeCell ref="F72:G72"/>
    <mergeCell ref="H72:I72"/>
    <mergeCell ref="J72:K72"/>
    <mergeCell ref="W41:Z41"/>
    <mergeCell ref="B43:AB43"/>
    <mergeCell ref="B71:C71"/>
    <mergeCell ref="D71:E71"/>
    <mergeCell ref="F71:G71"/>
    <mergeCell ref="H71:I71"/>
    <mergeCell ref="J71:K71"/>
    <mergeCell ref="T71:U71"/>
    <mergeCell ref="L70:M70"/>
    <mergeCell ref="N70:O70"/>
    <mergeCell ref="P70:Q70"/>
    <mergeCell ref="T70:U70"/>
    <mergeCell ref="B70:C70"/>
    <mergeCell ref="D70:E70"/>
    <mergeCell ref="F70:G70"/>
    <mergeCell ref="H70:I70"/>
    <mergeCell ref="J70:K70"/>
    <mergeCell ref="L69:M69"/>
    <mergeCell ref="N69:O69"/>
    <mergeCell ref="P69:Q69"/>
    <mergeCell ref="T69:U69"/>
    <mergeCell ref="B69:C69"/>
    <mergeCell ref="D69:E69"/>
    <mergeCell ref="F69:G69"/>
    <mergeCell ref="H69:I69"/>
    <mergeCell ref="J69:K69"/>
    <mergeCell ref="L68:M68"/>
    <mergeCell ref="N68:O68"/>
    <mergeCell ref="T68:U68"/>
    <mergeCell ref="B68:C68"/>
    <mergeCell ref="D68:E68"/>
    <mergeCell ref="F68:G68"/>
    <mergeCell ref="H68:I68"/>
    <mergeCell ref="J68:K68"/>
    <mergeCell ref="L67:M67"/>
    <mergeCell ref="N67:O67"/>
    <mergeCell ref="P67:Q67"/>
    <mergeCell ref="T67:U67"/>
    <mergeCell ref="B67:C67"/>
    <mergeCell ref="D67:E67"/>
    <mergeCell ref="F67:G67"/>
    <mergeCell ref="H67:I67"/>
    <mergeCell ref="J67:K67"/>
    <mergeCell ref="L66:M66"/>
    <mergeCell ref="T66:U66"/>
    <mergeCell ref="B66:C66"/>
    <mergeCell ref="D66:E66"/>
    <mergeCell ref="F66:G66"/>
    <mergeCell ref="H66:I66"/>
    <mergeCell ref="J66:K66"/>
    <mergeCell ref="L65:M65"/>
    <mergeCell ref="N65:O65"/>
    <mergeCell ref="P65:Q65"/>
    <mergeCell ref="R65:S65"/>
    <mergeCell ref="T65:U65"/>
    <mergeCell ref="B65:C65"/>
    <mergeCell ref="D65:E65"/>
    <mergeCell ref="F65:G65"/>
    <mergeCell ref="H65:I65"/>
    <mergeCell ref="J65:K65"/>
    <mergeCell ref="L64:M64"/>
    <mergeCell ref="N64:O64"/>
    <mergeCell ref="P64:Q64"/>
    <mergeCell ref="R64:S64"/>
    <mergeCell ref="T64:U64"/>
    <mergeCell ref="B64:C64"/>
    <mergeCell ref="D64:E64"/>
    <mergeCell ref="F64:G64"/>
    <mergeCell ref="H64:I64"/>
    <mergeCell ref="J64:K64"/>
    <mergeCell ref="L63:M63"/>
    <mergeCell ref="N63:O63"/>
    <mergeCell ref="P63:Q63"/>
    <mergeCell ref="R63:S63"/>
    <mergeCell ref="T63:U63"/>
    <mergeCell ref="B63:C63"/>
    <mergeCell ref="D63:E63"/>
    <mergeCell ref="F63:G63"/>
    <mergeCell ref="H63:I63"/>
    <mergeCell ref="J63:K63"/>
    <mergeCell ref="L62:M62"/>
    <mergeCell ref="N62:O62"/>
    <mergeCell ref="P62:Q62"/>
    <mergeCell ref="R62:S62"/>
    <mergeCell ref="T62:U62"/>
    <mergeCell ref="B62:C62"/>
    <mergeCell ref="D62:E62"/>
    <mergeCell ref="F62:G62"/>
    <mergeCell ref="H62:I62"/>
    <mergeCell ref="J62:K62"/>
    <mergeCell ref="L61:M61"/>
    <mergeCell ref="N61:O61"/>
    <mergeCell ref="P61:Q61"/>
    <mergeCell ref="R61:S61"/>
    <mergeCell ref="T61:U61"/>
    <mergeCell ref="B61:C61"/>
    <mergeCell ref="D61:E61"/>
    <mergeCell ref="F61:G61"/>
    <mergeCell ref="H61:I61"/>
    <mergeCell ref="J61:K61"/>
    <mergeCell ref="L60:M60"/>
    <mergeCell ref="N60:O60"/>
    <mergeCell ref="P60:Q60"/>
    <mergeCell ref="R60:S60"/>
    <mergeCell ref="T60:U60"/>
    <mergeCell ref="B60:C60"/>
    <mergeCell ref="D60:E60"/>
    <mergeCell ref="F60:G60"/>
    <mergeCell ref="H60:I60"/>
    <mergeCell ref="J60:K60"/>
    <mergeCell ref="L59:M59"/>
    <mergeCell ref="N59:O59"/>
    <mergeCell ref="P59:Q59"/>
    <mergeCell ref="R59:S59"/>
    <mergeCell ref="T59:U59"/>
    <mergeCell ref="B59:C59"/>
    <mergeCell ref="D59:E59"/>
    <mergeCell ref="F59:G59"/>
    <mergeCell ref="H59:I59"/>
    <mergeCell ref="J59:K59"/>
    <mergeCell ref="L58:M58"/>
    <mergeCell ref="N58:O58"/>
    <mergeCell ref="P58:Q58"/>
    <mergeCell ref="R58:S58"/>
    <mergeCell ref="T58:U58"/>
    <mergeCell ref="B58:C58"/>
    <mergeCell ref="D58:E58"/>
    <mergeCell ref="F58:G58"/>
    <mergeCell ref="H58:I58"/>
    <mergeCell ref="J58:K58"/>
    <mergeCell ref="L57:M57"/>
    <mergeCell ref="N57:O57"/>
    <mergeCell ref="P57:Q57"/>
    <mergeCell ref="R57:S57"/>
    <mergeCell ref="T57:U57"/>
    <mergeCell ref="B57:C57"/>
    <mergeCell ref="D57:E57"/>
    <mergeCell ref="F57:G57"/>
    <mergeCell ref="H57:I57"/>
    <mergeCell ref="J57:K57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L55:M55"/>
    <mergeCell ref="N55:O55"/>
    <mergeCell ref="P55:Q55"/>
    <mergeCell ref="R55:S55"/>
    <mergeCell ref="T55:U55"/>
    <mergeCell ref="B55:C55"/>
    <mergeCell ref="D55:E55"/>
    <mergeCell ref="F55:G55"/>
    <mergeCell ref="H55:I55"/>
    <mergeCell ref="J55:K55"/>
    <mergeCell ref="L54:M54"/>
    <mergeCell ref="N54:O54"/>
    <mergeCell ref="P54:Q54"/>
    <mergeCell ref="R54:S54"/>
    <mergeCell ref="T54:U54"/>
    <mergeCell ref="B54:C54"/>
    <mergeCell ref="D54:E54"/>
    <mergeCell ref="F54:G54"/>
    <mergeCell ref="H54:I54"/>
    <mergeCell ref="J54:K54"/>
    <mergeCell ref="L53:M53"/>
    <mergeCell ref="N53:O53"/>
    <mergeCell ref="P53:Q53"/>
    <mergeCell ref="R53:S53"/>
    <mergeCell ref="T53:U53"/>
    <mergeCell ref="B53:C53"/>
    <mergeCell ref="D53:E53"/>
    <mergeCell ref="F53:G53"/>
    <mergeCell ref="H53:I53"/>
    <mergeCell ref="J53:K53"/>
    <mergeCell ref="L52:M52"/>
    <mergeCell ref="N52:O52"/>
    <mergeCell ref="P52:Q52"/>
    <mergeCell ref="R52:S52"/>
    <mergeCell ref="T52:U52"/>
    <mergeCell ref="B52:C52"/>
    <mergeCell ref="D52:E52"/>
    <mergeCell ref="F52:G52"/>
    <mergeCell ref="H52:I52"/>
    <mergeCell ref="J52:K52"/>
    <mergeCell ref="L51:M51"/>
    <mergeCell ref="N51:O51"/>
    <mergeCell ref="P51:Q51"/>
    <mergeCell ref="R51:S51"/>
    <mergeCell ref="T51:U51"/>
    <mergeCell ref="B51:C51"/>
    <mergeCell ref="D51:E51"/>
    <mergeCell ref="F51:G51"/>
    <mergeCell ref="H51:I51"/>
    <mergeCell ref="J51:K51"/>
    <mergeCell ref="L50:M50"/>
    <mergeCell ref="N50:O50"/>
    <mergeCell ref="P50:Q50"/>
    <mergeCell ref="R50:S50"/>
    <mergeCell ref="T50:U50"/>
    <mergeCell ref="B50:C50"/>
    <mergeCell ref="D50:E50"/>
    <mergeCell ref="F50:G50"/>
    <mergeCell ref="H50:I50"/>
    <mergeCell ref="J50:K50"/>
    <mergeCell ref="L49:M49"/>
    <mergeCell ref="N49:O49"/>
    <mergeCell ref="P49:Q49"/>
    <mergeCell ref="R49:S49"/>
    <mergeCell ref="T49:U49"/>
    <mergeCell ref="B49:C49"/>
    <mergeCell ref="D49:E49"/>
    <mergeCell ref="F49:G49"/>
    <mergeCell ref="H49:I49"/>
    <mergeCell ref="J49:K49"/>
    <mergeCell ref="L48:M48"/>
    <mergeCell ref="N48:O48"/>
    <mergeCell ref="P48:Q48"/>
    <mergeCell ref="R48:S48"/>
    <mergeCell ref="T48:U48"/>
    <mergeCell ref="B48:C48"/>
    <mergeCell ref="D48:E48"/>
    <mergeCell ref="F48:G48"/>
    <mergeCell ref="H48:I48"/>
    <mergeCell ref="J48:K48"/>
    <mergeCell ref="L47:M47"/>
    <mergeCell ref="N47:O47"/>
    <mergeCell ref="P47:Q47"/>
    <mergeCell ref="R47:S47"/>
    <mergeCell ref="T47:U47"/>
    <mergeCell ref="B47:C47"/>
    <mergeCell ref="D47:E47"/>
    <mergeCell ref="F47:G47"/>
    <mergeCell ref="H47:I47"/>
    <mergeCell ref="J47:K47"/>
    <mergeCell ref="L46:M46"/>
    <mergeCell ref="N46:O46"/>
    <mergeCell ref="P46:Q46"/>
    <mergeCell ref="R46:S46"/>
    <mergeCell ref="T46:U46"/>
    <mergeCell ref="B46:C46"/>
    <mergeCell ref="D46:E46"/>
    <mergeCell ref="F46:G46"/>
    <mergeCell ref="H46:I46"/>
    <mergeCell ref="J46:K46"/>
    <mergeCell ref="L45:M45"/>
    <mergeCell ref="N45:O45"/>
    <mergeCell ref="P45:Q45"/>
    <mergeCell ref="R45:S45"/>
    <mergeCell ref="T45:U45"/>
    <mergeCell ref="B45:C45"/>
    <mergeCell ref="D45:E45"/>
    <mergeCell ref="F45:G45"/>
    <mergeCell ref="H45:I45"/>
    <mergeCell ref="J45:K45"/>
    <mergeCell ref="L44:M44"/>
    <mergeCell ref="N44:O44"/>
    <mergeCell ref="P44:Q44"/>
    <mergeCell ref="R44:S44"/>
    <mergeCell ref="T44:U44"/>
    <mergeCell ref="B44:C44"/>
    <mergeCell ref="D44:E44"/>
    <mergeCell ref="F44:G44"/>
    <mergeCell ref="H44:I44"/>
    <mergeCell ref="J44:K44"/>
    <mergeCell ref="L42:M42"/>
    <mergeCell ref="N42:O42"/>
    <mergeCell ref="P42:Q42"/>
    <mergeCell ref="R42:S42"/>
    <mergeCell ref="T42:U42"/>
    <mergeCell ref="F42:G42"/>
    <mergeCell ref="H42:I42"/>
    <mergeCell ref="J42:K42"/>
    <mergeCell ref="A41:B42"/>
    <mergeCell ref="C41:D42"/>
    <mergeCell ref="L41:M41"/>
    <mergeCell ref="N41:O41"/>
    <mergeCell ref="P41:Q41"/>
    <mergeCell ref="R41:S41"/>
    <mergeCell ref="T41:U41"/>
    <mergeCell ref="F41:G41"/>
    <mergeCell ref="H41:I41"/>
    <mergeCell ref="J41:K41"/>
    <mergeCell ref="L40:M40"/>
    <mergeCell ref="N40:O40"/>
    <mergeCell ref="P40:Q40"/>
    <mergeCell ref="R40:S40"/>
    <mergeCell ref="T40:U40"/>
    <mergeCell ref="B40:C40"/>
    <mergeCell ref="F40:G40"/>
    <mergeCell ref="H40:I40"/>
    <mergeCell ref="J40:K40"/>
    <mergeCell ref="F4:G5"/>
    <mergeCell ref="H4:I5"/>
    <mergeCell ref="J4:K5"/>
    <mergeCell ref="B1:C1"/>
    <mergeCell ref="F1:G1"/>
    <mergeCell ref="H1:I1"/>
    <mergeCell ref="J1:K1"/>
    <mergeCell ref="V2:Y2"/>
    <mergeCell ref="F3:G3"/>
    <mergeCell ref="H3:I3"/>
    <mergeCell ref="J3:K3"/>
    <mergeCell ref="A2:B3"/>
    <mergeCell ref="C2:D3"/>
    <mergeCell ref="F2:G2"/>
    <mergeCell ref="H2:I2"/>
    <mergeCell ref="J2:K2"/>
    <mergeCell ref="M1:N1"/>
    <mergeCell ref="M2:N2"/>
    <mergeCell ref="M3:N3"/>
    <mergeCell ref="H7:H8"/>
    <mergeCell ref="I7:I8"/>
    <mergeCell ref="V4:W4"/>
    <mergeCell ref="X4:Z4"/>
    <mergeCell ref="V7:V8"/>
    <mergeCell ref="B7:B8"/>
    <mergeCell ref="C7:E8"/>
    <mergeCell ref="F7:F8"/>
    <mergeCell ref="C20:E20"/>
    <mergeCell ref="G7:G8"/>
    <mergeCell ref="C17:E17"/>
    <mergeCell ref="C15:E15"/>
    <mergeCell ref="V17:V18"/>
    <mergeCell ref="W17:Z18"/>
    <mergeCell ref="C18:E18"/>
    <mergeCell ref="M4:N6"/>
    <mergeCell ref="Q20:U20"/>
    <mergeCell ref="C5:D6"/>
    <mergeCell ref="F6:G6"/>
    <mergeCell ref="H6:I6"/>
    <mergeCell ref="J6:K6"/>
    <mergeCell ref="A4:B4"/>
    <mergeCell ref="C4:D4"/>
    <mergeCell ref="E4:E5"/>
    <mergeCell ref="A8:A30"/>
    <mergeCell ref="C9:E9"/>
    <mergeCell ref="V9:V10"/>
    <mergeCell ref="W9:Z10"/>
    <mergeCell ref="C10:E10"/>
    <mergeCell ref="C11:E11"/>
    <mergeCell ref="V11:V12"/>
    <mergeCell ref="W11:Z12"/>
    <mergeCell ref="W7:W8"/>
    <mergeCell ref="X7:Z8"/>
    <mergeCell ref="J7:J8"/>
    <mergeCell ref="K7:K8"/>
    <mergeCell ref="C14:E14"/>
    <mergeCell ref="V15:V16"/>
    <mergeCell ref="W15:Z16"/>
    <mergeCell ref="C16:E16"/>
    <mergeCell ref="X14:Z14"/>
    <mergeCell ref="Q16:U16"/>
    <mergeCell ref="Q17:U17"/>
    <mergeCell ref="Q18:U18"/>
    <mergeCell ref="C12:E12"/>
    <mergeCell ref="C13:E13"/>
    <mergeCell ref="Q30:U30"/>
    <mergeCell ref="Q19:U19"/>
    <mergeCell ref="A32:Z38"/>
    <mergeCell ref="Q9:U9"/>
    <mergeCell ref="C29:E29"/>
    <mergeCell ref="C30:E30"/>
    <mergeCell ref="C25:E25"/>
    <mergeCell ref="C26:E26"/>
    <mergeCell ref="C27:E27"/>
    <mergeCell ref="C28:E28"/>
    <mergeCell ref="C21:E21"/>
    <mergeCell ref="V21:V22"/>
    <mergeCell ref="W21:Z22"/>
    <mergeCell ref="C22:E22"/>
    <mergeCell ref="C23:E23"/>
    <mergeCell ref="V23:V24"/>
    <mergeCell ref="W23:Z24"/>
    <mergeCell ref="X20:Z20"/>
    <mergeCell ref="C24:E24"/>
    <mergeCell ref="Q15:U15"/>
    <mergeCell ref="Q10:U10"/>
    <mergeCell ref="Q11:U11"/>
    <mergeCell ref="Q12:U12"/>
    <mergeCell ref="Q13:U13"/>
    <mergeCell ref="Q14:U14"/>
    <mergeCell ref="C19:E19"/>
    <mergeCell ref="Q21:U21"/>
    <mergeCell ref="Q22:U22"/>
    <mergeCell ref="Q23:U23"/>
    <mergeCell ref="Q24:U24"/>
    <mergeCell ref="Q25:U25"/>
    <mergeCell ref="Q26:U26"/>
    <mergeCell ref="Q27:U27"/>
    <mergeCell ref="Q28:U28"/>
    <mergeCell ref="Q29:U29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30" orientation="landscape" r:id="rId1"/>
  <rowBreaks count="1" manualBreakCount="1">
    <brk id="38" max="2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D434D02-BAAD-4947-BBAC-5C5A1FA1E060}">
          <x14:formula1>
            <xm:f>' CADASTRO'!$J$2:$J$992</xm:f>
          </x14:formula1>
          <xm:sqref>F3:K3 F42:U42</xm:sqref>
        </x14:dataValidation>
        <x14:dataValidation type="list" allowBlank="1" showInputMessage="1" showErrorMessage="1" xr:uid="{3616EC47-3321-445B-883D-D8FB54785E7F}">
          <x14:formula1>
            <xm:f>' CADASTRO'!$I$2:$I$992</xm:f>
          </x14:formula1>
          <xm:sqref>F41:U41 F2:G2 J2:K2</xm:sqref>
        </x14:dataValidation>
        <x14:dataValidation type="list" allowBlank="1" showInputMessage="1" showErrorMessage="1" xr:uid="{3A7C5828-B4B0-4574-9E4A-609931384A01}">
          <x14:formula1>
            <xm:f>' CADASTRO'!$I$2:$I$2000</xm:f>
          </x14:formula1>
          <xm:sqref>H2:I2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4EB9-8550-4AC4-A28F-1AB11290D820}">
  <dimension ref="A1:AI38"/>
  <sheetViews>
    <sheetView topLeftCell="H1" zoomScale="80" zoomScaleNormal="80" workbookViewId="0">
      <selection activeCell="N24" sqref="N24"/>
    </sheetView>
  </sheetViews>
  <sheetFormatPr defaultRowHeight="15" x14ac:dyDescent="0.25"/>
  <cols>
    <col min="1" max="1" width="19.28515625" customWidth="1"/>
    <col min="2" max="2" width="12.85546875" customWidth="1"/>
    <col min="3" max="3" width="13.28515625" hidden="1" customWidth="1"/>
    <col min="4" max="4" width="14.140625" customWidth="1"/>
    <col min="5" max="5" width="16.140625" customWidth="1"/>
    <col min="6" max="6" width="10.5703125" hidden="1" customWidth="1"/>
    <col min="7" max="7" width="12.42578125" customWidth="1"/>
    <col min="8" max="8" width="20.42578125" customWidth="1"/>
    <col min="9" max="9" width="10.28515625" hidden="1" customWidth="1"/>
    <col min="10" max="10" width="13.5703125" customWidth="1"/>
    <col min="11" max="11" width="25.140625" customWidth="1"/>
    <col min="12" max="12" width="9.140625" hidden="1" customWidth="1"/>
    <col min="13" max="13" width="5.5703125" customWidth="1"/>
    <col min="14" max="14" width="39.28515625" customWidth="1"/>
    <col min="17" max="17" width="9.140625" customWidth="1"/>
    <col min="21" max="21" width="14.28515625" customWidth="1"/>
    <col min="22" max="22" width="1.85546875" style="214" customWidth="1"/>
    <col min="24" max="24" width="16.85546875" customWidth="1"/>
    <col min="25" max="25" width="2" style="214" customWidth="1"/>
    <col min="27" max="27" width="16.28515625" customWidth="1"/>
    <col min="28" max="28" width="2.28515625" style="214" customWidth="1"/>
    <col min="30" max="30" width="20" customWidth="1"/>
    <col min="31" max="31" width="2.7109375" customWidth="1"/>
    <col min="32" max="32" width="12.7109375" customWidth="1"/>
    <col min="33" max="33" width="20.5703125" customWidth="1"/>
    <col min="35" max="35" width="18.5703125" customWidth="1"/>
  </cols>
  <sheetData>
    <row r="1" spans="1:35" ht="58.9" customHeight="1" thickBot="1" x14ac:dyDescent="0.45">
      <c r="B1" s="317"/>
      <c r="C1" s="317"/>
      <c r="T1" s="463" t="s">
        <v>1197</v>
      </c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5"/>
    </row>
    <row r="2" spans="1:35" ht="47.45" customHeight="1" thickBot="1" x14ac:dyDescent="0.3">
      <c r="B2" s="176">
        <f>COUNTIF(C3:C20,1)</f>
        <v>10</v>
      </c>
      <c r="D2" s="176"/>
      <c r="E2" s="176">
        <f>COUNTIF(F3:F11,1)</f>
        <v>6</v>
      </c>
      <c r="G2" s="176"/>
      <c r="H2" s="176">
        <f>COUNTIF(I3:I11,1)</f>
        <v>6</v>
      </c>
      <c r="J2" s="176"/>
      <c r="K2" s="176">
        <f>COUNTIF(L4:L11,1)</f>
        <v>3</v>
      </c>
      <c r="N2" t="s">
        <v>1181</v>
      </c>
      <c r="T2" s="230" t="s">
        <v>1109</v>
      </c>
      <c r="U2" s="231" t="s">
        <v>1110</v>
      </c>
      <c r="V2" s="232"/>
      <c r="W2" s="233" t="s">
        <v>1109</v>
      </c>
      <c r="X2" s="233" t="s">
        <v>1112</v>
      </c>
      <c r="Y2" s="232"/>
      <c r="Z2" s="234" t="s">
        <v>1109</v>
      </c>
      <c r="AA2" s="234" t="s">
        <v>1116</v>
      </c>
      <c r="AB2" s="232"/>
      <c r="AC2" s="235" t="s">
        <v>1109</v>
      </c>
      <c r="AD2" s="236" t="s">
        <v>1196</v>
      </c>
      <c r="AE2" s="237"/>
      <c r="AF2" s="235" t="s">
        <v>1109</v>
      </c>
      <c r="AG2" s="238" t="s">
        <v>1194</v>
      </c>
    </row>
    <row r="3" spans="1:35" x14ac:dyDescent="0.25">
      <c r="A3" s="175" t="s">
        <v>1109</v>
      </c>
      <c r="B3" s="175" t="s">
        <v>1110</v>
      </c>
      <c r="D3" s="170" t="s">
        <v>1109</v>
      </c>
      <c r="E3" s="170" t="s">
        <v>1112</v>
      </c>
      <c r="G3" s="171" t="s">
        <v>1109</v>
      </c>
      <c r="H3" s="171" t="s">
        <v>1116</v>
      </c>
      <c r="J3" s="172" t="s">
        <v>1109</v>
      </c>
      <c r="K3" s="172" t="s">
        <v>1120</v>
      </c>
      <c r="N3" t="s">
        <v>1182</v>
      </c>
      <c r="O3">
        <v>1</v>
      </c>
      <c r="Q3">
        <f>SUM(O3:O8)+Q12</f>
        <v>30</v>
      </c>
      <c r="T3" s="216" t="s">
        <v>1193</v>
      </c>
      <c r="U3" s="213"/>
      <c r="V3" s="215"/>
      <c r="W3" s="206" t="s">
        <v>1113</v>
      </c>
      <c r="X3" s="206"/>
      <c r="Y3" s="215"/>
      <c r="Z3" s="208" t="s">
        <v>1117</v>
      </c>
      <c r="AA3" s="208"/>
      <c r="AB3" s="215"/>
      <c r="AC3" s="205" t="s">
        <v>1121</v>
      </c>
      <c r="AD3" s="205"/>
      <c r="AF3" s="205" t="s">
        <v>1135</v>
      </c>
      <c r="AG3" s="217"/>
      <c r="AI3" s="459" t="s">
        <v>1199</v>
      </c>
    </row>
    <row r="4" spans="1:35" x14ac:dyDescent="0.25">
      <c r="A4" s="475" t="s">
        <v>1193</v>
      </c>
      <c r="B4" s="475"/>
      <c r="C4">
        <f>IF(A4="","",1)</f>
        <v>1</v>
      </c>
      <c r="D4" s="469" t="s">
        <v>1113</v>
      </c>
      <c r="E4" s="469"/>
      <c r="F4">
        <f t="shared" ref="F4:F20" si="0">IF(D4="","",1)</f>
        <v>1</v>
      </c>
      <c r="G4" s="473" t="s">
        <v>1117</v>
      </c>
      <c r="H4" s="473"/>
      <c r="I4">
        <f t="shared" ref="I4:I19" si="1">IF(G4="","",1)</f>
        <v>1</v>
      </c>
      <c r="J4" s="470" t="s">
        <v>1121</v>
      </c>
      <c r="K4" s="470"/>
      <c r="L4">
        <f t="shared" ref="L4:L19" si="2">IF(J4="","",1)</f>
        <v>1</v>
      </c>
      <c r="N4" t="s">
        <v>1111</v>
      </c>
      <c r="O4">
        <v>1</v>
      </c>
      <c r="T4" s="216" t="s">
        <v>1182</v>
      </c>
      <c r="U4" s="213"/>
      <c r="V4" s="215"/>
      <c r="W4" s="206" t="s">
        <v>1114</v>
      </c>
      <c r="X4" s="206"/>
      <c r="Y4" s="215"/>
      <c r="Z4" s="208" t="s">
        <v>1118</v>
      </c>
      <c r="AA4" s="208"/>
      <c r="AB4" s="215"/>
      <c r="AC4" s="205" t="s">
        <v>1122</v>
      </c>
      <c r="AD4" s="205"/>
      <c r="AF4" s="205" t="s">
        <v>1195</v>
      </c>
      <c r="AG4" s="217"/>
      <c r="AI4" s="460"/>
    </row>
    <row r="5" spans="1:35" x14ac:dyDescent="0.25">
      <c r="A5" s="475" t="s">
        <v>1182</v>
      </c>
      <c r="B5" s="475"/>
      <c r="C5">
        <f t="shared" ref="C5:C20" si="3">IF(A5="","",1)</f>
        <v>1</v>
      </c>
      <c r="D5" s="469" t="s">
        <v>1114</v>
      </c>
      <c r="E5" s="469"/>
      <c r="F5">
        <f t="shared" si="0"/>
        <v>1</v>
      </c>
      <c r="G5" s="473" t="s">
        <v>1118</v>
      </c>
      <c r="H5" s="473"/>
      <c r="I5">
        <f t="shared" si="1"/>
        <v>1</v>
      </c>
      <c r="J5" s="470" t="s">
        <v>1122</v>
      </c>
      <c r="K5" s="470"/>
      <c r="L5">
        <f t="shared" si="2"/>
        <v>1</v>
      </c>
      <c r="N5" s="210" t="s">
        <v>1160</v>
      </c>
      <c r="O5">
        <v>1</v>
      </c>
      <c r="T5" s="218" t="s">
        <v>1180</v>
      </c>
      <c r="U5" s="207"/>
      <c r="V5" s="215"/>
      <c r="W5" s="206" t="s">
        <v>1115</v>
      </c>
      <c r="X5" s="206"/>
      <c r="Y5" s="215"/>
      <c r="Z5" s="208" t="s">
        <v>1059</v>
      </c>
      <c r="AA5" s="208"/>
      <c r="AB5" s="215"/>
      <c r="AC5" s="205" t="s">
        <v>1123</v>
      </c>
      <c r="AD5" s="205"/>
      <c r="AF5" s="205"/>
      <c r="AG5" s="217"/>
      <c r="AI5" s="460"/>
    </row>
    <row r="6" spans="1:35" x14ac:dyDescent="0.25">
      <c r="A6" s="476" t="s">
        <v>1180</v>
      </c>
      <c r="B6" s="476"/>
      <c r="C6">
        <f t="shared" si="3"/>
        <v>1</v>
      </c>
      <c r="D6" s="469" t="s">
        <v>1115</v>
      </c>
      <c r="E6" s="469"/>
      <c r="F6">
        <f t="shared" si="0"/>
        <v>1</v>
      </c>
      <c r="G6" s="473" t="s">
        <v>1059</v>
      </c>
      <c r="H6" s="473"/>
      <c r="I6">
        <f t="shared" si="1"/>
        <v>1</v>
      </c>
      <c r="J6" s="470" t="s">
        <v>1123</v>
      </c>
      <c r="K6" s="470"/>
      <c r="L6">
        <f t="shared" si="2"/>
        <v>1</v>
      </c>
      <c r="N6" s="210" t="s">
        <v>1162</v>
      </c>
      <c r="O6">
        <v>1</v>
      </c>
      <c r="T6" s="218" t="s">
        <v>1180</v>
      </c>
      <c r="U6" s="207"/>
      <c r="V6" s="215"/>
      <c r="W6" s="206" t="s">
        <v>1177</v>
      </c>
      <c r="X6" s="206"/>
      <c r="Y6" s="215"/>
      <c r="Z6" s="208" t="s">
        <v>233</v>
      </c>
      <c r="AA6" s="208"/>
      <c r="AB6" s="215"/>
      <c r="AC6" s="205" t="s">
        <v>1160</v>
      </c>
      <c r="AD6" s="205"/>
      <c r="AF6" s="205"/>
      <c r="AG6" s="217"/>
      <c r="AI6" s="466">
        <v>35</v>
      </c>
    </row>
    <row r="7" spans="1:35" ht="15.75" thickBot="1" x14ac:dyDescent="0.3">
      <c r="A7" s="476" t="s">
        <v>1180</v>
      </c>
      <c r="B7" s="476"/>
      <c r="C7">
        <f t="shared" si="3"/>
        <v>1</v>
      </c>
      <c r="D7" s="469" t="s">
        <v>1177</v>
      </c>
      <c r="E7" s="469"/>
      <c r="F7">
        <f t="shared" si="0"/>
        <v>1</v>
      </c>
      <c r="G7" s="473" t="s">
        <v>233</v>
      </c>
      <c r="H7" s="473"/>
      <c r="I7">
        <f t="shared" si="1"/>
        <v>1</v>
      </c>
      <c r="J7" s="470"/>
      <c r="K7" s="470"/>
      <c r="L7" t="str">
        <f t="shared" si="2"/>
        <v/>
      </c>
      <c r="N7" t="s">
        <v>1135</v>
      </c>
      <c r="O7">
        <v>1</v>
      </c>
      <c r="T7" s="218" t="s">
        <v>1180</v>
      </c>
      <c r="U7" s="207"/>
      <c r="V7" s="215"/>
      <c r="W7" s="206" t="s">
        <v>1161</v>
      </c>
      <c r="X7" s="206"/>
      <c r="Y7" s="215"/>
      <c r="Z7" s="208" t="s">
        <v>1119</v>
      </c>
      <c r="AA7" s="208"/>
      <c r="AB7" s="215"/>
      <c r="AC7" s="205"/>
      <c r="AD7" s="205"/>
      <c r="AF7" s="205"/>
      <c r="AG7" s="217"/>
      <c r="AI7" s="467"/>
    </row>
    <row r="8" spans="1:35" x14ac:dyDescent="0.25">
      <c r="A8" s="476" t="s">
        <v>1180</v>
      </c>
      <c r="B8" s="476"/>
      <c r="C8">
        <f t="shared" si="3"/>
        <v>1</v>
      </c>
      <c r="D8" s="469" t="s">
        <v>1161</v>
      </c>
      <c r="E8" s="469"/>
      <c r="F8">
        <f t="shared" si="0"/>
        <v>1</v>
      </c>
      <c r="G8" s="473" t="s">
        <v>1119</v>
      </c>
      <c r="H8" s="473"/>
      <c r="I8">
        <f t="shared" si="1"/>
        <v>1</v>
      </c>
      <c r="J8" s="470"/>
      <c r="K8" s="470"/>
      <c r="L8" t="str">
        <f t="shared" si="2"/>
        <v/>
      </c>
      <c r="N8" s="210"/>
      <c r="O8">
        <v>1</v>
      </c>
      <c r="T8" s="218" t="s">
        <v>1180</v>
      </c>
      <c r="U8" s="207"/>
      <c r="V8" s="215"/>
      <c r="W8" s="206" t="s">
        <v>1178</v>
      </c>
      <c r="X8" s="206"/>
      <c r="Y8" s="215"/>
      <c r="Z8" s="208" t="s">
        <v>1179</v>
      </c>
      <c r="AA8" s="208"/>
      <c r="AB8" s="215"/>
      <c r="AC8" s="205"/>
      <c r="AD8" s="205"/>
      <c r="AF8" s="205"/>
      <c r="AG8" s="217"/>
    </row>
    <row r="9" spans="1:35" x14ac:dyDescent="0.25">
      <c r="A9" s="207" t="s">
        <v>1180</v>
      </c>
      <c r="B9" s="207"/>
      <c r="C9">
        <f t="shared" si="3"/>
        <v>1</v>
      </c>
      <c r="D9" s="469" t="s">
        <v>1178</v>
      </c>
      <c r="E9" s="469"/>
      <c r="F9">
        <f t="shared" si="0"/>
        <v>1</v>
      </c>
      <c r="G9" s="208" t="s">
        <v>1179</v>
      </c>
      <c r="H9" s="208"/>
      <c r="I9">
        <f t="shared" si="1"/>
        <v>1</v>
      </c>
      <c r="J9" s="205"/>
      <c r="K9" s="205"/>
      <c r="T9" s="218" t="s">
        <v>1180</v>
      </c>
      <c r="U9" s="207"/>
      <c r="V9" s="215"/>
      <c r="W9" s="206" t="s">
        <v>1162</v>
      </c>
      <c r="X9" s="206"/>
      <c r="Y9" s="215"/>
      <c r="Z9" s="208"/>
      <c r="AA9" s="208"/>
      <c r="AB9" s="215"/>
      <c r="AC9" s="205"/>
      <c r="AD9" s="205"/>
      <c r="AF9" s="205"/>
      <c r="AG9" s="217"/>
    </row>
    <row r="10" spans="1:35" x14ac:dyDescent="0.25">
      <c r="A10" s="207" t="s">
        <v>1180</v>
      </c>
      <c r="B10" s="207"/>
      <c r="C10">
        <f t="shared" si="3"/>
        <v>1</v>
      </c>
      <c r="D10" s="206"/>
      <c r="E10" s="206"/>
      <c r="F10" t="str">
        <f t="shared" si="0"/>
        <v/>
      </c>
      <c r="G10" s="208"/>
      <c r="H10" s="208"/>
      <c r="J10" s="205"/>
      <c r="K10" s="205"/>
      <c r="T10" s="218" t="s">
        <v>1180</v>
      </c>
      <c r="U10" s="207"/>
      <c r="V10" s="215"/>
      <c r="W10" s="206"/>
      <c r="X10" s="206"/>
      <c r="Y10" s="215"/>
      <c r="Z10" s="208"/>
      <c r="AA10" s="208"/>
      <c r="AB10" s="215"/>
      <c r="AC10" s="205"/>
      <c r="AD10" s="205"/>
      <c r="AF10" s="205"/>
      <c r="AG10" s="217"/>
    </row>
    <row r="11" spans="1:35" ht="15.75" thickBot="1" x14ac:dyDescent="0.3">
      <c r="A11" s="476" t="s">
        <v>1180</v>
      </c>
      <c r="B11" s="476"/>
      <c r="C11">
        <f t="shared" si="3"/>
        <v>1</v>
      </c>
      <c r="F11" t="str">
        <f t="shared" si="0"/>
        <v/>
      </c>
      <c r="G11" s="473"/>
      <c r="H11" s="473"/>
      <c r="I11" t="str">
        <f t="shared" si="1"/>
        <v/>
      </c>
      <c r="J11" s="470"/>
      <c r="K11" s="470"/>
      <c r="L11" t="str">
        <f t="shared" si="2"/>
        <v/>
      </c>
      <c r="T11" s="219"/>
      <c r="U11" s="212"/>
      <c r="W11" s="206"/>
      <c r="X11" s="206"/>
      <c r="Y11" s="215"/>
      <c r="Z11" s="208"/>
      <c r="AA11" s="208"/>
      <c r="AB11" s="215"/>
      <c r="AC11" s="205"/>
      <c r="AD11" s="205"/>
      <c r="AF11" s="205"/>
      <c r="AG11" s="217"/>
    </row>
    <row r="12" spans="1:35" ht="27" customHeight="1" thickBot="1" x14ac:dyDescent="0.3">
      <c r="A12" s="471" t="s">
        <v>1160</v>
      </c>
      <c r="B12" s="471"/>
      <c r="C12">
        <f t="shared" si="3"/>
        <v>1</v>
      </c>
      <c r="D12" s="432">
        <f>COUNTIF(F13:F20,"1")</f>
        <v>4</v>
      </c>
      <c r="E12" s="432"/>
      <c r="G12" s="317">
        <f>COUNT(I13:I20,"1")</f>
        <v>3</v>
      </c>
      <c r="H12" s="317"/>
      <c r="K12">
        <f>COUNTIF(L14:L20,"1")</f>
        <v>2</v>
      </c>
      <c r="L12" t="str">
        <f t="shared" si="2"/>
        <v/>
      </c>
      <c r="Q12">
        <f>K12+K2+G12+H2+E2+D12</f>
        <v>24</v>
      </c>
      <c r="T12" s="219"/>
      <c r="U12" s="212"/>
      <c r="W12" s="239" t="s">
        <v>1109</v>
      </c>
      <c r="X12" s="240" t="s">
        <v>1130</v>
      </c>
      <c r="Y12" s="241"/>
      <c r="Z12" s="242" t="s">
        <v>1109</v>
      </c>
      <c r="AA12" s="242" t="s">
        <v>1127</v>
      </c>
      <c r="AB12" s="241"/>
      <c r="AC12" s="243" t="s">
        <v>1109</v>
      </c>
      <c r="AD12" s="244" t="s">
        <v>1124</v>
      </c>
      <c r="AG12" s="220"/>
    </row>
    <row r="13" spans="1:35" x14ac:dyDescent="0.25">
      <c r="A13" s="471" t="s">
        <v>1162</v>
      </c>
      <c r="B13" s="471"/>
      <c r="C13">
        <f t="shared" si="3"/>
        <v>1</v>
      </c>
      <c r="D13" s="172" t="s">
        <v>1109</v>
      </c>
      <c r="E13" s="172" t="s">
        <v>1130</v>
      </c>
      <c r="G13" s="170" t="s">
        <v>1109</v>
      </c>
      <c r="H13" s="170" t="s">
        <v>1127</v>
      </c>
      <c r="J13" s="173" t="s">
        <v>1109</v>
      </c>
      <c r="K13" s="173" t="s">
        <v>1124</v>
      </c>
      <c r="T13" s="219"/>
      <c r="U13" s="212"/>
      <c r="W13" s="205" t="s">
        <v>1131</v>
      </c>
      <c r="X13" s="205"/>
      <c r="Y13" s="215"/>
      <c r="Z13" s="206" t="s">
        <v>1128</v>
      </c>
      <c r="AA13" s="206"/>
      <c r="AB13" s="215"/>
      <c r="AC13" s="211" t="s">
        <v>1125</v>
      </c>
      <c r="AD13" s="211"/>
      <c r="AG13" s="220"/>
    </row>
    <row r="14" spans="1:35" x14ac:dyDescent="0.25">
      <c r="A14" s="471"/>
      <c r="B14" s="471"/>
      <c r="C14" t="str">
        <f t="shared" si="3"/>
        <v/>
      </c>
      <c r="D14" s="470" t="s">
        <v>1131</v>
      </c>
      <c r="E14" s="470"/>
      <c r="F14">
        <f t="shared" si="0"/>
        <v>1</v>
      </c>
      <c r="G14" s="469" t="s">
        <v>1128</v>
      </c>
      <c r="H14" s="469"/>
      <c r="I14">
        <f t="shared" si="1"/>
        <v>1</v>
      </c>
      <c r="J14" s="472" t="s">
        <v>1125</v>
      </c>
      <c r="K14" s="472"/>
      <c r="L14">
        <f t="shared" si="2"/>
        <v>1</v>
      </c>
      <c r="T14" s="219"/>
      <c r="U14" s="212"/>
      <c r="W14" s="205" t="s">
        <v>1132</v>
      </c>
      <c r="X14" s="205"/>
      <c r="Y14" s="215"/>
      <c r="Z14" s="206" t="s">
        <v>1129</v>
      </c>
      <c r="AA14" s="206"/>
      <c r="AB14" s="215"/>
      <c r="AC14" s="211" t="s">
        <v>1126</v>
      </c>
      <c r="AD14" s="211"/>
      <c r="AG14" s="220"/>
    </row>
    <row r="15" spans="1:35" x14ac:dyDescent="0.25">
      <c r="A15" s="471"/>
      <c r="B15" s="471"/>
      <c r="C15" t="str">
        <f t="shared" si="3"/>
        <v/>
      </c>
      <c r="D15" s="470" t="s">
        <v>1132</v>
      </c>
      <c r="E15" s="470"/>
      <c r="F15">
        <f t="shared" si="0"/>
        <v>1</v>
      </c>
      <c r="G15" s="474" t="s">
        <v>1129</v>
      </c>
      <c r="H15" s="474"/>
      <c r="I15">
        <f t="shared" si="1"/>
        <v>1</v>
      </c>
      <c r="J15" s="472" t="s">
        <v>1126</v>
      </c>
      <c r="K15" s="472"/>
      <c r="L15">
        <f t="shared" si="2"/>
        <v>1</v>
      </c>
      <c r="T15" s="219"/>
      <c r="U15" s="212"/>
      <c r="W15" s="205" t="s">
        <v>1133</v>
      </c>
      <c r="X15" s="205"/>
      <c r="Y15" s="215"/>
      <c r="Z15" s="206"/>
      <c r="AA15" s="206"/>
      <c r="AB15" s="215"/>
      <c r="AC15" s="211"/>
      <c r="AD15" s="211"/>
      <c r="AG15" s="220"/>
    </row>
    <row r="16" spans="1:35" x14ac:dyDescent="0.25">
      <c r="A16" s="471"/>
      <c r="B16" s="471"/>
      <c r="C16" t="str">
        <f t="shared" si="3"/>
        <v/>
      </c>
      <c r="D16" s="470" t="s">
        <v>1133</v>
      </c>
      <c r="E16" s="470"/>
      <c r="F16">
        <f t="shared" si="0"/>
        <v>1</v>
      </c>
      <c r="G16" s="469"/>
      <c r="H16" s="469"/>
      <c r="I16" t="str">
        <f t="shared" si="1"/>
        <v/>
      </c>
      <c r="J16" s="472"/>
      <c r="K16" s="472"/>
      <c r="L16" t="str">
        <f t="shared" si="2"/>
        <v/>
      </c>
      <c r="T16" s="219"/>
      <c r="U16" s="212"/>
      <c r="W16" s="205" t="s">
        <v>1134</v>
      </c>
      <c r="X16" s="205"/>
      <c r="Y16" s="215"/>
      <c r="Z16" s="206"/>
      <c r="AA16" s="206"/>
      <c r="AB16" s="215"/>
      <c r="AC16" s="211"/>
      <c r="AD16" s="211"/>
      <c r="AG16" s="220"/>
    </row>
    <row r="17" spans="1:35" x14ac:dyDescent="0.25">
      <c r="A17" s="471"/>
      <c r="B17" s="471"/>
      <c r="C17" t="str">
        <f t="shared" si="3"/>
        <v/>
      </c>
      <c r="D17" s="470" t="s">
        <v>1134</v>
      </c>
      <c r="E17" s="470"/>
      <c r="F17">
        <f t="shared" si="0"/>
        <v>1</v>
      </c>
      <c r="G17" s="469"/>
      <c r="H17" s="469"/>
      <c r="I17" t="str">
        <f t="shared" si="1"/>
        <v/>
      </c>
      <c r="J17" s="472"/>
      <c r="K17" s="472"/>
      <c r="L17" t="str">
        <f t="shared" si="2"/>
        <v/>
      </c>
      <c r="T17" s="219"/>
      <c r="U17" s="212"/>
      <c r="W17" s="205"/>
      <c r="X17" s="205"/>
      <c r="Y17" s="215"/>
      <c r="Z17" s="206"/>
      <c r="AA17" s="206"/>
      <c r="AB17" s="215"/>
      <c r="AC17" s="211"/>
      <c r="AD17" s="211"/>
      <c r="AG17" s="220"/>
    </row>
    <row r="18" spans="1:35" x14ac:dyDescent="0.25">
      <c r="A18" s="471"/>
      <c r="B18" s="471"/>
      <c r="C18" t="str">
        <f t="shared" si="3"/>
        <v/>
      </c>
      <c r="D18" s="470"/>
      <c r="E18" s="470"/>
      <c r="F18" t="str">
        <f t="shared" si="0"/>
        <v/>
      </c>
      <c r="G18" s="469"/>
      <c r="H18" s="469"/>
      <c r="I18" t="str">
        <f t="shared" si="1"/>
        <v/>
      </c>
      <c r="J18" s="472"/>
      <c r="K18" s="472"/>
      <c r="L18" t="str">
        <f t="shared" si="2"/>
        <v/>
      </c>
      <c r="T18" s="219"/>
      <c r="U18" s="212"/>
      <c r="W18" s="205"/>
      <c r="X18" s="205"/>
      <c r="Y18" s="215"/>
      <c r="Z18" s="206"/>
      <c r="AA18" s="206"/>
      <c r="AB18" s="215"/>
      <c r="AC18" s="211"/>
      <c r="AD18" s="211"/>
      <c r="AG18" s="220"/>
    </row>
    <row r="19" spans="1:35" ht="15.75" thickBot="1" x14ac:dyDescent="0.3">
      <c r="A19" s="471"/>
      <c r="B19" s="471"/>
      <c r="C19" t="str">
        <f t="shared" si="3"/>
        <v/>
      </c>
      <c r="D19" s="470"/>
      <c r="E19" s="470"/>
      <c r="F19" t="str">
        <f t="shared" si="0"/>
        <v/>
      </c>
      <c r="G19" s="469"/>
      <c r="H19" s="469"/>
      <c r="I19" t="str">
        <f t="shared" si="1"/>
        <v/>
      </c>
      <c r="J19" s="472"/>
      <c r="K19" s="472"/>
      <c r="L19" t="str">
        <f t="shared" si="2"/>
        <v/>
      </c>
      <c r="T19" s="221"/>
      <c r="U19" s="222"/>
      <c r="V19" s="223"/>
      <c r="W19" s="224"/>
      <c r="X19" s="224"/>
      <c r="Y19" s="225"/>
      <c r="Z19" s="226"/>
      <c r="AA19" s="226"/>
      <c r="AB19" s="223"/>
      <c r="AC19" s="227"/>
      <c r="AD19" s="227"/>
      <c r="AE19" s="228"/>
      <c r="AF19" s="228"/>
      <c r="AG19" s="229"/>
    </row>
    <row r="20" spans="1:35" ht="30.75" customHeight="1" thickBot="1" x14ac:dyDescent="0.45">
      <c r="A20" s="471"/>
      <c r="B20" s="471"/>
      <c r="C20" t="str">
        <f t="shared" si="3"/>
        <v/>
      </c>
      <c r="D20" s="470"/>
      <c r="E20" s="470"/>
      <c r="F20" t="str">
        <f t="shared" si="0"/>
        <v/>
      </c>
      <c r="G20" s="169"/>
      <c r="H20" s="169"/>
      <c r="J20" s="174"/>
      <c r="K20" s="174"/>
      <c r="T20" s="463" t="s">
        <v>1198</v>
      </c>
      <c r="U20" s="464"/>
      <c r="V20" s="464"/>
      <c r="W20" s="464"/>
      <c r="X20" s="464"/>
      <c r="Y20" s="464"/>
      <c r="Z20" s="464"/>
      <c r="AA20" s="464"/>
      <c r="AB20" s="464"/>
      <c r="AC20" s="464"/>
      <c r="AD20" s="464"/>
      <c r="AE20" s="464"/>
      <c r="AF20" s="464"/>
      <c r="AG20" s="465"/>
    </row>
    <row r="21" spans="1:35" ht="48" thickBot="1" x14ac:dyDescent="0.3">
      <c r="A21" s="468"/>
      <c r="B21" s="468"/>
      <c r="T21" s="230" t="s">
        <v>1109</v>
      </c>
      <c r="U21" s="231" t="s">
        <v>1110</v>
      </c>
      <c r="V21" s="232"/>
      <c r="W21" s="233" t="s">
        <v>1109</v>
      </c>
      <c r="X21" s="233" t="s">
        <v>1112</v>
      </c>
      <c r="Y21" s="232"/>
      <c r="Z21" s="234" t="s">
        <v>1109</v>
      </c>
      <c r="AA21" s="234" t="s">
        <v>1116</v>
      </c>
      <c r="AB21" s="232"/>
      <c r="AC21" s="235" t="s">
        <v>1109</v>
      </c>
      <c r="AD21" s="236" t="s">
        <v>1196</v>
      </c>
      <c r="AE21" s="237"/>
      <c r="AF21" s="235" t="s">
        <v>1109</v>
      </c>
      <c r="AG21" s="238" t="s">
        <v>1194</v>
      </c>
    </row>
    <row r="22" spans="1:35" x14ac:dyDescent="0.25">
      <c r="A22" s="468"/>
      <c r="B22" s="468"/>
      <c r="T22" s="216" t="s">
        <v>1193</v>
      </c>
      <c r="U22" s="213"/>
      <c r="V22" s="215"/>
      <c r="W22" s="206" t="s">
        <v>1113</v>
      </c>
      <c r="X22" s="206"/>
      <c r="Y22" s="215"/>
      <c r="Z22" s="208"/>
      <c r="AA22" s="208"/>
      <c r="AB22" s="215"/>
      <c r="AC22" s="205" t="s">
        <v>1121</v>
      </c>
      <c r="AD22" s="205"/>
      <c r="AF22" s="205"/>
      <c r="AG22" s="217"/>
    </row>
    <row r="23" spans="1:35" x14ac:dyDescent="0.25">
      <c r="A23" s="468"/>
      <c r="B23" s="468"/>
      <c r="T23" s="216" t="s">
        <v>1182</v>
      </c>
      <c r="U23" s="213"/>
      <c r="V23" s="215"/>
      <c r="W23" s="206"/>
      <c r="X23" s="206"/>
      <c r="Y23" s="215"/>
      <c r="Z23" s="208"/>
      <c r="AA23" s="208"/>
      <c r="AB23" s="215"/>
      <c r="AC23" s="205"/>
      <c r="AD23" s="205"/>
      <c r="AF23" s="205"/>
      <c r="AG23" s="217"/>
    </row>
    <row r="24" spans="1:35" x14ac:dyDescent="0.25">
      <c r="A24" s="468"/>
      <c r="B24" s="468"/>
      <c r="T24" s="218" t="s">
        <v>1180</v>
      </c>
      <c r="U24" s="207"/>
      <c r="V24" s="215"/>
      <c r="W24" s="206"/>
      <c r="X24" s="206"/>
      <c r="Y24" s="215"/>
      <c r="Z24" s="208"/>
      <c r="AA24" s="208"/>
      <c r="AB24" s="215"/>
      <c r="AC24" s="205" t="s">
        <v>1123</v>
      </c>
      <c r="AD24" s="205"/>
      <c r="AF24" s="205"/>
      <c r="AG24" s="217"/>
    </row>
    <row r="25" spans="1:35" x14ac:dyDescent="0.25">
      <c r="T25" s="218" t="s">
        <v>1180</v>
      </c>
      <c r="U25" s="207"/>
      <c r="V25" s="215"/>
      <c r="W25" s="206" t="s">
        <v>1177</v>
      </c>
      <c r="X25" s="206"/>
      <c r="Y25" s="215"/>
      <c r="Z25" s="208" t="s">
        <v>233</v>
      </c>
      <c r="AA25" s="208"/>
      <c r="AB25" s="215"/>
      <c r="AC25" s="205"/>
      <c r="AD25" s="205"/>
      <c r="AF25" s="205"/>
      <c r="AG25" s="217"/>
    </row>
    <row r="26" spans="1:35" ht="15.75" thickBot="1" x14ac:dyDescent="0.3">
      <c r="T26" s="218" t="s">
        <v>1180</v>
      </c>
      <c r="U26" s="207"/>
      <c r="V26" s="215"/>
      <c r="W26" s="206" t="s">
        <v>1161</v>
      </c>
      <c r="X26" s="206"/>
      <c r="Y26" s="215"/>
      <c r="Z26" s="208"/>
      <c r="AA26" s="208"/>
      <c r="AB26" s="215"/>
      <c r="AC26" s="205"/>
      <c r="AD26" s="205"/>
      <c r="AF26" s="205"/>
      <c r="AG26" s="217"/>
    </row>
    <row r="27" spans="1:35" x14ac:dyDescent="0.25">
      <c r="T27" s="218" t="s">
        <v>1180</v>
      </c>
      <c r="U27" s="207"/>
      <c r="V27" s="215"/>
      <c r="W27" s="206"/>
      <c r="X27" s="206"/>
      <c r="Y27" s="215"/>
      <c r="Z27" s="208"/>
      <c r="AA27" s="208"/>
      <c r="AB27" s="215"/>
      <c r="AC27" s="205"/>
      <c r="AD27" s="205"/>
      <c r="AF27" s="205"/>
      <c r="AG27" s="217"/>
      <c r="AI27" s="459" t="s">
        <v>1200</v>
      </c>
    </row>
    <row r="28" spans="1:35" x14ac:dyDescent="0.25">
      <c r="T28" s="218" t="s">
        <v>1180</v>
      </c>
      <c r="U28" s="207"/>
      <c r="V28" s="215"/>
      <c r="W28" s="206" t="s">
        <v>1162</v>
      </c>
      <c r="X28" s="206"/>
      <c r="Y28" s="215"/>
      <c r="Z28" s="208"/>
      <c r="AA28" s="208"/>
      <c r="AB28" s="215"/>
      <c r="AC28" s="205"/>
      <c r="AD28" s="205"/>
      <c r="AF28" s="205"/>
      <c r="AG28" s="217"/>
      <c r="AI28" s="460"/>
    </row>
    <row r="29" spans="1:35" x14ac:dyDescent="0.25">
      <c r="T29" s="218" t="s">
        <v>1180</v>
      </c>
      <c r="U29" s="207"/>
      <c r="V29" s="215"/>
      <c r="W29" s="206"/>
      <c r="X29" s="206"/>
      <c r="Y29" s="215"/>
      <c r="Z29" s="208"/>
      <c r="AA29" s="208"/>
      <c r="AB29" s="215"/>
      <c r="AC29" s="205"/>
      <c r="AD29" s="205"/>
      <c r="AF29" s="205"/>
      <c r="AG29" s="217"/>
      <c r="AI29" s="460"/>
    </row>
    <row r="30" spans="1:35" ht="15.75" thickBot="1" x14ac:dyDescent="0.3">
      <c r="T30" s="219"/>
      <c r="U30" s="212"/>
      <c r="W30" s="206"/>
      <c r="X30" s="206"/>
      <c r="Y30" s="215"/>
      <c r="Z30" s="208"/>
      <c r="AA30" s="208"/>
      <c r="AB30" s="215"/>
      <c r="AC30" s="205"/>
      <c r="AD30" s="205"/>
      <c r="AF30" s="205"/>
      <c r="AG30" s="217"/>
      <c r="AI30" s="461">
        <v>21</v>
      </c>
    </row>
    <row r="31" spans="1:35" ht="27" customHeight="1" thickBot="1" x14ac:dyDescent="0.3">
      <c r="T31" s="219"/>
      <c r="U31" s="212"/>
      <c r="W31" s="245" t="s">
        <v>1109</v>
      </c>
      <c r="X31" s="246" t="s">
        <v>1130</v>
      </c>
      <c r="Y31" s="247"/>
      <c r="Z31" s="248" t="s">
        <v>1109</v>
      </c>
      <c r="AA31" s="248" t="s">
        <v>1127</v>
      </c>
      <c r="AB31" s="247"/>
      <c r="AC31" s="249" t="s">
        <v>1109</v>
      </c>
      <c r="AD31" s="250" t="s">
        <v>1124</v>
      </c>
      <c r="AG31" s="220"/>
      <c r="AI31" s="462"/>
    </row>
    <row r="32" spans="1:35" x14ac:dyDescent="0.25">
      <c r="T32" s="219"/>
      <c r="U32" s="212"/>
      <c r="W32" s="205" t="s">
        <v>1131</v>
      </c>
      <c r="X32" s="205"/>
      <c r="Y32" s="215"/>
      <c r="Z32" s="206" t="s">
        <v>1128</v>
      </c>
      <c r="AA32" s="206"/>
      <c r="AB32" s="215"/>
      <c r="AC32" s="211" t="s">
        <v>1125</v>
      </c>
      <c r="AD32" s="211"/>
      <c r="AG32" s="220"/>
    </row>
    <row r="33" spans="20:33" x14ac:dyDescent="0.25">
      <c r="T33" s="219"/>
      <c r="U33" s="212"/>
      <c r="W33" s="205" t="s">
        <v>1132</v>
      </c>
      <c r="X33" s="205"/>
      <c r="Y33" s="215"/>
      <c r="Z33" s="206"/>
      <c r="AA33" s="206"/>
      <c r="AB33" s="215"/>
      <c r="AC33" s="211"/>
      <c r="AD33" s="211"/>
      <c r="AG33" s="220"/>
    </row>
    <row r="34" spans="20:33" x14ac:dyDescent="0.25">
      <c r="T34" s="219"/>
      <c r="U34" s="212"/>
      <c r="W34" s="205" t="s">
        <v>1133</v>
      </c>
      <c r="X34" s="205"/>
      <c r="Y34" s="215"/>
      <c r="Z34" s="206"/>
      <c r="AA34" s="206"/>
      <c r="AB34" s="215"/>
      <c r="AC34" s="211"/>
      <c r="AD34" s="211"/>
      <c r="AG34" s="220"/>
    </row>
    <row r="35" spans="20:33" x14ac:dyDescent="0.25">
      <c r="T35" s="219"/>
      <c r="U35" s="212"/>
      <c r="W35" s="205" t="s">
        <v>1134</v>
      </c>
      <c r="X35" s="205"/>
      <c r="Y35" s="215"/>
      <c r="Z35" s="206"/>
      <c r="AA35" s="206"/>
      <c r="AB35" s="215"/>
      <c r="AC35" s="211"/>
      <c r="AD35" s="211"/>
      <c r="AG35" s="220"/>
    </row>
    <row r="36" spans="20:33" x14ac:dyDescent="0.25">
      <c r="T36" s="219"/>
      <c r="U36" s="212"/>
      <c r="W36" s="205"/>
      <c r="X36" s="205"/>
      <c r="Y36" s="215"/>
      <c r="Z36" s="206"/>
      <c r="AA36" s="206"/>
      <c r="AB36" s="215"/>
      <c r="AC36" s="211"/>
      <c r="AD36" s="211"/>
      <c r="AG36" s="220"/>
    </row>
    <row r="37" spans="20:33" x14ac:dyDescent="0.25">
      <c r="T37" s="219"/>
      <c r="U37" s="212"/>
      <c r="W37" s="205"/>
      <c r="X37" s="205"/>
      <c r="Y37" s="215"/>
      <c r="Z37" s="206"/>
      <c r="AA37" s="206"/>
      <c r="AB37" s="215"/>
      <c r="AC37" s="211"/>
      <c r="AD37" s="211"/>
      <c r="AG37" s="220"/>
    </row>
    <row r="38" spans="20:33" ht="15.75" thickBot="1" x14ac:dyDescent="0.3">
      <c r="T38" s="221"/>
      <c r="U38" s="222"/>
      <c r="V38" s="223"/>
      <c r="W38" s="224"/>
      <c r="X38" s="224"/>
      <c r="Y38" s="225"/>
      <c r="Z38" s="226"/>
      <c r="AA38" s="226"/>
      <c r="AB38" s="223"/>
      <c r="AC38" s="227"/>
      <c r="AD38" s="227"/>
      <c r="AE38" s="228"/>
      <c r="AF38" s="228"/>
      <c r="AG38" s="229"/>
    </row>
  </sheetData>
  <mergeCells count="65">
    <mergeCell ref="A8:B8"/>
    <mergeCell ref="A11:B11"/>
    <mergeCell ref="G12:H12"/>
    <mergeCell ref="D20:E20"/>
    <mergeCell ref="D15:E15"/>
    <mergeCell ref="D16:E16"/>
    <mergeCell ref="D17:E17"/>
    <mergeCell ref="D18:E18"/>
    <mergeCell ref="D19:E19"/>
    <mergeCell ref="G18:H18"/>
    <mergeCell ref="G19:H19"/>
    <mergeCell ref="J17:K17"/>
    <mergeCell ref="J18:K18"/>
    <mergeCell ref="B1:C1"/>
    <mergeCell ref="G14:H14"/>
    <mergeCell ref="G15:H15"/>
    <mergeCell ref="G16:H16"/>
    <mergeCell ref="G17:H17"/>
    <mergeCell ref="A13:B13"/>
    <mergeCell ref="A14:B14"/>
    <mergeCell ref="A15:B15"/>
    <mergeCell ref="A16:B16"/>
    <mergeCell ref="A17:B17"/>
    <mergeCell ref="A4:B4"/>
    <mergeCell ref="A5:B5"/>
    <mergeCell ref="A6:B6"/>
    <mergeCell ref="A7:B7"/>
    <mergeCell ref="J19:K19"/>
    <mergeCell ref="J11:K11"/>
    <mergeCell ref="G4:H4"/>
    <mergeCell ref="G5:H5"/>
    <mergeCell ref="G6:H6"/>
    <mergeCell ref="G7:H7"/>
    <mergeCell ref="G8:H8"/>
    <mergeCell ref="G11:H11"/>
    <mergeCell ref="J4:K4"/>
    <mergeCell ref="J5:K5"/>
    <mergeCell ref="J6:K6"/>
    <mergeCell ref="J7:K7"/>
    <mergeCell ref="J8:K8"/>
    <mergeCell ref="J14:K14"/>
    <mergeCell ref="J15:K15"/>
    <mergeCell ref="J16:K16"/>
    <mergeCell ref="A24:B24"/>
    <mergeCell ref="D4:E4"/>
    <mergeCell ref="D5:E5"/>
    <mergeCell ref="D6:E6"/>
    <mergeCell ref="D7:E7"/>
    <mergeCell ref="D8:E8"/>
    <mergeCell ref="D9:E9"/>
    <mergeCell ref="D12:E12"/>
    <mergeCell ref="D14:E14"/>
    <mergeCell ref="A18:B18"/>
    <mergeCell ref="A19:B19"/>
    <mergeCell ref="A20:B20"/>
    <mergeCell ref="A21:B21"/>
    <mergeCell ref="A22:B22"/>
    <mergeCell ref="A23:B23"/>
    <mergeCell ref="A12:B12"/>
    <mergeCell ref="AI27:AI29"/>
    <mergeCell ref="AI30:AI31"/>
    <mergeCell ref="T1:AG1"/>
    <mergeCell ref="T20:AG20"/>
    <mergeCell ref="AI3:AI5"/>
    <mergeCell ref="AI6:AI7"/>
  </mergeCells>
  <pageMargins left="0.51181102362204722" right="0.51181102362204722" top="0.78740157480314965" bottom="0.78740157480314965" header="0.31496062992125984" footer="0.31496062992125984"/>
  <pageSetup paperSize="9" scale="9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2AFE-7B2E-40AD-B4F6-86DEB019F2E6}">
  <dimension ref="A1:T34"/>
  <sheetViews>
    <sheetView topLeftCell="B12" zoomScaleNormal="100" workbookViewId="0">
      <selection activeCell="S40" sqref="S40"/>
    </sheetView>
  </sheetViews>
  <sheetFormatPr defaultRowHeight="15" x14ac:dyDescent="0.25"/>
  <cols>
    <col min="1" max="2" width="12.5703125" customWidth="1"/>
    <col min="3" max="3" width="7.85546875" style="13" customWidth="1"/>
    <col min="4" max="4" width="11.28515625" style="13" customWidth="1"/>
    <col min="5" max="5" width="11.42578125" style="13" customWidth="1"/>
    <col min="6" max="6" width="11.7109375" style="13" customWidth="1"/>
    <col min="7" max="7" width="11.42578125" style="13" customWidth="1"/>
    <col min="8" max="8" width="12.140625" style="13" customWidth="1"/>
    <col min="9" max="9" width="17.28515625" style="14" customWidth="1"/>
    <col min="10" max="10" width="11.7109375" customWidth="1"/>
    <col min="11" max="11" width="4.85546875" customWidth="1"/>
    <col min="15" max="15" width="8.85546875" style="14"/>
    <col min="19" max="19" width="13.7109375" style="14" customWidth="1"/>
    <col min="20" max="20" width="8.85546875" style="14"/>
  </cols>
  <sheetData>
    <row r="1" spans="1:20" x14ac:dyDescent="0.25">
      <c r="A1" s="478" t="s">
        <v>232</v>
      </c>
      <c r="B1" s="480">
        <f>SUM(J1,J2)</f>
        <v>795</v>
      </c>
      <c r="I1" s="60" t="s">
        <v>105</v>
      </c>
      <c r="J1" s="61">
        <f>SUMIF(' CADASTRO'!T2:$T$745,"1")</f>
        <v>721</v>
      </c>
      <c r="L1" s="477" t="s">
        <v>978</v>
      </c>
      <c r="M1" s="477"/>
      <c r="N1" s="477"/>
      <c r="O1" s="40">
        <f>SUMIFS(' CADASTRO'!T:T,' CADASTRO'!S:S,"PN-001",' CADASTRO'!T:T,"1")</f>
        <v>455</v>
      </c>
      <c r="P1" s="52" t="s">
        <v>219</v>
      </c>
      <c r="Q1" s="74" t="s">
        <v>233</v>
      </c>
      <c r="R1" s="74"/>
      <c r="S1" s="75"/>
    </row>
    <row r="2" spans="1:20" x14ac:dyDescent="0.25">
      <c r="A2" s="479"/>
      <c r="B2" s="481"/>
      <c r="I2" s="60" t="s">
        <v>104</v>
      </c>
      <c r="J2" s="61">
        <f>SUMIF(' CADASTRO'!T746:$T$892,"1")</f>
        <v>74</v>
      </c>
      <c r="L2" s="477" t="s">
        <v>979</v>
      </c>
      <c r="M2" s="477"/>
      <c r="N2" s="477"/>
      <c r="O2" s="40">
        <f>SUMIFS(' CADASTRO'!T:T,' CADASTRO'!S:S,"PN-002",' CADASTRO'!T:T,"1")</f>
        <v>477</v>
      </c>
      <c r="P2" s="52" t="s">
        <v>220</v>
      </c>
      <c r="Q2" s="74" t="s">
        <v>234</v>
      </c>
      <c r="R2" s="74" t="s">
        <v>1059</v>
      </c>
      <c r="S2" s="75"/>
    </row>
    <row r="3" spans="1:20" x14ac:dyDescent="0.25">
      <c r="J3" s="168"/>
      <c r="S3" s="14" t="s">
        <v>168</v>
      </c>
    </row>
    <row r="4" spans="1:20" x14ac:dyDescent="0.25">
      <c r="A4" s="52"/>
      <c r="B4" s="52" t="s">
        <v>135</v>
      </c>
      <c r="C4" s="16"/>
      <c r="D4" s="16" t="s">
        <v>221</v>
      </c>
      <c r="E4" s="16"/>
      <c r="F4" s="16"/>
      <c r="G4" s="16"/>
      <c r="H4" s="16"/>
      <c r="I4" s="40" t="s">
        <v>1060</v>
      </c>
      <c r="J4" s="59">
        <f>SUM(J5:J28)</f>
        <v>402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  <c r="S4" s="41" t="s">
        <v>167</v>
      </c>
      <c r="T4" s="110" t="s">
        <v>226</v>
      </c>
    </row>
    <row r="5" spans="1:20" x14ac:dyDescent="0.25">
      <c r="A5" s="52" t="s">
        <v>137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8" si="1">G5+1</f>
        <v>45738</v>
      </c>
      <c r="I5" s="55">
        <f t="shared" ref="I5:I28" si="2">B5+C5</f>
        <v>45739</v>
      </c>
      <c r="J5" s="56">
        <f>COUNTIFS(' CADASTRO'!$R$2:$R$993,ACABAMENTO!B5)+COUNTIFS(' CADASTRO'!$R$2:$R$993,D5)+COUNTIFS(' CADASTRO'!$R$2:R$993,E5)+COUNTIFS(' CADASTRO'!$R$2:$R$993,F5)+COUNTIFS(' CADASTRO'!$R$2:$R$993,G5)+COUNTIFS(' CADASTRO'!$R$2:$R$993,H5)+COUNTIFS(' CADASTRO'!$R$2:$R$993,I5)</f>
        <v>2</v>
      </c>
      <c r="L5" s="40">
        <f>IF(B5="","",COUNTIFS(' CADASTRO'!$R$2:$R$993,ACABAMENTO!B5))</f>
        <v>0</v>
      </c>
      <c r="M5" s="40">
        <f>IF(D5=0,"",COUNTIFS(' CADASTRO'!$R$2:R$993,ACABAMENTO!D5))</f>
        <v>0</v>
      </c>
      <c r="N5" s="40">
        <f>COUNTIFS(' CADASTRO'!$R$2:R$993,ACABAMENTO!E5)</f>
        <v>0</v>
      </c>
      <c r="O5" s="40">
        <f>COUNTIFS(' CADASTRO'!$R$2:R$993,ACABAMENTO!F5)</f>
        <v>0</v>
      </c>
      <c r="P5" s="40">
        <f>COUNTIFS(' CADASTRO'!$R$2:R$993,ACABAMENTO!G5)</f>
        <v>0</v>
      </c>
      <c r="Q5" s="40">
        <f>COUNTIFS(' CADASTRO'!$R$2:R$993,ACABAMENTO!H5)</f>
        <v>2</v>
      </c>
      <c r="R5" s="40">
        <f>COUNTIFS(' CADASTRO'!$R$2:R$993,ACABAMENTO!I5)</f>
        <v>0</v>
      </c>
      <c r="S5" s="62">
        <f>SUM(L5:Q5)/6</f>
        <v>0.33333333333333331</v>
      </c>
      <c r="T5" s="109">
        <f>SUM(L5:R5)/24</f>
        <v>8.3333333333333329E-2</v>
      </c>
    </row>
    <row r="6" spans="1:20" x14ac:dyDescent="0.25">
      <c r="A6" s="52" t="s">
        <v>138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21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CADASTRO'!$R$2:$R$993,ACABAMENTO!B6)+COUNTIFS(' CADASTRO'!$R$2:$R$993,D6)+COUNTIFS(' CADASTRO'!$R$2:R$993,E6)+COUNTIFS(' CADASTRO'!$R$2:$R$993,F6)+COUNTIFS(' CADASTRO'!$R$2:$R$993,G6)+COUNTIFS(' CADASTRO'!$R$2:$R$993,H6)+COUNTIFS(' CADASTRO'!$R$2:$R$993,I6)</f>
        <v>11</v>
      </c>
      <c r="L6" s="40">
        <f>IF(B6="","",COUNTIFS(' CADASTRO'!$R$2:$R$993,ACABAMENTO!B6))</f>
        <v>2</v>
      </c>
      <c r="M6" s="40">
        <f>IF(D6=0,"",COUNTIFS(' CADASTRO'!$R$2:R$993,ACABAMENTO!D6))</f>
        <v>3</v>
      </c>
      <c r="N6" s="40">
        <f>COUNTIFS(' CADASTRO'!$R$2:R$993,ACABAMENTO!E6)</f>
        <v>0</v>
      </c>
      <c r="O6" s="40">
        <f>COUNTIFS(' CADASTRO'!$R$2:R$993,ACABAMENTO!F6)</f>
        <v>2</v>
      </c>
      <c r="P6" s="40">
        <f>COUNTIFS(' CADASTRO'!$R$2:R$993,ACABAMENTO!G6)</f>
        <v>1</v>
      </c>
      <c r="Q6" s="40">
        <f>COUNTIFS(' CADASTRO'!$R$2:R$993,ACABAMENTO!H6)</f>
        <v>3</v>
      </c>
      <c r="R6" s="40">
        <f>COUNTIFS(' CADASTRO'!$R$2:R$993,ACABAMENTO!I6)</f>
        <v>0</v>
      </c>
      <c r="S6" s="62">
        <f>SUM(L6:Q6)/6</f>
        <v>1.8333333333333333</v>
      </c>
      <c r="T6" s="109">
        <f t="shared" ref="T6:T28" si="5">SUM(L6:R6)/24</f>
        <v>0.45833333333333331</v>
      </c>
    </row>
    <row r="7" spans="1:20" x14ac:dyDescent="0.25">
      <c r="A7" s="52" t="s">
        <v>139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si="4"/>
        <v>45749</v>
      </c>
      <c r="F7" s="53">
        <f t="shared" si="4"/>
        <v>45750</v>
      </c>
      <c r="G7" s="53">
        <f t="shared" si="4"/>
        <v>45751</v>
      </c>
      <c r="H7" s="53">
        <f t="shared" si="1"/>
        <v>45752</v>
      </c>
      <c r="I7" s="55">
        <f>B7+C7</f>
        <v>45753</v>
      </c>
      <c r="J7" s="56">
        <f>COUNTIFS(' CADASTRO'!$R$2:$R$993,ACABAMENTO!B7)+COUNTIFS(' CADASTRO'!$R$2:$R$993,D7)+COUNTIFS(' CADASTRO'!$R$2:R$993,E7)+COUNTIFS(' CADASTRO'!$R$2:$R$993,F7)+COUNTIFS(' CADASTRO'!$R$2:$R$993,G7)+COUNTIFS(' CADASTRO'!$R$2:$R$993,H7)+COUNTIFS(' CADASTRO'!$R$2:$R$993,I7)</f>
        <v>19</v>
      </c>
      <c r="L7" s="40">
        <f>IF(B7="","",COUNTIFS(' CADASTRO'!$R$2:$R$993,ACABAMENTO!B7))</f>
        <v>2</v>
      </c>
      <c r="M7" s="40">
        <f>IF(D7=0,"",COUNTIFS(' CADASTRO'!$R$2:R$993,ACABAMENTO!D7))</f>
        <v>4</v>
      </c>
      <c r="N7" s="40">
        <f>COUNTIFS(' CADASTRO'!$R$2:R$993,ACABAMENTO!E7)</f>
        <v>3</v>
      </c>
      <c r="O7" s="40">
        <f>COUNTIFS(' CADASTRO'!$R$2:R$993,ACABAMENTO!F7)</f>
        <v>2</v>
      </c>
      <c r="P7" s="40">
        <f>COUNTIFS(' CADASTRO'!$R$2:R$993,ACABAMENTO!G7)</f>
        <v>2</v>
      </c>
      <c r="Q7" s="40">
        <f>COUNTIFS(' CADASTRO'!$R$2:R$993,ACABAMENTO!H7)</f>
        <v>6</v>
      </c>
      <c r="R7" s="40">
        <f>COUNTIFS(' CADASTRO'!$R$2:R$993,ACABAMENTO!I7)</f>
        <v>0</v>
      </c>
      <c r="S7" s="62">
        <f t="shared" ref="S7:S28" si="7">SUM(L7:Q7)/6</f>
        <v>3.1666666666666665</v>
      </c>
      <c r="T7" s="109">
        <f t="shared" si="5"/>
        <v>0.79166666666666663</v>
      </c>
    </row>
    <row r="8" spans="1:20" x14ac:dyDescent="0.25">
      <c r="A8" s="52" t="s">
        <v>140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si="4"/>
        <v>45756</v>
      </c>
      <c r="F8" s="53">
        <f t="shared" si="4"/>
        <v>45757</v>
      </c>
      <c r="G8" s="53">
        <f t="shared" si="4"/>
        <v>45758</v>
      </c>
      <c r="H8" s="53">
        <f t="shared" si="1"/>
        <v>45759</v>
      </c>
      <c r="I8" s="55">
        <f t="shared" si="2"/>
        <v>45760</v>
      </c>
      <c r="J8" s="56">
        <f>COUNTIFS(' CADASTRO'!$R$2:$R$993,ACABAMENTO!B8)+COUNTIFS(' CADASTRO'!$R$2:$R$993,D8)+COUNTIFS(' CADASTRO'!$R$2:R$993,E8)+COUNTIFS(' CADASTRO'!$R$2:$R$993,F8)+COUNTIFS(' CADASTRO'!$R$2:$R$993,G8)+COUNTIFS(' CADASTRO'!$R$2:$R$993,H8)+COUNTIFS(' CADASTRO'!$R$2:$R$993,I8)</f>
        <v>12</v>
      </c>
      <c r="L8" s="40">
        <f>IF(B8="","",COUNTIFS(' CADASTRO'!$R$2:$R$993,ACABAMENTO!B8))</f>
        <v>2</v>
      </c>
      <c r="M8" s="40">
        <f>IF(D8=0,"",COUNTIFS(' CADASTRO'!$R$2:R$993,ACABAMENTO!D8))</f>
        <v>0</v>
      </c>
      <c r="N8" s="40">
        <f>COUNTIFS(' CADASTRO'!$R$2:R$993,ACABAMENTO!E8)</f>
        <v>4</v>
      </c>
      <c r="O8" s="40">
        <f>COUNTIFS(' CADASTRO'!$R$2:R$993,ACABAMENTO!F8)</f>
        <v>0</v>
      </c>
      <c r="P8" s="40">
        <f>COUNTIFS(' CADASTRO'!$R$2:R$993,ACABAMENTO!G8)</f>
        <v>6</v>
      </c>
      <c r="Q8" s="40">
        <f>COUNTIFS(' CADASTRO'!$R$2:R$993,ACABAMENTO!H8)</f>
        <v>0</v>
      </c>
      <c r="R8" s="40">
        <f>COUNTIFS(' CADASTRO'!$R$2:R$993,ACABAMENTO!I8)</f>
        <v>0</v>
      </c>
      <c r="S8" s="62">
        <f t="shared" si="7"/>
        <v>2</v>
      </c>
      <c r="T8" s="109">
        <f t="shared" si="5"/>
        <v>0.5</v>
      </c>
    </row>
    <row r="9" spans="1:20" x14ac:dyDescent="0.25">
      <c r="A9" s="52" t="s">
        <v>141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si="4"/>
        <v>45763</v>
      </c>
      <c r="F9" s="53">
        <f t="shared" si="4"/>
        <v>45764</v>
      </c>
      <c r="G9" s="53">
        <f t="shared" si="4"/>
        <v>45765</v>
      </c>
      <c r="H9" s="53">
        <f t="shared" si="1"/>
        <v>45766</v>
      </c>
      <c r="I9" s="55">
        <f t="shared" si="2"/>
        <v>45767</v>
      </c>
      <c r="J9" s="56">
        <f>COUNTIFS(' CADASTRO'!$R$2:$R$993,ACABAMENTO!B9)+COUNTIFS(' CADASTRO'!$R$2:$R$993,D9)+COUNTIFS(' CADASTRO'!$R$2:R$993,E9)+COUNTIFS(' CADASTRO'!$R$2:$R$993,F9)+COUNTIFS(' CADASTRO'!$R$2:$R$993,G9)+COUNTIFS(' CADASTRO'!$R$2:$R$993,H9)+COUNTIFS(' CADASTRO'!$R$2:$R$993,I9)</f>
        <v>9</v>
      </c>
      <c r="L9" s="40">
        <f>IF(B9="","",COUNTIFS(' CADASTRO'!$R$2:$R$993,ACABAMENTO!B9))</f>
        <v>0</v>
      </c>
      <c r="M9" s="40">
        <f>IF(D9=0,"",COUNTIFS(' CADASTRO'!$R$2:R$993,ACABAMENTO!D9))</f>
        <v>4</v>
      </c>
      <c r="N9" s="40">
        <f>COUNTIFS(' CADASTRO'!$R$2:R$993,ACABAMENTO!E9)</f>
        <v>0</v>
      </c>
      <c r="O9" s="40">
        <f>COUNTIFS(' CADASTRO'!$R$2:R$993,ACABAMENTO!F9)</f>
        <v>5</v>
      </c>
      <c r="P9" s="40">
        <f>COUNTIFS(' CADASTRO'!$R$2:R$993,ACABAMENTO!G9)</f>
        <v>0</v>
      </c>
      <c r="Q9" s="40">
        <f>COUNTIFS(' CADASTRO'!$R$2:R$993,ACABAMENTO!H9)</f>
        <v>0</v>
      </c>
      <c r="R9" s="40">
        <f>COUNTIFS(' CADASTRO'!$R$2:R$993,ACABAMENTO!I9)</f>
        <v>0</v>
      </c>
      <c r="S9" s="62">
        <f t="shared" si="7"/>
        <v>1.5</v>
      </c>
      <c r="T9" s="109">
        <f t="shared" si="5"/>
        <v>0.375</v>
      </c>
    </row>
    <row r="10" spans="1:20" x14ac:dyDescent="0.25">
      <c r="A10" s="52" t="s">
        <v>142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si="4"/>
        <v>45770</v>
      </c>
      <c r="F10" s="53">
        <f t="shared" si="4"/>
        <v>45771</v>
      </c>
      <c r="G10" s="53">
        <f t="shared" si="4"/>
        <v>45772</v>
      </c>
      <c r="H10" s="53">
        <f t="shared" si="1"/>
        <v>45773</v>
      </c>
      <c r="I10" s="55">
        <f t="shared" si="2"/>
        <v>45774</v>
      </c>
      <c r="J10" s="56">
        <f>COUNTIFS(' CADASTRO'!$R$2:$R$993,ACABAMENTO!B10)+COUNTIFS(' CADASTRO'!$R$2:$R$993,D10)+COUNTIFS(' CADASTRO'!$R$2:R$993,E10)+COUNTIFS(' CADASTRO'!$R$2:$R$993,F10)+COUNTIFS(' CADASTRO'!$R$2:$R$993,G10)+COUNTIFS(' CADASTRO'!$R$2:$R$993,H10)+COUNTIFS(' CADASTRO'!$R$2:$R$993,I10)</f>
        <v>13</v>
      </c>
      <c r="L10" s="40">
        <f>IF(B10="","",COUNTIFS(' CADASTRO'!$R$2:$R$993,ACABAMENTO!B10))</f>
        <v>0</v>
      </c>
      <c r="M10" s="40">
        <f>IF(D10=0,"",COUNTIFS(' CADASTRO'!$R$2:R$993,ACABAMENTO!D10))</f>
        <v>4</v>
      </c>
      <c r="N10" s="40">
        <f>COUNTIFS(' CADASTRO'!$R$2:R$993,ACABAMENTO!E10)</f>
        <v>0</v>
      </c>
      <c r="O10" s="40">
        <f>COUNTIFS(' CADASTRO'!$R$2:R$993,ACABAMENTO!F10)</f>
        <v>3</v>
      </c>
      <c r="P10" s="40">
        <f>COUNTIFS(' CADASTRO'!$R$2:R$993,ACABAMENTO!G10)</f>
        <v>0</v>
      </c>
      <c r="Q10" s="40">
        <f>COUNTIFS(' CADASTRO'!$R$2:R$993,ACABAMENTO!H10)</f>
        <v>6</v>
      </c>
      <c r="R10" s="40">
        <f>COUNTIFS(' CADASTRO'!$R$2:R$993,ACABAMENTO!I10)</f>
        <v>0</v>
      </c>
      <c r="S10" s="62">
        <f t="shared" si="7"/>
        <v>2.1666666666666665</v>
      </c>
      <c r="T10" s="109">
        <f t="shared" si="5"/>
        <v>0.54166666666666663</v>
      </c>
    </row>
    <row r="11" spans="1:20" x14ac:dyDescent="0.25">
      <c r="A11" s="52" t="s">
        <v>143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si="4"/>
        <v>45777</v>
      </c>
      <c r="F11" s="53">
        <f t="shared" si="4"/>
        <v>45778</v>
      </c>
      <c r="G11" s="53">
        <f t="shared" si="4"/>
        <v>45779</v>
      </c>
      <c r="H11" s="53">
        <f t="shared" si="1"/>
        <v>45780</v>
      </c>
      <c r="I11" s="55">
        <f t="shared" si="2"/>
        <v>45781</v>
      </c>
      <c r="J11" s="56">
        <f>COUNTIFS(' CADASTRO'!$R$2:$R$993,ACABAMENTO!B11)+COUNTIFS(' CADASTRO'!$R$2:$R$993,D11)+COUNTIFS(' CADASTRO'!$R$2:R$993,E11)+COUNTIFS(' CADASTRO'!$R$2:$R$993,F11)+COUNTIFS(' CADASTRO'!$R$2:$R$993,G11)+COUNTIFS(' CADASTRO'!$R$2:$R$993,H11)+COUNTIFS(' CADASTRO'!$R$2:$R$993,I11)</f>
        <v>11</v>
      </c>
      <c r="L11" s="40">
        <f>IF(B11="","",COUNTIFS(' CADASTRO'!$R$2:$R$993,ACABAMENTO!B11))</f>
        <v>1</v>
      </c>
      <c r="M11" s="40">
        <f>IF(D11=0,"",COUNTIFS(' CADASTRO'!$R$2:R$993,ACABAMENTO!D11))</f>
        <v>2</v>
      </c>
      <c r="N11" s="40">
        <f>COUNTIFS(' CADASTRO'!$R$2:R$993,ACABAMENTO!E11)</f>
        <v>4</v>
      </c>
      <c r="O11" s="40">
        <f>COUNTIFS(' CADASTRO'!$R$2:R$993,ACABAMENTO!F11)</f>
        <v>0</v>
      </c>
      <c r="P11" s="40">
        <f>COUNTIFS(' CADASTRO'!$R$2:R$993,ACABAMENTO!G11)</f>
        <v>4</v>
      </c>
      <c r="Q11" s="40">
        <f>COUNTIFS(' CADASTRO'!$R$2:R$993,ACABAMENTO!H11)</f>
        <v>0</v>
      </c>
      <c r="R11" s="40">
        <f>COUNTIFS(' CADASTRO'!$R$2:R$993,ACABAMENTO!I11)</f>
        <v>0</v>
      </c>
      <c r="S11" s="62">
        <f t="shared" si="7"/>
        <v>1.8333333333333333</v>
      </c>
      <c r="T11" s="109">
        <f t="shared" si="5"/>
        <v>0.45833333333333331</v>
      </c>
    </row>
    <row r="12" spans="1:20" x14ac:dyDescent="0.25">
      <c r="A12" s="52" t="s">
        <v>144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si="4"/>
        <v>45784</v>
      </c>
      <c r="F12" s="53">
        <f t="shared" si="4"/>
        <v>45785</v>
      </c>
      <c r="G12" s="53">
        <f t="shared" si="4"/>
        <v>45786</v>
      </c>
      <c r="H12" s="53">
        <f t="shared" si="1"/>
        <v>45787</v>
      </c>
      <c r="I12" s="55">
        <f t="shared" si="2"/>
        <v>45788</v>
      </c>
      <c r="J12" s="56">
        <f>COUNTIFS(' CADASTRO'!$R$2:$R$993,ACABAMENTO!B12)+COUNTIFS(' CADASTRO'!$R$2:$R$993,D12)+COUNTIFS(' CADASTRO'!$R$2:R$993,E12)+COUNTIFS(' CADASTRO'!$R$2:$R$993,F12)+COUNTIFS(' CADASTRO'!$R$2:$R$993,G12)+COUNTIFS(' CADASTRO'!$R$2:$R$993,H12)+COUNTIFS(' CADASTRO'!$R$2:$R$993,I12)</f>
        <v>12</v>
      </c>
      <c r="L12" s="40">
        <f>IF(B12="","",COUNTIFS(' CADASTRO'!$R$2:$R$993,ACABAMENTO!B12))</f>
        <v>3</v>
      </c>
      <c r="M12" s="40">
        <f>IF(D12=0,"",COUNTIFS(' CADASTRO'!$R$2:R$993,ACABAMENTO!D12))</f>
        <v>2</v>
      </c>
      <c r="N12" s="40">
        <f>COUNTIFS(' CADASTRO'!$R$2:R$993,ACABAMENTO!E12)</f>
        <v>4</v>
      </c>
      <c r="O12" s="40">
        <f>COUNTIFS(' CADASTRO'!$R$2:R$993,ACABAMENTO!F12)</f>
        <v>0</v>
      </c>
      <c r="P12" s="40">
        <f>COUNTIFS(' CADASTRO'!$R$2:R$993,ACABAMENTO!G12)</f>
        <v>3</v>
      </c>
      <c r="Q12" s="40">
        <f>COUNTIFS(' CADASTRO'!$R$2:R$993,ACABAMENTO!H12)</f>
        <v>0</v>
      </c>
      <c r="R12" s="40">
        <f>COUNTIFS(' CADASTRO'!$R$2:R$993,ACABAMENTO!I12)</f>
        <v>0</v>
      </c>
      <c r="S12" s="62">
        <f t="shared" si="7"/>
        <v>2</v>
      </c>
      <c r="T12" s="109">
        <f t="shared" si="5"/>
        <v>0.5</v>
      </c>
    </row>
    <row r="13" spans="1:20" x14ac:dyDescent="0.25">
      <c r="A13" s="52" t="s">
        <v>145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si="4"/>
        <v>45791</v>
      </c>
      <c r="F13" s="53">
        <f t="shared" si="4"/>
        <v>45792</v>
      </c>
      <c r="G13" s="53">
        <f t="shared" si="4"/>
        <v>45793</v>
      </c>
      <c r="H13" s="53">
        <f t="shared" si="1"/>
        <v>45794</v>
      </c>
      <c r="I13" s="55">
        <f t="shared" si="2"/>
        <v>45795</v>
      </c>
      <c r="J13" s="56">
        <f>COUNTIFS(' CADASTRO'!$R$2:$R$993,ACABAMENTO!B13)+COUNTIFS(' CADASTRO'!$R$2:$R$993,D13)+COUNTIFS(' CADASTRO'!$R$2:R$993,E13)+COUNTIFS(' CADASTRO'!$R$2:$R$993,F13)+COUNTIFS(' CADASTRO'!$R$2:$R$993,G13)+COUNTIFS(' CADASTRO'!$R$2:$R$993,H13)+COUNTIFS(' CADASTRO'!$R$2:$R$993,I13)</f>
        <v>10</v>
      </c>
      <c r="L13" s="40">
        <f>IF(B13="","",COUNTIFS(' CADASTRO'!$R$2:$R$993,ACABAMENTO!B13))</f>
        <v>2</v>
      </c>
      <c r="M13" s="40">
        <f>IF(D13=0,"",COUNTIFS(' CADASTRO'!$R$2:R$993,ACABAMENTO!D13))</f>
        <v>0</v>
      </c>
      <c r="N13" s="40">
        <f>COUNTIFS(' CADASTRO'!$R$2:R$993,ACABAMENTO!E13)</f>
        <v>5</v>
      </c>
      <c r="O13" s="40">
        <f>COUNTIFS(' CADASTRO'!$R$2:R$993,ACABAMENTO!F13)</f>
        <v>0</v>
      </c>
      <c r="P13" s="40">
        <f>COUNTIFS(' CADASTRO'!$R$2:R$993,ACABAMENTO!G13)</f>
        <v>3</v>
      </c>
      <c r="Q13" s="40">
        <f>COUNTIFS(' CADASTRO'!$R$2:R$993,ACABAMENTO!H13)</f>
        <v>0</v>
      </c>
      <c r="R13" s="40">
        <f>COUNTIFS(' CADASTRO'!$R$2:R$993,ACABAMENTO!I13)</f>
        <v>0</v>
      </c>
      <c r="S13" s="62">
        <f t="shared" si="7"/>
        <v>1.6666666666666667</v>
      </c>
      <c r="T13" s="109">
        <f t="shared" si="5"/>
        <v>0.41666666666666669</v>
      </c>
    </row>
    <row r="14" spans="1:20" x14ac:dyDescent="0.25">
      <c r="A14" s="52" t="s">
        <v>146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si="4"/>
        <v>45798</v>
      </c>
      <c r="F14" s="53">
        <f t="shared" si="4"/>
        <v>45799</v>
      </c>
      <c r="G14" s="53">
        <f t="shared" si="4"/>
        <v>45800</v>
      </c>
      <c r="H14" s="53">
        <f t="shared" si="1"/>
        <v>45801</v>
      </c>
      <c r="I14" s="55">
        <f t="shared" si="2"/>
        <v>45802</v>
      </c>
      <c r="J14" s="56">
        <f>COUNTIFS(' CADASTRO'!$R$2:$R$993,ACABAMENTO!B14)+COUNTIFS(' CADASTRO'!$R$2:$R$993,D14)+COUNTIFS(' CADASTRO'!$R$2:R$993,E14)+COUNTIFS(' CADASTRO'!$R$2:$R$993,F14)+COUNTIFS(' CADASTRO'!$R$2:$R$993,G14)+COUNTIFS(' CADASTRO'!$R$2:$R$993,H14)+COUNTIFS(' CADASTRO'!$R$2:$R$993,I14)</f>
        <v>20</v>
      </c>
      <c r="L14" s="40">
        <f>IF(B14="","",COUNTIFS(' CADASTRO'!$R$2:$R$993,ACABAMENTO!B14))</f>
        <v>2</v>
      </c>
      <c r="M14" s="40">
        <f>IF(D14=0,"",COUNTIFS(' CADASTRO'!$R$2:R$993,ACABAMENTO!D14))</f>
        <v>7</v>
      </c>
      <c r="N14" s="40">
        <f>COUNTIFS(' CADASTRO'!$R$2:R$993,ACABAMENTO!E14)</f>
        <v>5</v>
      </c>
      <c r="O14" s="40">
        <f>COUNTIFS(' CADASTRO'!$R$2:R$993,ACABAMENTO!F14)</f>
        <v>2</v>
      </c>
      <c r="P14" s="40">
        <f>COUNTIFS(' CADASTRO'!$R$2:R$993,ACABAMENTO!G14)</f>
        <v>2</v>
      </c>
      <c r="Q14" s="40">
        <f>COUNTIFS(' CADASTRO'!$R$2:R$993,ACABAMENTO!H14)</f>
        <v>2</v>
      </c>
      <c r="R14" s="40">
        <f>COUNTIFS(' CADASTRO'!$R$2:R$993,ACABAMENTO!I14)</f>
        <v>0</v>
      </c>
      <c r="S14" s="62">
        <f t="shared" si="7"/>
        <v>3.3333333333333335</v>
      </c>
      <c r="T14" s="109">
        <f t="shared" si="5"/>
        <v>0.83333333333333337</v>
      </c>
    </row>
    <row r="15" spans="1:20" x14ac:dyDescent="0.25">
      <c r="A15" s="52" t="s">
        <v>147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si="4"/>
        <v>45805</v>
      </c>
      <c r="F15" s="53">
        <f t="shared" si="4"/>
        <v>45806</v>
      </c>
      <c r="G15" s="53">
        <f t="shared" si="4"/>
        <v>45807</v>
      </c>
      <c r="H15" s="53">
        <f t="shared" si="1"/>
        <v>45808</v>
      </c>
      <c r="I15" s="55">
        <f t="shared" si="2"/>
        <v>45809</v>
      </c>
      <c r="J15" s="56">
        <f>COUNTIFS(' CADASTRO'!$R$2:$R$993,ACABAMENTO!B15)+COUNTIFS(' CADASTRO'!$R$2:$R$993,D15)+COUNTIFS(' CADASTRO'!$R$2:R$993,E15)+COUNTIFS(' CADASTRO'!$R$2:$R$993,F15)+COUNTIFS(' CADASTRO'!$R$2:$R$993,G15)+COUNTIFS(' CADASTRO'!$R$2:$R$993,H15)+COUNTIFS(' CADASTRO'!$R$2:$R$993,I15)</f>
        <v>16</v>
      </c>
      <c r="L15" s="40">
        <f>IF(B15="","",COUNTIFS(' CADASTRO'!$R$2:$R$993,ACABAMENTO!B15))</f>
        <v>4</v>
      </c>
      <c r="M15" s="40">
        <f>IF(D15=0,"",COUNTIFS(' CADASTRO'!$R$2:R$993,ACABAMENTO!D15))</f>
        <v>5</v>
      </c>
      <c r="N15" s="40">
        <f>COUNTIFS(' CADASTRO'!$R$2:R$993,ACABAMENTO!E15)</f>
        <v>2</v>
      </c>
      <c r="O15" s="40">
        <f>COUNTIFS(' CADASTRO'!$R$2:R$993,ACABAMENTO!F15)</f>
        <v>1</v>
      </c>
      <c r="P15" s="40">
        <f>COUNTIFS(' CADASTRO'!$R$2:R$993,ACABAMENTO!G15)</f>
        <v>4</v>
      </c>
      <c r="Q15" s="40">
        <f>COUNTIFS(' CADASTRO'!$R$2:R$993,ACABAMENTO!H15)</f>
        <v>0</v>
      </c>
      <c r="R15" s="40">
        <f>COUNTIFS(' CADASTRO'!$R$2:R$993,ACABAMENTO!I15)</f>
        <v>0</v>
      </c>
      <c r="S15" s="62">
        <f t="shared" si="7"/>
        <v>2.6666666666666665</v>
      </c>
      <c r="T15" s="109">
        <f t="shared" si="5"/>
        <v>0.66666666666666663</v>
      </c>
    </row>
    <row r="16" spans="1:20" x14ac:dyDescent="0.25">
      <c r="A16" s="52" t="s">
        <v>148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si="4"/>
        <v>45812</v>
      </c>
      <c r="F16" s="53">
        <f t="shared" si="4"/>
        <v>45813</v>
      </c>
      <c r="G16" s="53">
        <f t="shared" si="4"/>
        <v>45814</v>
      </c>
      <c r="H16" s="53">
        <f t="shared" si="1"/>
        <v>45815</v>
      </c>
      <c r="I16" s="55">
        <f t="shared" si="2"/>
        <v>45816</v>
      </c>
      <c r="J16" s="56">
        <f>COUNTIFS(' CADASTRO'!$R$2:$R$993,ACABAMENTO!B16)+COUNTIFS(' CADASTRO'!$R$2:$R$993,D16)+COUNTIFS(' CADASTRO'!$R$2:R$993,E16)+COUNTIFS(' CADASTRO'!$R$2:$R$993,F16)+COUNTIFS(' CADASTRO'!$R$2:$R$993,G16)+COUNTIFS(' CADASTRO'!$R$2:$R$993,H16)+COUNTIFS(' CADASTRO'!$R$2:$R$993,I16)</f>
        <v>15</v>
      </c>
      <c r="L16" s="40">
        <f>IF(B16="","",COUNTIFS(' CADASTRO'!$R$2:$R$993,ACABAMENTO!B16))</f>
        <v>2</v>
      </c>
      <c r="M16" s="40">
        <f>IF(D16=0,"",COUNTIFS(' CADASTRO'!$R$2:R$993,ACABAMENTO!D16))</f>
        <v>3</v>
      </c>
      <c r="N16" s="40">
        <f>COUNTIFS(' CADASTRO'!$R$2:R$993,ACABAMENTO!E16)</f>
        <v>5</v>
      </c>
      <c r="O16" s="40">
        <f>COUNTIFS(' CADASTRO'!$R$2:R$993,ACABAMENTO!F16)</f>
        <v>1</v>
      </c>
      <c r="P16" s="40">
        <f>COUNTIFS(' CADASTRO'!$R$2:R$993,ACABAMENTO!G16)</f>
        <v>0</v>
      </c>
      <c r="Q16" s="40">
        <f>COUNTIFS(' CADASTRO'!$R$2:R$993,ACABAMENTO!H16)</f>
        <v>4</v>
      </c>
      <c r="R16" s="40">
        <f>COUNTIFS(' CADASTRO'!$R$2:R$993,ACABAMENTO!I16)</f>
        <v>0</v>
      </c>
      <c r="S16" s="62">
        <f t="shared" si="7"/>
        <v>2.5</v>
      </c>
      <c r="T16" s="109">
        <f t="shared" si="5"/>
        <v>0.625</v>
      </c>
    </row>
    <row r="17" spans="1:20" x14ac:dyDescent="0.25">
      <c r="A17" s="52" t="s">
        <v>149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si="4"/>
        <v>45819</v>
      </c>
      <c r="F17" s="53">
        <f t="shared" si="4"/>
        <v>45820</v>
      </c>
      <c r="G17" s="53">
        <f t="shared" si="4"/>
        <v>45821</v>
      </c>
      <c r="H17" s="53">
        <f t="shared" si="1"/>
        <v>45822</v>
      </c>
      <c r="I17" s="55">
        <f t="shared" si="2"/>
        <v>45823</v>
      </c>
      <c r="J17" s="56">
        <f>COUNTIFS(' CADASTRO'!$R$2:$R$993,ACABAMENTO!B17)+COUNTIFS(' CADASTRO'!$R$2:$R$993,D17)+COUNTIFS(' CADASTRO'!$R$2:R$993,E17)+COUNTIFS(' CADASTRO'!$R$2:$R$993,F17)+COUNTIFS(' CADASTRO'!$R$2:$R$993,G17)+COUNTIFS(' CADASTRO'!$R$2:$R$993,H17)+COUNTIFS(' CADASTRO'!$R$2:$R$993,I17)</f>
        <v>15</v>
      </c>
      <c r="L17" s="40">
        <f>IF(B17="","",COUNTIFS(' CADASTRO'!$R$2:$R$993,ACABAMENTO!B17))</f>
        <v>2</v>
      </c>
      <c r="M17" s="40">
        <f>IF(D17=0,"",COUNTIFS(' CADASTRO'!$R$2:R$993,ACABAMENTO!D17))</f>
        <v>2</v>
      </c>
      <c r="N17" s="40">
        <f>COUNTIFS(' CADASTRO'!$R$2:R$993,ACABAMENTO!E17)</f>
        <v>2</v>
      </c>
      <c r="O17" s="40">
        <f>COUNTIFS(' CADASTRO'!$R$2:R$993,ACABAMENTO!F17)</f>
        <v>4</v>
      </c>
      <c r="P17" s="40">
        <f>COUNTIFS(' CADASTRO'!$R$2:R$993,ACABAMENTO!G17)</f>
        <v>1</v>
      </c>
      <c r="Q17" s="40">
        <f>COUNTIFS(' CADASTRO'!$R$2:R$993,ACABAMENTO!H17)</f>
        <v>4</v>
      </c>
      <c r="R17" s="40">
        <f>COUNTIFS(' CADASTRO'!$R$2:R$993,ACABAMENTO!I17)</f>
        <v>0</v>
      </c>
      <c r="S17" s="62">
        <f t="shared" si="7"/>
        <v>2.5</v>
      </c>
      <c r="T17" s="109">
        <f t="shared" si="5"/>
        <v>0.625</v>
      </c>
    </row>
    <row r="18" spans="1:20" x14ac:dyDescent="0.25">
      <c r="A18" s="52" t="s">
        <v>150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si="4"/>
        <v>45826</v>
      </c>
      <c r="F18" s="53">
        <f t="shared" si="4"/>
        <v>45827</v>
      </c>
      <c r="G18" s="53">
        <f t="shared" si="4"/>
        <v>45828</v>
      </c>
      <c r="H18" s="53">
        <f t="shared" si="1"/>
        <v>45829</v>
      </c>
      <c r="I18" s="55">
        <f t="shared" si="2"/>
        <v>45830</v>
      </c>
      <c r="J18" s="56">
        <f>COUNTIFS(' CADASTRO'!$R$2:$R$993,ACABAMENTO!B18)+COUNTIFS(' CADASTRO'!$R$2:$R$993,D18)+COUNTIFS(' CADASTRO'!$R$2:R$993,E18)+COUNTIFS(' CADASTRO'!$R$2:$R$993,F18)+COUNTIFS(' CADASTRO'!$R$2:$R$993,G18)+COUNTIFS(' CADASTRO'!$R$2:$R$993,H18)+COUNTIFS(' CADASTRO'!$R$2:$R$993,I18)</f>
        <v>16</v>
      </c>
      <c r="L18" s="40">
        <f>IF(B18="","",COUNTIFS(' CADASTRO'!$R$2:$R$993,ACABAMENTO!B18))</f>
        <v>3</v>
      </c>
      <c r="M18" s="40">
        <f>IF(D18=0,"",COUNTIFS(' CADASTRO'!$R$2:R$993,ACABAMENTO!D18))</f>
        <v>3</v>
      </c>
      <c r="N18" s="40">
        <f>COUNTIFS(' CADASTRO'!$R$2:R$993,ACABAMENTO!E18)</f>
        <v>2</v>
      </c>
      <c r="O18" s="40">
        <f>COUNTIFS(' CADASTRO'!$R$2:R$993,ACABAMENTO!F18)</f>
        <v>5</v>
      </c>
      <c r="P18" s="40">
        <f>COUNTIFS(' CADASTRO'!$R$2:R$993,ACABAMENTO!G18)</f>
        <v>3</v>
      </c>
      <c r="Q18" s="40">
        <f>COUNTIFS(' CADASTRO'!$R$2:R$993,ACABAMENTO!H18)</f>
        <v>0</v>
      </c>
      <c r="R18" s="40">
        <f>COUNTIFS(' CADASTRO'!$R$2:R$993,ACABAMENTO!I18)</f>
        <v>0</v>
      </c>
      <c r="S18" s="62">
        <f t="shared" si="7"/>
        <v>2.6666666666666665</v>
      </c>
      <c r="T18" s="109">
        <f t="shared" si="5"/>
        <v>0.66666666666666663</v>
      </c>
    </row>
    <row r="19" spans="1:20" x14ac:dyDescent="0.25">
      <c r="A19" s="52" t="s">
        <v>151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si="4"/>
        <v>45833</v>
      </c>
      <c r="F19" s="53">
        <f t="shared" si="4"/>
        <v>45834</v>
      </c>
      <c r="G19" s="53">
        <f t="shared" si="4"/>
        <v>45835</v>
      </c>
      <c r="H19" s="53">
        <f t="shared" si="1"/>
        <v>45836</v>
      </c>
      <c r="I19" s="55">
        <f t="shared" si="2"/>
        <v>45837</v>
      </c>
      <c r="J19" s="56">
        <f>COUNTIFS(' CADASTRO'!$R$2:$R$993,ACABAMENTO!B19)+COUNTIFS(' CADASTRO'!$R$2:$R$993,D19)+COUNTIFS(' CADASTRO'!$R$2:R$993,E19)+COUNTIFS(' CADASTRO'!$R$2:$R$993,F19)+COUNTIFS(' CADASTRO'!$R$2:$R$993,G19)+COUNTIFS(' CADASTRO'!$R$2:$R$993,H19)+COUNTIFS(' CADASTRO'!$R$2:$R$993,I19)</f>
        <v>15</v>
      </c>
      <c r="L19" s="40">
        <f>IF(B19="","",COUNTIFS(' CADASTRO'!$R$2:$R$993,ACABAMENTO!B19))</f>
        <v>2</v>
      </c>
      <c r="M19" s="40">
        <f>IF(D19=0,"",COUNTIFS(' CADASTRO'!$R$2:R$993,ACABAMENTO!D19))</f>
        <v>2</v>
      </c>
      <c r="N19" s="40">
        <f>COUNTIFS(' CADASTRO'!$R$2:R$993,ACABAMENTO!E19)</f>
        <v>3</v>
      </c>
      <c r="O19" s="40">
        <f>COUNTIFS(' CADASTRO'!$R$2:R$993,ACABAMENTO!F19)</f>
        <v>3</v>
      </c>
      <c r="P19" s="40">
        <f>COUNTIFS(' CADASTRO'!$R$2:R$993,ACABAMENTO!G19)</f>
        <v>4</v>
      </c>
      <c r="Q19" s="40">
        <f>COUNTIFS(' CADASTRO'!$R$2:R$993,ACABAMENTO!H19)</f>
        <v>1</v>
      </c>
      <c r="R19" s="40">
        <f>COUNTIFS(' CADASTRO'!$R$2:R$993,ACABAMENTO!I19)</f>
        <v>0</v>
      </c>
      <c r="S19" s="62">
        <f t="shared" si="7"/>
        <v>2.5</v>
      </c>
      <c r="T19" s="109">
        <f t="shared" si="5"/>
        <v>0.625</v>
      </c>
    </row>
    <row r="20" spans="1:20" x14ac:dyDescent="0.25">
      <c r="A20" s="52" t="s">
        <v>152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si="4"/>
        <v>45840</v>
      </c>
      <c r="F20" s="53">
        <f t="shared" si="4"/>
        <v>45841</v>
      </c>
      <c r="G20" s="53">
        <f t="shared" si="4"/>
        <v>45842</v>
      </c>
      <c r="H20" s="53">
        <f t="shared" si="1"/>
        <v>45843</v>
      </c>
      <c r="I20" s="55">
        <f t="shared" si="2"/>
        <v>45844</v>
      </c>
      <c r="J20" s="56">
        <f>COUNTIFS(' CADASTRO'!$R$2:$R$993,ACABAMENTO!B20)+COUNTIFS(' CADASTRO'!$R$2:$R$993,D20)+COUNTIFS(' CADASTRO'!$R$2:R$993,E20)+COUNTIFS(' CADASTRO'!$R$2:$R$993,F20)+COUNTIFS(' CADASTRO'!$R$2:$R$993,G20)+COUNTIFS(' CADASTRO'!$R$2:$R$993,H20)+COUNTIFS(' CADASTRO'!$R$2:$R$993,I20)</f>
        <v>10</v>
      </c>
      <c r="L20" s="40">
        <f>IF(B20="","",COUNTIFS(' CADASTRO'!$R$2:$R$993,ACABAMENTO!B20))</f>
        <v>2</v>
      </c>
      <c r="M20" s="40">
        <f>IF(D20=0,"",COUNTIFS(' CADASTRO'!$R$2:R$993,ACABAMENTO!D20))</f>
        <v>3</v>
      </c>
      <c r="N20" s="40">
        <f>COUNTIFS(' CADASTRO'!$R$2:R$993,ACABAMENTO!E20)</f>
        <v>1</v>
      </c>
      <c r="O20" s="40">
        <f>COUNTIFS(' CADASTRO'!$R$2:R$993,ACABAMENTO!F20)</f>
        <v>0</v>
      </c>
      <c r="P20" s="40">
        <f>COUNTIFS(' CADASTRO'!$R$2:R$993,ACABAMENTO!G20)</f>
        <v>1</v>
      </c>
      <c r="Q20" s="40">
        <f>COUNTIFS(' CADASTRO'!$R$2:R$993,ACABAMENTO!H20)</f>
        <v>3</v>
      </c>
      <c r="R20" s="40">
        <f>COUNTIFS(' CADASTRO'!$R$2:R$993,ACABAMENTO!I20)</f>
        <v>0</v>
      </c>
      <c r="S20" s="62">
        <f t="shared" si="7"/>
        <v>1.6666666666666667</v>
      </c>
      <c r="T20" s="109">
        <f t="shared" si="5"/>
        <v>0.41666666666666669</v>
      </c>
    </row>
    <row r="21" spans="1:20" x14ac:dyDescent="0.25">
      <c r="A21" s="52" t="s">
        <v>153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si="4"/>
        <v>45847</v>
      </c>
      <c r="F21" s="53">
        <f t="shared" si="4"/>
        <v>45848</v>
      </c>
      <c r="G21" s="53">
        <f t="shared" si="4"/>
        <v>45849</v>
      </c>
      <c r="H21" s="53">
        <f t="shared" si="1"/>
        <v>45850</v>
      </c>
      <c r="I21" s="55">
        <f t="shared" si="2"/>
        <v>45851</v>
      </c>
      <c r="J21" s="56">
        <f>COUNTIFS(' CADASTRO'!$R$2:$R$993,ACABAMENTO!B21)+COUNTIFS(' CADASTRO'!$R$2:$R$993,D21)+COUNTIFS(' CADASTRO'!$R$2:R$993,E21)+COUNTIFS(' CADASTRO'!$R$2:$R$993,F21)+COUNTIFS(' CADASTRO'!$R$2:$R$993,G21)+COUNTIFS(' CADASTRO'!$R$2:$R$993,H21)+COUNTIFS(' CADASTRO'!$R$2:$R$993,I21)</f>
        <v>21</v>
      </c>
      <c r="L21" s="40">
        <f>IF(B21="","",COUNTIFS(' CADASTRO'!$R$2:$R$993,ACABAMENTO!B21))</f>
        <v>5</v>
      </c>
      <c r="M21" s="40">
        <f>IF(D21=0,"",COUNTIFS(' CADASTRO'!$R$2:R$993,ACABAMENTO!D21))</f>
        <v>2</v>
      </c>
      <c r="N21" s="40">
        <f>COUNTIFS(' CADASTRO'!$R$2:R$993,ACABAMENTO!E21)</f>
        <v>5</v>
      </c>
      <c r="O21" s="40">
        <f>COUNTIFS(' CADASTRO'!$R$2:R$993,ACABAMENTO!F21)</f>
        <v>2</v>
      </c>
      <c r="P21" s="40">
        <f>COUNTIFS(' CADASTRO'!$R$2:R$993,ACABAMENTO!G21)</f>
        <v>7</v>
      </c>
      <c r="Q21" s="40">
        <f>COUNTIFS(' CADASTRO'!$R$2:R$993,ACABAMENTO!H21)</f>
        <v>0</v>
      </c>
      <c r="R21" s="40">
        <f>COUNTIFS(' CADASTRO'!$R$2:R$993,ACABAMENTO!I21)</f>
        <v>0</v>
      </c>
      <c r="S21" s="62">
        <f t="shared" si="7"/>
        <v>3.5</v>
      </c>
      <c r="T21" s="109">
        <f t="shared" si="5"/>
        <v>0.875</v>
      </c>
    </row>
    <row r="22" spans="1:20" x14ac:dyDescent="0.25">
      <c r="A22" s="52" t="s">
        <v>154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ref="E22:G28" si="8">D22+1</f>
        <v>45854</v>
      </c>
      <c r="F22" s="53">
        <f t="shared" si="8"/>
        <v>45855</v>
      </c>
      <c r="G22" s="53">
        <f t="shared" si="8"/>
        <v>45856</v>
      </c>
      <c r="H22" s="53">
        <f t="shared" si="1"/>
        <v>45857</v>
      </c>
      <c r="I22" s="55">
        <f t="shared" si="2"/>
        <v>45858</v>
      </c>
      <c r="J22" s="56">
        <f>COUNTIFS(' CADASTRO'!$R$2:$R$993,ACABAMENTO!B22)+COUNTIFS(' CADASTRO'!$R$2:$R$993,D22)+COUNTIFS(' CADASTRO'!$R$2:R$993,E22)+COUNTIFS(' CADASTRO'!$R$2:$R$993,F22)+COUNTIFS(' CADASTRO'!$R$2:$R$993,G22)+COUNTIFS(' CADASTRO'!$R$2:$R$993,H22)+COUNTIFS(' CADASTRO'!$R$2:$R$993,I22)</f>
        <v>13</v>
      </c>
      <c r="L22" s="40">
        <f>IF(B22="","",COUNTIFS(' CADASTRO'!$R$2:$R$993,ACABAMENTO!B22))</f>
        <v>1</v>
      </c>
      <c r="M22" s="40">
        <f>IF(D22=0,"",COUNTIFS(' CADASTRO'!$R$2:R$993,ACABAMENTO!D22))</f>
        <v>3</v>
      </c>
      <c r="N22" s="40">
        <f>COUNTIFS(' CADASTRO'!$R$2:R$993,ACABAMENTO!E22)</f>
        <v>2</v>
      </c>
      <c r="O22" s="40">
        <f>COUNTIFS(' CADASTRO'!$R$2:R$993,ACABAMENTO!F22)</f>
        <v>3</v>
      </c>
      <c r="P22" s="40">
        <f>COUNTIFS(' CADASTRO'!$R$2:R$993,ACABAMENTO!G22)</f>
        <v>4</v>
      </c>
      <c r="Q22" s="40">
        <f>COUNTIFS(' CADASTRO'!$R$2:R$993,ACABAMENTO!H22)</f>
        <v>0</v>
      </c>
      <c r="R22" s="40">
        <f>COUNTIFS(' CADASTRO'!$R$2:R$993,ACABAMENTO!I22)</f>
        <v>0</v>
      </c>
      <c r="S22" s="62">
        <f t="shared" si="7"/>
        <v>2.1666666666666665</v>
      </c>
      <c r="T22" s="109">
        <f t="shared" si="5"/>
        <v>0.54166666666666663</v>
      </c>
    </row>
    <row r="23" spans="1:20" x14ac:dyDescent="0.25">
      <c r="A23" s="52" t="s">
        <v>155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8"/>
        <v>45861</v>
      </c>
      <c r="F23" s="53">
        <f t="shared" si="8"/>
        <v>45862</v>
      </c>
      <c r="G23" s="53">
        <f t="shared" si="8"/>
        <v>45863</v>
      </c>
      <c r="H23" s="53">
        <f t="shared" si="1"/>
        <v>45864</v>
      </c>
      <c r="I23" s="55">
        <f t="shared" si="2"/>
        <v>45865</v>
      </c>
      <c r="J23" s="56">
        <f>COUNTIFS(' CADASTRO'!$R$2:$R$993,ACABAMENTO!B23)+COUNTIFS(' CADASTRO'!$R$2:$R$993,D23)+COUNTIFS(' CADASTRO'!$R$2:R$993,E23)+COUNTIFS(' CADASTRO'!$R$2:$R$993,F23)+COUNTIFS(' CADASTRO'!$R$2:$R$993,G23)+COUNTIFS(' CADASTRO'!$R$2:$R$993,H23)+COUNTIFS(' CADASTRO'!$R$2:$R$993,I23)</f>
        <v>23</v>
      </c>
      <c r="L23" s="40">
        <f>IF(B23="","",COUNTIFS(' CADASTRO'!$R$2:$R$993,ACABAMENTO!B23))</f>
        <v>4</v>
      </c>
      <c r="M23" s="40">
        <f>IF(D23=0,"",COUNTIFS(' CADASTRO'!$R$2:R$993,ACABAMENTO!D23))</f>
        <v>6</v>
      </c>
      <c r="N23" s="40">
        <f>COUNTIFS(' CADASTRO'!$R$2:R$993,ACABAMENTO!E23)</f>
        <v>2</v>
      </c>
      <c r="O23" s="40">
        <f>COUNTIFS(' CADASTRO'!$R$2:R$993,ACABAMENTO!F23)</f>
        <v>5</v>
      </c>
      <c r="P23" s="40">
        <f>COUNTIFS(' CADASTRO'!$R$2:R$993,ACABAMENTO!G23)</f>
        <v>2</v>
      </c>
      <c r="Q23" s="40">
        <f>COUNTIFS(' CADASTRO'!$R$2:R$993,ACABAMENTO!H23)</f>
        <v>4</v>
      </c>
      <c r="R23" s="40">
        <f>COUNTIFS(' CADASTRO'!$R$2:R$993,ACABAMENTO!I23)</f>
        <v>0</v>
      </c>
      <c r="S23" s="62">
        <f t="shared" si="7"/>
        <v>3.8333333333333335</v>
      </c>
      <c r="T23" s="109">
        <f>SUM(L23:R23)/24</f>
        <v>0.95833333333333337</v>
      </c>
    </row>
    <row r="24" spans="1:20" x14ac:dyDescent="0.25">
      <c r="A24" s="52" t="s">
        <v>156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8"/>
        <v>45868</v>
      </c>
      <c r="F24" s="53">
        <f t="shared" si="8"/>
        <v>45869</v>
      </c>
      <c r="G24" s="53">
        <f t="shared" si="8"/>
        <v>45870</v>
      </c>
      <c r="H24" s="53">
        <f t="shared" si="1"/>
        <v>45871</v>
      </c>
      <c r="I24" s="55">
        <f t="shared" si="2"/>
        <v>45872</v>
      </c>
      <c r="J24" s="56">
        <f>COUNTIFS(' CADASTRO'!$R$2:$R$993,ACABAMENTO!B24)+COUNTIFS(' CADASTRO'!$R$2:$R$993,D24)+COUNTIFS(' CADASTRO'!$R$2:R$993,E24)+COUNTIFS(' CADASTRO'!$R$2:$R$993,F24)+COUNTIFS(' CADASTRO'!$R$2:$R$993,G24)+COUNTIFS(' CADASTRO'!$R$2:$R$993,H24)+COUNTIFS(' CADASTRO'!$R$2:$R$993,I24)</f>
        <v>24</v>
      </c>
      <c r="L24" s="40">
        <f>IF(B24="","",COUNTIFS(' CADASTRO'!$R$2:$R$993,ACABAMENTO!B24))</f>
        <v>1</v>
      </c>
      <c r="M24" s="40">
        <f>IF(D24=0,"",COUNTIFS(' CADASTRO'!$R$2:R$993,ACABAMENTO!D24))</f>
        <v>3</v>
      </c>
      <c r="N24" s="40">
        <f>COUNTIFS(' CADASTRO'!$R$2:R$993,ACABAMENTO!E24)</f>
        <v>7</v>
      </c>
      <c r="O24" s="40">
        <f>COUNTIFS(' CADASTRO'!$R$2:R$993,ACABAMENTO!F24)</f>
        <v>3</v>
      </c>
      <c r="P24" s="40">
        <f>COUNTIFS(' CADASTRO'!$R$2:R$993,ACABAMENTO!G24)</f>
        <v>6</v>
      </c>
      <c r="Q24" s="40">
        <f>COUNTIFS(' CADASTRO'!$R$2:R$993,ACABAMENTO!H24)</f>
        <v>4</v>
      </c>
      <c r="R24" s="40">
        <f>COUNTIFS(' CADASTRO'!$R$2:R$993,ACABAMENTO!I24)</f>
        <v>0</v>
      </c>
      <c r="S24" s="62">
        <f t="shared" si="7"/>
        <v>4</v>
      </c>
      <c r="T24" s="109">
        <f>SUM(L24:R24)/24</f>
        <v>1</v>
      </c>
    </row>
    <row r="25" spans="1:20" x14ac:dyDescent="0.25">
      <c r="A25" s="52" t="s">
        <v>157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8"/>
        <v>45875</v>
      </c>
      <c r="F25" s="53">
        <f t="shared" si="8"/>
        <v>45876</v>
      </c>
      <c r="G25" s="53">
        <f t="shared" si="8"/>
        <v>45877</v>
      </c>
      <c r="H25" s="53">
        <f t="shared" si="1"/>
        <v>45878</v>
      </c>
      <c r="I25" s="55">
        <f t="shared" si="2"/>
        <v>45879</v>
      </c>
      <c r="J25" s="56">
        <f>COUNTIFS(' CADASTRO'!$R$2:$R$993,ACABAMENTO!B25)+COUNTIFS(' CADASTRO'!$R$2:$R$993,D25)+COUNTIFS(' CADASTRO'!$R$2:R$993,E25)+COUNTIFS(' CADASTRO'!$R$2:$R$993,F25)+COUNTIFS(' CADASTRO'!$R$2:$R$993,G25)+COUNTIFS(' CADASTRO'!$R$2:$R$993,H25)+COUNTIFS(' CADASTRO'!$R$2:$R$993,I25)</f>
        <v>24</v>
      </c>
      <c r="L25" s="40">
        <f>IF(B25="","",COUNTIFS(' CADASTRO'!$R$2:$R$993,ACABAMENTO!B25))</f>
        <v>2</v>
      </c>
      <c r="M25" s="40">
        <f>IF(D25=0,"",COUNTIFS(' CADASTRO'!$R$2:R$993,ACABAMENTO!D25))</f>
        <v>5</v>
      </c>
      <c r="N25" s="40">
        <f>COUNTIFS(' CADASTRO'!$R$2:R$993,ACABAMENTO!E25)</f>
        <v>6</v>
      </c>
      <c r="O25" s="40">
        <f>COUNTIFS(' CADASTRO'!$R$2:R$993,ACABAMENTO!F25)</f>
        <v>1</v>
      </c>
      <c r="P25" s="40">
        <f>COUNTIFS(' CADASTRO'!$R$2:R$993,ACABAMENTO!G25)</f>
        <v>2</v>
      </c>
      <c r="Q25" s="40">
        <f>COUNTIFS(' CADASTRO'!$R$2:R$993,ACABAMENTO!H25)</f>
        <v>8</v>
      </c>
      <c r="R25" s="40">
        <f>COUNTIFS(' CADASTRO'!$R$2:R$993,ACABAMENTO!I25)</f>
        <v>0</v>
      </c>
      <c r="S25" s="62">
        <f>SUM(L25:Q25)/6</f>
        <v>4</v>
      </c>
      <c r="T25" s="109">
        <f t="shared" si="5"/>
        <v>1</v>
      </c>
    </row>
    <row r="26" spans="1:20" x14ac:dyDescent="0.25">
      <c r="A26" s="52" t="s">
        <v>158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8"/>
        <v>45882</v>
      </c>
      <c r="F26" s="53">
        <f t="shared" si="8"/>
        <v>45883</v>
      </c>
      <c r="G26" s="53">
        <f t="shared" si="8"/>
        <v>45884</v>
      </c>
      <c r="H26" s="53">
        <f t="shared" si="1"/>
        <v>45885</v>
      </c>
      <c r="I26" s="55">
        <f t="shared" si="2"/>
        <v>45886</v>
      </c>
      <c r="J26" s="56">
        <f>COUNTIFS(' CADASTRO'!$R$2:$R$993,ACABAMENTO!B26)+COUNTIFS(' CADASTRO'!$R$2:$R$993,D26)+COUNTIFS(' CADASTRO'!$R$2:R$993,E26)+COUNTIFS(' CADASTRO'!$R$2:$R$993,F26)+COUNTIFS(' CADASTRO'!$R$2:$R$993,G26)+COUNTIFS(' CADASTRO'!$R$2:$R$993,H26)+COUNTIFS(' CADASTRO'!$R$2:$R$993,I26)</f>
        <v>31</v>
      </c>
      <c r="L26" s="40">
        <f>IF(B26="","",COUNTIFS(' CADASTRO'!$R$2:$R$993,ACABAMENTO!B26))</f>
        <v>4</v>
      </c>
      <c r="M26" s="40">
        <f>IF(D26=0,"",COUNTIFS(' CADASTRO'!$R$2:R$993,ACABAMENTO!D26))</f>
        <v>4</v>
      </c>
      <c r="N26" s="40">
        <f>COUNTIFS(' CADASTRO'!$R$2:R$993,ACABAMENTO!E26)</f>
        <v>5</v>
      </c>
      <c r="O26" s="40">
        <f>COUNTIFS(' CADASTRO'!$R$2:R$993,ACABAMENTO!F26)</f>
        <v>7</v>
      </c>
      <c r="P26" s="40">
        <f>COUNTIFS(' CADASTRO'!$R$2:R$993,ACABAMENTO!G26)</f>
        <v>7</v>
      </c>
      <c r="Q26" s="40">
        <f>COUNTIFS(' CADASTRO'!$R$2:R$993,ACABAMENTO!H26)</f>
        <v>4</v>
      </c>
      <c r="R26" s="40"/>
      <c r="S26" s="62">
        <f>SUM(L26:Q26)/5.83</f>
        <v>5.3173241852487134</v>
      </c>
      <c r="T26" s="109">
        <f>SUM(L26:R26)/35</f>
        <v>0.88571428571428568</v>
      </c>
    </row>
    <row r="27" spans="1:20" x14ac:dyDescent="0.25">
      <c r="A27" s="52" t="s">
        <v>159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8"/>
        <v>45889</v>
      </c>
      <c r="F27" s="53">
        <f t="shared" si="8"/>
        <v>45890</v>
      </c>
      <c r="G27" s="53">
        <f t="shared" si="8"/>
        <v>45891</v>
      </c>
      <c r="H27" s="53">
        <f t="shared" si="1"/>
        <v>45892</v>
      </c>
      <c r="I27" s="55">
        <f t="shared" si="2"/>
        <v>45893</v>
      </c>
      <c r="J27" s="56">
        <f>COUNTIFS(' CADASTRO'!$R$2:$R$993,ACABAMENTO!B27)+COUNTIFS(' CADASTRO'!$R$2:$R$993,D27)+COUNTIFS(' CADASTRO'!$R$2:R$993,E27)+COUNTIFS(' CADASTRO'!$R$2:$R$993,F27)+COUNTIFS(' CADASTRO'!$R$2:$R$993,G27)+COUNTIFS(' CADASTRO'!$R$2:$R$993,H27)+COUNTIFS(' CADASTRO'!$R$2:$R$993,I27)</f>
        <v>30</v>
      </c>
      <c r="L27" s="40">
        <f>IF(B27="","",COUNTIFS(' CADASTRO'!$R$2:$R$993,ACABAMENTO!B27))</f>
        <v>5</v>
      </c>
      <c r="M27" s="40">
        <f>IF(D27=0,"",COUNTIFS(' CADASTRO'!$R$2:R$993,ACABAMENTO!D27))</f>
        <v>7</v>
      </c>
      <c r="N27" s="40">
        <f>COUNTIFS(' CADASTRO'!$R$2:R$993,ACABAMENTO!E27)</f>
        <v>5</v>
      </c>
      <c r="O27" s="40">
        <f>COUNTIFS(' CADASTRO'!$R$2:R$993,ACABAMENTO!F27)</f>
        <v>5</v>
      </c>
      <c r="P27" s="40">
        <f>COUNTIFS(' CADASTRO'!$R$2:R$993,ACABAMENTO!G27)</f>
        <v>4</v>
      </c>
      <c r="Q27" s="40">
        <f>COUNTIFS(' CADASTRO'!$R$2:R$993,ACABAMENTO!H27)</f>
        <v>4</v>
      </c>
      <c r="R27" s="40">
        <f>COUNTIFS(' CADASTRO'!$R$2:R$993,ACABAMENTO!I27)</f>
        <v>0</v>
      </c>
      <c r="S27" s="62">
        <f t="shared" si="7"/>
        <v>5</v>
      </c>
      <c r="T27" s="109">
        <f t="shared" si="5"/>
        <v>1.25</v>
      </c>
    </row>
    <row r="28" spans="1:20" x14ac:dyDescent="0.25">
      <c r="A28" s="52" t="s">
        <v>160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8"/>
        <v>45896</v>
      </c>
      <c r="F28" s="53">
        <f t="shared" si="8"/>
        <v>45897</v>
      </c>
      <c r="G28" s="53">
        <f t="shared" si="8"/>
        <v>45898</v>
      </c>
      <c r="H28" s="53">
        <f t="shared" si="1"/>
        <v>45899</v>
      </c>
      <c r="I28" s="55">
        <f t="shared" si="2"/>
        <v>45900</v>
      </c>
      <c r="J28" s="56">
        <f>COUNTIFS(' CADASTRO'!$R$2:$R$993,ACABAMENTO!B28)+COUNTIFS(' CADASTRO'!$R$2:$R$993,D28)+COUNTIFS(' CADASTRO'!$R$2:R$993,E28)+COUNTIFS(' CADASTRO'!$R$2:$R$993,F28)+COUNTIFS(' CADASTRO'!$R$2:$R$993,G28)+COUNTIFS(' CADASTRO'!$R$2:$R$993,H28)+COUNTIFS(' CADASTRO'!$R$2:$R$993,I28)</f>
        <v>30</v>
      </c>
      <c r="L28" s="40">
        <f>IF(B28="","",COUNTIFS(' CADASTRO'!$R$2:$R$993,ACABAMENTO!B28))</f>
        <v>2</v>
      </c>
      <c r="M28" s="40">
        <f>IF(D28=0,"",COUNTIFS(' CADASTRO'!$R$2:R$993,ACABAMENTO!D28))</f>
        <v>6</v>
      </c>
      <c r="N28" s="40">
        <f>COUNTIFS(' CADASTRO'!$R$2:R$993,ACABAMENTO!E28)</f>
        <v>4</v>
      </c>
      <c r="O28" s="40">
        <f>COUNTIFS(' CADASTRO'!$R$2:R$993,ACABAMENTO!F28)</f>
        <v>6</v>
      </c>
      <c r="P28" s="40">
        <f>COUNTIFS(' CADASTRO'!$R$2:R$993,ACABAMENTO!G28)</f>
        <v>5</v>
      </c>
      <c r="Q28" s="40">
        <f>COUNTIFS(' CADASTRO'!$R$2:R$993,ACABAMENTO!H28)</f>
        <v>7</v>
      </c>
      <c r="R28" s="40">
        <f>COUNTIFS(' CADASTRO'!$R$2:R$993,ACABAMENTO!I28)</f>
        <v>0</v>
      </c>
      <c r="S28" s="62">
        <f t="shared" si="7"/>
        <v>5</v>
      </c>
      <c r="T28" s="109">
        <f t="shared" si="5"/>
        <v>1.25</v>
      </c>
    </row>
    <row r="29" spans="1:20" x14ac:dyDescent="0.25">
      <c r="A29" s="52" t="s">
        <v>1061</v>
      </c>
      <c r="B29" s="53">
        <f t="shared" ref="B29:B34" si="9">I28+1</f>
        <v>45901</v>
      </c>
      <c r="C29" s="54">
        <v>7</v>
      </c>
      <c r="D29" s="53">
        <f t="shared" ref="D29:D34" si="10">B29+1</f>
        <v>45902</v>
      </c>
      <c r="E29" s="53">
        <f t="shared" ref="E29:E34" si="11">D29+1</f>
        <v>45903</v>
      </c>
      <c r="F29" s="53">
        <f t="shared" ref="F29:F34" si="12">E29+1</f>
        <v>45904</v>
      </c>
      <c r="G29" s="53">
        <f t="shared" ref="G29:G34" si="13">F29+1</f>
        <v>45905</v>
      </c>
      <c r="H29" s="53">
        <f t="shared" ref="H29:H34" si="14">G29+1</f>
        <v>45906</v>
      </c>
      <c r="I29" s="55">
        <f t="shared" ref="I29:I34" si="15">B29+C29</f>
        <v>45908</v>
      </c>
      <c r="J29" s="56">
        <f>COUNTIFS(' CADASTRO'!$R$2:$R$993,ACABAMENTO!B29)+COUNTIFS(' CADASTRO'!$R$2:$R$993,D29)+COUNTIFS(' CADASTRO'!$R$2:R$993,E29)+COUNTIFS(' CADASTRO'!$R$2:$R$993,F29)+COUNTIFS(' CADASTRO'!$R$2:$R$993,G29)+COUNTIFS(' CADASTRO'!$R$2:$R$993,H29)+COUNTIFS(' CADASTRO'!$R$2:$R$993,I29)</f>
        <v>38</v>
      </c>
      <c r="L29" s="40">
        <f>IF(B29="","",COUNTIFS(' CADASTRO'!$R$2:$R$993,ACABAMENTO!B29))</f>
        <v>8</v>
      </c>
      <c r="M29" s="40">
        <f>IF(D29=0,"",COUNTIFS(' CADASTRO'!$R$2:R$993,ACABAMENTO!D29))</f>
        <v>2</v>
      </c>
      <c r="N29" s="40">
        <f>COUNTIFS(' CADASTRO'!$R$2:R$993,ACABAMENTO!E29)</f>
        <v>6</v>
      </c>
      <c r="O29" s="40">
        <f>COUNTIFS(' CADASTRO'!$R$2:R$993,ACABAMENTO!F29)</f>
        <v>5</v>
      </c>
      <c r="P29" s="40">
        <f>COUNTIFS(' CADASTRO'!$R$2:R$993,ACABAMENTO!G29)</f>
        <v>6</v>
      </c>
      <c r="Q29" s="40">
        <f>COUNTIFS(' CADASTRO'!$R$2:R$993,ACABAMENTO!H29)</f>
        <v>1</v>
      </c>
      <c r="R29" s="40">
        <f>COUNTIFS(' CADASTRO'!$R$2:R$993,ACABAMENTO!I29)</f>
        <v>10</v>
      </c>
      <c r="S29" s="62">
        <f t="shared" ref="S29:S34" si="16">SUM(L29:Q29)/6</f>
        <v>4.666666666666667</v>
      </c>
      <c r="T29" s="109">
        <f t="shared" ref="T29:T34" si="17">SUM(L29:R29)/24</f>
        <v>1.5833333333333333</v>
      </c>
    </row>
    <row r="30" spans="1:20" x14ac:dyDescent="0.25">
      <c r="A30" s="52" t="s">
        <v>1062</v>
      </c>
      <c r="B30" s="53">
        <f t="shared" si="9"/>
        <v>45909</v>
      </c>
      <c r="C30" s="54">
        <v>8</v>
      </c>
      <c r="D30" s="53">
        <f t="shared" si="10"/>
        <v>45910</v>
      </c>
      <c r="E30" s="53">
        <f t="shared" si="11"/>
        <v>45911</v>
      </c>
      <c r="F30" s="53">
        <f t="shared" si="12"/>
        <v>45912</v>
      </c>
      <c r="G30" s="53">
        <f t="shared" si="13"/>
        <v>45913</v>
      </c>
      <c r="H30" s="53">
        <f t="shared" si="14"/>
        <v>45914</v>
      </c>
      <c r="I30" s="55">
        <f t="shared" si="15"/>
        <v>45917</v>
      </c>
      <c r="J30" s="56">
        <f>COUNTIFS(' CADASTRO'!$R$2:$R$993,ACABAMENTO!B30)+COUNTIFS(' CADASTRO'!$R$2:$R$993,D30)+COUNTIFS(' CADASTRO'!$R$2:R$993,E30)+COUNTIFS(' CADASTRO'!$R$2:$R$993,F30)+COUNTIFS(' CADASTRO'!$R$2:$R$993,G30)+COUNTIFS(' CADASTRO'!$R$2:$R$993,H30)+COUNTIFS(' CADASTRO'!$R$2:$R$993,I30)</f>
        <v>37</v>
      </c>
      <c r="L30" s="40">
        <f>IF(B30="","",COUNTIFS(' CADASTRO'!$R$2:$R$993,ACABAMENTO!B30))</f>
        <v>3</v>
      </c>
      <c r="M30" s="40">
        <f>IF(D30=0,"",COUNTIFS(' CADASTRO'!$R$2:R$993,ACABAMENTO!D30))</f>
        <v>9</v>
      </c>
      <c r="N30" s="40">
        <f>COUNTIFS(' CADASTRO'!$R$2:R$993,ACABAMENTO!E30)</f>
        <v>9</v>
      </c>
      <c r="O30" s="40">
        <f>COUNTIFS(' CADASTRO'!$R$2:R$993,ACABAMENTO!F30)</f>
        <v>8</v>
      </c>
      <c r="P30" s="40">
        <f>COUNTIFS(' CADASTRO'!$R$2:R$993,ACABAMENTO!G30)</f>
        <v>2</v>
      </c>
      <c r="Q30" s="40">
        <f>COUNTIFS(' CADASTRO'!$R$2:R$993,ACABAMENTO!H30)</f>
        <v>0</v>
      </c>
      <c r="R30" s="40">
        <f>COUNTIFS(' CADASTRO'!$R$2:R$993,ACABAMENTO!I30)</f>
        <v>6</v>
      </c>
      <c r="S30" s="62">
        <f t="shared" si="16"/>
        <v>5.166666666666667</v>
      </c>
      <c r="T30" s="109">
        <f t="shared" si="17"/>
        <v>1.5416666666666667</v>
      </c>
    </row>
    <row r="31" spans="1:20" x14ac:dyDescent="0.25">
      <c r="A31" s="52" t="s">
        <v>1063</v>
      </c>
      <c r="B31" s="53">
        <f t="shared" si="9"/>
        <v>45918</v>
      </c>
      <c r="C31" s="54">
        <v>9</v>
      </c>
      <c r="D31" s="53">
        <f t="shared" si="10"/>
        <v>45919</v>
      </c>
      <c r="E31" s="53">
        <f t="shared" si="11"/>
        <v>45920</v>
      </c>
      <c r="F31" s="53">
        <f t="shared" si="12"/>
        <v>45921</v>
      </c>
      <c r="G31" s="53">
        <f t="shared" si="13"/>
        <v>45922</v>
      </c>
      <c r="H31" s="53">
        <f t="shared" si="14"/>
        <v>45923</v>
      </c>
      <c r="I31" s="55">
        <f t="shared" si="15"/>
        <v>45927</v>
      </c>
      <c r="J31" s="56">
        <f>COUNTIFS(' CADASTRO'!$R$2:$R$993,ACABAMENTO!B31)+COUNTIFS(' CADASTRO'!$R$2:$R$993,D31)+COUNTIFS(' CADASTRO'!$R$2:R$993,E31)+COUNTIFS(' CADASTRO'!$R$2:$R$993,F31)+COUNTIFS(' CADASTRO'!$R$2:$R$993,G31)+COUNTIFS(' CADASTRO'!$R$2:$R$993,H31)+COUNTIFS(' CADASTRO'!$R$2:$R$993,I31)</f>
        <v>39</v>
      </c>
      <c r="L31" s="40">
        <f>IF(B31="","",COUNTIFS(' CADASTRO'!$R$2:$R$993,ACABAMENTO!B31))</f>
        <v>8</v>
      </c>
      <c r="M31" s="40">
        <f>IF(D31=0,"",COUNTIFS(' CADASTRO'!$R$2:R$993,ACABAMENTO!D31))</f>
        <v>3</v>
      </c>
      <c r="N31" s="40">
        <f>COUNTIFS(' CADASTRO'!$R$2:R$993,ACABAMENTO!E31)</f>
        <v>7</v>
      </c>
      <c r="O31" s="40">
        <f>COUNTIFS(' CADASTRO'!$R$2:R$993,ACABAMENTO!F31)</f>
        <v>0</v>
      </c>
      <c r="P31" s="40">
        <f>COUNTIFS(' CADASTRO'!$R$2:R$993,ACABAMENTO!G31)</f>
        <v>10</v>
      </c>
      <c r="Q31" s="40">
        <f>COUNTIFS(' CADASTRO'!$R$2:R$993,ACABAMENTO!H31)</f>
        <v>8</v>
      </c>
      <c r="R31" s="40">
        <f>COUNTIFS(' CADASTRO'!$R$2:R$993,ACABAMENTO!I31)</f>
        <v>3</v>
      </c>
      <c r="S31" s="62">
        <f t="shared" si="16"/>
        <v>6</v>
      </c>
      <c r="T31" s="109">
        <f t="shared" si="17"/>
        <v>1.625</v>
      </c>
    </row>
    <row r="32" spans="1:20" x14ac:dyDescent="0.25">
      <c r="A32" s="52" t="s">
        <v>1064</v>
      </c>
      <c r="B32" s="53">
        <f t="shared" si="9"/>
        <v>45928</v>
      </c>
      <c r="C32" s="54">
        <v>10</v>
      </c>
      <c r="D32" s="53">
        <f t="shared" si="10"/>
        <v>45929</v>
      </c>
      <c r="E32" s="53">
        <f t="shared" si="11"/>
        <v>45930</v>
      </c>
      <c r="F32" s="53">
        <f t="shared" si="12"/>
        <v>45931</v>
      </c>
      <c r="G32" s="53">
        <f t="shared" si="13"/>
        <v>45932</v>
      </c>
      <c r="H32" s="53">
        <f t="shared" si="14"/>
        <v>45933</v>
      </c>
      <c r="I32" s="55">
        <f t="shared" si="15"/>
        <v>45938</v>
      </c>
      <c r="J32" s="56">
        <f>COUNTIFS(' CADASTRO'!$R$2:$R$993,ACABAMENTO!B32)+COUNTIFS(' CADASTRO'!$R$2:$R$993,D32)+COUNTIFS(' CADASTRO'!$R$2:R$993,E32)+COUNTIFS(' CADASTRO'!$R$2:$R$993,F32)+COUNTIFS(' CADASTRO'!$R$2:$R$993,G32)+COUNTIFS(' CADASTRO'!$R$2:$R$993,H32)+COUNTIFS(' CADASTRO'!$R$2:$R$993,I32)</f>
        <v>41</v>
      </c>
      <c r="L32" s="40">
        <f>IF(B32="","",COUNTIFS(' CADASTRO'!$R$2:$R$993,ACABAMENTO!B32))</f>
        <v>0</v>
      </c>
      <c r="M32" s="40">
        <f>IF(D32=0,"",COUNTIFS(' CADASTRO'!$R$2:R$993,ACABAMENTO!D32))</f>
        <v>7</v>
      </c>
      <c r="N32" s="40">
        <f>COUNTIFS(' CADASTRO'!$R$2:R$993,ACABAMENTO!E32)</f>
        <v>7</v>
      </c>
      <c r="O32" s="40">
        <f>COUNTIFS(' CADASTRO'!$R$2:R$993,ACABAMENTO!F32)</f>
        <v>9</v>
      </c>
      <c r="P32" s="40">
        <f>COUNTIFS(' CADASTRO'!$R$2:R$993,ACABAMENTO!G32)</f>
        <v>4</v>
      </c>
      <c r="Q32" s="40">
        <f>COUNTIFS(' CADASTRO'!$R$2:R$993,ACABAMENTO!H32)</f>
        <v>8</v>
      </c>
      <c r="R32" s="40">
        <f>COUNTIFS(' CADASTRO'!$R$2:R$993,ACABAMENTO!I32)</f>
        <v>6</v>
      </c>
      <c r="S32" s="62">
        <f t="shared" si="16"/>
        <v>5.833333333333333</v>
      </c>
      <c r="T32" s="109">
        <f t="shared" si="17"/>
        <v>1.7083333333333333</v>
      </c>
    </row>
    <row r="33" spans="1:20" x14ac:dyDescent="0.25">
      <c r="A33" s="52" t="s">
        <v>1065</v>
      </c>
      <c r="B33" s="53">
        <f t="shared" si="9"/>
        <v>45939</v>
      </c>
      <c r="C33" s="54">
        <v>11</v>
      </c>
      <c r="D33" s="53">
        <f t="shared" si="10"/>
        <v>45940</v>
      </c>
      <c r="E33" s="53">
        <f t="shared" si="11"/>
        <v>45941</v>
      </c>
      <c r="F33" s="53">
        <f t="shared" si="12"/>
        <v>45942</v>
      </c>
      <c r="G33" s="53">
        <f t="shared" si="13"/>
        <v>45943</v>
      </c>
      <c r="H33" s="53">
        <f t="shared" si="14"/>
        <v>45944</v>
      </c>
      <c r="I33" s="55">
        <f t="shared" si="15"/>
        <v>45950</v>
      </c>
      <c r="J33" s="56">
        <f>COUNTIFS(' CADASTRO'!$R$2:$R$993,ACABAMENTO!B33)+COUNTIFS(' CADASTRO'!$R$2:$R$993,D33)+COUNTIFS(' CADASTRO'!$R$2:R$993,E33)+COUNTIFS(' CADASTRO'!$R$2:$R$993,F33)+COUNTIFS(' CADASTRO'!$R$2:$R$993,G33)+COUNTIFS(' CADASTRO'!$R$2:$R$993,H33)+COUNTIFS(' CADASTRO'!$R$2:$R$993,I33)</f>
        <v>45</v>
      </c>
      <c r="L33" s="40">
        <f>IF(B33="","",COUNTIFS(' CADASTRO'!$R$2:$R$993,ACABAMENTO!B33))</f>
        <v>8</v>
      </c>
      <c r="M33" s="40">
        <f>IF(D33=0,"",COUNTIFS(' CADASTRO'!$R$2:R$993,ACABAMENTO!D33))</f>
        <v>7</v>
      </c>
      <c r="N33" s="40">
        <f>COUNTIFS(' CADASTRO'!$R$2:R$993,ACABAMENTO!E33)</f>
        <v>8</v>
      </c>
      <c r="O33" s="40">
        <f>COUNTIFS(' CADASTRO'!$R$2:R$993,ACABAMENTO!F33)</f>
        <v>0</v>
      </c>
      <c r="P33" s="40">
        <f>COUNTIFS(' CADASTRO'!$R$2:R$993,ACABAMENTO!G33)</f>
        <v>6</v>
      </c>
      <c r="Q33" s="40">
        <f>COUNTIFS(' CADASTRO'!$R$2:R$993,ACABAMENTO!H33)</f>
        <v>7</v>
      </c>
      <c r="R33" s="40">
        <f>COUNTIFS(' CADASTRO'!$R$2:R$993,ACABAMENTO!I33)</f>
        <v>9</v>
      </c>
      <c r="S33" s="62">
        <f t="shared" si="16"/>
        <v>6</v>
      </c>
      <c r="T33" s="109">
        <f t="shared" si="17"/>
        <v>1.875</v>
      </c>
    </row>
    <row r="34" spans="1:20" x14ac:dyDescent="0.25">
      <c r="A34" s="52" t="s">
        <v>1066</v>
      </c>
      <c r="B34" s="53">
        <f t="shared" si="9"/>
        <v>45951</v>
      </c>
      <c r="C34" s="54">
        <v>12</v>
      </c>
      <c r="D34" s="53">
        <f t="shared" si="10"/>
        <v>45952</v>
      </c>
      <c r="E34" s="53">
        <f t="shared" si="11"/>
        <v>45953</v>
      </c>
      <c r="F34" s="53">
        <f t="shared" si="12"/>
        <v>45954</v>
      </c>
      <c r="G34" s="53">
        <f t="shared" si="13"/>
        <v>45955</v>
      </c>
      <c r="H34" s="53">
        <f t="shared" si="14"/>
        <v>45956</v>
      </c>
      <c r="I34" s="55">
        <f t="shared" si="15"/>
        <v>45963</v>
      </c>
      <c r="J34" s="56">
        <f>COUNTIFS(' CADASTRO'!$R$2:$R$993,ACABAMENTO!B34)+COUNTIFS(' CADASTRO'!$R$2:$R$993,D34)+COUNTIFS(' CADASTRO'!$R$2:R$993,E34)+COUNTIFS(' CADASTRO'!$R$2:$R$993,F34)+COUNTIFS(' CADASTRO'!$R$2:$R$993,G34)+COUNTIFS(' CADASTRO'!$R$2:$R$993,H34)+COUNTIFS(' CADASTRO'!$R$2:$R$993,I34)</f>
        <v>33</v>
      </c>
      <c r="L34" s="40">
        <f>IF(B34="","",COUNTIFS(' CADASTRO'!$R$2:$R$993,ACABAMENTO!B34))</f>
        <v>6</v>
      </c>
      <c r="M34" s="40">
        <f>IF(D34=0,"",COUNTIFS(' CADASTRO'!$R$2:R$993,ACABAMENTO!D34))</f>
        <v>11</v>
      </c>
      <c r="N34" s="40">
        <f>COUNTIFS(' CADASTRO'!$R$2:R$993,ACABAMENTO!E34)</f>
        <v>6</v>
      </c>
      <c r="O34" s="40">
        <f>COUNTIFS(' CADASTRO'!$R$2:R$993,ACABAMENTO!F34)</f>
        <v>9</v>
      </c>
      <c r="P34" s="40">
        <f>COUNTIFS(' CADASTRO'!$R$2:R$993,ACABAMENTO!G34)</f>
        <v>1</v>
      </c>
      <c r="Q34" s="40">
        <f>COUNTIFS(' CADASTRO'!$R$2:R$993,ACABAMENTO!H34)</f>
        <v>0</v>
      </c>
      <c r="R34" s="40">
        <f>COUNTIFS(' CADASTRO'!$R$2:R$993,ACABAMENTO!I34)</f>
        <v>0</v>
      </c>
      <c r="S34" s="62">
        <f t="shared" si="16"/>
        <v>5.5</v>
      </c>
      <c r="T34" s="109">
        <f t="shared" si="17"/>
        <v>1.375</v>
      </c>
    </row>
  </sheetData>
  <mergeCells count="4">
    <mergeCell ref="L1:N1"/>
    <mergeCell ref="L2:N2"/>
    <mergeCell ref="A1:A2"/>
    <mergeCell ref="B1:B2"/>
  </mergeCells>
  <phoneticPr fontId="1" type="noConversion"/>
  <conditionalFormatting sqref="L5:R34">
    <cfRule type="cellIs" dxfId="7" priority="5" operator="greaterThan">
      <formula>0</formula>
    </cfRule>
  </conditionalFormatting>
  <conditionalFormatting sqref="L5:R253">
    <cfRule type="cellIs" dxfId="6" priority="6" operator="equal">
      <formula>0</formula>
    </cfRule>
  </conditionalFormatting>
  <conditionalFormatting sqref="S5:S34">
    <cfRule type="cellIs" dxfId="5" priority="1" operator="lessThan">
      <formula>5.8</formula>
    </cfRule>
    <cfRule type="cellIs" dxfId="4" priority="2" operator="greaterThan">
      <formula>5.8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DA2B-C538-4B91-934F-75BE6F24DA27}">
  <dimension ref="A1:T57"/>
  <sheetViews>
    <sheetView topLeftCell="A24" zoomScaleNormal="100" workbookViewId="0">
      <selection activeCell="P36" sqref="P36"/>
    </sheetView>
  </sheetViews>
  <sheetFormatPr defaultRowHeight="15" x14ac:dyDescent="0.25"/>
  <cols>
    <col min="1" max="2" width="12.5703125" customWidth="1"/>
    <col min="3" max="3" width="7.85546875" style="13" customWidth="1"/>
    <col min="4" max="4" width="11.28515625" style="13" customWidth="1"/>
    <col min="5" max="5" width="11.42578125" style="13" customWidth="1"/>
    <col min="6" max="6" width="11.7109375" style="13" customWidth="1"/>
    <col min="7" max="7" width="11.42578125" style="13" customWidth="1"/>
    <col min="8" max="8" width="12.140625" style="13" customWidth="1"/>
    <col min="9" max="9" width="17" style="14" customWidth="1"/>
    <col min="10" max="10" width="11.7109375" customWidth="1"/>
    <col min="11" max="11" width="2.85546875" customWidth="1"/>
    <col min="19" max="19" width="10.28515625" style="14" bestFit="1" customWidth="1"/>
  </cols>
  <sheetData>
    <row r="1" spans="1:20" x14ac:dyDescent="0.25">
      <c r="I1" s="60" t="s">
        <v>105</v>
      </c>
      <c r="J1" s="61">
        <f>J4-J2</f>
        <v>438</v>
      </c>
      <c r="S1" s="324" t="s">
        <v>239</v>
      </c>
      <c r="T1" s="324"/>
    </row>
    <row r="2" spans="1:20" x14ac:dyDescent="0.25">
      <c r="I2" s="60" t="s">
        <v>104</v>
      </c>
      <c r="J2" s="60">
        <f>MAX(' CADASTRO'!C745:C893)</f>
        <v>169</v>
      </c>
      <c r="S2" s="40" t="s">
        <v>237</v>
      </c>
      <c r="T2" s="52" t="s">
        <v>238</v>
      </c>
    </row>
    <row r="3" spans="1:20" x14ac:dyDescent="0.25">
      <c r="B3" t="s">
        <v>1071</v>
      </c>
      <c r="I3" s="14" t="s">
        <v>1155</v>
      </c>
      <c r="S3" s="40">
        <v>5</v>
      </c>
      <c r="T3" s="52">
        <v>35</v>
      </c>
    </row>
    <row r="4" spans="1:20" x14ac:dyDescent="0.25">
      <c r="A4" s="52"/>
      <c r="B4" s="52" t="s">
        <v>135</v>
      </c>
      <c r="C4" s="16"/>
      <c r="D4" s="16"/>
      <c r="E4" s="16"/>
      <c r="F4" s="16"/>
      <c r="G4" s="16"/>
      <c r="H4" s="16"/>
      <c r="I4" s="40" t="s">
        <v>136</v>
      </c>
      <c r="J4" s="59">
        <f>SUM(J5:J28)</f>
        <v>607</v>
      </c>
      <c r="L4" s="41" t="str">
        <f>TEXT(B5,"DDD")</f>
        <v>seg</v>
      </c>
      <c r="M4" s="41" t="str">
        <f>TEXT(D5,"DDD")</f>
        <v>ter</v>
      </c>
      <c r="N4" s="41" t="str">
        <f>TEXT(E5,"DDD")</f>
        <v>qua</v>
      </c>
      <c r="O4" s="41" t="str">
        <f>TEXT(F5,"DDD")</f>
        <v>qui</v>
      </c>
      <c r="P4" s="41" t="str">
        <f>TEXT(G5,"DDD")</f>
        <v>sex</v>
      </c>
      <c r="Q4" s="41" t="str">
        <f t="shared" ref="Q4:R4" si="0">TEXT(H5,"DDD")</f>
        <v>sáb</v>
      </c>
      <c r="R4" s="41" t="str">
        <f t="shared" si="0"/>
        <v>dom</v>
      </c>
    </row>
    <row r="5" spans="1:20" x14ac:dyDescent="0.25">
      <c r="A5" s="52" t="s">
        <v>137</v>
      </c>
      <c r="B5" s="53">
        <v>45733</v>
      </c>
      <c r="C5" s="54">
        <v>6</v>
      </c>
      <c r="D5" s="53">
        <f>B5+1</f>
        <v>45734</v>
      </c>
      <c r="E5" s="53">
        <f>D5+1</f>
        <v>45735</v>
      </c>
      <c r="F5" s="53">
        <f>E5+1</f>
        <v>45736</v>
      </c>
      <c r="G5" s="53">
        <f>F5+1</f>
        <v>45737</v>
      </c>
      <c r="H5" s="53">
        <f t="shared" ref="H5:H20" si="1">G5+1</f>
        <v>45738</v>
      </c>
      <c r="I5" s="55">
        <f t="shared" ref="I5:I28" si="2">B5+C5</f>
        <v>45739</v>
      </c>
      <c r="J5" s="56">
        <f>COUNTIFS(' CADASTRO'!$B$2:$B$993,'PRODUÇÃO SEMANA'!B5)+COUNTIFS(' CADASTRO'!$B$2:$B$993,D5)+COUNTIFS(' CADASTRO'!$B$2:$B$993,E5)+COUNTIFS(' CADASTRO'!$B$2:$B$993,F5)+COUNTIFS(' CADASTRO'!$B$2:$B$993,G5)+COUNTIFS(' CADASTRO'!$B$2:$B$993,H5)+COUNTIFS(' CADASTRO'!$B$2:$B$993,I5)</f>
        <v>8</v>
      </c>
      <c r="L5" s="40">
        <f>IF(B5="","",COUNTIFS(' CADASTRO'!$B$2:$B$3000,'PRODUÇÃO SEMANA'!B5))</f>
        <v>8</v>
      </c>
      <c r="M5" s="40">
        <f>IF(D5=0,"",COUNTIFS(' CADASTRO'!$B$2:B$3000,'PRODUÇÃO SEMANA'!D5))</f>
        <v>0</v>
      </c>
      <c r="N5" s="40">
        <f>COUNTIFS(' CADASTRO'!$B$2:B$3000,'PRODUÇÃO SEMANA'!E5)</f>
        <v>0</v>
      </c>
      <c r="O5" s="40">
        <f>COUNTIFS(' CADASTRO'!$B$2:B$3000,'PRODUÇÃO SEMANA'!F5)</f>
        <v>0</v>
      </c>
      <c r="P5" s="40">
        <f>COUNTIFS(' CADASTRO'!$B$2:B$3000,'PRODUÇÃO SEMANA'!G5)</f>
        <v>0</v>
      </c>
      <c r="Q5" s="40">
        <f>COUNTIFS(' CADASTRO'!$B$2:B$3000,'PRODUÇÃO SEMANA'!H5)</f>
        <v>0</v>
      </c>
      <c r="R5" s="40">
        <f>COUNTIFS(' CADASTRO'!$B$2:B$3000,'PRODUÇÃO SEMANA'!I5)</f>
        <v>0</v>
      </c>
      <c r="S5" s="102">
        <f>SUM(L5:Q5)/($S$3+$T$3)</f>
        <v>0.2</v>
      </c>
    </row>
    <row r="6" spans="1:20" x14ac:dyDescent="0.25">
      <c r="A6" s="52" t="s">
        <v>138</v>
      </c>
      <c r="B6" s="53">
        <f>I5+1</f>
        <v>45740</v>
      </c>
      <c r="C6" s="54">
        <v>6</v>
      </c>
      <c r="D6" s="53">
        <f t="shared" ref="D6:D28" si="3">B6+1</f>
        <v>45741</v>
      </c>
      <c r="E6" s="53">
        <f t="shared" ref="E6:G6" si="4">D6+1</f>
        <v>45742</v>
      </c>
      <c r="F6" s="53">
        <f t="shared" si="4"/>
        <v>45743</v>
      </c>
      <c r="G6" s="53">
        <f t="shared" si="4"/>
        <v>45744</v>
      </c>
      <c r="H6" s="53">
        <f t="shared" si="1"/>
        <v>45745</v>
      </c>
      <c r="I6" s="55">
        <f t="shared" si="2"/>
        <v>45746</v>
      </c>
      <c r="J6" s="56">
        <f>COUNTIFS(' CADASTRO'!$B$2:$B$993,'PRODUÇÃO SEMANA'!B6)+COUNTIFS(' CADASTRO'!$B$2:$B$993,D6)+COUNTIFS(' CADASTRO'!$B$2:$B$993,E6)+COUNTIFS(' CADASTRO'!$B$2:$B$993,F6)+COUNTIFS(' CADASTRO'!$B$2:$B$993,G6)+COUNTIFS(' CADASTRO'!$B$2:$B$993,H6)+COUNTIFS(' CADASTRO'!$B$2:$B$993,I6)</f>
        <v>32</v>
      </c>
      <c r="L6" s="40">
        <f>IF(B6="","",COUNTIFS(' CADASTRO'!$B$2:$B$3000,'PRODUÇÃO SEMANA'!B6))</f>
        <v>0</v>
      </c>
      <c r="M6" s="40">
        <f>IF(D6=0,"",COUNTIFS(' CADASTRO'!$B$2:B$3000,'PRODUÇÃO SEMANA'!D6))</f>
        <v>8</v>
      </c>
      <c r="N6" s="40">
        <f>COUNTIFS(' CADASTRO'!$B$2:B$3000,'PRODUÇÃO SEMANA'!E6)</f>
        <v>8</v>
      </c>
      <c r="O6" s="40">
        <f>COUNTIFS(' CADASTRO'!$B$2:B$3000,'PRODUÇÃO SEMANA'!F6)</f>
        <v>8</v>
      </c>
      <c r="P6" s="40">
        <f>COUNTIFS(' CADASTRO'!$B$2:B$3000,'PRODUÇÃO SEMANA'!G6)</f>
        <v>8</v>
      </c>
      <c r="Q6" s="40">
        <f>COUNTIFS(' CADASTRO'!$B$2:B$3000,'PRODUÇÃO SEMANA'!H6)</f>
        <v>0</v>
      </c>
      <c r="R6" s="40">
        <f>COUNTIFS(' CADASTRO'!$B$2:B$3000,'PRODUÇÃO SEMANA'!I6)</f>
        <v>0</v>
      </c>
      <c r="S6" s="102">
        <f t="shared" ref="S6:S28" si="5">SUM(L6:Q6)/($S$3+$T$3)</f>
        <v>0.8</v>
      </c>
    </row>
    <row r="7" spans="1:20" x14ac:dyDescent="0.25">
      <c r="A7" s="52" t="s">
        <v>139</v>
      </c>
      <c r="B7" s="53">
        <f t="shared" ref="B7:B28" si="6">I6+1</f>
        <v>45747</v>
      </c>
      <c r="C7" s="54">
        <v>6</v>
      </c>
      <c r="D7" s="53">
        <f t="shared" si="3"/>
        <v>45748</v>
      </c>
      <c r="E7" s="53">
        <f t="shared" ref="E7:G7" si="7">D7+1</f>
        <v>45749</v>
      </c>
      <c r="F7" s="53">
        <f t="shared" si="7"/>
        <v>45750</v>
      </c>
      <c r="G7" s="53">
        <f t="shared" si="7"/>
        <v>45751</v>
      </c>
      <c r="H7" s="53">
        <f t="shared" si="1"/>
        <v>45752</v>
      </c>
      <c r="I7" s="55">
        <f t="shared" si="2"/>
        <v>45753</v>
      </c>
      <c r="J7" s="56">
        <f>COUNTIFS(' CADASTRO'!$B$2:$B$993,'PRODUÇÃO SEMANA'!B7)+COUNTIFS(' CADASTRO'!$B$2:$B$993,D7)+COUNTIFS(' CADASTRO'!$B$2:$B$993,E7)+COUNTIFS(' CADASTRO'!$B$2:$B$993,F7)+COUNTIFS(' CADASTRO'!$B$2:$B$993,G7)+COUNTIFS(' CADASTRO'!$B$2:$B$993,H7)+COUNTIFS(' CADASTRO'!$B$2:$B$993,I7)</f>
        <v>32</v>
      </c>
      <c r="L7" s="40">
        <f>IF(B7="","",COUNTIFS(' CADASTRO'!$B$2:$B$3000,'PRODUÇÃO SEMANA'!B7))</f>
        <v>8</v>
      </c>
      <c r="M7" s="40">
        <f>IF(D7=0,"",COUNTIFS(' CADASTRO'!$B$2:B$3000,'PRODUÇÃO SEMANA'!D7))</f>
        <v>0</v>
      </c>
      <c r="N7" s="40">
        <f>COUNTIFS(' CADASTRO'!$B$2:B$3000,'PRODUÇÃO SEMANA'!E7)</f>
        <v>8</v>
      </c>
      <c r="O7" s="40">
        <f>COUNTIFS(' CADASTRO'!$B$2:B$3000,'PRODUÇÃO SEMANA'!F7)</f>
        <v>8</v>
      </c>
      <c r="P7" s="40">
        <f>COUNTIFS(' CADASTRO'!$B$2:B$3000,'PRODUÇÃO SEMANA'!G7)</f>
        <v>0</v>
      </c>
      <c r="Q7" s="40">
        <f>COUNTIFS(' CADASTRO'!$B$2:B$3000,'PRODUÇÃO SEMANA'!H7)</f>
        <v>8</v>
      </c>
      <c r="R7" s="40">
        <f>COUNTIFS(' CADASTRO'!$B$2:B$3000,'PRODUÇÃO SEMANA'!I7)</f>
        <v>0</v>
      </c>
      <c r="S7" s="102">
        <f t="shared" si="5"/>
        <v>0.8</v>
      </c>
    </row>
    <row r="8" spans="1:20" x14ac:dyDescent="0.25">
      <c r="A8" s="52" t="s">
        <v>140</v>
      </c>
      <c r="B8" s="53">
        <f t="shared" si="6"/>
        <v>45754</v>
      </c>
      <c r="C8" s="54">
        <v>6</v>
      </c>
      <c r="D8" s="53">
        <f t="shared" si="3"/>
        <v>45755</v>
      </c>
      <c r="E8" s="53">
        <f t="shared" ref="E8:G8" si="8">D8+1</f>
        <v>45756</v>
      </c>
      <c r="F8" s="53">
        <f t="shared" si="8"/>
        <v>45757</v>
      </c>
      <c r="G8" s="53">
        <f t="shared" si="8"/>
        <v>45758</v>
      </c>
      <c r="H8" s="53">
        <f t="shared" si="1"/>
        <v>45759</v>
      </c>
      <c r="I8" s="55">
        <f t="shared" si="2"/>
        <v>45760</v>
      </c>
      <c r="J8" s="56">
        <f>COUNTIFS(' CADASTRO'!$B$2:$B$993,'PRODUÇÃO SEMANA'!B8)+COUNTIFS(' CADASTRO'!$B$2:$B$993,D8)+COUNTIFS(' CADASTRO'!$B$2:$B$993,E8)+COUNTIFS(' CADASTRO'!$B$2:$B$993,F8)+COUNTIFS(' CADASTRO'!$B$2:$B$993,G8)+COUNTIFS(' CADASTRO'!$B$2:$B$993,H8)+COUNTIFS(' CADASTRO'!$B$2:$B$993,I8)</f>
        <v>32</v>
      </c>
      <c r="L8" s="40">
        <f>IF(B8="","",COUNTIFS(' CADASTRO'!$B$2:$B$3000,'PRODUÇÃO SEMANA'!B8))</f>
        <v>8</v>
      </c>
      <c r="M8" s="40">
        <f>IF(D8=0,"",COUNTIFS(' CADASTRO'!$B$2:B$3000,'PRODUÇÃO SEMANA'!D8))</f>
        <v>8</v>
      </c>
      <c r="N8" s="40">
        <f>COUNTIFS(' CADASTRO'!$B$2:B$3000,'PRODUÇÃO SEMANA'!E8)</f>
        <v>0</v>
      </c>
      <c r="O8" s="40">
        <f>COUNTIFS(' CADASTRO'!$B$2:B$3000,'PRODUÇÃO SEMANA'!F8)</f>
        <v>8</v>
      </c>
      <c r="P8" s="40">
        <f>COUNTIFS(' CADASTRO'!$B$2:B$3000,'PRODUÇÃO SEMANA'!G8)</f>
        <v>8</v>
      </c>
      <c r="Q8" s="40">
        <f>COUNTIFS(' CADASTRO'!$B$2:B$3000,'PRODUÇÃO SEMANA'!H8)</f>
        <v>0</v>
      </c>
      <c r="R8" s="40">
        <f>COUNTIFS(' CADASTRO'!$B$2:B$3000,'PRODUÇÃO SEMANA'!I8)</f>
        <v>0</v>
      </c>
      <c r="S8" s="102">
        <f t="shared" si="5"/>
        <v>0.8</v>
      </c>
    </row>
    <row r="9" spans="1:20" x14ac:dyDescent="0.25">
      <c r="A9" s="52" t="s">
        <v>141</v>
      </c>
      <c r="B9" s="53">
        <f t="shared" si="6"/>
        <v>45761</v>
      </c>
      <c r="C9" s="54">
        <v>6</v>
      </c>
      <c r="D9" s="53">
        <f t="shared" si="3"/>
        <v>45762</v>
      </c>
      <c r="E9" s="53">
        <f t="shared" ref="E9:G9" si="9">D9+1</f>
        <v>45763</v>
      </c>
      <c r="F9" s="53">
        <f t="shared" si="9"/>
        <v>45764</v>
      </c>
      <c r="G9" s="53">
        <f t="shared" si="9"/>
        <v>45765</v>
      </c>
      <c r="H9" s="53">
        <f t="shared" si="1"/>
        <v>45766</v>
      </c>
      <c r="I9" s="55">
        <f t="shared" si="2"/>
        <v>45767</v>
      </c>
      <c r="J9" s="56">
        <f>COUNTIFS(' CADASTRO'!$B$2:$B$993,'PRODUÇÃO SEMANA'!B9)+COUNTIFS(' CADASTRO'!$B$2:$B$993,D9)+COUNTIFS(' CADASTRO'!$B$2:$B$993,E9)+COUNTIFS(' CADASTRO'!$B$2:$B$993,F9)+COUNTIFS(' CADASTRO'!$B$2:$B$993,G9)+COUNTIFS(' CADASTRO'!$B$2:$B$993,H9)+COUNTIFS(' CADASTRO'!$B$2:$B$993,I9)</f>
        <v>31</v>
      </c>
      <c r="L9" s="40">
        <f>IF(B9="","",COUNTIFS(' CADASTRO'!$B$2:$B$3000,'PRODUÇÃO SEMANA'!B9))</f>
        <v>7</v>
      </c>
      <c r="M9" s="40">
        <f>IF(D9=0,"",COUNTIFS(' CADASTRO'!$B$2:B$3000,'PRODUÇÃO SEMANA'!D9))</f>
        <v>8</v>
      </c>
      <c r="N9" s="40">
        <f>COUNTIFS(' CADASTRO'!$B$2:B$3000,'PRODUÇÃO SEMANA'!E9)</f>
        <v>0</v>
      </c>
      <c r="O9" s="40">
        <f>COUNTIFS(' CADASTRO'!$B$2:B$3000,'PRODUÇÃO SEMANA'!F9)</f>
        <v>16</v>
      </c>
      <c r="P9" s="40">
        <f>COUNTIFS(' CADASTRO'!$B$2:B$3000,'PRODUÇÃO SEMANA'!G9)</f>
        <v>0</v>
      </c>
      <c r="Q9" s="40">
        <f>COUNTIFS(' CADASTRO'!$B$2:B$3000,'PRODUÇÃO SEMANA'!H9)</f>
        <v>0</v>
      </c>
      <c r="R9" s="40">
        <f>COUNTIFS(' CADASTRO'!$B$2:B$3000,'PRODUÇÃO SEMANA'!I9)</f>
        <v>0</v>
      </c>
      <c r="S9" s="102">
        <f t="shared" si="5"/>
        <v>0.77500000000000002</v>
      </c>
    </row>
    <row r="10" spans="1:20" x14ac:dyDescent="0.25">
      <c r="A10" s="52" t="s">
        <v>142</v>
      </c>
      <c r="B10" s="53">
        <f t="shared" si="6"/>
        <v>45768</v>
      </c>
      <c r="C10" s="54">
        <v>6</v>
      </c>
      <c r="D10" s="53">
        <f t="shared" si="3"/>
        <v>45769</v>
      </c>
      <c r="E10" s="53">
        <f t="shared" ref="E10:G10" si="10">D10+1</f>
        <v>45770</v>
      </c>
      <c r="F10" s="53">
        <f t="shared" si="10"/>
        <v>45771</v>
      </c>
      <c r="G10" s="53">
        <f t="shared" si="10"/>
        <v>45772</v>
      </c>
      <c r="H10" s="53">
        <f t="shared" si="1"/>
        <v>45773</v>
      </c>
      <c r="I10" s="55">
        <f t="shared" si="2"/>
        <v>45774</v>
      </c>
      <c r="J10" s="56">
        <f>COUNTIFS(' CADASTRO'!$B$2:$B$993,'PRODUÇÃO SEMANA'!B10)+COUNTIFS(' CADASTRO'!$B$2:$B$993,D10)+COUNTIFS(' CADASTRO'!$B$2:$B$993,E10)+COUNTIFS(' CADASTRO'!$B$2:$B$993,F10)+COUNTIFS(' CADASTRO'!$B$2:$B$993,G10)+COUNTIFS(' CADASTRO'!$B$2:$B$993,H10)+COUNTIFS(' CADASTRO'!$B$2:$B$993,I10)</f>
        <v>24</v>
      </c>
      <c r="L10" s="40">
        <f>IF(B10="","",COUNTIFS(' CADASTRO'!$B$2:$B$3000,'PRODUÇÃO SEMANA'!B10))</f>
        <v>0</v>
      </c>
      <c r="M10" s="40">
        <f>IF(D10=0,"",COUNTIFS(' CADASTRO'!$B$2:B$3000,'PRODUÇÃO SEMANA'!D10))</f>
        <v>0</v>
      </c>
      <c r="N10" s="40">
        <f>COUNTIFS(' CADASTRO'!$B$2:B$3000,'PRODUÇÃO SEMANA'!E10)</f>
        <v>8</v>
      </c>
      <c r="O10" s="40">
        <f>COUNTIFS(' CADASTRO'!$B$2:B$3000,'PRODUÇÃO SEMANA'!F10)</f>
        <v>8</v>
      </c>
      <c r="P10" s="40">
        <f>COUNTIFS(' CADASTRO'!$B$2:B$3000,'PRODUÇÃO SEMANA'!G10)</f>
        <v>0</v>
      </c>
      <c r="Q10" s="40">
        <f>COUNTIFS(' CADASTRO'!$B$2:B$3000,'PRODUÇÃO SEMANA'!H10)</f>
        <v>8</v>
      </c>
      <c r="R10" s="40">
        <f>COUNTIFS(' CADASTRO'!$B$2:B$3000,'PRODUÇÃO SEMANA'!I10)</f>
        <v>0</v>
      </c>
      <c r="S10" s="102">
        <f t="shared" si="5"/>
        <v>0.6</v>
      </c>
    </row>
    <row r="11" spans="1:20" x14ac:dyDescent="0.25">
      <c r="A11" s="52" t="s">
        <v>143</v>
      </c>
      <c r="B11" s="53">
        <f t="shared" si="6"/>
        <v>45775</v>
      </c>
      <c r="C11" s="54">
        <v>6</v>
      </c>
      <c r="D11" s="53">
        <f t="shared" si="3"/>
        <v>45776</v>
      </c>
      <c r="E11" s="53">
        <f t="shared" ref="E11:G11" si="11">D11+1</f>
        <v>45777</v>
      </c>
      <c r="F11" s="53">
        <f t="shared" si="11"/>
        <v>45778</v>
      </c>
      <c r="G11" s="53">
        <f t="shared" si="11"/>
        <v>45779</v>
      </c>
      <c r="H11" s="53">
        <f t="shared" si="1"/>
        <v>45780</v>
      </c>
      <c r="I11" s="55">
        <f t="shared" si="2"/>
        <v>45781</v>
      </c>
      <c r="J11" s="56">
        <f>COUNTIFS(' CADASTRO'!$B$2:$B$993,'PRODUÇÃO SEMANA'!B11)+COUNTIFS(' CADASTRO'!$B$2:$B$993,D11)+COUNTIFS(' CADASTRO'!$B$2:$B$993,E11)+COUNTIFS(' CADASTRO'!$B$2:$B$993,F11)+COUNTIFS(' CADASTRO'!$B$2:$B$993,G11)+COUNTIFS(' CADASTRO'!$B$2:$B$993,H11)+COUNTIFS(' CADASTRO'!$B$2:$B$993,I11)</f>
        <v>24</v>
      </c>
      <c r="L11" s="40">
        <f>IF(B11="","",COUNTIFS(' CADASTRO'!$B$2:$B$3000,'PRODUÇÃO SEMANA'!B11))</f>
        <v>0</v>
      </c>
      <c r="M11" s="40">
        <f>IF(D11=0,"",COUNTIFS(' CADASTRO'!$B$2:B$3000,'PRODUÇÃO SEMANA'!D11))</f>
        <v>8</v>
      </c>
      <c r="N11" s="40">
        <f>COUNTIFS(' CADASTRO'!$B$2:B$3000,'PRODUÇÃO SEMANA'!E11)</f>
        <v>8</v>
      </c>
      <c r="O11" s="40">
        <f>COUNTIFS(' CADASTRO'!$B$2:B$3000,'PRODUÇÃO SEMANA'!F11)</f>
        <v>0</v>
      </c>
      <c r="P11" s="40">
        <f>COUNTIFS(' CADASTRO'!$B$2:B$3000,'PRODUÇÃO SEMANA'!G11)</f>
        <v>0</v>
      </c>
      <c r="Q11" s="40">
        <f>COUNTIFS(' CADASTRO'!$B$2:B$3000,'PRODUÇÃO SEMANA'!H11)</f>
        <v>8</v>
      </c>
      <c r="R11" s="40">
        <f>COUNTIFS(' CADASTRO'!$B$2:B$3000,'PRODUÇÃO SEMANA'!I11)</f>
        <v>0</v>
      </c>
      <c r="S11" s="102">
        <f t="shared" si="5"/>
        <v>0.6</v>
      </c>
    </row>
    <row r="12" spans="1:20" x14ac:dyDescent="0.25">
      <c r="A12" s="52" t="s">
        <v>144</v>
      </c>
      <c r="B12" s="53">
        <f t="shared" si="6"/>
        <v>45782</v>
      </c>
      <c r="C12" s="54">
        <v>6</v>
      </c>
      <c r="D12" s="53">
        <f t="shared" si="3"/>
        <v>45783</v>
      </c>
      <c r="E12" s="53">
        <f t="shared" ref="E12:G12" si="12">D12+1</f>
        <v>45784</v>
      </c>
      <c r="F12" s="53">
        <f t="shared" si="12"/>
        <v>45785</v>
      </c>
      <c r="G12" s="53">
        <f t="shared" si="12"/>
        <v>45786</v>
      </c>
      <c r="H12" s="53">
        <f t="shared" si="1"/>
        <v>45787</v>
      </c>
      <c r="I12" s="55">
        <f t="shared" si="2"/>
        <v>45788</v>
      </c>
      <c r="J12" s="56">
        <f>COUNTIFS(' CADASTRO'!$B$2:$B$993,'PRODUÇÃO SEMANA'!B12)+COUNTIFS(' CADASTRO'!$B$2:$B$993,D12)+COUNTIFS(' CADASTRO'!$B$2:$B$993,E12)+COUNTIFS(' CADASTRO'!$B$2:$B$993,F12)+COUNTIFS(' CADASTRO'!$B$2:$B$993,G12)+COUNTIFS(' CADASTRO'!$B$2:$B$993,H12)+COUNTIFS(' CADASTRO'!$B$2:$B$993,I12)</f>
        <v>32</v>
      </c>
      <c r="L12" s="40">
        <f>IF(B12="","",COUNTIFS(' CADASTRO'!$B$2:$B$3000,'PRODUÇÃO SEMANA'!B12))</f>
        <v>8</v>
      </c>
      <c r="M12" s="40">
        <f>IF(D12=0,"",COUNTIFS(' CADASTRO'!$B$2:B$3000,'PRODUÇÃO SEMANA'!D12))</f>
        <v>8</v>
      </c>
      <c r="N12" s="40">
        <f>COUNTIFS(' CADASTRO'!$B$2:B$3000,'PRODUÇÃO SEMANA'!E12)</f>
        <v>0</v>
      </c>
      <c r="O12" s="40">
        <f>COUNTIFS(' CADASTRO'!$B$2:B$3000,'PRODUÇÃO SEMANA'!F12)</f>
        <v>8</v>
      </c>
      <c r="P12" s="40">
        <f>COUNTIFS(' CADASTRO'!$B$2:B$3000,'PRODUÇÃO SEMANA'!G12)</f>
        <v>8</v>
      </c>
      <c r="Q12" s="40">
        <f>COUNTIFS(' CADASTRO'!$B$2:B$3000,'PRODUÇÃO SEMANA'!H12)</f>
        <v>0</v>
      </c>
      <c r="R12" s="40">
        <f>COUNTIFS(' CADASTRO'!$B$2:B$3000,'PRODUÇÃO SEMANA'!I12)</f>
        <v>0</v>
      </c>
      <c r="S12" s="102">
        <f>SUM(L12:Q12)/($S$3+$T$3)</f>
        <v>0.8</v>
      </c>
    </row>
    <row r="13" spans="1:20" x14ac:dyDescent="0.25">
      <c r="A13" s="52" t="s">
        <v>145</v>
      </c>
      <c r="B13" s="53">
        <f t="shared" si="6"/>
        <v>45789</v>
      </c>
      <c r="C13" s="54">
        <v>6</v>
      </c>
      <c r="D13" s="53">
        <f t="shared" si="3"/>
        <v>45790</v>
      </c>
      <c r="E13" s="53">
        <f t="shared" ref="E13:G13" si="13">D13+1</f>
        <v>45791</v>
      </c>
      <c r="F13" s="53">
        <f t="shared" si="13"/>
        <v>45792</v>
      </c>
      <c r="G13" s="53">
        <f t="shared" si="13"/>
        <v>45793</v>
      </c>
      <c r="H13" s="53">
        <f t="shared" si="1"/>
        <v>45794</v>
      </c>
      <c r="I13" s="55">
        <f t="shared" si="2"/>
        <v>45795</v>
      </c>
      <c r="J13" s="56">
        <f>COUNTIFS(' CADASTRO'!$B$2:$B$993,'PRODUÇÃO SEMANA'!B13)+COUNTIFS(' CADASTRO'!$B$2:$B$993,D13)+COUNTIFS(' CADASTRO'!$B$2:$B$993,E13)+COUNTIFS(' CADASTRO'!$B$2:$B$993,F13)+COUNTIFS(' CADASTRO'!$B$2:$B$993,G13)+COUNTIFS(' CADASTRO'!$B$2:$B$993,H13)+COUNTIFS(' CADASTRO'!$B$2:$B$993,I13)</f>
        <v>8</v>
      </c>
      <c r="L13" s="40">
        <f>IF(B13="","",COUNTIFS(' CADASTRO'!$B$2:$B$3000,'PRODUÇÃO SEMANA'!B13))</f>
        <v>8</v>
      </c>
      <c r="M13" s="40">
        <f>IF(D13=0,"",COUNTIFS(' CADASTRO'!$B$2:B$3000,'PRODUÇÃO SEMANA'!D13))</f>
        <v>0</v>
      </c>
      <c r="N13" s="40">
        <f>COUNTIFS(' CADASTRO'!$B$2:B$3000,'PRODUÇÃO SEMANA'!E13)</f>
        <v>0</v>
      </c>
      <c r="O13" s="40">
        <f>COUNTIFS(' CADASTRO'!$B$2:B$3000,'PRODUÇÃO SEMANA'!F13)</f>
        <v>0</v>
      </c>
      <c r="P13" s="40">
        <f>COUNTIFS(' CADASTRO'!$B$2:B$3000,'PRODUÇÃO SEMANA'!G13)</f>
        <v>0</v>
      </c>
      <c r="Q13" s="40">
        <f>COUNTIFS(' CADASTRO'!$B$2:B$3000,'PRODUÇÃO SEMANA'!H13)</f>
        <v>0</v>
      </c>
      <c r="R13" s="40">
        <f>COUNTIFS(' CADASTRO'!$B$2:B$3000,'PRODUÇÃO SEMANA'!I13)</f>
        <v>0</v>
      </c>
      <c r="S13" s="102">
        <f t="shared" si="5"/>
        <v>0.2</v>
      </c>
    </row>
    <row r="14" spans="1:20" x14ac:dyDescent="0.25">
      <c r="A14" s="52" t="s">
        <v>146</v>
      </c>
      <c r="B14" s="53">
        <f t="shared" si="6"/>
        <v>45796</v>
      </c>
      <c r="C14" s="54">
        <v>6</v>
      </c>
      <c r="D14" s="53">
        <f t="shared" si="3"/>
        <v>45797</v>
      </c>
      <c r="E14" s="53">
        <f t="shared" ref="E14:G14" si="14">D14+1</f>
        <v>45798</v>
      </c>
      <c r="F14" s="53">
        <f t="shared" si="14"/>
        <v>45799</v>
      </c>
      <c r="G14" s="53">
        <f t="shared" si="14"/>
        <v>45800</v>
      </c>
      <c r="H14" s="53">
        <f t="shared" si="1"/>
        <v>45801</v>
      </c>
      <c r="I14" s="55">
        <f t="shared" si="2"/>
        <v>45802</v>
      </c>
      <c r="J14" s="56">
        <f>COUNTIFS(' CADASTRO'!$B$2:$B$993,'PRODUÇÃO SEMANA'!B14)+COUNTIFS(' CADASTRO'!$B$2:$B$993,D14)+COUNTIFS(' CADASTRO'!$B$2:$B$993,E14)+COUNTIFS(' CADASTRO'!$B$2:$B$993,F14)+COUNTIFS(' CADASTRO'!$B$2:$B$993,G14)+COUNTIFS(' CADASTRO'!$B$2:$B$993,H14)+COUNTIFS(' CADASTRO'!$B$2:$B$993,I14)</f>
        <v>4</v>
      </c>
      <c r="L14" s="40">
        <f>IF(B14="","",COUNTIFS(' CADASTRO'!$B$2:$B$3000,'PRODUÇÃO SEMANA'!B14))</f>
        <v>0</v>
      </c>
      <c r="M14" s="40">
        <f>IF(D14=0,"",COUNTIFS(' CADASTRO'!$B$2:B$3000,'PRODUÇÃO SEMANA'!D14))</f>
        <v>2</v>
      </c>
      <c r="N14" s="40">
        <f>COUNTIFS(' CADASTRO'!$B$2:B$3000,'PRODUÇÃO SEMANA'!E14)</f>
        <v>0</v>
      </c>
      <c r="O14" s="40">
        <f>COUNTIFS(' CADASTRO'!$B$2:B$3000,'PRODUÇÃO SEMANA'!F14)</f>
        <v>0</v>
      </c>
      <c r="P14" s="40">
        <f>COUNTIFS(' CADASTRO'!$B$2:B$3000,'PRODUÇÃO SEMANA'!G14)</f>
        <v>2</v>
      </c>
      <c r="Q14" s="40">
        <f>COUNTIFS(' CADASTRO'!$B$2:B$3000,'PRODUÇÃO SEMANA'!H14)</f>
        <v>0</v>
      </c>
      <c r="R14" s="40">
        <f>COUNTIFS(' CADASTRO'!$B$2:B$3000,'PRODUÇÃO SEMANA'!I14)</f>
        <v>0</v>
      </c>
      <c r="S14" s="102">
        <f t="shared" si="5"/>
        <v>0.1</v>
      </c>
    </row>
    <row r="15" spans="1:20" x14ac:dyDescent="0.25">
      <c r="A15" s="52" t="s">
        <v>147</v>
      </c>
      <c r="B15" s="53">
        <f t="shared" si="6"/>
        <v>45803</v>
      </c>
      <c r="C15" s="54">
        <v>6</v>
      </c>
      <c r="D15" s="53">
        <f t="shared" si="3"/>
        <v>45804</v>
      </c>
      <c r="E15" s="53">
        <f t="shared" ref="E15:G15" si="15">D15+1</f>
        <v>45805</v>
      </c>
      <c r="F15" s="53">
        <f t="shared" si="15"/>
        <v>45806</v>
      </c>
      <c r="G15" s="53">
        <f t="shared" si="15"/>
        <v>45807</v>
      </c>
      <c r="H15" s="53">
        <f t="shared" si="1"/>
        <v>45808</v>
      </c>
      <c r="I15" s="55">
        <f t="shared" si="2"/>
        <v>45809</v>
      </c>
      <c r="J15" s="56">
        <f>COUNTIFS(' CADASTRO'!$B$2:$B$993,'PRODUÇÃO SEMANA'!B15)+COUNTIFS(' CADASTRO'!$B$2:$B$993,D15)+COUNTIFS(' CADASTRO'!$B$2:$B$993,E15)+COUNTIFS(' CADASTRO'!$B$2:$B$993,F15)+COUNTIFS(' CADASTRO'!$B$2:$B$993,G15)+COUNTIFS(' CADASTRO'!$B$2:$B$993,H15)+COUNTIFS(' CADASTRO'!$B$2:$B$993,I15)</f>
        <v>8</v>
      </c>
      <c r="L15" s="40">
        <f>IF(B15="","",COUNTIFS(' CADASTRO'!$B$2:$B$3000,'PRODUÇÃO SEMANA'!B15))</f>
        <v>0</v>
      </c>
      <c r="M15" s="40">
        <f>IF(D15=0,"",COUNTIFS(' CADASTRO'!$B$2:B$3000,'PRODUÇÃO SEMANA'!D15))</f>
        <v>0</v>
      </c>
      <c r="N15" s="40">
        <f>COUNTIFS(' CADASTRO'!$B$2:B$3000,'PRODUÇÃO SEMANA'!E15)</f>
        <v>0</v>
      </c>
      <c r="O15" s="40">
        <f>COUNTIFS(' CADASTRO'!$B$2:B$3000,'PRODUÇÃO SEMANA'!F15)</f>
        <v>8</v>
      </c>
      <c r="P15" s="40">
        <f>COUNTIFS(' CADASTRO'!$B$2:B$3000,'PRODUÇÃO SEMANA'!G15)</f>
        <v>0</v>
      </c>
      <c r="Q15" s="40">
        <f>COUNTIFS(' CADASTRO'!$B$2:B$3000,'PRODUÇÃO SEMANA'!H15)</f>
        <v>0</v>
      </c>
      <c r="R15" s="40">
        <f>COUNTIFS(' CADASTRO'!$B$2:B$3000,'PRODUÇÃO SEMANA'!I15)</f>
        <v>0</v>
      </c>
      <c r="S15" s="102">
        <f t="shared" si="5"/>
        <v>0.2</v>
      </c>
    </row>
    <row r="16" spans="1:20" x14ac:dyDescent="0.25">
      <c r="A16" s="52" t="s">
        <v>148</v>
      </c>
      <c r="B16" s="53">
        <f t="shared" si="6"/>
        <v>45810</v>
      </c>
      <c r="C16" s="54">
        <v>6</v>
      </c>
      <c r="D16" s="53">
        <f t="shared" si="3"/>
        <v>45811</v>
      </c>
      <c r="E16" s="53">
        <f t="shared" ref="E16:G16" si="16">D16+1</f>
        <v>45812</v>
      </c>
      <c r="F16" s="53">
        <f t="shared" si="16"/>
        <v>45813</v>
      </c>
      <c r="G16" s="53">
        <f t="shared" si="16"/>
        <v>45814</v>
      </c>
      <c r="H16" s="53">
        <f t="shared" si="1"/>
        <v>45815</v>
      </c>
      <c r="I16" s="55">
        <f t="shared" si="2"/>
        <v>45816</v>
      </c>
      <c r="J16" s="56">
        <f>COUNTIFS(' CADASTRO'!$B$2:$B$993,'PRODUÇÃO SEMANA'!B16)+COUNTIFS(' CADASTRO'!$B$2:$B$993,D16)+COUNTIFS(' CADASTRO'!$B$2:$B$993,E16)+COUNTIFS(' CADASTRO'!$B$2:$B$993,F16)+COUNTIFS(' CADASTRO'!$B$2:$B$993,G16)+COUNTIFS(' CADASTRO'!$B$2:$B$993,H16)+COUNTIFS(' CADASTRO'!$B$2:$B$993,I16)</f>
        <v>10</v>
      </c>
      <c r="L16" s="40">
        <f>IF(B16="","",COUNTIFS(' CADASTRO'!$B$2:$B$3000,'PRODUÇÃO SEMANA'!B16))</f>
        <v>0</v>
      </c>
      <c r="M16" s="40">
        <f>IF(D16=0,"",COUNTIFS(' CADASTRO'!$B$2:B$3000,'PRODUÇÃO SEMANA'!D16))</f>
        <v>0</v>
      </c>
      <c r="N16" s="40">
        <f>COUNTIFS(' CADASTRO'!$B$2:B$3000,'PRODUÇÃO SEMANA'!E16)</f>
        <v>8</v>
      </c>
      <c r="O16" s="40">
        <f>COUNTIFS(' CADASTRO'!$B$2:B$3000,'PRODUÇÃO SEMANA'!F16)</f>
        <v>0</v>
      </c>
      <c r="P16" s="40">
        <f>COUNTIFS(' CADASTRO'!$B$2:B$3000,'PRODUÇÃO SEMANA'!G16)</f>
        <v>2</v>
      </c>
      <c r="Q16" s="40">
        <f>COUNTIFS(' CADASTRO'!$B$2:B$3000,'PRODUÇÃO SEMANA'!H16)</f>
        <v>0</v>
      </c>
      <c r="R16" s="40">
        <f>COUNTIFS(' CADASTRO'!$B$2:B$3000,'PRODUÇÃO SEMANA'!I16)</f>
        <v>0</v>
      </c>
      <c r="S16" s="102">
        <f t="shared" si="5"/>
        <v>0.25</v>
      </c>
    </row>
    <row r="17" spans="1:19" x14ac:dyDescent="0.25">
      <c r="A17" s="52" t="s">
        <v>149</v>
      </c>
      <c r="B17" s="53">
        <f t="shared" si="6"/>
        <v>45817</v>
      </c>
      <c r="C17" s="54">
        <v>6</v>
      </c>
      <c r="D17" s="53">
        <f t="shared" si="3"/>
        <v>45818</v>
      </c>
      <c r="E17" s="53">
        <f t="shared" ref="E17:G17" si="17">D17+1</f>
        <v>45819</v>
      </c>
      <c r="F17" s="53">
        <f t="shared" si="17"/>
        <v>45820</v>
      </c>
      <c r="G17" s="53">
        <f t="shared" si="17"/>
        <v>45821</v>
      </c>
      <c r="H17" s="53">
        <f t="shared" si="1"/>
        <v>45822</v>
      </c>
      <c r="I17" s="55">
        <f t="shared" si="2"/>
        <v>45823</v>
      </c>
      <c r="J17" s="56">
        <f>COUNTIFS(' CADASTRO'!$B$2:$B$993,'PRODUÇÃO SEMANA'!B17)+COUNTIFS(' CADASTRO'!$B$2:$B$993,D17)+COUNTIFS(' CADASTRO'!$B$2:$B$993,E17)+COUNTIFS(' CADASTRO'!$B$2:$B$993,F17)+COUNTIFS(' CADASTRO'!$B$2:$B$993,G17)+COUNTIFS(' CADASTRO'!$B$2:$B$993,H17)+COUNTIFS(' CADASTRO'!$B$2:$B$993,I17)</f>
        <v>16</v>
      </c>
      <c r="L17" s="40">
        <f>IF(B17="","",COUNTIFS(' CADASTRO'!$B$2:$B$3000,'PRODUÇÃO SEMANA'!B17))</f>
        <v>0</v>
      </c>
      <c r="M17" s="40">
        <f>IF(D17=0,"",COUNTIFS(' CADASTRO'!$B$2:B$3000,'PRODUÇÃO SEMANA'!D17))</f>
        <v>8</v>
      </c>
      <c r="N17" s="40">
        <f>COUNTIFS(' CADASTRO'!$B$2:B$3000,'PRODUÇÃO SEMANA'!E17)</f>
        <v>0</v>
      </c>
      <c r="O17" s="40">
        <f>COUNTIFS(' CADASTRO'!$B$2:B$3000,'PRODUÇÃO SEMANA'!F17)</f>
        <v>0</v>
      </c>
      <c r="P17" s="40">
        <f>COUNTIFS(' CADASTRO'!$B$2:B$3000,'PRODUÇÃO SEMANA'!G17)</f>
        <v>8</v>
      </c>
      <c r="Q17" s="40">
        <f>COUNTIFS(' CADASTRO'!$B$2:B$3000,'PRODUÇÃO SEMANA'!H17)</f>
        <v>0</v>
      </c>
      <c r="R17" s="40">
        <f>COUNTIFS(' CADASTRO'!$B$2:B$3000,'PRODUÇÃO SEMANA'!I17)</f>
        <v>0</v>
      </c>
      <c r="S17" s="102">
        <f t="shared" si="5"/>
        <v>0.4</v>
      </c>
    </row>
    <row r="18" spans="1:19" x14ac:dyDescent="0.25">
      <c r="A18" s="52" t="s">
        <v>150</v>
      </c>
      <c r="B18" s="53">
        <f t="shared" si="6"/>
        <v>45824</v>
      </c>
      <c r="C18" s="54">
        <v>6</v>
      </c>
      <c r="D18" s="53">
        <f t="shared" si="3"/>
        <v>45825</v>
      </c>
      <c r="E18" s="53">
        <f t="shared" ref="E18:G18" si="18">D18+1</f>
        <v>45826</v>
      </c>
      <c r="F18" s="53">
        <f t="shared" si="18"/>
        <v>45827</v>
      </c>
      <c r="G18" s="53">
        <f t="shared" si="18"/>
        <v>45828</v>
      </c>
      <c r="H18" s="53">
        <f t="shared" si="1"/>
        <v>45829</v>
      </c>
      <c r="I18" s="55">
        <f t="shared" si="2"/>
        <v>45830</v>
      </c>
      <c r="J18" s="56">
        <f>COUNTIFS(' CADASTRO'!$B$2:$B$993,'PRODUÇÃO SEMANA'!B18)+COUNTIFS(' CADASTRO'!$B$2:$B$993,D18)+COUNTIFS(' CADASTRO'!$B$2:$B$993,E18)+COUNTIFS(' CADASTRO'!$B$2:$B$993,F18)+COUNTIFS(' CADASTRO'!$B$2:$B$993,G18)+COUNTIFS(' CADASTRO'!$B$2:$B$993,H18)+COUNTIFS(' CADASTRO'!$B$2:$B$993,I18)</f>
        <v>22</v>
      </c>
      <c r="L18" s="40">
        <f>IF(B18="","",COUNTIFS(' CADASTRO'!$B$2:$B$3000,'PRODUÇÃO SEMANA'!B18))</f>
        <v>0</v>
      </c>
      <c r="M18" s="40">
        <f>IF(D18=0,"",COUNTIFS(' CADASTRO'!$B$2:B$3000,'PRODUÇÃO SEMANA'!D18))</f>
        <v>2</v>
      </c>
      <c r="N18" s="40">
        <f>COUNTIFS(' CADASTRO'!$B$2:B$3000,'PRODUÇÃO SEMANA'!E18)</f>
        <v>0</v>
      </c>
      <c r="O18" s="40">
        <f>COUNTIFS(' CADASTRO'!$B$2:B$3000,'PRODUÇÃO SEMANA'!F18)</f>
        <v>8</v>
      </c>
      <c r="P18" s="40">
        <f>COUNTIFS(' CADASTRO'!$B$2:B$3000,'PRODUÇÃO SEMANA'!G18)</f>
        <v>12</v>
      </c>
      <c r="Q18" s="40">
        <f>COUNTIFS(' CADASTRO'!$B$2:B$3000,'PRODUÇÃO SEMANA'!H18)</f>
        <v>0</v>
      </c>
      <c r="R18" s="40">
        <f>COUNTIFS(' CADASTRO'!$B$2:B$3000,'PRODUÇÃO SEMANA'!I18)</f>
        <v>0</v>
      </c>
      <c r="S18" s="102">
        <f t="shared" si="5"/>
        <v>0.55000000000000004</v>
      </c>
    </row>
    <row r="19" spans="1:19" x14ac:dyDescent="0.25">
      <c r="A19" s="52" t="s">
        <v>151</v>
      </c>
      <c r="B19" s="53">
        <f t="shared" si="6"/>
        <v>45831</v>
      </c>
      <c r="C19" s="54">
        <v>6</v>
      </c>
      <c r="D19" s="53">
        <f t="shared" si="3"/>
        <v>45832</v>
      </c>
      <c r="E19" s="53">
        <f t="shared" ref="E19:G19" si="19">D19+1</f>
        <v>45833</v>
      </c>
      <c r="F19" s="53">
        <f t="shared" si="19"/>
        <v>45834</v>
      </c>
      <c r="G19" s="53">
        <f t="shared" si="19"/>
        <v>45835</v>
      </c>
      <c r="H19" s="53">
        <f t="shared" si="1"/>
        <v>45836</v>
      </c>
      <c r="I19" s="55">
        <f t="shared" si="2"/>
        <v>45837</v>
      </c>
      <c r="J19" s="56">
        <f>COUNTIFS(' CADASTRO'!$B$2:$B$993,'PRODUÇÃO SEMANA'!B19)+COUNTIFS(' CADASTRO'!$B$2:$B$993,D19)+COUNTIFS(' CADASTRO'!$B$2:$B$993,E19)+COUNTIFS(' CADASTRO'!$B$2:$B$993,F19)+COUNTIFS(' CADASTRO'!$B$2:$B$993,G19)+COUNTIFS(' CADASTRO'!$B$2:$B$993,H19)+COUNTIFS(' CADASTRO'!$B$2:$B$993,I19)</f>
        <v>22</v>
      </c>
      <c r="L19" s="40">
        <f>IF(B19="","",COUNTIFS(' CADASTRO'!$B$2:$B$3000,'PRODUÇÃO SEMANA'!B19))</f>
        <v>0</v>
      </c>
      <c r="M19" s="40">
        <f>IF(D19=0,"",COUNTIFS(' CADASTRO'!$B$2:B$3000,'PRODUÇÃO SEMANA'!D19))</f>
        <v>0</v>
      </c>
      <c r="N19" s="40">
        <f>COUNTIFS(' CADASTRO'!$B$2:B$3000,'PRODUÇÃO SEMANA'!E19)</f>
        <v>8</v>
      </c>
      <c r="O19" s="40">
        <f>COUNTIFS(' CADASTRO'!$B$2:B$3000,'PRODUÇÃO SEMANA'!F19)</f>
        <v>12</v>
      </c>
      <c r="P19" s="40">
        <f>COUNTIFS(' CADASTRO'!$B$2:B$3000,'PRODUÇÃO SEMANA'!G19)</f>
        <v>2</v>
      </c>
      <c r="Q19" s="40">
        <f>COUNTIFS(' CADASTRO'!$B$2:B$3000,'PRODUÇÃO SEMANA'!H19)</f>
        <v>0</v>
      </c>
      <c r="R19" s="40">
        <f>COUNTIFS(' CADASTRO'!$B$2:B$3000,'PRODUÇÃO SEMANA'!I19)</f>
        <v>0</v>
      </c>
      <c r="S19" s="102">
        <f t="shared" si="5"/>
        <v>0.55000000000000004</v>
      </c>
    </row>
    <row r="20" spans="1:19" x14ac:dyDescent="0.25">
      <c r="A20" s="52" t="s">
        <v>152</v>
      </c>
      <c r="B20" s="53">
        <f t="shared" si="6"/>
        <v>45838</v>
      </c>
      <c r="C20" s="54">
        <v>6</v>
      </c>
      <c r="D20" s="53">
        <f t="shared" si="3"/>
        <v>45839</v>
      </c>
      <c r="E20" s="53">
        <f t="shared" ref="E20:G20" si="20">D20+1</f>
        <v>45840</v>
      </c>
      <c r="F20" s="53">
        <f t="shared" si="20"/>
        <v>45841</v>
      </c>
      <c r="G20" s="53">
        <f t="shared" si="20"/>
        <v>45842</v>
      </c>
      <c r="H20" s="53">
        <f t="shared" si="1"/>
        <v>45843</v>
      </c>
      <c r="I20" s="55">
        <f t="shared" si="2"/>
        <v>45844</v>
      </c>
      <c r="J20" s="56">
        <f>COUNTIFS(' CADASTRO'!$B$2:$B$993,'PRODUÇÃO SEMANA'!B20)+COUNTIFS(' CADASTRO'!$B$2:$B$993,D20)+COUNTIFS(' CADASTRO'!$B$2:$B$993,E20)+COUNTIFS(' CADASTRO'!$B$2:$B$993,F20)+COUNTIFS(' CADASTRO'!$B$2:$B$993,G20)+COUNTIFS(' CADASTRO'!$B$2:$B$993,H20)+COUNTIFS(' CADASTRO'!$B$2:$B$993,I20)</f>
        <v>34</v>
      </c>
      <c r="L20" s="40">
        <f>IF(B20="","",COUNTIFS(' CADASTRO'!$B$2:$B$3000,'PRODUÇÃO SEMANA'!B20))</f>
        <v>0</v>
      </c>
      <c r="M20" s="40">
        <f>IF(D20=0,"",COUNTIFS(' CADASTRO'!$B$2:B$3000,'PRODUÇÃO SEMANA'!D20))</f>
        <v>14</v>
      </c>
      <c r="N20" s="40">
        <f>COUNTIFS(' CADASTRO'!$B$2:B$3000,'PRODUÇÃO SEMANA'!E20)</f>
        <v>0</v>
      </c>
      <c r="O20" s="40">
        <f>COUNTIFS(' CADASTRO'!$B$2:B$3000,'PRODUÇÃO SEMANA'!F20)</f>
        <v>0</v>
      </c>
      <c r="P20" s="40">
        <f>COUNTIFS(' CADASTRO'!$B$2:B$3000,'PRODUÇÃO SEMANA'!G20)</f>
        <v>20</v>
      </c>
      <c r="Q20" s="40">
        <f>COUNTIFS(' CADASTRO'!$B$2:B$3000,'PRODUÇÃO SEMANA'!H20)</f>
        <v>0</v>
      </c>
      <c r="R20" s="40">
        <f>COUNTIFS(' CADASTRO'!$B$2:B$3000,'PRODUÇÃO SEMANA'!I20)</f>
        <v>0</v>
      </c>
      <c r="S20" s="102">
        <f t="shared" si="5"/>
        <v>0.85</v>
      </c>
    </row>
    <row r="21" spans="1:19" x14ac:dyDescent="0.25">
      <c r="A21" s="52" t="s">
        <v>153</v>
      </c>
      <c r="B21" s="53">
        <f t="shared" si="6"/>
        <v>45845</v>
      </c>
      <c r="C21" s="54">
        <v>6</v>
      </c>
      <c r="D21" s="53">
        <f t="shared" si="3"/>
        <v>45846</v>
      </c>
      <c r="E21" s="53">
        <f t="shared" ref="E21:E28" si="21">D21+1</f>
        <v>45847</v>
      </c>
      <c r="F21" s="53">
        <f t="shared" ref="F21:F28" si="22">E21+1</f>
        <v>45848</v>
      </c>
      <c r="G21" s="53">
        <f t="shared" ref="G21:G28" si="23">F21+1</f>
        <v>45849</v>
      </c>
      <c r="H21" s="53">
        <f t="shared" ref="H21:H28" si="24">G21+1</f>
        <v>45850</v>
      </c>
      <c r="I21" s="55">
        <f t="shared" si="2"/>
        <v>45851</v>
      </c>
      <c r="J21" s="56">
        <f>COUNTIFS(' CADASTRO'!$B$2:$B$993,'PRODUÇÃO SEMANA'!B21)+COUNTIFS(' CADASTRO'!$B$2:$B$993,D21)+COUNTIFS(' CADASTRO'!$B$2:$B$993,E21)+COUNTIFS(' CADASTRO'!$B$2:$B$993,F21)+COUNTIFS(' CADASTRO'!$B$2:$B$993,G21)+COUNTIFS(' CADASTRO'!$B$2:$B$993,H21)+COUNTIFS(' CADASTRO'!$B$2:$B$993,I21)</f>
        <v>16</v>
      </c>
      <c r="L21" s="40">
        <f>IF(B21="","",COUNTIFS(' CADASTRO'!$B$2:$B$3000,'PRODUÇÃO SEMANA'!B21))</f>
        <v>0</v>
      </c>
      <c r="M21" s="40">
        <f>IF(D21=0,"",COUNTIFS(' CADASTRO'!$B$2:B$3000,'PRODUÇÃO SEMANA'!D21))</f>
        <v>0</v>
      </c>
      <c r="N21" s="40">
        <f>COUNTIFS(' CADASTRO'!$B$2:B$3000,'PRODUÇÃO SEMANA'!E21)</f>
        <v>0</v>
      </c>
      <c r="O21" s="40">
        <f>COUNTIFS(' CADASTRO'!$B$2:B$3000,'PRODUÇÃO SEMANA'!F21)</f>
        <v>8</v>
      </c>
      <c r="P21" s="40">
        <f>COUNTIFS(' CADASTRO'!$B$2:B$3000,'PRODUÇÃO SEMANA'!G21)</f>
        <v>0</v>
      </c>
      <c r="Q21" s="40">
        <f>COUNTIFS(' CADASTRO'!$B$2:B$3000,'PRODUÇÃO SEMANA'!H21)</f>
        <v>8</v>
      </c>
      <c r="R21" s="40">
        <f>COUNTIFS(' CADASTRO'!$B$2:B$3000,'PRODUÇÃO SEMANA'!I21)</f>
        <v>0</v>
      </c>
      <c r="S21" s="102">
        <f t="shared" si="5"/>
        <v>0.4</v>
      </c>
    </row>
    <row r="22" spans="1:19" x14ac:dyDescent="0.25">
      <c r="A22" s="52" t="s">
        <v>154</v>
      </c>
      <c r="B22" s="53">
        <f t="shared" si="6"/>
        <v>45852</v>
      </c>
      <c r="C22" s="54">
        <v>6</v>
      </c>
      <c r="D22" s="53">
        <f t="shared" si="3"/>
        <v>45853</v>
      </c>
      <c r="E22" s="53">
        <f t="shared" si="21"/>
        <v>45854</v>
      </c>
      <c r="F22" s="53">
        <f t="shared" si="22"/>
        <v>45855</v>
      </c>
      <c r="G22" s="53">
        <f t="shared" si="23"/>
        <v>45856</v>
      </c>
      <c r="H22" s="53">
        <f t="shared" si="24"/>
        <v>45857</v>
      </c>
      <c r="I22" s="55">
        <f t="shared" si="2"/>
        <v>45858</v>
      </c>
      <c r="J22" s="56">
        <f>COUNTIFS(' CADASTRO'!$B$2:$B$993,'PRODUÇÃO SEMANA'!B22)+COUNTIFS(' CADASTRO'!$B$2:$B$993,D22)+COUNTIFS(' CADASTRO'!$B$2:$B$993,E22)+COUNTIFS(' CADASTRO'!$B$2:$B$993,F22)+COUNTIFS(' CADASTRO'!$B$2:$B$993,G22)+COUNTIFS(' CADASTRO'!$B$2:$B$993,H22)+COUNTIFS(' CADASTRO'!$B$2:$B$993,I22)</f>
        <v>40</v>
      </c>
      <c r="L22" s="40">
        <f>IF(B22="","",COUNTIFS(' CADASTRO'!$B$2:$B$3000,'PRODUÇÃO SEMANA'!B22))</f>
        <v>0</v>
      </c>
      <c r="M22" s="40">
        <f>IF(D22=0,"",COUNTIFS(' CADASTRO'!$B$2:B$3000,'PRODUÇÃO SEMANA'!D22))</f>
        <v>8</v>
      </c>
      <c r="N22" s="40">
        <f>COUNTIFS(' CADASTRO'!$B$2:B$3000,'PRODUÇÃO SEMANA'!E22)</f>
        <v>8</v>
      </c>
      <c r="O22" s="40">
        <f>COUNTIFS(' CADASTRO'!$B$2:B$3000,'PRODUÇÃO SEMANA'!F22)</f>
        <v>8</v>
      </c>
      <c r="P22" s="40">
        <f>COUNTIFS(' CADASTRO'!$B$2:B$3000,'PRODUÇÃO SEMANA'!G22)</f>
        <v>8</v>
      </c>
      <c r="Q22" s="40">
        <f>COUNTIFS(' CADASTRO'!$B$2:B$3000,'PRODUÇÃO SEMANA'!H22)</f>
        <v>8</v>
      </c>
      <c r="R22" s="40">
        <f>COUNTIFS(' CADASTRO'!$B$2:B$3000,'PRODUÇÃO SEMANA'!I22)</f>
        <v>0</v>
      </c>
      <c r="S22" s="102">
        <f t="shared" si="5"/>
        <v>1</v>
      </c>
    </row>
    <row r="23" spans="1:19" x14ac:dyDescent="0.25">
      <c r="A23" s="52" t="s">
        <v>155</v>
      </c>
      <c r="B23" s="53">
        <f t="shared" si="6"/>
        <v>45859</v>
      </c>
      <c r="C23" s="54">
        <v>6</v>
      </c>
      <c r="D23" s="53">
        <f t="shared" si="3"/>
        <v>45860</v>
      </c>
      <c r="E23" s="53">
        <f t="shared" si="21"/>
        <v>45861</v>
      </c>
      <c r="F23" s="53">
        <f t="shared" si="22"/>
        <v>45862</v>
      </c>
      <c r="G23" s="53">
        <f t="shared" si="23"/>
        <v>45863</v>
      </c>
      <c r="H23" s="53">
        <f t="shared" si="24"/>
        <v>45864</v>
      </c>
      <c r="I23" s="55">
        <f t="shared" si="2"/>
        <v>45865</v>
      </c>
      <c r="J23" s="56">
        <f>COUNTIFS(' CADASTRO'!$B$2:$B$993,'PRODUÇÃO SEMANA'!B23)+COUNTIFS(' CADASTRO'!$B$2:$B$993,D23)+COUNTIFS(' CADASTRO'!$B$2:$B$993,E23)+COUNTIFS(' CADASTRO'!$B$2:$B$993,F23)+COUNTIFS(' CADASTRO'!$B$2:$B$993,G23)+COUNTIFS(' CADASTRO'!$B$2:$B$993,H23)+COUNTIFS(' CADASTRO'!$B$2:$B$993,I23)</f>
        <v>41</v>
      </c>
      <c r="L23" s="40">
        <f>IF(B23="","",COUNTIFS(' CADASTRO'!$B$2:$B$3000,'PRODUÇÃO SEMANA'!B23))</f>
        <v>1</v>
      </c>
      <c r="M23" s="40">
        <f>IF(D23=0,"",COUNTIFS(' CADASTRO'!$B$2:B$3000,'PRODUÇÃO SEMANA'!D23))</f>
        <v>8</v>
      </c>
      <c r="N23" s="40">
        <f>COUNTIFS(' CADASTRO'!$B$2:B$3000,'PRODUÇÃO SEMANA'!E23)</f>
        <v>8</v>
      </c>
      <c r="O23" s="40">
        <f>COUNTIFS(' CADASTRO'!$B$2:B$3000,'PRODUÇÃO SEMANA'!F23)</f>
        <v>8</v>
      </c>
      <c r="P23" s="40">
        <f>COUNTIFS(' CADASTRO'!$B$2:B$3000,'PRODUÇÃO SEMANA'!G23)</f>
        <v>8</v>
      </c>
      <c r="Q23" s="40">
        <f>COUNTIFS(' CADASTRO'!$B$2:B$3000,'PRODUÇÃO SEMANA'!H23)</f>
        <v>8</v>
      </c>
      <c r="R23" s="40">
        <f>COUNTIFS(' CADASTRO'!$B$2:B$3000,'PRODUÇÃO SEMANA'!I23)</f>
        <v>0</v>
      </c>
      <c r="S23" s="102">
        <f t="shared" si="5"/>
        <v>1.0249999999999999</v>
      </c>
    </row>
    <row r="24" spans="1:19" x14ac:dyDescent="0.25">
      <c r="A24" s="52" t="s">
        <v>156</v>
      </c>
      <c r="B24" s="53">
        <f t="shared" si="6"/>
        <v>45866</v>
      </c>
      <c r="C24" s="54">
        <v>6</v>
      </c>
      <c r="D24" s="53">
        <f t="shared" si="3"/>
        <v>45867</v>
      </c>
      <c r="E24" s="53">
        <f t="shared" si="21"/>
        <v>45868</v>
      </c>
      <c r="F24" s="53">
        <f t="shared" si="22"/>
        <v>45869</v>
      </c>
      <c r="G24" s="53">
        <f t="shared" si="23"/>
        <v>45870</v>
      </c>
      <c r="H24" s="53">
        <f t="shared" si="24"/>
        <v>45871</v>
      </c>
      <c r="I24" s="55">
        <f t="shared" si="2"/>
        <v>45872</v>
      </c>
      <c r="J24" s="56">
        <f>COUNTIFS(' CADASTRO'!$B$2:$B$993,'PRODUÇÃO SEMANA'!B24)+COUNTIFS(' CADASTRO'!$B$2:$B$993,D24)+COUNTIFS(' CADASTRO'!$B$2:$B$993,E24)+COUNTIFS(' CADASTRO'!$B$2:$B$993,F24)+COUNTIFS(' CADASTRO'!$B$2:$B$993,G24)+COUNTIFS(' CADASTRO'!$B$2:$B$993,H24)+COUNTIFS(' CADASTRO'!$B$2:$B$993,I24)</f>
        <v>32</v>
      </c>
      <c r="L24" s="40">
        <f>IF(B24="","",COUNTIFS(' CADASTRO'!$B$2:$B$3000,'PRODUÇÃO SEMANA'!B24))</f>
        <v>0</v>
      </c>
      <c r="M24" s="40">
        <f>IF(D24=0,"",COUNTIFS(' CADASTRO'!$B$2:B$3000,'PRODUÇÃO SEMANA'!D24))</f>
        <v>8</v>
      </c>
      <c r="N24" s="40">
        <f>COUNTIFS(' CADASTRO'!$B$2:B$3000,'PRODUÇÃO SEMANA'!E24)</f>
        <v>8</v>
      </c>
      <c r="O24" s="40">
        <f>COUNTIFS(' CADASTRO'!$B$2:B$3000,'PRODUÇÃO SEMANA'!F24)</f>
        <v>0</v>
      </c>
      <c r="P24" s="40">
        <f>COUNTIFS(' CADASTRO'!$B$2:B$3000,'PRODUÇÃO SEMANA'!G24)</f>
        <v>8</v>
      </c>
      <c r="Q24" s="40">
        <f>COUNTIFS(' CADASTRO'!$B$2:B$3000,'PRODUÇÃO SEMANA'!H24)</f>
        <v>8</v>
      </c>
      <c r="R24" s="40">
        <f>COUNTIFS(' CADASTRO'!$B$2:B$3000,'PRODUÇÃO SEMANA'!I24)</f>
        <v>0</v>
      </c>
      <c r="S24" s="102">
        <f t="shared" si="5"/>
        <v>0.8</v>
      </c>
    </row>
    <row r="25" spans="1:19" x14ac:dyDescent="0.25">
      <c r="A25" s="52" t="s">
        <v>157</v>
      </c>
      <c r="B25" s="53">
        <f t="shared" si="6"/>
        <v>45873</v>
      </c>
      <c r="C25" s="54">
        <v>6</v>
      </c>
      <c r="D25" s="53">
        <f t="shared" si="3"/>
        <v>45874</v>
      </c>
      <c r="E25" s="53">
        <f t="shared" si="21"/>
        <v>45875</v>
      </c>
      <c r="F25" s="53">
        <f t="shared" si="22"/>
        <v>45876</v>
      </c>
      <c r="G25" s="53">
        <f t="shared" si="23"/>
        <v>45877</v>
      </c>
      <c r="H25" s="53">
        <f t="shared" si="24"/>
        <v>45878</v>
      </c>
      <c r="I25" s="55">
        <f t="shared" si="2"/>
        <v>45879</v>
      </c>
      <c r="J25" s="56">
        <f>COUNTIFS(' CADASTRO'!$B$2:$B$993,'PRODUÇÃO SEMANA'!B25)+COUNTIFS(' CADASTRO'!$B$2:$B$993,D25)+COUNTIFS(' CADASTRO'!$B$2:$B$993,E25)+COUNTIFS(' CADASTRO'!$B$2:$B$993,F25)+COUNTIFS(' CADASTRO'!$B$2:$B$993,G25)+COUNTIFS(' CADASTRO'!$B$2:$B$993,H25)+COUNTIFS(' CADASTRO'!$B$2:$B$993,I25)</f>
        <v>40</v>
      </c>
      <c r="L25" s="40">
        <f>IF(B25="","",COUNTIFS(' CADASTRO'!$B$2:$B$3000,'PRODUÇÃO SEMANA'!B25))</f>
        <v>8</v>
      </c>
      <c r="M25" s="40">
        <f>IF(D25=0,"",COUNTIFS(' CADASTRO'!$B$2:B$3000,'PRODUÇÃO SEMANA'!D25))</f>
        <v>0</v>
      </c>
      <c r="N25" s="40">
        <f>COUNTIFS(' CADASTRO'!$B$2:B$3000,'PRODUÇÃO SEMANA'!E25)</f>
        <v>8</v>
      </c>
      <c r="O25" s="40">
        <f>COUNTIFS(' CADASTRO'!$B$2:B$3000,'PRODUÇÃO SEMANA'!F25)</f>
        <v>8</v>
      </c>
      <c r="P25" s="40">
        <f>COUNTIFS(' CADASTRO'!$B$2:B$3000,'PRODUÇÃO SEMANA'!G25)</f>
        <v>8</v>
      </c>
      <c r="Q25" s="40">
        <f>COUNTIFS(' CADASTRO'!$B$2:B$3000,'PRODUÇÃO SEMANA'!H25)</f>
        <v>8</v>
      </c>
      <c r="R25" s="40">
        <f>COUNTIFS(' CADASTRO'!$B$2:B$3000,'PRODUÇÃO SEMANA'!I25)</f>
        <v>0</v>
      </c>
      <c r="S25" s="102">
        <f t="shared" si="5"/>
        <v>1</v>
      </c>
    </row>
    <row r="26" spans="1:19" x14ac:dyDescent="0.25">
      <c r="A26" s="52" t="s">
        <v>158</v>
      </c>
      <c r="B26" s="53">
        <f t="shared" si="6"/>
        <v>45880</v>
      </c>
      <c r="C26" s="54">
        <v>6</v>
      </c>
      <c r="D26" s="53">
        <f t="shared" si="3"/>
        <v>45881</v>
      </c>
      <c r="E26" s="53">
        <f t="shared" si="21"/>
        <v>45882</v>
      </c>
      <c r="F26" s="53">
        <f t="shared" si="22"/>
        <v>45883</v>
      </c>
      <c r="G26" s="53">
        <f t="shared" si="23"/>
        <v>45884</v>
      </c>
      <c r="H26" s="53">
        <f t="shared" si="24"/>
        <v>45885</v>
      </c>
      <c r="I26" s="55">
        <f t="shared" si="2"/>
        <v>45886</v>
      </c>
      <c r="J26" s="56">
        <f>COUNTIFS(' CADASTRO'!$B$2:$B$993,'PRODUÇÃO SEMANA'!B26)+COUNTIFS(' CADASTRO'!$B$2:$B$993,D26)+COUNTIFS(' CADASTRO'!$B$2:$B$993,E26)+COUNTIFS(' CADASTRO'!$B$2:$B$993,F26)+COUNTIFS(' CADASTRO'!$B$2:$B$993,G26)+COUNTIFS(' CADASTRO'!$B$2:$B$993,H26)+COUNTIFS(' CADASTRO'!$B$2:$B$993,I26)</f>
        <v>33</v>
      </c>
      <c r="L26" s="40">
        <f>IF(B26="","",COUNTIFS(' CADASTRO'!$B$2:$B$3000,'PRODUÇÃO SEMANA'!B26))</f>
        <v>0</v>
      </c>
      <c r="M26" s="40">
        <f>IF(D26=0,"",COUNTIFS(' CADASTRO'!$B$2:B$3000,'PRODUÇÃO SEMANA'!D26))</f>
        <v>9</v>
      </c>
      <c r="N26" s="40">
        <f>COUNTIFS(' CADASTRO'!$B$2:B$3000,'PRODUÇÃO SEMANA'!E26)</f>
        <v>0</v>
      </c>
      <c r="O26" s="40">
        <f>COUNTIFS(' CADASTRO'!$B$2:B$3000,'PRODUÇÃO SEMANA'!F26)</f>
        <v>8</v>
      </c>
      <c r="P26" s="40">
        <f>COUNTIFS(' CADASTRO'!$B$2:B$3000,'PRODUÇÃO SEMANA'!G26)</f>
        <v>8</v>
      </c>
      <c r="Q26" s="40">
        <f>COUNTIFS(' CADASTRO'!$B$2:B$3000,'PRODUÇÃO SEMANA'!H26)</f>
        <v>8</v>
      </c>
      <c r="R26" s="40">
        <f>COUNTIFS(' CADASTRO'!$B$2:B$3000,'PRODUÇÃO SEMANA'!I26)</f>
        <v>0</v>
      </c>
      <c r="S26" s="102">
        <f t="shared" si="5"/>
        <v>0.82499999999999996</v>
      </c>
    </row>
    <row r="27" spans="1:19" x14ac:dyDescent="0.25">
      <c r="A27" s="52" t="s">
        <v>159</v>
      </c>
      <c r="B27" s="53">
        <f t="shared" si="6"/>
        <v>45887</v>
      </c>
      <c r="C27" s="54">
        <v>6</v>
      </c>
      <c r="D27" s="53">
        <f t="shared" si="3"/>
        <v>45888</v>
      </c>
      <c r="E27" s="53">
        <f t="shared" si="21"/>
        <v>45889</v>
      </c>
      <c r="F27" s="53">
        <f t="shared" si="22"/>
        <v>45890</v>
      </c>
      <c r="G27" s="53">
        <f t="shared" si="23"/>
        <v>45891</v>
      </c>
      <c r="H27" s="53">
        <f t="shared" si="24"/>
        <v>45892</v>
      </c>
      <c r="I27" s="55">
        <f t="shared" si="2"/>
        <v>45893</v>
      </c>
      <c r="J27" s="56">
        <f>COUNTIFS(' CADASTRO'!$B$2:$B$993,'PRODUÇÃO SEMANA'!B27)+COUNTIFS(' CADASTRO'!$B$2:$B$993,D27)+COUNTIFS(' CADASTRO'!$B$2:$B$993,E27)+COUNTIFS(' CADASTRO'!$B$2:$B$993,F27)+COUNTIFS(' CADASTRO'!$B$2:$B$993,G27)+COUNTIFS(' CADASTRO'!$B$2:$B$993,H27)+COUNTIFS(' CADASTRO'!$B$2:$B$993,I27)</f>
        <v>33</v>
      </c>
      <c r="L27" s="40">
        <f>IF(B27="","",COUNTIFS(' CADASTRO'!$B$2:$B$3000,'PRODUÇÃO SEMANA'!B27))</f>
        <v>1</v>
      </c>
      <c r="M27" s="40">
        <f>IF(D27=0,"",COUNTIFS(' CADASTRO'!$B$2:B$3000,'PRODUÇÃO SEMANA'!D27))</f>
        <v>8</v>
      </c>
      <c r="N27" s="40">
        <f>COUNTIFS(' CADASTRO'!$B$2:B$3000,'PRODUÇÃO SEMANA'!E27)</f>
        <v>8</v>
      </c>
      <c r="O27" s="40">
        <f>COUNTIFS(' CADASTRO'!$B$2:B$3000,'PRODUÇÃO SEMANA'!F27)</f>
        <v>0</v>
      </c>
      <c r="P27" s="40">
        <f>COUNTIFS(' CADASTRO'!$B$2:B$3000,'PRODUÇÃO SEMANA'!G27)</f>
        <v>8</v>
      </c>
      <c r="Q27" s="40">
        <f>COUNTIFS(' CADASTRO'!$B$2:B$3000,'PRODUÇÃO SEMANA'!H27)</f>
        <v>8</v>
      </c>
      <c r="R27" s="40">
        <f>COUNTIFS(' CADASTRO'!$B$2:B$3000,'PRODUÇÃO SEMANA'!I27)</f>
        <v>0</v>
      </c>
      <c r="S27" s="102">
        <f t="shared" si="5"/>
        <v>0.82499999999999996</v>
      </c>
    </row>
    <row r="28" spans="1:19" x14ac:dyDescent="0.25">
      <c r="A28" s="52" t="s">
        <v>160</v>
      </c>
      <c r="B28" s="53">
        <f t="shared" si="6"/>
        <v>45894</v>
      </c>
      <c r="C28" s="54">
        <v>6</v>
      </c>
      <c r="D28" s="53">
        <f t="shared" si="3"/>
        <v>45895</v>
      </c>
      <c r="E28" s="53">
        <f t="shared" si="21"/>
        <v>45896</v>
      </c>
      <c r="F28" s="53">
        <f t="shared" si="22"/>
        <v>45897</v>
      </c>
      <c r="G28" s="53">
        <f t="shared" si="23"/>
        <v>45898</v>
      </c>
      <c r="H28" s="53">
        <f t="shared" si="24"/>
        <v>45899</v>
      </c>
      <c r="I28" s="55">
        <f t="shared" si="2"/>
        <v>45900</v>
      </c>
      <c r="J28" s="56">
        <f>COUNTIFS(' CADASTRO'!$B$2:$B$993,'PRODUÇÃO SEMANA'!B28)+COUNTIFS(' CADASTRO'!$B$2:$B$993,D28)+COUNTIFS(' CADASTRO'!$B$2:$B$993,E28)+COUNTIFS(' CADASTRO'!$B$2:$B$993,F28)+COUNTIFS(' CADASTRO'!$B$2:$B$993,G28)+COUNTIFS(' CADASTRO'!$B$2:$B$993,H28)+COUNTIFS(' CADASTRO'!$B$2:$B$993,I28)</f>
        <v>33</v>
      </c>
      <c r="L28" s="40">
        <f>IF(B28="","",COUNTIFS(' CADASTRO'!$B$2:$B$3000,'PRODUÇÃO SEMANA'!B28))</f>
        <v>1</v>
      </c>
      <c r="M28" s="40">
        <f>IF(D28=0,"",COUNTIFS(' CADASTRO'!$B$2:B$3000,'PRODUÇÃO SEMANA'!D28))</f>
        <v>8</v>
      </c>
      <c r="N28" s="40">
        <f>COUNTIFS(' CADASTRO'!$B$2:B$3000,'PRODUÇÃO SEMANA'!E28)</f>
        <v>0</v>
      </c>
      <c r="O28" s="40">
        <f>COUNTIFS(' CADASTRO'!$B$2:B$3000,'PRODUÇÃO SEMANA'!F28)</f>
        <v>8</v>
      </c>
      <c r="P28" s="40">
        <f>COUNTIFS(' CADASTRO'!$B$2:B$3000,'PRODUÇÃO SEMANA'!G28)</f>
        <v>0</v>
      </c>
      <c r="Q28" s="40">
        <f>COUNTIFS(' CADASTRO'!$B$2:B$3000,'PRODUÇÃO SEMANA'!H28)</f>
        <v>16</v>
      </c>
      <c r="R28" s="40">
        <f>COUNTIFS(' CADASTRO'!$B$2:B$3000,'PRODUÇÃO SEMANA'!I28)</f>
        <v>0</v>
      </c>
      <c r="S28" s="102">
        <f t="shared" si="5"/>
        <v>0.82499999999999996</v>
      </c>
    </row>
    <row r="29" spans="1:19" x14ac:dyDescent="0.25">
      <c r="A29" s="52" t="s">
        <v>1061</v>
      </c>
      <c r="B29" s="53">
        <f t="shared" ref="B29:B38" si="25">I28+1</f>
        <v>45901</v>
      </c>
      <c r="C29" s="54">
        <v>6</v>
      </c>
      <c r="D29" s="53">
        <f t="shared" ref="D29:D38" si="26">B29+1</f>
        <v>45902</v>
      </c>
      <c r="E29" s="53">
        <f t="shared" ref="E29:E38" si="27">D29+1</f>
        <v>45903</v>
      </c>
      <c r="F29" s="53">
        <f t="shared" ref="F29:F38" si="28">E29+1</f>
        <v>45904</v>
      </c>
      <c r="G29" s="53">
        <f t="shared" ref="G29:G38" si="29">F29+1</f>
        <v>45905</v>
      </c>
      <c r="H29" s="53">
        <f t="shared" ref="H29:H38" si="30">G29+1</f>
        <v>45906</v>
      </c>
      <c r="I29" s="55">
        <f t="shared" ref="I29:I38" si="31">B29+C29</f>
        <v>45907</v>
      </c>
      <c r="J29" s="56">
        <f>COUNTIFS(' CADASTRO'!$B$2:$B$993,'PRODUÇÃO SEMANA'!B29)+COUNTIFS(' CADASTRO'!$B$2:$B$993,D29)+COUNTIFS(' CADASTRO'!$B$2:$B$993,E29)+COUNTIFS(' CADASTRO'!$B$2:$B$993,F29)+COUNTIFS(' CADASTRO'!$B$2:$B$993,G29)+COUNTIFS(' CADASTRO'!$B$2:$B$993,H29)+COUNTIFS(' CADASTRO'!$B$2:$B$993,I29)</f>
        <v>18</v>
      </c>
      <c r="L29" s="40">
        <f>IF(B29="","",COUNTIFS(' CADASTRO'!$B$2:$B$3000,'PRODUÇÃO SEMANA'!B29))</f>
        <v>0</v>
      </c>
      <c r="M29" s="40">
        <f>IF(D29=0,"",COUNTIFS(' CADASTRO'!$B$2:B$3000,'PRODUÇÃO SEMANA'!D29))</f>
        <v>1</v>
      </c>
      <c r="N29" s="40">
        <f>COUNTIFS(' CADASTRO'!$B$2:B$3000,'PRODUÇÃO SEMANA'!E29)</f>
        <v>0</v>
      </c>
      <c r="O29" s="40">
        <f>COUNTIFS(' CADASTRO'!$B$2:B$3000,'PRODUÇÃO SEMANA'!F29)</f>
        <v>9</v>
      </c>
      <c r="P29" s="40">
        <f>COUNTIFS(' CADASTRO'!$B$2:B$3000,'PRODUÇÃO SEMANA'!G29)</f>
        <v>0</v>
      </c>
      <c r="Q29" s="40">
        <f>COUNTIFS(' CADASTRO'!$B$2:B$3000,'PRODUÇÃO SEMANA'!H29)</f>
        <v>8</v>
      </c>
      <c r="R29" s="40">
        <f>COUNTIFS(' CADASTRO'!$B$2:B$3000,'PRODUÇÃO SEMANA'!I29)</f>
        <v>0</v>
      </c>
      <c r="S29" s="102">
        <f t="shared" ref="S29:S38" si="32">SUM(L29:Q29)/($S$3+$T$3)</f>
        <v>0.45</v>
      </c>
    </row>
    <row r="30" spans="1:19" x14ac:dyDescent="0.25">
      <c r="A30" s="52" t="s">
        <v>1062</v>
      </c>
      <c r="B30" s="53">
        <f t="shared" si="25"/>
        <v>45908</v>
      </c>
      <c r="C30" s="54">
        <v>6</v>
      </c>
      <c r="D30" s="53">
        <f t="shared" si="26"/>
        <v>45909</v>
      </c>
      <c r="E30" s="53">
        <f t="shared" si="27"/>
        <v>45910</v>
      </c>
      <c r="F30" s="53">
        <f t="shared" si="28"/>
        <v>45911</v>
      </c>
      <c r="G30" s="53">
        <f t="shared" si="29"/>
        <v>45912</v>
      </c>
      <c r="H30" s="53">
        <f t="shared" si="30"/>
        <v>45913</v>
      </c>
      <c r="I30" s="55">
        <f t="shared" si="31"/>
        <v>45914</v>
      </c>
      <c r="J30" s="56">
        <f>COUNTIFS(' CADASTRO'!$B$2:$B$993,'PRODUÇÃO SEMANA'!B30)+COUNTIFS(' CADASTRO'!$B$2:$B$993,D30)+COUNTIFS(' CADASTRO'!$B$2:$B$993,E30)+COUNTIFS(' CADASTRO'!$B$2:$B$993,F30)+COUNTIFS(' CADASTRO'!$B$2:$B$993,G30)+COUNTIFS(' CADASTRO'!$B$2:$B$993,H30)+COUNTIFS(' CADASTRO'!$B$2:$B$993,I30)</f>
        <v>33</v>
      </c>
      <c r="L30" s="40">
        <f>IF(B30="","",COUNTIFS(' CADASTRO'!$B$2:$B$3000,'PRODUÇÃO SEMANA'!B30))</f>
        <v>0</v>
      </c>
      <c r="M30" s="40">
        <f>IF(D30=0,"",COUNTIFS(' CADASTRO'!$B$2:B$3000,'PRODUÇÃO SEMANA'!D30))</f>
        <v>9</v>
      </c>
      <c r="N30" s="40">
        <f>COUNTIFS(' CADASTRO'!$B$2:B$3000,'PRODUÇÃO SEMANA'!E30)</f>
        <v>5</v>
      </c>
      <c r="O30" s="40">
        <f>COUNTIFS(' CADASTRO'!$B$2:B$3000,'PRODUÇÃO SEMANA'!F30)</f>
        <v>7</v>
      </c>
      <c r="P30" s="40">
        <f>COUNTIFS(' CADASTRO'!$B$2:B$3000,'PRODUÇÃO SEMANA'!G30)</f>
        <v>5</v>
      </c>
      <c r="Q30" s="40">
        <f>COUNTIFS(' CADASTRO'!$B$2:B$3000,'PRODUÇÃO SEMANA'!H30)</f>
        <v>7</v>
      </c>
      <c r="R30" s="40">
        <f>COUNTIFS(' CADASTRO'!$B$2:B$3000,'PRODUÇÃO SEMANA'!I30)</f>
        <v>0</v>
      </c>
      <c r="S30" s="102">
        <f t="shared" si="32"/>
        <v>0.82499999999999996</v>
      </c>
    </row>
    <row r="31" spans="1:19" x14ac:dyDescent="0.25">
      <c r="A31" s="52" t="s">
        <v>1063</v>
      </c>
      <c r="B31" s="53">
        <f t="shared" si="25"/>
        <v>45915</v>
      </c>
      <c r="C31" s="54">
        <v>6</v>
      </c>
      <c r="D31" s="53">
        <f t="shared" si="26"/>
        <v>45916</v>
      </c>
      <c r="E31" s="53">
        <f t="shared" si="27"/>
        <v>45917</v>
      </c>
      <c r="F31" s="53">
        <f t="shared" si="28"/>
        <v>45918</v>
      </c>
      <c r="G31" s="53">
        <f t="shared" si="29"/>
        <v>45919</v>
      </c>
      <c r="H31" s="53">
        <f t="shared" si="30"/>
        <v>45920</v>
      </c>
      <c r="I31" s="55">
        <f t="shared" si="31"/>
        <v>45921</v>
      </c>
      <c r="J31" s="56">
        <f>COUNTIFS(' CADASTRO'!$B$2:$B$993,'PRODUÇÃO SEMANA'!B31)+COUNTIFS(' CADASTRO'!$B$2:$B$993,D31)+COUNTIFS(' CADASTRO'!$B$2:$B$993,E31)+COUNTIFS(' CADASTRO'!$B$2:$B$993,F31)+COUNTIFS(' CADASTRO'!$B$2:$B$993,G31)+COUNTIFS(' CADASTRO'!$B$2:$B$993,H31)+COUNTIFS(' CADASTRO'!$B$2:$B$993,I31)</f>
        <v>28</v>
      </c>
      <c r="L31" s="40">
        <f>IF(B31="","",COUNTIFS(' CADASTRO'!$B$2:$B$3000,'PRODUÇÃO SEMANA'!B31))</f>
        <v>1</v>
      </c>
      <c r="M31" s="40">
        <f>IF(D31=0,"",COUNTIFS(' CADASTRO'!$B$2:B$3000,'PRODUÇÃO SEMANA'!D31))</f>
        <v>5</v>
      </c>
      <c r="N31" s="40">
        <f>COUNTIFS(' CADASTRO'!$B$2:B$3000,'PRODUÇÃO SEMANA'!E31)</f>
        <v>8</v>
      </c>
      <c r="O31" s="40">
        <f>COUNTIFS(' CADASTRO'!$B$2:B$3000,'PRODUÇÃO SEMANA'!F31)</f>
        <v>1</v>
      </c>
      <c r="P31" s="40">
        <f>COUNTIFS(' CADASTRO'!$B$2:B$3000,'PRODUÇÃO SEMANA'!G31)</f>
        <v>5</v>
      </c>
      <c r="Q31" s="40">
        <f>COUNTIFS(' CADASTRO'!$B$2:B$3000,'PRODUÇÃO SEMANA'!H31)</f>
        <v>8</v>
      </c>
      <c r="R31" s="40">
        <f>COUNTIFS(' CADASTRO'!$B$2:B$3000,'PRODUÇÃO SEMANA'!I31)</f>
        <v>0</v>
      </c>
      <c r="S31" s="102">
        <f t="shared" si="32"/>
        <v>0.7</v>
      </c>
    </row>
    <row r="32" spans="1:19" x14ac:dyDescent="0.25">
      <c r="A32" s="52" t="s">
        <v>1064</v>
      </c>
      <c r="B32" s="53">
        <f t="shared" si="25"/>
        <v>45922</v>
      </c>
      <c r="C32" s="54">
        <v>6</v>
      </c>
      <c r="D32" s="53">
        <f t="shared" si="26"/>
        <v>45923</v>
      </c>
      <c r="E32" s="53">
        <f t="shared" si="27"/>
        <v>45924</v>
      </c>
      <c r="F32" s="53">
        <f t="shared" si="28"/>
        <v>45925</v>
      </c>
      <c r="G32" s="53">
        <f t="shared" si="29"/>
        <v>45926</v>
      </c>
      <c r="H32" s="53">
        <f t="shared" si="30"/>
        <v>45927</v>
      </c>
      <c r="I32" s="55">
        <f t="shared" si="31"/>
        <v>45928</v>
      </c>
      <c r="J32" s="56">
        <f>COUNTIFS(' CADASTRO'!$B$2:$B$993,'PRODUÇÃO SEMANA'!B32)+COUNTIFS(' CADASTRO'!$B$2:$B$993,D32)+COUNTIFS(' CADASTRO'!$B$2:$B$993,E32)+COUNTIFS(' CADASTRO'!$B$2:$B$993,F32)+COUNTIFS(' CADASTRO'!$B$2:$B$993,G32)+COUNTIFS(' CADASTRO'!$B$2:$B$993,H32)+COUNTIFS(' CADASTRO'!$B$2:$B$993,I32)</f>
        <v>31</v>
      </c>
      <c r="L32" s="40">
        <f>IF(B32="","",COUNTIFS(' CADASTRO'!$B$2:$B$3000,'PRODUÇÃO SEMANA'!B32))</f>
        <v>5</v>
      </c>
      <c r="M32" s="40">
        <f>IF(D32=0,"",COUNTIFS(' CADASTRO'!$B$2:B$3000,'PRODUÇÃO SEMANA'!D32))</f>
        <v>9</v>
      </c>
      <c r="N32" s="40">
        <f>COUNTIFS(' CADASTRO'!$B$2:B$3000,'PRODUÇÃO SEMANA'!E32)</f>
        <v>5</v>
      </c>
      <c r="O32" s="40">
        <f>COUNTIFS(' CADASTRO'!$B$2:B$3000,'PRODUÇÃO SEMANA'!F32)</f>
        <v>7</v>
      </c>
      <c r="P32" s="40">
        <f>COUNTIFS(' CADASTRO'!$B$2:B$3000,'PRODUÇÃO SEMANA'!G32)</f>
        <v>5</v>
      </c>
      <c r="Q32" s="40">
        <f>COUNTIFS(' CADASTRO'!$B$2:B$3000,'PRODUÇÃO SEMANA'!H32)</f>
        <v>0</v>
      </c>
      <c r="R32" s="40">
        <f>COUNTIFS(' CADASTRO'!$B$2:B$3000,'PRODUÇÃO SEMANA'!I32)</f>
        <v>0</v>
      </c>
      <c r="S32" s="102">
        <f t="shared" si="32"/>
        <v>0.77500000000000002</v>
      </c>
    </row>
    <row r="33" spans="1:19" x14ac:dyDescent="0.25">
      <c r="A33" s="52" t="s">
        <v>1065</v>
      </c>
      <c r="B33" s="53">
        <f t="shared" si="25"/>
        <v>45929</v>
      </c>
      <c r="C33" s="54">
        <v>6</v>
      </c>
      <c r="D33" s="53">
        <f t="shared" si="26"/>
        <v>45930</v>
      </c>
      <c r="E33" s="53">
        <f t="shared" si="27"/>
        <v>45931</v>
      </c>
      <c r="F33" s="53">
        <f t="shared" si="28"/>
        <v>45932</v>
      </c>
      <c r="G33" s="53">
        <f t="shared" si="29"/>
        <v>45933</v>
      </c>
      <c r="H33" s="53">
        <f t="shared" si="30"/>
        <v>45934</v>
      </c>
      <c r="I33" s="55">
        <f t="shared" si="31"/>
        <v>45935</v>
      </c>
      <c r="J33" s="56">
        <f>COUNTIFS(' CADASTRO'!$B$2:$B$993,'PRODUÇÃO SEMANA'!B33)+COUNTIFS(' CADASTRO'!$B$2:$B$993,D33)+COUNTIFS(' CADASTRO'!$B$2:$B$993,E33)+COUNTIFS(' CADASTRO'!$B$2:$B$993,F33)+COUNTIFS(' CADASTRO'!$B$2:$B$993,G33)+COUNTIFS(' CADASTRO'!$B$2:$B$993,H33)+COUNTIFS(' CADASTRO'!$B$2:$B$993,I33)</f>
        <v>36</v>
      </c>
      <c r="L33" s="40">
        <f>IF(B33="","",COUNTIFS(' CADASTRO'!$B$2:$B$3000,'PRODUÇÃO SEMANA'!B33))</f>
        <v>9</v>
      </c>
      <c r="M33" s="40">
        <f>IF(D33=0,"",COUNTIFS(' CADASTRO'!$B$2:B$3000,'PRODUÇÃO SEMANA'!D33))</f>
        <v>5</v>
      </c>
      <c r="N33" s="40">
        <f>COUNTIFS(' CADASTRO'!$B$2:B$3000,'PRODUÇÃO SEMANA'!E33)</f>
        <v>8</v>
      </c>
      <c r="O33" s="40">
        <f>COUNTIFS(' CADASTRO'!$B$2:B$3000,'PRODUÇÃO SEMANA'!F33)</f>
        <v>5</v>
      </c>
      <c r="P33" s="40">
        <f>COUNTIFS(' CADASTRO'!$B$2:B$3000,'PRODUÇÃO SEMANA'!G33)</f>
        <v>8</v>
      </c>
      <c r="Q33" s="40">
        <f>COUNTIFS(' CADASTRO'!$B$2:B$3000,'PRODUÇÃO SEMANA'!H33)</f>
        <v>1</v>
      </c>
      <c r="R33" s="40">
        <f>COUNTIFS(' CADASTRO'!$B$2:B$3000,'PRODUÇÃO SEMANA'!I33)</f>
        <v>0</v>
      </c>
      <c r="S33" s="102">
        <f t="shared" si="32"/>
        <v>0.9</v>
      </c>
    </row>
    <row r="34" spans="1:19" x14ac:dyDescent="0.25">
      <c r="A34" s="52" t="s">
        <v>1066</v>
      </c>
      <c r="B34" s="53">
        <f t="shared" si="25"/>
        <v>45936</v>
      </c>
      <c r="C34" s="54">
        <v>6</v>
      </c>
      <c r="D34" s="53">
        <f t="shared" si="26"/>
        <v>45937</v>
      </c>
      <c r="E34" s="53">
        <f t="shared" si="27"/>
        <v>45938</v>
      </c>
      <c r="F34" s="53">
        <f t="shared" si="28"/>
        <v>45939</v>
      </c>
      <c r="G34" s="53">
        <f t="shared" si="29"/>
        <v>45940</v>
      </c>
      <c r="H34" s="53">
        <f t="shared" si="30"/>
        <v>45941</v>
      </c>
      <c r="I34" s="55">
        <f t="shared" si="31"/>
        <v>45942</v>
      </c>
      <c r="J34" s="56">
        <f>COUNTIFS(' CADASTRO'!$B$2:$B$993,'PRODUÇÃO SEMANA'!B34)+COUNTIFS(' CADASTRO'!$B$2:$B$993,D34)+COUNTIFS(' CADASTRO'!$B$2:$B$993,E34)+COUNTIFS(' CADASTRO'!$B$2:$B$993,F34)+COUNTIFS(' CADASTRO'!$B$2:$B$993,G34)+COUNTIFS(' CADASTRO'!$B$2:$B$993,H34)+COUNTIFS(' CADASTRO'!$B$2:$B$993,I34)</f>
        <v>33</v>
      </c>
      <c r="L34" s="40">
        <f>IF(B34="","",COUNTIFS(' CADASTRO'!$B$2:$B$3000,'PRODUÇÃO SEMANA'!B34))</f>
        <v>5</v>
      </c>
      <c r="M34" s="40">
        <f>IF(D34=0,"",COUNTIFS(' CADASTRO'!$B$2:B$3000,'PRODUÇÃO SEMANA'!D34))</f>
        <v>9</v>
      </c>
      <c r="N34" s="40">
        <f>COUNTIFS(' CADASTRO'!$B$2:B$3000,'PRODUÇÃO SEMANA'!E34)</f>
        <v>0</v>
      </c>
      <c r="O34" s="40">
        <f>COUNTIFS(' CADASTRO'!$B$2:B$3000,'PRODUÇÃO SEMANA'!F34)</f>
        <v>5</v>
      </c>
      <c r="P34" s="40">
        <f>COUNTIFS(' CADASTRO'!$B$2:B$3000,'PRODUÇÃO SEMANA'!G34)</f>
        <v>9</v>
      </c>
      <c r="Q34" s="40">
        <f>COUNTIFS(' CADASTRO'!$B$2:B$3000,'PRODUÇÃO SEMANA'!H34)</f>
        <v>5</v>
      </c>
      <c r="R34" s="40">
        <f>COUNTIFS(' CADASTRO'!$B$2:B$3000,'PRODUÇÃO SEMANA'!I34)</f>
        <v>0</v>
      </c>
      <c r="S34" s="102">
        <f t="shared" si="32"/>
        <v>0.82499999999999996</v>
      </c>
    </row>
    <row r="35" spans="1:19" x14ac:dyDescent="0.25">
      <c r="A35" s="52" t="s">
        <v>1067</v>
      </c>
      <c r="B35" s="53">
        <f t="shared" si="25"/>
        <v>45943</v>
      </c>
      <c r="C35" s="54">
        <v>6</v>
      </c>
      <c r="D35" s="53">
        <f t="shared" si="26"/>
        <v>45944</v>
      </c>
      <c r="E35" s="53">
        <f t="shared" si="27"/>
        <v>45945</v>
      </c>
      <c r="F35" s="53">
        <f t="shared" si="28"/>
        <v>45946</v>
      </c>
      <c r="G35" s="53">
        <f t="shared" si="29"/>
        <v>45947</v>
      </c>
      <c r="H35" s="53">
        <f t="shared" si="30"/>
        <v>45948</v>
      </c>
      <c r="I35" s="55">
        <f t="shared" si="31"/>
        <v>45949</v>
      </c>
      <c r="J35" s="56">
        <f>COUNTIFS(' CADASTRO'!$B$2:$B$993,'PRODUÇÃO SEMANA'!B35)+COUNTIFS(' CADASTRO'!$B$2:$B$993,D35)+COUNTIFS(' CADASTRO'!$B$2:$B$993,E35)+COUNTIFS(' CADASTRO'!$B$2:$B$993,F35)+COUNTIFS(' CADASTRO'!$B$2:$B$993,G35)+COUNTIFS(' CADASTRO'!$B$2:$B$993,H35)+COUNTIFS(' CADASTRO'!$B$2:$B$993,I35)</f>
        <v>35</v>
      </c>
      <c r="L35" s="40">
        <f>IF(B35="","",COUNTIFS(' CADASTRO'!$B$2:$B$3000,'PRODUÇÃO SEMANA'!B35))</f>
        <v>0</v>
      </c>
      <c r="M35" s="40">
        <f>IF(D35=0,"",COUNTIFS(' CADASTRO'!$B$2:B$3000,'PRODUÇÃO SEMANA'!D35))</f>
        <v>13</v>
      </c>
      <c r="N35" s="40">
        <f>COUNTIFS(' CADASTRO'!$B$2:B$3000,'PRODUÇÃO SEMANA'!E35)</f>
        <v>1</v>
      </c>
      <c r="O35" s="40">
        <f>COUNTIFS(' CADASTRO'!$B$2:B$3000,'PRODUÇÃO SEMANA'!F35)</f>
        <v>8</v>
      </c>
      <c r="P35" s="40">
        <f>COUNTIFS(' CADASTRO'!$B$2:B$3000,'PRODUÇÃO SEMANA'!G35)</f>
        <v>5</v>
      </c>
      <c r="Q35" s="40">
        <f>COUNTIFS(' CADASTRO'!$B$2:B$3000,'PRODUÇÃO SEMANA'!H35)</f>
        <v>8</v>
      </c>
      <c r="R35" s="40">
        <f>COUNTIFS(' CADASTRO'!$B$2:B$3000,'PRODUÇÃO SEMANA'!I35)</f>
        <v>0</v>
      </c>
      <c r="S35" s="102">
        <f t="shared" si="32"/>
        <v>0.875</v>
      </c>
    </row>
    <row r="36" spans="1:19" x14ac:dyDescent="0.25">
      <c r="A36" s="52" t="s">
        <v>1068</v>
      </c>
      <c r="B36" s="53">
        <f t="shared" si="25"/>
        <v>45950</v>
      </c>
      <c r="C36" s="54">
        <v>6</v>
      </c>
      <c r="D36" s="53">
        <f t="shared" si="26"/>
        <v>45951</v>
      </c>
      <c r="E36" s="53">
        <f t="shared" si="27"/>
        <v>45952</v>
      </c>
      <c r="F36" s="53">
        <f t="shared" si="28"/>
        <v>45953</v>
      </c>
      <c r="G36" s="53">
        <f t="shared" si="29"/>
        <v>45954</v>
      </c>
      <c r="H36" s="53">
        <f t="shared" si="30"/>
        <v>45955</v>
      </c>
      <c r="I36" s="55">
        <f t="shared" si="31"/>
        <v>45956</v>
      </c>
      <c r="J36" s="56">
        <f>COUNTIFS(' CADASTRO'!$B$2:$B$993,'PRODUÇÃO SEMANA'!B36)+COUNTIFS(' CADASTRO'!$B$2:$B$993,D36)+COUNTIFS(' CADASTRO'!$B$2:$B$993,E36)+COUNTIFS(' CADASTRO'!$B$2:$B$993,F36)+COUNTIFS(' CADASTRO'!$B$2:$B$993,G36)+COUNTIFS(' CADASTRO'!$B$2:$B$993,H36)+COUNTIFS(' CADASTRO'!$B$2:$B$993,I36)</f>
        <v>31</v>
      </c>
      <c r="L36" s="40">
        <f>IF(B36="","",COUNTIFS(' CADASTRO'!$B$2:$B$3000,'PRODUÇÃO SEMANA'!B36))</f>
        <v>5</v>
      </c>
      <c r="M36" s="40">
        <f>IF(D36=0,"",COUNTIFS(' CADASTRO'!$B$2:B$3000,'PRODUÇÃO SEMANA'!D36))</f>
        <v>8</v>
      </c>
      <c r="N36" s="40">
        <f>COUNTIFS(' CADASTRO'!$B$2:B$3000,'PRODUÇÃO SEMANA'!E36)</f>
        <v>5</v>
      </c>
      <c r="O36" s="40">
        <f>COUNTIFS(' CADASTRO'!$B$2:B$3000,'PRODUÇÃO SEMANA'!F36)</f>
        <v>7</v>
      </c>
      <c r="P36" s="40">
        <f>COUNTIFS(' CADASTRO'!$B$2:B$3000,'PRODUÇÃO SEMANA'!G36)</f>
        <v>1</v>
      </c>
      <c r="Q36" s="40">
        <f>COUNTIFS(' CADASTRO'!$B$2:B$3000,'PRODUÇÃO SEMANA'!H36)</f>
        <v>5</v>
      </c>
      <c r="R36" s="40">
        <f>COUNTIFS(' CADASTRO'!$B$2:B$3000,'PRODUÇÃO SEMANA'!I36)</f>
        <v>0</v>
      </c>
      <c r="S36" s="102">
        <f t="shared" si="32"/>
        <v>0.77500000000000002</v>
      </c>
    </row>
    <row r="37" spans="1:19" x14ac:dyDescent="0.25">
      <c r="A37" s="52" t="s">
        <v>1069</v>
      </c>
      <c r="B37" s="53">
        <f t="shared" si="25"/>
        <v>45957</v>
      </c>
      <c r="C37" s="54">
        <v>6</v>
      </c>
      <c r="D37" s="53">
        <f t="shared" si="26"/>
        <v>45958</v>
      </c>
      <c r="E37" s="53">
        <f t="shared" si="27"/>
        <v>45959</v>
      </c>
      <c r="F37" s="53">
        <f t="shared" si="28"/>
        <v>45960</v>
      </c>
      <c r="G37" s="53">
        <f t="shared" si="29"/>
        <v>45961</v>
      </c>
      <c r="H37" s="53">
        <f t="shared" si="30"/>
        <v>45962</v>
      </c>
      <c r="I37" s="55">
        <f t="shared" si="31"/>
        <v>45963</v>
      </c>
      <c r="J37" s="56">
        <f>COUNTIFS(' CADASTRO'!$B$2:$B$993,'PRODUÇÃO SEMANA'!B37)+COUNTIFS(' CADASTRO'!$B$2:$B$993,D37)+COUNTIFS(' CADASTRO'!$B$2:$B$993,E37)+COUNTIFS(' CADASTRO'!$B$2:$B$993,F37)+COUNTIFS(' CADASTRO'!$B$2:$B$993,G37)+COUNTIFS(' CADASTRO'!$B$2:$B$993,H37)+COUNTIFS(' CADASTRO'!$B$2:$B$993,I37)</f>
        <v>26</v>
      </c>
      <c r="L37" s="40">
        <f>IF(B37="","",COUNTIFS(' CADASTRO'!$B$2:$B$3000,'PRODUÇÃO SEMANA'!B37))</f>
        <v>9</v>
      </c>
      <c r="M37" s="40">
        <f>IF(D37=0,"",COUNTIFS(' CADASTRO'!$B$2:B$3000,'PRODUÇÃO SEMANA'!D37))</f>
        <v>5</v>
      </c>
      <c r="N37" s="40">
        <f>COUNTIFS(' CADASTRO'!$B$2:B$3000,'PRODUÇÃO SEMANA'!E37)</f>
        <v>1</v>
      </c>
      <c r="O37" s="40">
        <f>COUNTIFS(' CADASTRO'!$B$2:B$3000,'PRODUÇÃO SEMANA'!F37)</f>
        <v>13</v>
      </c>
      <c r="P37" s="40">
        <f>COUNTIFS(' CADASTRO'!$B$2:B$3000,'PRODUÇÃO SEMANA'!G37)</f>
        <v>0</v>
      </c>
      <c r="Q37" s="40">
        <f>COUNTIFS(' CADASTRO'!$B$2:B$3000,'PRODUÇÃO SEMANA'!H37)</f>
        <v>5</v>
      </c>
      <c r="R37" s="40">
        <f>COUNTIFS(' CADASTRO'!$B$2:B$3000,'PRODUÇÃO SEMANA'!I37)</f>
        <v>0</v>
      </c>
      <c r="S37" s="102">
        <f t="shared" si="32"/>
        <v>0.82499999999999996</v>
      </c>
    </row>
    <row r="38" spans="1:19" x14ac:dyDescent="0.25">
      <c r="A38" s="52" t="s">
        <v>1070</v>
      </c>
      <c r="B38" s="53">
        <f t="shared" si="25"/>
        <v>45964</v>
      </c>
      <c r="C38" s="54">
        <v>6</v>
      </c>
      <c r="D38" s="53">
        <f t="shared" si="26"/>
        <v>45965</v>
      </c>
      <c r="E38" s="53">
        <f t="shared" si="27"/>
        <v>45966</v>
      </c>
      <c r="F38" s="53">
        <f t="shared" si="28"/>
        <v>45967</v>
      </c>
      <c r="G38" s="53">
        <f t="shared" si="29"/>
        <v>45968</v>
      </c>
      <c r="H38" s="53">
        <f t="shared" si="30"/>
        <v>45969</v>
      </c>
      <c r="I38" s="55">
        <f t="shared" si="31"/>
        <v>45970</v>
      </c>
      <c r="J38" s="56">
        <f>COUNTIFS(' CADASTRO'!$B$2:$B$993,'PRODUÇÃO SEMANA'!B38)+COUNTIFS(' CADASTRO'!$B$2:$B$993,D38)+COUNTIFS(' CADASTRO'!$B$2:$B$993,E38)+COUNTIFS(' CADASTRO'!$B$2:$B$993,F38)+COUNTIFS(' CADASTRO'!$B$2:$B$993,G38)+COUNTIFS(' CADASTRO'!$B$2:$B$993,H38)+COUNTIFS(' CADASTRO'!$B$2:$B$993,I38)</f>
        <v>18</v>
      </c>
      <c r="L38" s="40">
        <f>IF(B38="","",COUNTIFS(' CADASTRO'!$B$2:$B$3000,'PRODUÇÃO SEMANA'!B38))</f>
        <v>8</v>
      </c>
      <c r="M38" s="40">
        <f>IF(D38=0,"",COUNTIFS(' CADASTRO'!$B$2:B$3000,'PRODUÇÃO SEMANA'!D38))</f>
        <v>0</v>
      </c>
      <c r="N38" s="40">
        <f>COUNTIFS(' CADASTRO'!$B$2:B$3000,'PRODUÇÃO SEMANA'!E38)</f>
        <v>5</v>
      </c>
      <c r="O38" s="40">
        <f>COUNTIFS(' CADASTRO'!$B$2:B$3000,'PRODUÇÃO SEMANA'!F38)</f>
        <v>8</v>
      </c>
      <c r="P38" s="40">
        <f>COUNTIFS(' CADASTRO'!$B$2:B$3000,'PRODUÇÃO SEMANA'!G38)</f>
        <v>0</v>
      </c>
      <c r="Q38" s="40">
        <f>COUNTIFS(' CADASTRO'!$B$2:B$3000,'PRODUÇÃO SEMANA'!H38)</f>
        <v>5</v>
      </c>
      <c r="R38" s="40">
        <f>COUNTIFS(' CADASTRO'!$B$2:B$3000,'PRODUÇÃO SEMANA'!I38)</f>
        <v>0</v>
      </c>
      <c r="S38" s="102">
        <f t="shared" si="32"/>
        <v>0.65</v>
      </c>
    </row>
    <row r="39" spans="1:19" x14ac:dyDescent="0.25">
      <c r="A39" s="52" t="s">
        <v>1078</v>
      </c>
      <c r="B39" s="53">
        <f t="shared" ref="B39:B57" si="33">I38+1</f>
        <v>45971</v>
      </c>
      <c r="C39" s="54">
        <v>6</v>
      </c>
      <c r="D39" s="53">
        <f t="shared" ref="D39:D57" si="34">B39+1</f>
        <v>45972</v>
      </c>
      <c r="E39" s="53">
        <f t="shared" ref="E39:E57" si="35">D39+1</f>
        <v>45973</v>
      </c>
      <c r="F39" s="53">
        <f t="shared" ref="F39:F57" si="36">E39+1</f>
        <v>45974</v>
      </c>
      <c r="G39" s="53">
        <f t="shared" ref="G39:G57" si="37">F39+1</f>
        <v>45975</v>
      </c>
      <c r="H39" s="53">
        <f t="shared" ref="H39:H57" si="38">G39+1</f>
        <v>45976</v>
      </c>
      <c r="I39" s="55">
        <f t="shared" ref="I39:I57" si="39">B39+C39</f>
        <v>45977</v>
      </c>
      <c r="J39" s="56">
        <f>COUNTIFS(' CADASTRO'!$B$2:$B$993,'PRODUÇÃO SEMANA'!B39)+COUNTIFS(' CADASTRO'!$B$2:$B$993,D39)+COUNTIFS(' CADASTRO'!$B$2:$B$993,E39)+COUNTIFS(' CADASTRO'!$B$2:$B$993,F39)+COUNTIFS(' CADASTRO'!$B$2:$B$993,G39)+COUNTIFS(' CADASTRO'!$B$2:$B$993,H39)+COUNTIFS(' CADASTRO'!$B$2:$B$993,I39)</f>
        <v>25</v>
      </c>
      <c r="L39" s="40">
        <f>IF(B39="","",COUNTIFS(' CADASTRO'!$B$2:$B$3000,'PRODUÇÃO SEMANA'!B39))</f>
        <v>8</v>
      </c>
      <c r="M39" s="40">
        <f>IF(D39=0,"",COUNTIFS(' CADASTRO'!$B$2:B$3000,'PRODUÇÃO SEMANA'!D39))</f>
        <v>5</v>
      </c>
      <c r="N39" s="40">
        <f>COUNTIFS(' CADASTRO'!$B$2:B$3000,'PRODUÇÃO SEMANA'!E39)</f>
        <v>8</v>
      </c>
      <c r="O39" s="40">
        <f>COUNTIFS(' CADASTRO'!$B$2:B$3000,'PRODUÇÃO SEMANA'!F39)</f>
        <v>5</v>
      </c>
      <c r="P39" s="40">
        <f>COUNTIFS(' CADASTRO'!$B$2:B$3000,'PRODUÇÃO SEMANA'!G39)</f>
        <v>7</v>
      </c>
      <c r="Q39" s="40">
        <f>COUNTIFS(' CADASTRO'!$B$2:B$3000,'PRODUÇÃO SEMANA'!H39)</f>
        <v>1</v>
      </c>
      <c r="R39" s="40">
        <f>COUNTIFS(' CADASTRO'!$B$2:B$3000,'PRODUÇÃO SEMANA'!I39)</f>
        <v>0</v>
      </c>
      <c r="S39" s="102">
        <f t="shared" ref="S39:S57" si="40">SUM(L39:Q39)/($S$3+$T$3)</f>
        <v>0.85</v>
      </c>
    </row>
    <row r="40" spans="1:19" x14ac:dyDescent="0.25">
      <c r="A40" s="52" t="s">
        <v>1079</v>
      </c>
      <c r="B40" s="53">
        <f t="shared" si="33"/>
        <v>45978</v>
      </c>
      <c r="C40" s="54">
        <v>6</v>
      </c>
      <c r="D40" s="53">
        <f t="shared" si="34"/>
        <v>45979</v>
      </c>
      <c r="E40" s="53">
        <f t="shared" si="35"/>
        <v>45980</v>
      </c>
      <c r="F40" s="53">
        <f t="shared" si="36"/>
        <v>45981</v>
      </c>
      <c r="G40" s="53">
        <f t="shared" si="37"/>
        <v>45982</v>
      </c>
      <c r="H40" s="53">
        <f t="shared" si="38"/>
        <v>45983</v>
      </c>
      <c r="I40" s="55">
        <f t="shared" si="39"/>
        <v>45984</v>
      </c>
      <c r="J40" s="56">
        <f>COUNTIFS(' CADASTRO'!$B$2:$B$993,'PRODUÇÃO SEMANA'!B40)+COUNTIFS(' CADASTRO'!$B$2:$B$993,D40)+COUNTIFS(' CADASTRO'!$B$2:$B$993,E40)+COUNTIFS(' CADASTRO'!$B$2:$B$993,F40)+COUNTIFS(' CADASTRO'!$B$2:$B$993,G40)+COUNTIFS(' CADASTRO'!$B$2:$B$993,H40)+COUNTIFS(' CADASTRO'!$B$2:$B$993,I40)</f>
        <v>22</v>
      </c>
      <c r="L40" s="40">
        <f>IF(B40="","",COUNTIFS(' CADASTRO'!$B$2:$B$3000,'PRODUÇÃO SEMANA'!B40))</f>
        <v>5</v>
      </c>
      <c r="M40" s="40">
        <f>IF(D40=0,"",COUNTIFS(' CADASTRO'!$B$2:B$3000,'PRODUÇÃO SEMANA'!D40))</f>
        <v>7</v>
      </c>
      <c r="N40" s="40">
        <f>COUNTIFS(' CADASTRO'!$B$2:B$3000,'PRODUÇÃO SEMANA'!E40)</f>
        <v>5</v>
      </c>
      <c r="O40" s="40">
        <f>COUNTIFS(' CADASTRO'!$B$2:B$3000,'PRODUÇÃO SEMANA'!F40)</f>
        <v>8</v>
      </c>
      <c r="P40" s="40">
        <f>COUNTIFS(' CADASTRO'!$B$2:B$3000,'PRODUÇÃO SEMANA'!G40)</f>
        <v>5</v>
      </c>
      <c r="Q40" s="40">
        <f>COUNTIFS(' CADASTRO'!$B$2:B$3000,'PRODUÇÃO SEMANA'!H40)</f>
        <v>7</v>
      </c>
      <c r="R40" s="40">
        <f>COUNTIFS(' CADASTRO'!$B$2:B$3000,'PRODUÇÃO SEMANA'!I40)</f>
        <v>0</v>
      </c>
      <c r="S40" s="102">
        <f t="shared" si="40"/>
        <v>0.92500000000000004</v>
      </c>
    </row>
    <row r="41" spans="1:19" x14ac:dyDescent="0.25">
      <c r="A41" s="52" t="s">
        <v>1080</v>
      </c>
      <c r="B41" s="53">
        <f t="shared" si="33"/>
        <v>45985</v>
      </c>
      <c r="C41" s="54">
        <v>6</v>
      </c>
      <c r="D41" s="53">
        <f t="shared" si="34"/>
        <v>45986</v>
      </c>
      <c r="E41" s="53">
        <f t="shared" si="35"/>
        <v>45987</v>
      </c>
      <c r="F41" s="53">
        <f t="shared" si="36"/>
        <v>45988</v>
      </c>
      <c r="G41" s="53">
        <f t="shared" si="37"/>
        <v>45989</v>
      </c>
      <c r="H41" s="53">
        <f t="shared" si="38"/>
        <v>45990</v>
      </c>
      <c r="I41" s="55">
        <f t="shared" si="39"/>
        <v>45991</v>
      </c>
      <c r="J41" s="56">
        <f>COUNTIFS(' CADASTRO'!$B$2:$B$993,'PRODUÇÃO SEMANA'!B41)+COUNTIFS(' CADASTRO'!$B$2:$B$993,D41)+COUNTIFS(' CADASTRO'!$B$2:$B$993,E41)+COUNTIFS(' CADASTRO'!$B$2:$B$993,F41)+COUNTIFS(' CADASTRO'!$B$2:$B$993,G41)+COUNTIFS(' CADASTRO'!$B$2:$B$993,H41)+COUNTIFS(' CADASTRO'!$B$2:$B$993,I41)</f>
        <v>18</v>
      </c>
      <c r="L41" s="40">
        <f>IF(B41="","",COUNTIFS(' CADASTRO'!$B$2:$B$3000,'PRODUÇÃO SEMANA'!B41))</f>
        <v>5</v>
      </c>
      <c r="M41" s="40">
        <f>IF(D41=0,"",COUNTIFS(' CADASTRO'!$B$2:B$3000,'PRODUÇÃO SEMANA'!D41))</f>
        <v>9</v>
      </c>
      <c r="N41" s="40">
        <f>COUNTIFS(' CADASTRO'!$B$2:B$3000,'PRODUÇÃO SEMANA'!E41)</f>
        <v>0</v>
      </c>
      <c r="O41" s="40">
        <f>COUNTIFS(' CADASTRO'!$B$2:B$3000,'PRODUÇÃO SEMANA'!F41)</f>
        <v>5</v>
      </c>
      <c r="P41" s="40">
        <f>COUNTIFS(' CADASTRO'!$B$2:B$3000,'PRODUÇÃO SEMANA'!G41)</f>
        <v>0</v>
      </c>
      <c r="Q41" s="40">
        <f>COUNTIFS(' CADASTRO'!$B$2:B$3000,'PRODUÇÃO SEMANA'!H41)</f>
        <v>13</v>
      </c>
      <c r="R41" s="40">
        <f>COUNTIFS(' CADASTRO'!$B$2:B$3000,'PRODUÇÃO SEMANA'!I41)</f>
        <v>0</v>
      </c>
      <c r="S41" s="102">
        <f t="shared" si="40"/>
        <v>0.8</v>
      </c>
    </row>
    <row r="42" spans="1:19" x14ac:dyDescent="0.25">
      <c r="A42" s="52" t="s">
        <v>1081</v>
      </c>
      <c r="B42" s="53">
        <f t="shared" si="33"/>
        <v>45992</v>
      </c>
      <c r="C42" s="54">
        <v>6</v>
      </c>
      <c r="D42" s="53">
        <f t="shared" si="34"/>
        <v>45993</v>
      </c>
      <c r="E42" s="53">
        <f t="shared" si="35"/>
        <v>45994</v>
      </c>
      <c r="F42" s="53">
        <f t="shared" si="36"/>
        <v>45995</v>
      </c>
      <c r="G42" s="53">
        <f t="shared" si="37"/>
        <v>45996</v>
      </c>
      <c r="H42" s="53">
        <f t="shared" si="38"/>
        <v>45997</v>
      </c>
      <c r="I42" s="55">
        <f t="shared" si="39"/>
        <v>45998</v>
      </c>
      <c r="J42" s="56">
        <f>COUNTIFS(' CADASTRO'!$B$2:$B$993,'PRODUÇÃO SEMANA'!B42)+COUNTIFS(' CADASTRO'!$B$2:$B$993,D42)+COUNTIFS(' CADASTRO'!$B$2:$B$993,E42)+COUNTIFS(' CADASTRO'!$B$2:$B$993,F42)+COUNTIFS(' CADASTRO'!$B$2:$B$993,G42)+COUNTIFS(' CADASTRO'!$B$2:$B$993,H42)+COUNTIFS(' CADASTRO'!$B$2:$B$993,I42)</f>
        <v>15</v>
      </c>
      <c r="L42" s="40">
        <f>IF(B42="","",COUNTIFS(' CADASTRO'!$B$2:$B$3000,'PRODUÇÃO SEMANA'!B42))</f>
        <v>0</v>
      </c>
      <c r="M42" s="40">
        <f>IF(D42=0,"",COUNTIFS(' CADASTRO'!$B$2:B$3000,'PRODUÇÃO SEMANA'!D42))</f>
        <v>8</v>
      </c>
      <c r="N42" s="40">
        <f>COUNTIFS(' CADASTRO'!$B$2:B$3000,'PRODUÇÃO SEMANA'!E42)</f>
        <v>1</v>
      </c>
      <c r="O42" s="40">
        <f>COUNTIFS(' CADASTRO'!$B$2:B$3000,'PRODUÇÃO SEMANA'!F42)</f>
        <v>5</v>
      </c>
      <c r="P42" s="40">
        <f>COUNTIFS(' CADASTRO'!$B$2:B$3000,'PRODUÇÃO SEMANA'!G42)</f>
        <v>7</v>
      </c>
      <c r="Q42" s="40">
        <f>COUNTIFS(' CADASTRO'!$B$2:B$3000,'PRODUÇÃO SEMANA'!H42)</f>
        <v>0</v>
      </c>
      <c r="R42" s="40">
        <f>COUNTIFS(' CADASTRO'!$B$2:B$3000,'PRODUÇÃO SEMANA'!I42)</f>
        <v>0</v>
      </c>
      <c r="S42" s="102">
        <f t="shared" si="40"/>
        <v>0.52500000000000002</v>
      </c>
    </row>
    <row r="43" spans="1:19" x14ac:dyDescent="0.25">
      <c r="A43" s="52" t="s">
        <v>1082</v>
      </c>
      <c r="B43" s="53">
        <f t="shared" si="33"/>
        <v>45999</v>
      </c>
      <c r="C43" s="54">
        <v>6</v>
      </c>
      <c r="D43" s="53">
        <f t="shared" si="34"/>
        <v>46000</v>
      </c>
      <c r="E43" s="53">
        <f t="shared" si="35"/>
        <v>46001</v>
      </c>
      <c r="F43" s="53">
        <f t="shared" si="36"/>
        <v>46002</v>
      </c>
      <c r="G43" s="53">
        <f t="shared" si="37"/>
        <v>46003</v>
      </c>
      <c r="H43" s="53">
        <f t="shared" si="38"/>
        <v>46004</v>
      </c>
      <c r="I43" s="55">
        <f t="shared" si="39"/>
        <v>46005</v>
      </c>
      <c r="J43" s="56">
        <f>COUNTIFS(' CADASTRO'!$B$2:$B$993,'PRODUÇÃO SEMANA'!B43)+COUNTIFS(' CADASTRO'!$B$2:$B$993,D43)+COUNTIFS(' CADASTRO'!$B$2:$B$993,E43)+COUNTIFS(' CADASTRO'!$B$2:$B$993,F43)+COUNTIFS(' CADASTRO'!$B$2:$B$993,G43)+COUNTIFS(' CADASTRO'!$B$2:$B$993,H43)+COUNTIFS(' CADASTRO'!$B$2:$B$993,I43)</f>
        <v>15</v>
      </c>
      <c r="L43" s="40">
        <f>IF(B43="","",COUNTIFS(' CADASTRO'!$B$2:$B$3000,'PRODUÇÃO SEMANA'!B43))</f>
        <v>7</v>
      </c>
      <c r="M43" s="40">
        <f>IF(D43=0,"",COUNTIFS(' CADASTRO'!$B$2:B$3000,'PRODUÇÃO SEMANA'!D43))</f>
        <v>5</v>
      </c>
      <c r="N43" s="40">
        <f>COUNTIFS(' CADASTRO'!$B$2:B$3000,'PRODUÇÃO SEMANA'!E43)</f>
        <v>1</v>
      </c>
      <c r="O43" s="40">
        <f>COUNTIFS(' CADASTRO'!$B$2:B$3000,'PRODUÇÃO SEMANA'!F43)</f>
        <v>0</v>
      </c>
      <c r="P43" s="40">
        <f>COUNTIFS(' CADASTRO'!$B$2:B$3000,'PRODUÇÃO SEMANA'!G43)</f>
        <v>8</v>
      </c>
      <c r="Q43" s="40">
        <f>COUNTIFS(' CADASTRO'!$B$2:B$3000,'PRODUÇÃO SEMANA'!H43)</f>
        <v>5</v>
      </c>
      <c r="R43" s="40">
        <f>COUNTIFS(' CADASTRO'!$B$2:B$3000,'PRODUÇÃO SEMANA'!I43)</f>
        <v>0</v>
      </c>
      <c r="S43" s="102">
        <f t="shared" si="40"/>
        <v>0.65</v>
      </c>
    </row>
    <row r="44" spans="1:19" x14ac:dyDescent="0.25">
      <c r="A44" s="52" t="s">
        <v>1083</v>
      </c>
      <c r="B44" s="53">
        <f t="shared" si="33"/>
        <v>46006</v>
      </c>
      <c r="C44" s="54">
        <v>6</v>
      </c>
      <c r="D44" s="53">
        <f t="shared" si="34"/>
        <v>46007</v>
      </c>
      <c r="E44" s="53">
        <f t="shared" si="35"/>
        <v>46008</v>
      </c>
      <c r="F44" s="53">
        <f t="shared" si="36"/>
        <v>46009</v>
      </c>
      <c r="G44" s="53">
        <f t="shared" si="37"/>
        <v>46010</v>
      </c>
      <c r="H44" s="53">
        <f t="shared" si="38"/>
        <v>46011</v>
      </c>
      <c r="I44" s="55">
        <f t="shared" si="39"/>
        <v>46012</v>
      </c>
      <c r="J44" s="56">
        <f>COUNTIFS(' CADASTRO'!$B$2:$B$993,'PRODUÇÃO SEMANA'!B44)+COUNTIFS(' CADASTRO'!$B$2:$B$993,D44)+COUNTIFS(' CADASTRO'!$B$2:$B$993,E44)+COUNTIFS(' CADASTRO'!$B$2:$B$993,F44)+COUNTIFS(' CADASTRO'!$B$2:$B$993,G44)+COUNTIFS(' CADASTRO'!$B$2:$B$993,H44)+COUNTIFS(' CADASTRO'!$B$2:$B$993,I44)</f>
        <v>1</v>
      </c>
      <c r="L44" s="40">
        <f>IF(B44="","",COUNTIFS(' CADASTRO'!$B$2:$B$3000,'PRODUÇÃO SEMANA'!B44))</f>
        <v>3</v>
      </c>
      <c r="M44" s="40">
        <f>IF(D44=0,"",COUNTIFS(' CADASTRO'!$B$2:B$3000,'PRODUÇÃO SEMANA'!D44))</f>
        <v>0</v>
      </c>
      <c r="N44" s="40">
        <f>COUNTIFS(' CADASTRO'!$B$2:B$3000,'PRODUÇÃO SEMANA'!E44)</f>
        <v>0</v>
      </c>
      <c r="O44" s="40">
        <f>COUNTIFS(' CADASTRO'!$B$2:B$3000,'PRODUÇÃO SEMANA'!F44)</f>
        <v>0</v>
      </c>
      <c r="P44" s="40">
        <f>COUNTIFS(' CADASTRO'!$B$2:B$3000,'PRODUÇÃO SEMANA'!G44)</f>
        <v>0</v>
      </c>
      <c r="Q44" s="40">
        <f>COUNTIFS(' CADASTRO'!$B$2:B$3000,'PRODUÇÃO SEMANA'!H44)</f>
        <v>0</v>
      </c>
      <c r="R44" s="40">
        <f>COUNTIFS(' CADASTRO'!$B$2:B$3000,'PRODUÇÃO SEMANA'!I44)</f>
        <v>0</v>
      </c>
      <c r="S44" s="102">
        <f t="shared" si="40"/>
        <v>7.4999999999999997E-2</v>
      </c>
    </row>
    <row r="45" spans="1:19" x14ac:dyDescent="0.25">
      <c r="A45" s="52" t="s">
        <v>1084</v>
      </c>
      <c r="B45" s="53">
        <f t="shared" si="33"/>
        <v>46013</v>
      </c>
      <c r="C45" s="54">
        <v>6</v>
      </c>
      <c r="D45" s="53">
        <f t="shared" si="34"/>
        <v>46014</v>
      </c>
      <c r="E45" s="53">
        <f t="shared" si="35"/>
        <v>46015</v>
      </c>
      <c r="F45" s="53">
        <f t="shared" si="36"/>
        <v>46016</v>
      </c>
      <c r="G45" s="53">
        <f t="shared" si="37"/>
        <v>46017</v>
      </c>
      <c r="H45" s="53">
        <f t="shared" si="38"/>
        <v>46018</v>
      </c>
      <c r="I45" s="55">
        <f t="shared" si="39"/>
        <v>46019</v>
      </c>
      <c r="J45" s="56">
        <f>COUNTIFS(' CADASTRO'!$B$2:$B$993,'PRODUÇÃO SEMANA'!B45)+COUNTIFS(' CADASTRO'!$B$2:$B$993,D45)+COUNTIFS(' CADASTRO'!$B$2:$B$993,E45)+COUNTIFS(' CADASTRO'!$B$2:$B$993,F45)+COUNTIFS(' CADASTRO'!$B$2:$B$993,G45)+COUNTIFS(' CADASTRO'!$B$2:$B$993,H45)+COUNTIFS(' CADASTRO'!$B$2:$B$993,I45)</f>
        <v>0</v>
      </c>
      <c r="L45" s="40">
        <f>IF(B45="","",COUNTIFS(' CADASTRO'!$B$2:$B$3000,'PRODUÇÃO SEMANA'!B45))</f>
        <v>0</v>
      </c>
      <c r="M45" s="40">
        <f>IF(D45=0,"",COUNTIFS(' CADASTRO'!$B$2:B$3000,'PRODUÇÃO SEMANA'!D45))</f>
        <v>0</v>
      </c>
      <c r="N45" s="40">
        <f>COUNTIFS(' CADASTRO'!$B$2:B$3000,'PRODUÇÃO SEMANA'!E45)</f>
        <v>0</v>
      </c>
      <c r="O45" s="40">
        <f>COUNTIFS(' CADASTRO'!$B$2:B$3000,'PRODUÇÃO SEMANA'!F45)</f>
        <v>0</v>
      </c>
      <c r="P45" s="40">
        <f>COUNTIFS(' CADASTRO'!$B$2:B$3000,'PRODUÇÃO SEMANA'!G45)</f>
        <v>0</v>
      </c>
      <c r="Q45" s="40">
        <f>COUNTIFS(' CADASTRO'!$B$2:B$3000,'PRODUÇÃO SEMANA'!H45)</f>
        <v>0</v>
      </c>
      <c r="R45" s="40">
        <f>COUNTIFS(' CADASTRO'!$B$2:B$3000,'PRODUÇÃO SEMANA'!I45)</f>
        <v>0</v>
      </c>
      <c r="S45" s="102">
        <f t="shared" si="40"/>
        <v>0</v>
      </c>
    </row>
    <row r="46" spans="1:19" x14ac:dyDescent="0.25">
      <c r="A46" s="52" t="s">
        <v>1085</v>
      </c>
      <c r="B46" s="53">
        <f t="shared" si="33"/>
        <v>46020</v>
      </c>
      <c r="C46" s="54">
        <v>6</v>
      </c>
      <c r="D46" s="53">
        <f t="shared" si="34"/>
        <v>46021</v>
      </c>
      <c r="E46" s="53">
        <f t="shared" si="35"/>
        <v>46022</v>
      </c>
      <c r="F46" s="53">
        <f t="shared" si="36"/>
        <v>46023</v>
      </c>
      <c r="G46" s="53">
        <f t="shared" si="37"/>
        <v>46024</v>
      </c>
      <c r="H46" s="53">
        <f t="shared" si="38"/>
        <v>46025</v>
      </c>
      <c r="I46" s="55">
        <f t="shared" si="39"/>
        <v>46026</v>
      </c>
      <c r="J46" s="56">
        <f>COUNTIFS(' CADASTRO'!$B$2:$B$993,'PRODUÇÃO SEMANA'!B46)+COUNTIFS(' CADASTRO'!$B$2:$B$993,D46)+COUNTIFS(' CADASTRO'!$B$2:$B$993,E46)+COUNTIFS(' CADASTRO'!$B$2:$B$993,F46)+COUNTIFS(' CADASTRO'!$B$2:$B$993,G46)+COUNTIFS(' CADASTRO'!$B$2:$B$993,H46)+COUNTIFS(' CADASTRO'!$B$2:$B$993,I46)</f>
        <v>0</v>
      </c>
      <c r="L46" s="40">
        <f>IF(B46="","",COUNTIFS(' CADASTRO'!$B$2:$B$3000,'PRODUÇÃO SEMANA'!B46))</f>
        <v>0</v>
      </c>
      <c r="M46" s="40">
        <f>IF(D46=0,"",COUNTIFS(' CADASTRO'!$B$2:B$3000,'PRODUÇÃO SEMANA'!D46))</f>
        <v>0</v>
      </c>
      <c r="N46" s="40">
        <f>COUNTIFS(' CADASTRO'!$B$2:B$3000,'PRODUÇÃO SEMANA'!E46)</f>
        <v>0</v>
      </c>
      <c r="O46" s="40">
        <f>COUNTIFS(' CADASTRO'!$B$2:B$3000,'PRODUÇÃO SEMANA'!F46)</f>
        <v>0</v>
      </c>
      <c r="P46" s="40">
        <f>COUNTIFS(' CADASTRO'!$B$2:B$3000,'PRODUÇÃO SEMANA'!G46)</f>
        <v>0</v>
      </c>
      <c r="Q46" s="40">
        <f>COUNTIFS(' CADASTRO'!$B$2:B$3000,'PRODUÇÃO SEMANA'!H46)</f>
        <v>0</v>
      </c>
      <c r="R46" s="40">
        <f>COUNTIFS(' CADASTRO'!$B$2:B$3000,'PRODUÇÃO SEMANA'!I46)</f>
        <v>0</v>
      </c>
      <c r="S46" s="102">
        <f t="shared" si="40"/>
        <v>0</v>
      </c>
    </row>
    <row r="47" spans="1:19" x14ac:dyDescent="0.25">
      <c r="A47" s="52" t="s">
        <v>1086</v>
      </c>
      <c r="B47" s="53">
        <f t="shared" si="33"/>
        <v>46027</v>
      </c>
      <c r="C47" s="54">
        <v>6</v>
      </c>
      <c r="D47" s="53">
        <f t="shared" si="34"/>
        <v>46028</v>
      </c>
      <c r="E47" s="53">
        <f t="shared" si="35"/>
        <v>46029</v>
      </c>
      <c r="F47" s="53">
        <f t="shared" si="36"/>
        <v>46030</v>
      </c>
      <c r="G47" s="53">
        <f t="shared" si="37"/>
        <v>46031</v>
      </c>
      <c r="H47" s="53">
        <f t="shared" si="38"/>
        <v>46032</v>
      </c>
      <c r="I47" s="55">
        <f t="shared" si="39"/>
        <v>46033</v>
      </c>
      <c r="J47" s="56">
        <f>COUNTIFS(' CADASTRO'!$B$2:$B$993,'PRODUÇÃO SEMANA'!B47)+COUNTIFS(' CADASTRO'!$B$2:$B$993,D47)+COUNTIFS(' CADASTRO'!$B$2:$B$993,E47)+COUNTIFS(' CADASTRO'!$B$2:$B$993,F47)+COUNTIFS(' CADASTRO'!$B$2:$B$993,G47)+COUNTIFS(' CADASTRO'!$B$2:$B$993,H47)+COUNTIFS(' CADASTRO'!$B$2:$B$993,I47)</f>
        <v>0</v>
      </c>
      <c r="L47" s="40">
        <f>IF(B47="","",COUNTIFS(' CADASTRO'!$B$2:$B$3000,'PRODUÇÃO SEMANA'!B47))</f>
        <v>0</v>
      </c>
      <c r="M47" s="40">
        <f>IF(D47=0,"",COUNTIFS(' CADASTRO'!$B$2:B$3000,'PRODUÇÃO SEMANA'!D47))</f>
        <v>0</v>
      </c>
      <c r="N47" s="40">
        <f>COUNTIFS(' CADASTRO'!$B$2:B$3000,'PRODUÇÃO SEMANA'!E47)</f>
        <v>0</v>
      </c>
      <c r="O47" s="40">
        <f>COUNTIFS(' CADASTRO'!$B$2:B$3000,'PRODUÇÃO SEMANA'!F47)</f>
        <v>0</v>
      </c>
      <c r="P47" s="40">
        <f>COUNTIFS(' CADASTRO'!$B$2:B$3000,'PRODUÇÃO SEMANA'!G47)</f>
        <v>0</v>
      </c>
      <c r="Q47" s="40">
        <f>COUNTIFS(' CADASTRO'!$B$2:B$3000,'PRODUÇÃO SEMANA'!H47)</f>
        <v>0</v>
      </c>
      <c r="R47" s="40">
        <f>COUNTIFS(' CADASTRO'!$B$2:B$3000,'PRODUÇÃO SEMANA'!I47)</f>
        <v>0</v>
      </c>
      <c r="S47" s="102">
        <f t="shared" si="40"/>
        <v>0</v>
      </c>
    </row>
    <row r="48" spans="1:19" x14ac:dyDescent="0.25">
      <c r="A48" s="52" t="s">
        <v>1087</v>
      </c>
      <c r="B48" s="53">
        <f t="shared" si="33"/>
        <v>46034</v>
      </c>
      <c r="C48" s="54">
        <v>6</v>
      </c>
      <c r="D48" s="53">
        <f t="shared" si="34"/>
        <v>46035</v>
      </c>
      <c r="E48" s="53">
        <f t="shared" si="35"/>
        <v>46036</v>
      </c>
      <c r="F48" s="53">
        <f t="shared" si="36"/>
        <v>46037</v>
      </c>
      <c r="G48" s="53">
        <f t="shared" si="37"/>
        <v>46038</v>
      </c>
      <c r="H48" s="53">
        <f t="shared" si="38"/>
        <v>46039</v>
      </c>
      <c r="I48" s="55">
        <f t="shared" si="39"/>
        <v>46040</v>
      </c>
      <c r="J48" s="56">
        <f>COUNTIFS(' CADASTRO'!$B$2:$B$993,'PRODUÇÃO SEMANA'!B48)+COUNTIFS(' CADASTRO'!$B$2:$B$993,D48)+COUNTIFS(' CADASTRO'!$B$2:$B$993,E48)+COUNTIFS(' CADASTRO'!$B$2:$B$993,F48)+COUNTIFS(' CADASTRO'!$B$2:$B$993,G48)+COUNTIFS(' CADASTRO'!$B$2:$B$993,H48)+COUNTIFS(' CADASTRO'!$B$2:$B$993,I48)</f>
        <v>0</v>
      </c>
      <c r="L48" s="40">
        <f>IF(B48="","",COUNTIFS(' CADASTRO'!$B$2:$B$3000,'PRODUÇÃO SEMANA'!B48))</f>
        <v>0</v>
      </c>
      <c r="M48" s="40">
        <f>IF(D48=0,"",COUNTIFS(' CADASTRO'!$B$2:B$3000,'PRODUÇÃO SEMANA'!D48))</f>
        <v>0</v>
      </c>
      <c r="N48" s="40">
        <f>COUNTIFS(' CADASTRO'!$B$2:B$3000,'PRODUÇÃO SEMANA'!E48)</f>
        <v>0</v>
      </c>
      <c r="O48" s="40">
        <f>COUNTIFS(' CADASTRO'!$B$2:B$3000,'PRODUÇÃO SEMANA'!F48)</f>
        <v>0</v>
      </c>
      <c r="P48" s="40">
        <f>COUNTIFS(' CADASTRO'!$B$2:B$3000,'PRODUÇÃO SEMANA'!G48)</f>
        <v>0</v>
      </c>
      <c r="Q48" s="40">
        <f>COUNTIFS(' CADASTRO'!$B$2:B$3000,'PRODUÇÃO SEMANA'!H48)</f>
        <v>0</v>
      </c>
      <c r="R48" s="40">
        <f>COUNTIFS(' CADASTRO'!$B$2:B$3000,'PRODUÇÃO SEMANA'!I48)</f>
        <v>0</v>
      </c>
      <c r="S48" s="102">
        <f t="shared" si="40"/>
        <v>0</v>
      </c>
    </row>
    <row r="49" spans="1:19" x14ac:dyDescent="0.25">
      <c r="A49" s="52" t="s">
        <v>1088</v>
      </c>
      <c r="B49" s="53">
        <f t="shared" si="33"/>
        <v>46041</v>
      </c>
      <c r="C49" s="54">
        <v>6</v>
      </c>
      <c r="D49" s="53">
        <f t="shared" si="34"/>
        <v>46042</v>
      </c>
      <c r="E49" s="53">
        <f t="shared" si="35"/>
        <v>46043</v>
      </c>
      <c r="F49" s="53">
        <f t="shared" si="36"/>
        <v>46044</v>
      </c>
      <c r="G49" s="53">
        <f t="shared" si="37"/>
        <v>46045</v>
      </c>
      <c r="H49" s="53">
        <f t="shared" si="38"/>
        <v>46046</v>
      </c>
      <c r="I49" s="55">
        <f t="shared" si="39"/>
        <v>46047</v>
      </c>
      <c r="J49" s="56">
        <f>COUNTIFS(' CADASTRO'!$B$2:$B$993,'PRODUÇÃO SEMANA'!B49)+COUNTIFS(' CADASTRO'!$B$2:$B$993,D49)+COUNTIFS(' CADASTRO'!$B$2:$B$993,E49)+COUNTIFS(' CADASTRO'!$B$2:$B$993,F49)+COUNTIFS(' CADASTRO'!$B$2:$B$993,G49)+COUNTIFS(' CADASTRO'!$B$2:$B$993,H49)+COUNTIFS(' CADASTRO'!$B$2:$B$993,I49)</f>
        <v>0</v>
      </c>
      <c r="L49" s="40">
        <f>IF(B49="","",COUNTIFS(' CADASTRO'!$B$2:$B$3000,'PRODUÇÃO SEMANA'!B49))</f>
        <v>0</v>
      </c>
      <c r="M49" s="40">
        <f>IF(D49=0,"",COUNTIFS(' CADASTRO'!$B$2:B$3000,'PRODUÇÃO SEMANA'!D49))</f>
        <v>0</v>
      </c>
      <c r="N49" s="40">
        <f>COUNTIFS(' CADASTRO'!$B$2:B$3000,'PRODUÇÃO SEMANA'!E49)</f>
        <v>0</v>
      </c>
      <c r="O49" s="40">
        <f>COUNTIFS(' CADASTRO'!$B$2:B$3000,'PRODUÇÃO SEMANA'!F49)</f>
        <v>0</v>
      </c>
      <c r="P49" s="40">
        <f>COUNTIFS(' CADASTRO'!$B$2:B$3000,'PRODUÇÃO SEMANA'!G49)</f>
        <v>0</v>
      </c>
      <c r="Q49" s="40">
        <f>COUNTIFS(' CADASTRO'!$B$2:B$3000,'PRODUÇÃO SEMANA'!H49)</f>
        <v>0</v>
      </c>
      <c r="R49" s="40">
        <f>COUNTIFS(' CADASTRO'!$B$2:B$3000,'PRODUÇÃO SEMANA'!I49)</f>
        <v>0</v>
      </c>
      <c r="S49" s="102">
        <f t="shared" si="40"/>
        <v>0</v>
      </c>
    </row>
    <row r="50" spans="1:19" x14ac:dyDescent="0.25">
      <c r="A50" s="52" t="s">
        <v>1183</v>
      </c>
      <c r="B50" s="53">
        <f t="shared" si="33"/>
        <v>46048</v>
      </c>
      <c r="C50" s="54">
        <v>6</v>
      </c>
      <c r="D50" s="53">
        <f t="shared" si="34"/>
        <v>46049</v>
      </c>
      <c r="E50" s="53">
        <f t="shared" si="35"/>
        <v>46050</v>
      </c>
      <c r="F50" s="53">
        <f t="shared" si="36"/>
        <v>46051</v>
      </c>
      <c r="G50" s="53">
        <f t="shared" si="37"/>
        <v>46052</v>
      </c>
      <c r="H50" s="53">
        <f t="shared" si="38"/>
        <v>46053</v>
      </c>
      <c r="I50" s="55">
        <f t="shared" si="39"/>
        <v>46054</v>
      </c>
      <c r="J50" s="56">
        <f>COUNTIFS(' CADASTRO'!$B$2:$B$993,'PRODUÇÃO SEMANA'!B50)+COUNTIFS(' CADASTRO'!$B$2:$B$993,D50)+COUNTIFS(' CADASTRO'!$B$2:$B$993,E50)+COUNTIFS(' CADASTRO'!$B$2:$B$993,F50)+COUNTIFS(' CADASTRO'!$B$2:$B$993,G50)+COUNTIFS(' CADASTRO'!$B$2:$B$993,H50)+COUNTIFS(' CADASTRO'!$B$2:$B$993,I50)</f>
        <v>0</v>
      </c>
      <c r="L50" s="40">
        <f>IF(B50="","",COUNTIFS(' CADASTRO'!$B$2:$B$3000,'PRODUÇÃO SEMANA'!B50))</f>
        <v>0</v>
      </c>
      <c r="M50" s="40">
        <f>IF(D50=0,"",COUNTIFS(' CADASTRO'!$B$2:B$3000,'PRODUÇÃO SEMANA'!D50))</f>
        <v>0</v>
      </c>
      <c r="N50" s="40">
        <f>COUNTIFS(' CADASTRO'!$B$2:B$3000,'PRODUÇÃO SEMANA'!E50)</f>
        <v>0</v>
      </c>
      <c r="O50" s="40">
        <f>COUNTIFS(' CADASTRO'!$B$2:B$3000,'PRODUÇÃO SEMANA'!F50)</f>
        <v>0</v>
      </c>
      <c r="P50" s="40">
        <f>COUNTIFS(' CADASTRO'!$B$2:B$3000,'PRODUÇÃO SEMANA'!G50)</f>
        <v>0</v>
      </c>
      <c r="Q50" s="40">
        <f>COUNTIFS(' CADASTRO'!$B$2:B$3000,'PRODUÇÃO SEMANA'!H50)</f>
        <v>0</v>
      </c>
      <c r="R50" s="40">
        <f>COUNTIFS(' CADASTRO'!$B$2:B$3000,'PRODUÇÃO SEMANA'!I50)</f>
        <v>0</v>
      </c>
      <c r="S50" s="102">
        <f t="shared" si="40"/>
        <v>0</v>
      </c>
    </row>
    <row r="51" spans="1:19" x14ac:dyDescent="0.25">
      <c r="A51" s="52" t="s">
        <v>1184</v>
      </c>
      <c r="B51" s="53">
        <f t="shared" si="33"/>
        <v>46055</v>
      </c>
      <c r="C51" s="54">
        <v>6</v>
      </c>
      <c r="D51" s="53">
        <f t="shared" si="34"/>
        <v>46056</v>
      </c>
      <c r="E51" s="53">
        <f t="shared" si="35"/>
        <v>46057</v>
      </c>
      <c r="F51" s="53">
        <f t="shared" si="36"/>
        <v>46058</v>
      </c>
      <c r="G51" s="53">
        <f t="shared" si="37"/>
        <v>46059</v>
      </c>
      <c r="H51" s="53">
        <f t="shared" si="38"/>
        <v>46060</v>
      </c>
      <c r="I51" s="55">
        <f t="shared" si="39"/>
        <v>46061</v>
      </c>
      <c r="J51" s="56">
        <f>COUNTIFS(' CADASTRO'!$B$2:$B$993,'PRODUÇÃO SEMANA'!B51)+COUNTIFS(' CADASTRO'!$B$2:$B$993,D51)+COUNTIFS(' CADASTRO'!$B$2:$B$993,E51)+COUNTIFS(' CADASTRO'!$B$2:$B$993,F51)+COUNTIFS(' CADASTRO'!$B$2:$B$993,G51)+COUNTIFS(' CADASTRO'!$B$2:$B$993,H51)+COUNTIFS(' CADASTRO'!$B$2:$B$993,I51)</f>
        <v>0</v>
      </c>
      <c r="L51" s="40">
        <f>IF(B51="","",COUNTIFS(' CADASTRO'!$B$2:$B$3000,'PRODUÇÃO SEMANA'!B51))</f>
        <v>0</v>
      </c>
      <c r="M51" s="40">
        <f>IF(D51=0,"",COUNTIFS(' CADASTRO'!$B$2:B$3000,'PRODUÇÃO SEMANA'!D51))</f>
        <v>0</v>
      </c>
      <c r="N51" s="40">
        <f>COUNTIFS(' CADASTRO'!$B$2:B$3000,'PRODUÇÃO SEMANA'!E51)</f>
        <v>0</v>
      </c>
      <c r="O51" s="40">
        <f>COUNTIFS(' CADASTRO'!$B$2:B$3000,'PRODUÇÃO SEMANA'!F51)</f>
        <v>0</v>
      </c>
      <c r="P51" s="40">
        <f>COUNTIFS(' CADASTRO'!$B$2:B$3000,'PRODUÇÃO SEMANA'!G51)</f>
        <v>0</v>
      </c>
      <c r="Q51" s="40">
        <f>COUNTIFS(' CADASTRO'!$B$2:B$3000,'PRODUÇÃO SEMANA'!H51)</f>
        <v>0</v>
      </c>
      <c r="R51" s="40">
        <f>COUNTIFS(' CADASTRO'!$B$2:B$3000,'PRODUÇÃO SEMANA'!I51)</f>
        <v>0</v>
      </c>
      <c r="S51" s="102">
        <f t="shared" si="40"/>
        <v>0</v>
      </c>
    </row>
    <row r="52" spans="1:19" x14ac:dyDescent="0.25">
      <c r="A52" s="52" t="s">
        <v>1185</v>
      </c>
      <c r="B52" s="53">
        <f t="shared" si="33"/>
        <v>46062</v>
      </c>
      <c r="C52" s="54">
        <v>6</v>
      </c>
      <c r="D52" s="53">
        <f t="shared" si="34"/>
        <v>46063</v>
      </c>
      <c r="E52" s="53">
        <f t="shared" si="35"/>
        <v>46064</v>
      </c>
      <c r="F52" s="53">
        <f t="shared" si="36"/>
        <v>46065</v>
      </c>
      <c r="G52" s="53">
        <f t="shared" si="37"/>
        <v>46066</v>
      </c>
      <c r="H52" s="53">
        <f t="shared" si="38"/>
        <v>46067</v>
      </c>
      <c r="I52" s="55">
        <f t="shared" si="39"/>
        <v>46068</v>
      </c>
      <c r="J52" s="56">
        <f>COUNTIFS(' CADASTRO'!$B$2:$B$993,'PRODUÇÃO SEMANA'!B52)+COUNTIFS(' CADASTRO'!$B$2:$B$993,D52)+COUNTIFS(' CADASTRO'!$B$2:$B$993,E52)+COUNTIFS(' CADASTRO'!$B$2:$B$993,F52)+COUNTIFS(' CADASTRO'!$B$2:$B$993,G52)+COUNTIFS(' CADASTRO'!$B$2:$B$993,H52)+COUNTIFS(' CADASTRO'!$B$2:$B$993,I52)</f>
        <v>0</v>
      </c>
      <c r="L52" s="40">
        <f>IF(B52="","",COUNTIFS(' CADASTRO'!$B$2:$B$3000,'PRODUÇÃO SEMANA'!B52))</f>
        <v>0</v>
      </c>
      <c r="M52" s="40">
        <f>IF(D52=0,"",COUNTIFS(' CADASTRO'!$B$2:B$3000,'PRODUÇÃO SEMANA'!D52))</f>
        <v>0</v>
      </c>
      <c r="N52" s="40">
        <f>COUNTIFS(' CADASTRO'!$B$2:B$3000,'PRODUÇÃO SEMANA'!E52)</f>
        <v>0</v>
      </c>
      <c r="O52" s="40">
        <f>COUNTIFS(' CADASTRO'!$B$2:B$3000,'PRODUÇÃO SEMANA'!F52)</f>
        <v>0</v>
      </c>
      <c r="P52" s="40">
        <f>COUNTIFS(' CADASTRO'!$B$2:B$3000,'PRODUÇÃO SEMANA'!G52)</f>
        <v>0</v>
      </c>
      <c r="Q52" s="40">
        <f>COUNTIFS(' CADASTRO'!$B$2:B$3000,'PRODUÇÃO SEMANA'!H52)</f>
        <v>0</v>
      </c>
      <c r="R52" s="40">
        <f>COUNTIFS(' CADASTRO'!$B$2:B$3000,'PRODUÇÃO SEMANA'!I52)</f>
        <v>0</v>
      </c>
      <c r="S52" s="102">
        <f t="shared" si="40"/>
        <v>0</v>
      </c>
    </row>
    <row r="53" spans="1:19" x14ac:dyDescent="0.25">
      <c r="A53" s="52" t="s">
        <v>1186</v>
      </c>
      <c r="B53" s="53">
        <f t="shared" si="33"/>
        <v>46069</v>
      </c>
      <c r="C53" s="54">
        <v>6</v>
      </c>
      <c r="D53" s="53">
        <f t="shared" si="34"/>
        <v>46070</v>
      </c>
      <c r="E53" s="53">
        <f t="shared" si="35"/>
        <v>46071</v>
      </c>
      <c r="F53" s="53">
        <f t="shared" si="36"/>
        <v>46072</v>
      </c>
      <c r="G53" s="53">
        <f t="shared" si="37"/>
        <v>46073</v>
      </c>
      <c r="H53" s="53">
        <f t="shared" si="38"/>
        <v>46074</v>
      </c>
      <c r="I53" s="55">
        <f t="shared" si="39"/>
        <v>46075</v>
      </c>
      <c r="J53" s="56">
        <f>COUNTIFS(' CADASTRO'!$B$2:$B$993,'PRODUÇÃO SEMANA'!B53)+COUNTIFS(' CADASTRO'!$B$2:$B$993,D53)+COUNTIFS(' CADASTRO'!$B$2:$B$993,E53)+COUNTIFS(' CADASTRO'!$B$2:$B$993,F53)+COUNTIFS(' CADASTRO'!$B$2:$B$993,G53)+COUNTIFS(' CADASTRO'!$B$2:$B$993,H53)+COUNTIFS(' CADASTRO'!$B$2:$B$993,I53)</f>
        <v>0</v>
      </c>
      <c r="L53" s="40">
        <f>IF(B53="","",COUNTIFS(' CADASTRO'!$B$2:$B$3000,'PRODUÇÃO SEMANA'!B53))</f>
        <v>0</v>
      </c>
      <c r="M53" s="40">
        <f>IF(D53=0,"",COUNTIFS(' CADASTRO'!$B$2:B$3000,'PRODUÇÃO SEMANA'!D53))</f>
        <v>0</v>
      </c>
      <c r="N53" s="40">
        <f>COUNTIFS(' CADASTRO'!$B$2:B$3000,'PRODUÇÃO SEMANA'!E53)</f>
        <v>0</v>
      </c>
      <c r="O53" s="40">
        <f>COUNTIFS(' CADASTRO'!$B$2:B$3000,'PRODUÇÃO SEMANA'!F53)</f>
        <v>0</v>
      </c>
      <c r="P53" s="40">
        <f>COUNTIFS(' CADASTRO'!$B$2:B$3000,'PRODUÇÃO SEMANA'!G53)</f>
        <v>0</v>
      </c>
      <c r="Q53" s="40">
        <f>COUNTIFS(' CADASTRO'!$B$2:B$3000,'PRODUÇÃO SEMANA'!H53)</f>
        <v>0</v>
      </c>
      <c r="R53" s="40">
        <f>COUNTIFS(' CADASTRO'!$B$2:B$3000,'PRODUÇÃO SEMANA'!I53)</f>
        <v>0</v>
      </c>
      <c r="S53" s="102">
        <f t="shared" si="40"/>
        <v>0</v>
      </c>
    </row>
    <row r="54" spans="1:19" x14ac:dyDescent="0.25">
      <c r="A54" s="52" t="s">
        <v>1187</v>
      </c>
      <c r="B54" s="53">
        <f t="shared" si="33"/>
        <v>46076</v>
      </c>
      <c r="C54" s="54">
        <v>6</v>
      </c>
      <c r="D54" s="53">
        <f t="shared" si="34"/>
        <v>46077</v>
      </c>
      <c r="E54" s="53">
        <f t="shared" si="35"/>
        <v>46078</v>
      </c>
      <c r="F54" s="53">
        <f t="shared" si="36"/>
        <v>46079</v>
      </c>
      <c r="G54" s="53">
        <f t="shared" si="37"/>
        <v>46080</v>
      </c>
      <c r="H54" s="53">
        <f t="shared" si="38"/>
        <v>46081</v>
      </c>
      <c r="I54" s="55">
        <f t="shared" si="39"/>
        <v>46082</v>
      </c>
      <c r="J54" s="56">
        <f>COUNTIFS(' CADASTRO'!$B$2:$B$993,'PRODUÇÃO SEMANA'!B54)+COUNTIFS(' CADASTRO'!$B$2:$B$993,D54)+COUNTIFS(' CADASTRO'!$B$2:$B$993,E54)+COUNTIFS(' CADASTRO'!$B$2:$B$993,F54)+COUNTIFS(' CADASTRO'!$B$2:$B$993,G54)+COUNTIFS(' CADASTRO'!$B$2:$B$993,H54)+COUNTIFS(' CADASTRO'!$B$2:$B$993,I54)</f>
        <v>0</v>
      </c>
      <c r="L54" s="40">
        <f>IF(B54="","",COUNTIFS(' CADASTRO'!$B$2:$B$3000,'PRODUÇÃO SEMANA'!B54))</f>
        <v>0</v>
      </c>
      <c r="M54" s="40">
        <f>IF(D54=0,"",COUNTIFS(' CADASTRO'!$B$2:B$3000,'PRODUÇÃO SEMANA'!D54))</f>
        <v>0</v>
      </c>
      <c r="N54" s="40">
        <f>COUNTIFS(' CADASTRO'!$B$2:B$3000,'PRODUÇÃO SEMANA'!E54)</f>
        <v>0</v>
      </c>
      <c r="O54" s="40">
        <f>COUNTIFS(' CADASTRO'!$B$2:B$3000,'PRODUÇÃO SEMANA'!F54)</f>
        <v>0</v>
      </c>
      <c r="P54" s="40">
        <f>COUNTIFS(' CADASTRO'!$B$2:B$3000,'PRODUÇÃO SEMANA'!G54)</f>
        <v>0</v>
      </c>
      <c r="Q54" s="40">
        <f>COUNTIFS(' CADASTRO'!$B$2:B$3000,'PRODUÇÃO SEMANA'!H54)</f>
        <v>0</v>
      </c>
      <c r="R54" s="40">
        <f>COUNTIFS(' CADASTRO'!$B$2:B$3000,'PRODUÇÃO SEMANA'!I54)</f>
        <v>0</v>
      </c>
      <c r="S54" s="102">
        <f t="shared" si="40"/>
        <v>0</v>
      </c>
    </row>
    <row r="55" spans="1:19" x14ac:dyDescent="0.25">
      <c r="A55" s="52" t="s">
        <v>1188</v>
      </c>
      <c r="B55" s="53">
        <f t="shared" si="33"/>
        <v>46083</v>
      </c>
      <c r="C55" s="54">
        <v>6</v>
      </c>
      <c r="D55" s="53">
        <f t="shared" si="34"/>
        <v>46084</v>
      </c>
      <c r="E55" s="53">
        <f t="shared" si="35"/>
        <v>46085</v>
      </c>
      <c r="F55" s="53">
        <f t="shared" si="36"/>
        <v>46086</v>
      </c>
      <c r="G55" s="53">
        <f t="shared" si="37"/>
        <v>46087</v>
      </c>
      <c r="H55" s="53">
        <f t="shared" si="38"/>
        <v>46088</v>
      </c>
      <c r="I55" s="55">
        <f t="shared" si="39"/>
        <v>46089</v>
      </c>
      <c r="J55" s="56">
        <f>COUNTIFS(' CADASTRO'!$B$2:$B$993,'PRODUÇÃO SEMANA'!B55)+COUNTIFS(' CADASTRO'!$B$2:$B$993,D55)+COUNTIFS(' CADASTRO'!$B$2:$B$993,E55)+COUNTIFS(' CADASTRO'!$B$2:$B$993,F55)+COUNTIFS(' CADASTRO'!$B$2:$B$993,G55)+COUNTIFS(' CADASTRO'!$B$2:$B$993,H55)+COUNTIFS(' CADASTRO'!$B$2:$B$993,I55)</f>
        <v>0</v>
      </c>
      <c r="L55" s="40">
        <f>IF(B55="","",COUNTIFS(' CADASTRO'!$B$2:$B$3000,'PRODUÇÃO SEMANA'!B55))</f>
        <v>0</v>
      </c>
      <c r="M55" s="40">
        <f>IF(D55=0,"",COUNTIFS(' CADASTRO'!$B$2:B$3000,'PRODUÇÃO SEMANA'!D55))</f>
        <v>0</v>
      </c>
      <c r="N55" s="40">
        <f>COUNTIFS(' CADASTRO'!$B$2:B$3000,'PRODUÇÃO SEMANA'!E55)</f>
        <v>0</v>
      </c>
      <c r="O55" s="40">
        <f>COUNTIFS(' CADASTRO'!$B$2:B$3000,'PRODUÇÃO SEMANA'!F55)</f>
        <v>0</v>
      </c>
      <c r="P55" s="40">
        <f>COUNTIFS(' CADASTRO'!$B$2:B$3000,'PRODUÇÃO SEMANA'!G55)</f>
        <v>0</v>
      </c>
      <c r="Q55" s="40">
        <f>COUNTIFS(' CADASTRO'!$B$2:B$3000,'PRODUÇÃO SEMANA'!H55)</f>
        <v>0</v>
      </c>
      <c r="R55" s="40">
        <f>COUNTIFS(' CADASTRO'!$B$2:B$3000,'PRODUÇÃO SEMANA'!I55)</f>
        <v>0</v>
      </c>
      <c r="S55" s="102">
        <f t="shared" si="40"/>
        <v>0</v>
      </c>
    </row>
    <row r="56" spans="1:19" x14ac:dyDescent="0.25">
      <c r="A56" s="52" t="s">
        <v>1189</v>
      </c>
      <c r="B56" s="53">
        <f t="shared" si="33"/>
        <v>46090</v>
      </c>
      <c r="C56" s="54">
        <v>6</v>
      </c>
      <c r="D56" s="53">
        <f t="shared" si="34"/>
        <v>46091</v>
      </c>
      <c r="E56" s="53">
        <f t="shared" si="35"/>
        <v>46092</v>
      </c>
      <c r="F56" s="53">
        <f t="shared" si="36"/>
        <v>46093</v>
      </c>
      <c r="G56" s="53">
        <f t="shared" si="37"/>
        <v>46094</v>
      </c>
      <c r="H56" s="53">
        <f t="shared" si="38"/>
        <v>46095</v>
      </c>
      <c r="I56" s="55">
        <f t="shared" si="39"/>
        <v>46096</v>
      </c>
      <c r="J56" s="56">
        <f>COUNTIFS(' CADASTRO'!$B$2:$B$993,'PRODUÇÃO SEMANA'!B56)+COUNTIFS(' CADASTRO'!$B$2:$B$993,D56)+COUNTIFS(' CADASTRO'!$B$2:$B$993,E56)+COUNTIFS(' CADASTRO'!$B$2:$B$993,F56)+COUNTIFS(' CADASTRO'!$B$2:$B$993,G56)+COUNTIFS(' CADASTRO'!$B$2:$B$993,H56)+COUNTIFS(' CADASTRO'!$B$2:$B$993,I56)</f>
        <v>0</v>
      </c>
      <c r="L56" s="40">
        <f>IF(B56="","",COUNTIFS(' CADASTRO'!$B$2:$B$3000,'PRODUÇÃO SEMANA'!B56))</f>
        <v>0</v>
      </c>
      <c r="M56" s="40">
        <f>IF(D56=0,"",COUNTIFS(' CADASTRO'!$B$2:B$3000,'PRODUÇÃO SEMANA'!D56))</f>
        <v>0</v>
      </c>
      <c r="N56" s="40">
        <f>COUNTIFS(' CADASTRO'!$B$2:B$3000,'PRODUÇÃO SEMANA'!E56)</f>
        <v>0</v>
      </c>
      <c r="O56" s="40">
        <f>COUNTIFS(' CADASTRO'!$B$2:B$3000,'PRODUÇÃO SEMANA'!F56)</f>
        <v>0</v>
      </c>
      <c r="P56" s="40">
        <f>COUNTIFS(' CADASTRO'!$B$2:B$3000,'PRODUÇÃO SEMANA'!G56)</f>
        <v>0</v>
      </c>
      <c r="Q56" s="40">
        <f>COUNTIFS(' CADASTRO'!$B$2:B$3000,'PRODUÇÃO SEMANA'!H56)</f>
        <v>0</v>
      </c>
      <c r="R56" s="40">
        <f>COUNTIFS(' CADASTRO'!$B$2:B$3000,'PRODUÇÃO SEMANA'!I56)</f>
        <v>0</v>
      </c>
      <c r="S56" s="102">
        <f t="shared" si="40"/>
        <v>0</v>
      </c>
    </row>
    <row r="57" spans="1:19" x14ac:dyDescent="0.25">
      <c r="A57" s="52" t="s">
        <v>1190</v>
      </c>
      <c r="B57" s="53">
        <f t="shared" si="33"/>
        <v>46097</v>
      </c>
      <c r="C57" s="54">
        <v>6</v>
      </c>
      <c r="D57" s="53">
        <f t="shared" si="34"/>
        <v>46098</v>
      </c>
      <c r="E57" s="53">
        <f t="shared" si="35"/>
        <v>46099</v>
      </c>
      <c r="F57" s="53">
        <f t="shared" si="36"/>
        <v>46100</v>
      </c>
      <c r="G57" s="53">
        <f t="shared" si="37"/>
        <v>46101</v>
      </c>
      <c r="H57" s="53">
        <f t="shared" si="38"/>
        <v>46102</v>
      </c>
      <c r="I57" s="55">
        <f t="shared" si="39"/>
        <v>46103</v>
      </c>
      <c r="J57" s="56">
        <f>COUNTIFS(' CADASTRO'!$B$2:$B$993,'PRODUÇÃO SEMANA'!B57)+COUNTIFS(' CADASTRO'!$B$2:$B$993,D57)+COUNTIFS(' CADASTRO'!$B$2:$B$993,E57)+COUNTIFS(' CADASTRO'!$B$2:$B$993,F57)+COUNTIFS(' CADASTRO'!$B$2:$B$993,G57)+COUNTIFS(' CADASTRO'!$B$2:$B$993,H57)+COUNTIFS(' CADASTRO'!$B$2:$B$993,I57)</f>
        <v>0</v>
      </c>
      <c r="L57" s="40">
        <f>IF(B57="","",COUNTIFS(' CADASTRO'!$B$2:$B$3000,'PRODUÇÃO SEMANA'!B57))</f>
        <v>0</v>
      </c>
      <c r="M57" s="40">
        <f>IF(D57=0,"",COUNTIFS(' CADASTRO'!$B$2:B$3000,'PRODUÇÃO SEMANA'!D57))</f>
        <v>0</v>
      </c>
      <c r="N57" s="40">
        <f>COUNTIFS(' CADASTRO'!$B$2:B$3000,'PRODUÇÃO SEMANA'!E57)</f>
        <v>0</v>
      </c>
      <c r="O57" s="40">
        <f>COUNTIFS(' CADASTRO'!$B$2:B$3000,'PRODUÇÃO SEMANA'!F57)</f>
        <v>0</v>
      </c>
      <c r="P57" s="40">
        <f>COUNTIFS(' CADASTRO'!$B$2:B$3000,'PRODUÇÃO SEMANA'!G57)</f>
        <v>0</v>
      </c>
      <c r="Q57" s="40">
        <f>COUNTIFS(' CADASTRO'!$B$2:B$3000,'PRODUÇÃO SEMANA'!H57)</f>
        <v>0</v>
      </c>
      <c r="R57" s="40">
        <f>COUNTIFS(' CADASTRO'!$B$2:B$3000,'PRODUÇÃO SEMANA'!I57)</f>
        <v>0</v>
      </c>
      <c r="S57" s="102">
        <f t="shared" si="40"/>
        <v>0</v>
      </c>
    </row>
  </sheetData>
  <mergeCells count="1">
    <mergeCell ref="S1:T1"/>
  </mergeCells>
  <phoneticPr fontId="1" type="noConversion"/>
  <conditionalFormatting sqref="L5:R57">
    <cfRule type="cellIs" dxfId="3" priority="1" operator="greaterThan">
      <formula>0</formula>
    </cfRule>
  </conditionalFormatting>
  <conditionalFormatting sqref="L5:R253">
    <cfRule type="cellIs" dxfId="2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112E-0E4C-49DC-BAFB-412701BAC3F5}">
  <dimension ref="A1:AT305"/>
  <sheetViews>
    <sheetView tabSelected="1" topLeftCell="A32" zoomScaleNormal="100" workbookViewId="0">
      <selection activeCell="AL20" sqref="AL20"/>
    </sheetView>
  </sheetViews>
  <sheetFormatPr defaultColWidth="8.85546875" defaultRowHeight="15" x14ac:dyDescent="0.25"/>
  <cols>
    <col min="1" max="1" width="16.5703125" style="14" customWidth="1"/>
    <col min="2" max="2" width="12.7109375" style="14" customWidth="1"/>
    <col min="3" max="3" width="8.7109375" style="14" customWidth="1"/>
    <col min="4" max="4" width="6.7109375" style="14" customWidth="1"/>
    <col min="5" max="5" width="11.7109375" style="14" customWidth="1"/>
    <col min="6" max="6" width="12.7109375" style="14" customWidth="1"/>
    <col min="7" max="9" width="8.7109375" style="14" customWidth="1"/>
    <col min="10" max="10" width="12.7109375" style="14" customWidth="1"/>
    <col min="11" max="11" width="8.7109375" style="14" customWidth="1"/>
    <col min="12" max="14" width="12.7109375" style="14" customWidth="1"/>
    <col min="15" max="15" width="8.7109375" style="14" customWidth="1"/>
    <col min="16" max="19" width="12.7109375" style="14" customWidth="1"/>
    <col min="20" max="21" width="8.85546875" style="14" customWidth="1"/>
    <col min="22" max="23" width="11.28515625" style="14" customWidth="1"/>
    <col min="24" max="25" width="8.85546875" style="14" customWidth="1"/>
    <col min="26" max="26" width="15.140625" style="14" customWidth="1"/>
    <col min="27" max="27" width="3.7109375" style="14" customWidth="1"/>
    <col min="28" max="28" width="12.42578125" style="166" customWidth="1"/>
    <col min="29" max="29" width="13.42578125" style="166" customWidth="1"/>
    <col min="30" max="30" width="24.85546875" style="166" customWidth="1"/>
    <col min="31" max="31" width="8.85546875" style="95"/>
    <col min="32" max="32" width="13.85546875" style="14" customWidth="1"/>
    <col min="33" max="33" width="14.28515625" style="14" customWidth="1"/>
    <col min="34" max="16384" width="8.85546875" style="14"/>
  </cols>
  <sheetData>
    <row r="1" spans="1:46" ht="22.9" customHeight="1" x14ac:dyDescent="0.25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7">
        <f>SUM(AB4:AB600)</f>
        <v>455</v>
      </c>
      <c r="AC1" s="167">
        <f>SUM(AC4:AC600)</f>
        <v>403</v>
      </c>
      <c r="AD1" s="167">
        <f>SUM(AD4:AD600)</f>
        <v>74</v>
      </c>
      <c r="AE1" s="483">
        <f>AB1+AC1+AD1</f>
        <v>932</v>
      </c>
      <c r="AF1" s="316"/>
    </row>
    <row r="2" spans="1:46" ht="27" customHeight="1" x14ac:dyDescent="0.25">
      <c r="B2" s="14" t="s">
        <v>1071</v>
      </c>
      <c r="E2" s="14" t="s">
        <v>104</v>
      </c>
      <c r="F2" s="14" t="s">
        <v>1072</v>
      </c>
      <c r="J2" s="14" t="s">
        <v>1073</v>
      </c>
      <c r="N2" s="14" t="s">
        <v>1074</v>
      </c>
      <c r="R2" s="14" t="s">
        <v>1075</v>
      </c>
      <c r="V2" s="14" t="s">
        <v>1076</v>
      </c>
      <c r="Z2" s="14" t="s">
        <v>1077</v>
      </c>
      <c r="AB2" s="482" t="s">
        <v>230</v>
      </c>
      <c r="AC2" s="482"/>
      <c r="AD2" s="482"/>
      <c r="AE2" s="484"/>
      <c r="AF2" s="316"/>
      <c r="AG2" s="504" t="s">
        <v>1226</v>
      </c>
      <c r="AH2" s="505"/>
      <c r="AI2" s="505"/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</row>
    <row r="3" spans="1:46" ht="24.6" customHeight="1" x14ac:dyDescent="0.25">
      <c r="A3" s="14" t="s">
        <v>1089</v>
      </c>
      <c r="C3" s="90" t="s">
        <v>217</v>
      </c>
      <c r="D3" s="90" t="s">
        <v>218</v>
      </c>
      <c r="E3" s="14" t="s">
        <v>104</v>
      </c>
      <c r="G3" s="90" t="s">
        <v>217</v>
      </c>
      <c r="H3" s="90" t="s">
        <v>218</v>
      </c>
      <c r="K3" s="90" t="s">
        <v>217</v>
      </c>
      <c r="L3" s="90" t="s">
        <v>218</v>
      </c>
      <c r="M3" s="14" t="s">
        <v>104</v>
      </c>
      <c r="O3" s="90" t="s">
        <v>217</v>
      </c>
      <c r="P3" s="90" t="s">
        <v>218</v>
      </c>
      <c r="Q3" s="14" t="s">
        <v>104</v>
      </c>
      <c r="S3" s="90" t="s">
        <v>217</v>
      </c>
      <c r="T3" s="90" t="s">
        <v>218</v>
      </c>
      <c r="U3" s="14" t="s">
        <v>104</v>
      </c>
      <c r="W3" s="90" t="s">
        <v>217</v>
      </c>
      <c r="X3" s="90" t="s">
        <v>218</v>
      </c>
      <c r="Y3" s="14" t="s">
        <v>104</v>
      </c>
      <c r="AB3" s="60" t="s">
        <v>217</v>
      </c>
      <c r="AC3" s="60" t="s">
        <v>218</v>
      </c>
      <c r="AD3" s="60" t="s">
        <v>1090</v>
      </c>
      <c r="AF3" s="14" t="s">
        <v>1071</v>
      </c>
      <c r="AG3" s="503">
        <v>45717</v>
      </c>
      <c r="AH3" s="503">
        <v>45748</v>
      </c>
      <c r="AI3" s="503">
        <v>45778</v>
      </c>
      <c r="AJ3" s="503">
        <v>45809</v>
      </c>
      <c r="AK3" s="503">
        <v>45839</v>
      </c>
      <c r="AL3" s="503">
        <v>45870</v>
      </c>
      <c r="AM3" s="503">
        <v>45901</v>
      </c>
      <c r="AN3" s="503">
        <v>45931</v>
      </c>
      <c r="AO3" s="503">
        <v>45962</v>
      </c>
      <c r="AP3" s="503">
        <v>45992</v>
      </c>
      <c r="AQ3" s="503">
        <v>46023</v>
      </c>
      <c r="AR3" s="503">
        <v>46054</v>
      </c>
      <c r="AS3" s="503">
        <v>46082</v>
      </c>
      <c r="AT3" s="503">
        <v>46113</v>
      </c>
    </row>
    <row r="4" spans="1:46" x14ac:dyDescent="0.25">
      <c r="A4" s="14" t="s">
        <v>137</v>
      </c>
      <c r="B4" s="162">
        <v>45733</v>
      </c>
      <c r="C4" s="163">
        <f>COUNTIFS(' CADASTRO'!$S:$S,'acab equip'!$C$3,' CADASTRO'!$R:$R,'acab equip'!B4)</f>
        <v>0</v>
      </c>
      <c r="D4" s="163">
        <f>COUNTIFS(' CADASTRO'!$S:$S,'acab equip'!$D$3,' CADASTRO'!$R:$R,'acab equip'!B4)</f>
        <v>0</v>
      </c>
      <c r="E4" s="163">
        <f>COUNTIFS(' CADASTRO'!$R$746:$R$893,'acab equip'!B4,' CADASTRO'!$S$746:$S$893,'acab equip'!$D$3)+COUNTIFS(' CADASTRO'!$R$746:$R$893,'acab equip'!B4,' CADASTRO'!$S$746:$S$893,'acab equip'!$C$3)</f>
        <v>0</v>
      </c>
      <c r="F4" s="162">
        <f>B4+1</f>
        <v>45734</v>
      </c>
      <c r="G4" s="163">
        <f>COUNTIFS(' CADASTRO'!$S:$S,'acab equip'!$C$3,' CADASTRO'!$R:$R,'acab equip'!F4)</f>
        <v>0</v>
      </c>
      <c r="H4" s="163">
        <f>COUNTIFS(' CADASTRO'!$S:$S,'acab equip'!$D$3,' CADASTRO'!$R:$R,'acab equip'!F4)</f>
        <v>0</v>
      </c>
      <c r="I4" s="163">
        <f>COUNTIFS(' CADASTRO'!$R$746:$R$893,'acab equip'!F4,' CADASTRO'!$S$746:$S$893,'acab equip'!$H$3)+COUNTIFS(' CADASTRO'!$R$746:$R$893,'acab equip'!F4,' CADASTRO'!$S$746:$S$893,'acab equip'!$G$3)</f>
        <v>0</v>
      </c>
      <c r="J4" s="162">
        <f>F4+1</f>
        <v>45735</v>
      </c>
      <c r="K4" s="163">
        <f>COUNTIFS(' CADASTRO'!$S:$S,'acab equip'!$C$3,' CADASTRO'!$R:$R,'acab equip'!J4)</f>
        <v>0</v>
      </c>
      <c r="L4" s="163">
        <f>COUNTIFS(' CADASTRO'!$S:$S,'acab equip'!$D$3,' CADASTRO'!$R:$R,'acab equip'!J4)</f>
        <v>0</v>
      </c>
      <c r="M4" s="163">
        <f>COUNTIFS(' CADASTRO'!$R$746:$R$893,'acab equip'!J4,' CADASTRO'!$S$746:$S$893,'acab equip'!$L$3)+COUNTIFS(' CADASTRO'!$R$746:$R$893,'acab equip'!J4,' CADASTRO'!$S$746:$S$893,'acab equip'!$K$3)</f>
        <v>0</v>
      </c>
      <c r="N4" s="162">
        <f>J4+1</f>
        <v>45736</v>
      </c>
      <c r="O4" s="163">
        <f>COUNTIFS(' CADASTRO'!$S:$S,'acab equip'!$C$3,' CADASTRO'!$R:$R,'acab equip'!N4)</f>
        <v>0</v>
      </c>
      <c r="P4" s="163">
        <f>COUNTIFS(' CADASTRO'!$S:$S,'acab equip'!$D$3,' CADASTRO'!$R:$R,'acab equip'!N4)</f>
        <v>0</v>
      </c>
      <c r="Q4" s="163">
        <f>COUNTIFS(' CADASTRO'!$R$746:$R$893,'acab equip'!N4,' CADASTRO'!$S$746:$S$893,'acab equip'!$P$3)+COUNTIFS(' CADASTRO'!$R$746:$R$893,'acab equip'!N4,' CADASTRO'!$S$746:$S$893,'acab equip'!$O$3)</f>
        <v>0</v>
      </c>
      <c r="R4" s="162">
        <f>N4+1</f>
        <v>45737</v>
      </c>
      <c r="S4" s="163">
        <f>COUNTIFS(' CADASTRO'!$S:$S,'acab equip'!$C$3,' CADASTRO'!$R:$R,'acab equip'!R4)</f>
        <v>0</v>
      </c>
      <c r="T4" s="163">
        <f>COUNTIFS(' CADASTRO'!$S:$S,'acab equip'!$D$3,' CADASTRO'!$R:$R,'acab equip'!R4)</f>
        <v>0</v>
      </c>
      <c r="U4" s="163">
        <f>COUNTIFS(' CADASTRO'!$R$746:$R$893,'acab equip'!R4,' CADASTRO'!$S$746:$S$893,'acab equip'!$T$3)+COUNTIFS(' CADASTRO'!$R$746:$R$893,'acab equip'!R4,' CADASTRO'!$S$746:$S$893,'acab equip'!$S$3)</f>
        <v>0</v>
      </c>
      <c r="V4" s="162">
        <f>R4+1</f>
        <v>45738</v>
      </c>
      <c r="W4" s="163">
        <f>COUNTIFS(' CADASTRO'!$S:$S,'acab equip'!$C$3,' CADASTRO'!$R:$R,'acab equip'!V4)</f>
        <v>2</v>
      </c>
      <c r="X4" s="163">
        <f>COUNTIFS(' CADASTRO'!$S:$S,'acab equip'!$D$3,' CADASTRO'!$R:$R,'acab equip'!V4)</f>
        <v>0</v>
      </c>
      <c r="Y4" s="163">
        <f>COUNTIFS(' CADASTRO'!$R$746:$R$893,'acab equip'!V4,' CADASTRO'!$S$746:$S$893,'acab equip'!$X$3)+COUNTIFS(' CADASTRO'!$R$746:$R$893,'acab equip'!V4,' CADASTRO'!$S$746:$S$893,'acab equip'!$W$3)</f>
        <v>0</v>
      </c>
      <c r="Z4" s="162">
        <f>V4+1</f>
        <v>45739</v>
      </c>
      <c r="AB4" s="165">
        <f t="shared" ref="AB4:AB67" si="0">C4+G4+K4+O4+S4+W4</f>
        <v>2</v>
      </c>
      <c r="AC4" s="165">
        <f>D4+H4+L4+P4+T4+X4-AD4</f>
        <v>0</v>
      </c>
      <c r="AD4" s="165">
        <f>M4+Q4+U4+Y4+I4+E4</f>
        <v>0</v>
      </c>
      <c r="AE4" s="177">
        <f>AB4+AC4+AD4</f>
        <v>2</v>
      </c>
      <c r="AF4" s="14" t="str">
        <f>TEXT(Z4,"mmm/aaaa")</f>
        <v>mar/2025</v>
      </c>
      <c r="AG4" s="60">
        <f>SUMIF($AF$4:$AF$425,AG3,AE4:AE425)</f>
        <v>13</v>
      </c>
      <c r="AH4" s="60">
        <f>SUMIF($AF$4:$AF$425,AH3,$AE$4:$AE$425)</f>
        <v>53</v>
      </c>
      <c r="AI4" s="60">
        <f t="shared" ref="AI4:AL4" si="1">SUMIF($AF$4:$AF$425,AI3,$AE$4:$AE$425)</f>
        <v>53</v>
      </c>
      <c r="AJ4" s="60">
        <f t="shared" si="1"/>
        <v>77</v>
      </c>
      <c r="AK4" s="60">
        <f t="shared" si="1"/>
        <v>67</v>
      </c>
      <c r="AL4" s="60">
        <f t="shared" si="1"/>
        <v>139</v>
      </c>
      <c r="AM4" s="60">
        <f>SUMIF($AF$4:$AF$425,AM3,$AE$4:$AE$425)</f>
        <v>152</v>
      </c>
      <c r="AN4" s="60">
        <f>SUMIF($AF$4:$AF$425,AN3,$AE$4:$AE$425)</f>
        <v>161</v>
      </c>
      <c r="AO4" s="60">
        <f t="shared" ref="AO4:AT4" si="2">SUMIF($AF$4:$AF$425,AO3,$AE$4:$AE$425)</f>
        <v>160</v>
      </c>
      <c r="AP4" s="60">
        <f t="shared" si="2"/>
        <v>57</v>
      </c>
      <c r="AQ4" s="60">
        <f t="shared" si="2"/>
        <v>0</v>
      </c>
      <c r="AR4" s="60">
        <f t="shared" si="2"/>
        <v>0</v>
      </c>
      <c r="AS4" s="60">
        <f t="shared" si="2"/>
        <v>0</v>
      </c>
      <c r="AT4" s="60">
        <f t="shared" si="2"/>
        <v>0</v>
      </c>
    </row>
    <row r="5" spans="1:46" x14ac:dyDescent="0.25">
      <c r="A5" s="14" t="s">
        <v>138</v>
      </c>
      <c r="B5" s="162">
        <f>Z4+1</f>
        <v>45740</v>
      </c>
      <c r="C5" s="163">
        <f>COUNTIFS(' CADASTRO'!$S:$S,'acab equip'!$C$3,' CADASTRO'!$R:$R,'acab equip'!B5)</f>
        <v>2</v>
      </c>
      <c r="D5" s="163">
        <f>COUNTIFS(' CADASTRO'!$S:$S,'acab equip'!$D$3,' CADASTRO'!$R:$R,'acab equip'!B5)</f>
        <v>0</v>
      </c>
      <c r="E5" s="163">
        <f>COUNTIFS(' CADASTRO'!$R$746:$R$893,'acab equip'!B5,' CADASTRO'!$S$746:$S$893,'acab equip'!$D$3)+COUNTIFS(' CADASTRO'!$R$746:$R$893,'acab equip'!B5,' CADASTRO'!$S$746:$S$893,'acab equip'!$C$3)</f>
        <v>0</v>
      </c>
      <c r="F5" s="162">
        <f>B5+1</f>
        <v>45741</v>
      </c>
      <c r="G5" s="163">
        <f>COUNTIFS(' CADASTRO'!$S:$S,'acab equip'!$C$3,' CADASTRO'!$R:$R,'acab equip'!F5)</f>
        <v>3</v>
      </c>
      <c r="H5" s="163">
        <f>COUNTIFS(' CADASTRO'!$S:$S,'acab equip'!$D$3,' CADASTRO'!$R:$R,'acab equip'!F5)</f>
        <v>0</v>
      </c>
      <c r="I5" s="163">
        <f>COUNTIFS(' CADASTRO'!$R$746:$R$893,'acab equip'!F5,' CADASTRO'!$S$746:$S$893,'acab equip'!$H$3)+COUNTIFS(' CADASTRO'!$R$746:$R$893,'acab equip'!F5,' CADASTRO'!$S$746:$S$893,'acab equip'!$G$3)</f>
        <v>1</v>
      </c>
      <c r="J5" s="162">
        <f>F5+1</f>
        <v>45742</v>
      </c>
      <c r="K5" s="163">
        <f>COUNTIFS(' CADASTRO'!$S:$S,'acab equip'!$C$3,' CADASTRO'!$R:$R,'acab equip'!J5)</f>
        <v>0</v>
      </c>
      <c r="L5" s="163">
        <f>COUNTIFS(' CADASTRO'!$S:$S,'acab equip'!$D$3,' CADASTRO'!$R:$R,'acab equip'!J5)</f>
        <v>0</v>
      </c>
      <c r="M5" s="163">
        <f>COUNTIFS(' CADASTRO'!$R$746:$R$893,'acab equip'!J5,' CADASTRO'!$S$746:$S$893,'acab equip'!$L$3)+COUNTIFS(' CADASTRO'!$R$746:$R$893,'acab equip'!J5,' CADASTRO'!$S$746:$S$893,'acab equip'!$K$3)</f>
        <v>0</v>
      </c>
      <c r="N5" s="162">
        <f>J5+1</f>
        <v>45743</v>
      </c>
      <c r="O5" s="163">
        <f>COUNTIFS(' CADASTRO'!$S:$S,'acab equip'!$C$3,' CADASTRO'!$R:$R,'acab equip'!N5)</f>
        <v>2</v>
      </c>
      <c r="P5" s="163">
        <f>COUNTIFS(' CADASTRO'!$S:$S,'acab equip'!$D$3,' CADASTRO'!$R:$R,'acab equip'!N5)</f>
        <v>0</v>
      </c>
      <c r="Q5" s="163">
        <f>COUNTIFS(' CADASTRO'!$R$746:$R$893,'acab equip'!N5,' CADASTRO'!$S$746:$S$893,'acab equip'!$P$3)+COUNTIFS(' CADASTRO'!$R$746:$R$893,'acab equip'!N5,' CADASTRO'!$S$746:$S$893,'acab equip'!$O$3)</f>
        <v>0</v>
      </c>
      <c r="R5" s="162">
        <f>N5+1</f>
        <v>45744</v>
      </c>
      <c r="S5" s="163">
        <f>COUNTIFS(' CADASTRO'!$S:$S,'acab equip'!$C$3,' CADASTRO'!$R:$R,'acab equip'!R5)</f>
        <v>1</v>
      </c>
      <c r="T5" s="163">
        <f>COUNTIFS(' CADASTRO'!$S:$S,'acab equip'!$D$3,' CADASTRO'!$R:$R,'acab equip'!R5)</f>
        <v>0</v>
      </c>
      <c r="U5" s="163">
        <f>COUNTIFS(' CADASTRO'!$R$746:$R$893,'acab equip'!R5,' CADASTRO'!$S$746:$S$893,'acab equip'!$T$3)+COUNTIFS(' CADASTRO'!$R$746:$R$893,'acab equip'!R5,' CADASTRO'!$S$746:$S$893,'acab equip'!$S$3)</f>
        <v>0</v>
      </c>
      <c r="V5" s="162">
        <f>R5+1</f>
        <v>45745</v>
      </c>
      <c r="W5" s="163">
        <f>COUNTIFS(' CADASTRO'!$S:$S,'acab equip'!$C$3,' CADASTRO'!$R:$R,'acab equip'!V5)</f>
        <v>2</v>
      </c>
      <c r="X5" s="163">
        <f>COUNTIFS(' CADASTRO'!$S:$S,'acab equip'!$D$3,' CADASTRO'!$R:$R,'acab equip'!V5)</f>
        <v>1</v>
      </c>
      <c r="Y5" s="163">
        <f>COUNTIFS(' CADASTRO'!$R$746:$R$893,'acab equip'!V5,' CADASTRO'!$S$746:$S$893,'acab equip'!$X$3)+COUNTIFS(' CADASTRO'!$R$746:$R$893,'acab equip'!V5,' CADASTRO'!$S$746:$S$893,'acab equip'!$W$3)</f>
        <v>0</v>
      </c>
      <c r="Z5" s="162">
        <f>V5+1</f>
        <v>45746</v>
      </c>
      <c r="AB5" s="165">
        <f t="shared" si="0"/>
        <v>10</v>
      </c>
      <c r="AC5" s="165">
        <f t="shared" ref="AC5:AC68" si="3">D5+H5+L5+P5+T5+X5-AD5</f>
        <v>0</v>
      </c>
      <c r="AD5" s="165">
        <f t="shared" ref="AD5:AD68" si="4">M5+Q5+U5+Y5+I5+E5</f>
        <v>1</v>
      </c>
      <c r="AE5" s="177">
        <f t="shared" ref="AE5:AE68" si="5">AB5+AC5+AD5</f>
        <v>11</v>
      </c>
      <c r="AF5" s="14" t="str">
        <f>TEXT(Z5,"mmm/aaaa")</f>
        <v>mar/2025</v>
      </c>
    </row>
    <row r="6" spans="1:46" x14ac:dyDescent="0.25">
      <c r="A6" s="14" t="s">
        <v>139</v>
      </c>
      <c r="B6" s="162">
        <f t="shared" ref="B6:B69" si="6">Z5+1</f>
        <v>45747</v>
      </c>
      <c r="C6" s="163">
        <f>COUNTIFS(' CADASTRO'!$S:$S,'acab equip'!$C$3,' CADASTRO'!$R:$R,'acab equip'!B6)</f>
        <v>2</v>
      </c>
      <c r="D6" s="163">
        <f>COUNTIFS(' CADASTRO'!$S:$S,'acab equip'!$D$3,' CADASTRO'!$R:$R,'acab equip'!B6)</f>
        <v>0</v>
      </c>
      <c r="E6" s="163">
        <f>COUNTIFS(' CADASTRO'!$R$746:$R$893,'acab equip'!B6,' CADASTRO'!$S$746:$S$893,'acab equip'!$D$3)+COUNTIFS(' CADASTRO'!$R$746:$R$893,'acab equip'!B6,' CADASTRO'!$S$746:$S$893,'acab equip'!$C$3)</f>
        <v>0</v>
      </c>
      <c r="F6" s="162">
        <f t="shared" ref="F6:F69" si="7">B6+1</f>
        <v>45748</v>
      </c>
      <c r="G6" s="163">
        <f>COUNTIFS(' CADASTRO'!$S:$S,'acab equip'!$C$3,' CADASTRO'!$R:$R,'acab equip'!F6)</f>
        <v>2</v>
      </c>
      <c r="H6" s="163">
        <f>COUNTIFS(' CADASTRO'!$S:$S,'acab equip'!$D$3,' CADASTRO'!$R:$R,'acab equip'!F6)</f>
        <v>2</v>
      </c>
      <c r="I6" s="163">
        <f>COUNTIFS(' CADASTRO'!$R$746:$R$893,'acab equip'!F6,' CADASTRO'!$S$746:$S$893,'acab equip'!$H$3)+COUNTIFS(' CADASTRO'!$R$746:$R$893,'acab equip'!F6,' CADASTRO'!$S$746:$S$893,'acab equip'!$G$3)</f>
        <v>0</v>
      </c>
      <c r="J6" s="162">
        <f t="shared" ref="J6:J69" si="8">F6+1</f>
        <v>45749</v>
      </c>
      <c r="K6" s="163">
        <f>COUNTIFS(' CADASTRO'!$S:$S,'acab equip'!$C$3,' CADASTRO'!$R:$R,'acab equip'!J6)</f>
        <v>0</v>
      </c>
      <c r="L6" s="163">
        <f>COUNTIFS(' CADASTRO'!$S:$S,'acab equip'!$D$3,' CADASTRO'!$R:$R,'acab equip'!J6)</f>
        <v>3</v>
      </c>
      <c r="M6" s="163">
        <f>COUNTIFS(' CADASTRO'!$R$746:$R$893,'acab equip'!J6,' CADASTRO'!$S$746:$S$893,'acab equip'!$L$3)+COUNTIFS(' CADASTRO'!$R$746:$R$893,'acab equip'!J6,' CADASTRO'!$S$746:$S$893,'acab equip'!$K$3)</f>
        <v>1</v>
      </c>
      <c r="N6" s="162">
        <f t="shared" ref="N6:N69" si="9">J6+1</f>
        <v>45750</v>
      </c>
      <c r="O6" s="163">
        <f>COUNTIFS(' CADASTRO'!$S:$S,'acab equip'!$C$3,' CADASTRO'!$R:$R,'acab equip'!N6)</f>
        <v>2</v>
      </c>
      <c r="P6" s="163">
        <f>COUNTIFS(' CADASTRO'!$S:$S,'acab equip'!$D$3,' CADASTRO'!$R:$R,'acab equip'!N6)</f>
        <v>0</v>
      </c>
      <c r="Q6" s="163">
        <f>COUNTIFS(' CADASTRO'!$R$746:$R$893,'acab equip'!N6,' CADASTRO'!$S$746:$S$893,'acab equip'!$P$3)+COUNTIFS(' CADASTRO'!$R$746:$R$893,'acab equip'!N6,' CADASTRO'!$S$746:$S$893,'acab equip'!$O$3)</f>
        <v>0</v>
      </c>
      <c r="R6" s="162">
        <f t="shared" ref="R6:R69" si="10">N6+1</f>
        <v>45751</v>
      </c>
      <c r="S6" s="163">
        <f>COUNTIFS(' CADASTRO'!$S:$S,'acab equip'!$C$3,' CADASTRO'!$R:$R,'acab equip'!R6)</f>
        <v>0</v>
      </c>
      <c r="T6" s="163">
        <f>COUNTIFS(' CADASTRO'!$S:$S,'acab equip'!$D$3,' CADASTRO'!$R:$R,'acab equip'!R6)</f>
        <v>2</v>
      </c>
      <c r="U6" s="163">
        <f>COUNTIFS(' CADASTRO'!$R$746:$R$893,'acab equip'!R6,' CADASTRO'!$S$746:$S$893,'acab equip'!$T$3)+COUNTIFS(' CADASTRO'!$R$746:$R$893,'acab equip'!R6,' CADASTRO'!$S$746:$S$893,'acab equip'!$S$3)</f>
        <v>0</v>
      </c>
      <c r="V6" s="162">
        <f t="shared" ref="V6:V69" si="11">R6+1</f>
        <v>45752</v>
      </c>
      <c r="W6" s="163">
        <f>COUNTIFS(' CADASTRO'!$S:$S,'acab equip'!$C$3,' CADASTRO'!$R:$R,'acab equip'!V6)</f>
        <v>3</v>
      </c>
      <c r="X6" s="163">
        <f>COUNTIFS(' CADASTRO'!$S:$S,'acab equip'!$D$3,' CADASTRO'!$R:$R,'acab equip'!V6)</f>
        <v>3</v>
      </c>
      <c r="Y6" s="163">
        <f>COUNTIFS(' CADASTRO'!$R$746:$R$893,'acab equip'!V6,' CADASTRO'!$S$746:$S$893,'acab equip'!$X$3)+COUNTIFS(' CADASTRO'!$R$746:$R$893,'acab equip'!V6,' CADASTRO'!$S$746:$S$893,'acab equip'!$W$3)</f>
        <v>2</v>
      </c>
      <c r="Z6" s="162">
        <f t="shared" ref="Z6:Z69" si="12">V6+1</f>
        <v>45753</v>
      </c>
      <c r="AB6" s="165">
        <f t="shared" si="0"/>
        <v>9</v>
      </c>
      <c r="AC6" s="165">
        <f t="shared" si="3"/>
        <v>7</v>
      </c>
      <c r="AD6" s="165">
        <f t="shared" si="4"/>
        <v>3</v>
      </c>
      <c r="AE6" s="177">
        <f t="shared" si="5"/>
        <v>19</v>
      </c>
      <c r="AF6" s="14" t="str">
        <f t="shared" ref="AF6:AF47" si="13">TEXT(Z6,"mmm/aaaa")</f>
        <v>abr/2025</v>
      </c>
      <c r="AG6" s="503">
        <v>45717</v>
      </c>
      <c r="AH6" s="503">
        <v>45748</v>
      </c>
      <c r="AI6" s="503">
        <v>45778</v>
      </c>
      <c r="AJ6" s="503">
        <v>45809</v>
      </c>
      <c r="AK6" s="503">
        <v>45839</v>
      </c>
      <c r="AL6" s="503">
        <v>45870</v>
      </c>
      <c r="AM6" s="503">
        <v>45901</v>
      </c>
      <c r="AN6" s="503">
        <v>45931</v>
      </c>
      <c r="AO6" s="503">
        <v>45962</v>
      </c>
      <c r="AP6" s="503">
        <v>45992</v>
      </c>
      <c r="AQ6" s="503">
        <v>46023</v>
      </c>
      <c r="AR6" s="503">
        <v>46054</v>
      </c>
      <c r="AS6" s="503">
        <v>46082</v>
      </c>
      <c r="AT6" s="503">
        <v>46113</v>
      </c>
    </row>
    <row r="7" spans="1:46" x14ac:dyDescent="0.25">
      <c r="A7" s="14" t="s">
        <v>140</v>
      </c>
      <c r="B7" s="162">
        <f t="shared" si="6"/>
        <v>45754</v>
      </c>
      <c r="C7" s="163">
        <f>COUNTIFS(' CADASTRO'!$S:$S,'acab equip'!$C$3,' CADASTRO'!$R:$R,'acab equip'!B7)</f>
        <v>0</v>
      </c>
      <c r="D7" s="163">
        <f>COUNTIFS(' CADASTRO'!$S:$S,'acab equip'!$D$3,' CADASTRO'!$R:$R,'acab equip'!B7)</f>
        <v>2</v>
      </c>
      <c r="E7" s="163">
        <f>COUNTIFS(' CADASTRO'!$R$746:$R$893,'acab equip'!B7,' CADASTRO'!$S$746:$S$893,'acab equip'!$D$3)+COUNTIFS(' CADASTRO'!$R$746:$R$893,'acab equip'!B7,' CADASTRO'!$S$746:$S$893,'acab equip'!$C$3)</f>
        <v>0</v>
      </c>
      <c r="F7" s="162">
        <f t="shared" si="7"/>
        <v>45755</v>
      </c>
      <c r="G7" s="163">
        <f>COUNTIFS(' CADASTRO'!$S:$S,'acab equip'!$C$3,' CADASTRO'!$R:$R,'acab equip'!F7)</f>
        <v>0</v>
      </c>
      <c r="H7" s="163">
        <f>COUNTIFS(' CADASTRO'!$S:$S,'acab equip'!$D$3,' CADASTRO'!$R:$R,'acab equip'!F7)</f>
        <v>0</v>
      </c>
      <c r="I7" s="163">
        <f>COUNTIFS(' CADASTRO'!$R$746:$R$893,'acab equip'!F7,' CADASTRO'!$S$746:$S$893,'acab equip'!$H$3)+COUNTIFS(' CADASTRO'!$R$746:$R$893,'acab equip'!F7,' CADASTRO'!$S$746:$S$893,'acab equip'!$G$3)</f>
        <v>0</v>
      </c>
      <c r="J7" s="162">
        <f t="shared" si="8"/>
        <v>45756</v>
      </c>
      <c r="K7" s="163">
        <f>COUNTIFS(' CADASTRO'!$S:$S,'acab equip'!$C$3,' CADASTRO'!$R:$R,'acab equip'!J7)</f>
        <v>3</v>
      </c>
      <c r="L7" s="163">
        <f>COUNTIFS(' CADASTRO'!$S:$S,'acab equip'!$D$3,' CADASTRO'!$R:$R,'acab equip'!J7)</f>
        <v>1</v>
      </c>
      <c r="M7" s="163">
        <f>COUNTIFS(' CADASTRO'!$R$746:$R$893,'acab equip'!J7,' CADASTRO'!$S$746:$S$893,'acab equip'!$L$3)+COUNTIFS(' CADASTRO'!$R$746:$R$893,'acab equip'!J7,' CADASTRO'!$S$746:$S$893,'acab equip'!$K$3)</f>
        <v>1</v>
      </c>
      <c r="N7" s="162">
        <f t="shared" si="9"/>
        <v>45757</v>
      </c>
      <c r="O7" s="163">
        <f>COUNTIFS(' CADASTRO'!$S:$S,'acab equip'!$C$3,' CADASTRO'!$R:$R,'acab equip'!N7)</f>
        <v>0</v>
      </c>
      <c r="P7" s="163">
        <f>COUNTIFS(' CADASTRO'!$S:$S,'acab equip'!$D$3,' CADASTRO'!$R:$R,'acab equip'!N7)</f>
        <v>0</v>
      </c>
      <c r="Q7" s="163">
        <f>COUNTIFS(' CADASTRO'!$R$746:$R$893,'acab equip'!N7,' CADASTRO'!$S$746:$S$893,'acab equip'!$P$3)+COUNTIFS(' CADASTRO'!$R$746:$R$893,'acab equip'!N7,' CADASTRO'!$S$746:$S$893,'acab equip'!$O$3)</f>
        <v>0</v>
      </c>
      <c r="R7" s="162">
        <f t="shared" si="10"/>
        <v>45758</v>
      </c>
      <c r="S7" s="163">
        <f>COUNTIFS(' CADASTRO'!$S:$S,'acab equip'!$C$3,' CADASTRO'!$R:$R,'acab equip'!R7)</f>
        <v>3</v>
      </c>
      <c r="T7" s="163">
        <f>COUNTIFS(' CADASTRO'!$S:$S,'acab equip'!$D$3,' CADASTRO'!$R:$R,'acab equip'!R7)</f>
        <v>3</v>
      </c>
      <c r="U7" s="163">
        <f>COUNTIFS(' CADASTRO'!$R$746:$R$893,'acab equip'!R7,' CADASTRO'!$S$746:$S$893,'acab equip'!$T$3)+COUNTIFS(' CADASTRO'!$R$746:$R$893,'acab equip'!R7,' CADASTRO'!$S$746:$S$893,'acab equip'!$S$3)</f>
        <v>3</v>
      </c>
      <c r="V7" s="162">
        <f t="shared" si="11"/>
        <v>45759</v>
      </c>
      <c r="W7" s="163">
        <f>COUNTIFS(' CADASTRO'!$S:$S,'acab equip'!$C$3,' CADASTRO'!$R:$R,'acab equip'!V7)</f>
        <v>0</v>
      </c>
      <c r="X7" s="163">
        <f>COUNTIFS(' CADASTRO'!$S:$S,'acab equip'!$D$3,' CADASTRO'!$R:$R,'acab equip'!V7)</f>
        <v>0</v>
      </c>
      <c r="Y7" s="163">
        <f>COUNTIFS(' CADASTRO'!$R$746:$R$893,'acab equip'!V7,' CADASTRO'!$S$746:$S$893,'acab equip'!$X$3)+COUNTIFS(' CADASTRO'!$R$746:$R$893,'acab equip'!V7,' CADASTRO'!$S$746:$S$893,'acab equip'!$W$3)</f>
        <v>0</v>
      </c>
      <c r="Z7" s="162">
        <f t="shared" si="12"/>
        <v>45760</v>
      </c>
      <c r="AB7" s="165">
        <f t="shared" si="0"/>
        <v>6</v>
      </c>
      <c r="AC7" s="165">
        <f t="shared" si="3"/>
        <v>2</v>
      </c>
      <c r="AD7" s="165">
        <f t="shared" si="4"/>
        <v>4</v>
      </c>
      <c r="AE7" s="177">
        <f t="shared" si="5"/>
        <v>12</v>
      </c>
      <c r="AF7" s="14" t="str">
        <f t="shared" si="13"/>
        <v>abr/2025</v>
      </c>
      <c r="AG7" s="60">
        <f>COUNTIF(' CADASTRO'!$AA$2:$AA$3000,'acab equip'!AG6)</f>
        <v>15</v>
      </c>
      <c r="AH7" s="60">
        <f>COUNTIF(' CADASTRO'!$AA$2:$AA$3000,'acab equip'!AH6)</f>
        <v>58</v>
      </c>
      <c r="AI7" s="60">
        <f>COUNTIF(' CADASTRO'!$AA$2:$AA$3000,'acab equip'!AI6)</f>
        <v>62</v>
      </c>
      <c r="AJ7" s="60">
        <f>COUNTIF(' CADASTRO'!$AA$2:$AA$3000,'acab equip'!AJ6)</f>
        <v>63</v>
      </c>
      <c r="AK7" s="60">
        <f>COUNTIF(' CADASTRO'!$AA$2:$AA$3000,'acab equip'!AK6)</f>
        <v>79</v>
      </c>
      <c r="AL7" s="60">
        <f>COUNTIF(' CADASTRO'!$AA$2:$AA$3000,'acab equip'!AL6)</f>
        <v>125</v>
      </c>
      <c r="AM7" s="60">
        <f>COUNTIF(' CADASTRO'!$AA$2:$AA$3000,'acab equip'!AM6)</f>
        <v>166</v>
      </c>
      <c r="AN7" s="60">
        <f>COUNTIF(' CADASTRO'!$AA$2:$AA$3000,'acab equip'!AN6)</f>
        <v>179</v>
      </c>
      <c r="AO7" s="60">
        <f>COUNTIF(' CADASTRO'!$AA$2:$AA$3000,'acab equip'!AO6)</f>
        <v>128</v>
      </c>
      <c r="AP7" s="60">
        <f>COUNTIF(' CADASTRO'!$AA$2:$AA$3000,'acab equip'!AP6)</f>
        <v>57</v>
      </c>
      <c r="AQ7" s="60">
        <f>COUNTIF(' CADASTRO'!$AA$2:$AA$3000,'acab equip'!AQ6)</f>
        <v>0</v>
      </c>
      <c r="AR7" s="60">
        <f>COUNTIF(' CADASTRO'!$AA$2:$AA$3000,'acab equip'!AR6)</f>
        <v>0</v>
      </c>
      <c r="AS7" s="60">
        <f>COUNTIF(' CADASTRO'!$AA$2:$AA$3000,'acab equip'!AS6)</f>
        <v>0</v>
      </c>
      <c r="AT7" s="60">
        <f>COUNTIF(' CADASTRO'!$AA$2:$AA$3000,'acab equip'!AT6)</f>
        <v>0</v>
      </c>
    </row>
    <row r="8" spans="1:46" x14ac:dyDescent="0.25">
      <c r="A8" s="14" t="s">
        <v>141</v>
      </c>
      <c r="B8" s="162">
        <f t="shared" si="6"/>
        <v>45761</v>
      </c>
      <c r="C8" s="163">
        <f>COUNTIFS(' CADASTRO'!$S:$S,'acab equip'!$C$3,' CADASTRO'!$R:$R,'acab equip'!B8)</f>
        <v>0</v>
      </c>
      <c r="D8" s="163">
        <f>COUNTIFS(' CADASTRO'!$S:$S,'acab equip'!$D$3,' CADASTRO'!$R:$R,'acab equip'!B8)</f>
        <v>0</v>
      </c>
      <c r="E8" s="163">
        <f>COUNTIFS(' CADASTRO'!$R$746:$R$893,'acab equip'!B8,' CADASTRO'!$S$746:$S$893,'acab equip'!$D$3)+COUNTIFS(' CADASTRO'!$R$746:$R$893,'acab equip'!B8,' CADASTRO'!$S$746:$S$893,'acab equip'!$C$3)</f>
        <v>0</v>
      </c>
      <c r="F8" s="162">
        <f t="shared" si="7"/>
        <v>45762</v>
      </c>
      <c r="G8" s="163">
        <f>COUNTIFS(' CADASTRO'!$S:$S,'acab equip'!$C$3,' CADASTRO'!$R:$R,'acab equip'!F8)</f>
        <v>0</v>
      </c>
      <c r="H8" s="163">
        <f>COUNTIFS(' CADASTRO'!$S:$S,'acab equip'!$D$3,' CADASTRO'!$R:$R,'acab equip'!F8)</f>
        <v>4</v>
      </c>
      <c r="I8" s="163">
        <f>COUNTIFS(' CADASTRO'!$R$746:$R$893,'acab equip'!F8,' CADASTRO'!$S$746:$S$893,'acab equip'!$H$3)+COUNTIFS(' CADASTRO'!$R$746:$R$893,'acab equip'!F8,' CADASTRO'!$S$746:$S$893,'acab equip'!$G$3)</f>
        <v>2</v>
      </c>
      <c r="J8" s="162">
        <f t="shared" si="8"/>
        <v>45763</v>
      </c>
      <c r="K8" s="163">
        <f>COUNTIFS(' CADASTRO'!$S:$S,'acab equip'!$C$3,' CADASTRO'!$R:$R,'acab equip'!J8)</f>
        <v>0</v>
      </c>
      <c r="L8" s="163">
        <f>COUNTIFS(' CADASTRO'!$S:$S,'acab equip'!$D$3,' CADASTRO'!$R:$R,'acab equip'!J8)</f>
        <v>0</v>
      </c>
      <c r="M8" s="163">
        <f>COUNTIFS(' CADASTRO'!$R$746:$R$893,'acab equip'!J8,' CADASTRO'!$S$746:$S$893,'acab equip'!$L$3)+COUNTIFS(' CADASTRO'!$R$746:$R$893,'acab equip'!J8,' CADASTRO'!$S$746:$S$893,'acab equip'!$K$3)</f>
        <v>0</v>
      </c>
      <c r="N8" s="162">
        <f t="shared" si="9"/>
        <v>45764</v>
      </c>
      <c r="O8" s="163">
        <f>COUNTIFS(' CADASTRO'!$S:$S,'acab equip'!$C$3,' CADASTRO'!$R:$R,'acab equip'!N8)</f>
        <v>4</v>
      </c>
      <c r="P8" s="163">
        <f>COUNTIFS(' CADASTRO'!$S:$S,'acab equip'!$D$3,' CADASTRO'!$R:$R,'acab equip'!N8)</f>
        <v>1</v>
      </c>
      <c r="Q8" s="163">
        <f>COUNTIFS(' CADASTRO'!$R$746:$R$893,'acab equip'!N8,' CADASTRO'!$S$746:$S$893,'acab equip'!$P$3)+COUNTIFS(' CADASTRO'!$R$746:$R$893,'acab equip'!N8,' CADASTRO'!$S$746:$S$893,'acab equip'!$O$3)</f>
        <v>1</v>
      </c>
      <c r="R8" s="162">
        <f t="shared" si="10"/>
        <v>45765</v>
      </c>
      <c r="S8" s="163">
        <f>COUNTIFS(' CADASTRO'!$S:$S,'acab equip'!$C$3,' CADASTRO'!$R:$R,'acab equip'!R8)</f>
        <v>0</v>
      </c>
      <c r="T8" s="163">
        <f>COUNTIFS(' CADASTRO'!$S:$S,'acab equip'!$D$3,' CADASTRO'!$R:$R,'acab equip'!R8)</f>
        <v>0</v>
      </c>
      <c r="U8" s="163">
        <f>COUNTIFS(' CADASTRO'!$R$746:$R$893,'acab equip'!R8,' CADASTRO'!$S$746:$S$893,'acab equip'!$T$3)+COUNTIFS(' CADASTRO'!$R$746:$R$893,'acab equip'!R8,' CADASTRO'!$S$746:$S$893,'acab equip'!$S$3)</f>
        <v>0</v>
      </c>
      <c r="V8" s="162">
        <f t="shared" si="11"/>
        <v>45766</v>
      </c>
      <c r="W8" s="163">
        <f>COUNTIFS(' CADASTRO'!$S:$S,'acab equip'!$C$3,' CADASTRO'!$R:$R,'acab equip'!V8)</f>
        <v>0</v>
      </c>
      <c r="X8" s="163">
        <f>COUNTIFS(' CADASTRO'!$S:$S,'acab equip'!$D$3,' CADASTRO'!$R:$R,'acab equip'!V8)</f>
        <v>0</v>
      </c>
      <c r="Y8" s="163">
        <f>COUNTIFS(' CADASTRO'!$R$746:$R$893,'acab equip'!V8,' CADASTRO'!$S$746:$S$893,'acab equip'!$X$3)+COUNTIFS(' CADASTRO'!$R$746:$R$893,'acab equip'!V8,' CADASTRO'!$S$746:$S$893,'acab equip'!$W$3)</f>
        <v>0</v>
      </c>
      <c r="Z8" s="162">
        <f t="shared" si="12"/>
        <v>45767</v>
      </c>
      <c r="AB8" s="165">
        <f t="shared" si="0"/>
        <v>4</v>
      </c>
      <c r="AC8" s="165">
        <f t="shared" si="3"/>
        <v>2</v>
      </c>
      <c r="AD8" s="165">
        <f t="shared" si="4"/>
        <v>3</v>
      </c>
      <c r="AE8" s="177">
        <f t="shared" si="5"/>
        <v>9</v>
      </c>
      <c r="AF8" s="14" t="str">
        <f t="shared" si="13"/>
        <v>abr/2025</v>
      </c>
      <c r="AG8" s="506" t="s">
        <v>1227</v>
      </c>
      <c r="AH8" s="506"/>
      <c r="AI8" s="506"/>
      <c r="AJ8" s="506"/>
      <c r="AK8" s="506"/>
      <c r="AL8" s="506"/>
      <c r="AM8" s="506"/>
      <c r="AN8" s="506"/>
      <c r="AO8" s="506"/>
      <c r="AP8" s="506"/>
      <c r="AQ8" s="506"/>
      <c r="AR8" s="506"/>
      <c r="AS8" s="506"/>
      <c r="AT8" s="506"/>
    </row>
    <row r="9" spans="1:46" x14ac:dyDescent="0.25">
      <c r="A9" s="14" t="s">
        <v>142</v>
      </c>
      <c r="B9" s="162">
        <f t="shared" si="6"/>
        <v>45768</v>
      </c>
      <c r="C9" s="163">
        <f>COUNTIFS(' CADASTRO'!$S:$S,'acab equip'!$C$3,' CADASTRO'!$R:$R,'acab equip'!B9)</f>
        <v>0</v>
      </c>
      <c r="D9" s="163">
        <f>COUNTIFS(' CADASTRO'!$S:$S,'acab equip'!$D$3,' CADASTRO'!$R:$R,'acab equip'!B9)</f>
        <v>0</v>
      </c>
      <c r="E9" s="163">
        <f>COUNTIFS(' CADASTRO'!$R$746:$R$893,'acab equip'!B9,' CADASTRO'!$S$746:$S$893,'acab equip'!$D$3)+COUNTIFS(' CADASTRO'!$R$746:$R$893,'acab equip'!B9,' CADASTRO'!$S$746:$S$893,'acab equip'!$C$3)</f>
        <v>0</v>
      </c>
      <c r="F9" s="162">
        <f t="shared" si="7"/>
        <v>45769</v>
      </c>
      <c r="G9" s="163">
        <f>COUNTIFS(' CADASTRO'!$S:$S,'acab equip'!$C$3,' CADASTRO'!$R:$R,'acab equip'!F9)</f>
        <v>3</v>
      </c>
      <c r="H9" s="163">
        <f>COUNTIFS(' CADASTRO'!$S:$S,'acab equip'!$D$3,' CADASTRO'!$R:$R,'acab equip'!F9)</f>
        <v>1</v>
      </c>
      <c r="I9" s="163">
        <f>COUNTIFS(' CADASTRO'!$R$746:$R$893,'acab equip'!F9,' CADASTRO'!$S$746:$S$893,'acab equip'!$H$3)+COUNTIFS(' CADASTRO'!$R$746:$R$893,'acab equip'!F9,' CADASTRO'!$S$746:$S$893,'acab equip'!$G$3)</f>
        <v>0</v>
      </c>
      <c r="J9" s="162">
        <f t="shared" si="8"/>
        <v>45770</v>
      </c>
      <c r="K9" s="163">
        <f>COUNTIFS(' CADASTRO'!$S:$S,'acab equip'!$C$3,' CADASTRO'!$R:$R,'acab equip'!J9)</f>
        <v>0</v>
      </c>
      <c r="L9" s="163">
        <f>COUNTIFS(' CADASTRO'!$S:$S,'acab equip'!$D$3,' CADASTRO'!$R:$R,'acab equip'!J9)</f>
        <v>0</v>
      </c>
      <c r="M9" s="163">
        <f>COUNTIFS(' CADASTRO'!$R$746:$R$893,'acab equip'!J9,' CADASTRO'!$S$746:$S$893,'acab equip'!$L$3)+COUNTIFS(' CADASTRO'!$R$746:$R$893,'acab equip'!J9,' CADASTRO'!$S$746:$S$893,'acab equip'!$K$3)</f>
        <v>0</v>
      </c>
      <c r="N9" s="162">
        <f t="shared" si="9"/>
        <v>45771</v>
      </c>
      <c r="O9" s="163">
        <f>COUNTIFS(' CADASTRO'!$S:$S,'acab equip'!$C$3,' CADASTRO'!$R:$R,'acab equip'!N9)</f>
        <v>0</v>
      </c>
      <c r="P9" s="163">
        <f>COUNTIFS(' CADASTRO'!$S:$S,'acab equip'!$D$3,' CADASTRO'!$R:$R,'acab equip'!N9)</f>
        <v>3</v>
      </c>
      <c r="Q9" s="163">
        <f>COUNTIFS(' CADASTRO'!$R$746:$R$893,'acab equip'!N9,' CADASTRO'!$S$746:$S$893,'acab equip'!$P$3)+COUNTIFS(' CADASTRO'!$R$746:$R$893,'acab equip'!N9,' CADASTRO'!$S$746:$S$893,'acab equip'!$O$3)</f>
        <v>1</v>
      </c>
      <c r="R9" s="162">
        <f t="shared" si="10"/>
        <v>45772</v>
      </c>
      <c r="S9" s="163">
        <f>COUNTIFS(' CADASTRO'!$S:$S,'acab equip'!$C$3,' CADASTRO'!$R:$R,'acab equip'!R9)</f>
        <v>0</v>
      </c>
      <c r="T9" s="163">
        <f>COUNTIFS(' CADASTRO'!$S:$S,'acab equip'!$D$3,' CADASTRO'!$R:$R,'acab equip'!R9)</f>
        <v>0</v>
      </c>
      <c r="U9" s="163">
        <f>COUNTIFS(' CADASTRO'!$R$746:$R$893,'acab equip'!R9,' CADASTRO'!$S$746:$S$893,'acab equip'!$T$3)+COUNTIFS(' CADASTRO'!$R$746:$R$893,'acab equip'!R9,' CADASTRO'!$S$746:$S$893,'acab equip'!$S$3)</f>
        <v>0</v>
      </c>
      <c r="V9" s="162">
        <f t="shared" si="11"/>
        <v>45773</v>
      </c>
      <c r="W9" s="163">
        <f>COUNTIFS(' CADASTRO'!$S:$S,'acab equip'!$C$3,' CADASTRO'!$R:$R,'acab equip'!V9)</f>
        <v>3</v>
      </c>
      <c r="X9" s="163">
        <f>COUNTIFS(' CADASTRO'!$S:$S,'acab equip'!$D$3,' CADASTRO'!$R:$R,'acab equip'!V9)</f>
        <v>3</v>
      </c>
      <c r="Y9" s="163">
        <f>COUNTIFS(' CADASTRO'!$R$746:$R$893,'acab equip'!V9,' CADASTRO'!$S$746:$S$893,'acab equip'!$X$3)+COUNTIFS(' CADASTRO'!$R$746:$R$893,'acab equip'!V9,' CADASTRO'!$S$746:$S$893,'acab equip'!$W$3)</f>
        <v>2</v>
      </c>
      <c r="Z9" s="162">
        <f t="shared" si="12"/>
        <v>45774</v>
      </c>
      <c r="AB9" s="165">
        <f t="shared" si="0"/>
        <v>6</v>
      </c>
      <c r="AC9" s="165">
        <f t="shared" si="3"/>
        <v>4</v>
      </c>
      <c r="AD9" s="165">
        <f t="shared" si="4"/>
        <v>3</v>
      </c>
      <c r="AE9" s="177">
        <f t="shared" si="5"/>
        <v>13</v>
      </c>
      <c r="AF9" s="14" t="str">
        <f t="shared" si="13"/>
        <v>abr/2025</v>
      </c>
      <c r="AG9" s="507"/>
      <c r="AH9" s="507"/>
      <c r="AI9" s="507"/>
      <c r="AJ9" s="507"/>
      <c r="AK9" s="507"/>
      <c r="AL9" s="507"/>
      <c r="AM9" s="507"/>
      <c r="AN9" s="507"/>
      <c r="AO9" s="507"/>
      <c r="AP9" s="507"/>
      <c r="AQ9" s="507"/>
      <c r="AR9" s="507"/>
      <c r="AS9" s="507"/>
      <c r="AT9" s="507"/>
    </row>
    <row r="10" spans="1:46" x14ac:dyDescent="0.25">
      <c r="A10" s="14" t="s">
        <v>143</v>
      </c>
      <c r="B10" s="162">
        <f t="shared" si="6"/>
        <v>45775</v>
      </c>
      <c r="C10" s="163">
        <f>COUNTIFS(' CADASTRO'!$S:$S,'acab equip'!$C$3,' CADASTRO'!$R:$R,'acab equip'!B10)</f>
        <v>1</v>
      </c>
      <c r="D10" s="163">
        <f>COUNTIFS(' CADASTRO'!$S:$S,'acab equip'!$D$3,' CADASTRO'!$R:$R,'acab equip'!B10)</f>
        <v>0</v>
      </c>
      <c r="E10" s="163">
        <f>COUNTIFS(' CADASTRO'!$R$746:$R$893,'acab equip'!B10,' CADASTRO'!$S$746:$S$893,'acab equip'!$D$3)+COUNTIFS(' CADASTRO'!$R$746:$R$893,'acab equip'!B10,' CADASTRO'!$S$746:$S$893,'acab equip'!$C$3)</f>
        <v>0</v>
      </c>
      <c r="F10" s="162">
        <f t="shared" si="7"/>
        <v>45776</v>
      </c>
      <c r="G10" s="163">
        <f>COUNTIFS(' CADASTRO'!$S:$S,'acab equip'!$C$3,' CADASTRO'!$R:$R,'acab equip'!F10)</f>
        <v>2</v>
      </c>
      <c r="H10" s="163">
        <f>COUNTIFS(' CADASTRO'!$S:$S,'acab equip'!$D$3,' CADASTRO'!$R:$R,'acab equip'!F10)</f>
        <v>0</v>
      </c>
      <c r="I10" s="163">
        <f>COUNTIFS(' CADASTRO'!$R$746:$R$893,'acab equip'!F10,' CADASTRO'!$S$746:$S$893,'acab equip'!$H$3)+COUNTIFS(' CADASTRO'!$R$746:$R$893,'acab equip'!F10,' CADASTRO'!$S$746:$S$893,'acab equip'!$G$3)</f>
        <v>0</v>
      </c>
      <c r="J10" s="162">
        <f t="shared" si="8"/>
        <v>45777</v>
      </c>
      <c r="K10" s="163">
        <f>COUNTIFS(' CADASTRO'!$S:$S,'acab equip'!$C$3,' CADASTRO'!$R:$R,'acab equip'!J10)</f>
        <v>2</v>
      </c>
      <c r="L10" s="163">
        <f>COUNTIFS(' CADASTRO'!$S:$S,'acab equip'!$D$3,' CADASTRO'!$R:$R,'acab equip'!J10)</f>
        <v>2</v>
      </c>
      <c r="M10" s="163">
        <f>COUNTIFS(' CADASTRO'!$R$746:$R$893,'acab equip'!J10,' CADASTRO'!$S$746:$S$893,'acab equip'!$L$3)+COUNTIFS(' CADASTRO'!$R$746:$R$893,'acab equip'!J10,' CADASTRO'!$S$746:$S$893,'acab equip'!$K$3)</f>
        <v>1</v>
      </c>
      <c r="N10" s="162">
        <f t="shared" si="9"/>
        <v>45778</v>
      </c>
      <c r="O10" s="163">
        <f>COUNTIFS(' CADASTRO'!$S:$S,'acab equip'!$C$3,' CADASTRO'!$R:$R,'acab equip'!N10)</f>
        <v>0</v>
      </c>
      <c r="P10" s="163">
        <f>COUNTIFS(' CADASTRO'!$S:$S,'acab equip'!$D$3,' CADASTRO'!$R:$R,'acab equip'!N10)</f>
        <v>0</v>
      </c>
      <c r="Q10" s="163">
        <f>COUNTIFS(' CADASTRO'!$R$746:$R$893,'acab equip'!N10,' CADASTRO'!$S$746:$S$893,'acab equip'!$P$3)+COUNTIFS(' CADASTRO'!$R$746:$R$893,'acab equip'!N10,' CADASTRO'!$S$746:$S$893,'acab equip'!$O$3)</f>
        <v>0</v>
      </c>
      <c r="R10" s="162">
        <f t="shared" si="10"/>
        <v>45779</v>
      </c>
      <c r="S10" s="163">
        <f>COUNTIFS(' CADASTRO'!$S:$S,'acab equip'!$C$3,' CADASTRO'!$R:$R,'acab equip'!R10)</f>
        <v>2</v>
      </c>
      <c r="T10" s="163">
        <f>COUNTIFS(' CADASTRO'!$S:$S,'acab equip'!$D$3,' CADASTRO'!$R:$R,'acab equip'!R10)</f>
        <v>2</v>
      </c>
      <c r="U10" s="163">
        <f>COUNTIFS(' CADASTRO'!$R$746:$R$893,'acab equip'!R10,' CADASTRO'!$S$746:$S$893,'acab equip'!$T$3)+COUNTIFS(' CADASTRO'!$R$746:$R$893,'acab equip'!R10,' CADASTRO'!$S$746:$S$893,'acab equip'!$S$3)</f>
        <v>0</v>
      </c>
      <c r="V10" s="162">
        <f t="shared" si="11"/>
        <v>45780</v>
      </c>
      <c r="W10" s="163">
        <f>COUNTIFS(' CADASTRO'!$S:$S,'acab equip'!$C$3,' CADASTRO'!$R:$R,'acab equip'!V10)</f>
        <v>0</v>
      </c>
      <c r="X10" s="163">
        <f>COUNTIFS(' CADASTRO'!$S:$S,'acab equip'!$D$3,' CADASTRO'!$R:$R,'acab equip'!V10)</f>
        <v>0</v>
      </c>
      <c r="Y10" s="163">
        <f>COUNTIFS(' CADASTRO'!$R$746:$R$893,'acab equip'!V10,' CADASTRO'!$S$746:$S$893,'acab equip'!$X$3)+COUNTIFS(' CADASTRO'!$R$746:$R$893,'acab equip'!V10,' CADASTRO'!$S$746:$S$893,'acab equip'!$W$3)</f>
        <v>0</v>
      </c>
      <c r="Z10" s="162">
        <f t="shared" si="12"/>
        <v>45781</v>
      </c>
      <c r="AB10" s="165">
        <f t="shared" si="0"/>
        <v>7</v>
      </c>
      <c r="AC10" s="165">
        <f t="shared" si="3"/>
        <v>3</v>
      </c>
      <c r="AD10" s="165">
        <f t="shared" si="4"/>
        <v>1</v>
      </c>
      <c r="AE10" s="177">
        <f t="shared" si="5"/>
        <v>11</v>
      </c>
      <c r="AF10" s="14" t="str">
        <f t="shared" si="13"/>
        <v>mai/2025</v>
      </c>
    </row>
    <row r="11" spans="1:46" x14ac:dyDescent="0.25">
      <c r="A11" s="14" t="s">
        <v>144</v>
      </c>
      <c r="B11" s="162">
        <f t="shared" si="6"/>
        <v>45782</v>
      </c>
      <c r="C11" s="163">
        <f>COUNTIFS(' CADASTRO'!$S:$S,'acab equip'!$C$3,' CADASTRO'!$R:$R,'acab equip'!B11)</f>
        <v>0</v>
      </c>
      <c r="D11" s="163">
        <f>COUNTIFS(' CADASTRO'!$S:$S,'acab equip'!$D$3,' CADASTRO'!$R:$R,'acab equip'!B11)</f>
        <v>3</v>
      </c>
      <c r="E11" s="163">
        <f>COUNTIFS(' CADASTRO'!$R$746:$R$893,'acab equip'!B11,' CADASTRO'!$S$746:$S$893,'acab equip'!$D$3)+COUNTIFS(' CADASTRO'!$R$746:$R$893,'acab equip'!B11,' CADASTRO'!$S$746:$S$893,'acab equip'!$C$3)</f>
        <v>1</v>
      </c>
      <c r="F11" s="162">
        <f t="shared" si="7"/>
        <v>45783</v>
      </c>
      <c r="G11" s="163">
        <f>COUNTIFS(' CADASTRO'!$S:$S,'acab equip'!$C$3,' CADASTRO'!$R:$R,'acab equip'!F11)</f>
        <v>2</v>
      </c>
      <c r="H11" s="163">
        <f>COUNTIFS(' CADASTRO'!$S:$S,'acab equip'!$D$3,' CADASTRO'!$R:$R,'acab equip'!F11)</f>
        <v>0</v>
      </c>
      <c r="I11" s="163">
        <f>COUNTIFS(' CADASTRO'!$R$746:$R$893,'acab equip'!F11,' CADASTRO'!$S$746:$S$893,'acab equip'!$H$3)+COUNTIFS(' CADASTRO'!$R$746:$R$893,'acab equip'!F11,' CADASTRO'!$S$746:$S$893,'acab equip'!$G$3)</f>
        <v>1</v>
      </c>
      <c r="J11" s="162">
        <f t="shared" si="8"/>
        <v>45784</v>
      </c>
      <c r="K11" s="163">
        <f>COUNTIFS(' CADASTRO'!$S:$S,'acab equip'!$C$3,' CADASTRO'!$R:$R,'acab equip'!J11)</f>
        <v>3</v>
      </c>
      <c r="L11" s="163">
        <f>COUNTIFS(' CADASTRO'!$S:$S,'acab equip'!$D$3,' CADASTRO'!$R:$R,'acab equip'!J11)</f>
        <v>1</v>
      </c>
      <c r="M11" s="163">
        <f>COUNTIFS(' CADASTRO'!$R$746:$R$893,'acab equip'!J11,' CADASTRO'!$S$746:$S$893,'acab equip'!$L$3)+COUNTIFS(' CADASTRO'!$R$746:$R$893,'acab equip'!J11,' CADASTRO'!$S$746:$S$893,'acab equip'!$K$3)</f>
        <v>1</v>
      </c>
      <c r="N11" s="162">
        <f t="shared" si="9"/>
        <v>45785</v>
      </c>
      <c r="O11" s="163">
        <f>COUNTIFS(' CADASTRO'!$S:$S,'acab equip'!$C$3,' CADASTRO'!$R:$R,'acab equip'!N11)</f>
        <v>0</v>
      </c>
      <c r="P11" s="163">
        <f>COUNTIFS(' CADASTRO'!$S:$S,'acab equip'!$D$3,' CADASTRO'!$R:$R,'acab equip'!N11)</f>
        <v>0</v>
      </c>
      <c r="Q11" s="163">
        <f>COUNTIFS(' CADASTRO'!$R$746:$R$893,'acab equip'!N11,' CADASTRO'!$S$746:$S$893,'acab equip'!$P$3)+COUNTIFS(' CADASTRO'!$R$746:$R$893,'acab equip'!N11,' CADASTRO'!$S$746:$S$893,'acab equip'!$O$3)</f>
        <v>0</v>
      </c>
      <c r="R11" s="162">
        <f t="shared" si="10"/>
        <v>45786</v>
      </c>
      <c r="S11" s="163">
        <f>COUNTIFS(' CADASTRO'!$S:$S,'acab equip'!$C$3,' CADASTRO'!$R:$R,'acab equip'!R11)</f>
        <v>2</v>
      </c>
      <c r="T11" s="163">
        <f>COUNTIFS(' CADASTRO'!$S:$S,'acab equip'!$D$3,' CADASTRO'!$R:$R,'acab equip'!R11)</f>
        <v>1</v>
      </c>
      <c r="U11" s="163">
        <f>COUNTIFS(' CADASTRO'!$R$746:$R$893,'acab equip'!R11,' CADASTRO'!$S$746:$S$893,'acab equip'!$T$3)+COUNTIFS(' CADASTRO'!$R$746:$R$893,'acab equip'!R11,' CADASTRO'!$S$746:$S$893,'acab equip'!$S$3)</f>
        <v>1</v>
      </c>
      <c r="V11" s="162">
        <f t="shared" si="11"/>
        <v>45787</v>
      </c>
      <c r="W11" s="163">
        <f>COUNTIFS(' CADASTRO'!$S:$S,'acab equip'!$C$3,' CADASTRO'!$R:$R,'acab equip'!V11)</f>
        <v>0</v>
      </c>
      <c r="X11" s="163">
        <f>COUNTIFS(' CADASTRO'!$S:$S,'acab equip'!$D$3,' CADASTRO'!$R:$R,'acab equip'!V11)</f>
        <v>0</v>
      </c>
      <c r="Y11" s="163">
        <f>COUNTIFS(' CADASTRO'!$R$746:$R$893,'acab equip'!V11,' CADASTRO'!$S$746:$S$893,'acab equip'!$X$3)+COUNTIFS(' CADASTRO'!$R$746:$R$893,'acab equip'!V11,' CADASTRO'!$S$746:$S$893,'acab equip'!$W$3)</f>
        <v>0</v>
      </c>
      <c r="Z11" s="162">
        <f t="shared" si="12"/>
        <v>45788</v>
      </c>
      <c r="AB11" s="165">
        <f t="shared" si="0"/>
        <v>7</v>
      </c>
      <c r="AC11" s="165">
        <f t="shared" si="3"/>
        <v>1</v>
      </c>
      <c r="AD11" s="165">
        <f t="shared" si="4"/>
        <v>4</v>
      </c>
      <c r="AE11" s="177">
        <f t="shared" si="5"/>
        <v>12</v>
      </c>
      <c r="AF11" s="14" t="str">
        <f t="shared" si="13"/>
        <v>mai/2025</v>
      </c>
    </row>
    <row r="12" spans="1:46" x14ac:dyDescent="0.25">
      <c r="A12" s="14" t="s">
        <v>145</v>
      </c>
      <c r="B12" s="162">
        <f t="shared" si="6"/>
        <v>45789</v>
      </c>
      <c r="C12" s="163">
        <f>COUNTIFS(' CADASTRO'!$S:$S,'acab equip'!$C$3,' CADASTRO'!$R:$R,'acab equip'!B12)</f>
        <v>2</v>
      </c>
      <c r="D12" s="163">
        <f>COUNTIFS(' CADASTRO'!$S:$S,'acab equip'!$D$3,' CADASTRO'!$R:$R,'acab equip'!B12)</f>
        <v>0</v>
      </c>
      <c r="E12" s="163">
        <f>COUNTIFS(' CADASTRO'!$R$746:$R$893,'acab equip'!B12,' CADASTRO'!$S$746:$S$893,'acab equip'!$D$3)+COUNTIFS(' CADASTRO'!$R$746:$R$893,'acab equip'!B12,' CADASTRO'!$S$746:$S$893,'acab equip'!$C$3)</f>
        <v>1</v>
      </c>
      <c r="F12" s="162">
        <f t="shared" si="7"/>
        <v>45790</v>
      </c>
      <c r="G12" s="163">
        <f>COUNTIFS(' CADASTRO'!$S:$S,'acab equip'!$C$3,' CADASTRO'!$R:$R,'acab equip'!F12)</f>
        <v>0</v>
      </c>
      <c r="H12" s="163">
        <f>COUNTIFS(' CADASTRO'!$S:$S,'acab equip'!$D$3,' CADASTRO'!$R:$R,'acab equip'!F12)</f>
        <v>0</v>
      </c>
      <c r="I12" s="163">
        <f>COUNTIFS(' CADASTRO'!$R$746:$R$893,'acab equip'!F12,' CADASTRO'!$S$746:$S$893,'acab equip'!$H$3)+COUNTIFS(' CADASTRO'!$R$746:$R$893,'acab equip'!F12,' CADASTRO'!$S$746:$S$893,'acab equip'!$G$3)</f>
        <v>0</v>
      </c>
      <c r="J12" s="162">
        <f t="shared" si="8"/>
        <v>45791</v>
      </c>
      <c r="K12" s="163">
        <f>COUNTIFS(' CADASTRO'!$S:$S,'acab equip'!$C$3,' CADASTRO'!$R:$R,'acab equip'!J12)</f>
        <v>4</v>
      </c>
      <c r="L12" s="163">
        <f>COUNTIFS(' CADASTRO'!$S:$S,'acab equip'!$D$3,' CADASTRO'!$R:$R,'acab equip'!J12)</f>
        <v>1</v>
      </c>
      <c r="M12" s="163">
        <f>COUNTIFS(' CADASTRO'!$R$746:$R$893,'acab equip'!J12,' CADASTRO'!$S$746:$S$893,'acab equip'!$L$3)+COUNTIFS(' CADASTRO'!$R$746:$R$893,'acab equip'!J12,' CADASTRO'!$S$746:$S$893,'acab equip'!$K$3)</f>
        <v>2</v>
      </c>
      <c r="N12" s="162">
        <f t="shared" si="9"/>
        <v>45792</v>
      </c>
      <c r="O12" s="163">
        <f>COUNTIFS(' CADASTRO'!$S:$S,'acab equip'!$C$3,' CADASTRO'!$R:$R,'acab equip'!N12)</f>
        <v>0</v>
      </c>
      <c r="P12" s="163">
        <f>COUNTIFS(' CADASTRO'!$S:$S,'acab equip'!$D$3,' CADASTRO'!$R:$R,'acab equip'!N12)</f>
        <v>0</v>
      </c>
      <c r="Q12" s="163">
        <f>COUNTIFS(' CADASTRO'!$R$746:$R$893,'acab equip'!N12,' CADASTRO'!$S$746:$S$893,'acab equip'!$P$3)+COUNTIFS(' CADASTRO'!$R$746:$R$893,'acab equip'!N12,' CADASTRO'!$S$746:$S$893,'acab equip'!$O$3)</f>
        <v>0</v>
      </c>
      <c r="R12" s="162">
        <f t="shared" si="10"/>
        <v>45793</v>
      </c>
      <c r="S12" s="163">
        <f>COUNTIFS(' CADASTRO'!$S:$S,'acab equip'!$C$3,' CADASTRO'!$R:$R,'acab equip'!R12)</f>
        <v>1</v>
      </c>
      <c r="T12" s="163">
        <f>COUNTIFS(' CADASTRO'!$S:$S,'acab equip'!$D$3,' CADASTRO'!$R:$R,'acab equip'!R12)</f>
        <v>2</v>
      </c>
      <c r="U12" s="163">
        <f>COUNTIFS(' CADASTRO'!$R$746:$R$893,'acab equip'!R12,' CADASTRO'!$S$746:$S$893,'acab equip'!$T$3)+COUNTIFS(' CADASTRO'!$R$746:$R$893,'acab equip'!R12,' CADASTRO'!$S$746:$S$893,'acab equip'!$S$3)</f>
        <v>0</v>
      </c>
      <c r="V12" s="162">
        <f t="shared" si="11"/>
        <v>45794</v>
      </c>
      <c r="W12" s="163">
        <f>COUNTIFS(' CADASTRO'!$S:$S,'acab equip'!$C$3,' CADASTRO'!$R:$R,'acab equip'!V12)</f>
        <v>0</v>
      </c>
      <c r="X12" s="163">
        <f>COUNTIFS(' CADASTRO'!$S:$S,'acab equip'!$D$3,' CADASTRO'!$R:$R,'acab equip'!V12)</f>
        <v>0</v>
      </c>
      <c r="Y12" s="163">
        <f>COUNTIFS(' CADASTRO'!$R$746:$R$893,'acab equip'!V12,' CADASTRO'!$S$746:$S$893,'acab equip'!$X$3)+COUNTIFS(' CADASTRO'!$R$746:$R$893,'acab equip'!V12,' CADASTRO'!$S$746:$S$893,'acab equip'!$W$3)</f>
        <v>0</v>
      </c>
      <c r="Z12" s="162">
        <f t="shared" si="12"/>
        <v>45795</v>
      </c>
      <c r="AB12" s="165">
        <f t="shared" si="0"/>
        <v>7</v>
      </c>
      <c r="AC12" s="165">
        <f t="shared" si="3"/>
        <v>0</v>
      </c>
      <c r="AD12" s="165">
        <f t="shared" si="4"/>
        <v>3</v>
      </c>
      <c r="AE12" s="177">
        <f t="shared" si="5"/>
        <v>10</v>
      </c>
      <c r="AF12" s="14" t="str">
        <f t="shared" si="13"/>
        <v>mai/2025</v>
      </c>
    </row>
    <row r="13" spans="1:46" x14ac:dyDescent="0.25">
      <c r="A13" s="14" t="s">
        <v>146</v>
      </c>
      <c r="B13" s="162">
        <f t="shared" si="6"/>
        <v>45796</v>
      </c>
      <c r="C13" s="163">
        <f>COUNTIFS(' CADASTRO'!$S:$S,'acab equip'!$C$3,' CADASTRO'!$R:$R,'acab equip'!B13)</f>
        <v>2</v>
      </c>
      <c r="D13" s="163">
        <f>COUNTIFS(' CADASTRO'!$S:$S,'acab equip'!$D$3,' CADASTRO'!$R:$R,'acab equip'!B13)</f>
        <v>0</v>
      </c>
      <c r="E13" s="163">
        <f>COUNTIFS(' CADASTRO'!$R$746:$R$893,'acab equip'!B13,' CADASTRO'!$S$746:$S$893,'acab equip'!$D$3)+COUNTIFS(' CADASTRO'!$R$746:$R$893,'acab equip'!B13,' CADASTRO'!$S$746:$S$893,'acab equip'!$C$3)</f>
        <v>0</v>
      </c>
      <c r="F13" s="162">
        <f t="shared" si="7"/>
        <v>45797</v>
      </c>
      <c r="G13" s="163">
        <f>COUNTIFS(' CADASTRO'!$S:$S,'acab equip'!$C$3,' CADASTRO'!$R:$R,'acab equip'!F13)</f>
        <v>5</v>
      </c>
      <c r="H13" s="163">
        <f>COUNTIFS(' CADASTRO'!$S:$S,'acab equip'!$D$3,' CADASTRO'!$R:$R,'acab equip'!F13)</f>
        <v>2</v>
      </c>
      <c r="I13" s="163">
        <f>COUNTIFS(' CADASTRO'!$R$746:$R$893,'acab equip'!F13,' CADASTRO'!$S$746:$S$893,'acab equip'!$H$3)+COUNTIFS(' CADASTRO'!$R$746:$R$893,'acab equip'!F13,' CADASTRO'!$S$746:$S$893,'acab equip'!$G$3)</f>
        <v>1</v>
      </c>
      <c r="J13" s="162">
        <f t="shared" si="8"/>
        <v>45798</v>
      </c>
      <c r="K13" s="163">
        <f>COUNTIFS(' CADASTRO'!$S:$S,'acab equip'!$C$3,' CADASTRO'!$R:$R,'acab equip'!J13)</f>
        <v>2</v>
      </c>
      <c r="L13" s="163">
        <f>COUNTIFS(' CADASTRO'!$S:$S,'acab equip'!$D$3,' CADASTRO'!$R:$R,'acab equip'!J13)</f>
        <v>3</v>
      </c>
      <c r="M13" s="163">
        <f>COUNTIFS(' CADASTRO'!$R$746:$R$893,'acab equip'!J13,' CADASTRO'!$S$746:$S$893,'acab equip'!$L$3)+COUNTIFS(' CADASTRO'!$R$746:$R$893,'acab equip'!J13,' CADASTRO'!$S$746:$S$893,'acab equip'!$K$3)</f>
        <v>1</v>
      </c>
      <c r="N13" s="162">
        <f t="shared" si="9"/>
        <v>45799</v>
      </c>
      <c r="O13" s="163">
        <f>COUNTIFS(' CADASTRO'!$S:$S,'acab equip'!$C$3,' CADASTRO'!$R:$R,'acab equip'!N13)</f>
        <v>2</v>
      </c>
      <c r="P13" s="163">
        <f>COUNTIFS(' CADASTRO'!$S:$S,'acab equip'!$D$3,' CADASTRO'!$R:$R,'acab equip'!N13)</f>
        <v>0</v>
      </c>
      <c r="Q13" s="163">
        <f>COUNTIFS(' CADASTRO'!$R$746:$R$893,'acab equip'!N13,' CADASTRO'!$S$746:$S$893,'acab equip'!$P$3)+COUNTIFS(' CADASTRO'!$R$746:$R$893,'acab equip'!N13,' CADASTRO'!$S$746:$S$893,'acab equip'!$O$3)</f>
        <v>1</v>
      </c>
      <c r="R13" s="162">
        <f t="shared" si="10"/>
        <v>45800</v>
      </c>
      <c r="S13" s="163">
        <f>COUNTIFS(' CADASTRO'!$S:$S,'acab equip'!$C$3,' CADASTRO'!$R:$R,'acab equip'!R13)</f>
        <v>0</v>
      </c>
      <c r="T13" s="163">
        <f>COUNTIFS(' CADASTRO'!$S:$S,'acab equip'!$D$3,' CADASTRO'!$R:$R,'acab equip'!R13)</f>
        <v>2</v>
      </c>
      <c r="U13" s="163">
        <f>COUNTIFS(' CADASTRO'!$R$746:$R$893,'acab equip'!R13,' CADASTRO'!$S$746:$S$893,'acab equip'!$T$3)+COUNTIFS(' CADASTRO'!$R$746:$R$893,'acab equip'!R13,' CADASTRO'!$S$746:$S$893,'acab equip'!$S$3)</f>
        <v>0</v>
      </c>
      <c r="V13" s="162">
        <f t="shared" si="11"/>
        <v>45801</v>
      </c>
      <c r="W13" s="163">
        <f>COUNTIFS(' CADASTRO'!$S:$S,'acab equip'!$C$3,' CADASTRO'!$R:$R,'acab equip'!V13)</f>
        <v>2</v>
      </c>
      <c r="X13" s="163">
        <f>COUNTIFS(' CADASTRO'!$S:$S,'acab equip'!$D$3,' CADASTRO'!$R:$R,'acab equip'!V13)</f>
        <v>0</v>
      </c>
      <c r="Y13" s="163">
        <f>COUNTIFS(' CADASTRO'!$R$746:$R$893,'acab equip'!V13,' CADASTRO'!$S$746:$S$893,'acab equip'!$X$3)+COUNTIFS(' CADASTRO'!$R$746:$R$893,'acab equip'!V13,' CADASTRO'!$S$746:$S$893,'acab equip'!$W$3)</f>
        <v>0</v>
      </c>
      <c r="Z13" s="162">
        <f t="shared" si="12"/>
        <v>45802</v>
      </c>
      <c r="AB13" s="165">
        <f t="shared" si="0"/>
        <v>13</v>
      </c>
      <c r="AC13" s="165">
        <f t="shared" si="3"/>
        <v>4</v>
      </c>
      <c r="AD13" s="165">
        <f t="shared" si="4"/>
        <v>3</v>
      </c>
      <c r="AE13" s="177">
        <f t="shared" si="5"/>
        <v>20</v>
      </c>
      <c r="AF13" s="14" t="str">
        <f t="shared" si="13"/>
        <v>mai/2025</v>
      </c>
      <c r="AL13" s="163"/>
    </row>
    <row r="14" spans="1:46" x14ac:dyDescent="0.25">
      <c r="A14" s="14" t="s">
        <v>147</v>
      </c>
      <c r="B14" s="162">
        <f t="shared" si="6"/>
        <v>45803</v>
      </c>
      <c r="C14" s="163">
        <f>COUNTIFS(' CADASTRO'!$S:$S,'acab equip'!$C$3,' CADASTRO'!$R:$R,'acab equip'!B14)</f>
        <v>2</v>
      </c>
      <c r="D14" s="163">
        <f>COUNTIFS(' CADASTRO'!$S:$S,'acab equip'!$D$3,' CADASTRO'!$R:$R,'acab equip'!B14)</f>
        <v>2</v>
      </c>
      <c r="E14" s="163">
        <f>COUNTIFS(' CADASTRO'!$R$746:$R$893,'acab equip'!B14,' CADASTRO'!$S$746:$S$893,'acab equip'!$D$3)+COUNTIFS(' CADASTRO'!$R$746:$R$893,'acab equip'!B14,' CADASTRO'!$S$746:$S$893,'acab equip'!$C$3)</f>
        <v>0</v>
      </c>
      <c r="F14" s="162">
        <f t="shared" si="7"/>
        <v>45804</v>
      </c>
      <c r="G14" s="163">
        <f>COUNTIFS(' CADASTRO'!$S:$S,'acab equip'!$C$3,' CADASTRO'!$R:$R,'acab equip'!F14)</f>
        <v>2</v>
      </c>
      <c r="H14" s="163">
        <f>COUNTIFS(' CADASTRO'!$S:$S,'acab equip'!$D$3,' CADASTRO'!$R:$R,'acab equip'!F14)</f>
        <v>3</v>
      </c>
      <c r="I14" s="163">
        <f>COUNTIFS(' CADASTRO'!$R$746:$R$893,'acab equip'!F14,' CADASTRO'!$S$746:$S$893,'acab equip'!$H$3)+COUNTIFS(' CADASTRO'!$R$746:$R$893,'acab equip'!F14,' CADASTRO'!$S$746:$S$893,'acab equip'!$G$3)</f>
        <v>2</v>
      </c>
      <c r="J14" s="162">
        <f t="shared" si="8"/>
        <v>45805</v>
      </c>
      <c r="K14" s="163">
        <f>COUNTIFS(' CADASTRO'!$S:$S,'acab equip'!$C$3,' CADASTRO'!$R:$R,'acab equip'!J14)</f>
        <v>2</v>
      </c>
      <c r="L14" s="163">
        <f>COUNTIFS(' CADASTRO'!$S:$S,'acab equip'!$D$3,' CADASTRO'!$R:$R,'acab equip'!J14)</f>
        <v>0</v>
      </c>
      <c r="M14" s="163">
        <f>COUNTIFS(' CADASTRO'!$R$746:$R$893,'acab equip'!J14,' CADASTRO'!$S$746:$S$893,'acab equip'!$L$3)+COUNTIFS(' CADASTRO'!$R$746:$R$893,'acab equip'!J14,' CADASTRO'!$S$746:$S$893,'acab equip'!$K$3)</f>
        <v>2</v>
      </c>
      <c r="N14" s="162">
        <f t="shared" si="9"/>
        <v>45806</v>
      </c>
      <c r="O14" s="163">
        <f>COUNTIFS(' CADASTRO'!$S:$S,'acab equip'!$C$3,' CADASTRO'!$R:$R,'acab equip'!N14)</f>
        <v>1</v>
      </c>
      <c r="P14" s="163">
        <f>COUNTIFS(' CADASTRO'!$S:$S,'acab equip'!$D$3,' CADASTRO'!$R:$R,'acab equip'!N14)</f>
        <v>0</v>
      </c>
      <c r="Q14" s="163">
        <f>COUNTIFS(' CADASTRO'!$R$746:$R$893,'acab equip'!N14,' CADASTRO'!$S$746:$S$893,'acab equip'!$P$3)+COUNTIFS(' CADASTRO'!$R$746:$R$893,'acab equip'!N14,' CADASTRO'!$S$746:$S$893,'acab equip'!$O$3)</f>
        <v>0</v>
      </c>
      <c r="R14" s="162">
        <f t="shared" si="10"/>
        <v>45807</v>
      </c>
      <c r="S14" s="163">
        <f>COUNTIFS(' CADASTRO'!$S:$S,'acab equip'!$C$3,' CADASTRO'!$R:$R,'acab equip'!R14)</f>
        <v>2</v>
      </c>
      <c r="T14" s="163">
        <f>COUNTIFS(' CADASTRO'!$S:$S,'acab equip'!$D$3,' CADASTRO'!$R:$R,'acab equip'!R14)</f>
        <v>2</v>
      </c>
      <c r="U14" s="163">
        <f>COUNTIFS(' CADASTRO'!$R$746:$R$893,'acab equip'!R14,' CADASTRO'!$S$746:$S$893,'acab equip'!$T$3)+COUNTIFS(' CADASTRO'!$R$746:$R$893,'acab equip'!R14,' CADASTRO'!$S$746:$S$893,'acab equip'!$S$3)</f>
        <v>1</v>
      </c>
      <c r="V14" s="162">
        <f t="shared" si="11"/>
        <v>45808</v>
      </c>
      <c r="W14" s="163">
        <f>COUNTIFS(' CADASTRO'!$S:$S,'acab equip'!$C$3,' CADASTRO'!$R:$R,'acab equip'!V14)</f>
        <v>0</v>
      </c>
      <c r="X14" s="163">
        <f>COUNTIFS(' CADASTRO'!$S:$S,'acab equip'!$D$3,' CADASTRO'!$R:$R,'acab equip'!V14)</f>
        <v>0</v>
      </c>
      <c r="Y14" s="163">
        <f>COUNTIFS(' CADASTRO'!$R$746:$R$893,'acab equip'!V14,' CADASTRO'!$S$746:$S$893,'acab equip'!$X$3)+COUNTIFS(' CADASTRO'!$R$746:$R$893,'acab equip'!V14,' CADASTRO'!$S$746:$S$893,'acab equip'!$W$3)</f>
        <v>0</v>
      </c>
      <c r="Z14" s="162">
        <f t="shared" si="12"/>
        <v>45809</v>
      </c>
      <c r="AB14" s="165">
        <f t="shared" si="0"/>
        <v>9</v>
      </c>
      <c r="AC14" s="165">
        <f t="shared" si="3"/>
        <v>2</v>
      </c>
      <c r="AD14" s="165">
        <f t="shared" si="4"/>
        <v>5</v>
      </c>
      <c r="AE14" s="177">
        <f t="shared" si="5"/>
        <v>16</v>
      </c>
      <c r="AF14" s="14" t="str">
        <f t="shared" si="13"/>
        <v>jun/2025</v>
      </c>
    </row>
    <row r="15" spans="1:46" x14ac:dyDescent="0.25">
      <c r="A15" s="14" t="s">
        <v>148</v>
      </c>
      <c r="B15" s="162">
        <f t="shared" si="6"/>
        <v>45810</v>
      </c>
      <c r="C15" s="163">
        <f>COUNTIFS(' CADASTRO'!$S:$S,'acab equip'!$C$3,' CADASTRO'!$R:$R,'acab equip'!B15)</f>
        <v>2</v>
      </c>
      <c r="D15" s="163">
        <f>COUNTIFS(' CADASTRO'!$S:$S,'acab equip'!$D$3,' CADASTRO'!$R:$R,'acab equip'!B15)</f>
        <v>0</v>
      </c>
      <c r="E15" s="163">
        <f>COUNTIFS(' CADASTRO'!$R$746:$R$893,'acab equip'!B15,' CADASTRO'!$S$746:$S$893,'acab equip'!$D$3)+COUNTIFS(' CADASTRO'!$R$746:$R$893,'acab equip'!B15,' CADASTRO'!$S$746:$S$893,'acab equip'!$C$3)</f>
        <v>0</v>
      </c>
      <c r="F15" s="162">
        <f t="shared" si="7"/>
        <v>45811</v>
      </c>
      <c r="G15" s="163">
        <f>COUNTIFS(' CADASTRO'!$S:$S,'acab equip'!$C$3,' CADASTRO'!$R:$R,'acab equip'!F15)</f>
        <v>0</v>
      </c>
      <c r="H15" s="163">
        <f>COUNTIFS(' CADASTRO'!$S:$S,'acab equip'!$D$3,' CADASTRO'!$R:$R,'acab equip'!F15)</f>
        <v>3</v>
      </c>
      <c r="I15" s="163">
        <f>COUNTIFS(' CADASTRO'!$R$746:$R$893,'acab equip'!F15,' CADASTRO'!$S$746:$S$893,'acab equip'!$H$3)+COUNTIFS(' CADASTRO'!$R$746:$R$893,'acab equip'!F15,' CADASTRO'!$S$746:$S$893,'acab equip'!$G$3)</f>
        <v>0</v>
      </c>
      <c r="J15" s="162">
        <f t="shared" si="8"/>
        <v>45812</v>
      </c>
      <c r="K15" s="163">
        <f>COUNTIFS(' CADASTRO'!$S:$S,'acab equip'!$C$3,' CADASTRO'!$R:$R,'acab equip'!J15)</f>
        <v>2</v>
      </c>
      <c r="L15" s="163">
        <f>COUNTIFS(' CADASTRO'!$S:$S,'acab equip'!$D$3,' CADASTRO'!$R:$R,'acab equip'!J15)</f>
        <v>3</v>
      </c>
      <c r="M15" s="163">
        <f>COUNTIFS(' CADASTRO'!$R$746:$R$893,'acab equip'!J15,' CADASTRO'!$S$746:$S$893,'acab equip'!$L$3)+COUNTIFS(' CADASTRO'!$R$746:$R$893,'acab equip'!J15,' CADASTRO'!$S$746:$S$893,'acab equip'!$K$3)</f>
        <v>0</v>
      </c>
      <c r="N15" s="162">
        <f t="shared" si="9"/>
        <v>45813</v>
      </c>
      <c r="O15" s="163">
        <f>COUNTIFS(' CADASTRO'!$S:$S,'acab equip'!$C$3,' CADASTRO'!$R:$R,'acab equip'!N15)</f>
        <v>1</v>
      </c>
      <c r="P15" s="163">
        <f>COUNTIFS(' CADASTRO'!$S:$S,'acab equip'!$D$3,' CADASTRO'!$R:$R,'acab equip'!N15)</f>
        <v>0</v>
      </c>
      <c r="Q15" s="163">
        <f>COUNTIFS(' CADASTRO'!$R$746:$R$893,'acab equip'!N15,' CADASTRO'!$S$746:$S$893,'acab equip'!$P$3)+COUNTIFS(' CADASTRO'!$R$746:$R$893,'acab equip'!N15,' CADASTRO'!$S$746:$S$893,'acab equip'!$O$3)</f>
        <v>0</v>
      </c>
      <c r="R15" s="162">
        <f t="shared" si="10"/>
        <v>45814</v>
      </c>
      <c r="S15" s="163">
        <f>COUNTIFS(' CADASTRO'!$S:$S,'acab equip'!$C$3,' CADASTRO'!$R:$R,'acab equip'!R15)</f>
        <v>0</v>
      </c>
      <c r="T15" s="163">
        <f>COUNTIFS(' CADASTRO'!$S:$S,'acab equip'!$D$3,' CADASTRO'!$R:$R,'acab equip'!R15)</f>
        <v>0</v>
      </c>
      <c r="U15" s="163">
        <f>COUNTIFS(' CADASTRO'!$R$746:$R$893,'acab equip'!R15,' CADASTRO'!$S$746:$S$893,'acab equip'!$T$3)+COUNTIFS(' CADASTRO'!$R$746:$R$893,'acab equip'!R15,' CADASTRO'!$S$746:$S$893,'acab equip'!$S$3)</f>
        <v>0</v>
      </c>
      <c r="V15" s="162">
        <f t="shared" si="11"/>
        <v>45815</v>
      </c>
      <c r="W15" s="163">
        <f>COUNTIFS(' CADASTRO'!$S:$S,'acab equip'!$C$3,' CADASTRO'!$R:$R,'acab equip'!V15)</f>
        <v>2</v>
      </c>
      <c r="X15" s="163">
        <f>COUNTIFS(' CADASTRO'!$S:$S,'acab equip'!$D$3,' CADASTRO'!$R:$R,'acab equip'!V15)</f>
        <v>2</v>
      </c>
      <c r="Y15" s="163">
        <f>COUNTIFS(' CADASTRO'!$R$746:$R$893,'acab equip'!V15,' CADASTRO'!$S$746:$S$893,'acab equip'!$X$3)+COUNTIFS(' CADASTRO'!$R$746:$R$893,'acab equip'!V15,' CADASTRO'!$S$746:$S$893,'acab equip'!$W$3)</f>
        <v>0</v>
      </c>
      <c r="Z15" s="162">
        <f t="shared" si="12"/>
        <v>45816</v>
      </c>
      <c r="AB15" s="165">
        <f t="shared" si="0"/>
        <v>7</v>
      </c>
      <c r="AC15" s="165">
        <f t="shared" si="3"/>
        <v>8</v>
      </c>
      <c r="AD15" s="165">
        <f t="shared" si="4"/>
        <v>0</v>
      </c>
      <c r="AE15" s="177">
        <f t="shared" si="5"/>
        <v>15</v>
      </c>
      <c r="AF15" s="14" t="str">
        <f t="shared" si="13"/>
        <v>jun/2025</v>
      </c>
    </row>
    <row r="16" spans="1:46" x14ac:dyDescent="0.25">
      <c r="A16" s="14" t="s">
        <v>149</v>
      </c>
      <c r="B16" s="162">
        <f t="shared" si="6"/>
        <v>45817</v>
      </c>
      <c r="C16" s="163">
        <f>COUNTIFS(' CADASTRO'!$S:$S,'acab equip'!$C$3,' CADASTRO'!$R:$R,'acab equip'!B16)</f>
        <v>0</v>
      </c>
      <c r="D16" s="163">
        <f>COUNTIFS(' CADASTRO'!$S:$S,'acab equip'!$D$3,' CADASTRO'!$R:$R,'acab equip'!B16)</f>
        <v>2</v>
      </c>
      <c r="E16" s="163">
        <f>COUNTIFS(' CADASTRO'!$R$746:$R$893,'acab equip'!B16,' CADASTRO'!$S$746:$S$893,'acab equip'!$D$3)+COUNTIFS(' CADASTRO'!$R$746:$R$893,'acab equip'!B16,' CADASTRO'!$S$746:$S$893,'acab equip'!$C$3)</f>
        <v>0</v>
      </c>
      <c r="F16" s="162">
        <f t="shared" si="7"/>
        <v>45818</v>
      </c>
      <c r="G16" s="163">
        <f>COUNTIFS(' CADASTRO'!$S:$S,'acab equip'!$C$3,' CADASTRO'!$R:$R,'acab equip'!F16)</f>
        <v>1</v>
      </c>
      <c r="H16" s="163">
        <f>COUNTIFS(' CADASTRO'!$S:$S,'acab equip'!$D$3,' CADASTRO'!$R:$R,'acab equip'!F16)</f>
        <v>1</v>
      </c>
      <c r="I16" s="163">
        <f>COUNTIFS(' CADASTRO'!$R$746:$R$893,'acab equip'!F16,' CADASTRO'!$S$746:$S$893,'acab equip'!$H$3)+COUNTIFS(' CADASTRO'!$R$746:$R$893,'acab equip'!F16,' CADASTRO'!$S$746:$S$893,'acab equip'!$G$3)</f>
        <v>0</v>
      </c>
      <c r="J16" s="162">
        <f t="shared" si="8"/>
        <v>45819</v>
      </c>
      <c r="K16" s="163">
        <f>COUNTIFS(' CADASTRO'!$S:$S,'acab equip'!$C$3,' CADASTRO'!$R:$R,'acab equip'!J16)</f>
        <v>0</v>
      </c>
      <c r="L16" s="163">
        <f>COUNTIFS(' CADASTRO'!$S:$S,'acab equip'!$D$3,' CADASTRO'!$R:$R,'acab equip'!J16)</f>
        <v>2</v>
      </c>
      <c r="M16" s="163">
        <f>COUNTIFS(' CADASTRO'!$R$746:$R$893,'acab equip'!J16,' CADASTRO'!$S$746:$S$893,'acab equip'!$L$3)+COUNTIFS(' CADASTRO'!$R$746:$R$893,'acab equip'!J16,' CADASTRO'!$S$746:$S$893,'acab equip'!$K$3)</f>
        <v>0</v>
      </c>
      <c r="N16" s="162">
        <f t="shared" si="9"/>
        <v>45820</v>
      </c>
      <c r="O16" s="163">
        <f>COUNTIFS(' CADASTRO'!$S:$S,'acab equip'!$C$3,' CADASTRO'!$R:$R,'acab equip'!N16)</f>
        <v>1</v>
      </c>
      <c r="P16" s="163">
        <f>COUNTIFS(' CADASTRO'!$S:$S,'acab equip'!$D$3,' CADASTRO'!$R:$R,'acab equip'!N16)</f>
        <v>3</v>
      </c>
      <c r="Q16" s="163">
        <f>COUNTIFS(' CADASTRO'!$R$746:$R$893,'acab equip'!N16,' CADASTRO'!$S$746:$S$893,'acab equip'!$P$3)+COUNTIFS(' CADASTRO'!$R$746:$R$893,'acab equip'!N16,' CADASTRO'!$S$746:$S$893,'acab equip'!$O$3)</f>
        <v>0</v>
      </c>
      <c r="R16" s="162">
        <f t="shared" si="10"/>
        <v>45821</v>
      </c>
      <c r="S16" s="163">
        <f>COUNTIFS(' CADASTRO'!$S:$S,'acab equip'!$C$3,' CADASTRO'!$R:$R,'acab equip'!R16)</f>
        <v>1</v>
      </c>
      <c r="T16" s="163">
        <f>COUNTIFS(' CADASTRO'!$S:$S,'acab equip'!$D$3,' CADASTRO'!$R:$R,'acab equip'!R16)</f>
        <v>0</v>
      </c>
      <c r="U16" s="163">
        <f>COUNTIFS(' CADASTRO'!$R$746:$R$893,'acab equip'!R16,' CADASTRO'!$S$746:$S$893,'acab equip'!$T$3)+COUNTIFS(' CADASTRO'!$R$746:$R$893,'acab equip'!R16,' CADASTRO'!$S$746:$S$893,'acab equip'!$S$3)</f>
        <v>0</v>
      </c>
      <c r="V16" s="162">
        <f t="shared" si="11"/>
        <v>45822</v>
      </c>
      <c r="W16" s="163">
        <f>COUNTIFS(' CADASTRO'!$S:$S,'acab equip'!$C$3,' CADASTRO'!$R:$R,'acab equip'!V16)</f>
        <v>1</v>
      </c>
      <c r="X16" s="163">
        <f>COUNTIFS(' CADASTRO'!$S:$S,'acab equip'!$D$3,' CADASTRO'!$R:$R,'acab equip'!V16)</f>
        <v>3</v>
      </c>
      <c r="Y16" s="163">
        <f>COUNTIFS(' CADASTRO'!$R$746:$R$893,'acab equip'!V16,' CADASTRO'!$S$746:$S$893,'acab equip'!$X$3)+COUNTIFS(' CADASTRO'!$R$746:$R$893,'acab equip'!V16,' CADASTRO'!$S$746:$S$893,'acab equip'!$W$3)</f>
        <v>0</v>
      </c>
      <c r="Z16" s="162">
        <f t="shared" si="12"/>
        <v>45823</v>
      </c>
      <c r="AB16" s="165">
        <f t="shared" si="0"/>
        <v>4</v>
      </c>
      <c r="AC16" s="165">
        <f t="shared" si="3"/>
        <v>11</v>
      </c>
      <c r="AD16" s="165">
        <f t="shared" si="4"/>
        <v>0</v>
      </c>
      <c r="AE16" s="177">
        <f t="shared" si="5"/>
        <v>15</v>
      </c>
      <c r="AF16" s="14" t="str">
        <f t="shared" si="13"/>
        <v>jun/2025</v>
      </c>
    </row>
    <row r="17" spans="1:34" x14ac:dyDescent="0.25">
      <c r="A17" s="14" t="s">
        <v>150</v>
      </c>
      <c r="B17" s="162">
        <f t="shared" si="6"/>
        <v>45824</v>
      </c>
      <c r="C17" s="163">
        <f>COUNTIFS(' CADASTRO'!$S:$S,'acab equip'!$C$3,' CADASTRO'!$R:$R,'acab equip'!B17)</f>
        <v>0</v>
      </c>
      <c r="D17" s="163">
        <f>COUNTIFS(' CADASTRO'!$S:$S,'acab equip'!$D$3,' CADASTRO'!$R:$R,'acab equip'!B17)</f>
        <v>3</v>
      </c>
      <c r="E17" s="163">
        <f>COUNTIFS(' CADASTRO'!$R$746:$R$893,'acab equip'!B17,' CADASTRO'!$S$746:$S$893,'acab equip'!$D$3)+COUNTIFS(' CADASTRO'!$R$746:$R$893,'acab equip'!B17,' CADASTRO'!$S$746:$S$893,'acab equip'!$C$3)</f>
        <v>0</v>
      </c>
      <c r="F17" s="162">
        <f t="shared" si="7"/>
        <v>45825</v>
      </c>
      <c r="G17" s="163">
        <f>COUNTIFS(' CADASTRO'!$S:$S,'acab equip'!$C$3,' CADASTRO'!$R:$R,'acab equip'!F17)</f>
        <v>0</v>
      </c>
      <c r="H17" s="163">
        <f>COUNTIFS(' CADASTRO'!$S:$S,'acab equip'!$D$3,' CADASTRO'!$R:$R,'acab equip'!F17)</f>
        <v>3</v>
      </c>
      <c r="I17" s="163">
        <f>COUNTIFS(' CADASTRO'!$R$746:$R$893,'acab equip'!F17,' CADASTRO'!$S$746:$S$893,'acab equip'!$H$3)+COUNTIFS(' CADASTRO'!$R$746:$R$893,'acab equip'!F17,' CADASTRO'!$S$746:$S$893,'acab equip'!$G$3)</f>
        <v>0</v>
      </c>
      <c r="J17" s="162">
        <f t="shared" si="8"/>
        <v>45826</v>
      </c>
      <c r="K17" s="163">
        <f>COUNTIFS(' CADASTRO'!$S:$S,'acab equip'!$C$3,' CADASTRO'!$R:$R,'acab equip'!J17)</f>
        <v>2</v>
      </c>
      <c r="L17" s="163">
        <f>COUNTIFS(' CADASTRO'!$S:$S,'acab equip'!$D$3,' CADASTRO'!$R:$R,'acab equip'!J17)</f>
        <v>0</v>
      </c>
      <c r="M17" s="163">
        <f>COUNTIFS(' CADASTRO'!$R$746:$R$893,'acab equip'!J17,' CADASTRO'!$S$746:$S$893,'acab equip'!$L$3)+COUNTIFS(' CADASTRO'!$R$746:$R$893,'acab equip'!J17,' CADASTRO'!$S$746:$S$893,'acab equip'!$K$3)</f>
        <v>0</v>
      </c>
      <c r="N17" s="162">
        <f t="shared" si="9"/>
        <v>45827</v>
      </c>
      <c r="O17" s="163">
        <f>COUNTIFS(' CADASTRO'!$S:$S,'acab equip'!$C$3,' CADASTRO'!$R:$R,'acab equip'!N17)</f>
        <v>2</v>
      </c>
      <c r="P17" s="163">
        <f>COUNTIFS(' CADASTRO'!$S:$S,'acab equip'!$D$3,' CADASTRO'!$R:$R,'acab equip'!N17)</f>
        <v>3</v>
      </c>
      <c r="Q17" s="163">
        <f>COUNTIFS(' CADASTRO'!$R$746:$R$893,'acab equip'!N17,' CADASTRO'!$S$746:$S$893,'acab equip'!$P$3)+COUNTIFS(' CADASTRO'!$R$746:$R$893,'acab equip'!N17,' CADASTRO'!$S$746:$S$893,'acab equip'!$O$3)</f>
        <v>0</v>
      </c>
      <c r="R17" s="162">
        <f t="shared" si="10"/>
        <v>45828</v>
      </c>
      <c r="S17" s="163">
        <f>COUNTIFS(' CADASTRO'!$S:$S,'acab equip'!$C$3,' CADASTRO'!$R:$R,'acab equip'!R17)</f>
        <v>1</v>
      </c>
      <c r="T17" s="163">
        <f>COUNTIFS(' CADASTRO'!$S:$S,'acab equip'!$D$3,' CADASTRO'!$R:$R,'acab equip'!R17)</f>
        <v>2</v>
      </c>
      <c r="U17" s="163">
        <f>COUNTIFS(' CADASTRO'!$R$746:$R$893,'acab equip'!R17,' CADASTRO'!$S$746:$S$893,'acab equip'!$T$3)+COUNTIFS(' CADASTRO'!$R$746:$R$893,'acab equip'!R17,' CADASTRO'!$S$746:$S$893,'acab equip'!$S$3)</f>
        <v>0</v>
      </c>
      <c r="V17" s="162">
        <f t="shared" si="11"/>
        <v>45829</v>
      </c>
      <c r="W17" s="163">
        <f>COUNTIFS(' CADASTRO'!$S:$S,'acab equip'!$C$3,' CADASTRO'!$R:$R,'acab equip'!V17)</f>
        <v>0</v>
      </c>
      <c r="X17" s="163">
        <f>COUNTIFS(' CADASTRO'!$S:$S,'acab equip'!$D$3,' CADASTRO'!$R:$R,'acab equip'!V17)</f>
        <v>0</v>
      </c>
      <c r="Y17" s="163">
        <f>COUNTIFS(' CADASTRO'!$R$746:$R$893,'acab equip'!V17,' CADASTRO'!$S$746:$S$893,'acab equip'!$X$3)+COUNTIFS(' CADASTRO'!$R$746:$R$893,'acab equip'!V17,' CADASTRO'!$S$746:$S$893,'acab equip'!$W$3)</f>
        <v>0</v>
      </c>
      <c r="Z17" s="162">
        <f t="shared" si="12"/>
        <v>45830</v>
      </c>
      <c r="AB17" s="165">
        <f t="shared" si="0"/>
        <v>5</v>
      </c>
      <c r="AC17" s="165">
        <f t="shared" si="3"/>
        <v>11</v>
      </c>
      <c r="AD17" s="165">
        <f t="shared" si="4"/>
        <v>0</v>
      </c>
      <c r="AE17" s="177">
        <f t="shared" si="5"/>
        <v>16</v>
      </c>
      <c r="AF17" s="14" t="str">
        <f t="shared" si="13"/>
        <v>jun/2025</v>
      </c>
    </row>
    <row r="18" spans="1:34" x14ac:dyDescent="0.25">
      <c r="A18" s="14" t="s">
        <v>151</v>
      </c>
      <c r="B18" s="162">
        <f t="shared" si="6"/>
        <v>45831</v>
      </c>
      <c r="C18" s="163">
        <f>COUNTIFS(' CADASTRO'!$S:$S,'acab equip'!$C$3,' CADASTRO'!$R:$R,'acab equip'!B18)</f>
        <v>2</v>
      </c>
      <c r="D18" s="163">
        <f>COUNTIFS(' CADASTRO'!$S:$S,'acab equip'!$D$3,' CADASTRO'!$R:$R,'acab equip'!B18)</f>
        <v>0</v>
      </c>
      <c r="E18" s="163">
        <f>COUNTIFS(' CADASTRO'!$R$746:$R$893,'acab equip'!B18,' CADASTRO'!$S$746:$S$893,'acab equip'!$D$3)+COUNTIFS(' CADASTRO'!$R$746:$R$893,'acab equip'!B18,' CADASTRO'!$S$746:$S$893,'acab equip'!$C$3)</f>
        <v>0</v>
      </c>
      <c r="F18" s="162">
        <f t="shared" si="7"/>
        <v>45832</v>
      </c>
      <c r="G18" s="163">
        <f>COUNTIFS(' CADASTRO'!$S:$S,'acab equip'!$C$3,' CADASTRO'!$R:$R,'acab equip'!F18)</f>
        <v>1</v>
      </c>
      <c r="H18" s="163">
        <f>COUNTIFS(' CADASTRO'!$S:$S,'acab equip'!$D$3,' CADASTRO'!$R:$R,'acab equip'!F18)</f>
        <v>1</v>
      </c>
      <c r="I18" s="163">
        <f>COUNTIFS(' CADASTRO'!$R$746:$R$893,'acab equip'!F18,' CADASTRO'!$S$746:$S$893,'acab equip'!$H$3)+COUNTIFS(' CADASTRO'!$R$746:$R$893,'acab equip'!F18,' CADASTRO'!$S$746:$S$893,'acab equip'!$G$3)</f>
        <v>0</v>
      </c>
      <c r="J18" s="162">
        <f t="shared" si="8"/>
        <v>45833</v>
      </c>
      <c r="K18" s="163">
        <f>COUNTIFS(' CADASTRO'!$S:$S,'acab equip'!$C$3,' CADASTRO'!$R:$R,'acab equip'!J18)</f>
        <v>1</v>
      </c>
      <c r="L18" s="163">
        <f>COUNTIFS(' CADASTRO'!$S:$S,'acab equip'!$D$3,' CADASTRO'!$R:$R,'acab equip'!J18)</f>
        <v>2</v>
      </c>
      <c r="M18" s="163">
        <f>COUNTIFS(' CADASTRO'!$R$746:$R$893,'acab equip'!J18,' CADASTRO'!$S$746:$S$893,'acab equip'!$L$3)+COUNTIFS(' CADASTRO'!$R$746:$R$893,'acab equip'!J18,' CADASTRO'!$S$746:$S$893,'acab equip'!$K$3)</f>
        <v>0</v>
      </c>
      <c r="N18" s="162">
        <f t="shared" si="9"/>
        <v>45834</v>
      </c>
      <c r="O18" s="163">
        <f>COUNTIFS(' CADASTRO'!$S:$S,'acab equip'!$C$3,' CADASTRO'!$R:$R,'acab equip'!N18)</f>
        <v>1</v>
      </c>
      <c r="P18" s="163">
        <f>COUNTIFS(' CADASTRO'!$S:$S,'acab equip'!$D$3,' CADASTRO'!$R:$R,'acab equip'!N18)</f>
        <v>2</v>
      </c>
      <c r="Q18" s="163">
        <f>COUNTIFS(' CADASTRO'!$R$746:$R$893,'acab equip'!N18,' CADASTRO'!$S$746:$S$893,'acab equip'!$P$3)+COUNTIFS(' CADASTRO'!$R$746:$R$893,'acab equip'!N18,' CADASTRO'!$S$746:$S$893,'acab equip'!$O$3)</f>
        <v>0</v>
      </c>
      <c r="R18" s="162">
        <f t="shared" si="10"/>
        <v>45835</v>
      </c>
      <c r="S18" s="163">
        <f>COUNTIFS(' CADASTRO'!$S:$S,'acab equip'!$C$3,' CADASTRO'!$R:$R,'acab equip'!R18)</f>
        <v>1</v>
      </c>
      <c r="T18" s="163">
        <f>COUNTIFS(' CADASTRO'!$S:$S,'acab equip'!$D$3,' CADASTRO'!$R:$R,'acab equip'!R18)</f>
        <v>3</v>
      </c>
      <c r="U18" s="163">
        <f>COUNTIFS(' CADASTRO'!$R$746:$R$893,'acab equip'!R18,' CADASTRO'!$S$746:$S$893,'acab equip'!$T$3)+COUNTIFS(' CADASTRO'!$R$746:$R$893,'acab equip'!R18,' CADASTRO'!$S$746:$S$893,'acab equip'!$S$3)</f>
        <v>0</v>
      </c>
      <c r="V18" s="162">
        <f t="shared" si="11"/>
        <v>45836</v>
      </c>
      <c r="W18" s="163">
        <f>COUNTIFS(' CADASTRO'!$S:$S,'acab equip'!$C$3,' CADASTRO'!$R:$R,'acab equip'!V18)</f>
        <v>0</v>
      </c>
      <c r="X18" s="163">
        <f>COUNTIFS(' CADASTRO'!$S:$S,'acab equip'!$D$3,' CADASTRO'!$R:$R,'acab equip'!V18)</f>
        <v>1</v>
      </c>
      <c r="Y18" s="163">
        <f>COUNTIFS(' CADASTRO'!$R$746:$R$893,'acab equip'!V18,' CADASTRO'!$S$746:$S$893,'acab equip'!$X$3)+COUNTIFS(' CADASTRO'!$R$746:$R$893,'acab equip'!V18,' CADASTRO'!$S$746:$S$893,'acab equip'!$W$3)</f>
        <v>0</v>
      </c>
      <c r="Z18" s="162">
        <f t="shared" si="12"/>
        <v>45837</v>
      </c>
      <c r="AB18" s="165">
        <f t="shared" si="0"/>
        <v>6</v>
      </c>
      <c r="AC18" s="165">
        <f t="shared" si="3"/>
        <v>9</v>
      </c>
      <c r="AD18" s="165">
        <f t="shared" si="4"/>
        <v>0</v>
      </c>
      <c r="AE18" s="177">
        <f t="shared" si="5"/>
        <v>15</v>
      </c>
      <c r="AF18" s="14" t="str">
        <f t="shared" si="13"/>
        <v>jun/2025</v>
      </c>
    </row>
    <row r="19" spans="1:34" x14ac:dyDescent="0.25">
      <c r="A19" s="14" t="s">
        <v>152</v>
      </c>
      <c r="B19" s="162">
        <f t="shared" si="6"/>
        <v>45838</v>
      </c>
      <c r="C19" s="163">
        <f>COUNTIFS(' CADASTRO'!$S:$S,'acab equip'!$C$3,' CADASTRO'!$R:$R,'acab equip'!B19)</f>
        <v>1</v>
      </c>
      <c r="D19" s="163">
        <f>COUNTIFS(' CADASTRO'!$S:$S,'acab equip'!$D$3,' CADASTRO'!$R:$R,'acab equip'!B19)</f>
        <v>1</v>
      </c>
      <c r="E19" s="163">
        <f>COUNTIFS(' CADASTRO'!$R$746:$R$893,'acab equip'!B19,' CADASTRO'!$S$746:$S$893,'acab equip'!$D$3)+COUNTIFS(' CADASTRO'!$R$746:$R$893,'acab equip'!B19,' CADASTRO'!$S$746:$S$893,'acab equip'!$C$3)</f>
        <v>0</v>
      </c>
      <c r="F19" s="162">
        <f t="shared" si="7"/>
        <v>45839</v>
      </c>
      <c r="G19" s="163">
        <f>COUNTIFS(' CADASTRO'!$S:$S,'acab equip'!$C$3,' CADASTRO'!$R:$R,'acab equip'!F19)</f>
        <v>1</v>
      </c>
      <c r="H19" s="163">
        <f>COUNTIFS(' CADASTRO'!$S:$S,'acab equip'!$D$3,' CADASTRO'!$R:$R,'acab equip'!F19)</f>
        <v>2</v>
      </c>
      <c r="I19" s="163">
        <f>COUNTIFS(' CADASTRO'!$R$746:$R$893,'acab equip'!F19,' CADASTRO'!$S$746:$S$893,'acab equip'!$H$3)+COUNTIFS(' CADASTRO'!$R$746:$R$893,'acab equip'!F19,' CADASTRO'!$S$746:$S$893,'acab equip'!$G$3)</f>
        <v>2</v>
      </c>
      <c r="J19" s="162">
        <f t="shared" si="8"/>
        <v>45840</v>
      </c>
      <c r="K19" s="163">
        <f>COUNTIFS(' CADASTRO'!$S:$S,'acab equip'!$C$3,' CADASTRO'!$R:$R,'acab equip'!J19)</f>
        <v>1</v>
      </c>
      <c r="L19" s="163">
        <f>COUNTIFS(' CADASTRO'!$S:$S,'acab equip'!$D$3,' CADASTRO'!$R:$R,'acab equip'!J19)</f>
        <v>0</v>
      </c>
      <c r="M19" s="163">
        <f>COUNTIFS(' CADASTRO'!$R$746:$R$893,'acab equip'!J19,' CADASTRO'!$S$746:$S$893,'acab equip'!$L$3)+COUNTIFS(' CADASTRO'!$R$746:$R$893,'acab equip'!J19,' CADASTRO'!$S$746:$S$893,'acab equip'!$K$3)</f>
        <v>0</v>
      </c>
      <c r="N19" s="162">
        <f t="shared" si="9"/>
        <v>45841</v>
      </c>
      <c r="O19" s="163">
        <f>COUNTIFS(' CADASTRO'!$S:$S,'acab equip'!$C$3,' CADASTRO'!$R:$R,'acab equip'!N19)</f>
        <v>0</v>
      </c>
      <c r="P19" s="163">
        <f>COUNTIFS(' CADASTRO'!$S:$S,'acab equip'!$D$3,' CADASTRO'!$R:$R,'acab equip'!N19)</f>
        <v>0</v>
      </c>
      <c r="Q19" s="163">
        <f>COUNTIFS(' CADASTRO'!$R$746:$R$893,'acab equip'!N19,' CADASTRO'!$S$746:$S$893,'acab equip'!$P$3)+COUNTIFS(' CADASTRO'!$R$746:$R$893,'acab equip'!N19,' CADASTRO'!$S$746:$S$893,'acab equip'!$O$3)</f>
        <v>0</v>
      </c>
      <c r="R19" s="162">
        <f t="shared" si="10"/>
        <v>45842</v>
      </c>
      <c r="S19" s="163">
        <f>COUNTIFS(' CADASTRO'!$S:$S,'acab equip'!$C$3,' CADASTRO'!$R:$R,'acab equip'!R19)</f>
        <v>1</v>
      </c>
      <c r="T19" s="163">
        <f>COUNTIFS(' CADASTRO'!$S:$S,'acab equip'!$D$3,' CADASTRO'!$R:$R,'acab equip'!R19)</f>
        <v>0</v>
      </c>
      <c r="U19" s="163">
        <f>COUNTIFS(' CADASTRO'!$R$746:$R$893,'acab equip'!R19,' CADASTRO'!$S$746:$S$893,'acab equip'!$T$3)+COUNTIFS(' CADASTRO'!$R$746:$R$893,'acab equip'!R19,' CADASTRO'!$S$746:$S$893,'acab equip'!$S$3)</f>
        <v>0</v>
      </c>
      <c r="V19" s="162">
        <f t="shared" si="11"/>
        <v>45843</v>
      </c>
      <c r="W19" s="163">
        <f>COUNTIFS(' CADASTRO'!$S:$S,'acab equip'!$C$3,' CADASTRO'!$R:$R,'acab equip'!V19)</f>
        <v>0</v>
      </c>
      <c r="X19" s="163">
        <f>COUNTIFS(' CADASTRO'!$S:$S,'acab equip'!$D$3,' CADASTRO'!$R:$R,'acab equip'!V19)</f>
        <v>3</v>
      </c>
      <c r="Y19" s="163">
        <f>COUNTIFS(' CADASTRO'!$R$746:$R$893,'acab equip'!V19,' CADASTRO'!$S$746:$S$893,'acab equip'!$X$3)+COUNTIFS(' CADASTRO'!$R$746:$R$893,'acab equip'!V19,' CADASTRO'!$S$746:$S$893,'acab equip'!$W$3)</f>
        <v>3</v>
      </c>
      <c r="Z19" s="162">
        <f t="shared" si="12"/>
        <v>45844</v>
      </c>
      <c r="AB19" s="165">
        <f t="shared" si="0"/>
        <v>4</v>
      </c>
      <c r="AC19" s="165">
        <f t="shared" si="3"/>
        <v>1</v>
      </c>
      <c r="AD19" s="165">
        <f t="shared" si="4"/>
        <v>5</v>
      </c>
      <c r="AE19" s="177">
        <f t="shared" si="5"/>
        <v>10</v>
      </c>
      <c r="AF19" s="14" t="str">
        <f t="shared" si="13"/>
        <v>jul/2025</v>
      </c>
    </row>
    <row r="20" spans="1:34" x14ac:dyDescent="0.25">
      <c r="A20" s="14" t="s">
        <v>153</v>
      </c>
      <c r="B20" s="162">
        <f t="shared" si="6"/>
        <v>45845</v>
      </c>
      <c r="C20" s="163">
        <f>COUNTIFS(' CADASTRO'!$S:$S,'acab equip'!$C$3,' CADASTRO'!$R:$R,'acab equip'!B20)</f>
        <v>3</v>
      </c>
      <c r="D20" s="163">
        <f>COUNTIFS(' CADASTRO'!$S:$S,'acab equip'!$D$3,' CADASTRO'!$R:$R,'acab equip'!B20)</f>
        <v>2</v>
      </c>
      <c r="E20" s="163">
        <f>COUNTIFS(' CADASTRO'!$R$746:$R$893,'acab equip'!B20,' CADASTRO'!$S$746:$S$893,'acab equip'!$D$3)+COUNTIFS(' CADASTRO'!$R$746:$R$893,'acab equip'!B20,' CADASTRO'!$S$746:$S$893,'acab equip'!$C$3)</f>
        <v>2</v>
      </c>
      <c r="F20" s="162">
        <f t="shared" si="7"/>
        <v>45846</v>
      </c>
      <c r="G20" s="163">
        <f>COUNTIFS(' CADASTRO'!$S:$S,'acab equip'!$C$3,' CADASTRO'!$R:$R,'acab equip'!F20)</f>
        <v>2</v>
      </c>
      <c r="H20" s="163">
        <f>COUNTIFS(' CADASTRO'!$S:$S,'acab equip'!$D$3,' CADASTRO'!$R:$R,'acab equip'!F20)</f>
        <v>0</v>
      </c>
      <c r="I20" s="163">
        <f>COUNTIFS(' CADASTRO'!$R$746:$R$893,'acab equip'!F20,' CADASTRO'!$S$746:$S$893,'acab equip'!$H$3)+COUNTIFS(' CADASTRO'!$R$746:$R$893,'acab equip'!F20,' CADASTRO'!$S$746:$S$893,'acab equip'!$G$3)</f>
        <v>0</v>
      </c>
      <c r="J20" s="162">
        <f t="shared" si="8"/>
        <v>45847</v>
      </c>
      <c r="K20" s="163">
        <f>COUNTIFS(' CADASTRO'!$S:$S,'acab equip'!$C$3,' CADASTRO'!$R:$R,'acab equip'!J20)</f>
        <v>2</v>
      </c>
      <c r="L20" s="163">
        <f>COUNTIFS(' CADASTRO'!$S:$S,'acab equip'!$D$3,' CADASTRO'!$R:$R,'acab equip'!J20)</f>
        <v>3</v>
      </c>
      <c r="M20" s="163">
        <f>COUNTIFS(' CADASTRO'!$R$746:$R$893,'acab equip'!J20,' CADASTRO'!$S$746:$S$893,'acab equip'!$L$3)+COUNTIFS(' CADASTRO'!$R$746:$R$893,'acab equip'!J20,' CADASTRO'!$S$746:$S$893,'acab equip'!$K$3)</f>
        <v>3</v>
      </c>
      <c r="N20" s="162">
        <f t="shared" si="9"/>
        <v>45848</v>
      </c>
      <c r="O20" s="163">
        <f>COUNTIFS(' CADASTRO'!$S:$S,'acab equip'!$C$3,' CADASTRO'!$R:$R,'acab equip'!N20)</f>
        <v>1</v>
      </c>
      <c r="P20" s="163">
        <f>COUNTIFS(' CADASTRO'!$S:$S,'acab equip'!$D$3,' CADASTRO'!$R:$R,'acab equip'!N20)</f>
        <v>1</v>
      </c>
      <c r="Q20" s="163">
        <f>COUNTIFS(' CADASTRO'!$R$746:$R$893,'acab equip'!N20,' CADASTRO'!$S$746:$S$893,'acab equip'!$P$3)+COUNTIFS(' CADASTRO'!$R$746:$R$893,'acab equip'!N20,' CADASTRO'!$S$746:$S$893,'acab equip'!$O$3)</f>
        <v>1</v>
      </c>
      <c r="R20" s="162">
        <f t="shared" si="10"/>
        <v>45849</v>
      </c>
      <c r="S20" s="163">
        <f>COUNTIFS(' CADASTRO'!$S:$S,'acab equip'!$C$3,' CADASTRO'!$R:$R,'acab equip'!R20)</f>
        <v>3</v>
      </c>
      <c r="T20" s="163">
        <f>COUNTIFS(' CADASTRO'!$S:$S,'acab equip'!$D$3,' CADASTRO'!$R:$R,'acab equip'!R20)</f>
        <v>4</v>
      </c>
      <c r="U20" s="163">
        <f>COUNTIFS(' CADASTRO'!$R$746:$R$893,'acab equip'!R20,' CADASTRO'!$S$746:$S$893,'acab equip'!$T$3)+COUNTIFS(' CADASTRO'!$R$746:$R$893,'acab equip'!R20,' CADASTRO'!$S$746:$S$893,'acab equip'!$S$3)</f>
        <v>1</v>
      </c>
      <c r="V20" s="162">
        <f t="shared" si="11"/>
        <v>45850</v>
      </c>
      <c r="W20" s="163">
        <f>COUNTIFS(' CADASTRO'!$S:$S,'acab equip'!$C$3,' CADASTRO'!$R:$R,'acab equip'!V20)</f>
        <v>0</v>
      </c>
      <c r="X20" s="163">
        <f>COUNTIFS(' CADASTRO'!$S:$S,'acab equip'!$D$3,' CADASTRO'!$R:$R,'acab equip'!V20)</f>
        <v>0</v>
      </c>
      <c r="Y20" s="163">
        <f>COUNTIFS(' CADASTRO'!$R$746:$R$893,'acab equip'!V20,' CADASTRO'!$S$746:$S$893,'acab equip'!$X$3)+COUNTIFS(' CADASTRO'!$R$746:$R$893,'acab equip'!V20,' CADASTRO'!$S$746:$S$893,'acab equip'!$W$3)</f>
        <v>0</v>
      </c>
      <c r="Z20" s="162">
        <f t="shared" si="12"/>
        <v>45851</v>
      </c>
      <c r="AB20" s="165">
        <f t="shared" si="0"/>
        <v>11</v>
      </c>
      <c r="AC20" s="165">
        <f t="shared" si="3"/>
        <v>3</v>
      </c>
      <c r="AD20" s="165">
        <f t="shared" si="4"/>
        <v>7</v>
      </c>
      <c r="AE20" s="177">
        <f t="shared" si="5"/>
        <v>21</v>
      </c>
      <c r="AF20" s="14" t="str">
        <f t="shared" si="13"/>
        <v>jul/2025</v>
      </c>
    </row>
    <row r="21" spans="1:34" x14ac:dyDescent="0.25">
      <c r="A21" s="14" t="s">
        <v>154</v>
      </c>
      <c r="B21" s="162">
        <f t="shared" si="6"/>
        <v>45852</v>
      </c>
      <c r="C21" s="163">
        <f>COUNTIFS(' CADASTRO'!$S:$S,'acab equip'!$C$3,' CADASTRO'!$R:$R,'acab equip'!B21)</f>
        <v>1</v>
      </c>
      <c r="D21" s="163">
        <f>COUNTIFS(' CADASTRO'!$S:$S,'acab equip'!$D$3,' CADASTRO'!$R:$R,'acab equip'!B21)</f>
        <v>0</v>
      </c>
      <c r="E21" s="163">
        <f>COUNTIFS(' CADASTRO'!$R$746:$R$893,'acab equip'!B21,' CADASTRO'!$S$746:$S$893,'acab equip'!$D$3)+COUNTIFS(' CADASTRO'!$R$746:$R$893,'acab equip'!B21,' CADASTRO'!$S$746:$S$893,'acab equip'!$C$3)</f>
        <v>0</v>
      </c>
      <c r="F21" s="162">
        <f t="shared" si="7"/>
        <v>45853</v>
      </c>
      <c r="G21" s="163">
        <f>COUNTIFS(' CADASTRO'!$S:$S,'acab equip'!$C$3,' CADASTRO'!$R:$R,'acab equip'!F21)</f>
        <v>0</v>
      </c>
      <c r="H21" s="163">
        <f>COUNTIFS(' CADASTRO'!$S:$S,'acab equip'!$D$3,' CADASTRO'!$R:$R,'acab equip'!F21)</f>
        <v>3</v>
      </c>
      <c r="I21" s="163">
        <f>COUNTIFS(' CADASTRO'!$R$746:$R$893,'acab equip'!F21,' CADASTRO'!$S$746:$S$893,'acab equip'!$H$3)+COUNTIFS(' CADASTRO'!$R$746:$R$893,'acab equip'!F21,' CADASTRO'!$S$746:$S$893,'acab equip'!$G$3)</f>
        <v>1</v>
      </c>
      <c r="J21" s="162">
        <f t="shared" si="8"/>
        <v>45854</v>
      </c>
      <c r="K21" s="163">
        <f>COUNTIFS(' CADASTRO'!$S:$S,'acab equip'!$C$3,' CADASTRO'!$R:$R,'acab equip'!J21)</f>
        <v>2</v>
      </c>
      <c r="L21" s="163">
        <f>COUNTIFS(' CADASTRO'!$S:$S,'acab equip'!$D$3,' CADASTRO'!$R:$R,'acab equip'!J21)</f>
        <v>0</v>
      </c>
      <c r="M21" s="163">
        <f>COUNTIFS(' CADASTRO'!$R$746:$R$893,'acab equip'!J21,' CADASTRO'!$S$746:$S$893,'acab equip'!$L$3)+COUNTIFS(' CADASTRO'!$R$746:$R$893,'acab equip'!J21,' CADASTRO'!$S$746:$S$893,'acab equip'!$K$3)</f>
        <v>0</v>
      </c>
      <c r="N21" s="162">
        <f t="shared" si="9"/>
        <v>45855</v>
      </c>
      <c r="O21" s="163">
        <f>COUNTIFS(' CADASTRO'!$S:$S,'acab equip'!$C$3,' CADASTRO'!$R:$R,'acab equip'!N21)</f>
        <v>0</v>
      </c>
      <c r="P21" s="163">
        <f>COUNTIFS(' CADASTRO'!$S:$S,'acab equip'!$D$3,' CADASTRO'!$R:$R,'acab equip'!N21)</f>
        <v>3</v>
      </c>
      <c r="Q21" s="163">
        <f>COUNTIFS(' CADASTRO'!$R$746:$R$893,'acab equip'!N21,' CADASTRO'!$S$746:$S$893,'acab equip'!$P$3)+COUNTIFS(' CADASTRO'!$R$746:$R$893,'acab equip'!N21,' CADASTRO'!$S$746:$S$893,'acab equip'!$O$3)</f>
        <v>3</v>
      </c>
      <c r="R21" s="162">
        <f t="shared" si="10"/>
        <v>45856</v>
      </c>
      <c r="S21" s="163">
        <f>COUNTIFS(' CADASTRO'!$S:$S,'acab equip'!$C$3,' CADASTRO'!$R:$R,'acab equip'!R21)</f>
        <v>0</v>
      </c>
      <c r="T21" s="163">
        <f>COUNTIFS(' CADASTRO'!$S:$S,'acab equip'!$D$3,' CADASTRO'!$R:$R,'acab equip'!R21)</f>
        <v>4</v>
      </c>
      <c r="U21" s="163">
        <f>COUNTIFS(' CADASTRO'!$R$746:$R$893,'acab equip'!R21,' CADASTRO'!$S$746:$S$893,'acab equip'!$T$3)+COUNTIFS(' CADASTRO'!$R$746:$R$893,'acab equip'!R21,' CADASTRO'!$S$746:$S$893,'acab equip'!$S$3)</f>
        <v>4</v>
      </c>
      <c r="V21" s="162">
        <f t="shared" si="11"/>
        <v>45857</v>
      </c>
      <c r="W21" s="163">
        <f>COUNTIFS(' CADASTRO'!$S:$S,'acab equip'!$C$3,' CADASTRO'!$R:$R,'acab equip'!V21)</f>
        <v>0</v>
      </c>
      <c r="X21" s="163">
        <f>COUNTIFS(' CADASTRO'!$S:$S,'acab equip'!$D$3,' CADASTRO'!$R:$R,'acab equip'!V21)</f>
        <v>0</v>
      </c>
      <c r="Y21" s="163">
        <f>COUNTIFS(' CADASTRO'!$R$746:$R$893,'acab equip'!V21,' CADASTRO'!$S$746:$S$893,'acab equip'!$X$3)+COUNTIFS(' CADASTRO'!$R$746:$R$893,'acab equip'!V21,' CADASTRO'!$S$746:$S$893,'acab equip'!$W$3)</f>
        <v>0</v>
      </c>
      <c r="Z21" s="162">
        <f t="shared" si="12"/>
        <v>45858</v>
      </c>
      <c r="AB21" s="165">
        <f t="shared" si="0"/>
        <v>3</v>
      </c>
      <c r="AC21" s="165">
        <f t="shared" si="3"/>
        <v>2</v>
      </c>
      <c r="AD21" s="165">
        <f t="shared" si="4"/>
        <v>8</v>
      </c>
      <c r="AE21" s="177">
        <f t="shared" si="5"/>
        <v>13</v>
      </c>
      <c r="AF21" s="14" t="str">
        <f t="shared" si="13"/>
        <v>jul/2025</v>
      </c>
    </row>
    <row r="22" spans="1:34" x14ac:dyDescent="0.25">
      <c r="A22" s="14" t="s">
        <v>155</v>
      </c>
      <c r="B22" s="162">
        <f t="shared" si="6"/>
        <v>45859</v>
      </c>
      <c r="C22" s="163">
        <f>COUNTIFS(' CADASTRO'!$S:$S,'acab equip'!$C$3,' CADASTRO'!$R:$R,'acab equip'!B22)</f>
        <v>3</v>
      </c>
      <c r="D22" s="163">
        <f>COUNTIFS(' CADASTRO'!$S:$S,'acab equip'!$D$3,' CADASTRO'!$R:$R,'acab equip'!B22)</f>
        <v>1</v>
      </c>
      <c r="E22" s="163">
        <f>COUNTIFS(' CADASTRO'!$R$746:$R$893,'acab equip'!B22,' CADASTRO'!$S$746:$S$893,'acab equip'!$D$3)+COUNTIFS(' CADASTRO'!$R$746:$R$893,'acab equip'!B22,' CADASTRO'!$S$746:$S$893,'acab equip'!$C$3)</f>
        <v>1</v>
      </c>
      <c r="F22" s="162">
        <f t="shared" si="7"/>
        <v>45860</v>
      </c>
      <c r="G22" s="163">
        <f>COUNTIFS(' CADASTRO'!$S:$S,'acab equip'!$C$3,' CADASTRO'!$R:$R,'acab equip'!F22)</f>
        <v>3</v>
      </c>
      <c r="H22" s="163">
        <f>COUNTIFS(' CADASTRO'!$S:$S,'acab equip'!$D$3,' CADASTRO'!$R:$R,'acab equip'!F22)</f>
        <v>3</v>
      </c>
      <c r="I22" s="163">
        <f>COUNTIFS(' CADASTRO'!$R$746:$R$893,'acab equip'!F22,' CADASTRO'!$S$746:$S$893,'acab equip'!$H$3)+COUNTIFS(' CADASTRO'!$R$746:$R$893,'acab equip'!F22,' CADASTRO'!$S$746:$S$893,'acab equip'!$G$3)</f>
        <v>3</v>
      </c>
      <c r="J22" s="162">
        <f t="shared" si="8"/>
        <v>45861</v>
      </c>
      <c r="K22" s="163">
        <f>COUNTIFS(' CADASTRO'!$S:$S,'acab equip'!$C$3,' CADASTRO'!$R:$R,'acab equip'!J22)</f>
        <v>0</v>
      </c>
      <c r="L22" s="163">
        <f>COUNTIFS(' CADASTRO'!$S:$S,'acab equip'!$D$3,' CADASTRO'!$R:$R,'acab equip'!J22)</f>
        <v>2</v>
      </c>
      <c r="M22" s="163">
        <f>COUNTIFS(' CADASTRO'!$R$746:$R$893,'acab equip'!J22,' CADASTRO'!$S$746:$S$893,'acab equip'!$L$3)+COUNTIFS(' CADASTRO'!$R$746:$R$893,'acab equip'!J22,' CADASTRO'!$S$746:$S$893,'acab equip'!$K$3)</f>
        <v>0</v>
      </c>
      <c r="N22" s="162">
        <f t="shared" si="9"/>
        <v>45862</v>
      </c>
      <c r="O22" s="163">
        <f>COUNTIFS(' CADASTRO'!$S:$S,'acab equip'!$C$3,' CADASTRO'!$R:$R,'acab equip'!N22)</f>
        <v>2</v>
      </c>
      <c r="P22" s="163">
        <f>COUNTIFS(' CADASTRO'!$S:$S,'acab equip'!$D$3,' CADASTRO'!$R:$R,'acab equip'!N22)</f>
        <v>3</v>
      </c>
      <c r="Q22" s="163">
        <f>COUNTIFS(' CADASTRO'!$R$746:$R$893,'acab equip'!N22,' CADASTRO'!$S$746:$S$893,'acab equip'!$P$3)+COUNTIFS(' CADASTRO'!$R$746:$R$893,'acab equip'!N22,' CADASTRO'!$S$746:$S$893,'acab equip'!$O$3)</f>
        <v>1</v>
      </c>
      <c r="R22" s="162">
        <f t="shared" si="10"/>
        <v>45863</v>
      </c>
      <c r="S22" s="163">
        <f>COUNTIFS(' CADASTRO'!$S:$S,'acab equip'!$C$3,' CADASTRO'!$R:$R,'acab equip'!R22)</f>
        <v>2</v>
      </c>
      <c r="T22" s="163">
        <f>COUNTIFS(' CADASTRO'!$S:$S,'acab equip'!$D$3,' CADASTRO'!$R:$R,'acab equip'!R22)</f>
        <v>0</v>
      </c>
      <c r="U22" s="163">
        <f>COUNTIFS(' CADASTRO'!$R$746:$R$893,'acab equip'!R22,' CADASTRO'!$S$746:$S$893,'acab equip'!$T$3)+COUNTIFS(' CADASTRO'!$R$746:$R$893,'acab equip'!R22,' CADASTRO'!$S$746:$S$893,'acab equip'!$S$3)</f>
        <v>0</v>
      </c>
      <c r="V22" s="162">
        <f t="shared" si="11"/>
        <v>45864</v>
      </c>
      <c r="W22" s="163">
        <f>COUNTIFS(' CADASTRO'!$S:$S,'acab equip'!$C$3,' CADASTRO'!$R:$R,'acab equip'!V22)</f>
        <v>2</v>
      </c>
      <c r="X22" s="163">
        <f>COUNTIFS(' CADASTRO'!$S:$S,'acab equip'!$D$3,' CADASTRO'!$R:$R,'acab equip'!V22)</f>
        <v>2</v>
      </c>
      <c r="Y22" s="163">
        <f>COUNTIFS(' CADASTRO'!$R$746:$R$893,'acab equip'!V22,' CADASTRO'!$S$746:$S$893,'acab equip'!$X$3)+COUNTIFS(' CADASTRO'!$R$746:$R$893,'acab equip'!V22,' CADASTRO'!$S$746:$S$893,'acab equip'!$W$3)</f>
        <v>1</v>
      </c>
      <c r="Z22" s="162">
        <f t="shared" si="12"/>
        <v>45865</v>
      </c>
      <c r="AB22" s="165">
        <f t="shared" si="0"/>
        <v>12</v>
      </c>
      <c r="AC22" s="165">
        <f t="shared" si="3"/>
        <v>5</v>
      </c>
      <c r="AD22" s="165">
        <f t="shared" si="4"/>
        <v>6</v>
      </c>
      <c r="AE22" s="177">
        <f t="shared" si="5"/>
        <v>23</v>
      </c>
      <c r="AF22" s="14" t="str">
        <f t="shared" si="13"/>
        <v>jul/2025</v>
      </c>
    </row>
    <row r="23" spans="1:34" x14ac:dyDescent="0.25">
      <c r="A23" s="14" t="s">
        <v>156</v>
      </c>
      <c r="B23" s="162">
        <f t="shared" si="6"/>
        <v>45866</v>
      </c>
      <c r="C23" s="163">
        <f>COUNTIFS(' CADASTRO'!$S:$S,'acab equip'!$C$3,' CADASTRO'!$R:$R,'acab equip'!B23)</f>
        <v>0</v>
      </c>
      <c r="D23" s="163">
        <f>COUNTIFS(' CADASTRO'!$S:$S,'acab equip'!$D$3,' CADASTRO'!$R:$R,'acab equip'!B23)</f>
        <v>1</v>
      </c>
      <c r="E23" s="163">
        <f>COUNTIFS(' CADASTRO'!$R$746:$R$893,'acab equip'!B23,' CADASTRO'!$S$746:$S$893,'acab equip'!$D$3)+COUNTIFS(' CADASTRO'!$R$746:$R$893,'acab equip'!B23,' CADASTRO'!$S$746:$S$893,'acab equip'!$C$3)</f>
        <v>0</v>
      </c>
      <c r="F23" s="162">
        <f t="shared" si="7"/>
        <v>45867</v>
      </c>
      <c r="G23" s="163">
        <f>COUNTIFS(' CADASTRO'!$S:$S,'acab equip'!$C$3,' CADASTRO'!$R:$R,'acab equip'!F23)</f>
        <v>2</v>
      </c>
      <c r="H23" s="163">
        <f>COUNTIFS(' CADASTRO'!$S:$S,'acab equip'!$D$3,' CADASTRO'!$R:$R,'acab equip'!F23)</f>
        <v>1</v>
      </c>
      <c r="I23" s="163">
        <f>COUNTIFS(' CADASTRO'!$R$746:$R$893,'acab equip'!F23,' CADASTRO'!$S$746:$S$893,'acab equip'!$H$3)+COUNTIFS(' CADASTRO'!$R$746:$R$893,'acab equip'!F23,' CADASTRO'!$S$746:$S$893,'acab equip'!$G$3)</f>
        <v>1</v>
      </c>
      <c r="J23" s="162">
        <f t="shared" si="8"/>
        <v>45868</v>
      </c>
      <c r="K23" s="163">
        <f>COUNTIFS(' CADASTRO'!$S:$S,'acab equip'!$C$3,' CADASTRO'!$R:$R,'acab equip'!J23)</f>
        <v>4</v>
      </c>
      <c r="L23" s="163">
        <f>COUNTIFS(' CADASTRO'!$S:$S,'acab equip'!$D$3,' CADASTRO'!$R:$R,'acab equip'!J23)</f>
        <v>3</v>
      </c>
      <c r="M23" s="163">
        <f>COUNTIFS(' CADASTRO'!$R$746:$R$893,'acab equip'!J23,' CADASTRO'!$S$746:$S$893,'acab equip'!$L$3)+COUNTIFS(' CADASTRO'!$R$746:$R$893,'acab equip'!J23,' CADASTRO'!$S$746:$S$893,'acab equip'!$K$3)</f>
        <v>1</v>
      </c>
      <c r="N23" s="162">
        <f t="shared" si="9"/>
        <v>45869</v>
      </c>
      <c r="O23" s="163">
        <f>COUNTIFS(' CADASTRO'!$S:$S,'acab equip'!$C$3,' CADASTRO'!$R:$R,'acab equip'!N23)</f>
        <v>2</v>
      </c>
      <c r="P23" s="163">
        <f>COUNTIFS(' CADASTRO'!$S:$S,'acab equip'!$D$3,' CADASTRO'!$R:$R,'acab equip'!N23)</f>
        <v>1</v>
      </c>
      <c r="Q23" s="163">
        <f>COUNTIFS(' CADASTRO'!$R$746:$R$893,'acab equip'!N23,' CADASTRO'!$S$746:$S$893,'acab equip'!$P$3)+COUNTIFS(' CADASTRO'!$R$746:$R$893,'acab equip'!N23,' CADASTRO'!$S$746:$S$893,'acab equip'!$O$3)</f>
        <v>1</v>
      </c>
      <c r="R23" s="162">
        <f t="shared" si="10"/>
        <v>45870</v>
      </c>
      <c r="S23" s="163">
        <f>COUNTIFS(' CADASTRO'!$S:$S,'acab equip'!$C$3,' CADASTRO'!$R:$R,'acab equip'!R23)</f>
        <v>4</v>
      </c>
      <c r="T23" s="163">
        <f>COUNTIFS(' CADASTRO'!$S:$S,'acab equip'!$D$3,' CADASTRO'!$R:$R,'acab equip'!R23)</f>
        <v>2</v>
      </c>
      <c r="U23" s="163">
        <f>COUNTIFS(' CADASTRO'!$R$746:$R$893,'acab equip'!R23,' CADASTRO'!$S$746:$S$893,'acab equip'!$T$3)+COUNTIFS(' CADASTRO'!$R$746:$R$893,'acab equip'!R23,' CADASTRO'!$S$746:$S$893,'acab equip'!$S$3)</f>
        <v>0</v>
      </c>
      <c r="V23" s="162">
        <f t="shared" si="11"/>
        <v>45871</v>
      </c>
      <c r="W23" s="163">
        <f>COUNTIFS(' CADASTRO'!$S:$S,'acab equip'!$C$3,' CADASTRO'!$R:$R,'acab equip'!V23)</f>
        <v>2</v>
      </c>
      <c r="X23" s="163">
        <f>COUNTIFS(' CADASTRO'!$S:$S,'acab equip'!$D$3,' CADASTRO'!$R:$R,'acab equip'!V23)</f>
        <v>2</v>
      </c>
      <c r="Y23" s="163">
        <f>COUNTIFS(' CADASTRO'!$R$746:$R$893,'acab equip'!V23,' CADASTRO'!$S$746:$S$893,'acab equip'!$X$3)+COUNTIFS(' CADASTRO'!$R$746:$R$893,'acab equip'!V23,' CADASTRO'!$S$746:$S$893,'acab equip'!$W$3)</f>
        <v>0</v>
      </c>
      <c r="Z23" s="162">
        <f t="shared" si="12"/>
        <v>45872</v>
      </c>
      <c r="AB23" s="165">
        <f t="shared" si="0"/>
        <v>14</v>
      </c>
      <c r="AC23" s="165">
        <f t="shared" si="3"/>
        <v>7</v>
      </c>
      <c r="AD23" s="165">
        <f t="shared" si="4"/>
        <v>3</v>
      </c>
      <c r="AE23" s="177">
        <f t="shared" si="5"/>
        <v>24</v>
      </c>
      <c r="AF23" s="14" t="str">
        <f t="shared" si="13"/>
        <v>ago/2025</v>
      </c>
    </row>
    <row r="24" spans="1:34" x14ac:dyDescent="0.25">
      <c r="A24" s="14" t="s">
        <v>157</v>
      </c>
      <c r="B24" s="162">
        <f t="shared" si="6"/>
        <v>45873</v>
      </c>
      <c r="C24" s="163">
        <f>COUNTIFS(' CADASTRO'!$S:$S,'acab equip'!$C$3,' CADASTRO'!$R:$R,'acab equip'!B24)</f>
        <v>2</v>
      </c>
      <c r="D24" s="163">
        <f>COUNTIFS(' CADASTRO'!$S:$S,'acab equip'!$D$3,' CADASTRO'!$R:$R,'acab equip'!B24)</f>
        <v>0</v>
      </c>
      <c r="E24" s="163">
        <f>COUNTIFS(' CADASTRO'!$R$746:$R$893,'acab equip'!B24,' CADASTRO'!$S$746:$S$893,'acab equip'!$D$3)+COUNTIFS(' CADASTRO'!$R$746:$R$893,'acab equip'!B24,' CADASTRO'!$S$746:$S$893,'acab equip'!$C$3)</f>
        <v>0</v>
      </c>
      <c r="F24" s="162">
        <f t="shared" si="7"/>
        <v>45874</v>
      </c>
      <c r="G24" s="163">
        <f>COUNTIFS(' CADASTRO'!$S:$S,'acab equip'!$C$3,' CADASTRO'!$R:$R,'acab equip'!F24)</f>
        <v>2</v>
      </c>
      <c r="H24" s="163">
        <f>COUNTIFS(' CADASTRO'!$S:$S,'acab equip'!$D$3,' CADASTRO'!$R:$R,'acab equip'!F24)</f>
        <v>3</v>
      </c>
      <c r="I24" s="163">
        <f>COUNTIFS(' CADASTRO'!$R$746:$R$893,'acab equip'!F24,' CADASTRO'!$S$746:$S$893,'acab equip'!$H$3)+COUNTIFS(' CADASTRO'!$R$746:$R$893,'acab equip'!F24,' CADASTRO'!$S$746:$S$893,'acab equip'!$G$3)</f>
        <v>0</v>
      </c>
      <c r="J24" s="162">
        <f t="shared" si="8"/>
        <v>45875</v>
      </c>
      <c r="K24" s="163">
        <f>COUNTIFS(' CADASTRO'!$S:$S,'acab equip'!$C$3,' CADASTRO'!$R:$R,'acab equip'!J24)</f>
        <v>2</v>
      </c>
      <c r="L24" s="163">
        <f>COUNTIFS(' CADASTRO'!$S:$S,'acab equip'!$D$3,' CADASTRO'!$R:$R,'acab equip'!J24)</f>
        <v>4</v>
      </c>
      <c r="M24" s="163">
        <f>COUNTIFS(' CADASTRO'!$R$746:$R$893,'acab equip'!J24,' CADASTRO'!$S$746:$S$893,'acab equip'!$L$3)+COUNTIFS(' CADASTRO'!$R$746:$R$893,'acab equip'!J24,' CADASTRO'!$S$746:$S$893,'acab equip'!$K$3)</f>
        <v>2</v>
      </c>
      <c r="N24" s="162">
        <f t="shared" si="9"/>
        <v>45876</v>
      </c>
      <c r="O24" s="163">
        <f>COUNTIFS(' CADASTRO'!$S:$S,'acab equip'!$C$3,' CADASTRO'!$R:$R,'acab equip'!N24)</f>
        <v>0</v>
      </c>
      <c r="P24" s="163">
        <f>COUNTIFS(' CADASTRO'!$S:$S,'acab equip'!$D$3,' CADASTRO'!$R:$R,'acab equip'!N24)</f>
        <v>1</v>
      </c>
      <c r="Q24" s="163">
        <f>COUNTIFS(' CADASTRO'!$R$746:$R$893,'acab equip'!N24,' CADASTRO'!$S$746:$S$893,'acab equip'!$P$3)+COUNTIFS(' CADASTRO'!$R$746:$R$893,'acab equip'!N24,' CADASTRO'!$S$746:$S$893,'acab equip'!$O$3)</f>
        <v>1</v>
      </c>
      <c r="R24" s="162">
        <f t="shared" si="10"/>
        <v>45877</v>
      </c>
      <c r="S24" s="163">
        <f>COUNTIFS(' CADASTRO'!$S:$S,'acab equip'!$C$3,' CADASTRO'!$R:$R,'acab equip'!R24)</f>
        <v>0</v>
      </c>
      <c r="T24" s="163">
        <f>COUNTIFS(' CADASTRO'!$S:$S,'acab equip'!$D$3,' CADASTRO'!$R:$R,'acab equip'!R24)</f>
        <v>2</v>
      </c>
      <c r="U24" s="163">
        <f>COUNTIFS(' CADASTRO'!$R$746:$R$893,'acab equip'!R24,' CADASTRO'!$S$746:$S$893,'acab equip'!$T$3)+COUNTIFS(' CADASTRO'!$R$746:$R$893,'acab equip'!R24,' CADASTRO'!$S$746:$S$893,'acab equip'!$S$3)</f>
        <v>0</v>
      </c>
      <c r="V24" s="162">
        <f t="shared" si="11"/>
        <v>45878</v>
      </c>
      <c r="W24" s="163">
        <f>COUNTIFS(' CADASTRO'!$S:$S,'acab equip'!$C$3,' CADASTRO'!$R:$R,'acab equip'!V24)</f>
        <v>4</v>
      </c>
      <c r="X24" s="163">
        <f>COUNTIFS(' CADASTRO'!$S:$S,'acab equip'!$D$3,' CADASTRO'!$R:$R,'acab equip'!V24)</f>
        <v>4</v>
      </c>
      <c r="Y24" s="163">
        <f>COUNTIFS(' CADASTRO'!$R$746:$R$893,'acab equip'!V24,' CADASTRO'!$S$746:$S$893,'acab equip'!$X$3)+COUNTIFS(' CADASTRO'!$R$746:$R$893,'acab equip'!V24,' CADASTRO'!$S$746:$S$893,'acab equip'!$W$3)</f>
        <v>0</v>
      </c>
      <c r="Z24" s="162">
        <f t="shared" si="12"/>
        <v>45879</v>
      </c>
      <c r="AB24" s="165">
        <f t="shared" si="0"/>
        <v>10</v>
      </c>
      <c r="AC24" s="165">
        <f t="shared" si="3"/>
        <v>11</v>
      </c>
      <c r="AD24" s="165">
        <f t="shared" si="4"/>
        <v>3</v>
      </c>
      <c r="AE24" s="177">
        <f t="shared" si="5"/>
        <v>24</v>
      </c>
      <c r="AF24" s="14" t="str">
        <f t="shared" si="13"/>
        <v>ago/2025</v>
      </c>
    </row>
    <row r="25" spans="1:34" x14ac:dyDescent="0.25">
      <c r="A25" s="14" t="s">
        <v>158</v>
      </c>
      <c r="B25" s="162">
        <f t="shared" si="6"/>
        <v>45880</v>
      </c>
      <c r="C25" s="163">
        <f>COUNTIFS(' CADASTRO'!$S:$S,'acab equip'!$C$3,' CADASTRO'!$R:$R,'acab equip'!B25)</f>
        <v>2</v>
      </c>
      <c r="D25" s="163">
        <f>COUNTIFS(' CADASTRO'!$S:$S,'acab equip'!$D$3,' CADASTRO'!$R:$R,'acab equip'!B25)</f>
        <v>2</v>
      </c>
      <c r="E25" s="163">
        <f>COUNTIFS(' CADASTRO'!$R$746:$R$893,'acab equip'!B25,' CADASTRO'!$S$746:$S$893,'acab equip'!$D$3)+COUNTIFS(' CADASTRO'!$R$746:$R$893,'acab equip'!B25,' CADASTRO'!$S$746:$S$893,'acab equip'!$C$3)</f>
        <v>0</v>
      </c>
      <c r="F25" s="162">
        <f t="shared" si="7"/>
        <v>45881</v>
      </c>
      <c r="G25" s="163">
        <f>COUNTIFS(' CADASTRO'!$S:$S,'acab equip'!$C$3,' CADASTRO'!$R:$R,'acab equip'!F25)</f>
        <v>0</v>
      </c>
      <c r="H25" s="163">
        <f>COUNTIFS(' CADASTRO'!$S:$S,'acab equip'!$D$3,' CADASTRO'!$R:$R,'acab equip'!F25)</f>
        <v>4</v>
      </c>
      <c r="I25" s="163">
        <f>COUNTIFS(' CADASTRO'!$R$746:$R$893,'acab equip'!F25,' CADASTRO'!$S$746:$S$893,'acab equip'!$H$3)+COUNTIFS(' CADASTRO'!$R$746:$R$893,'acab equip'!F25,' CADASTRO'!$S$746:$S$893,'acab equip'!$G$3)</f>
        <v>2</v>
      </c>
      <c r="J25" s="162">
        <f t="shared" si="8"/>
        <v>45882</v>
      </c>
      <c r="K25" s="163">
        <f>COUNTIFS(' CADASTRO'!$S:$S,'acab equip'!$C$3,' CADASTRO'!$R:$R,'acab equip'!J25)</f>
        <v>2</v>
      </c>
      <c r="L25" s="163">
        <f>COUNTIFS(' CADASTRO'!$S:$S,'acab equip'!$D$3,' CADASTRO'!$R:$R,'acab equip'!J25)</f>
        <v>3</v>
      </c>
      <c r="M25" s="163">
        <f>COUNTIFS(' CADASTRO'!$R$746:$R$893,'acab equip'!J25,' CADASTRO'!$S$746:$S$893,'acab equip'!$L$3)+COUNTIFS(' CADASTRO'!$R$746:$R$893,'acab equip'!J25,' CADASTRO'!$S$746:$S$893,'acab equip'!$K$3)</f>
        <v>0</v>
      </c>
      <c r="N25" s="162">
        <f t="shared" si="9"/>
        <v>45883</v>
      </c>
      <c r="O25" s="163">
        <f>COUNTIFS(' CADASTRO'!$S:$S,'acab equip'!$C$3,' CADASTRO'!$R:$R,'acab equip'!N25)</f>
        <v>2</v>
      </c>
      <c r="P25" s="163">
        <f>COUNTIFS(' CADASTRO'!$S:$S,'acab equip'!$D$3,' CADASTRO'!$R:$R,'acab equip'!N25)</f>
        <v>5</v>
      </c>
      <c r="Q25" s="163">
        <f>COUNTIFS(' CADASTRO'!$R$746:$R$893,'acab equip'!N25,' CADASTRO'!$S$746:$S$893,'acab equip'!$P$3)+COUNTIFS(' CADASTRO'!$R$746:$R$893,'acab equip'!N25,' CADASTRO'!$S$746:$S$893,'acab equip'!$O$3)</f>
        <v>2</v>
      </c>
      <c r="R25" s="162">
        <f t="shared" si="10"/>
        <v>45884</v>
      </c>
      <c r="S25" s="163">
        <f>COUNTIFS(' CADASTRO'!$S:$S,'acab equip'!$C$3,' CADASTRO'!$R:$R,'acab equip'!R25)</f>
        <v>4</v>
      </c>
      <c r="T25" s="163">
        <f>COUNTIFS(' CADASTRO'!$S:$S,'acab equip'!$D$3,' CADASTRO'!$R:$R,'acab equip'!R25)</f>
        <v>3</v>
      </c>
      <c r="U25" s="163">
        <f>COUNTIFS(' CADASTRO'!$R$746:$R$893,'acab equip'!R25,' CADASTRO'!$S$746:$S$893,'acab equip'!$T$3)+COUNTIFS(' CADASTRO'!$R$746:$R$893,'acab equip'!R25,' CADASTRO'!$S$746:$S$893,'acab equip'!$S$3)</f>
        <v>0</v>
      </c>
      <c r="V25" s="162">
        <f t="shared" si="11"/>
        <v>45885</v>
      </c>
      <c r="W25" s="163">
        <f>COUNTIFS(' CADASTRO'!$S:$S,'acab equip'!$C$3,' CADASTRO'!$R:$R,'acab equip'!V25)</f>
        <v>2</v>
      </c>
      <c r="X25" s="163">
        <f>COUNTIFS(' CADASTRO'!$S:$S,'acab equip'!$D$3,' CADASTRO'!$R:$R,'acab equip'!V25)</f>
        <v>2</v>
      </c>
      <c r="Y25" s="163">
        <f>COUNTIFS(' CADASTRO'!$R$746:$R$893,'acab equip'!V25,' CADASTRO'!$S$746:$S$893,'acab equip'!$X$3)+COUNTIFS(' CADASTRO'!$R$746:$R$893,'acab equip'!V25,' CADASTRO'!$S$746:$S$893,'acab equip'!$W$3)</f>
        <v>0</v>
      </c>
      <c r="Z25" s="162">
        <f t="shared" si="12"/>
        <v>45886</v>
      </c>
      <c r="AB25" s="165">
        <f t="shared" si="0"/>
        <v>12</v>
      </c>
      <c r="AC25" s="165">
        <f t="shared" si="3"/>
        <v>15</v>
      </c>
      <c r="AD25" s="165">
        <f>M25+Q25+U25+Y25+I25+E25</f>
        <v>4</v>
      </c>
      <c r="AE25" s="177">
        <f t="shared" si="5"/>
        <v>31</v>
      </c>
      <c r="AF25" s="14" t="str">
        <f t="shared" si="13"/>
        <v>ago/2025</v>
      </c>
    </row>
    <row r="26" spans="1:34" x14ac:dyDescent="0.25">
      <c r="A26" s="14" t="s">
        <v>159</v>
      </c>
      <c r="B26" s="162">
        <f t="shared" si="6"/>
        <v>45887</v>
      </c>
      <c r="C26" s="163">
        <f>COUNTIFS(' CADASTRO'!$S:$S,'acab equip'!$C$3,' CADASTRO'!$R:$R,'acab equip'!B26)</f>
        <v>2</v>
      </c>
      <c r="D26" s="163">
        <f>COUNTIFS(' CADASTRO'!$S:$S,'acab equip'!$D$3,' CADASTRO'!$R:$R,'acab equip'!B26)</f>
        <v>3</v>
      </c>
      <c r="E26" s="163">
        <f>COUNTIFS(' CADASTRO'!$R$746:$R$893,'acab equip'!B26,' CADASTRO'!$S$746:$S$893,'acab equip'!$D$3)+COUNTIFS(' CADASTRO'!$R$746:$R$893,'acab equip'!B26,' CADASTRO'!$S$746:$S$893,'acab equip'!$C$3)</f>
        <v>1</v>
      </c>
      <c r="F26" s="162">
        <f t="shared" si="7"/>
        <v>45888</v>
      </c>
      <c r="G26" s="163">
        <f>COUNTIFS(' CADASTRO'!$S:$S,'acab equip'!$C$3,' CADASTRO'!$R:$R,'acab equip'!F26)</f>
        <v>2</v>
      </c>
      <c r="H26" s="163">
        <f>COUNTIFS(' CADASTRO'!$S:$S,'acab equip'!$D$3,' CADASTRO'!$R:$R,'acab equip'!F26)</f>
        <v>5</v>
      </c>
      <c r="I26" s="163">
        <f>COUNTIFS(' CADASTRO'!$R$746:$R$893,'acab equip'!F26,' CADASTRO'!$S$746:$S$893,'acab equip'!$H$3)+COUNTIFS(' CADASTRO'!$R$746:$R$893,'acab equip'!F26,' CADASTRO'!$S$746:$S$893,'acab equip'!$G$3)</f>
        <v>2</v>
      </c>
      <c r="J26" s="162">
        <f t="shared" si="8"/>
        <v>45889</v>
      </c>
      <c r="K26" s="163">
        <f>COUNTIFS(' CADASTRO'!$S:$S,'acab equip'!$C$3,' CADASTRO'!$R:$R,'acab equip'!J26)</f>
        <v>1</v>
      </c>
      <c r="L26" s="163">
        <f>COUNTIFS(' CADASTRO'!$S:$S,'acab equip'!$D$3,' CADASTRO'!$R:$R,'acab equip'!J26)</f>
        <v>4</v>
      </c>
      <c r="M26" s="163">
        <f>COUNTIFS(' CADASTRO'!$R$746:$R$893,'acab equip'!J26,' CADASTRO'!$S$746:$S$893,'acab equip'!$L$3)+COUNTIFS(' CADASTRO'!$R$746:$R$893,'acab equip'!J26,' CADASTRO'!$S$746:$S$893,'acab equip'!$K$3)</f>
        <v>1</v>
      </c>
      <c r="N26" s="162">
        <f t="shared" si="9"/>
        <v>45890</v>
      </c>
      <c r="O26" s="163">
        <f>COUNTIFS(' CADASTRO'!$S:$S,'acab equip'!$C$3,' CADASTRO'!$R:$R,'acab equip'!N26)</f>
        <v>2</v>
      </c>
      <c r="P26" s="163">
        <f>COUNTIFS(' CADASTRO'!$S:$S,'acab equip'!$D$3,' CADASTRO'!$R:$R,'acab equip'!N26)</f>
        <v>3</v>
      </c>
      <c r="Q26" s="163">
        <f>COUNTIFS(' CADASTRO'!$R$746:$R$893,'acab equip'!N26,' CADASTRO'!$S$746:$S$893,'acab equip'!$P$3)+COUNTIFS(' CADASTRO'!$R$746:$R$893,'acab equip'!N26,' CADASTRO'!$S$746:$S$893,'acab equip'!$O$3)</f>
        <v>0</v>
      </c>
      <c r="R26" s="162">
        <f t="shared" si="10"/>
        <v>45891</v>
      </c>
      <c r="S26" s="163">
        <f>COUNTIFS(' CADASTRO'!$S:$S,'acab equip'!$C$3,' CADASTRO'!$R:$R,'acab equip'!R26)</f>
        <v>0</v>
      </c>
      <c r="T26" s="163">
        <f>COUNTIFS(' CADASTRO'!$S:$S,'acab equip'!$D$3,' CADASTRO'!$R:$R,'acab equip'!R26)</f>
        <v>4</v>
      </c>
      <c r="U26" s="163">
        <f>COUNTIFS(' CADASTRO'!$R$746:$R$893,'acab equip'!R26,' CADASTRO'!$S$746:$S$893,'acab equip'!$T$3)+COUNTIFS(' CADASTRO'!$R$746:$R$893,'acab equip'!R26,' CADASTRO'!$S$746:$S$893,'acab equip'!$S$3)</f>
        <v>2</v>
      </c>
      <c r="V26" s="162">
        <f t="shared" si="11"/>
        <v>45892</v>
      </c>
      <c r="W26" s="163">
        <f>COUNTIFS(' CADASTRO'!$S:$S,'acab equip'!$C$3,' CADASTRO'!$R:$R,'acab equip'!V26)</f>
        <v>2</v>
      </c>
      <c r="X26" s="163">
        <f>COUNTIFS(' CADASTRO'!$S:$S,'acab equip'!$D$3,' CADASTRO'!$R:$R,'acab equip'!V26)</f>
        <v>2</v>
      </c>
      <c r="Y26" s="163">
        <f>COUNTIFS(' CADASTRO'!$R$746:$R$893,'acab equip'!V26,' CADASTRO'!$S$746:$S$893,'acab equip'!$X$3)+COUNTIFS(' CADASTRO'!$R$746:$R$893,'acab equip'!V26,' CADASTRO'!$S$746:$S$893,'acab equip'!$W$3)</f>
        <v>0</v>
      </c>
      <c r="Z26" s="162">
        <f t="shared" si="12"/>
        <v>45893</v>
      </c>
      <c r="AB26" s="165">
        <f t="shared" si="0"/>
        <v>9</v>
      </c>
      <c r="AC26" s="165">
        <f t="shared" si="3"/>
        <v>15</v>
      </c>
      <c r="AD26" s="165">
        <f t="shared" si="4"/>
        <v>6</v>
      </c>
      <c r="AE26" s="177">
        <f t="shared" si="5"/>
        <v>30</v>
      </c>
      <c r="AF26" s="14" t="str">
        <f t="shared" si="13"/>
        <v>ago/2025</v>
      </c>
    </row>
    <row r="27" spans="1:34" x14ac:dyDescent="0.25">
      <c r="A27" s="14" t="s">
        <v>160</v>
      </c>
      <c r="B27" s="162">
        <f t="shared" si="6"/>
        <v>45894</v>
      </c>
      <c r="C27" s="163">
        <f>COUNTIFS(' CADASTRO'!$S:$S,'acab equip'!$C$3,' CADASTRO'!$R:$R,'acab equip'!B27)</f>
        <v>0</v>
      </c>
      <c r="D27" s="163">
        <f>COUNTIFS(' CADASTRO'!$S:$S,'acab equip'!$D$3,' CADASTRO'!$R:$R,'acab equip'!B27)</f>
        <v>2</v>
      </c>
      <c r="E27" s="163">
        <f>COUNTIFS(' CADASTRO'!$R$746:$R$893,'acab equip'!B27,' CADASTRO'!$S$746:$S$893,'acab equip'!$D$3)+COUNTIFS(' CADASTRO'!$R$746:$R$893,'acab equip'!B27,' CADASTRO'!$S$746:$S$893,'acab equip'!$C$3)</f>
        <v>0</v>
      </c>
      <c r="F27" s="162">
        <f t="shared" si="7"/>
        <v>45895</v>
      </c>
      <c r="G27" s="163">
        <f>COUNTIFS(' CADASTRO'!$S:$S,'acab equip'!$C$3,' CADASTRO'!$R:$R,'acab equip'!F27)</f>
        <v>2</v>
      </c>
      <c r="H27" s="163">
        <f>COUNTIFS(' CADASTRO'!$S:$S,'acab equip'!$D$3,' CADASTRO'!$R:$R,'acab equip'!F27)</f>
        <v>4</v>
      </c>
      <c r="I27" s="163">
        <f>COUNTIFS(' CADASTRO'!$R$746:$R$893,'acab equip'!F27,' CADASTRO'!$S$746:$S$893,'acab equip'!$H$3)+COUNTIFS(' CADASTRO'!$R$746:$R$893,'acab equip'!F27,' CADASTRO'!$S$746:$S$893,'acab equip'!$G$3)</f>
        <v>2</v>
      </c>
      <c r="J27" s="162">
        <f t="shared" si="8"/>
        <v>45896</v>
      </c>
      <c r="K27" s="163">
        <f>COUNTIFS(' CADASTRO'!$S:$S,'acab equip'!$C$3,' CADASTRO'!$R:$R,'acab equip'!J27)</f>
        <v>1</v>
      </c>
      <c r="L27" s="163">
        <f>COUNTIFS(' CADASTRO'!$S:$S,'acab equip'!$D$3,' CADASTRO'!$R:$R,'acab equip'!J27)</f>
        <v>3</v>
      </c>
      <c r="M27" s="163">
        <f>COUNTIFS(' CADASTRO'!$R$746:$R$893,'acab equip'!J27,' CADASTRO'!$S$746:$S$893,'acab equip'!$L$3)+COUNTIFS(' CADASTRO'!$R$746:$R$893,'acab equip'!J27,' CADASTRO'!$S$746:$S$893,'acab equip'!$K$3)</f>
        <v>0</v>
      </c>
      <c r="N27" s="162">
        <f t="shared" si="9"/>
        <v>45897</v>
      </c>
      <c r="O27" s="163">
        <f>COUNTIFS(' CADASTRO'!$S:$S,'acab equip'!$C$3,' CADASTRO'!$R:$R,'acab equip'!N27)</f>
        <v>2</v>
      </c>
      <c r="P27" s="163">
        <f>COUNTIFS(' CADASTRO'!$S:$S,'acab equip'!$D$3,' CADASTRO'!$R:$R,'acab equip'!N27)</f>
        <v>4</v>
      </c>
      <c r="Q27" s="163">
        <f>COUNTIFS(' CADASTRO'!$R$746:$R$893,'acab equip'!N27,' CADASTRO'!$S$746:$S$893,'acab equip'!$P$3)+COUNTIFS(' CADASTRO'!$R$746:$R$893,'acab equip'!N27,' CADASTRO'!$S$746:$S$893,'acab equip'!$O$3)</f>
        <v>0</v>
      </c>
      <c r="R27" s="162">
        <f t="shared" si="10"/>
        <v>45898</v>
      </c>
      <c r="S27" s="163">
        <f>COUNTIFS(' CADASTRO'!$S:$S,'acab equip'!$C$3,' CADASTRO'!$R:$R,'acab equip'!R27)</f>
        <v>2</v>
      </c>
      <c r="T27" s="163">
        <f>COUNTIFS(' CADASTRO'!$S:$S,'acab equip'!$D$3,' CADASTRO'!$R:$R,'acab equip'!R27)</f>
        <v>3</v>
      </c>
      <c r="U27" s="163">
        <f>COUNTIFS(' CADASTRO'!$R$746:$R$893,'acab equip'!R27,' CADASTRO'!$S$746:$S$893,'acab equip'!$T$3)+COUNTIFS(' CADASTRO'!$R$746:$R$893,'acab equip'!R27,' CADASTRO'!$S$746:$S$893,'acab equip'!$S$3)</f>
        <v>0</v>
      </c>
      <c r="V27" s="162">
        <f t="shared" si="11"/>
        <v>45899</v>
      </c>
      <c r="W27" s="163">
        <f>COUNTIFS(' CADASTRO'!$S:$S,'acab equip'!$C$3,' CADASTRO'!$R:$R,'acab equip'!V27)</f>
        <v>4</v>
      </c>
      <c r="X27" s="163">
        <f>COUNTIFS(' CADASTRO'!$S:$S,'acab equip'!$D$3,' CADASTRO'!$R:$R,'acab equip'!V27)</f>
        <v>3</v>
      </c>
      <c r="Y27" s="163">
        <f>COUNTIFS(' CADASTRO'!$R$746:$R$893,'acab equip'!V27,' CADASTRO'!$S$746:$S$893,'acab equip'!$X$3)+COUNTIFS(' CADASTRO'!$R$746:$R$893,'acab equip'!V27,' CADASTRO'!$S$746:$S$893,'acab equip'!$W$3)</f>
        <v>0</v>
      </c>
      <c r="Z27" s="162">
        <f t="shared" si="12"/>
        <v>45900</v>
      </c>
      <c r="AB27" s="165">
        <f t="shared" si="0"/>
        <v>11</v>
      </c>
      <c r="AC27" s="165">
        <f t="shared" si="3"/>
        <v>17</v>
      </c>
      <c r="AD27" s="165">
        <f t="shared" si="4"/>
        <v>2</v>
      </c>
      <c r="AE27" s="177">
        <f t="shared" si="5"/>
        <v>30</v>
      </c>
      <c r="AF27" s="14" t="str">
        <f t="shared" si="13"/>
        <v>ago/2025</v>
      </c>
    </row>
    <row r="28" spans="1:34" x14ac:dyDescent="0.25">
      <c r="A28" s="14" t="s">
        <v>1061</v>
      </c>
      <c r="B28" s="162">
        <f t="shared" si="6"/>
        <v>45901</v>
      </c>
      <c r="C28" s="163">
        <f>COUNTIFS(' CADASTRO'!$S:$S,'acab equip'!$C$3,' CADASTRO'!$R:$R,'acab equip'!B28)</f>
        <v>4</v>
      </c>
      <c r="D28" s="163">
        <f>COUNTIFS(' CADASTRO'!$S:$S,'acab equip'!$D$3,' CADASTRO'!$R:$R,'acab equip'!B28)</f>
        <v>4</v>
      </c>
      <c r="E28" s="163">
        <f>COUNTIFS(' CADASTRO'!$R$746:$R$893,'acab equip'!B28,' CADASTRO'!$S$746:$S$893,'acab equip'!$D$3)+COUNTIFS(' CADASTRO'!$R$746:$R$893,'acab equip'!B28,' CADASTRO'!$S$746:$S$893,'acab equip'!$C$3)</f>
        <v>0</v>
      </c>
      <c r="F28" s="162">
        <f t="shared" si="7"/>
        <v>45902</v>
      </c>
      <c r="G28" s="163">
        <f>COUNTIFS(' CADASTRO'!$S:$S,'acab equip'!$C$3,' CADASTRO'!$R:$R,'acab equip'!F28)</f>
        <v>2</v>
      </c>
      <c r="H28" s="163">
        <f>COUNTIFS(' CADASTRO'!$S:$S,'acab equip'!$D$3,' CADASTRO'!$R:$R,'acab equip'!F28)</f>
        <v>0</v>
      </c>
      <c r="I28" s="163">
        <f>COUNTIFS(' CADASTRO'!$R$746:$R$893,'acab equip'!F28,' CADASTRO'!$S$746:$S$893,'acab equip'!$H$3)+COUNTIFS(' CADASTRO'!$R$746:$R$893,'acab equip'!F28,' CADASTRO'!$S$746:$S$893,'acab equip'!$G$3)</f>
        <v>0</v>
      </c>
      <c r="J28" s="162">
        <f t="shared" si="8"/>
        <v>45903</v>
      </c>
      <c r="K28" s="163">
        <f>COUNTIFS(' CADASTRO'!$S:$S,'acab equip'!$C$3,' CADASTRO'!$R:$R,'acab equip'!J28)</f>
        <v>2</v>
      </c>
      <c r="L28" s="163">
        <f>COUNTIFS(' CADASTRO'!$S:$S,'acab equip'!$D$3,' CADASTRO'!$R:$R,'acab equip'!J28)</f>
        <v>4</v>
      </c>
      <c r="M28" s="163">
        <f>COUNTIFS(' CADASTRO'!$R$746:$R$893,'acab equip'!J28,' CADASTRO'!$S$746:$S$893,'acab equip'!$L$3)+COUNTIFS(' CADASTRO'!$R$746:$R$893,'acab equip'!J28,' CADASTRO'!$S$746:$S$893,'acab equip'!$K$3)</f>
        <v>0</v>
      </c>
      <c r="N28" s="162">
        <f t="shared" si="9"/>
        <v>45904</v>
      </c>
      <c r="O28" s="163">
        <f>COUNTIFS(' CADASTRO'!$S:$S,'acab equip'!$C$3,' CADASTRO'!$R:$R,'acab equip'!N28)</f>
        <v>1</v>
      </c>
      <c r="P28" s="163">
        <f>COUNTIFS(' CADASTRO'!$S:$S,'acab equip'!$D$3,' CADASTRO'!$R:$R,'acab equip'!N28)</f>
        <v>4</v>
      </c>
      <c r="Q28" s="163">
        <f>COUNTIFS(' CADASTRO'!$R$746:$R$893,'acab equip'!N28,' CADASTRO'!$S$746:$S$893,'acab equip'!$P$3)+COUNTIFS(' CADASTRO'!$R$746:$R$893,'acab equip'!N28,' CADASTRO'!$S$746:$S$893,'acab equip'!$O$3)</f>
        <v>0</v>
      </c>
      <c r="R28" s="162">
        <f t="shared" si="10"/>
        <v>45905</v>
      </c>
      <c r="S28" s="163">
        <f>COUNTIFS(' CADASTRO'!$S:$S,'acab equip'!$C$3,' CADASTRO'!$R:$R,'acab equip'!R28)</f>
        <v>2</v>
      </c>
      <c r="T28" s="163">
        <f>COUNTIFS(' CADASTRO'!$S:$S,'acab equip'!$D$3,' CADASTRO'!$R:$R,'acab equip'!R28)</f>
        <v>4</v>
      </c>
      <c r="U28" s="163">
        <f>COUNTIFS(' CADASTRO'!$R$746:$R$893,'acab equip'!R28,' CADASTRO'!$S$746:$S$893,'acab equip'!$T$3)+COUNTIFS(' CADASTRO'!$R$746:$R$893,'acab equip'!R28,' CADASTRO'!$S$746:$S$893,'acab equip'!$S$3)</f>
        <v>0</v>
      </c>
      <c r="V28" s="162">
        <f t="shared" si="11"/>
        <v>45906</v>
      </c>
      <c r="W28" s="163">
        <f>COUNTIFS(' CADASTRO'!$S:$S,'acab equip'!$C$3,' CADASTRO'!$R:$R,'acab equip'!V28)</f>
        <v>1</v>
      </c>
      <c r="X28" s="163">
        <f>COUNTIFS(' CADASTRO'!$S:$S,'acab equip'!$D$3,' CADASTRO'!$R:$R,'acab equip'!V28)</f>
        <v>0</v>
      </c>
      <c r="Y28" s="163">
        <f>COUNTIFS(' CADASTRO'!$R$746:$R$893,'acab equip'!V28,' CADASTRO'!$S$746:$S$893,'acab equip'!$X$3)+COUNTIFS(' CADASTRO'!$R$746:$R$893,'acab equip'!V28,' CADASTRO'!$S$746:$S$893,'acab equip'!$W$3)</f>
        <v>0</v>
      </c>
      <c r="Z28" s="162">
        <f t="shared" si="12"/>
        <v>45907</v>
      </c>
      <c r="AB28" s="165">
        <f t="shared" si="0"/>
        <v>12</v>
      </c>
      <c r="AC28" s="165">
        <f t="shared" si="3"/>
        <v>16</v>
      </c>
      <c r="AD28" s="165">
        <f t="shared" si="4"/>
        <v>0</v>
      </c>
      <c r="AE28" s="177">
        <f t="shared" si="5"/>
        <v>28</v>
      </c>
      <c r="AF28" s="14" t="str">
        <f t="shared" si="13"/>
        <v>set/2025</v>
      </c>
    </row>
    <row r="29" spans="1:34" x14ac:dyDescent="0.25">
      <c r="A29" s="14" t="s">
        <v>1062</v>
      </c>
      <c r="B29" s="162">
        <f t="shared" si="6"/>
        <v>45908</v>
      </c>
      <c r="C29" s="163">
        <f>COUNTIFS(' CADASTRO'!$S:$S,'acab equip'!$C$3,' CADASTRO'!$R:$R,'acab equip'!B29)</f>
        <v>3</v>
      </c>
      <c r="D29" s="163">
        <f>COUNTIFS(' CADASTRO'!$S:$S,'acab equip'!$D$3,' CADASTRO'!$R:$R,'acab equip'!B29)</f>
        <v>7</v>
      </c>
      <c r="E29" s="163">
        <f>COUNTIFS(' CADASTRO'!$R$746:$R$893,'acab equip'!B29,' CADASTRO'!$S$746:$S$893,'acab equip'!$D$3)+COUNTIFS(' CADASTRO'!$R$746:$R$893,'acab equip'!B29,' CADASTRO'!$S$746:$S$893,'acab equip'!$C$3)</f>
        <v>0</v>
      </c>
      <c r="F29" s="162">
        <f t="shared" si="7"/>
        <v>45909</v>
      </c>
      <c r="G29" s="163">
        <f>COUNTIFS(' CADASTRO'!$S:$S,'acab equip'!$C$3,' CADASTRO'!$R:$R,'acab equip'!F29)</f>
        <v>0</v>
      </c>
      <c r="H29" s="163">
        <f>COUNTIFS(' CADASTRO'!$S:$S,'acab equip'!$D$3,' CADASTRO'!$R:$R,'acab equip'!F29)</f>
        <v>3</v>
      </c>
      <c r="I29" s="163">
        <f>COUNTIFS(' CADASTRO'!$R$746:$R$893,'acab equip'!F29,' CADASTRO'!$S$746:$S$893,'acab equip'!$H$3)+COUNTIFS(' CADASTRO'!$R$746:$R$893,'acab equip'!F29,' CADASTRO'!$S$746:$S$893,'acab equip'!$G$3)</f>
        <v>0</v>
      </c>
      <c r="J29" s="162">
        <f t="shared" si="8"/>
        <v>45910</v>
      </c>
      <c r="K29" s="163">
        <f>COUNTIFS(' CADASTRO'!$S:$S,'acab equip'!$C$3,' CADASTRO'!$R:$R,'acab equip'!J29)</f>
        <v>4</v>
      </c>
      <c r="L29" s="163">
        <f>COUNTIFS(' CADASTRO'!$S:$S,'acab equip'!$D$3,' CADASTRO'!$R:$R,'acab equip'!J29)</f>
        <v>5</v>
      </c>
      <c r="M29" s="163">
        <f>COUNTIFS(' CADASTRO'!$R$746:$R$893,'acab equip'!J29,' CADASTRO'!$S$746:$S$893,'acab equip'!$L$3)+COUNTIFS(' CADASTRO'!$R$746:$R$893,'acab equip'!J29,' CADASTRO'!$S$746:$S$893,'acab equip'!$K$3)</f>
        <v>0</v>
      </c>
      <c r="N29" s="162">
        <f t="shared" si="9"/>
        <v>45911</v>
      </c>
      <c r="O29" s="163">
        <f>COUNTIFS(' CADASTRO'!$S:$S,'acab equip'!$C$3,' CADASTRO'!$R:$R,'acab equip'!N29)</f>
        <v>3</v>
      </c>
      <c r="P29" s="163">
        <f>COUNTIFS(' CADASTRO'!$S:$S,'acab equip'!$D$3,' CADASTRO'!$R:$R,'acab equip'!N29)</f>
        <v>6</v>
      </c>
      <c r="Q29" s="163">
        <f>COUNTIFS(' CADASTRO'!$R$746:$R$893,'acab equip'!N29,' CADASTRO'!$S$746:$S$893,'acab equip'!$P$3)+COUNTIFS(' CADASTRO'!$R$746:$R$893,'acab equip'!N29,' CADASTRO'!$S$746:$S$893,'acab equip'!$O$3)</f>
        <v>0</v>
      </c>
      <c r="R29" s="162">
        <f t="shared" si="10"/>
        <v>45912</v>
      </c>
      <c r="S29" s="163">
        <f>COUNTIFS(' CADASTRO'!$S:$S,'acab equip'!$C$3,' CADASTRO'!$R:$R,'acab equip'!R29)</f>
        <v>4</v>
      </c>
      <c r="T29" s="163">
        <f>COUNTIFS(' CADASTRO'!$S:$S,'acab equip'!$D$3,' CADASTRO'!$R:$R,'acab equip'!R29)</f>
        <v>4</v>
      </c>
      <c r="U29" s="163">
        <f>COUNTIFS(' CADASTRO'!$R$746:$R$893,'acab equip'!R29,' CADASTRO'!$S$746:$S$893,'acab equip'!$T$3)+COUNTIFS(' CADASTRO'!$R$746:$R$893,'acab equip'!R29,' CADASTRO'!$S$746:$S$893,'acab equip'!$S$3)</f>
        <v>0</v>
      </c>
      <c r="V29" s="162">
        <f t="shared" si="11"/>
        <v>45913</v>
      </c>
      <c r="W29" s="163">
        <f>COUNTIFS(' CADASTRO'!$S:$S,'acab equip'!$C$3,' CADASTRO'!$R:$R,'acab equip'!V29)</f>
        <v>2</v>
      </c>
      <c r="X29" s="163">
        <f>COUNTIFS(' CADASTRO'!$S:$S,'acab equip'!$D$3,' CADASTRO'!$R:$R,'acab equip'!V29)</f>
        <v>0</v>
      </c>
      <c r="Y29" s="163">
        <f>COUNTIFS(' CADASTRO'!$R$746:$R$893,'acab equip'!V29,' CADASTRO'!$S$746:$S$893,'acab equip'!$X$3)+COUNTIFS(' CADASTRO'!$R$746:$R$893,'acab equip'!V29,' CADASTRO'!$S$746:$S$893,'acab equip'!$W$3)</f>
        <v>0</v>
      </c>
      <c r="Z29" s="162">
        <f t="shared" si="12"/>
        <v>45914</v>
      </c>
      <c r="AB29" s="165">
        <f t="shared" si="0"/>
        <v>16</v>
      </c>
      <c r="AC29" s="165">
        <f t="shared" si="3"/>
        <v>25</v>
      </c>
      <c r="AD29" s="165">
        <f t="shared" si="4"/>
        <v>0</v>
      </c>
      <c r="AE29" s="177">
        <f t="shared" si="5"/>
        <v>41</v>
      </c>
      <c r="AF29" s="14" t="str">
        <f t="shared" si="13"/>
        <v>set/2025</v>
      </c>
      <c r="AG29" s="432" t="s">
        <v>1152</v>
      </c>
      <c r="AH29" s="432"/>
    </row>
    <row r="30" spans="1:34" x14ac:dyDescent="0.25">
      <c r="A30" s="14" t="s">
        <v>1063</v>
      </c>
      <c r="B30" s="162">
        <f t="shared" si="6"/>
        <v>45915</v>
      </c>
      <c r="C30" s="163">
        <f>COUNTIFS(' CADASTRO'!$S:$S,'acab equip'!$C$3,' CADASTRO'!$R:$R,'acab equip'!B30)</f>
        <v>5</v>
      </c>
      <c r="D30" s="163">
        <f>COUNTIFS(' CADASTRO'!$S:$S,'acab equip'!$D$3,' CADASTRO'!$R:$R,'acab equip'!B30)</f>
        <v>4</v>
      </c>
      <c r="E30" s="163">
        <f>COUNTIFS(' CADASTRO'!$R$746:$R$893,'acab equip'!B30,' CADASTRO'!$S$746:$S$893,'acab equip'!$D$3)+COUNTIFS(' CADASTRO'!$R$746:$R$893,'acab equip'!B30,' CADASTRO'!$S$746:$S$893,'acab equip'!$C$3)</f>
        <v>0</v>
      </c>
      <c r="F30" s="162">
        <f t="shared" si="7"/>
        <v>45916</v>
      </c>
      <c r="G30" s="163">
        <f>COUNTIFS(' CADASTRO'!$S:$S,'acab equip'!$C$3,' CADASTRO'!$R:$R,'acab equip'!F30)</f>
        <v>4</v>
      </c>
      <c r="H30" s="163">
        <f>COUNTIFS(' CADASTRO'!$S:$S,'acab equip'!$D$3,' CADASTRO'!$R:$R,'acab equip'!F30)</f>
        <v>4</v>
      </c>
      <c r="I30" s="163">
        <f>COUNTIFS(' CADASTRO'!$R$746:$R$893,'acab equip'!F30,' CADASTRO'!$S$746:$S$893,'acab equip'!$H$3)+COUNTIFS(' CADASTRO'!$R$746:$R$893,'acab equip'!F30,' CADASTRO'!$S$746:$S$893,'acab equip'!$G$3)</f>
        <v>0</v>
      </c>
      <c r="J30" s="162">
        <f t="shared" si="8"/>
        <v>45917</v>
      </c>
      <c r="K30" s="163">
        <f>COUNTIFS(' CADASTRO'!$S:$S,'acab equip'!$C$3,' CADASTRO'!$R:$R,'acab equip'!J30)</f>
        <v>2</v>
      </c>
      <c r="L30" s="163">
        <f>COUNTIFS(' CADASTRO'!$S:$S,'acab equip'!$D$3,' CADASTRO'!$R:$R,'acab equip'!J30)</f>
        <v>4</v>
      </c>
      <c r="M30" s="163">
        <f>COUNTIFS(' CADASTRO'!$R$746:$R$893,'acab equip'!J30,' CADASTRO'!$S$746:$S$893,'acab equip'!$L$3)+COUNTIFS(' CADASTRO'!$R$746:$R$893,'acab equip'!J30,' CADASTRO'!$S$746:$S$893,'acab equip'!$K$3)</f>
        <v>0</v>
      </c>
      <c r="N30" s="162">
        <f t="shared" si="9"/>
        <v>45918</v>
      </c>
      <c r="O30" s="163">
        <f>COUNTIFS(' CADASTRO'!$S:$S,'acab equip'!$C$3,' CADASTRO'!$R:$R,'acab equip'!N30)</f>
        <v>4</v>
      </c>
      <c r="P30" s="163">
        <f>COUNTIFS(' CADASTRO'!$S:$S,'acab equip'!$D$3,' CADASTRO'!$R:$R,'acab equip'!N30)</f>
        <v>4</v>
      </c>
      <c r="Q30" s="163">
        <f>COUNTIFS(' CADASTRO'!$R$746:$R$893,'acab equip'!N30,' CADASTRO'!$S$746:$S$893,'acab equip'!$P$3)+COUNTIFS(' CADASTRO'!$R$746:$R$893,'acab equip'!N30,' CADASTRO'!$S$746:$S$893,'acab equip'!$O$3)</f>
        <v>0</v>
      </c>
      <c r="R30" s="162">
        <f t="shared" si="10"/>
        <v>45919</v>
      </c>
      <c r="S30" s="163">
        <f>COUNTIFS(' CADASTRO'!$S:$S,'acab equip'!$C$3,' CADASTRO'!$R:$R,'acab equip'!R30)</f>
        <v>2</v>
      </c>
      <c r="T30" s="163">
        <f>COUNTIFS(' CADASTRO'!$S:$S,'acab equip'!$D$3,' CADASTRO'!$R:$R,'acab equip'!R30)</f>
        <v>1</v>
      </c>
      <c r="U30" s="163">
        <f>COUNTIFS(' CADASTRO'!$R$746:$R$893,'acab equip'!R30,' CADASTRO'!$S$746:$S$893,'acab equip'!$T$3)+COUNTIFS(' CADASTRO'!$R$746:$R$893,'acab equip'!R30,' CADASTRO'!$S$746:$S$893,'acab equip'!$S$3)</f>
        <v>0</v>
      </c>
      <c r="V30" s="162">
        <f t="shared" si="11"/>
        <v>45920</v>
      </c>
      <c r="W30" s="163">
        <f>COUNTIFS(' CADASTRO'!$S:$S,'acab equip'!$C$3,' CADASTRO'!$R:$R,'acab equip'!V30)</f>
        <v>3</v>
      </c>
      <c r="X30" s="163">
        <f>COUNTIFS(' CADASTRO'!$S:$S,'acab equip'!$D$3,' CADASTRO'!$R:$R,'acab equip'!V30)</f>
        <v>4</v>
      </c>
      <c r="Y30" s="163">
        <f>COUNTIFS(' CADASTRO'!$R$746:$R$893,'acab equip'!V30,' CADASTRO'!$S$746:$S$893,'acab equip'!$X$3)+COUNTIFS(' CADASTRO'!$R$746:$R$893,'acab equip'!V30,' CADASTRO'!$S$746:$S$893,'acab equip'!$W$3)</f>
        <v>0</v>
      </c>
      <c r="Z30" s="162">
        <f t="shared" si="12"/>
        <v>45921</v>
      </c>
      <c r="AB30" s="165">
        <f t="shared" si="0"/>
        <v>20</v>
      </c>
      <c r="AC30" s="165">
        <f t="shared" si="3"/>
        <v>21</v>
      </c>
      <c r="AD30" s="165">
        <f t="shared" si="4"/>
        <v>0</v>
      </c>
      <c r="AE30" s="177">
        <f t="shared" si="5"/>
        <v>41</v>
      </c>
      <c r="AF30" s="14" t="str">
        <f t="shared" si="13"/>
        <v>set/2025</v>
      </c>
    </row>
    <row r="31" spans="1:34" x14ac:dyDescent="0.25">
      <c r="A31" s="14" t="s">
        <v>1064</v>
      </c>
      <c r="B31" s="162">
        <f t="shared" si="6"/>
        <v>45922</v>
      </c>
      <c r="C31" s="163">
        <f>COUNTIFS(' CADASTRO'!$S:$S,'acab equip'!$C$3,' CADASTRO'!$R:$R,'acab equip'!B31)</f>
        <v>7</v>
      </c>
      <c r="D31" s="163">
        <f>COUNTIFS(' CADASTRO'!$S:$S,'acab equip'!$D$3,' CADASTRO'!$R:$R,'acab equip'!B31)</f>
        <v>3</v>
      </c>
      <c r="E31" s="163">
        <f>COUNTIFS(' CADASTRO'!$R$746:$R$893,'acab equip'!B31,' CADASTRO'!$S$746:$S$893,'acab equip'!$D$3)+COUNTIFS(' CADASTRO'!$R$746:$R$893,'acab equip'!B31,' CADASTRO'!$S$746:$S$893,'acab equip'!$C$3)</f>
        <v>0</v>
      </c>
      <c r="F31" s="162">
        <f t="shared" si="7"/>
        <v>45923</v>
      </c>
      <c r="G31" s="163">
        <f>COUNTIFS(' CADASTRO'!$S:$S,'acab equip'!$C$3,' CADASTRO'!$R:$R,'acab equip'!F31)</f>
        <v>4</v>
      </c>
      <c r="H31" s="163">
        <f>COUNTIFS(' CADASTRO'!$S:$S,'acab equip'!$D$3,' CADASTRO'!$R:$R,'acab equip'!F31)</f>
        <v>4</v>
      </c>
      <c r="I31" s="163">
        <f>COUNTIFS(' CADASTRO'!$R$746:$R$893,'acab equip'!F31,' CADASTRO'!$S$746:$S$893,'acab equip'!$H$3)+COUNTIFS(' CADASTRO'!$R$746:$R$893,'acab equip'!F31,' CADASTRO'!$S$746:$S$893,'acab equip'!$G$3)</f>
        <v>0</v>
      </c>
      <c r="J31" s="162">
        <f t="shared" si="8"/>
        <v>45924</v>
      </c>
      <c r="K31" s="163">
        <f>COUNTIFS(' CADASTRO'!$S:$S,'acab equip'!$C$3,' CADASTRO'!$R:$R,'acab equip'!J31)</f>
        <v>2</v>
      </c>
      <c r="L31" s="163">
        <f>COUNTIFS(' CADASTRO'!$S:$S,'acab equip'!$D$3,' CADASTRO'!$R:$R,'acab equip'!J31)</f>
        <v>4</v>
      </c>
      <c r="M31" s="163">
        <f>COUNTIFS(' CADASTRO'!$R$746:$R$893,'acab equip'!J31,' CADASTRO'!$S$746:$S$893,'acab equip'!$L$3)+COUNTIFS(' CADASTRO'!$R$746:$R$893,'acab equip'!J31,' CADASTRO'!$S$746:$S$893,'acab equip'!$K$3)</f>
        <v>0</v>
      </c>
      <c r="N31" s="162">
        <f t="shared" si="9"/>
        <v>45925</v>
      </c>
      <c r="O31" s="163">
        <f>COUNTIFS(' CADASTRO'!$S:$S,'acab equip'!$C$3,' CADASTRO'!$R:$R,'acab equip'!N31)</f>
        <v>3</v>
      </c>
      <c r="P31" s="163">
        <f>COUNTIFS(' CADASTRO'!$S:$S,'acab equip'!$D$3,' CADASTRO'!$R:$R,'acab equip'!N31)</f>
        <v>6</v>
      </c>
      <c r="Q31" s="163">
        <f>COUNTIFS(' CADASTRO'!$R$746:$R$893,'acab equip'!N31,' CADASTRO'!$S$746:$S$893,'acab equip'!$P$3)+COUNTIFS(' CADASTRO'!$R$746:$R$893,'acab equip'!N31,' CADASTRO'!$S$746:$S$893,'acab equip'!$O$3)</f>
        <v>0</v>
      </c>
      <c r="R31" s="162">
        <f t="shared" si="10"/>
        <v>45926</v>
      </c>
      <c r="S31" s="163">
        <f>COUNTIFS(' CADASTRO'!$S:$S,'acab equip'!$C$3,' CADASTRO'!$R:$R,'acab equip'!R31)</f>
        <v>2</v>
      </c>
      <c r="T31" s="163">
        <f>COUNTIFS(' CADASTRO'!$S:$S,'acab equip'!$D$3,' CADASTRO'!$R:$R,'acab equip'!R31)</f>
        <v>4</v>
      </c>
      <c r="U31" s="163">
        <f>COUNTIFS(' CADASTRO'!$R$746:$R$893,'acab equip'!R31,' CADASTRO'!$S$746:$S$893,'acab equip'!$T$3)+COUNTIFS(' CADASTRO'!$R$746:$R$893,'acab equip'!R31,' CADASTRO'!$S$746:$S$893,'acab equip'!$S$3)</f>
        <v>0</v>
      </c>
      <c r="V31" s="162">
        <f t="shared" si="11"/>
        <v>45927</v>
      </c>
      <c r="W31" s="163">
        <f>COUNTIFS(' CADASTRO'!$S:$S,'acab equip'!$C$3,' CADASTRO'!$R:$R,'acab equip'!V31)</f>
        <v>3</v>
      </c>
      <c r="X31" s="163">
        <f>COUNTIFS(' CADASTRO'!$S:$S,'acab equip'!$D$3,' CADASTRO'!$R:$R,'acab equip'!V31)</f>
        <v>0</v>
      </c>
      <c r="Y31" s="163">
        <f>COUNTIFS(' CADASTRO'!$R$746:$R$893,'acab equip'!V31,' CADASTRO'!$S$746:$S$893,'acab equip'!$X$3)+COUNTIFS(' CADASTRO'!$R$746:$R$893,'acab equip'!V31,' CADASTRO'!$S$746:$S$893,'acab equip'!$W$3)</f>
        <v>0</v>
      </c>
      <c r="Z31" s="162">
        <f t="shared" si="12"/>
        <v>45928</v>
      </c>
      <c r="AB31" s="165">
        <f t="shared" si="0"/>
        <v>21</v>
      </c>
      <c r="AC31" s="165">
        <f t="shared" si="3"/>
        <v>21</v>
      </c>
      <c r="AD31" s="165">
        <f t="shared" si="4"/>
        <v>0</v>
      </c>
      <c r="AE31" s="177">
        <f t="shared" si="5"/>
        <v>42</v>
      </c>
      <c r="AF31" s="14" t="str">
        <f t="shared" si="13"/>
        <v>set/2025</v>
      </c>
    </row>
    <row r="32" spans="1:34" x14ac:dyDescent="0.25">
      <c r="A32" s="14" t="s">
        <v>1065</v>
      </c>
      <c r="B32" s="162">
        <f t="shared" si="6"/>
        <v>45929</v>
      </c>
      <c r="C32" s="163">
        <f>COUNTIFS(' CADASTRO'!$S:$S,'acab equip'!$C$3,' CADASTRO'!$R:$R,'acab equip'!B32)</f>
        <v>3</v>
      </c>
      <c r="D32" s="163">
        <f>COUNTIFS(' CADASTRO'!$S:$S,'acab equip'!$D$3,' CADASTRO'!$R:$R,'acab equip'!B32)</f>
        <v>4</v>
      </c>
      <c r="E32" s="163">
        <f>COUNTIFS(' CADASTRO'!$R$746:$R$893,'acab equip'!B32,' CADASTRO'!$S$746:$S$893,'acab equip'!$D$3)+COUNTIFS(' CADASTRO'!$R$746:$R$893,'acab equip'!B32,' CADASTRO'!$S$746:$S$893,'acab equip'!$C$3)</f>
        <v>0</v>
      </c>
      <c r="F32" s="162">
        <f t="shared" si="7"/>
        <v>45930</v>
      </c>
      <c r="G32" s="163">
        <f>COUNTIFS(' CADASTRO'!$S:$S,'acab equip'!$C$3,' CADASTRO'!$R:$R,'acab equip'!F32)</f>
        <v>3</v>
      </c>
      <c r="H32" s="163">
        <f>COUNTIFS(' CADASTRO'!$S:$S,'acab equip'!$D$3,' CADASTRO'!$R:$R,'acab equip'!F32)</f>
        <v>4</v>
      </c>
      <c r="I32" s="163">
        <f>COUNTIFS(' CADASTRO'!$R$746:$R$893,'acab equip'!F32,' CADASTRO'!$S$746:$S$893,'acab equip'!$H$3)+COUNTIFS(' CADASTRO'!$R$746:$R$893,'acab equip'!F32,' CADASTRO'!$S$746:$S$893,'acab equip'!$G$3)</f>
        <v>0</v>
      </c>
      <c r="J32" s="162">
        <f t="shared" si="8"/>
        <v>45931</v>
      </c>
      <c r="K32" s="163">
        <f>COUNTIFS(' CADASTRO'!$S:$S,'acab equip'!$C$3,' CADASTRO'!$R:$R,'acab equip'!J32)</f>
        <v>2</v>
      </c>
      <c r="L32" s="163">
        <f>COUNTIFS(' CADASTRO'!$S:$S,'acab equip'!$D$3,' CADASTRO'!$R:$R,'acab equip'!J32)</f>
        <v>7</v>
      </c>
      <c r="M32" s="163">
        <f>COUNTIFS(' CADASTRO'!$R$746:$R$893,'acab equip'!J32,' CADASTRO'!$S$746:$S$893,'acab equip'!$L$3)+COUNTIFS(' CADASTRO'!$R$746:$R$893,'acab equip'!J32,' CADASTRO'!$S$746:$S$893,'acab equip'!$K$3)</f>
        <v>0</v>
      </c>
      <c r="N32" s="162">
        <f t="shared" si="9"/>
        <v>45932</v>
      </c>
      <c r="O32" s="163">
        <f>COUNTIFS(' CADASTRO'!$S:$S,'acab equip'!$C$3,' CADASTRO'!$R:$R,'acab equip'!N32)</f>
        <v>2</v>
      </c>
      <c r="P32" s="163">
        <f>COUNTIFS(' CADASTRO'!$S:$S,'acab equip'!$D$3,' CADASTRO'!$R:$R,'acab equip'!N32)</f>
        <v>2</v>
      </c>
      <c r="Q32" s="163">
        <f>COUNTIFS(' CADASTRO'!$R$746:$R$893,'acab equip'!N32,' CADASTRO'!$S$746:$S$893,'acab equip'!$P$3)+COUNTIFS(' CADASTRO'!$R$746:$R$893,'acab equip'!N32,' CADASTRO'!$S$746:$S$893,'acab equip'!$O$3)</f>
        <v>0</v>
      </c>
      <c r="R32" s="162">
        <f t="shared" si="10"/>
        <v>45933</v>
      </c>
      <c r="S32" s="163">
        <f>COUNTIFS(' CADASTRO'!$S:$S,'acab equip'!$C$3,' CADASTRO'!$R:$R,'acab equip'!R32)</f>
        <v>5</v>
      </c>
      <c r="T32" s="163">
        <f>COUNTIFS(' CADASTRO'!$S:$S,'acab equip'!$D$3,' CADASTRO'!$R:$R,'acab equip'!R32)</f>
        <v>3</v>
      </c>
      <c r="U32" s="163">
        <f>COUNTIFS(' CADASTRO'!$R$746:$R$893,'acab equip'!R32,' CADASTRO'!$S$746:$S$893,'acab equip'!$T$3)+COUNTIFS(' CADASTRO'!$R$746:$R$893,'acab equip'!R32,' CADASTRO'!$S$746:$S$893,'acab equip'!$S$3)</f>
        <v>0</v>
      </c>
      <c r="V32" s="162">
        <f t="shared" si="11"/>
        <v>45934</v>
      </c>
      <c r="W32" s="163">
        <f>COUNTIFS(' CADASTRO'!$S:$S,'acab equip'!$C$3,' CADASTRO'!$R:$R,'acab equip'!V32)</f>
        <v>6</v>
      </c>
      <c r="X32" s="163">
        <f>COUNTIFS(' CADASTRO'!$S:$S,'acab equip'!$D$3,' CADASTRO'!$R:$R,'acab equip'!V32)</f>
        <v>0</v>
      </c>
      <c r="Y32" s="163">
        <f>COUNTIFS(' CADASTRO'!$R$746:$R$893,'acab equip'!V32,' CADASTRO'!$S$746:$S$893,'acab equip'!$X$3)+COUNTIFS(' CADASTRO'!$R$746:$R$893,'acab equip'!V32,' CADASTRO'!$S$746:$S$893,'acab equip'!$W$3)</f>
        <v>0</v>
      </c>
      <c r="Z32" s="162">
        <f t="shared" si="12"/>
        <v>45935</v>
      </c>
      <c r="AB32" s="165">
        <f t="shared" si="0"/>
        <v>21</v>
      </c>
      <c r="AC32" s="165">
        <f t="shared" si="3"/>
        <v>20</v>
      </c>
      <c r="AD32" s="165">
        <f t="shared" si="4"/>
        <v>0</v>
      </c>
      <c r="AE32" s="177">
        <f t="shared" si="5"/>
        <v>41</v>
      </c>
      <c r="AF32" s="14" t="str">
        <f t="shared" si="13"/>
        <v>out/2025</v>
      </c>
    </row>
    <row r="33" spans="1:32" x14ac:dyDescent="0.25">
      <c r="A33" s="14" t="s">
        <v>1066</v>
      </c>
      <c r="B33" s="162">
        <f t="shared" si="6"/>
        <v>45936</v>
      </c>
      <c r="C33" s="163">
        <f>COUNTIFS(' CADASTRO'!$S:$S,'acab equip'!$C$3,' CADASTRO'!$R:$R,'acab equip'!B33)</f>
        <v>5</v>
      </c>
      <c r="D33" s="163">
        <f>COUNTIFS(' CADASTRO'!$S:$S,'acab equip'!$D$3,' CADASTRO'!$R:$R,'acab equip'!B33)</f>
        <v>3</v>
      </c>
      <c r="E33" s="163">
        <f>COUNTIFS(' CADASTRO'!$R$746:$R$893,'acab equip'!B33,' CADASTRO'!$S$746:$S$893,'acab equip'!$D$3)+COUNTIFS(' CADASTRO'!$R$746:$R$893,'acab equip'!B33,' CADASTRO'!$S$746:$S$893,'acab equip'!$C$3)</f>
        <v>0</v>
      </c>
      <c r="F33" s="162">
        <f t="shared" si="7"/>
        <v>45937</v>
      </c>
      <c r="G33" s="163">
        <f>COUNTIFS(' CADASTRO'!$S:$S,'acab equip'!$C$3,' CADASTRO'!$R:$R,'acab equip'!F33)</f>
        <v>3</v>
      </c>
      <c r="H33" s="163">
        <f>COUNTIFS(' CADASTRO'!$S:$S,'acab equip'!$D$3,' CADASTRO'!$R:$R,'acab equip'!F33)</f>
        <v>4</v>
      </c>
      <c r="I33" s="163">
        <f>COUNTIFS(' CADASTRO'!$R$746:$R$893,'acab equip'!F33,' CADASTRO'!$S$746:$S$893,'acab equip'!$H$3)+COUNTIFS(' CADASTRO'!$R$746:$R$893,'acab equip'!F33,' CADASTRO'!$S$746:$S$893,'acab equip'!$G$3)</f>
        <v>0</v>
      </c>
      <c r="J33" s="162">
        <f t="shared" si="8"/>
        <v>45938</v>
      </c>
      <c r="K33" s="163">
        <f>COUNTIFS(' CADASTRO'!$S:$S,'acab equip'!$C$3,' CADASTRO'!$R:$R,'acab equip'!J33)</f>
        <v>5</v>
      </c>
      <c r="L33" s="163">
        <f>COUNTIFS(' CADASTRO'!$S:$S,'acab equip'!$D$3,' CADASTRO'!$R:$R,'acab equip'!J33)</f>
        <v>1</v>
      </c>
      <c r="M33" s="163">
        <f>COUNTIFS(' CADASTRO'!$R$746:$R$893,'acab equip'!J33,' CADASTRO'!$S$746:$S$893,'acab equip'!$L$3)+COUNTIFS(' CADASTRO'!$R$746:$R$893,'acab equip'!J33,' CADASTRO'!$S$746:$S$893,'acab equip'!$K$3)</f>
        <v>0</v>
      </c>
      <c r="N33" s="162">
        <f t="shared" si="9"/>
        <v>45939</v>
      </c>
      <c r="O33" s="163">
        <f>COUNTIFS(' CADASTRO'!$S:$S,'acab equip'!$C$3,' CADASTRO'!$R:$R,'acab equip'!N33)</f>
        <v>4</v>
      </c>
      <c r="P33" s="163">
        <f>COUNTIFS(' CADASTRO'!$S:$S,'acab equip'!$D$3,' CADASTRO'!$R:$R,'acab equip'!N33)</f>
        <v>4</v>
      </c>
      <c r="Q33" s="163">
        <f>COUNTIFS(' CADASTRO'!$R$746:$R$893,'acab equip'!N33,' CADASTRO'!$S$746:$S$893,'acab equip'!$P$3)+COUNTIFS(' CADASTRO'!$R$746:$R$893,'acab equip'!N33,' CADASTRO'!$S$746:$S$893,'acab equip'!$O$3)</f>
        <v>0</v>
      </c>
      <c r="R33" s="162">
        <f t="shared" si="10"/>
        <v>45940</v>
      </c>
      <c r="S33" s="163">
        <f>COUNTIFS(' CADASTRO'!$S:$S,'acab equip'!$C$3,' CADASTRO'!$R:$R,'acab equip'!R33)</f>
        <v>2</v>
      </c>
      <c r="T33" s="163">
        <f>COUNTIFS(' CADASTRO'!$S:$S,'acab equip'!$D$3,' CADASTRO'!$R:$R,'acab equip'!R33)</f>
        <v>5</v>
      </c>
      <c r="U33" s="163">
        <f>COUNTIFS(' CADASTRO'!$R$746:$R$893,'acab equip'!R33,' CADASTRO'!$S$746:$S$893,'acab equip'!$T$3)+COUNTIFS(' CADASTRO'!$R$746:$R$893,'acab equip'!R33,' CADASTRO'!$S$746:$S$893,'acab equip'!$S$3)</f>
        <v>0</v>
      </c>
      <c r="V33" s="162">
        <f t="shared" si="11"/>
        <v>45941</v>
      </c>
      <c r="W33" s="163">
        <f>COUNTIFS(' CADASTRO'!$S:$S,'acab equip'!$C$3,' CADASTRO'!$R:$R,'acab equip'!V33)</f>
        <v>3</v>
      </c>
      <c r="X33" s="163">
        <f>COUNTIFS(' CADASTRO'!$S:$S,'acab equip'!$D$3,' CADASTRO'!$R:$R,'acab equip'!V33)</f>
        <v>5</v>
      </c>
      <c r="Y33" s="163">
        <f>COUNTIFS(' CADASTRO'!$R$746:$R$893,'acab equip'!V33,' CADASTRO'!$S$746:$S$893,'acab equip'!$X$3)+COUNTIFS(' CADASTRO'!$R$746:$R$893,'acab equip'!V33,' CADASTRO'!$S$746:$S$893,'acab equip'!$W$3)</f>
        <v>0</v>
      </c>
      <c r="Z33" s="162">
        <f t="shared" si="12"/>
        <v>45942</v>
      </c>
      <c r="AB33" s="165">
        <f t="shared" si="0"/>
        <v>22</v>
      </c>
      <c r="AC33" s="165">
        <f t="shared" si="3"/>
        <v>22</v>
      </c>
      <c r="AD33" s="165">
        <f t="shared" si="4"/>
        <v>0</v>
      </c>
      <c r="AE33" s="177">
        <f t="shared" si="5"/>
        <v>44</v>
      </c>
      <c r="AF33" s="14" t="str">
        <f t="shared" si="13"/>
        <v>out/2025</v>
      </c>
    </row>
    <row r="34" spans="1:32" x14ac:dyDescent="0.25">
      <c r="A34" s="14" t="s">
        <v>1067</v>
      </c>
      <c r="B34" s="162">
        <f t="shared" si="6"/>
        <v>45943</v>
      </c>
      <c r="C34" s="163">
        <f>COUNTIFS(' CADASTRO'!$S:$S,'acab equip'!$C$3,' CADASTRO'!$R:$R,'acab equip'!B34)</f>
        <v>6</v>
      </c>
      <c r="D34" s="163">
        <f>COUNTIFS(' CADASTRO'!$S:$S,'acab equip'!$D$3,' CADASTRO'!$R:$R,'acab equip'!B34)</f>
        <v>0</v>
      </c>
      <c r="E34" s="163">
        <f>COUNTIFS(' CADASTRO'!$R$746:$R$893,'acab equip'!B34,' CADASTRO'!$S$746:$S$893,'acab equip'!$D$3)+COUNTIFS(' CADASTRO'!$R$746:$R$893,'acab equip'!B34,' CADASTRO'!$S$746:$S$893,'acab equip'!$C$3)</f>
        <v>0</v>
      </c>
      <c r="F34" s="162">
        <f t="shared" si="7"/>
        <v>45944</v>
      </c>
      <c r="G34" s="163">
        <f>COUNTIFS(' CADASTRO'!$S:$S,'acab equip'!$C$3,' CADASTRO'!$R:$R,'acab equip'!F34)</f>
        <v>6</v>
      </c>
      <c r="H34" s="163">
        <f>COUNTIFS(' CADASTRO'!$S:$S,'acab equip'!$D$3,' CADASTRO'!$R:$R,'acab equip'!F34)</f>
        <v>1</v>
      </c>
      <c r="I34" s="163">
        <f>COUNTIFS(' CADASTRO'!$R$746:$R$893,'acab equip'!F34,' CADASTRO'!$S$746:$S$893,'acab equip'!$H$3)+COUNTIFS(' CADASTRO'!$R$746:$R$893,'acab equip'!F34,' CADASTRO'!$S$746:$S$893,'acab equip'!$G$3)</f>
        <v>0</v>
      </c>
      <c r="J34" s="162">
        <f t="shared" si="8"/>
        <v>45945</v>
      </c>
      <c r="K34" s="163">
        <f>COUNTIFS(' CADASTRO'!$S:$S,'acab equip'!$C$3,' CADASTRO'!$R:$R,'acab equip'!J34)</f>
        <v>5</v>
      </c>
      <c r="L34" s="163">
        <f>COUNTIFS(' CADASTRO'!$S:$S,'acab equip'!$D$3,' CADASTRO'!$R:$R,'acab equip'!J34)</f>
        <v>2</v>
      </c>
      <c r="M34" s="163">
        <f>COUNTIFS(' CADASTRO'!$R$746:$R$893,'acab equip'!J34,' CADASTRO'!$S$746:$S$893,'acab equip'!$L$3)+COUNTIFS(' CADASTRO'!$R$746:$R$893,'acab equip'!J34,' CADASTRO'!$S$746:$S$893,'acab equip'!$K$3)</f>
        <v>0</v>
      </c>
      <c r="N34" s="162">
        <f t="shared" si="9"/>
        <v>45946</v>
      </c>
      <c r="O34" s="163">
        <f>COUNTIFS(' CADASTRO'!$S:$S,'acab equip'!$C$3,' CADASTRO'!$R:$R,'acab equip'!N34)</f>
        <v>2</v>
      </c>
      <c r="P34" s="163">
        <f>COUNTIFS(' CADASTRO'!$S:$S,'acab equip'!$D$3,' CADASTRO'!$R:$R,'acab equip'!N34)</f>
        <v>5</v>
      </c>
      <c r="Q34" s="163">
        <f>COUNTIFS(' CADASTRO'!$R$746:$R$893,'acab equip'!N34,' CADASTRO'!$S$746:$S$893,'acab equip'!$P$3)+COUNTIFS(' CADASTRO'!$R$746:$R$893,'acab equip'!N34,' CADASTRO'!$S$746:$S$893,'acab equip'!$O$3)</f>
        <v>0</v>
      </c>
      <c r="R34" s="162">
        <f t="shared" si="10"/>
        <v>45947</v>
      </c>
      <c r="S34" s="163">
        <f>COUNTIFS(' CADASTRO'!$S:$S,'acab equip'!$C$3,' CADASTRO'!$R:$R,'acab equip'!R34)</f>
        <v>2</v>
      </c>
      <c r="T34" s="163">
        <f>COUNTIFS(' CADASTRO'!$S:$S,'acab equip'!$D$3,' CADASTRO'!$R:$R,'acab equip'!R34)</f>
        <v>3</v>
      </c>
      <c r="U34" s="163">
        <f>COUNTIFS(' CADASTRO'!$R$746:$R$893,'acab equip'!R34,' CADASTRO'!$S$746:$S$893,'acab equip'!$T$3)+COUNTIFS(' CADASTRO'!$R$746:$R$893,'acab equip'!R34,' CADASTRO'!$S$746:$S$893,'acab equip'!$S$3)</f>
        <v>0</v>
      </c>
      <c r="V34" s="162">
        <f t="shared" si="11"/>
        <v>45948</v>
      </c>
      <c r="W34" s="163">
        <f>COUNTIFS(' CADASTRO'!$S:$S,'acab equip'!$C$3,' CADASTRO'!$R:$R,'acab equip'!V34)</f>
        <v>2</v>
      </c>
      <c r="X34" s="163">
        <f>COUNTIFS(' CADASTRO'!$S:$S,'acab equip'!$D$3,' CADASTRO'!$R:$R,'acab equip'!V34)</f>
        <v>0</v>
      </c>
      <c r="Y34" s="163">
        <f>COUNTIFS(' CADASTRO'!$R$746:$R$893,'acab equip'!V34,' CADASTRO'!$S$746:$S$893,'acab equip'!$X$3)+COUNTIFS(' CADASTRO'!$R$746:$R$893,'acab equip'!V34,' CADASTRO'!$S$746:$S$893,'acab equip'!$W$3)</f>
        <v>0</v>
      </c>
      <c r="Z34" s="162">
        <f t="shared" si="12"/>
        <v>45949</v>
      </c>
      <c r="AB34" s="165">
        <f t="shared" si="0"/>
        <v>23</v>
      </c>
      <c r="AC34" s="165">
        <f t="shared" si="3"/>
        <v>11</v>
      </c>
      <c r="AD34" s="165">
        <f t="shared" si="4"/>
        <v>0</v>
      </c>
      <c r="AE34" s="177">
        <f t="shared" si="5"/>
        <v>34</v>
      </c>
      <c r="AF34" s="14" t="str">
        <f t="shared" si="13"/>
        <v>out/2025</v>
      </c>
    </row>
    <row r="35" spans="1:32" x14ac:dyDescent="0.25">
      <c r="A35" s="14" t="s">
        <v>1068</v>
      </c>
      <c r="B35" s="162">
        <f t="shared" si="6"/>
        <v>45950</v>
      </c>
      <c r="C35" s="163">
        <f>COUNTIFS(' CADASTRO'!$S:$S,'acab equip'!$C$3,' CADASTRO'!$R:$R,'acab equip'!B35)</f>
        <v>9</v>
      </c>
      <c r="D35" s="163">
        <f>COUNTIFS(' CADASTRO'!$S:$S,'acab equip'!$D$3,' CADASTRO'!$R:$R,'acab equip'!B35)</f>
        <v>0</v>
      </c>
      <c r="E35" s="163">
        <f>COUNTIFS(' CADASTRO'!$R$746:$R$893,'acab equip'!B35,' CADASTRO'!$S$746:$S$893,'acab equip'!$D$3)+COUNTIFS(' CADASTRO'!$R$746:$R$893,'acab equip'!B35,' CADASTRO'!$S$746:$S$893,'acab equip'!$C$3)</f>
        <v>0</v>
      </c>
      <c r="F35" s="162">
        <f t="shared" si="7"/>
        <v>45951</v>
      </c>
      <c r="G35" s="163">
        <f>COUNTIFS(' CADASTRO'!$S:$S,'acab equip'!$C$3,' CADASTRO'!$R:$R,'acab equip'!F35)</f>
        <v>5</v>
      </c>
      <c r="H35" s="163">
        <f>COUNTIFS(' CADASTRO'!$S:$S,'acab equip'!$D$3,' CADASTRO'!$R:$R,'acab equip'!F35)</f>
        <v>1</v>
      </c>
      <c r="I35" s="163">
        <f>COUNTIFS(' CADASTRO'!$R$746:$R$893,'acab equip'!F35,' CADASTRO'!$S$746:$S$893,'acab equip'!$H$3)+COUNTIFS(' CADASTRO'!$R$746:$R$893,'acab equip'!F35,' CADASTRO'!$S$746:$S$893,'acab equip'!$G$3)</f>
        <v>0</v>
      </c>
      <c r="J35" s="162">
        <f t="shared" si="8"/>
        <v>45952</v>
      </c>
      <c r="K35" s="163">
        <f>COUNTIFS(' CADASTRO'!$S:$S,'acab equip'!$C$3,' CADASTRO'!$R:$R,'acab equip'!J35)</f>
        <v>4</v>
      </c>
      <c r="L35" s="163">
        <f>COUNTIFS(' CADASTRO'!$S:$S,'acab equip'!$D$3,' CADASTRO'!$R:$R,'acab equip'!J35)</f>
        <v>7</v>
      </c>
      <c r="M35" s="163">
        <f>COUNTIFS(' CADASTRO'!$R$746:$R$893,'acab equip'!J35,' CADASTRO'!$S$746:$S$893,'acab equip'!$L$3)+COUNTIFS(' CADASTRO'!$R$746:$R$893,'acab equip'!J35,' CADASTRO'!$S$746:$S$893,'acab equip'!$K$3)</f>
        <v>0</v>
      </c>
      <c r="N35" s="162">
        <f t="shared" si="9"/>
        <v>45953</v>
      </c>
      <c r="O35" s="163">
        <f>COUNTIFS(' CADASTRO'!$S:$S,'acab equip'!$C$3,' CADASTRO'!$R:$R,'acab equip'!N35)</f>
        <v>2</v>
      </c>
      <c r="P35" s="163">
        <f>COUNTIFS(' CADASTRO'!$S:$S,'acab equip'!$D$3,' CADASTRO'!$R:$R,'acab equip'!N35)</f>
        <v>4</v>
      </c>
      <c r="Q35" s="163">
        <f>COUNTIFS(' CADASTRO'!$R$746:$R$893,'acab equip'!N35,' CADASTRO'!$S$746:$S$893,'acab equip'!$P$3)+COUNTIFS(' CADASTRO'!$R$746:$R$893,'acab equip'!N35,' CADASTRO'!$S$746:$S$893,'acab equip'!$O$3)</f>
        <v>0</v>
      </c>
      <c r="R35" s="162">
        <f t="shared" si="10"/>
        <v>45954</v>
      </c>
      <c r="S35" s="163">
        <f>COUNTIFS(' CADASTRO'!$S:$S,'acab equip'!$C$3,' CADASTRO'!$R:$R,'acab equip'!R35)</f>
        <v>2</v>
      </c>
      <c r="T35" s="163">
        <f>COUNTIFS(' CADASTRO'!$S:$S,'acab equip'!$D$3,' CADASTRO'!$R:$R,'acab equip'!R35)</f>
        <v>7</v>
      </c>
      <c r="U35" s="163">
        <f>COUNTIFS(' CADASTRO'!$R$746:$R$893,'acab equip'!R35,' CADASTRO'!$S$746:$S$893,'acab equip'!$T$3)+COUNTIFS(' CADASTRO'!$R$746:$R$893,'acab equip'!R35,' CADASTRO'!$S$746:$S$893,'acab equip'!$S$3)</f>
        <v>0</v>
      </c>
      <c r="V35" s="162">
        <f t="shared" si="11"/>
        <v>45955</v>
      </c>
      <c r="W35" s="163">
        <f>COUNTIFS(' CADASTRO'!$S:$S,'acab equip'!$C$3,' CADASTRO'!$R:$R,'acab equip'!V35)</f>
        <v>1</v>
      </c>
      <c r="X35" s="163">
        <f>COUNTIFS(' CADASTRO'!$S:$S,'acab equip'!$D$3,' CADASTRO'!$R:$R,'acab equip'!V35)</f>
        <v>0</v>
      </c>
      <c r="Y35" s="163">
        <f>COUNTIFS(' CADASTRO'!$R$746:$R$893,'acab equip'!V35,' CADASTRO'!$S$746:$S$893,'acab equip'!$X$3)+COUNTIFS(' CADASTRO'!$R$746:$R$893,'acab equip'!V35,' CADASTRO'!$S$746:$S$893,'acab equip'!$W$3)</f>
        <v>0</v>
      </c>
      <c r="Z35" s="162">
        <f t="shared" si="12"/>
        <v>45956</v>
      </c>
      <c r="AB35" s="165">
        <f t="shared" si="0"/>
        <v>23</v>
      </c>
      <c r="AC35" s="165">
        <f t="shared" si="3"/>
        <v>19</v>
      </c>
      <c r="AD35" s="165">
        <f t="shared" si="4"/>
        <v>0</v>
      </c>
      <c r="AE35" s="177">
        <f t="shared" si="5"/>
        <v>42</v>
      </c>
      <c r="AF35" s="14" t="str">
        <f t="shared" si="13"/>
        <v>out/2025</v>
      </c>
    </row>
    <row r="36" spans="1:32" x14ac:dyDescent="0.25">
      <c r="A36" s="14" t="s">
        <v>1069</v>
      </c>
      <c r="B36" s="162">
        <f t="shared" si="6"/>
        <v>45957</v>
      </c>
      <c r="C36" s="163">
        <f>COUNTIFS(' CADASTRO'!$S:$S,'acab equip'!$C$3,' CADASTRO'!$R:$R,'acab equip'!B36)</f>
        <v>2</v>
      </c>
      <c r="D36" s="163">
        <f>COUNTIFS(' CADASTRO'!$S:$S,'acab equip'!$D$3,' CADASTRO'!$R:$R,'acab equip'!B36)</f>
        <v>3</v>
      </c>
      <c r="E36" s="163">
        <f>COUNTIFS(' CADASTRO'!$R$746:$R$893,'acab equip'!B36,' CADASTRO'!$S$746:$S$893,'acab equip'!$D$3)+COUNTIFS(' CADASTRO'!$R$746:$R$893,'acab equip'!B36,' CADASTRO'!$S$746:$S$893,'acab equip'!$C$3)</f>
        <v>0</v>
      </c>
      <c r="F36" s="162">
        <f t="shared" si="7"/>
        <v>45958</v>
      </c>
      <c r="G36" s="163">
        <f>COUNTIFS(' CADASTRO'!$S:$S,'acab equip'!$C$3,' CADASTRO'!$R:$R,'acab equip'!F36)</f>
        <v>2</v>
      </c>
      <c r="H36" s="163">
        <f>COUNTIFS(' CADASTRO'!$S:$S,'acab equip'!$D$3,' CADASTRO'!$R:$R,'acab equip'!F36)</f>
        <v>1</v>
      </c>
      <c r="I36" s="163">
        <f>COUNTIFS(' CADASTRO'!$R$746:$R$893,'acab equip'!F36,' CADASTRO'!$S$746:$S$893,'acab equip'!$H$3)+COUNTIFS(' CADASTRO'!$R$746:$R$893,'acab equip'!F36,' CADASTRO'!$S$746:$S$893,'acab equip'!$G$3)</f>
        <v>0</v>
      </c>
      <c r="J36" s="162">
        <f t="shared" si="8"/>
        <v>45959</v>
      </c>
      <c r="K36" s="163">
        <f>COUNTIFS(' CADASTRO'!$S:$S,'acab equip'!$C$3,' CADASTRO'!$R:$R,'acab equip'!J36)</f>
        <v>3</v>
      </c>
      <c r="L36" s="163">
        <f>COUNTIFS(' CADASTRO'!$S:$S,'acab equip'!$D$3,' CADASTRO'!$R:$R,'acab equip'!J36)</f>
        <v>4</v>
      </c>
      <c r="M36" s="163">
        <f>COUNTIFS(' CADASTRO'!$R$746:$R$893,'acab equip'!J36,' CADASTRO'!$S$746:$S$893,'acab equip'!$L$3)+COUNTIFS(' CADASTRO'!$R$746:$R$893,'acab equip'!J36,' CADASTRO'!$S$746:$S$893,'acab equip'!$K$3)</f>
        <v>0</v>
      </c>
      <c r="N36" s="162">
        <f t="shared" si="9"/>
        <v>45960</v>
      </c>
      <c r="O36" s="163">
        <f>COUNTIFS(' CADASTRO'!$S:$S,'acab equip'!$C$3,' CADASTRO'!$R:$R,'acab equip'!N36)</f>
        <v>3</v>
      </c>
      <c r="P36" s="163">
        <f>COUNTIFS(' CADASTRO'!$S:$S,'acab equip'!$D$3,' CADASTRO'!$R:$R,'acab equip'!N36)</f>
        <v>6</v>
      </c>
      <c r="Q36" s="163">
        <f>COUNTIFS(' CADASTRO'!$R$746:$R$893,'acab equip'!N36,' CADASTRO'!$S$746:$S$893,'acab equip'!$P$3)+COUNTIFS(' CADASTRO'!$R$746:$R$893,'acab equip'!N36,' CADASTRO'!$S$746:$S$893,'acab equip'!$O$3)</f>
        <v>0</v>
      </c>
      <c r="R36" s="162">
        <f t="shared" si="10"/>
        <v>45961</v>
      </c>
      <c r="S36" s="163">
        <f>COUNTIFS(' CADASTRO'!$S:$S,'acab equip'!$C$3,' CADASTRO'!$R:$R,'acab equip'!R36)</f>
        <v>2</v>
      </c>
      <c r="T36" s="163">
        <f>COUNTIFS(' CADASTRO'!$S:$S,'acab equip'!$D$3,' CADASTRO'!$R:$R,'acab equip'!R36)</f>
        <v>6</v>
      </c>
      <c r="U36" s="163">
        <f>COUNTIFS(' CADASTRO'!$R$746:$R$893,'acab equip'!R36,' CADASTRO'!$S$746:$S$893,'acab equip'!$T$3)+COUNTIFS(' CADASTRO'!$R$746:$R$893,'acab equip'!R36,' CADASTRO'!$S$746:$S$893,'acab equip'!$S$3)</f>
        <v>0</v>
      </c>
      <c r="V36" s="162">
        <f t="shared" si="11"/>
        <v>45962</v>
      </c>
      <c r="W36" s="163">
        <f>COUNTIFS(' CADASTRO'!$S:$S,'acab equip'!$C$3,' CADASTRO'!$R:$R,'acab equip'!V36)</f>
        <v>0</v>
      </c>
      <c r="X36" s="163">
        <f>COUNTIFS(' CADASTRO'!$S:$S,'acab equip'!$D$3,' CADASTRO'!$R:$R,'acab equip'!V36)</f>
        <v>0</v>
      </c>
      <c r="Y36" s="163">
        <f>COUNTIFS(' CADASTRO'!$R$746:$R$893,'acab equip'!V36,' CADASTRO'!$S$746:$S$893,'acab equip'!$X$3)+COUNTIFS(' CADASTRO'!$R$746:$R$893,'acab equip'!V36,' CADASTRO'!$S$746:$S$893,'acab equip'!$W$3)</f>
        <v>0</v>
      </c>
      <c r="Z36" s="162">
        <f t="shared" si="12"/>
        <v>45963</v>
      </c>
      <c r="AB36" s="165">
        <f t="shared" si="0"/>
        <v>12</v>
      </c>
      <c r="AC36" s="165">
        <f t="shared" si="3"/>
        <v>20</v>
      </c>
      <c r="AD36" s="165">
        <f t="shared" si="4"/>
        <v>0</v>
      </c>
      <c r="AE36" s="177">
        <f>AB36+AC36+AD36</f>
        <v>32</v>
      </c>
      <c r="AF36" s="14" t="str">
        <f t="shared" si="13"/>
        <v>nov/2025</v>
      </c>
    </row>
    <row r="37" spans="1:32" x14ac:dyDescent="0.25">
      <c r="A37" s="14" t="s">
        <v>1070</v>
      </c>
      <c r="B37" s="162">
        <f t="shared" si="6"/>
        <v>45964</v>
      </c>
      <c r="C37" s="163">
        <f>COUNTIFS(' CADASTRO'!$S:$S,'acab equip'!$C$3,' CADASTRO'!$R:$R,'acab equip'!B37)</f>
        <v>2</v>
      </c>
      <c r="D37" s="163">
        <f>COUNTIFS(' CADASTRO'!$S:$S,'acab equip'!$D$3,' CADASTRO'!$R:$R,'acab equip'!B37)</f>
        <v>0</v>
      </c>
      <c r="E37" s="163">
        <f>COUNTIFS(' CADASTRO'!$R$746:$R$893,'acab equip'!B37,' CADASTRO'!$S$746:$S$893,'acab equip'!$D$3)+COUNTIFS(' CADASTRO'!$R$746:$R$893,'acab equip'!B37,' CADASTRO'!$S$746:$S$893,'acab equip'!$C$3)</f>
        <v>0</v>
      </c>
      <c r="F37" s="162">
        <f t="shared" si="7"/>
        <v>45965</v>
      </c>
      <c r="G37" s="163">
        <f>COUNTIFS(' CADASTRO'!$S:$S,'acab equip'!$C$3,' CADASTRO'!$R:$R,'acab equip'!F37)</f>
        <v>4</v>
      </c>
      <c r="H37" s="163">
        <f>COUNTIFS(' CADASTRO'!$S:$S,'acab equip'!$D$3,' CADASTRO'!$R:$R,'acab equip'!F37)</f>
        <v>3</v>
      </c>
      <c r="I37" s="163">
        <f>COUNTIFS(' CADASTRO'!$R$746:$R$893,'acab equip'!F37,' CADASTRO'!$S$746:$S$893,'acab equip'!$H$3)+COUNTIFS(' CADASTRO'!$R$746:$R$893,'acab equip'!F37,' CADASTRO'!$S$746:$S$893,'acab equip'!$G$3)</f>
        <v>0</v>
      </c>
      <c r="J37" s="162">
        <f t="shared" si="8"/>
        <v>45966</v>
      </c>
      <c r="K37" s="163">
        <f>COUNTIFS(' CADASTRO'!$S:$S,'acab equip'!$C$3,' CADASTRO'!$R:$R,'acab equip'!J37)</f>
        <v>2</v>
      </c>
      <c r="L37" s="163">
        <f>COUNTIFS(' CADASTRO'!$S:$S,'acab equip'!$D$3,' CADASTRO'!$R:$R,'acab equip'!J37)</f>
        <v>3</v>
      </c>
      <c r="M37" s="163">
        <f>COUNTIFS(' CADASTRO'!$R$746:$R$893,'acab equip'!J37,' CADASTRO'!$S$746:$S$893,'acab equip'!$L$3)+COUNTIFS(' CADASTRO'!$R$746:$R$893,'acab equip'!J37,' CADASTRO'!$S$746:$S$893,'acab equip'!$K$3)</f>
        <v>0</v>
      </c>
      <c r="N37" s="162">
        <f t="shared" si="9"/>
        <v>45967</v>
      </c>
      <c r="O37" s="163">
        <f>COUNTIFS(' CADASTRO'!$S:$S,'acab equip'!$C$3,' CADASTRO'!$R:$R,'acab equip'!N37)</f>
        <v>2</v>
      </c>
      <c r="P37" s="163">
        <f>COUNTIFS(' CADASTRO'!$S:$S,'acab equip'!$D$3,' CADASTRO'!$R:$R,'acab equip'!N37)</f>
        <v>4</v>
      </c>
      <c r="Q37" s="163">
        <f>COUNTIFS(' CADASTRO'!$R$746:$R$893,'acab equip'!N37,' CADASTRO'!$S$746:$S$893,'acab equip'!$P$3)+COUNTIFS(' CADASTRO'!$R$746:$R$893,'acab equip'!N37,' CADASTRO'!$S$746:$S$893,'acab equip'!$O$3)</f>
        <v>0</v>
      </c>
      <c r="R37" s="162">
        <f t="shared" si="10"/>
        <v>45968</v>
      </c>
      <c r="S37" s="163">
        <f>COUNTIFS(' CADASTRO'!$S:$S,'acab equip'!$C$3,' CADASTRO'!$R:$R,'acab equip'!R37)</f>
        <v>2</v>
      </c>
      <c r="T37" s="163">
        <f>COUNTIFS(' CADASTRO'!$S:$S,'acab equip'!$D$3,' CADASTRO'!$R:$R,'acab equip'!R37)</f>
        <v>0</v>
      </c>
      <c r="U37" s="163">
        <f>COUNTIFS(' CADASTRO'!$R$746:$R$893,'acab equip'!R37,' CADASTRO'!$S$746:$S$893,'acab equip'!$T$3)+COUNTIFS(' CADASTRO'!$R$746:$R$893,'acab equip'!R37,' CADASTRO'!$S$746:$S$893,'acab equip'!$S$3)</f>
        <v>0</v>
      </c>
      <c r="V37" s="162">
        <f t="shared" si="11"/>
        <v>45969</v>
      </c>
      <c r="W37" s="163">
        <f>COUNTIFS(' CADASTRO'!$S:$S,'acab equip'!$C$3,' CADASTRO'!$R:$R,'acab equip'!V37)</f>
        <v>0</v>
      </c>
      <c r="X37" s="163">
        <f>COUNTIFS(' CADASTRO'!$S:$S,'acab equip'!$D$3,' CADASTRO'!$R:$R,'acab equip'!V37)</f>
        <v>3</v>
      </c>
      <c r="Y37" s="163">
        <f>COUNTIFS(' CADASTRO'!$R$746:$R$893,'acab equip'!V37,' CADASTRO'!$S$746:$S$893,'acab equip'!$X$3)+COUNTIFS(' CADASTRO'!$R$746:$R$893,'acab equip'!V37,' CADASTRO'!$S$746:$S$893,'acab equip'!$W$3)</f>
        <v>0</v>
      </c>
      <c r="Z37" s="162">
        <f t="shared" si="12"/>
        <v>45970</v>
      </c>
      <c r="AB37" s="165">
        <f t="shared" si="0"/>
        <v>12</v>
      </c>
      <c r="AC37" s="165">
        <f t="shared" si="3"/>
        <v>13</v>
      </c>
      <c r="AD37" s="165">
        <f t="shared" si="4"/>
        <v>0</v>
      </c>
      <c r="AE37" s="177">
        <f>AB37+AC37+AD37</f>
        <v>25</v>
      </c>
      <c r="AF37" s="14" t="str">
        <f t="shared" si="13"/>
        <v>nov/2025</v>
      </c>
    </row>
    <row r="38" spans="1:32" x14ac:dyDescent="0.25">
      <c r="A38" s="14" t="s">
        <v>1078</v>
      </c>
      <c r="B38" s="162">
        <f t="shared" si="6"/>
        <v>45971</v>
      </c>
      <c r="C38" s="163">
        <f>COUNTIFS(' CADASTRO'!$S:$S,'acab equip'!$C$3,' CADASTRO'!$R:$R,'acab equip'!B38)</f>
        <v>2</v>
      </c>
      <c r="D38" s="163">
        <f>COUNTIFS(' CADASTRO'!$S:$S,'acab equip'!$D$3,' CADASTRO'!$R:$R,'acab equip'!B38)</f>
        <v>3</v>
      </c>
      <c r="E38" s="163">
        <f>COUNTIFS(' CADASTRO'!$R$746:$R$893,'acab equip'!B38,' CADASTRO'!$S$746:$S$893,'acab equip'!$D$3)+COUNTIFS(' CADASTRO'!$R$746:$R$893,'acab equip'!B38,' CADASTRO'!$S$746:$S$893,'acab equip'!$C$3)</f>
        <v>0</v>
      </c>
      <c r="F38" s="162">
        <f t="shared" si="7"/>
        <v>45972</v>
      </c>
      <c r="G38" s="163">
        <f>COUNTIFS(' CADASTRO'!$S:$S,'acab equip'!$C$3,' CADASTRO'!$R:$R,'acab equip'!F38)</f>
        <v>3</v>
      </c>
      <c r="H38" s="163">
        <f>COUNTIFS(' CADASTRO'!$S:$S,'acab equip'!$D$3,' CADASTRO'!$R:$R,'acab equip'!F38)</f>
        <v>2</v>
      </c>
      <c r="I38" s="163">
        <f>COUNTIFS(' CADASTRO'!$R$746:$R$893,'acab equip'!F38,' CADASTRO'!$S$746:$S$893,'acab equip'!$H$3)+COUNTIFS(' CADASTRO'!$R$746:$R$893,'acab equip'!F38,' CADASTRO'!$S$746:$S$893,'acab equip'!$G$3)</f>
        <v>0</v>
      </c>
      <c r="J38" s="162">
        <f t="shared" si="8"/>
        <v>45973</v>
      </c>
      <c r="K38" s="163">
        <f>COUNTIFS(' CADASTRO'!$S:$S,'acab equip'!$C$3,' CADASTRO'!$R:$R,'acab equip'!J38)</f>
        <v>5</v>
      </c>
      <c r="L38" s="163">
        <f>COUNTIFS(' CADASTRO'!$S:$S,'acab equip'!$D$3,' CADASTRO'!$R:$R,'acab equip'!J38)</f>
        <v>4</v>
      </c>
      <c r="M38" s="163">
        <f>COUNTIFS(' CADASTRO'!$R$746:$R$893,'acab equip'!J38,' CADASTRO'!$S$746:$S$893,'acab equip'!$L$3)+COUNTIFS(' CADASTRO'!$R$746:$R$893,'acab equip'!J38,' CADASTRO'!$S$746:$S$893,'acab equip'!$K$3)</f>
        <v>0</v>
      </c>
      <c r="N38" s="162">
        <f t="shared" si="9"/>
        <v>45974</v>
      </c>
      <c r="O38" s="163">
        <f>COUNTIFS(' CADASTRO'!$S:$S,'acab equip'!$C$3,' CADASTRO'!$R:$R,'acab equip'!N38)</f>
        <v>2</v>
      </c>
      <c r="P38" s="163">
        <f>COUNTIFS(' CADASTRO'!$S:$S,'acab equip'!$D$3,' CADASTRO'!$R:$R,'acab equip'!N38)</f>
        <v>2</v>
      </c>
      <c r="Q38" s="163">
        <f>COUNTIFS(' CADASTRO'!$R$746:$R$893,'acab equip'!N38,' CADASTRO'!$S$746:$S$893,'acab equip'!$P$3)+COUNTIFS(' CADASTRO'!$R$746:$R$893,'acab equip'!N38,' CADASTRO'!$S$746:$S$893,'acab equip'!$O$3)</f>
        <v>0</v>
      </c>
      <c r="R38" s="162">
        <f t="shared" si="10"/>
        <v>45975</v>
      </c>
      <c r="S38" s="163">
        <f>COUNTIFS(' CADASTRO'!$S:$S,'acab equip'!$C$3,' CADASTRO'!$R:$R,'acab equip'!R38)</f>
        <v>4</v>
      </c>
      <c r="T38" s="163">
        <f>COUNTIFS(' CADASTRO'!$S:$S,'acab equip'!$D$3,' CADASTRO'!$R:$R,'acab equip'!R38)</f>
        <v>2</v>
      </c>
      <c r="U38" s="163">
        <f>COUNTIFS(' CADASTRO'!$R$746:$R$893,'acab equip'!R38,' CADASTRO'!$S$746:$S$893,'acab equip'!$T$3)+COUNTIFS(' CADASTRO'!$R$746:$R$893,'acab equip'!R38,' CADASTRO'!$S$746:$S$893,'acab equip'!$S$3)</f>
        <v>0</v>
      </c>
      <c r="V38" s="162">
        <f t="shared" si="11"/>
        <v>45976</v>
      </c>
      <c r="W38" s="163">
        <f>COUNTIFS(' CADASTRO'!$S:$S,'acab equip'!$C$3,' CADASTRO'!$R:$R,'acab equip'!V38)</f>
        <v>4</v>
      </c>
      <c r="X38" s="163">
        <f>COUNTIFS(' CADASTRO'!$S:$S,'acab equip'!$D$3,' CADASTRO'!$R:$R,'acab equip'!V38)</f>
        <v>1</v>
      </c>
      <c r="Y38" s="163">
        <f>COUNTIFS(' CADASTRO'!$R$746:$R$893,'acab equip'!V38,' CADASTRO'!$S$746:$S$893,'acab equip'!$X$3)+COUNTIFS(' CADASTRO'!$R$746:$R$893,'acab equip'!V38,' CADASTRO'!$S$746:$S$893,'acab equip'!$W$3)</f>
        <v>0</v>
      </c>
      <c r="Z38" s="162">
        <f t="shared" si="12"/>
        <v>45977</v>
      </c>
      <c r="AB38" s="165">
        <f t="shared" si="0"/>
        <v>20</v>
      </c>
      <c r="AC38" s="165">
        <f t="shared" si="3"/>
        <v>14</v>
      </c>
      <c r="AD38" s="165">
        <f t="shared" si="4"/>
        <v>0</v>
      </c>
      <c r="AE38" s="177">
        <f t="shared" si="5"/>
        <v>34</v>
      </c>
      <c r="AF38" s="14" t="str">
        <f t="shared" si="13"/>
        <v>nov/2025</v>
      </c>
    </row>
    <row r="39" spans="1:32" x14ac:dyDescent="0.25">
      <c r="A39" s="14" t="s">
        <v>1079</v>
      </c>
      <c r="B39" s="162">
        <f t="shared" si="6"/>
        <v>45978</v>
      </c>
      <c r="C39" s="163">
        <f>COUNTIFS(' CADASTRO'!$S:$S,'acab equip'!$C$3,' CADASTRO'!$R:$R,'acab equip'!B39)</f>
        <v>2</v>
      </c>
      <c r="D39" s="163">
        <f>COUNTIFS(' CADASTRO'!$S:$S,'acab equip'!$D$3,' CADASTRO'!$R:$R,'acab equip'!B39)</f>
        <v>3</v>
      </c>
      <c r="E39" s="163">
        <f>COUNTIFS(' CADASTRO'!$R$746:$R$893,'acab equip'!B39,' CADASTRO'!$S$746:$S$893,'acab equip'!$D$3)+COUNTIFS(' CADASTRO'!$R$746:$R$893,'acab equip'!B39,' CADASTRO'!$S$746:$S$893,'acab equip'!$C$3)</f>
        <v>0</v>
      </c>
      <c r="F39" s="162">
        <f t="shared" si="7"/>
        <v>45979</v>
      </c>
      <c r="G39" s="163">
        <f>COUNTIFS(' CADASTRO'!$S:$S,'acab equip'!$C$3,' CADASTRO'!$R:$R,'acab equip'!F39)</f>
        <v>2</v>
      </c>
      <c r="H39" s="163">
        <f>COUNTIFS(' CADASTRO'!$S:$S,'acab equip'!$D$3,' CADASTRO'!$R:$R,'acab equip'!F39)</f>
        <v>3</v>
      </c>
      <c r="I39" s="163">
        <f>COUNTIFS(' CADASTRO'!$R$746:$R$893,'acab equip'!F39,' CADASTRO'!$S$746:$S$893,'acab equip'!$H$3)+COUNTIFS(' CADASTRO'!$R$746:$R$893,'acab equip'!F39,' CADASTRO'!$S$746:$S$893,'acab equip'!$G$3)</f>
        <v>0</v>
      </c>
      <c r="J39" s="162">
        <f t="shared" si="8"/>
        <v>45980</v>
      </c>
      <c r="K39" s="163">
        <f>COUNTIFS(' CADASTRO'!$S:$S,'acab equip'!$C$3,' CADASTRO'!$R:$R,'acab equip'!J39)</f>
        <v>3</v>
      </c>
      <c r="L39" s="163">
        <f>COUNTIFS(' CADASTRO'!$S:$S,'acab equip'!$D$3,' CADASTRO'!$R:$R,'acab equip'!J39)</f>
        <v>4</v>
      </c>
      <c r="M39" s="163">
        <f>COUNTIFS(' CADASTRO'!$R$746:$R$893,'acab equip'!J39,' CADASTRO'!$S$746:$S$893,'acab equip'!$L$3)+COUNTIFS(' CADASTRO'!$R$746:$R$893,'acab equip'!J39,' CADASTRO'!$S$746:$S$893,'acab equip'!$K$3)</f>
        <v>0</v>
      </c>
      <c r="N39" s="162">
        <f t="shared" si="9"/>
        <v>45981</v>
      </c>
      <c r="O39" s="163">
        <f>COUNTIFS(' CADASTRO'!$S:$S,'acab equip'!$C$3,' CADASTRO'!$R:$R,'acab equip'!N39)</f>
        <v>1</v>
      </c>
      <c r="P39" s="163">
        <f>COUNTIFS(' CADASTRO'!$S:$S,'acab equip'!$D$3,' CADASTRO'!$R:$R,'acab equip'!N39)</f>
        <v>2</v>
      </c>
      <c r="Q39" s="163">
        <f>COUNTIFS(' CADASTRO'!$R$746:$R$893,'acab equip'!N39,' CADASTRO'!$S$746:$S$893,'acab equip'!$P$3)+COUNTIFS(' CADASTRO'!$R$746:$R$893,'acab equip'!N39,' CADASTRO'!$S$746:$S$893,'acab equip'!$O$3)</f>
        <v>0</v>
      </c>
      <c r="R39" s="162">
        <f t="shared" si="10"/>
        <v>45982</v>
      </c>
      <c r="S39" s="163">
        <f>COUNTIFS(' CADASTRO'!$S:$S,'acab equip'!$C$3,' CADASTRO'!$R:$R,'acab equip'!R39)</f>
        <v>6</v>
      </c>
      <c r="T39" s="163">
        <f>COUNTIFS(' CADASTRO'!$S:$S,'acab equip'!$D$3,' CADASTRO'!$R:$R,'acab equip'!R39)</f>
        <v>3</v>
      </c>
      <c r="U39" s="163">
        <f>COUNTIFS(' CADASTRO'!$R$746:$R$893,'acab equip'!R39,' CADASTRO'!$S$746:$S$893,'acab equip'!$T$3)+COUNTIFS(' CADASTRO'!$R$746:$R$893,'acab equip'!R39,' CADASTRO'!$S$746:$S$893,'acab equip'!$S$3)</f>
        <v>0</v>
      </c>
      <c r="V39" s="162">
        <f t="shared" si="11"/>
        <v>45983</v>
      </c>
      <c r="W39" s="163">
        <f>COUNTIFS(' CADASTRO'!$S:$S,'acab equip'!$C$3,' CADASTRO'!$R:$R,'acab equip'!V39)</f>
        <v>1</v>
      </c>
      <c r="X39" s="163">
        <f>COUNTIFS(' CADASTRO'!$S:$S,'acab equip'!$D$3,' CADASTRO'!$R:$R,'acab equip'!V39)</f>
        <v>1</v>
      </c>
      <c r="Y39" s="163">
        <f>COUNTIFS(' CADASTRO'!$R$746:$R$893,'acab equip'!V39,' CADASTRO'!$S$746:$S$893,'acab equip'!$X$3)+COUNTIFS(' CADASTRO'!$R$746:$R$893,'acab equip'!V39,' CADASTRO'!$S$746:$S$893,'acab equip'!$W$3)</f>
        <v>0</v>
      </c>
      <c r="Z39" s="162">
        <f t="shared" si="12"/>
        <v>45984</v>
      </c>
      <c r="AB39" s="165">
        <f t="shared" si="0"/>
        <v>15</v>
      </c>
      <c r="AC39" s="165">
        <f t="shared" si="3"/>
        <v>16</v>
      </c>
      <c r="AD39" s="165">
        <f t="shared" si="4"/>
        <v>0</v>
      </c>
      <c r="AE39" s="177">
        <f t="shared" si="5"/>
        <v>31</v>
      </c>
      <c r="AF39" s="14" t="str">
        <f t="shared" si="13"/>
        <v>nov/2025</v>
      </c>
    </row>
    <row r="40" spans="1:32" x14ac:dyDescent="0.25">
      <c r="A40" s="14" t="s">
        <v>1080</v>
      </c>
      <c r="B40" s="162">
        <f t="shared" si="6"/>
        <v>45985</v>
      </c>
      <c r="C40" s="163">
        <f>COUNTIFS(' CADASTRO'!$S:$S,'acab equip'!$C$3,' CADASTRO'!$R:$R,'acab equip'!B40)</f>
        <v>3</v>
      </c>
      <c r="D40" s="163">
        <f>COUNTIFS(' CADASTRO'!$S:$S,'acab equip'!$D$3,' CADASTRO'!$R:$R,'acab equip'!B40)</f>
        <v>3</v>
      </c>
      <c r="E40" s="163">
        <f>COUNTIFS(' CADASTRO'!$R$746:$R$893,'acab equip'!B40,' CADASTRO'!$S$746:$S$893,'acab equip'!$D$3)+COUNTIFS(' CADASTRO'!$R$746:$R$893,'acab equip'!B40,' CADASTRO'!$S$746:$S$893,'acab equip'!$C$3)</f>
        <v>0</v>
      </c>
      <c r="F40" s="162">
        <f t="shared" si="7"/>
        <v>45986</v>
      </c>
      <c r="G40" s="163">
        <f>COUNTIFS(' CADASTRO'!$S:$S,'acab equip'!$C$3,' CADASTRO'!$R:$R,'acab equip'!F40)</f>
        <v>6</v>
      </c>
      <c r="H40" s="163">
        <f>COUNTIFS(' CADASTRO'!$S:$S,'acab equip'!$D$3,' CADASTRO'!$R:$R,'acab equip'!F40)</f>
        <v>2</v>
      </c>
      <c r="I40" s="163">
        <f>COUNTIFS(' CADASTRO'!$R$746:$R$893,'acab equip'!F40,' CADASTRO'!$S$746:$S$893,'acab equip'!$H$3)+COUNTIFS(' CADASTRO'!$R$746:$R$893,'acab equip'!F40,' CADASTRO'!$S$746:$S$893,'acab equip'!$G$3)</f>
        <v>0</v>
      </c>
      <c r="J40" s="162">
        <f t="shared" si="8"/>
        <v>45987</v>
      </c>
      <c r="K40" s="163">
        <f>COUNTIFS(' CADASTRO'!$S:$S,'acab equip'!$C$3,' CADASTRO'!$R:$R,'acab equip'!J40)</f>
        <v>5</v>
      </c>
      <c r="L40" s="163">
        <f>COUNTIFS(' CADASTRO'!$S:$S,'acab equip'!$D$3,' CADASTRO'!$R:$R,'acab equip'!J40)</f>
        <v>3</v>
      </c>
      <c r="M40" s="163">
        <f>COUNTIFS(' CADASTRO'!$R$746:$R$893,'acab equip'!J40,' CADASTRO'!$S$746:$S$893,'acab equip'!$L$3)+COUNTIFS(' CADASTRO'!$R$746:$R$893,'acab equip'!J40,' CADASTRO'!$S$746:$S$893,'acab equip'!$K$3)</f>
        <v>0</v>
      </c>
      <c r="N40" s="162">
        <f t="shared" si="9"/>
        <v>45988</v>
      </c>
      <c r="O40" s="163">
        <f>COUNTIFS(' CADASTRO'!$S:$S,'acab equip'!$C$3,' CADASTRO'!$R:$R,'acab equip'!N40)</f>
        <v>7</v>
      </c>
      <c r="P40" s="163">
        <f>COUNTIFS(' CADASTRO'!$S:$S,'acab equip'!$D$3,' CADASTRO'!$R:$R,'acab equip'!N40)</f>
        <v>4</v>
      </c>
      <c r="Q40" s="163">
        <f>COUNTIFS(' CADASTRO'!$R$746:$R$893,'acab equip'!N40,' CADASTRO'!$S$746:$S$893,'acab equip'!$P$3)+COUNTIFS(' CADASTRO'!$R$746:$R$893,'acab equip'!N40,' CADASTRO'!$S$746:$S$893,'acab equip'!$O$3)</f>
        <v>0</v>
      </c>
      <c r="R40" s="162">
        <f t="shared" si="10"/>
        <v>45989</v>
      </c>
      <c r="S40" s="163">
        <f>COUNTIFS(' CADASTRO'!$S:$S,'acab equip'!$C$3,' CADASTRO'!$R:$R,'acab equip'!R40)</f>
        <v>3</v>
      </c>
      <c r="T40" s="163">
        <f>COUNTIFS(' CADASTRO'!$S:$S,'acab equip'!$D$3,' CADASTRO'!$R:$R,'acab equip'!R40)</f>
        <v>2</v>
      </c>
      <c r="U40" s="163">
        <f>COUNTIFS(' CADASTRO'!$R$746:$R$893,'acab equip'!R40,' CADASTRO'!$S$746:$S$893,'acab equip'!$T$3)+COUNTIFS(' CADASTRO'!$R$746:$R$893,'acab equip'!R40,' CADASTRO'!$S$746:$S$893,'acab equip'!$S$3)</f>
        <v>0</v>
      </c>
      <c r="V40" s="162">
        <f t="shared" si="11"/>
        <v>45990</v>
      </c>
      <c r="W40" s="163">
        <f>COUNTIFS(' CADASTRO'!$S:$S,'acab equip'!$C$3,' CADASTRO'!$R:$R,'acab equip'!V40)</f>
        <v>0</v>
      </c>
      <c r="X40" s="163">
        <f>COUNTIFS(' CADASTRO'!$S:$S,'acab equip'!$D$3,' CADASTRO'!$R:$R,'acab equip'!V40)</f>
        <v>0</v>
      </c>
      <c r="Y40" s="163">
        <f>COUNTIFS(' CADASTRO'!$R$746:$R$893,'acab equip'!V40,' CADASTRO'!$S$746:$S$893,'acab equip'!$X$3)+COUNTIFS(' CADASTRO'!$R$746:$R$893,'acab equip'!V40,' CADASTRO'!$S$746:$S$893,'acab equip'!$W$3)</f>
        <v>0</v>
      </c>
      <c r="Z40" s="162">
        <f t="shared" si="12"/>
        <v>45991</v>
      </c>
      <c r="AB40" s="165">
        <f t="shared" si="0"/>
        <v>24</v>
      </c>
      <c r="AC40" s="165">
        <f t="shared" si="3"/>
        <v>14</v>
      </c>
      <c r="AD40" s="165">
        <f t="shared" si="4"/>
        <v>0</v>
      </c>
      <c r="AE40" s="177">
        <f t="shared" si="5"/>
        <v>38</v>
      </c>
      <c r="AF40" s="14" t="str">
        <f t="shared" si="13"/>
        <v>nov/2025</v>
      </c>
    </row>
    <row r="41" spans="1:32" x14ac:dyDescent="0.25">
      <c r="A41" s="14" t="s">
        <v>1081</v>
      </c>
      <c r="B41" s="162">
        <f t="shared" si="6"/>
        <v>45992</v>
      </c>
      <c r="C41" s="163">
        <f>COUNTIFS(' CADASTRO'!$S:$S,'acab equip'!$C$3,' CADASTRO'!$R:$R,'acab equip'!B41)</f>
        <v>3</v>
      </c>
      <c r="D41" s="163">
        <f>COUNTIFS(' CADASTRO'!$S:$S,'acab equip'!$D$3,' CADASTRO'!$R:$R,'acab equip'!B41)</f>
        <v>3</v>
      </c>
      <c r="E41" s="163">
        <f>COUNTIFS(' CADASTRO'!$R$746:$R$893,'acab equip'!B41,' CADASTRO'!$S$746:$S$893,'acab equip'!$D$3)+COUNTIFS(' CADASTRO'!$R$746:$R$893,'acab equip'!B41,' CADASTRO'!$S$746:$S$893,'acab equip'!$C$3)</f>
        <v>0</v>
      </c>
      <c r="F41" s="162">
        <f t="shared" si="7"/>
        <v>45993</v>
      </c>
      <c r="G41" s="163">
        <f>COUNTIFS(' CADASTRO'!$S:$S,'acab equip'!$C$3,' CADASTRO'!$R:$R,'acab equip'!F41)</f>
        <v>6</v>
      </c>
      <c r="H41" s="163">
        <f>COUNTIFS(' CADASTRO'!$S:$S,'acab equip'!$D$3,' CADASTRO'!$R:$R,'acab equip'!F41)</f>
        <v>3</v>
      </c>
      <c r="I41" s="163">
        <f>COUNTIFS(' CADASTRO'!$R$746:$R$893,'acab equip'!F41,' CADASTRO'!$S$746:$S$893,'acab equip'!$H$3)+COUNTIFS(' CADASTRO'!$R$746:$R$893,'acab equip'!F41,' CADASTRO'!$S$746:$S$893,'acab equip'!$G$3)</f>
        <v>0</v>
      </c>
      <c r="J41" s="162">
        <f t="shared" si="8"/>
        <v>45994</v>
      </c>
      <c r="K41" s="163">
        <f>COUNTIFS(' CADASTRO'!$S:$S,'acab equip'!$C$3,' CADASTRO'!$R:$R,'acab equip'!J41)</f>
        <v>2</v>
      </c>
      <c r="L41" s="163">
        <f>COUNTIFS(' CADASTRO'!$S:$S,'acab equip'!$D$3,' CADASTRO'!$R:$R,'acab equip'!J41)</f>
        <v>2</v>
      </c>
      <c r="M41" s="163">
        <f>COUNTIFS(' CADASTRO'!$R$746:$R$893,'acab equip'!J41,' CADASTRO'!$S$746:$S$893,'acab equip'!$L$3)+COUNTIFS(' CADASTRO'!$R$746:$R$893,'acab equip'!J41,' CADASTRO'!$S$746:$S$893,'acab equip'!$K$3)</f>
        <v>0</v>
      </c>
      <c r="N41" s="162">
        <f t="shared" si="9"/>
        <v>45995</v>
      </c>
      <c r="O41" s="163">
        <f>COUNTIFS(' CADASTRO'!$S:$S,'acab equip'!$C$3,' CADASTRO'!$R:$R,'acab equip'!N41)</f>
        <v>5</v>
      </c>
      <c r="P41" s="163">
        <f>COUNTIFS(' CADASTRO'!$S:$S,'acab equip'!$D$3,' CADASTRO'!$R:$R,'acab equip'!N41)</f>
        <v>2</v>
      </c>
      <c r="Q41" s="163">
        <f>COUNTIFS(' CADASTRO'!$R$746:$R$893,'acab equip'!N41,' CADASTRO'!$S$746:$S$893,'acab equip'!$P$3)+COUNTIFS(' CADASTRO'!$R$746:$R$893,'acab equip'!N41,' CADASTRO'!$S$746:$S$893,'acab equip'!$O$3)</f>
        <v>0</v>
      </c>
      <c r="R41" s="162">
        <f t="shared" si="10"/>
        <v>45996</v>
      </c>
      <c r="S41" s="163">
        <f>COUNTIFS(' CADASTRO'!$S:$S,'acab equip'!$C$3,' CADASTRO'!$R:$R,'acab equip'!R41)</f>
        <v>3</v>
      </c>
      <c r="T41" s="163">
        <f>COUNTIFS(' CADASTRO'!$S:$S,'acab equip'!$D$3,' CADASTRO'!$R:$R,'acab equip'!R41)</f>
        <v>4</v>
      </c>
      <c r="U41" s="163">
        <f>COUNTIFS(' CADASTRO'!$R$746:$R$893,'acab equip'!R41,' CADASTRO'!$S$746:$S$893,'acab equip'!$T$3)+COUNTIFS(' CADASTRO'!$R$746:$R$893,'acab equip'!R41,' CADASTRO'!$S$746:$S$893,'acab equip'!$S$3)</f>
        <v>0</v>
      </c>
      <c r="V41" s="162">
        <f t="shared" si="11"/>
        <v>45997</v>
      </c>
      <c r="W41" s="163">
        <f>COUNTIFS(' CADASTRO'!$S:$S,'acab equip'!$C$3,' CADASTRO'!$R:$R,'acab equip'!V41)</f>
        <v>0</v>
      </c>
      <c r="X41" s="163">
        <f>COUNTIFS(' CADASTRO'!$S:$S,'acab equip'!$D$3,' CADASTRO'!$R:$R,'acab equip'!V41)</f>
        <v>2</v>
      </c>
      <c r="Y41" s="163">
        <f>COUNTIFS(' CADASTRO'!$R$746:$R$893,'acab equip'!V41,' CADASTRO'!$S$746:$S$893,'acab equip'!$X$3)+COUNTIFS(' CADASTRO'!$R$746:$R$893,'acab equip'!V41,' CADASTRO'!$S$746:$S$893,'acab equip'!$W$3)</f>
        <v>0</v>
      </c>
      <c r="Z41" s="162">
        <f t="shared" si="12"/>
        <v>45998</v>
      </c>
      <c r="AB41" s="165">
        <f t="shared" si="0"/>
        <v>19</v>
      </c>
      <c r="AC41" s="165">
        <f t="shared" si="3"/>
        <v>16</v>
      </c>
      <c r="AD41" s="165">
        <f t="shared" si="4"/>
        <v>0</v>
      </c>
      <c r="AE41" s="177">
        <f t="shared" si="5"/>
        <v>35</v>
      </c>
      <c r="AF41" s="14" t="str">
        <f t="shared" si="13"/>
        <v>dez/2025</v>
      </c>
    </row>
    <row r="42" spans="1:32" x14ac:dyDescent="0.25">
      <c r="A42" s="14" t="s">
        <v>1082</v>
      </c>
      <c r="B42" s="162">
        <f t="shared" si="6"/>
        <v>45999</v>
      </c>
      <c r="C42" s="163">
        <f>COUNTIFS(' CADASTRO'!$S:$S,'acab equip'!$C$3,' CADASTRO'!$R:$R,'acab equip'!B42)</f>
        <v>1</v>
      </c>
      <c r="D42" s="163">
        <f>COUNTIFS(' CADASTRO'!$S:$S,'acab equip'!$D$3,' CADASTRO'!$R:$R,'acab equip'!B42)</f>
        <v>2</v>
      </c>
      <c r="E42" s="163">
        <f>COUNTIFS(' CADASTRO'!$R$746:$R$893,'acab equip'!B42,' CADASTRO'!$S$746:$S$893,'acab equip'!$D$3)+COUNTIFS(' CADASTRO'!$R$746:$R$893,'acab equip'!B42,' CADASTRO'!$S$746:$S$893,'acab equip'!$C$3)</f>
        <v>0</v>
      </c>
      <c r="F42" s="162">
        <f t="shared" si="7"/>
        <v>46000</v>
      </c>
      <c r="G42" s="163">
        <f>COUNTIFS(' CADASTRO'!$S:$S,'acab equip'!$C$3,' CADASTRO'!$R:$R,'acab equip'!F42)</f>
        <v>1</v>
      </c>
      <c r="H42" s="163">
        <f>COUNTIFS(' CADASTRO'!$S:$S,'acab equip'!$D$3,' CADASTRO'!$R:$R,'acab equip'!F42)</f>
        <v>4</v>
      </c>
      <c r="I42" s="163">
        <f>COUNTIFS(' CADASTRO'!$R$746:$R$893,'acab equip'!F42,' CADASTRO'!$S$746:$S$893,'acab equip'!$H$3)+COUNTIFS(' CADASTRO'!$R$746:$R$893,'acab equip'!F42,' CADASTRO'!$S$746:$S$893,'acab equip'!$G$3)</f>
        <v>0</v>
      </c>
      <c r="J42" s="162">
        <f t="shared" si="8"/>
        <v>46001</v>
      </c>
      <c r="K42" s="163">
        <f>COUNTIFS(' CADASTRO'!$S:$S,'acab equip'!$C$3,' CADASTRO'!$R:$R,'acab equip'!J42)</f>
        <v>3</v>
      </c>
      <c r="L42" s="163">
        <f>COUNTIFS(' CADASTRO'!$S:$S,'acab equip'!$D$3,' CADASTRO'!$R:$R,'acab equip'!J42)</f>
        <v>7</v>
      </c>
      <c r="M42" s="163">
        <f>COUNTIFS(' CADASTRO'!$R$746:$R$893,'acab equip'!J42,' CADASTRO'!$S$746:$S$893,'acab equip'!$L$3)+COUNTIFS(' CADASTRO'!$R$746:$R$893,'acab equip'!J42,' CADASTRO'!$S$746:$S$893,'acab equip'!$K$3)</f>
        <v>0</v>
      </c>
      <c r="N42" s="162">
        <f t="shared" si="9"/>
        <v>46002</v>
      </c>
      <c r="O42" s="163">
        <f>COUNTIFS(' CADASTRO'!$S:$S,'acab equip'!$C$3,' CADASTRO'!$R:$R,'acab equip'!N42)</f>
        <v>2</v>
      </c>
      <c r="P42" s="163">
        <f>COUNTIFS(' CADASTRO'!$S:$S,'acab equip'!$D$3,' CADASTRO'!$R:$R,'acab equip'!N42)</f>
        <v>2</v>
      </c>
      <c r="Q42" s="163">
        <f>COUNTIFS(' CADASTRO'!$R$746:$R$893,'acab equip'!N42,' CADASTRO'!$S$746:$S$893,'acab equip'!$P$3)+COUNTIFS(' CADASTRO'!$R$746:$R$893,'acab equip'!N42,' CADASTRO'!$S$746:$S$893,'acab equip'!$O$3)</f>
        <v>0</v>
      </c>
      <c r="R42" s="162">
        <f t="shared" si="10"/>
        <v>46003</v>
      </c>
      <c r="S42" s="163">
        <f>COUNTIFS(' CADASTRO'!$S:$S,'acab equip'!$C$3,' CADASTRO'!$R:$R,'acab equip'!R42)</f>
        <v>0</v>
      </c>
      <c r="T42" s="163">
        <f>COUNTIFS(' CADASTRO'!$S:$S,'acab equip'!$D$3,' CADASTRO'!$R:$R,'acab equip'!R42)</f>
        <v>0</v>
      </c>
      <c r="U42" s="163">
        <f>COUNTIFS(' CADASTRO'!$R$746:$R$893,'acab equip'!R42,' CADASTRO'!$S$746:$S$893,'acab equip'!$T$3)+COUNTIFS(' CADASTRO'!$R$746:$R$893,'acab equip'!R42,' CADASTRO'!$S$746:$S$893,'acab equip'!$S$3)</f>
        <v>0</v>
      </c>
      <c r="V42" s="162">
        <f t="shared" si="11"/>
        <v>46004</v>
      </c>
      <c r="W42" s="163">
        <f>COUNTIFS(' CADASTRO'!$S:$S,'acab equip'!$C$3,' CADASTRO'!$R:$R,'acab equip'!V42)</f>
        <v>0</v>
      </c>
      <c r="X42" s="163">
        <f>COUNTIFS(' CADASTRO'!$S:$S,'acab equip'!$D$3,' CADASTRO'!$R:$R,'acab equip'!V42)</f>
        <v>0</v>
      </c>
      <c r="Y42" s="163">
        <f>COUNTIFS(' CADASTRO'!$R$746:$R$893,'acab equip'!V42,' CADASTRO'!$S$746:$S$893,'acab equip'!$X$3)+COUNTIFS(' CADASTRO'!$R$746:$R$893,'acab equip'!V42,' CADASTRO'!$S$746:$S$893,'acab equip'!$W$3)</f>
        <v>0</v>
      </c>
      <c r="Z42" s="162">
        <f t="shared" si="12"/>
        <v>46005</v>
      </c>
      <c r="AB42" s="165">
        <f t="shared" si="0"/>
        <v>7</v>
      </c>
      <c r="AC42" s="165">
        <f t="shared" si="3"/>
        <v>15</v>
      </c>
      <c r="AD42" s="165">
        <f t="shared" si="4"/>
        <v>0</v>
      </c>
      <c r="AE42" s="177">
        <f t="shared" si="5"/>
        <v>22</v>
      </c>
      <c r="AF42" s="14" t="str">
        <f t="shared" si="13"/>
        <v>dez/2025</v>
      </c>
    </row>
    <row r="43" spans="1:32" x14ac:dyDescent="0.25">
      <c r="A43" s="14" t="s">
        <v>1083</v>
      </c>
      <c r="B43" s="162">
        <f t="shared" si="6"/>
        <v>46006</v>
      </c>
      <c r="C43" s="163">
        <f>COUNTIFS(' CADASTRO'!$S:$S,'acab equip'!$C$3,' CADASTRO'!$R:$R,'acab equip'!B43)</f>
        <v>0</v>
      </c>
      <c r="D43" s="163">
        <f>COUNTIFS(' CADASTRO'!$S:$S,'acab equip'!$D$3,' CADASTRO'!$R:$R,'acab equip'!B43)</f>
        <v>0</v>
      </c>
      <c r="E43" s="163">
        <f>COUNTIFS(' CADASTRO'!$R$746:$R$893,'acab equip'!B43,' CADASTRO'!$S$746:$S$893,'acab equip'!$D$3)+COUNTIFS(' CADASTRO'!$R$746:$R$893,'acab equip'!B43,' CADASTRO'!$S$746:$S$893,'acab equip'!$C$3)</f>
        <v>0</v>
      </c>
      <c r="F43" s="162">
        <f t="shared" si="7"/>
        <v>46007</v>
      </c>
      <c r="G43" s="163">
        <f>COUNTIFS(' CADASTRO'!$S:$S,'acab equip'!$C$3,' CADASTRO'!$R:$R,'acab equip'!F43)</f>
        <v>0</v>
      </c>
      <c r="H43" s="163">
        <f>COUNTIFS(' CADASTRO'!$S:$S,'acab equip'!$D$3,' CADASTRO'!$R:$R,'acab equip'!F43)</f>
        <v>0</v>
      </c>
      <c r="I43" s="163">
        <f>COUNTIFS(' CADASTRO'!$R$746:$R$893,'acab equip'!F43,' CADASTRO'!$S$746:$S$893,'acab equip'!$H$3)+COUNTIFS(' CADASTRO'!$R$746:$R$893,'acab equip'!F43,' CADASTRO'!$S$746:$S$893,'acab equip'!$G$3)</f>
        <v>0</v>
      </c>
      <c r="J43" s="162">
        <f t="shared" si="8"/>
        <v>46008</v>
      </c>
      <c r="K43" s="163">
        <f>COUNTIFS(' CADASTRO'!$S:$S,'acab equip'!$C$3,' CADASTRO'!$R:$R,'acab equip'!J43)</f>
        <v>0</v>
      </c>
      <c r="L43" s="163">
        <f>COUNTIFS(' CADASTRO'!$S:$S,'acab equip'!$D$3,' CADASTRO'!$R:$R,'acab equip'!J43)</f>
        <v>0</v>
      </c>
      <c r="M43" s="163">
        <f>COUNTIFS(' CADASTRO'!$R$746:$R$893,'acab equip'!J43,' CADASTRO'!$S$746:$S$893,'acab equip'!$L$3)+COUNTIFS(' CADASTRO'!$R$746:$R$893,'acab equip'!J43,' CADASTRO'!$S$746:$S$893,'acab equip'!$K$3)</f>
        <v>0</v>
      </c>
      <c r="N43" s="162">
        <f t="shared" si="9"/>
        <v>46009</v>
      </c>
      <c r="O43" s="163">
        <f>COUNTIFS(' CADASTRO'!$S:$S,'acab equip'!$C$3,' CADASTRO'!$R:$R,'acab equip'!N43)</f>
        <v>0</v>
      </c>
      <c r="P43" s="163">
        <f>COUNTIFS(' CADASTRO'!$S:$S,'acab equip'!$D$3,' CADASTRO'!$R:$R,'acab equip'!N43)</f>
        <v>0</v>
      </c>
      <c r="Q43" s="163">
        <f>COUNTIFS(' CADASTRO'!$R$746:$R$893,'acab equip'!N43,' CADASTRO'!$S$746:$S$893,'acab equip'!$P$3)+COUNTIFS(' CADASTRO'!$R$746:$R$893,'acab equip'!N43,' CADASTRO'!$S$746:$S$893,'acab equip'!$O$3)</f>
        <v>0</v>
      </c>
      <c r="R43" s="162">
        <f t="shared" si="10"/>
        <v>46010</v>
      </c>
      <c r="S43" s="163">
        <f>COUNTIFS(' CADASTRO'!$S:$S,'acab equip'!$C$3,' CADASTRO'!$R:$R,'acab equip'!R43)</f>
        <v>0</v>
      </c>
      <c r="T43" s="163">
        <f>COUNTIFS(' CADASTRO'!$S:$S,'acab equip'!$D$3,' CADASTRO'!$R:$R,'acab equip'!R43)</f>
        <v>0</v>
      </c>
      <c r="U43" s="163">
        <f>COUNTIFS(' CADASTRO'!$R$746:$R$893,'acab equip'!R43,' CADASTRO'!$S$746:$S$893,'acab equip'!$T$3)+COUNTIFS(' CADASTRO'!$R$746:$R$893,'acab equip'!R43,' CADASTRO'!$S$746:$S$893,'acab equip'!$S$3)</f>
        <v>0</v>
      </c>
      <c r="V43" s="162">
        <f t="shared" si="11"/>
        <v>46011</v>
      </c>
      <c r="W43" s="163">
        <f>COUNTIFS(' CADASTRO'!$S:$S,'acab equip'!$C$3,' CADASTRO'!$R:$R,'acab equip'!V43)</f>
        <v>0</v>
      </c>
      <c r="X43" s="163">
        <f>COUNTIFS(' CADASTRO'!$S:$S,'acab equip'!$D$3,' CADASTRO'!$R:$R,'acab equip'!V43)</f>
        <v>0</v>
      </c>
      <c r="Y43" s="163">
        <f>COUNTIFS(' CADASTRO'!$R$746:$R$893,'acab equip'!V43,' CADASTRO'!$S$746:$S$893,'acab equip'!$X$3)+COUNTIFS(' CADASTRO'!$R$746:$R$893,'acab equip'!V43,' CADASTRO'!$S$746:$S$893,'acab equip'!$W$3)</f>
        <v>0</v>
      </c>
      <c r="Z43" s="162">
        <f t="shared" si="12"/>
        <v>46012</v>
      </c>
      <c r="AB43" s="165">
        <f t="shared" si="0"/>
        <v>0</v>
      </c>
      <c r="AC43" s="165">
        <f t="shared" si="3"/>
        <v>0</v>
      </c>
      <c r="AD43" s="165">
        <f t="shared" si="4"/>
        <v>0</v>
      </c>
      <c r="AE43" s="177">
        <f t="shared" si="5"/>
        <v>0</v>
      </c>
      <c r="AF43" s="14" t="str">
        <f t="shared" si="13"/>
        <v>dez/2025</v>
      </c>
    </row>
    <row r="44" spans="1:32" x14ac:dyDescent="0.25">
      <c r="A44" s="14" t="s">
        <v>1084</v>
      </c>
      <c r="B44" s="162">
        <f t="shared" si="6"/>
        <v>46013</v>
      </c>
      <c r="C44" s="163">
        <f>COUNTIFS(' CADASTRO'!$S:$S,'acab equip'!$C$3,' CADASTRO'!$R:$R,'acab equip'!B44)</f>
        <v>0</v>
      </c>
      <c r="D44" s="163">
        <f>COUNTIFS(' CADASTRO'!$S:$S,'acab equip'!$D$3,' CADASTRO'!$R:$R,'acab equip'!B44)</f>
        <v>0</v>
      </c>
      <c r="E44" s="163">
        <f>COUNTIFS(' CADASTRO'!$R$746:$R$893,'acab equip'!B44,' CADASTRO'!$S$746:$S$893,'acab equip'!$D$3)+COUNTIFS(' CADASTRO'!$R$746:$R$893,'acab equip'!B44,' CADASTRO'!$S$746:$S$893,'acab equip'!$C$3)</f>
        <v>0</v>
      </c>
      <c r="F44" s="162">
        <f t="shared" si="7"/>
        <v>46014</v>
      </c>
      <c r="G44" s="163">
        <f>COUNTIFS(' CADASTRO'!$S:$S,'acab equip'!$C$3,' CADASTRO'!$R:$R,'acab equip'!F44)</f>
        <v>0</v>
      </c>
      <c r="H44" s="163">
        <f>COUNTIFS(' CADASTRO'!$S:$S,'acab equip'!$D$3,' CADASTRO'!$R:$R,'acab equip'!F44)</f>
        <v>0</v>
      </c>
      <c r="I44" s="163">
        <f>COUNTIFS(' CADASTRO'!$R$746:$R$893,'acab equip'!F44,' CADASTRO'!$S$746:$S$893,'acab equip'!$H$3)+COUNTIFS(' CADASTRO'!$R$746:$R$893,'acab equip'!F44,' CADASTRO'!$S$746:$S$893,'acab equip'!$G$3)</f>
        <v>0</v>
      </c>
      <c r="J44" s="162">
        <f t="shared" si="8"/>
        <v>46015</v>
      </c>
      <c r="K44" s="163">
        <f>COUNTIFS(' CADASTRO'!$S:$S,'acab equip'!$C$3,' CADASTRO'!$R:$R,'acab equip'!J44)</f>
        <v>0</v>
      </c>
      <c r="L44" s="163">
        <f>COUNTIFS(' CADASTRO'!$S:$S,'acab equip'!$D$3,' CADASTRO'!$R:$R,'acab equip'!J44)</f>
        <v>0</v>
      </c>
      <c r="M44" s="163">
        <f>COUNTIFS(' CADASTRO'!$R$746:$R$893,'acab equip'!J44,' CADASTRO'!$S$746:$S$893,'acab equip'!$L$3)+COUNTIFS(' CADASTRO'!$R$746:$R$893,'acab equip'!J44,' CADASTRO'!$S$746:$S$893,'acab equip'!$K$3)</f>
        <v>0</v>
      </c>
      <c r="N44" s="162">
        <f t="shared" si="9"/>
        <v>46016</v>
      </c>
      <c r="O44" s="163">
        <f>COUNTIFS(' CADASTRO'!$S:$S,'acab equip'!$C$3,' CADASTRO'!$R:$R,'acab equip'!N44)</f>
        <v>0</v>
      </c>
      <c r="P44" s="163">
        <f>COUNTIFS(' CADASTRO'!$S:$S,'acab equip'!$D$3,' CADASTRO'!$R:$R,'acab equip'!N44)</f>
        <v>0</v>
      </c>
      <c r="Q44" s="163">
        <f>COUNTIFS(' CADASTRO'!$R$746:$R$893,'acab equip'!N44,' CADASTRO'!$S$746:$S$893,'acab equip'!$P$3)+COUNTIFS(' CADASTRO'!$R$746:$R$893,'acab equip'!N44,' CADASTRO'!$S$746:$S$893,'acab equip'!$O$3)</f>
        <v>0</v>
      </c>
      <c r="R44" s="162">
        <f t="shared" si="10"/>
        <v>46017</v>
      </c>
      <c r="S44" s="163">
        <f>COUNTIFS(' CADASTRO'!$S:$S,'acab equip'!$C$3,' CADASTRO'!$R:$R,'acab equip'!R44)</f>
        <v>0</v>
      </c>
      <c r="T44" s="163">
        <f>COUNTIFS(' CADASTRO'!$S:$S,'acab equip'!$D$3,' CADASTRO'!$R:$R,'acab equip'!R44)</f>
        <v>0</v>
      </c>
      <c r="U44" s="163">
        <f>COUNTIFS(' CADASTRO'!$R$746:$R$893,'acab equip'!R44,' CADASTRO'!$S$746:$S$893,'acab equip'!$T$3)+COUNTIFS(' CADASTRO'!$R$746:$R$893,'acab equip'!R44,' CADASTRO'!$S$746:$S$893,'acab equip'!$S$3)</f>
        <v>0</v>
      </c>
      <c r="V44" s="162">
        <f t="shared" si="11"/>
        <v>46018</v>
      </c>
      <c r="W44" s="163">
        <f>COUNTIFS(' CADASTRO'!$S:$S,'acab equip'!$C$3,' CADASTRO'!$R:$R,'acab equip'!V44)</f>
        <v>0</v>
      </c>
      <c r="X44" s="163">
        <f>COUNTIFS(' CADASTRO'!$S:$S,'acab equip'!$D$3,' CADASTRO'!$R:$R,'acab equip'!V44)</f>
        <v>0</v>
      </c>
      <c r="Y44" s="163">
        <f>COUNTIFS(' CADASTRO'!$R$746:$R$893,'acab equip'!V44,' CADASTRO'!$S$746:$S$893,'acab equip'!$X$3)+COUNTIFS(' CADASTRO'!$R$746:$R$893,'acab equip'!V44,' CADASTRO'!$S$746:$S$893,'acab equip'!$W$3)</f>
        <v>0</v>
      </c>
      <c r="Z44" s="162">
        <f t="shared" si="12"/>
        <v>46019</v>
      </c>
      <c r="AB44" s="165">
        <f t="shared" si="0"/>
        <v>0</v>
      </c>
      <c r="AC44" s="165">
        <f t="shared" si="3"/>
        <v>0</v>
      </c>
      <c r="AD44" s="165">
        <f t="shared" si="4"/>
        <v>0</v>
      </c>
      <c r="AE44" s="177">
        <f t="shared" si="5"/>
        <v>0</v>
      </c>
      <c r="AF44" s="14" t="str">
        <f t="shared" si="13"/>
        <v>dez/2025</v>
      </c>
    </row>
    <row r="45" spans="1:32" x14ac:dyDescent="0.25">
      <c r="A45" s="14" t="s">
        <v>1085</v>
      </c>
      <c r="B45" s="162">
        <f t="shared" si="6"/>
        <v>46020</v>
      </c>
      <c r="C45" s="163">
        <f>COUNTIFS(' CADASTRO'!$S:$S,'acab equip'!$C$3,' CADASTRO'!$R:$R,'acab equip'!B45)</f>
        <v>0</v>
      </c>
      <c r="D45" s="163">
        <f>COUNTIFS(' CADASTRO'!$S:$S,'acab equip'!$D$3,' CADASTRO'!$R:$R,'acab equip'!B45)</f>
        <v>0</v>
      </c>
      <c r="E45" s="163">
        <f>COUNTIFS(' CADASTRO'!$R$746:$R$893,'acab equip'!B45,' CADASTRO'!$S$746:$S$893,'acab equip'!$D$3)+COUNTIFS(' CADASTRO'!$R$746:$R$893,'acab equip'!B45,' CADASTRO'!$S$746:$S$893,'acab equip'!$C$3)</f>
        <v>0</v>
      </c>
      <c r="F45" s="162">
        <f t="shared" si="7"/>
        <v>46021</v>
      </c>
      <c r="G45" s="163">
        <f>COUNTIFS(' CADASTRO'!$S:$S,'acab equip'!$C$3,' CADASTRO'!$R:$R,'acab equip'!F45)</f>
        <v>0</v>
      </c>
      <c r="H45" s="163">
        <f>COUNTIFS(' CADASTRO'!$S:$S,'acab equip'!$D$3,' CADASTRO'!$R:$R,'acab equip'!F45)</f>
        <v>0</v>
      </c>
      <c r="I45" s="163">
        <f>COUNTIFS(' CADASTRO'!$R$746:$R$893,'acab equip'!F45,' CADASTRO'!$S$746:$S$893,'acab equip'!$H$3)+COUNTIFS(' CADASTRO'!$R$746:$R$893,'acab equip'!F45,' CADASTRO'!$S$746:$S$893,'acab equip'!$G$3)</f>
        <v>0</v>
      </c>
      <c r="J45" s="162">
        <f t="shared" si="8"/>
        <v>46022</v>
      </c>
      <c r="K45" s="163">
        <f>COUNTIFS(' CADASTRO'!$S:$S,'acab equip'!$C$3,' CADASTRO'!$R:$R,'acab equip'!J45)</f>
        <v>0</v>
      </c>
      <c r="L45" s="163">
        <f>COUNTIFS(' CADASTRO'!$S:$S,'acab equip'!$D$3,' CADASTRO'!$R:$R,'acab equip'!J45)</f>
        <v>0</v>
      </c>
      <c r="M45" s="163">
        <f>COUNTIFS(' CADASTRO'!$R$746:$R$893,'acab equip'!J45,' CADASTRO'!$S$746:$S$893,'acab equip'!$L$3)+COUNTIFS(' CADASTRO'!$R$746:$R$893,'acab equip'!J45,' CADASTRO'!$S$746:$S$893,'acab equip'!$K$3)</f>
        <v>0</v>
      </c>
      <c r="N45" s="162">
        <f t="shared" si="9"/>
        <v>46023</v>
      </c>
      <c r="O45" s="163">
        <f>COUNTIFS(' CADASTRO'!$S:$S,'acab equip'!$C$3,' CADASTRO'!$R:$R,'acab equip'!N45)</f>
        <v>0</v>
      </c>
      <c r="P45" s="163">
        <f>COUNTIFS(' CADASTRO'!$S:$S,'acab equip'!$D$3,' CADASTRO'!$R:$R,'acab equip'!N45)</f>
        <v>0</v>
      </c>
      <c r="Q45" s="163">
        <f>COUNTIFS(' CADASTRO'!$R$746:$R$893,'acab equip'!N45,' CADASTRO'!$S$746:$S$893,'acab equip'!$P$3)+COUNTIFS(' CADASTRO'!$R$746:$R$893,'acab equip'!N45,' CADASTRO'!$S$746:$S$893,'acab equip'!$O$3)</f>
        <v>0</v>
      </c>
      <c r="R45" s="162">
        <f t="shared" si="10"/>
        <v>46024</v>
      </c>
      <c r="S45" s="163">
        <f>COUNTIFS(' CADASTRO'!$S:$S,'acab equip'!$C$3,' CADASTRO'!$R:$R,'acab equip'!R45)</f>
        <v>0</v>
      </c>
      <c r="T45" s="163">
        <f>COUNTIFS(' CADASTRO'!$S:$S,'acab equip'!$D$3,' CADASTRO'!$R:$R,'acab equip'!R45)</f>
        <v>0</v>
      </c>
      <c r="U45" s="163">
        <f>COUNTIFS(' CADASTRO'!$R$746:$R$893,'acab equip'!R45,' CADASTRO'!$S$746:$S$893,'acab equip'!$T$3)+COUNTIFS(' CADASTRO'!$R$746:$R$893,'acab equip'!R45,' CADASTRO'!$S$746:$S$893,'acab equip'!$S$3)</f>
        <v>0</v>
      </c>
      <c r="V45" s="162">
        <f t="shared" si="11"/>
        <v>46025</v>
      </c>
      <c r="W45" s="163">
        <f>COUNTIFS(' CADASTRO'!$S:$S,'acab equip'!$C$3,' CADASTRO'!$R:$R,'acab equip'!V45)</f>
        <v>0</v>
      </c>
      <c r="X45" s="163">
        <f>COUNTIFS(' CADASTRO'!$S:$S,'acab equip'!$D$3,' CADASTRO'!$R:$R,'acab equip'!V45)</f>
        <v>0</v>
      </c>
      <c r="Y45" s="163">
        <f>COUNTIFS(' CADASTRO'!$R$746:$R$893,'acab equip'!V45,' CADASTRO'!$S$746:$S$893,'acab equip'!$X$3)+COUNTIFS(' CADASTRO'!$R$746:$R$893,'acab equip'!V45,' CADASTRO'!$S$746:$S$893,'acab equip'!$W$3)</f>
        <v>0</v>
      </c>
      <c r="Z45" s="162">
        <f t="shared" si="12"/>
        <v>46026</v>
      </c>
      <c r="AB45" s="165">
        <f t="shared" si="0"/>
        <v>0</v>
      </c>
      <c r="AC45" s="165">
        <f t="shared" si="3"/>
        <v>0</v>
      </c>
      <c r="AD45" s="165">
        <f t="shared" si="4"/>
        <v>0</v>
      </c>
      <c r="AE45" s="177">
        <f t="shared" si="5"/>
        <v>0</v>
      </c>
      <c r="AF45" s="14" t="str">
        <f t="shared" si="13"/>
        <v>jan/2026</v>
      </c>
    </row>
    <row r="46" spans="1:32" x14ac:dyDescent="0.25">
      <c r="A46" s="14" t="s">
        <v>1086</v>
      </c>
      <c r="B46" s="162">
        <f t="shared" si="6"/>
        <v>46027</v>
      </c>
      <c r="C46" s="163">
        <f>COUNTIFS(' CADASTRO'!$S:$S,'acab equip'!$C$3,' CADASTRO'!$R:$R,'acab equip'!B46)</f>
        <v>0</v>
      </c>
      <c r="D46" s="163">
        <f>COUNTIFS(' CADASTRO'!$S:$S,'acab equip'!$D$3,' CADASTRO'!$R:$R,'acab equip'!B46)</f>
        <v>0</v>
      </c>
      <c r="E46" s="163">
        <f>COUNTIFS(' CADASTRO'!$R$746:$R$893,'acab equip'!B46,' CADASTRO'!$S$746:$S$893,'acab equip'!$D$3)+COUNTIFS(' CADASTRO'!$R$746:$R$893,'acab equip'!B46,' CADASTRO'!$S$746:$S$893,'acab equip'!$C$3)</f>
        <v>0</v>
      </c>
      <c r="F46" s="162">
        <f t="shared" si="7"/>
        <v>46028</v>
      </c>
      <c r="G46" s="163">
        <f>COUNTIFS(' CADASTRO'!$S:$S,'acab equip'!$C$3,' CADASTRO'!$R:$R,'acab equip'!F46)</f>
        <v>0</v>
      </c>
      <c r="H46" s="163">
        <f>COUNTIFS(' CADASTRO'!$S:$S,'acab equip'!$D$3,' CADASTRO'!$R:$R,'acab equip'!F46)</f>
        <v>0</v>
      </c>
      <c r="I46" s="163">
        <f>COUNTIFS(' CADASTRO'!$R$746:$R$893,'acab equip'!F46,' CADASTRO'!$S$746:$S$893,'acab equip'!$H$3)+COUNTIFS(' CADASTRO'!$R$746:$R$893,'acab equip'!F46,' CADASTRO'!$S$746:$S$893,'acab equip'!$G$3)</f>
        <v>0</v>
      </c>
      <c r="J46" s="162">
        <f t="shared" si="8"/>
        <v>46029</v>
      </c>
      <c r="K46" s="163">
        <f>COUNTIFS(' CADASTRO'!$S:$S,'acab equip'!$C$3,' CADASTRO'!$R:$R,'acab equip'!J46)</f>
        <v>0</v>
      </c>
      <c r="L46" s="163">
        <f>COUNTIFS(' CADASTRO'!$S:$S,'acab equip'!$D$3,' CADASTRO'!$R:$R,'acab equip'!J46)</f>
        <v>0</v>
      </c>
      <c r="M46" s="163">
        <f>COUNTIFS(' CADASTRO'!$R$746:$R$893,'acab equip'!J46,' CADASTRO'!$S$746:$S$893,'acab equip'!$L$3)+COUNTIFS(' CADASTRO'!$R$746:$R$893,'acab equip'!J46,' CADASTRO'!$S$746:$S$893,'acab equip'!$K$3)</f>
        <v>0</v>
      </c>
      <c r="N46" s="162">
        <f t="shared" si="9"/>
        <v>46030</v>
      </c>
      <c r="O46" s="163">
        <f>COUNTIFS(' CADASTRO'!$S:$S,'acab equip'!$C$3,' CADASTRO'!$R:$R,'acab equip'!N46)</f>
        <v>0</v>
      </c>
      <c r="P46" s="163">
        <f>COUNTIFS(' CADASTRO'!$S:$S,'acab equip'!$D$3,' CADASTRO'!$R:$R,'acab equip'!N46)</f>
        <v>0</v>
      </c>
      <c r="Q46" s="163">
        <f>COUNTIFS(' CADASTRO'!$R$746:$R$893,'acab equip'!N46,' CADASTRO'!$S$746:$S$893,'acab equip'!$P$3)+COUNTIFS(' CADASTRO'!$R$746:$R$893,'acab equip'!N46,' CADASTRO'!$S$746:$S$893,'acab equip'!$O$3)</f>
        <v>0</v>
      </c>
      <c r="R46" s="162">
        <f t="shared" si="10"/>
        <v>46031</v>
      </c>
      <c r="S46" s="163">
        <f>COUNTIFS(' CADASTRO'!$S:$S,'acab equip'!$C$3,' CADASTRO'!$R:$R,'acab equip'!R46)</f>
        <v>0</v>
      </c>
      <c r="T46" s="163">
        <f>COUNTIFS(' CADASTRO'!$S:$S,'acab equip'!$D$3,' CADASTRO'!$R:$R,'acab equip'!R46)</f>
        <v>0</v>
      </c>
      <c r="U46" s="163">
        <f>COUNTIFS(' CADASTRO'!$R$746:$R$893,'acab equip'!R46,' CADASTRO'!$S$746:$S$893,'acab equip'!$T$3)+COUNTIFS(' CADASTRO'!$R$746:$R$893,'acab equip'!R46,' CADASTRO'!$S$746:$S$893,'acab equip'!$S$3)</f>
        <v>0</v>
      </c>
      <c r="V46" s="162">
        <f t="shared" si="11"/>
        <v>46032</v>
      </c>
      <c r="W46" s="163">
        <f>COUNTIFS(' CADASTRO'!$S:$S,'acab equip'!$C$3,' CADASTRO'!$R:$R,'acab equip'!V46)</f>
        <v>0</v>
      </c>
      <c r="X46" s="163">
        <f>COUNTIFS(' CADASTRO'!$S:$S,'acab equip'!$D$3,' CADASTRO'!$R:$R,'acab equip'!V46)</f>
        <v>0</v>
      </c>
      <c r="Y46" s="163">
        <f>COUNTIFS(' CADASTRO'!$R$746:$R$893,'acab equip'!V46,' CADASTRO'!$S$746:$S$893,'acab equip'!$X$3)+COUNTIFS(' CADASTRO'!$R$746:$R$893,'acab equip'!V46,' CADASTRO'!$S$746:$S$893,'acab equip'!$W$3)</f>
        <v>0</v>
      </c>
      <c r="Z46" s="162">
        <f t="shared" si="12"/>
        <v>46033</v>
      </c>
      <c r="AB46" s="165">
        <f t="shared" si="0"/>
        <v>0</v>
      </c>
      <c r="AC46" s="165">
        <f t="shared" si="3"/>
        <v>0</v>
      </c>
      <c r="AD46" s="165">
        <f t="shared" si="4"/>
        <v>0</v>
      </c>
      <c r="AE46" s="177">
        <f t="shared" si="5"/>
        <v>0</v>
      </c>
      <c r="AF46" s="14" t="str">
        <f t="shared" si="13"/>
        <v>jan/2026</v>
      </c>
    </row>
    <row r="47" spans="1:32" x14ac:dyDescent="0.25">
      <c r="A47" s="14" t="s">
        <v>1087</v>
      </c>
      <c r="B47" s="162">
        <f t="shared" si="6"/>
        <v>46034</v>
      </c>
      <c r="C47" s="163">
        <f>COUNTIFS(' CADASTRO'!$S:$S,'acab equip'!$C$3,' CADASTRO'!$R:$R,'acab equip'!B47)</f>
        <v>0</v>
      </c>
      <c r="D47" s="163">
        <f>COUNTIFS(' CADASTRO'!$S:$S,'acab equip'!$D$3,' CADASTRO'!$R:$R,'acab equip'!B47)</f>
        <v>0</v>
      </c>
      <c r="E47" s="163">
        <f>COUNTIFS(' CADASTRO'!$R$746:$R$893,'acab equip'!B47,' CADASTRO'!$S$746:$S$893,'acab equip'!$D$3)+COUNTIFS(' CADASTRO'!$R$746:$R$893,'acab equip'!B47,' CADASTRO'!$S$746:$S$893,'acab equip'!$C$3)</f>
        <v>0</v>
      </c>
      <c r="F47" s="162">
        <f t="shared" si="7"/>
        <v>46035</v>
      </c>
      <c r="G47" s="163">
        <f>COUNTIFS(' CADASTRO'!$S:$S,'acab equip'!$C$3,' CADASTRO'!$R:$R,'acab equip'!F47)</f>
        <v>0</v>
      </c>
      <c r="H47" s="163">
        <f>COUNTIFS(' CADASTRO'!$S:$S,'acab equip'!$D$3,' CADASTRO'!$R:$R,'acab equip'!F47)</f>
        <v>0</v>
      </c>
      <c r="I47" s="163">
        <f>COUNTIFS(' CADASTRO'!$R$746:$R$893,'acab equip'!F47,' CADASTRO'!$S$746:$S$893,'acab equip'!$H$3)+COUNTIFS(' CADASTRO'!$R$746:$R$893,'acab equip'!F47,' CADASTRO'!$S$746:$S$893,'acab equip'!$G$3)</f>
        <v>0</v>
      </c>
      <c r="J47" s="162">
        <f t="shared" si="8"/>
        <v>46036</v>
      </c>
      <c r="K47" s="163">
        <f>COUNTIFS(' CADASTRO'!$S:$S,'acab equip'!$C$3,' CADASTRO'!$R:$R,'acab equip'!J47)</f>
        <v>0</v>
      </c>
      <c r="L47" s="163">
        <f>COUNTIFS(' CADASTRO'!$S:$S,'acab equip'!$D$3,' CADASTRO'!$R:$R,'acab equip'!J47)</f>
        <v>0</v>
      </c>
      <c r="M47" s="163">
        <f>COUNTIFS(' CADASTRO'!$R$746:$R$893,'acab equip'!J47,' CADASTRO'!$S$746:$S$893,'acab equip'!$L$3)+COUNTIFS(' CADASTRO'!$R$746:$R$893,'acab equip'!J47,' CADASTRO'!$S$746:$S$893,'acab equip'!$K$3)</f>
        <v>0</v>
      </c>
      <c r="N47" s="162">
        <f t="shared" si="9"/>
        <v>46037</v>
      </c>
      <c r="O47" s="163">
        <f>COUNTIFS(' CADASTRO'!$S:$S,'acab equip'!$C$3,' CADASTRO'!$R:$R,'acab equip'!N47)</f>
        <v>0</v>
      </c>
      <c r="P47" s="163">
        <f>COUNTIFS(' CADASTRO'!$S:$S,'acab equip'!$D$3,' CADASTRO'!$R:$R,'acab equip'!N47)</f>
        <v>0</v>
      </c>
      <c r="Q47" s="163">
        <f>COUNTIFS(' CADASTRO'!$R$746:$R$893,'acab equip'!N47,' CADASTRO'!$S$746:$S$893,'acab equip'!$P$3)+COUNTIFS(' CADASTRO'!$R$746:$R$893,'acab equip'!N47,' CADASTRO'!$S$746:$S$893,'acab equip'!$O$3)</f>
        <v>0</v>
      </c>
      <c r="R47" s="162">
        <f t="shared" si="10"/>
        <v>46038</v>
      </c>
      <c r="S47" s="163">
        <f>COUNTIFS(' CADASTRO'!$S:$S,'acab equip'!$C$3,' CADASTRO'!$R:$R,'acab equip'!R47)</f>
        <v>0</v>
      </c>
      <c r="T47" s="163">
        <f>COUNTIFS(' CADASTRO'!$S:$S,'acab equip'!$D$3,' CADASTRO'!$R:$R,'acab equip'!R47)</f>
        <v>0</v>
      </c>
      <c r="U47" s="163">
        <f>COUNTIFS(' CADASTRO'!$R$746:$R$893,'acab equip'!R47,' CADASTRO'!$S$746:$S$893,'acab equip'!$T$3)+COUNTIFS(' CADASTRO'!$R$746:$R$893,'acab equip'!R47,' CADASTRO'!$S$746:$S$893,'acab equip'!$S$3)</f>
        <v>0</v>
      </c>
      <c r="V47" s="162">
        <f t="shared" si="11"/>
        <v>46039</v>
      </c>
      <c r="W47" s="163">
        <f>COUNTIFS(' CADASTRO'!$S:$S,'acab equip'!$C$3,' CADASTRO'!$R:$R,'acab equip'!V47)</f>
        <v>0</v>
      </c>
      <c r="X47" s="163">
        <f>COUNTIFS(' CADASTRO'!$S:$S,'acab equip'!$D$3,' CADASTRO'!$R:$R,'acab equip'!V47)</f>
        <v>0</v>
      </c>
      <c r="Y47" s="163">
        <f>COUNTIFS(' CADASTRO'!$R$746:$R$893,'acab equip'!V47,' CADASTRO'!$S$746:$S$893,'acab equip'!$X$3)+COUNTIFS(' CADASTRO'!$R$746:$R$893,'acab equip'!V47,' CADASTRO'!$S$746:$S$893,'acab equip'!$W$3)</f>
        <v>0</v>
      </c>
      <c r="Z47" s="162">
        <f t="shared" si="12"/>
        <v>46040</v>
      </c>
      <c r="AB47" s="165">
        <f t="shared" si="0"/>
        <v>0</v>
      </c>
      <c r="AC47" s="165">
        <f t="shared" si="3"/>
        <v>0</v>
      </c>
      <c r="AD47" s="165">
        <f t="shared" si="4"/>
        <v>0</v>
      </c>
      <c r="AE47" s="177">
        <f t="shared" si="5"/>
        <v>0</v>
      </c>
      <c r="AF47" s="14" t="str">
        <f t="shared" si="13"/>
        <v>jan/2026</v>
      </c>
    </row>
    <row r="48" spans="1:32" x14ac:dyDescent="0.25">
      <c r="A48" s="14" t="s">
        <v>1088</v>
      </c>
      <c r="B48" s="162">
        <f t="shared" si="6"/>
        <v>46041</v>
      </c>
      <c r="C48" s="163">
        <f>COUNTIFS(' CADASTRO'!$S:$S,'acab equip'!$C$3,' CADASTRO'!$R:$R,'acab equip'!B48)</f>
        <v>0</v>
      </c>
      <c r="D48" s="163">
        <f>COUNTIFS(' CADASTRO'!$S:$S,'acab equip'!$D$3,' CADASTRO'!$R:$R,'acab equip'!B48)</f>
        <v>0</v>
      </c>
      <c r="E48" s="163">
        <f>COUNTIFS(' CADASTRO'!$R$746:$R$893,'acab equip'!B48,' CADASTRO'!$S$746:$S$893,'acab equip'!$D$3)+COUNTIFS(' CADASTRO'!$R$746:$R$893,'acab equip'!B48,' CADASTRO'!$S$746:$S$893,'acab equip'!$C$3)</f>
        <v>0</v>
      </c>
      <c r="F48" s="162">
        <f t="shared" si="7"/>
        <v>46042</v>
      </c>
      <c r="G48" s="163">
        <f>COUNTIFS(' CADASTRO'!$S:$S,'acab equip'!$C$3,' CADASTRO'!$R:$R,'acab equip'!F48)</f>
        <v>0</v>
      </c>
      <c r="H48" s="163">
        <f>COUNTIFS(' CADASTRO'!$S:$S,'acab equip'!$D$3,' CADASTRO'!$R:$R,'acab equip'!F48)</f>
        <v>0</v>
      </c>
      <c r="I48" s="163">
        <f>COUNTIFS(' CADASTRO'!$R$746:$R$893,'acab equip'!F48,' CADASTRO'!$S$746:$S$893,'acab equip'!$H$3)+COUNTIFS(' CADASTRO'!$R$746:$R$893,'acab equip'!F48,' CADASTRO'!$S$746:$S$893,'acab equip'!$G$3)</f>
        <v>0</v>
      </c>
      <c r="J48" s="162">
        <f t="shared" si="8"/>
        <v>46043</v>
      </c>
      <c r="K48" s="163">
        <f>COUNTIFS(' CADASTRO'!$S:$S,'acab equip'!$C$3,' CADASTRO'!$R:$R,'acab equip'!J48)</f>
        <v>0</v>
      </c>
      <c r="L48" s="163">
        <f>COUNTIFS(' CADASTRO'!$S:$S,'acab equip'!$D$3,' CADASTRO'!$R:$R,'acab equip'!J48)</f>
        <v>0</v>
      </c>
      <c r="M48" s="163">
        <f>COUNTIFS(' CADASTRO'!$R$746:$R$893,'acab equip'!J48,' CADASTRO'!$S$746:$S$893,'acab equip'!$L$3)+COUNTIFS(' CADASTRO'!$R$746:$R$893,'acab equip'!J48,' CADASTRO'!$S$746:$S$893,'acab equip'!$K$3)</f>
        <v>0</v>
      </c>
      <c r="N48" s="162">
        <f t="shared" si="9"/>
        <v>46044</v>
      </c>
      <c r="O48" s="163">
        <f>COUNTIFS(' CADASTRO'!$S:$S,'acab equip'!$C$3,' CADASTRO'!$R:$R,'acab equip'!N48)</f>
        <v>0</v>
      </c>
      <c r="P48" s="163">
        <f>COUNTIFS(' CADASTRO'!$S:$S,'acab equip'!$D$3,' CADASTRO'!$R:$R,'acab equip'!N48)</f>
        <v>0</v>
      </c>
      <c r="Q48" s="163">
        <f>COUNTIFS(' CADASTRO'!$R$746:$R$893,'acab equip'!N48,' CADASTRO'!$S$746:$S$893,'acab equip'!$P$3)+COUNTIFS(' CADASTRO'!$R$746:$R$893,'acab equip'!N48,' CADASTRO'!$S$746:$S$893,'acab equip'!$O$3)</f>
        <v>0</v>
      </c>
      <c r="R48" s="162">
        <f t="shared" si="10"/>
        <v>46045</v>
      </c>
      <c r="S48" s="163">
        <f>COUNTIFS(' CADASTRO'!$S:$S,'acab equip'!$C$3,' CADASTRO'!$R:$R,'acab equip'!R48)</f>
        <v>0</v>
      </c>
      <c r="T48" s="163">
        <f>COUNTIFS(' CADASTRO'!$S:$S,'acab equip'!$D$3,' CADASTRO'!$R:$R,'acab equip'!R48)</f>
        <v>0</v>
      </c>
      <c r="U48" s="163">
        <f>COUNTIFS(' CADASTRO'!$R$746:$R$893,'acab equip'!R48,' CADASTRO'!$S$746:$S$893,'acab equip'!$T$3)+COUNTIFS(' CADASTRO'!$R$746:$R$893,'acab equip'!R48,' CADASTRO'!$S$746:$S$893,'acab equip'!$S$3)</f>
        <v>0</v>
      </c>
      <c r="V48" s="162">
        <f t="shared" si="11"/>
        <v>46046</v>
      </c>
      <c r="W48" s="163">
        <f>COUNTIFS(' CADASTRO'!$S:$S,'acab equip'!$C$3,' CADASTRO'!$R:$R,'acab equip'!V48)</f>
        <v>0</v>
      </c>
      <c r="X48" s="163">
        <f>COUNTIFS(' CADASTRO'!$S:$S,'acab equip'!$D$3,' CADASTRO'!$R:$R,'acab equip'!V48)</f>
        <v>0</v>
      </c>
      <c r="Y48" s="163">
        <f>COUNTIFS(' CADASTRO'!$R$746:$R$893,'acab equip'!V48,' CADASTRO'!$S$746:$S$893,'acab equip'!$X$3)+COUNTIFS(' CADASTRO'!$R$746:$R$893,'acab equip'!V48,' CADASTRO'!$S$746:$S$893,'acab equip'!$W$3)</f>
        <v>0</v>
      </c>
      <c r="Z48" s="162">
        <f t="shared" si="12"/>
        <v>46047</v>
      </c>
      <c r="AB48" s="165">
        <f t="shared" si="0"/>
        <v>0</v>
      </c>
      <c r="AC48" s="165">
        <f t="shared" si="3"/>
        <v>0</v>
      </c>
      <c r="AD48" s="165">
        <f t="shared" si="4"/>
        <v>0</v>
      </c>
      <c r="AE48" s="177">
        <f t="shared" si="5"/>
        <v>0</v>
      </c>
    </row>
    <row r="49" spans="2:31" x14ac:dyDescent="0.25">
      <c r="B49" s="162">
        <f t="shared" si="6"/>
        <v>46048</v>
      </c>
      <c r="C49" s="163">
        <f>COUNTIFS(' CADASTRO'!$S:$S,'acab equip'!$C$3,' CADASTRO'!$R:$R,'acab equip'!B49)</f>
        <v>0</v>
      </c>
      <c r="D49" s="163">
        <f>COUNTIFS(' CADASTRO'!$S:$S,'acab equip'!$D$3,' CADASTRO'!$R:$R,'acab equip'!B49)</f>
        <v>0</v>
      </c>
      <c r="E49" s="163">
        <f>COUNTIFS(' CADASTRO'!$R$746:$R$893,'acab equip'!B49,' CADASTRO'!$S$746:$S$893,'acab equip'!$D$3)+COUNTIFS(' CADASTRO'!$R$746:$R$893,'acab equip'!B49,' CADASTRO'!$S$746:$S$893,'acab equip'!$C$3)</f>
        <v>0</v>
      </c>
      <c r="F49" s="162">
        <f t="shared" si="7"/>
        <v>46049</v>
      </c>
      <c r="G49" s="163">
        <f>COUNTIFS(' CADASTRO'!$S:$S,'acab equip'!$C$3,' CADASTRO'!$R:$R,'acab equip'!F49)</f>
        <v>0</v>
      </c>
      <c r="H49" s="163">
        <f>COUNTIFS(' CADASTRO'!$S:$S,'acab equip'!$D$3,' CADASTRO'!$R:$R,'acab equip'!F49)</f>
        <v>0</v>
      </c>
      <c r="I49" s="163">
        <f>COUNTIFS(' CADASTRO'!$R$746:$R$893,'acab equip'!F49,' CADASTRO'!$S$746:$S$893,'acab equip'!$H$3)+COUNTIFS(' CADASTRO'!$R$746:$R$893,'acab equip'!F49,' CADASTRO'!$S$746:$S$893,'acab equip'!$G$3)</f>
        <v>0</v>
      </c>
      <c r="J49" s="162">
        <f t="shared" si="8"/>
        <v>46050</v>
      </c>
      <c r="K49" s="163">
        <f>COUNTIFS(' CADASTRO'!$S:$S,'acab equip'!$C$3,' CADASTRO'!$R:$R,'acab equip'!J49)</f>
        <v>0</v>
      </c>
      <c r="L49" s="163">
        <f>COUNTIFS(' CADASTRO'!$S:$S,'acab equip'!$D$3,' CADASTRO'!$R:$R,'acab equip'!J49)</f>
        <v>0</v>
      </c>
      <c r="M49" s="163">
        <f>COUNTIFS(' CADASTRO'!$R$746:$R$893,'acab equip'!J49,' CADASTRO'!$S$746:$S$893,'acab equip'!$L$3)+COUNTIFS(' CADASTRO'!$R$746:$R$893,'acab equip'!J49,' CADASTRO'!$S$746:$S$893,'acab equip'!$K$3)</f>
        <v>0</v>
      </c>
      <c r="N49" s="162">
        <f t="shared" si="9"/>
        <v>46051</v>
      </c>
      <c r="O49" s="163">
        <f>COUNTIFS(' CADASTRO'!$S:$S,'acab equip'!$C$3,' CADASTRO'!$R:$R,'acab equip'!N49)</f>
        <v>0</v>
      </c>
      <c r="P49" s="163">
        <f>COUNTIFS(' CADASTRO'!$S:$S,'acab equip'!$D$3,' CADASTRO'!$R:$R,'acab equip'!N49)</f>
        <v>0</v>
      </c>
      <c r="Q49" s="163">
        <f>COUNTIFS(' CADASTRO'!$R$746:$R$893,'acab equip'!N49,' CADASTRO'!$S$746:$S$893,'acab equip'!$P$3)+COUNTIFS(' CADASTRO'!$R$746:$R$893,'acab equip'!N49,' CADASTRO'!$S$746:$S$893,'acab equip'!$O$3)</f>
        <v>0</v>
      </c>
      <c r="R49" s="162">
        <f t="shared" si="10"/>
        <v>46052</v>
      </c>
      <c r="S49" s="163">
        <f>COUNTIFS(' CADASTRO'!$S:$S,'acab equip'!$C$3,' CADASTRO'!$R:$R,'acab equip'!R49)</f>
        <v>0</v>
      </c>
      <c r="T49" s="163">
        <f>COUNTIFS(' CADASTRO'!$S:$S,'acab equip'!$D$3,' CADASTRO'!$R:$R,'acab equip'!R49)</f>
        <v>0</v>
      </c>
      <c r="U49" s="163">
        <f>COUNTIFS(' CADASTRO'!$R$746:$R$893,'acab equip'!R49,' CADASTRO'!$S$746:$S$893,'acab equip'!$T$3)+COUNTIFS(' CADASTRO'!$R$746:$R$893,'acab equip'!R49,' CADASTRO'!$S$746:$S$893,'acab equip'!$S$3)</f>
        <v>0</v>
      </c>
      <c r="V49" s="162">
        <f t="shared" si="11"/>
        <v>46053</v>
      </c>
      <c r="W49" s="163">
        <f>COUNTIFS(' CADASTRO'!$S:$S,'acab equip'!$C$3,' CADASTRO'!$R:$R,'acab equip'!V49)</f>
        <v>0</v>
      </c>
      <c r="X49" s="163">
        <f>COUNTIFS(' CADASTRO'!$S:$S,'acab equip'!$D$3,' CADASTRO'!$R:$R,'acab equip'!V49)</f>
        <v>0</v>
      </c>
      <c r="Y49" s="163">
        <f>COUNTIFS(' CADASTRO'!$R$746:$R$893,'acab equip'!V49,' CADASTRO'!$S$746:$S$893,'acab equip'!$X$3)+COUNTIFS(' CADASTRO'!$R$746:$R$893,'acab equip'!V49,' CADASTRO'!$S$746:$S$893,'acab equip'!$W$3)</f>
        <v>0</v>
      </c>
      <c r="Z49" s="162">
        <f t="shared" si="12"/>
        <v>46054</v>
      </c>
      <c r="AB49" s="165">
        <f t="shared" si="0"/>
        <v>0</v>
      </c>
      <c r="AC49" s="165">
        <f t="shared" si="3"/>
        <v>0</v>
      </c>
      <c r="AD49" s="165">
        <f t="shared" si="4"/>
        <v>0</v>
      </c>
      <c r="AE49" s="177">
        <f t="shared" si="5"/>
        <v>0</v>
      </c>
    </row>
    <row r="50" spans="2:31" x14ac:dyDescent="0.25">
      <c r="B50" s="162">
        <f t="shared" si="6"/>
        <v>46055</v>
      </c>
      <c r="C50" s="163">
        <f>COUNTIFS(' CADASTRO'!$S:$S,'acab equip'!$C$3,' CADASTRO'!$R:$R,'acab equip'!B50)</f>
        <v>0</v>
      </c>
      <c r="D50" s="163">
        <f>COUNTIFS(' CADASTRO'!$S:$S,'acab equip'!$D$3,' CADASTRO'!$R:$R,'acab equip'!B50)</f>
        <v>0</v>
      </c>
      <c r="E50" s="163">
        <f>COUNTIFS(' CADASTRO'!$R$746:$R$893,'acab equip'!B50,' CADASTRO'!$S$746:$S$893,'acab equip'!$D$3)+COUNTIFS(' CADASTRO'!$R$746:$R$893,'acab equip'!B50,' CADASTRO'!$S$746:$S$893,'acab equip'!$C$3)</f>
        <v>0</v>
      </c>
      <c r="F50" s="162">
        <f t="shared" si="7"/>
        <v>46056</v>
      </c>
      <c r="G50" s="163">
        <f>COUNTIFS(' CADASTRO'!$S:$S,'acab equip'!$C$3,' CADASTRO'!$R:$R,'acab equip'!F50)</f>
        <v>0</v>
      </c>
      <c r="H50" s="163">
        <f>COUNTIFS(' CADASTRO'!$S:$S,'acab equip'!$D$3,' CADASTRO'!$R:$R,'acab equip'!F50)</f>
        <v>0</v>
      </c>
      <c r="I50" s="163">
        <f>COUNTIFS(' CADASTRO'!$R$746:$R$893,'acab equip'!F50,' CADASTRO'!$S$746:$S$893,'acab equip'!$H$3)+COUNTIFS(' CADASTRO'!$R$746:$R$893,'acab equip'!F50,' CADASTRO'!$S$746:$S$893,'acab equip'!$G$3)</f>
        <v>0</v>
      </c>
      <c r="J50" s="162">
        <f t="shared" si="8"/>
        <v>46057</v>
      </c>
      <c r="K50" s="163">
        <f>COUNTIFS(' CADASTRO'!$S:$S,'acab equip'!$C$3,' CADASTRO'!$R:$R,'acab equip'!J50)</f>
        <v>0</v>
      </c>
      <c r="L50" s="163">
        <f>COUNTIFS(' CADASTRO'!$S:$S,'acab equip'!$D$3,' CADASTRO'!$R:$R,'acab equip'!J50)</f>
        <v>0</v>
      </c>
      <c r="M50" s="163">
        <f>COUNTIFS(' CADASTRO'!$R$746:$R$893,'acab equip'!J50,' CADASTRO'!$S$746:$S$893,'acab equip'!$L$3)+COUNTIFS(' CADASTRO'!$R$746:$R$893,'acab equip'!J50,' CADASTRO'!$S$746:$S$893,'acab equip'!$K$3)</f>
        <v>0</v>
      </c>
      <c r="N50" s="162">
        <f t="shared" si="9"/>
        <v>46058</v>
      </c>
      <c r="O50" s="163">
        <f>COUNTIFS(' CADASTRO'!$S:$S,'acab equip'!$C$3,' CADASTRO'!$R:$R,'acab equip'!N50)</f>
        <v>0</v>
      </c>
      <c r="P50" s="163">
        <f>COUNTIFS(' CADASTRO'!$S:$S,'acab equip'!$D$3,' CADASTRO'!$R:$R,'acab equip'!N50)</f>
        <v>0</v>
      </c>
      <c r="Q50" s="163">
        <f>COUNTIFS(' CADASTRO'!$R$746:$R$893,'acab equip'!N50,' CADASTRO'!$S$746:$S$893,'acab equip'!$P$3)+COUNTIFS(' CADASTRO'!$R$746:$R$893,'acab equip'!N50,' CADASTRO'!$S$746:$S$893,'acab equip'!$O$3)</f>
        <v>0</v>
      </c>
      <c r="R50" s="162">
        <f t="shared" si="10"/>
        <v>46059</v>
      </c>
      <c r="S50" s="163">
        <f>COUNTIFS(' CADASTRO'!$S:$S,'acab equip'!$C$3,' CADASTRO'!$R:$R,'acab equip'!R50)</f>
        <v>0</v>
      </c>
      <c r="T50" s="163">
        <f>COUNTIFS(' CADASTRO'!$S:$S,'acab equip'!$D$3,' CADASTRO'!$R:$R,'acab equip'!R50)</f>
        <v>0</v>
      </c>
      <c r="U50" s="163">
        <f>COUNTIFS(' CADASTRO'!$R$746:$R$893,'acab equip'!R50,' CADASTRO'!$S$746:$S$893,'acab equip'!$T$3)+COUNTIFS(' CADASTRO'!$R$746:$R$893,'acab equip'!R50,' CADASTRO'!$S$746:$S$893,'acab equip'!$S$3)</f>
        <v>0</v>
      </c>
      <c r="V50" s="162">
        <f t="shared" si="11"/>
        <v>46060</v>
      </c>
      <c r="W50" s="163">
        <f>COUNTIFS(' CADASTRO'!$S:$S,'acab equip'!$C$3,' CADASTRO'!$R:$R,'acab equip'!V50)</f>
        <v>0</v>
      </c>
      <c r="X50" s="163">
        <f>COUNTIFS(' CADASTRO'!$S:$S,'acab equip'!$D$3,' CADASTRO'!$R:$R,'acab equip'!V50)</f>
        <v>0</v>
      </c>
      <c r="Y50" s="163">
        <f>COUNTIFS(' CADASTRO'!$R$746:$R$893,'acab equip'!V50,' CADASTRO'!$S$746:$S$893,'acab equip'!$X$3)+COUNTIFS(' CADASTRO'!$R$746:$R$893,'acab equip'!V50,' CADASTRO'!$S$746:$S$893,'acab equip'!$W$3)</f>
        <v>0</v>
      </c>
      <c r="Z50" s="162">
        <f t="shared" si="12"/>
        <v>46061</v>
      </c>
      <c r="AB50" s="165">
        <f t="shared" si="0"/>
        <v>0</v>
      </c>
      <c r="AC50" s="165">
        <f t="shared" si="3"/>
        <v>0</v>
      </c>
      <c r="AD50" s="165">
        <f t="shared" si="4"/>
        <v>0</v>
      </c>
      <c r="AE50" s="177">
        <f t="shared" si="5"/>
        <v>0</v>
      </c>
    </row>
    <row r="51" spans="2:31" x14ac:dyDescent="0.25">
      <c r="B51" s="162">
        <f t="shared" si="6"/>
        <v>46062</v>
      </c>
      <c r="C51" s="163">
        <f>COUNTIFS(' CADASTRO'!$S:$S,'acab equip'!$C$3,' CADASTRO'!$R:$R,'acab equip'!B51)</f>
        <v>0</v>
      </c>
      <c r="D51" s="163">
        <f>COUNTIFS(' CADASTRO'!$S:$S,'acab equip'!$D$3,' CADASTRO'!$R:$R,'acab equip'!B51)</f>
        <v>0</v>
      </c>
      <c r="E51" s="163">
        <f>COUNTIFS(' CADASTRO'!$R$746:$R$893,'acab equip'!B51,' CADASTRO'!$S$746:$S$893,'acab equip'!$D$3)+COUNTIFS(' CADASTRO'!$R$746:$R$893,'acab equip'!B51,' CADASTRO'!$S$746:$S$893,'acab equip'!$C$3)</f>
        <v>0</v>
      </c>
      <c r="F51" s="162">
        <f t="shared" si="7"/>
        <v>46063</v>
      </c>
      <c r="G51" s="163">
        <f>COUNTIFS(' CADASTRO'!$S:$S,'acab equip'!$C$3,' CADASTRO'!$R:$R,'acab equip'!F51)</f>
        <v>0</v>
      </c>
      <c r="H51" s="163">
        <f>COUNTIFS(' CADASTRO'!$S:$S,'acab equip'!$D$3,' CADASTRO'!$R:$R,'acab equip'!F51)</f>
        <v>0</v>
      </c>
      <c r="I51" s="163">
        <f>COUNTIFS(' CADASTRO'!$R$746:$R$893,'acab equip'!F51,' CADASTRO'!$S$746:$S$893,'acab equip'!$H$3)+COUNTIFS(' CADASTRO'!$R$746:$R$893,'acab equip'!F51,' CADASTRO'!$S$746:$S$893,'acab equip'!$G$3)</f>
        <v>0</v>
      </c>
      <c r="J51" s="162">
        <f t="shared" si="8"/>
        <v>46064</v>
      </c>
      <c r="K51" s="163">
        <f>COUNTIFS(' CADASTRO'!$S:$S,'acab equip'!$C$3,' CADASTRO'!$R:$R,'acab equip'!J51)</f>
        <v>0</v>
      </c>
      <c r="L51" s="163">
        <f>COUNTIFS(' CADASTRO'!$S:$S,'acab equip'!$D$3,' CADASTRO'!$R:$R,'acab equip'!J51)</f>
        <v>0</v>
      </c>
      <c r="M51" s="163">
        <f>COUNTIFS(' CADASTRO'!$R$746:$R$893,'acab equip'!J51,' CADASTRO'!$S$746:$S$893,'acab equip'!$L$3)+COUNTIFS(' CADASTRO'!$R$746:$R$893,'acab equip'!J51,' CADASTRO'!$S$746:$S$893,'acab equip'!$K$3)</f>
        <v>0</v>
      </c>
      <c r="N51" s="162">
        <f t="shared" si="9"/>
        <v>46065</v>
      </c>
      <c r="O51" s="163">
        <f>COUNTIFS(' CADASTRO'!$S:$S,'acab equip'!$C$3,' CADASTRO'!$R:$R,'acab equip'!N51)</f>
        <v>0</v>
      </c>
      <c r="P51" s="163">
        <f>COUNTIFS(' CADASTRO'!$S:$S,'acab equip'!$D$3,' CADASTRO'!$R:$R,'acab equip'!N51)</f>
        <v>0</v>
      </c>
      <c r="Q51" s="163">
        <f>COUNTIFS(' CADASTRO'!$R$746:$R$893,'acab equip'!N51,' CADASTRO'!$S$746:$S$893,'acab equip'!$P$3)+COUNTIFS(' CADASTRO'!$R$746:$R$893,'acab equip'!N51,' CADASTRO'!$S$746:$S$893,'acab equip'!$O$3)</f>
        <v>0</v>
      </c>
      <c r="R51" s="162">
        <f t="shared" si="10"/>
        <v>46066</v>
      </c>
      <c r="S51" s="163">
        <f>COUNTIFS(' CADASTRO'!$S:$S,'acab equip'!$C$3,' CADASTRO'!$R:$R,'acab equip'!R51)</f>
        <v>0</v>
      </c>
      <c r="T51" s="163">
        <f>COUNTIFS(' CADASTRO'!$S:$S,'acab equip'!$D$3,' CADASTRO'!$R:$R,'acab equip'!R51)</f>
        <v>0</v>
      </c>
      <c r="U51" s="163">
        <f>COUNTIFS(' CADASTRO'!$R$746:$R$893,'acab equip'!R51,' CADASTRO'!$S$746:$S$893,'acab equip'!$T$3)+COUNTIFS(' CADASTRO'!$R$746:$R$893,'acab equip'!R51,' CADASTRO'!$S$746:$S$893,'acab equip'!$S$3)</f>
        <v>0</v>
      </c>
      <c r="V51" s="162">
        <f t="shared" si="11"/>
        <v>46067</v>
      </c>
      <c r="W51" s="163">
        <f>COUNTIFS(' CADASTRO'!$S:$S,'acab equip'!$C$3,' CADASTRO'!$R:$R,'acab equip'!V51)</f>
        <v>0</v>
      </c>
      <c r="X51" s="163">
        <f>COUNTIFS(' CADASTRO'!$S:$S,'acab equip'!$D$3,' CADASTRO'!$R:$R,'acab equip'!V51)</f>
        <v>0</v>
      </c>
      <c r="Y51" s="163">
        <f>COUNTIFS(' CADASTRO'!$R$746:$R$893,'acab equip'!V51,' CADASTRO'!$S$746:$S$893,'acab equip'!$X$3)+COUNTIFS(' CADASTRO'!$R$746:$R$893,'acab equip'!V51,' CADASTRO'!$S$746:$S$893,'acab equip'!$W$3)</f>
        <v>0</v>
      </c>
      <c r="Z51" s="162">
        <f t="shared" si="12"/>
        <v>46068</v>
      </c>
      <c r="AB51" s="165">
        <f t="shared" si="0"/>
        <v>0</v>
      </c>
      <c r="AC51" s="165">
        <f t="shared" si="3"/>
        <v>0</v>
      </c>
      <c r="AD51" s="165">
        <f t="shared" si="4"/>
        <v>0</v>
      </c>
      <c r="AE51" s="177">
        <f t="shared" si="5"/>
        <v>0</v>
      </c>
    </row>
    <row r="52" spans="2:31" x14ac:dyDescent="0.25">
      <c r="B52" s="162">
        <f t="shared" si="6"/>
        <v>46069</v>
      </c>
      <c r="C52" s="163">
        <f>COUNTIFS(' CADASTRO'!$S:$S,'acab equip'!$C$3,' CADASTRO'!$R:$R,'acab equip'!B52)</f>
        <v>0</v>
      </c>
      <c r="D52" s="163">
        <f>COUNTIFS(' CADASTRO'!$S:$S,'acab equip'!$D$3,' CADASTRO'!$R:$R,'acab equip'!B52)</f>
        <v>0</v>
      </c>
      <c r="E52" s="163">
        <f>COUNTIFS(' CADASTRO'!$R$746:$R$893,'acab equip'!B52,' CADASTRO'!$S$746:$S$893,'acab equip'!$D$3)+COUNTIFS(' CADASTRO'!$R$746:$R$893,'acab equip'!B52,' CADASTRO'!$S$746:$S$893,'acab equip'!$C$3)</f>
        <v>0</v>
      </c>
      <c r="F52" s="162">
        <f t="shared" si="7"/>
        <v>46070</v>
      </c>
      <c r="G52" s="163">
        <f>COUNTIFS(' CADASTRO'!$S:$S,'acab equip'!$C$3,' CADASTRO'!$R:$R,'acab equip'!F52)</f>
        <v>0</v>
      </c>
      <c r="H52" s="163">
        <f>COUNTIFS(' CADASTRO'!$S:$S,'acab equip'!$D$3,' CADASTRO'!$R:$R,'acab equip'!F52)</f>
        <v>0</v>
      </c>
      <c r="I52" s="163">
        <f>COUNTIFS(' CADASTRO'!$R$746:$R$893,'acab equip'!F52,' CADASTRO'!$S$746:$S$893,'acab equip'!$H$3)+COUNTIFS(' CADASTRO'!$R$746:$R$893,'acab equip'!F52,' CADASTRO'!$S$746:$S$893,'acab equip'!$G$3)</f>
        <v>0</v>
      </c>
      <c r="J52" s="162">
        <f t="shared" si="8"/>
        <v>46071</v>
      </c>
      <c r="K52" s="163">
        <f>COUNTIFS(' CADASTRO'!$S:$S,'acab equip'!$C$3,' CADASTRO'!$R:$R,'acab equip'!J52)</f>
        <v>0</v>
      </c>
      <c r="L52" s="163">
        <f>COUNTIFS(' CADASTRO'!$S:$S,'acab equip'!$D$3,' CADASTRO'!$R:$R,'acab equip'!J52)</f>
        <v>0</v>
      </c>
      <c r="M52" s="163">
        <f>COUNTIFS(' CADASTRO'!$R$746:$R$893,'acab equip'!J52,' CADASTRO'!$S$746:$S$893,'acab equip'!$L$3)+COUNTIFS(' CADASTRO'!$R$746:$R$893,'acab equip'!J52,' CADASTRO'!$S$746:$S$893,'acab equip'!$K$3)</f>
        <v>0</v>
      </c>
      <c r="N52" s="162">
        <f t="shared" si="9"/>
        <v>46072</v>
      </c>
      <c r="O52" s="163">
        <f>COUNTIFS(' CADASTRO'!$S:$S,'acab equip'!$C$3,' CADASTRO'!$R:$R,'acab equip'!N52)</f>
        <v>0</v>
      </c>
      <c r="P52" s="163">
        <f>COUNTIFS(' CADASTRO'!$S:$S,'acab equip'!$D$3,' CADASTRO'!$R:$R,'acab equip'!N52)</f>
        <v>0</v>
      </c>
      <c r="Q52" s="163">
        <f>COUNTIFS(' CADASTRO'!$R$746:$R$893,'acab equip'!N52,' CADASTRO'!$S$746:$S$893,'acab equip'!$P$3)+COUNTIFS(' CADASTRO'!$R$746:$R$893,'acab equip'!N52,' CADASTRO'!$S$746:$S$893,'acab equip'!$O$3)</f>
        <v>0</v>
      </c>
      <c r="R52" s="162">
        <f t="shared" si="10"/>
        <v>46073</v>
      </c>
      <c r="S52" s="163">
        <f>COUNTIFS(' CADASTRO'!$S:$S,'acab equip'!$C$3,' CADASTRO'!$R:$R,'acab equip'!R52)</f>
        <v>0</v>
      </c>
      <c r="T52" s="163">
        <f>COUNTIFS(' CADASTRO'!$S:$S,'acab equip'!$D$3,' CADASTRO'!$R:$R,'acab equip'!R52)</f>
        <v>0</v>
      </c>
      <c r="U52" s="163">
        <f>COUNTIFS(' CADASTRO'!$R$746:$R$893,'acab equip'!R52,' CADASTRO'!$S$746:$S$893,'acab equip'!$T$3)+COUNTIFS(' CADASTRO'!$R$746:$R$893,'acab equip'!R52,' CADASTRO'!$S$746:$S$893,'acab equip'!$S$3)</f>
        <v>0</v>
      </c>
      <c r="V52" s="162">
        <f t="shared" si="11"/>
        <v>46074</v>
      </c>
      <c r="W52" s="163">
        <f>COUNTIFS(' CADASTRO'!$S:$S,'acab equip'!$C$3,' CADASTRO'!$R:$R,'acab equip'!V52)</f>
        <v>0</v>
      </c>
      <c r="X52" s="163">
        <f>COUNTIFS(' CADASTRO'!$S:$S,'acab equip'!$D$3,' CADASTRO'!$R:$R,'acab equip'!V52)</f>
        <v>0</v>
      </c>
      <c r="Y52" s="163">
        <f>COUNTIFS(' CADASTRO'!$R$746:$R$893,'acab equip'!V52,' CADASTRO'!$S$746:$S$893,'acab equip'!$X$3)+COUNTIFS(' CADASTRO'!$R$746:$R$893,'acab equip'!V52,' CADASTRO'!$S$746:$S$893,'acab equip'!$W$3)</f>
        <v>0</v>
      </c>
      <c r="Z52" s="162">
        <f t="shared" si="12"/>
        <v>46075</v>
      </c>
      <c r="AB52" s="165">
        <f t="shared" si="0"/>
        <v>0</v>
      </c>
      <c r="AC52" s="165">
        <f t="shared" si="3"/>
        <v>0</v>
      </c>
      <c r="AD52" s="165">
        <f t="shared" si="4"/>
        <v>0</v>
      </c>
      <c r="AE52" s="177">
        <f t="shared" si="5"/>
        <v>0</v>
      </c>
    </row>
    <row r="53" spans="2:31" x14ac:dyDescent="0.25">
      <c r="B53" s="162">
        <f t="shared" si="6"/>
        <v>46076</v>
      </c>
      <c r="C53" s="163">
        <f>COUNTIFS(' CADASTRO'!$S:$S,'acab equip'!$C$3,' CADASTRO'!$R:$R,'acab equip'!B53)</f>
        <v>0</v>
      </c>
      <c r="D53" s="163">
        <f>COUNTIFS(' CADASTRO'!$S:$S,'acab equip'!$D$3,' CADASTRO'!$R:$R,'acab equip'!B53)</f>
        <v>0</v>
      </c>
      <c r="E53" s="163">
        <f>COUNTIFS(' CADASTRO'!$R$746:$R$893,'acab equip'!B53,' CADASTRO'!$S$746:$S$893,'acab equip'!$D$3)+COUNTIFS(' CADASTRO'!$R$746:$R$893,'acab equip'!B53,' CADASTRO'!$S$746:$S$893,'acab equip'!$C$3)</f>
        <v>0</v>
      </c>
      <c r="F53" s="162">
        <f t="shared" si="7"/>
        <v>46077</v>
      </c>
      <c r="G53" s="163">
        <f>COUNTIFS(' CADASTRO'!$S:$S,'acab equip'!$C$3,' CADASTRO'!$R:$R,'acab equip'!F53)</f>
        <v>0</v>
      </c>
      <c r="H53" s="163">
        <f>COUNTIFS(' CADASTRO'!$S:$S,'acab equip'!$D$3,' CADASTRO'!$R:$R,'acab equip'!F53)</f>
        <v>0</v>
      </c>
      <c r="I53" s="163">
        <f>COUNTIFS(' CADASTRO'!$R$746:$R$893,'acab equip'!F53,' CADASTRO'!$S$746:$S$893,'acab equip'!$H$3)+COUNTIFS(' CADASTRO'!$R$746:$R$893,'acab equip'!F53,' CADASTRO'!$S$746:$S$893,'acab equip'!$G$3)</f>
        <v>0</v>
      </c>
      <c r="J53" s="162">
        <f t="shared" si="8"/>
        <v>46078</v>
      </c>
      <c r="K53" s="163">
        <f>COUNTIFS(' CADASTRO'!$S:$S,'acab equip'!$C$3,' CADASTRO'!$R:$R,'acab equip'!J53)</f>
        <v>0</v>
      </c>
      <c r="L53" s="163">
        <f>COUNTIFS(' CADASTRO'!$S:$S,'acab equip'!$D$3,' CADASTRO'!$R:$R,'acab equip'!J53)</f>
        <v>0</v>
      </c>
      <c r="M53" s="163">
        <f>COUNTIFS(' CADASTRO'!$R$746:$R$893,'acab equip'!J53,' CADASTRO'!$S$746:$S$893,'acab equip'!$L$3)+COUNTIFS(' CADASTRO'!$R$746:$R$893,'acab equip'!J53,' CADASTRO'!$S$746:$S$893,'acab equip'!$K$3)</f>
        <v>0</v>
      </c>
      <c r="N53" s="162">
        <f t="shared" si="9"/>
        <v>46079</v>
      </c>
      <c r="O53" s="163">
        <f>COUNTIFS(' CADASTRO'!$S:$S,'acab equip'!$C$3,' CADASTRO'!$R:$R,'acab equip'!N53)</f>
        <v>0</v>
      </c>
      <c r="P53" s="163">
        <f>COUNTIFS(' CADASTRO'!$S:$S,'acab equip'!$D$3,' CADASTRO'!$R:$R,'acab equip'!N53)</f>
        <v>0</v>
      </c>
      <c r="Q53" s="163">
        <f>COUNTIFS(' CADASTRO'!$R$746:$R$893,'acab equip'!N53,' CADASTRO'!$S$746:$S$893,'acab equip'!$P$3)+COUNTIFS(' CADASTRO'!$R$746:$R$893,'acab equip'!N53,' CADASTRO'!$S$746:$S$893,'acab equip'!$O$3)</f>
        <v>0</v>
      </c>
      <c r="R53" s="162">
        <f t="shared" si="10"/>
        <v>46080</v>
      </c>
      <c r="S53" s="163">
        <f>COUNTIFS(' CADASTRO'!$S:$S,'acab equip'!$C$3,' CADASTRO'!$R:$R,'acab equip'!R53)</f>
        <v>0</v>
      </c>
      <c r="T53" s="163">
        <f>COUNTIFS(' CADASTRO'!$S:$S,'acab equip'!$D$3,' CADASTRO'!$R:$R,'acab equip'!R53)</f>
        <v>0</v>
      </c>
      <c r="U53" s="163">
        <f>COUNTIFS(' CADASTRO'!$R$746:$R$893,'acab equip'!R53,' CADASTRO'!$S$746:$S$893,'acab equip'!$T$3)+COUNTIFS(' CADASTRO'!$R$746:$R$893,'acab equip'!R53,' CADASTRO'!$S$746:$S$893,'acab equip'!$S$3)</f>
        <v>0</v>
      </c>
      <c r="V53" s="162">
        <f t="shared" si="11"/>
        <v>46081</v>
      </c>
      <c r="W53" s="163">
        <f>COUNTIFS(' CADASTRO'!$S:$S,'acab equip'!$C$3,' CADASTRO'!$R:$R,'acab equip'!V53)</f>
        <v>0</v>
      </c>
      <c r="X53" s="163">
        <f>COUNTIFS(' CADASTRO'!$S:$S,'acab equip'!$D$3,' CADASTRO'!$R:$R,'acab equip'!V53)</f>
        <v>0</v>
      </c>
      <c r="Y53" s="163">
        <f>COUNTIFS(' CADASTRO'!$R$746:$R$893,'acab equip'!V53,' CADASTRO'!$S$746:$S$893,'acab equip'!$X$3)+COUNTIFS(' CADASTRO'!$R$746:$R$893,'acab equip'!V53,' CADASTRO'!$S$746:$S$893,'acab equip'!$W$3)</f>
        <v>0</v>
      </c>
      <c r="Z53" s="162">
        <f t="shared" si="12"/>
        <v>46082</v>
      </c>
      <c r="AB53" s="165">
        <f t="shared" si="0"/>
        <v>0</v>
      </c>
      <c r="AC53" s="165">
        <f t="shared" si="3"/>
        <v>0</v>
      </c>
      <c r="AD53" s="165">
        <f t="shared" si="4"/>
        <v>0</v>
      </c>
      <c r="AE53" s="177">
        <f t="shared" si="5"/>
        <v>0</v>
      </c>
    </row>
    <row r="54" spans="2:31" x14ac:dyDescent="0.25">
      <c r="B54" s="162">
        <f t="shared" si="6"/>
        <v>46083</v>
      </c>
      <c r="C54" s="163">
        <f>COUNTIFS(' CADASTRO'!$S:$S,'acab equip'!$C$3,' CADASTRO'!$R:$R,'acab equip'!B54)</f>
        <v>0</v>
      </c>
      <c r="D54" s="163">
        <f>COUNTIFS(' CADASTRO'!$S:$S,'acab equip'!$D$3,' CADASTRO'!$R:$R,'acab equip'!B54)</f>
        <v>0</v>
      </c>
      <c r="E54" s="163">
        <f>COUNTIFS(' CADASTRO'!$R$746:$R$893,'acab equip'!B54,' CADASTRO'!$S$746:$S$893,'acab equip'!$D$3)+COUNTIFS(' CADASTRO'!$R$746:$R$893,'acab equip'!B54,' CADASTRO'!$S$746:$S$893,'acab equip'!$C$3)</f>
        <v>0</v>
      </c>
      <c r="F54" s="162">
        <f t="shared" si="7"/>
        <v>46084</v>
      </c>
      <c r="G54" s="163">
        <f>COUNTIFS(' CADASTRO'!$S:$S,'acab equip'!$C$3,' CADASTRO'!$R:$R,'acab equip'!F54)</f>
        <v>0</v>
      </c>
      <c r="H54" s="163">
        <f>COUNTIFS(' CADASTRO'!$S:$S,'acab equip'!$D$3,' CADASTRO'!$R:$R,'acab equip'!F54)</f>
        <v>0</v>
      </c>
      <c r="I54" s="163">
        <f>COUNTIFS(' CADASTRO'!$R$746:$R$893,'acab equip'!F54,' CADASTRO'!$S$746:$S$893,'acab equip'!$H$3)+COUNTIFS(' CADASTRO'!$R$746:$R$893,'acab equip'!F54,' CADASTRO'!$S$746:$S$893,'acab equip'!$G$3)</f>
        <v>0</v>
      </c>
      <c r="J54" s="162">
        <f t="shared" si="8"/>
        <v>46085</v>
      </c>
      <c r="K54" s="163">
        <f>COUNTIFS(' CADASTRO'!$S:$S,'acab equip'!$C$3,' CADASTRO'!$R:$R,'acab equip'!J54)</f>
        <v>0</v>
      </c>
      <c r="L54" s="163">
        <f>COUNTIFS(' CADASTRO'!$S:$S,'acab equip'!$D$3,' CADASTRO'!$R:$R,'acab equip'!J54)</f>
        <v>0</v>
      </c>
      <c r="M54" s="163">
        <f>COUNTIFS(' CADASTRO'!$R$746:$R$893,'acab equip'!J54,' CADASTRO'!$S$746:$S$893,'acab equip'!$L$3)+COUNTIFS(' CADASTRO'!$R$746:$R$893,'acab equip'!J54,' CADASTRO'!$S$746:$S$893,'acab equip'!$K$3)</f>
        <v>0</v>
      </c>
      <c r="N54" s="162">
        <f t="shared" si="9"/>
        <v>46086</v>
      </c>
      <c r="O54" s="163">
        <f>COUNTIFS(' CADASTRO'!$S:$S,'acab equip'!$C$3,' CADASTRO'!$R:$R,'acab equip'!N54)</f>
        <v>0</v>
      </c>
      <c r="P54" s="163">
        <f>COUNTIFS(' CADASTRO'!$S:$S,'acab equip'!$D$3,' CADASTRO'!$R:$R,'acab equip'!N54)</f>
        <v>0</v>
      </c>
      <c r="Q54" s="163">
        <f>COUNTIFS(' CADASTRO'!$R$746:$R$893,'acab equip'!N54,' CADASTRO'!$S$746:$S$893,'acab equip'!$P$3)+COUNTIFS(' CADASTRO'!$R$746:$R$893,'acab equip'!N54,' CADASTRO'!$S$746:$S$893,'acab equip'!$O$3)</f>
        <v>0</v>
      </c>
      <c r="R54" s="162">
        <f t="shared" si="10"/>
        <v>46087</v>
      </c>
      <c r="S54" s="163">
        <f>COUNTIFS(' CADASTRO'!$S:$S,'acab equip'!$C$3,' CADASTRO'!$R:$R,'acab equip'!R54)</f>
        <v>0</v>
      </c>
      <c r="T54" s="163">
        <f>COUNTIFS(' CADASTRO'!$S:$S,'acab equip'!$D$3,' CADASTRO'!$R:$R,'acab equip'!R54)</f>
        <v>0</v>
      </c>
      <c r="U54" s="163">
        <f>COUNTIFS(' CADASTRO'!$R$746:$R$893,'acab equip'!R54,' CADASTRO'!$S$746:$S$893,'acab equip'!$T$3)+COUNTIFS(' CADASTRO'!$R$746:$R$893,'acab equip'!R54,' CADASTRO'!$S$746:$S$893,'acab equip'!$S$3)</f>
        <v>0</v>
      </c>
      <c r="V54" s="162">
        <f t="shared" si="11"/>
        <v>46088</v>
      </c>
      <c r="W54" s="163">
        <f>COUNTIFS(' CADASTRO'!$S:$S,'acab equip'!$C$3,' CADASTRO'!$R:$R,'acab equip'!V54)</f>
        <v>0</v>
      </c>
      <c r="X54" s="163">
        <f>COUNTIFS(' CADASTRO'!$S:$S,'acab equip'!$D$3,' CADASTRO'!$R:$R,'acab equip'!V54)</f>
        <v>0</v>
      </c>
      <c r="Y54" s="163">
        <f>COUNTIFS(' CADASTRO'!$R$746:$R$893,'acab equip'!V54,' CADASTRO'!$S$746:$S$893,'acab equip'!$X$3)+COUNTIFS(' CADASTRO'!$R$746:$R$893,'acab equip'!V54,' CADASTRO'!$S$746:$S$893,'acab equip'!$W$3)</f>
        <v>0</v>
      </c>
      <c r="Z54" s="162">
        <f t="shared" si="12"/>
        <v>46089</v>
      </c>
      <c r="AB54" s="165">
        <f t="shared" si="0"/>
        <v>0</v>
      </c>
      <c r="AC54" s="165">
        <f t="shared" si="3"/>
        <v>0</v>
      </c>
      <c r="AD54" s="165">
        <f t="shared" si="4"/>
        <v>0</v>
      </c>
      <c r="AE54" s="177">
        <f t="shared" si="5"/>
        <v>0</v>
      </c>
    </row>
    <row r="55" spans="2:31" x14ac:dyDescent="0.25">
      <c r="B55" s="162">
        <f t="shared" si="6"/>
        <v>46090</v>
      </c>
      <c r="C55" s="163">
        <f>COUNTIFS(' CADASTRO'!$S:$S,'acab equip'!$C$3,' CADASTRO'!$R:$R,'acab equip'!B55)</f>
        <v>0</v>
      </c>
      <c r="D55" s="163">
        <f>COUNTIFS(' CADASTRO'!$S:$S,'acab equip'!$D$3,' CADASTRO'!$R:$R,'acab equip'!B55)</f>
        <v>0</v>
      </c>
      <c r="E55" s="163">
        <f>COUNTIFS(' CADASTRO'!$R$746:$R$893,'acab equip'!B55,' CADASTRO'!$S$746:$S$893,'acab equip'!$D$3)+COUNTIFS(' CADASTRO'!$R$746:$R$893,'acab equip'!B55,' CADASTRO'!$S$746:$S$893,'acab equip'!$C$3)</f>
        <v>0</v>
      </c>
      <c r="F55" s="162">
        <f t="shared" si="7"/>
        <v>46091</v>
      </c>
      <c r="G55" s="163">
        <f>COUNTIFS(' CADASTRO'!$S:$S,'acab equip'!$C$3,' CADASTRO'!$R:$R,'acab equip'!F55)</f>
        <v>0</v>
      </c>
      <c r="H55" s="163">
        <f>COUNTIFS(' CADASTRO'!$S:$S,'acab equip'!$D$3,' CADASTRO'!$R:$R,'acab equip'!F55)</f>
        <v>0</v>
      </c>
      <c r="I55" s="163">
        <f>COUNTIFS(' CADASTRO'!$R$746:$R$893,'acab equip'!F55,' CADASTRO'!$S$746:$S$893,'acab equip'!$H$3)+COUNTIFS(' CADASTRO'!$R$746:$R$893,'acab equip'!F55,' CADASTRO'!$S$746:$S$893,'acab equip'!$G$3)</f>
        <v>0</v>
      </c>
      <c r="J55" s="162">
        <f t="shared" si="8"/>
        <v>46092</v>
      </c>
      <c r="K55" s="163">
        <f>COUNTIFS(' CADASTRO'!$S:$S,'acab equip'!$C$3,' CADASTRO'!$R:$R,'acab equip'!J55)</f>
        <v>0</v>
      </c>
      <c r="L55" s="163">
        <f>COUNTIFS(' CADASTRO'!$S:$S,'acab equip'!$D$3,' CADASTRO'!$R:$R,'acab equip'!J55)</f>
        <v>0</v>
      </c>
      <c r="M55" s="163">
        <f>COUNTIFS(' CADASTRO'!$R$746:$R$893,'acab equip'!J55,' CADASTRO'!$S$746:$S$893,'acab equip'!$L$3)+COUNTIFS(' CADASTRO'!$R$746:$R$893,'acab equip'!J55,' CADASTRO'!$S$746:$S$893,'acab equip'!$K$3)</f>
        <v>0</v>
      </c>
      <c r="N55" s="162">
        <f t="shared" si="9"/>
        <v>46093</v>
      </c>
      <c r="O55" s="163">
        <f>COUNTIFS(' CADASTRO'!$S:$S,'acab equip'!$C$3,' CADASTRO'!$R:$R,'acab equip'!N55)</f>
        <v>0</v>
      </c>
      <c r="P55" s="163">
        <f>COUNTIFS(' CADASTRO'!$S:$S,'acab equip'!$D$3,' CADASTRO'!$R:$R,'acab equip'!N55)</f>
        <v>0</v>
      </c>
      <c r="Q55" s="163">
        <f>COUNTIFS(' CADASTRO'!$R$746:$R$893,'acab equip'!N55,' CADASTRO'!$S$746:$S$893,'acab equip'!$P$3)+COUNTIFS(' CADASTRO'!$R$746:$R$893,'acab equip'!N55,' CADASTRO'!$S$746:$S$893,'acab equip'!$O$3)</f>
        <v>0</v>
      </c>
      <c r="R55" s="162">
        <f t="shared" si="10"/>
        <v>46094</v>
      </c>
      <c r="S55" s="163">
        <f>COUNTIFS(' CADASTRO'!$S:$S,'acab equip'!$C$3,' CADASTRO'!$R:$R,'acab equip'!R55)</f>
        <v>0</v>
      </c>
      <c r="T55" s="163">
        <f>COUNTIFS(' CADASTRO'!$S:$S,'acab equip'!$D$3,' CADASTRO'!$R:$R,'acab equip'!R55)</f>
        <v>0</v>
      </c>
      <c r="U55" s="163">
        <f>COUNTIFS(' CADASTRO'!$R$746:$R$893,'acab equip'!R55,' CADASTRO'!$S$746:$S$893,'acab equip'!$T$3)+COUNTIFS(' CADASTRO'!$R$746:$R$893,'acab equip'!R55,' CADASTRO'!$S$746:$S$893,'acab equip'!$S$3)</f>
        <v>0</v>
      </c>
      <c r="V55" s="162">
        <f t="shared" si="11"/>
        <v>46095</v>
      </c>
      <c r="W55" s="163">
        <f>COUNTIFS(' CADASTRO'!$S:$S,'acab equip'!$C$3,' CADASTRO'!$R:$R,'acab equip'!V55)</f>
        <v>0</v>
      </c>
      <c r="X55" s="163">
        <f>COUNTIFS(' CADASTRO'!$S:$S,'acab equip'!$D$3,' CADASTRO'!$R:$R,'acab equip'!V55)</f>
        <v>0</v>
      </c>
      <c r="Y55" s="163">
        <f>COUNTIFS(' CADASTRO'!$R$746:$R$893,'acab equip'!V55,' CADASTRO'!$S$746:$S$893,'acab equip'!$X$3)+COUNTIFS(' CADASTRO'!$R$746:$R$893,'acab equip'!V55,' CADASTRO'!$S$746:$S$893,'acab equip'!$W$3)</f>
        <v>0</v>
      </c>
      <c r="Z55" s="162">
        <f t="shared" si="12"/>
        <v>46096</v>
      </c>
      <c r="AB55" s="165">
        <f t="shared" si="0"/>
        <v>0</v>
      </c>
      <c r="AC55" s="165">
        <f t="shared" si="3"/>
        <v>0</v>
      </c>
      <c r="AD55" s="165">
        <f t="shared" si="4"/>
        <v>0</v>
      </c>
      <c r="AE55" s="177">
        <f t="shared" si="5"/>
        <v>0</v>
      </c>
    </row>
    <row r="56" spans="2:31" x14ac:dyDescent="0.25">
      <c r="B56" s="162">
        <f t="shared" si="6"/>
        <v>46097</v>
      </c>
      <c r="C56" s="163">
        <f>COUNTIFS(' CADASTRO'!$S:$S,'acab equip'!$C$3,' CADASTRO'!$R:$R,'acab equip'!B56)</f>
        <v>0</v>
      </c>
      <c r="D56" s="163">
        <f>COUNTIFS(' CADASTRO'!$S:$S,'acab equip'!$D$3,' CADASTRO'!$R:$R,'acab equip'!B56)</f>
        <v>0</v>
      </c>
      <c r="E56" s="163">
        <f>COUNTIFS(' CADASTRO'!$R$746:$R$893,'acab equip'!B56,' CADASTRO'!$S$746:$S$893,'acab equip'!$D$3)+COUNTIFS(' CADASTRO'!$R$746:$R$893,'acab equip'!B56,' CADASTRO'!$S$746:$S$893,'acab equip'!$C$3)</f>
        <v>0</v>
      </c>
      <c r="F56" s="162">
        <f t="shared" si="7"/>
        <v>46098</v>
      </c>
      <c r="G56" s="163">
        <f>COUNTIFS(' CADASTRO'!$S:$S,'acab equip'!$C$3,' CADASTRO'!$R:$R,'acab equip'!F56)</f>
        <v>0</v>
      </c>
      <c r="H56" s="163">
        <f>COUNTIFS(' CADASTRO'!$S:$S,'acab equip'!$D$3,' CADASTRO'!$R:$R,'acab equip'!F56)</f>
        <v>0</v>
      </c>
      <c r="I56" s="163">
        <f>COUNTIFS(' CADASTRO'!$R$746:$R$893,'acab equip'!F56,' CADASTRO'!$S$746:$S$893,'acab equip'!$H$3)+COUNTIFS(' CADASTRO'!$R$746:$R$893,'acab equip'!F56,' CADASTRO'!$S$746:$S$893,'acab equip'!$G$3)</f>
        <v>0</v>
      </c>
      <c r="J56" s="162">
        <f t="shared" si="8"/>
        <v>46099</v>
      </c>
      <c r="K56" s="163">
        <f>COUNTIFS(' CADASTRO'!$S:$S,'acab equip'!$C$3,' CADASTRO'!$R:$R,'acab equip'!J56)</f>
        <v>0</v>
      </c>
      <c r="L56" s="163">
        <f>COUNTIFS(' CADASTRO'!$S:$S,'acab equip'!$D$3,' CADASTRO'!$R:$R,'acab equip'!J56)</f>
        <v>0</v>
      </c>
      <c r="M56" s="163">
        <f>COUNTIFS(' CADASTRO'!$R$746:$R$893,'acab equip'!J56,' CADASTRO'!$S$746:$S$893,'acab equip'!$L$3)+COUNTIFS(' CADASTRO'!$R$746:$R$893,'acab equip'!J56,' CADASTRO'!$S$746:$S$893,'acab equip'!$K$3)</f>
        <v>0</v>
      </c>
      <c r="N56" s="162">
        <f t="shared" si="9"/>
        <v>46100</v>
      </c>
      <c r="O56" s="163">
        <f>COUNTIFS(' CADASTRO'!$S:$S,'acab equip'!$C$3,' CADASTRO'!$R:$R,'acab equip'!N56)</f>
        <v>0</v>
      </c>
      <c r="P56" s="163">
        <f>COUNTIFS(' CADASTRO'!$S:$S,'acab equip'!$D$3,' CADASTRO'!$R:$R,'acab equip'!N56)</f>
        <v>0</v>
      </c>
      <c r="Q56" s="163">
        <f>COUNTIFS(' CADASTRO'!$R$746:$R$893,'acab equip'!N56,' CADASTRO'!$S$746:$S$893,'acab equip'!$P$3)+COUNTIFS(' CADASTRO'!$R$746:$R$893,'acab equip'!N56,' CADASTRO'!$S$746:$S$893,'acab equip'!$O$3)</f>
        <v>0</v>
      </c>
      <c r="R56" s="162">
        <f t="shared" si="10"/>
        <v>46101</v>
      </c>
      <c r="S56" s="163">
        <f>COUNTIFS(' CADASTRO'!$S:$S,'acab equip'!$C$3,' CADASTRO'!$R:$R,'acab equip'!R56)</f>
        <v>0</v>
      </c>
      <c r="T56" s="163">
        <f>COUNTIFS(' CADASTRO'!$S:$S,'acab equip'!$D$3,' CADASTRO'!$R:$R,'acab equip'!R56)</f>
        <v>0</v>
      </c>
      <c r="U56" s="163">
        <f>COUNTIFS(' CADASTRO'!$R$746:$R$893,'acab equip'!R56,' CADASTRO'!$S$746:$S$893,'acab equip'!$T$3)+COUNTIFS(' CADASTRO'!$R$746:$R$893,'acab equip'!R56,' CADASTRO'!$S$746:$S$893,'acab equip'!$S$3)</f>
        <v>0</v>
      </c>
      <c r="V56" s="162">
        <f t="shared" si="11"/>
        <v>46102</v>
      </c>
      <c r="W56" s="163">
        <f>COUNTIFS(' CADASTRO'!$S:$S,'acab equip'!$C$3,' CADASTRO'!$R:$R,'acab equip'!V56)</f>
        <v>0</v>
      </c>
      <c r="X56" s="163">
        <f>COUNTIFS(' CADASTRO'!$S:$S,'acab equip'!$D$3,' CADASTRO'!$R:$R,'acab equip'!V56)</f>
        <v>0</v>
      </c>
      <c r="Y56" s="163">
        <f>COUNTIFS(' CADASTRO'!$R$746:$R$893,'acab equip'!V56,' CADASTRO'!$S$746:$S$893,'acab equip'!$X$3)+COUNTIFS(' CADASTRO'!$R$746:$R$893,'acab equip'!V56,' CADASTRO'!$S$746:$S$893,'acab equip'!$W$3)</f>
        <v>0</v>
      </c>
      <c r="Z56" s="162">
        <f t="shared" si="12"/>
        <v>46103</v>
      </c>
      <c r="AB56" s="165">
        <f t="shared" si="0"/>
        <v>0</v>
      </c>
      <c r="AC56" s="165">
        <f t="shared" si="3"/>
        <v>0</v>
      </c>
      <c r="AD56" s="165">
        <f t="shared" si="4"/>
        <v>0</v>
      </c>
      <c r="AE56" s="177">
        <f t="shared" si="5"/>
        <v>0</v>
      </c>
    </row>
    <row r="57" spans="2:31" x14ac:dyDescent="0.25">
      <c r="B57" s="162">
        <f t="shared" si="6"/>
        <v>46104</v>
      </c>
      <c r="C57" s="163">
        <f>COUNTIFS(' CADASTRO'!$S:$S,'acab equip'!$C$3,' CADASTRO'!$R:$R,'acab equip'!B57)</f>
        <v>0</v>
      </c>
      <c r="D57" s="163">
        <f>COUNTIFS(' CADASTRO'!$S:$S,'acab equip'!$D$3,' CADASTRO'!$R:$R,'acab equip'!B57)</f>
        <v>0</v>
      </c>
      <c r="E57" s="163">
        <f>COUNTIFS(' CADASTRO'!$R$746:$R$893,'acab equip'!B57,' CADASTRO'!$S$746:$S$893,'acab equip'!$D$3)+COUNTIFS(' CADASTRO'!$R$746:$R$893,'acab equip'!B57,' CADASTRO'!$S$746:$S$893,'acab equip'!$C$3)</f>
        <v>0</v>
      </c>
      <c r="F57" s="162">
        <f t="shared" si="7"/>
        <v>46105</v>
      </c>
      <c r="G57" s="163">
        <f>COUNTIFS(' CADASTRO'!$S:$S,'acab equip'!$C$3,' CADASTRO'!$R:$R,'acab equip'!F57)</f>
        <v>0</v>
      </c>
      <c r="H57" s="163">
        <f>COUNTIFS(' CADASTRO'!$S:$S,'acab equip'!$D$3,' CADASTRO'!$R:$R,'acab equip'!F57)</f>
        <v>0</v>
      </c>
      <c r="I57" s="163">
        <f>COUNTIFS(' CADASTRO'!$R$746:$R$893,'acab equip'!F57,' CADASTRO'!$S$746:$S$893,'acab equip'!$H$3)+COUNTIFS(' CADASTRO'!$R$746:$R$893,'acab equip'!F57,' CADASTRO'!$S$746:$S$893,'acab equip'!$G$3)</f>
        <v>0</v>
      </c>
      <c r="J57" s="162">
        <f t="shared" si="8"/>
        <v>46106</v>
      </c>
      <c r="K57" s="163">
        <f>COUNTIFS(' CADASTRO'!$S:$S,'acab equip'!$C$3,' CADASTRO'!$R:$R,'acab equip'!J57)</f>
        <v>0</v>
      </c>
      <c r="L57" s="163">
        <f>COUNTIFS(' CADASTRO'!$S:$S,'acab equip'!$D$3,' CADASTRO'!$R:$R,'acab equip'!J57)</f>
        <v>0</v>
      </c>
      <c r="M57" s="163">
        <f>COUNTIFS(' CADASTRO'!$R$746:$R$893,'acab equip'!J57,' CADASTRO'!$S$746:$S$893,'acab equip'!$L$3)+COUNTIFS(' CADASTRO'!$R$746:$R$893,'acab equip'!J57,' CADASTRO'!$S$746:$S$893,'acab equip'!$K$3)</f>
        <v>0</v>
      </c>
      <c r="N57" s="162">
        <f t="shared" si="9"/>
        <v>46107</v>
      </c>
      <c r="O57" s="163">
        <f>COUNTIFS(' CADASTRO'!$S:$S,'acab equip'!$C$3,' CADASTRO'!$R:$R,'acab equip'!N57)</f>
        <v>0</v>
      </c>
      <c r="P57" s="163">
        <f>COUNTIFS(' CADASTRO'!$S:$S,'acab equip'!$D$3,' CADASTRO'!$R:$R,'acab equip'!N57)</f>
        <v>0</v>
      </c>
      <c r="Q57" s="163">
        <f>COUNTIFS(' CADASTRO'!$R$746:$R$893,'acab equip'!N57,' CADASTRO'!$S$746:$S$893,'acab equip'!$P$3)+COUNTIFS(' CADASTRO'!$R$746:$R$893,'acab equip'!N57,' CADASTRO'!$S$746:$S$893,'acab equip'!$O$3)</f>
        <v>0</v>
      </c>
      <c r="R57" s="162">
        <f t="shared" si="10"/>
        <v>46108</v>
      </c>
      <c r="S57" s="163">
        <f>COUNTIFS(' CADASTRO'!$S:$S,'acab equip'!$C$3,' CADASTRO'!$R:$R,'acab equip'!R57)</f>
        <v>0</v>
      </c>
      <c r="T57" s="163">
        <f>COUNTIFS(' CADASTRO'!$S:$S,'acab equip'!$D$3,' CADASTRO'!$R:$R,'acab equip'!R57)</f>
        <v>0</v>
      </c>
      <c r="U57" s="163">
        <f>COUNTIFS(' CADASTRO'!$R$746:$R$893,'acab equip'!R57,' CADASTRO'!$S$746:$S$893,'acab equip'!$T$3)+COUNTIFS(' CADASTRO'!$R$746:$R$893,'acab equip'!R57,' CADASTRO'!$S$746:$S$893,'acab equip'!$S$3)</f>
        <v>0</v>
      </c>
      <c r="V57" s="162">
        <f t="shared" si="11"/>
        <v>46109</v>
      </c>
      <c r="W57" s="163">
        <f>COUNTIFS(' CADASTRO'!$S:$S,'acab equip'!$C$3,' CADASTRO'!$R:$R,'acab equip'!V57)</f>
        <v>0</v>
      </c>
      <c r="X57" s="163">
        <f>COUNTIFS(' CADASTRO'!$S:$S,'acab equip'!$D$3,' CADASTRO'!$R:$R,'acab equip'!V57)</f>
        <v>0</v>
      </c>
      <c r="Y57" s="163">
        <f>COUNTIFS(' CADASTRO'!$R$746:$R$893,'acab equip'!V57,' CADASTRO'!$S$746:$S$893,'acab equip'!$X$3)+COUNTIFS(' CADASTRO'!$R$746:$R$893,'acab equip'!V57,' CADASTRO'!$S$746:$S$893,'acab equip'!$W$3)</f>
        <v>0</v>
      </c>
      <c r="Z57" s="162">
        <f t="shared" si="12"/>
        <v>46110</v>
      </c>
      <c r="AB57" s="165">
        <f t="shared" si="0"/>
        <v>0</v>
      </c>
      <c r="AC57" s="165">
        <f t="shared" si="3"/>
        <v>0</v>
      </c>
      <c r="AD57" s="165">
        <f t="shared" si="4"/>
        <v>0</v>
      </c>
      <c r="AE57" s="177">
        <f t="shared" si="5"/>
        <v>0</v>
      </c>
    </row>
    <row r="58" spans="2:31" x14ac:dyDescent="0.25">
      <c r="B58" s="162">
        <f t="shared" si="6"/>
        <v>46111</v>
      </c>
      <c r="C58" s="163">
        <f>COUNTIFS(' CADASTRO'!$S:$S,'acab equip'!$C$3,' CADASTRO'!$R:$R,'acab equip'!B58)</f>
        <v>0</v>
      </c>
      <c r="D58" s="163">
        <f>COUNTIFS(' CADASTRO'!$S:$S,'acab equip'!$D$3,' CADASTRO'!$R:$R,'acab equip'!B58)</f>
        <v>0</v>
      </c>
      <c r="E58" s="163">
        <f>COUNTIFS(' CADASTRO'!$R$746:$R$893,'acab equip'!B58,' CADASTRO'!$S$746:$S$893,'acab equip'!$D$3)+COUNTIFS(' CADASTRO'!$R$746:$R$893,'acab equip'!B58,' CADASTRO'!$S$746:$S$893,'acab equip'!$C$3)</f>
        <v>0</v>
      </c>
      <c r="F58" s="162">
        <f t="shared" si="7"/>
        <v>46112</v>
      </c>
      <c r="G58" s="163">
        <f>COUNTIFS(' CADASTRO'!$S:$S,'acab equip'!$C$3,' CADASTRO'!$R:$R,'acab equip'!F58)</f>
        <v>0</v>
      </c>
      <c r="H58" s="163">
        <f>COUNTIFS(' CADASTRO'!$S:$S,'acab equip'!$D$3,' CADASTRO'!$R:$R,'acab equip'!F58)</f>
        <v>0</v>
      </c>
      <c r="I58" s="163">
        <f>COUNTIFS(' CADASTRO'!$R$746:$R$893,'acab equip'!F58,' CADASTRO'!$S$746:$S$893,'acab equip'!$H$3)+COUNTIFS(' CADASTRO'!$R$746:$R$893,'acab equip'!F58,' CADASTRO'!$S$746:$S$893,'acab equip'!$G$3)</f>
        <v>0</v>
      </c>
      <c r="J58" s="162">
        <f t="shared" si="8"/>
        <v>46113</v>
      </c>
      <c r="K58" s="163">
        <f>COUNTIFS(' CADASTRO'!$S:$S,'acab equip'!$C$3,' CADASTRO'!$R:$R,'acab equip'!J58)</f>
        <v>0</v>
      </c>
      <c r="L58" s="163">
        <f>COUNTIFS(' CADASTRO'!$S:$S,'acab equip'!$D$3,' CADASTRO'!$R:$R,'acab equip'!J58)</f>
        <v>0</v>
      </c>
      <c r="M58" s="163">
        <f>COUNTIFS(' CADASTRO'!$R$746:$R$893,'acab equip'!J58,' CADASTRO'!$S$746:$S$893,'acab equip'!$L$3)+COUNTIFS(' CADASTRO'!$R$746:$R$893,'acab equip'!J58,' CADASTRO'!$S$746:$S$893,'acab equip'!$K$3)</f>
        <v>0</v>
      </c>
      <c r="N58" s="162">
        <f t="shared" si="9"/>
        <v>46114</v>
      </c>
      <c r="O58" s="163">
        <f>COUNTIFS(' CADASTRO'!$S:$S,'acab equip'!$C$3,' CADASTRO'!$R:$R,'acab equip'!N58)</f>
        <v>0</v>
      </c>
      <c r="P58" s="163">
        <f>COUNTIFS(' CADASTRO'!$S:$S,'acab equip'!$D$3,' CADASTRO'!$R:$R,'acab equip'!N58)</f>
        <v>0</v>
      </c>
      <c r="Q58" s="163">
        <f>COUNTIFS(' CADASTRO'!$R$746:$R$893,'acab equip'!N58,' CADASTRO'!$S$746:$S$893,'acab equip'!$P$3)+COUNTIFS(' CADASTRO'!$R$746:$R$893,'acab equip'!N58,' CADASTRO'!$S$746:$S$893,'acab equip'!$O$3)</f>
        <v>0</v>
      </c>
      <c r="R58" s="162">
        <f t="shared" si="10"/>
        <v>46115</v>
      </c>
      <c r="S58" s="163">
        <f>COUNTIFS(' CADASTRO'!$S:$S,'acab equip'!$C$3,' CADASTRO'!$R:$R,'acab equip'!R58)</f>
        <v>0</v>
      </c>
      <c r="T58" s="163">
        <f>COUNTIFS(' CADASTRO'!$S:$S,'acab equip'!$D$3,' CADASTRO'!$R:$R,'acab equip'!R58)</f>
        <v>0</v>
      </c>
      <c r="U58" s="163">
        <f>COUNTIFS(' CADASTRO'!$R$746:$R$893,'acab equip'!R58,' CADASTRO'!$S$746:$S$893,'acab equip'!$T$3)+COUNTIFS(' CADASTRO'!$R$746:$R$893,'acab equip'!R58,' CADASTRO'!$S$746:$S$893,'acab equip'!$S$3)</f>
        <v>0</v>
      </c>
      <c r="V58" s="162">
        <f t="shared" si="11"/>
        <v>46116</v>
      </c>
      <c r="W58" s="163">
        <f>COUNTIFS(' CADASTRO'!$S:$S,'acab equip'!$C$3,' CADASTRO'!$R:$R,'acab equip'!V58)</f>
        <v>0</v>
      </c>
      <c r="X58" s="163">
        <f>COUNTIFS(' CADASTRO'!$S:$S,'acab equip'!$D$3,' CADASTRO'!$R:$R,'acab equip'!V58)</f>
        <v>0</v>
      </c>
      <c r="Y58" s="163">
        <f>COUNTIFS(' CADASTRO'!$R$746:$R$893,'acab equip'!V58,' CADASTRO'!$S$746:$S$893,'acab equip'!$X$3)+COUNTIFS(' CADASTRO'!$R$746:$R$893,'acab equip'!V58,' CADASTRO'!$S$746:$S$893,'acab equip'!$W$3)</f>
        <v>0</v>
      </c>
      <c r="Z58" s="162">
        <f t="shared" si="12"/>
        <v>46117</v>
      </c>
      <c r="AB58" s="165">
        <f t="shared" si="0"/>
        <v>0</v>
      </c>
      <c r="AC58" s="165">
        <f t="shared" si="3"/>
        <v>0</v>
      </c>
      <c r="AD58" s="165">
        <f t="shared" si="4"/>
        <v>0</v>
      </c>
      <c r="AE58" s="177">
        <f t="shared" si="5"/>
        <v>0</v>
      </c>
    </row>
    <row r="59" spans="2:31" x14ac:dyDescent="0.25">
      <c r="B59" s="162">
        <f t="shared" si="6"/>
        <v>46118</v>
      </c>
      <c r="C59" s="163">
        <f>COUNTIFS(' CADASTRO'!$S:$S,'acab equip'!$C$3,' CADASTRO'!$R:$R,'acab equip'!B59)</f>
        <v>0</v>
      </c>
      <c r="D59" s="163">
        <f>COUNTIFS(' CADASTRO'!$S:$S,'acab equip'!$D$3,' CADASTRO'!$R:$R,'acab equip'!B59)</f>
        <v>0</v>
      </c>
      <c r="E59" s="163">
        <f>COUNTIFS(' CADASTRO'!$R$746:$R$893,'acab equip'!B59,' CADASTRO'!$S$746:$S$893,'acab equip'!$D$3)+COUNTIFS(' CADASTRO'!$R$746:$R$893,'acab equip'!B59,' CADASTRO'!$S$746:$S$893,'acab equip'!$C$3)</f>
        <v>0</v>
      </c>
      <c r="F59" s="162">
        <f t="shared" si="7"/>
        <v>46119</v>
      </c>
      <c r="G59" s="163">
        <f>COUNTIFS(' CADASTRO'!$S:$S,'acab equip'!$C$3,' CADASTRO'!$R:$R,'acab equip'!F59)</f>
        <v>0</v>
      </c>
      <c r="H59" s="163">
        <f>COUNTIFS(' CADASTRO'!$S:$S,'acab equip'!$D$3,' CADASTRO'!$R:$R,'acab equip'!F59)</f>
        <v>0</v>
      </c>
      <c r="I59" s="163">
        <f>COUNTIFS(' CADASTRO'!$R$746:$R$893,'acab equip'!F59,' CADASTRO'!$S$746:$S$893,'acab equip'!$H$3)+COUNTIFS(' CADASTRO'!$R$746:$R$893,'acab equip'!F59,' CADASTRO'!$S$746:$S$893,'acab equip'!$G$3)</f>
        <v>0</v>
      </c>
      <c r="J59" s="162">
        <f t="shared" si="8"/>
        <v>46120</v>
      </c>
      <c r="K59" s="163">
        <f>COUNTIFS(' CADASTRO'!$S:$S,'acab equip'!$C$3,' CADASTRO'!$R:$R,'acab equip'!J59)</f>
        <v>0</v>
      </c>
      <c r="L59" s="163">
        <f>COUNTIFS(' CADASTRO'!$S:$S,'acab equip'!$D$3,' CADASTRO'!$R:$R,'acab equip'!J59)</f>
        <v>0</v>
      </c>
      <c r="M59" s="163">
        <f>COUNTIFS(' CADASTRO'!$R$746:$R$893,'acab equip'!J59,' CADASTRO'!$S$746:$S$893,'acab equip'!$L$3)+COUNTIFS(' CADASTRO'!$R$746:$R$893,'acab equip'!J59,' CADASTRO'!$S$746:$S$893,'acab equip'!$K$3)</f>
        <v>0</v>
      </c>
      <c r="N59" s="162">
        <f t="shared" si="9"/>
        <v>46121</v>
      </c>
      <c r="O59" s="163">
        <f>COUNTIFS(' CADASTRO'!$S:$S,'acab equip'!$C$3,' CADASTRO'!$R:$R,'acab equip'!N59)</f>
        <v>0</v>
      </c>
      <c r="P59" s="163">
        <f>COUNTIFS(' CADASTRO'!$S:$S,'acab equip'!$D$3,' CADASTRO'!$R:$R,'acab equip'!N59)</f>
        <v>0</v>
      </c>
      <c r="Q59" s="163">
        <f>COUNTIFS(' CADASTRO'!$R$746:$R$893,'acab equip'!N59,' CADASTRO'!$S$746:$S$893,'acab equip'!$P$3)+COUNTIFS(' CADASTRO'!$R$746:$R$893,'acab equip'!N59,' CADASTRO'!$S$746:$S$893,'acab equip'!$O$3)</f>
        <v>0</v>
      </c>
      <c r="R59" s="162">
        <f t="shared" si="10"/>
        <v>46122</v>
      </c>
      <c r="S59" s="163">
        <f>COUNTIFS(' CADASTRO'!$S:$S,'acab equip'!$C$3,' CADASTRO'!$R:$R,'acab equip'!R59)</f>
        <v>0</v>
      </c>
      <c r="T59" s="163">
        <f>COUNTIFS(' CADASTRO'!$S:$S,'acab equip'!$D$3,' CADASTRO'!$R:$R,'acab equip'!R59)</f>
        <v>0</v>
      </c>
      <c r="U59" s="163">
        <f>COUNTIFS(' CADASTRO'!$R$746:$R$893,'acab equip'!R59,' CADASTRO'!$S$746:$S$893,'acab equip'!$T$3)+COUNTIFS(' CADASTRO'!$R$746:$R$893,'acab equip'!R59,' CADASTRO'!$S$746:$S$893,'acab equip'!$S$3)</f>
        <v>0</v>
      </c>
      <c r="V59" s="162">
        <f t="shared" si="11"/>
        <v>46123</v>
      </c>
      <c r="W59" s="163">
        <f>COUNTIFS(' CADASTRO'!$S:$S,'acab equip'!$C$3,' CADASTRO'!$R:$R,'acab equip'!V59)</f>
        <v>0</v>
      </c>
      <c r="X59" s="163">
        <f>COUNTIFS(' CADASTRO'!$S:$S,'acab equip'!$D$3,' CADASTRO'!$R:$R,'acab equip'!V59)</f>
        <v>0</v>
      </c>
      <c r="Y59" s="163">
        <f>COUNTIFS(' CADASTRO'!$R$746:$R$893,'acab equip'!V59,' CADASTRO'!$S$746:$S$893,'acab equip'!$X$3)+COUNTIFS(' CADASTRO'!$R$746:$R$893,'acab equip'!V59,' CADASTRO'!$S$746:$S$893,'acab equip'!$W$3)</f>
        <v>0</v>
      </c>
      <c r="Z59" s="162">
        <f t="shared" si="12"/>
        <v>46124</v>
      </c>
      <c r="AB59" s="165">
        <f t="shared" si="0"/>
        <v>0</v>
      </c>
      <c r="AC59" s="165">
        <f t="shared" si="3"/>
        <v>0</v>
      </c>
      <c r="AD59" s="165">
        <f t="shared" si="4"/>
        <v>0</v>
      </c>
      <c r="AE59" s="177">
        <f t="shared" si="5"/>
        <v>0</v>
      </c>
    </row>
    <row r="60" spans="2:31" x14ac:dyDescent="0.25">
      <c r="B60" s="162">
        <f t="shared" si="6"/>
        <v>46125</v>
      </c>
      <c r="C60" s="163">
        <f>COUNTIFS(' CADASTRO'!$S:$S,'acab equip'!$C$3,' CADASTRO'!$R:$R,'acab equip'!B60)</f>
        <v>0</v>
      </c>
      <c r="D60" s="163">
        <f>COUNTIFS(' CADASTRO'!$S:$S,'acab equip'!$D$3,' CADASTRO'!$R:$R,'acab equip'!B60)</f>
        <v>0</v>
      </c>
      <c r="E60" s="163">
        <f>COUNTIFS(' CADASTRO'!$R$746:$R$893,'acab equip'!B60,' CADASTRO'!$S$746:$S$893,'acab equip'!$D$3)+COUNTIFS(' CADASTRO'!$R$746:$R$893,'acab equip'!B60,' CADASTRO'!$S$746:$S$893,'acab equip'!$C$3)</f>
        <v>0</v>
      </c>
      <c r="F60" s="162">
        <f t="shared" si="7"/>
        <v>46126</v>
      </c>
      <c r="G60" s="163">
        <f>COUNTIFS(' CADASTRO'!$S:$S,'acab equip'!$C$3,' CADASTRO'!$R:$R,'acab equip'!F60)</f>
        <v>0</v>
      </c>
      <c r="H60" s="163">
        <f>COUNTIFS(' CADASTRO'!$S:$S,'acab equip'!$D$3,' CADASTRO'!$R:$R,'acab equip'!F60)</f>
        <v>0</v>
      </c>
      <c r="I60" s="163">
        <f>COUNTIFS(' CADASTRO'!$R$746:$R$893,'acab equip'!F60,' CADASTRO'!$S$746:$S$893,'acab equip'!$H$3)+COUNTIFS(' CADASTRO'!$R$746:$R$893,'acab equip'!F60,' CADASTRO'!$S$746:$S$893,'acab equip'!$G$3)</f>
        <v>0</v>
      </c>
      <c r="J60" s="162">
        <f t="shared" si="8"/>
        <v>46127</v>
      </c>
      <c r="K60" s="163">
        <f>COUNTIFS(' CADASTRO'!$S:$S,'acab equip'!$C$3,' CADASTRO'!$R:$R,'acab equip'!J60)</f>
        <v>0</v>
      </c>
      <c r="L60" s="163">
        <f>COUNTIFS(' CADASTRO'!$S:$S,'acab equip'!$D$3,' CADASTRO'!$R:$R,'acab equip'!J60)</f>
        <v>0</v>
      </c>
      <c r="M60" s="163">
        <f>COUNTIFS(' CADASTRO'!$R$746:$R$893,'acab equip'!J60,' CADASTRO'!$S$746:$S$893,'acab equip'!$L$3)+COUNTIFS(' CADASTRO'!$R$746:$R$893,'acab equip'!J60,' CADASTRO'!$S$746:$S$893,'acab equip'!$K$3)</f>
        <v>0</v>
      </c>
      <c r="N60" s="162">
        <f t="shared" si="9"/>
        <v>46128</v>
      </c>
      <c r="O60" s="163">
        <f>COUNTIFS(' CADASTRO'!$S:$S,'acab equip'!$C$3,' CADASTRO'!$R:$R,'acab equip'!N60)</f>
        <v>0</v>
      </c>
      <c r="P60" s="163">
        <f>COUNTIFS(' CADASTRO'!$S:$S,'acab equip'!$D$3,' CADASTRO'!$R:$R,'acab equip'!N60)</f>
        <v>0</v>
      </c>
      <c r="Q60" s="163">
        <f>COUNTIFS(' CADASTRO'!$R$746:$R$893,'acab equip'!N60,' CADASTRO'!$S$746:$S$893,'acab equip'!$P$3)+COUNTIFS(' CADASTRO'!$R$746:$R$893,'acab equip'!N60,' CADASTRO'!$S$746:$S$893,'acab equip'!$O$3)</f>
        <v>0</v>
      </c>
      <c r="R60" s="162">
        <f t="shared" si="10"/>
        <v>46129</v>
      </c>
      <c r="S60" s="163">
        <f>COUNTIFS(' CADASTRO'!$S:$S,'acab equip'!$C$3,' CADASTRO'!$R:$R,'acab equip'!R60)</f>
        <v>0</v>
      </c>
      <c r="T60" s="163">
        <f>COUNTIFS(' CADASTRO'!$S:$S,'acab equip'!$D$3,' CADASTRO'!$R:$R,'acab equip'!R60)</f>
        <v>0</v>
      </c>
      <c r="U60" s="163">
        <f>COUNTIFS(' CADASTRO'!$R$746:$R$893,'acab equip'!R60,' CADASTRO'!$S$746:$S$893,'acab equip'!$T$3)+COUNTIFS(' CADASTRO'!$R$746:$R$893,'acab equip'!R60,' CADASTRO'!$S$746:$S$893,'acab equip'!$S$3)</f>
        <v>0</v>
      </c>
      <c r="V60" s="162">
        <f t="shared" si="11"/>
        <v>46130</v>
      </c>
      <c r="W60" s="163">
        <f>COUNTIFS(' CADASTRO'!$S:$S,'acab equip'!$C$3,' CADASTRO'!$R:$R,'acab equip'!V60)</f>
        <v>0</v>
      </c>
      <c r="X60" s="163">
        <f>COUNTIFS(' CADASTRO'!$S:$S,'acab equip'!$D$3,' CADASTRO'!$R:$R,'acab equip'!V60)</f>
        <v>0</v>
      </c>
      <c r="Y60" s="163">
        <f>COUNTIFS(' CADASTRO'!$R$746:$R$893,'acab equip'!V60,' CADASTRO'!$S$746:$S$893,'acab equip'!$X$3)+COUNTIFS(' CADASTRO'!$R$746:$R$893,'acab equip'!V60,' CADASTRO'!$S$746:$S$893,'acab equip'!$W$3)</f>
        <v>0</v>
      </c>
      <c r="Z60" s="162">
        <f t="shared" si="12"/>
        <v>46131</v>
      </c>
      <c r="AB60" s="165">
        <f t="shared" si="0"/>
        <v>0</v>
      </c>
      <c r="AC60" s="165">
        <f t="shared" si="3"/>
        <v>0</v>
      </c>
      <c r="AD60" s="165">
        <f t="shared" si="4"/>
        <v>0</v>
      </c>
      <c r="AE60" s="177">
        <f t="shared" si="5"/>
        <v>0</v>
      </c>
    </row>
    <row r="61" spans="2:31" x14ac:dyDescent="0.25">
      <c r="B61" s="162">
        <f t="shared" si="6"/>
        <v>46132</v>
      </c>
      <c r="C61" s="163">
        <f>COUNTIFS(' CADASTRO'!$S:$S,'acab equip'!$C$3,' CADASTRO'!$R:$R,'acab equip'!B61)</f>
        <v>0</v>
      </c>
      <c r="D61" s="163">
        <f>COUNTIFS(' CADASTRO'!$S:$S,'acab equip'!$D$3,' CADASTRO'!$R:$R,'acab equip'!B61)</f>
        <v>0</v>
      </c>
      <c r="E61" s="163">
        <f>COUNTIFS(' CADASTRO'!$R$746:$R$893,'acab equip'!B61,' CADASTRO'!$S$746:$S$893,'acab equip'!$D$3)+COUNTIFS(' CADASTRO'!$R$746:$R$893,'acab equip'!B61,' CADASTRO'!$S$746:$S$893,'acab equip'!$C$3)</f>
        <v>0</v>
      </c>
      <c r="F61" s="162">
        <f t="shared" si="7"/>
        <v>46133</v>
      </c>
      <c r="G61" s="163">
        <f>COUNTIFS(' CADASTRO'!$S:$S,'acab equip'!$C$3,' CADASTRO'!$R:$R,'acab equip'!F61)</f>
        <v>0</v>
      </c>
      <c r="H61" s="163">
        <f>COUNTIFS(' CADASTRO'!$S:$S,'acab equip'!$D$3,' CADASTRO'!$R:$R,'acab equip'!F61)</f>
        <v>0</v>
      </c>
      <c r="I61" s="163">
        <f>COUNTIFS(' CADASTRO'!$R$746:$R$893,'acab equip'!F61,' CADASTRO'!$S$746:$S$893,'acab equip'!$H$3)+COUNTIFS(' CADASTRO'!$R$746:$R$893,'acab equip'!F61,' CADASTRO'!$S$746:$S$893,'acab equip'!$G$3)</f>
        <v>0</v>
      </c>
      <c r="J61" s="162">
        <f t="shared" si="8"/>
        <v>46134</v>
      </c>
      <c r="K61" s="163">
        <f>COUNTIFS(' CADASTRO'!$S:$S,'acab equip'!$C$3,' CADASTRO'!$R:$R,'acab equip'!J61)</f>
        <v>0</v>
      </c>
      <c r="L61" s="163">
        <f>COUNTIFS(' CADASTRO'!$S:$S,'acab equip'!$D$3,' CADASTRO'!$R:$R,'acab equip'!J61)</f>
        <v>0</v>
      </c>
      <c r="M61" s="163">
        <f>COUNTIFS(' CADASTRO'!$R$746:$R$893,'acab equip'!J61,' CADASTRO'!$S$746:$S$893,'acab equip'!$L$3)+COUNTIFS(' CADASTRO'!$R$746:$R$893,'acab equip'!J61,' CADASTRO'!$S$746:$S$893,'acab equip'!$K$3)</f>
        <v>0</v>
      </c>
      <c r="N61" s="162">
        <f t="shared" si="9"/>
        <v>46135</v>
      </c>
      <c r="O61" s="163">
        <f>COUNTIFS(' CADASTRO'!$S:$S,'acab equip'!$C$3,' CADASTRO'!$R:$R,'acab equip'!N61)</f>
        <v>0</v>
      </c>
      <c r="P61" s="163">
        <f>COUNTIFS(' CADASTRO'!$S:$S,'acab equip'!$D$3,' CADASTRO'!$R:$R,'acab equip'!N61)</f>
        <v>0</v>
      </c>
      <c r="Q61" s="163">
        <f>COUNTIFS(' CADASTRO'!$R$746:$R$893,'acab equip'!N61,' CADASTRO'!$S$746:$S$893,'acab equip'!$P$3)+COUNTIFS(' CADASTRO'!$R$746:$R$893,'acab equip'!N61,' CADASTRO'!$S$746:$S$893,'acab equip'!$O$3)</f>
        <v>0</v>
      </c>
      <c r="R61" s="162">
        <f t="shared" si="10"/>
        <v>46136</v>
      </c>
      <c r="S61" s="163">
        <f>COUNTIFS(' CADASTRO'!$S:$S,'acab equip'!$C$3,' CADASTRO'!$R:$R,'acab equip'!R61)</f>
        <v>0</v>
      </c>
      <c r="T61" s="163">
        <f>COUNTIFS(' CADASTRO'!$S:$S,'acab equip'!$D$3,' CADASTRO'!$R:$R,'acab equip'!R61)</f>
        <v>0</v>
      </c>
      <c r="U61" s="163">
        <f>COUNTIFS(' CADASTRO'!$R$746:$R$893,'acab equip'!R61,' CADASTRO'!$S$746:$S$893,'acab equip'!$T$3)+COUNTIFS(' CADASTRO'!$R$746:$R$893,'acab equip'!R61,' CADASTRO'!$S$746:$S$893,'acab equip'!$S$3)</f>
        <v>0</v>
      </c>
      <c r="V61" s="162">
        <f t="shared" si="11"/>
        <v>46137</v>
      </c>
      <c r="W61" s="163">
        <f>COUNTIFS(' CADASTRO'!$S:$S,'acab equip'!$C$3,' CADASTRO'!$R:$R,'acab equip'!V61)</f>
        <v>0</v>
      </c>
      <c r="X61" s="163">
        <f>COUNTIFS(' CADASTRO'!$S:$S,'acab equip'!$D$3,' CADASTRO'!$R:$R,'acab equip'!V61)</f>
        <v>0</v>
      </c>
      <c r="Y61" s="163">
        <f>COUNTIFS(' CADASTRO'!$R$746:$R$893,'acab equip'!V61,' CADASTRO'!$S$746:$S$893,'acab equip'!$X$3)+COUNTIFS(' CADASTRO'!$R$746:$R$893,'acab equip'!V61,' CADASTRO'!$S$746:$S$893,'acab equip'!$W$3)</f>
        <v>0</v>
      </c>
      <c r="Z61" s="162">
        <f t="shared" si="12"/>
        <v>46138</v>
      </c>
      <c r="AB61" s="165">
        <f t="shared" si="0"/>
        <v>0</v>
      </c>
      <c r="AC61" s="165">
        <f t="shared" si="3"/>
        <v>0</v>
      </c>
      <c r="AD61" s="165">
        <f t="shared" si="4"/>
        <v>0</v>
      </c>
      <c r="AE61" s="177">
        <f t="shared" si="5"/>
        <v>0</v>
      </c>
    </row>
    <row r="62" spans="2:31" x14ac:dyDescent="0.25">
      <c r="B62" s="162">
        <f t="shared" si="6"/>
        <v>46139</v>
      </c>
      <c r="C62" s="163">
        <f>COUNTIFS(' CADASTRO'!$S:$S,'acab equip'!$C$3,' CADASTRO'!$R:$R,'acab equip'!B62)</f>
        <v>0</v>
      </c>
      <c r="D62" s="163">
        <f>COUNTIFS(' CADASTRO'!$S:$S,'acab equip'!$D$3,' CADASTRO'!$R:$R,'acab equip'!B62)</f>
        <v>0</v>
      </c>
      <c r="E62" s="163">
        <f>COUNTIFS(' CADASTRO'!$R$746:$R$893,'acab equip'!B62,' CADASTRO'!$S$746:$S$893,'acab equip'!$D$3)+COUNTIFS(' CADASTRO'!$R$746:$R$893,'acab equip'!B62,' CADASTRO'!$S$746:$S$893,'acab equip'!$C$3)</f>
        <v>0</v>
      </c>
      <c r="F62" s="162">
        <f t="shared" si="7"/>
        <v>46140</v>
      </c>
      <c r="G62" s="163">
        <f>COUNTIFS(' CADASTRO'!$S:$S,'acab equip'!$C$3,' CADASTRO'!$R:$R,'acab equip'!F62)</f>
        <v>0</v>
      </c>
      <c r="H62" s="163">
        <f>COUNTIFS(' CADASTRO'!$S:$S,'acab equip'!$D$3,' CADASTRO'!$R:$R,'acab equip'!F62)</f>
        <v>0</v>
      </c>
      <c r="I62" s="163">
        <f>COUNTIFS(' CADASTRO'!$R$746:$R$893,'acab equip'!F62,' CADASTRO'!$S$746:$S$893,'acab equip'!$H$3)+COUNTIFS(' CADASTRO'!$R$746:$R$893,'acab equip'!F62,' CADASTRO'!$S$746:$S$893,'acab equip'!$G$3)</f>
        <v>0</v>
      </c>
      <c r="J62" s="162">
        <f t="shared" si="8"/>
        <v>46141</v>
      </c>
      <c r="K62" s="163">
        <f>COUNTIFS(' CADASTRO'!$S:$S,'acab equip'!$C$3,' CADASTRO'!$R:$R,'acab equip'!J62)</f>
        <v>0</v>
      </c>
      <c r="L62" s="163">
        <f>COUNTIFS(' CADASTRO'!$S:$S,'acab equip'!$D$3,' CADASTRO'!$R:$R,'acab equip'!J62)</f>
        <v>0</v>
      </c>
      <c r="M62" s="163">
        <f>COUNTIFS(' CADASTRO'!$R$746:$R$893,'acab equip'!J62,' CADASTRO'!$S$746:$S$893,'acab equip'!$L$3)+COUNTIFS(' CADASTRO'!$R$746:$R$893,'acab equip'!J62,' CADASTRO'!$S$746:$S$893,'acab equip'!$K$3)</f>
        <v>0</v>
      </c>
      <c r="N62" s="162">
        <f t="shared" si="9"/>
        <v>46142</v>
      </c>
      <c r="O62" s="163">
        <f>COUNTIFS(' CADASTRO'!$S:$S,'acab equip'!$C$3,' CADASTRO'!$R:$R,'acab equip'!N62)</f>
        <v>0</v>
      </c>
      <c r="P62" s="163">
        <f>COUNTIFS(' CADASTRO'!$S:$S,'acab equip'!$D$3,' CADASTRO'!$R:$R,'acab equip'!N62)</f>
        <v>0</v>
      </c>
      <c r="Q62" s="163">
        <f>COUNTIFS(' CADASTRO'!$R$746:$R$893,'acab equip'!N62,' CADASTRO'!$S$746:$S$893,'acab equip'!$P$3)+COUNTIFS(' CADASTRO'!$R$746:$R$893,'acab equip'!N62,' CADASTRO'!$S$746:$S$893,'acab equip'!$O$3)</f>
        <v>0</v>
      </c>
      <c r="R62" s="162">
        <f t="shared" si="10"/>
        <v>46143</v>
      </c>
      <c r="S62" s="163">
        <f>COUNTIFS(' CADASTRO'!$S:$S,'acab equip'!$C$3,' CADASTRO'!$R:$R,'acab equip'!R62)</f>
        <v>0</v>
      </c>
      <c r="T62" s="163">
        <f>COUNTIFS(' CADASTRO'!$S:$S,'acab equip'!$D$3,' CADASTRO'!$R:$R,'acab equip'!R62)</f>
        <v>0</v>
      </c>
      <c r="U62" s="163">
        <f>COUNTIFS(' CADASTRO'!$R$746:$R$893,'acab equip'!R62,' CADASTRO'!$S$746:$S$893,'acab equip'!$T$3)+COUNTIFS(' CADASTRO'!$R$746:$R$893,'acab equip'!R62,' CADASTRO'!$S$746:$S$893,'acab equip'!$S$3)</f>
        <v>0</v>
      </c>
      <c r="V62" s="162">
        <f t="shared" si="11"/>
        <v>46144</v>
      </c>
      <c r="W62" s="163">
        <f>COUNTIFS(' CADASTRO'!$S:$S,'acab equip'!$C$3,' CADASTRO'!$R:$R,'acab equip'!V62)</f>
        <v>0</v>
      </c>
      <c r="X62" s="163">
        <f>COUNTIFS(' CADASTRO'!$S:$S,'acab equip'!$D$3,' CADASTRO'!$R:$R,'acab equip'!V62)</f>
        <v>0</v>
      </c>
      <c r="Y62" s="163">
        <f>COUNTIFS(' CADASTRO'!$R$746:$R$893,'acab equip'!V62,' CADASTRO'!$S$746:$S$893,'acab equip'!$X$3)+COUNTIFS(' CADASTRO'!$R$746:$R$893,'acab equip'!V62,' CADASTRO'!$S$746:$S$893,'acab equip'!$W$3)</f>
        <v>0</v>
      </c>
      <c r="Z62" s="162">
        <f t="shared" si="12"/>
        <v>46145</v>
      </c>
      <c r="AB62" s="165">
        <f t="shared" si="0"/>
        <v>0</v>
      </c>
      <c r="AC62" s="165">
        <f t="shared" si="3"/>
        <v>0</v>
      </c>
      <c r="AD62" s="165">
        <f t="shared" si="4"/>
        <v>0</v>
      </c>
      <c r="AE62" s="177">
        <f t="shared" si="5"/>
        <v>0</v>
      </c>
    </row>
    <row r="63" spans="2:31" x14ac:dyDescent="0.25">
      <c r="B63" s="162">
        <f t="shared" si="6"/>
        <v>46146</v>
      </c>
      <c r="C63" s="163">
        <f>COUNTIFS(' CADASTRO'!$S:$S,'acab equip'!$C$3,' CADASTRO'!$R:$R,'acab equip'!B63)</f>
        <v>0</v>
      </c>
      <c r="D63" s="163">
        <f>COUNTIFS(' CADASTRO'!$S:$S,'acab equip'!$D$3,' CADASTRO'!$R:$R,'acab equip'!B63)</f>
        <v>0</v>
      </c>
      <c r="E63" s="163">
        <f>COUNTIFS(' CADASTRO'!$R$746:$R$893,'acab equip'!B63,' CADASTRO'!$S$746:$S$893,'acab equip'!$D$3)+COUNTIFS(' CADASTRO'!$R$746:$R$893,'acab equip'!B63,' CADASTRO'!$S$746:$S$893,'acab equip'!$C$3)</f>
        <v>0</v>
      </c>
      <c r="F63" s="162">
        <f t="shared" si="7"/>
        <v>46147</v>
      </c>
      <c r="G63" s="163">
        <f>COUNTIFS(' CADASTRO'!$S:$S,'acab equip'!$C$3,' CADASTRO'!$R:$R,'acab equip'!F63)</f>
        <v>0</v>
      </c>
      <c r="H63" s="163">
        <f>COUNTIFS(' CADASTRO'!$S:$S,'acab equip'!$D$3,' CADASTRO'!$R:$R,'acab equip'!F63)</f>
        <v>0</v>
      </c>
      <c r="I63" s="163">
        <f>COUNTIFS(' CADASTRO'!$R$746:$R$893,'acab equip'!F63,' CADASTRO'!$S$746:$S$893,'acab equip'!$H$3)+COUNTIFS(' CADASTRO'!$R$746:$R$893,'acab equip'!F63,' CADASTRO'!$S$746:$S$893,'acab equip'!$G$3)</f>
        <v>0</v>
      </c>
      <c r="J63" s="162">
        <f t="shared" si="8"/>
        <v>46148</v>
      </c>
      <c r="K63" s="163">
        <f>COUNTIFS(' CADASTRO'!$S:$S,'acab equip'!$C$3,' CADASTRO'!$R:$R,'acab equip'!J63)</f>
        <v>0</v>
      </c>
      <c r="L63" s="163">
        <f>COUNTIFS(' CADASTRO'!$S:$S,'acab equip'!$D$3,' CADASTRO'!$R:$R,'acab equip'!J63)</f>
        <v>0</v>
      </c>
      <c r="M63" s="163">
        <f>COUNTIFS(' CADASTRO'!$R$746:$R$893,'acab equip'!J63,' CADASTRO'!$S$746:$S$893,'acab equip'!$L$3)+COUNTIFS(' CADASTRO'!$R$746:$R$893,'acab equip'!J63,' CADASTRO'!$S$746:$S$893,'acab equip'!$K$3)</f>
        <v>0</v>
      </c>
      <c r="N63" s="162">
        <f t="shared" si="9"/>
        <v>46149</v>
      </c>
      <c r="O63" s="163">
        <f>COUNTIFS(' CADASTRO'!$S:$S,'acab equip'!$C$3,' CADASTRO'!$R:$R,'acab equip'!N63)</f>
        <v>0</v>
      </c>
      <c r="P63" s="163">
        <f>COUNTIFS(' CADASTRO'!$S:$S,'acab equip'!$D$3,' CADASTRO'!$R:$R,'acab equip'!N63)</f>
        <v>0</v>
      </c>
      <c r="Q63" s="163">
        <f>COUNTIFS(' CADASTRO'!$R$746:$R$893,'acab equip'!N63,' CADASTRO'!$S$746:$S$893,'acab equip'!$P$3)+COUNTIFS(' CADASTRO'!$R$746:$R$893,'acab equip'!N63,' CADASTRO'!$S$746:$S$893,'acab equip'!$O$3)</f>
        <v>0</v>
      </c>
      <c r="R63" s="162">
        <f t="shared" si="10"/>
        <v>46150</v>
      </c>
      <c r="S63" s="163">
        <f>COUNTIFS(' CADASTRO'!$S:$S,'acab equip'!$C$3,' CADASTRO'!$R:$R,'acab equip'!R63)</f>
        <v>0</v>
      </c>
      <c r="T63" s="163">
        <f>COUNTIFS(' CADASTRO'!$S:$S,'acab equip'!$D$3,' CADASTRO'!$R:$R,'acab equip'!R63)</f>
        <v>0</v>
      </c>
      <c r="U63" s="163">
        <f>COUNTIFS(' CADASTRO'!$R$746:$R$893,'acab equip'!R63,' CADASTRO'!$S$746:$S$893,'acab equip'!$T$3)+COUNTIFS(' CADASTRO'!$R$746:$R$893,'acab equip'!R63,' CADASTRO'!$S$746:$S$893,'acab equip'!$S$3)</f>
        <v>0</v>
      </c>
      <c r="V63" s="162">
        <f t="shared" si="11"/>
        <v>46151</v>
      </c>
      <c r="W63" s="163">
        <f>COUNTIFS(' CADASTRO'!$S:$S,'acab equip'!$C$3,' CADASTRO'!$R:$R,'acab equip'!V63)</f>
        <v>0</v>
      </c>
      <c r="X63" s="163">
        <f>COUNTIFS(' CADASTRO'!$S:$S,'acab equip'!$D$3,' CADASTRO'!$R:$R,'acab equip'!V63)</f>
        <v>0</v>
      </c>
      <c r="Y63" s="163">
        <f>COUNTIFS(' CADASTRO'!$R$746:$R$893,'acab equip'!V63,' CADASTRO'!$S$746:$S$893,'acab equip'!$X$3)+COUNTIFS(' CADASTRO'!$R$746:$R$893,'acab equip'!V63,' CADASTRO'!$S$746:$S$893,'acab equip'!$W$3)</f>
        <v>0</v>
      </c>
      <c r="Z63" s="162">
        <f t="shared" si="12"/>
        <v>46152</v>
      </c>
      <c r="AB63" s="165">
        <f t="shared" si="0"/>
        <v>0</v>
      </c>
      <c r="AC63" s="165">
        <f t="shared" si="3"/>
        <v>0</v>
      </c>
      <c r="AD63" s="165">
        <f t="shared" si="4"/>
        <v>0</v>
      </c>
      <c r="AE63" s="177">
        <f t="shared" si="5"/>
        <v>0</v>
      </c>
    </row>
    <row r="64" spans="2:31" x14ac:dyDescent="0.25">
      <c r="B64" s="162">
        <f t="shared" si="6"/>
        <v>46153</v>
      </c>
      <c r="C64" s="163">
        <f>COUNTIFS(' CADASTRO'!$S:$S,'acab equip'!$C$3,' CADASTRO'!$R:$R,'acab equip'!B64)</f>
        <v>0</v>
      </c>
      <c r="D64" s="163">
        <f>COUNTIFS(' CADASTRO'!$S:$S,'acab equip'!$D$3,' CADASTRO'!$R:$R,'acab equip'!B64)</f>
        <v>0</v>
      </c>
      <c r="E64" s="163">
        <f>COUNTIFS(' CADASTRO'!$R$746:$R$893,'acab equip'!B64,' CADASTRO'!$S$746:$S$893,'acab equip'!$D$3)+COUNTIFS(' CADASTRO'!$R$746:$R$893,'acab equip'!B64,' CADASTRO'!$S$746:$S$893,'acab equip'!$C$3)</f>
        <v>0</v>
      </c>
      <c r="F64" s="162">
        <f t="shared" si="7"/>
        <v>46154</v>
      </c>
      <c r="G64" s="163">
        <f>COUNTIFS(' CADASTRO'!$S:$S,'acab equip'!$C$3,' CADASTRO'!$R:$R,'acab equip'!F64)</f>
        <v>0</v>
      </c>
      <c r="H64" s="163">
        <f>COUNTIFS(' CADASTRO'!$S:$S,'acab equip'!$D$3,' CADASTRO'!$R:$R,'acab equip'!F64)</f>
        <v>0</v>
      </c>
      <c r="I64" s="163">
        <f>COUNTIFS(' CADASTRO'!$R$746:$R$893,'acab equip'!F64,' CADASTRO'!$S$746:$S$893,'acab equip'!$H$3)+COUNTIFS(' CADASTRO'!$R$746:$R$893,'acab equip'!F64,' CADASTRO'!$S$746:$S$893,'acab equip'!$G$3)</f>
        <v>0</v>
      </c>
      <c r="J64" s="162">
        <f t="shared" si="8"/>
        <v>46155</v>
      </c>
      <c r="K64" s="163">
        <f>COUNTIFS(' CADASTRO'!$S:$S,'acab equip'!$C$3,' CADASTRO'!$R:$R,'acab equip'!J64)</f>
        <v>0</v>
      </c>
      <c r="L64" s="163">
        <f>COUNTIFS(' CADASTRO'!$S:$S,'acab equip'!$D$3,' CADASTRO'!$R:$R,'acab equip'!J64)</f>
        <v>0</v>
      </c>
      <c r="M64" s="163">
        <f>COUNTIFS(' CADASTRO'!$R$746:$R$893,'acab equip'!J64,' CADASTRO'!$S$746:$S$893,'acab equip'!$L$3)+COUNTIFS(' CADASTRO'!$R$746:$R$893,'acab equip'!J64,' CADASTRO'!$S$746:$S$893,'acab equip'!$K$3)</f>
        <v>0</v>
      </c>
      <c r="N64" s="162">
        <f t="shared" si="9"/>
        <v>46156</v>
      </c>
      <c r="O64" s="163">
        <f>COUNTIFS(' CADASTRO'!$S:$S,'acab equip'!$C$3,' CADASTRO'!$R:$R,'acab equip'!N64)</f>
        <v>0</v>
      </c>
      <c r="P64" s="163">
        <f>COUNTIFS(' CADASTRO'!$S:$S,'acab equip'!$D$3,' CADASTRO'!$R:$R,'acab equip'!N64)</f>
        <v>0</v>
      </c>
      <c r="Q64" s="163">
        <f>COUNTIFS(' CADASTRO'!$R$746:$R$893,'acab equip'!N64,' CADASTRO'!$S$746:$S$893,'acab equip'!$P$3)+COUNTIFS(' CADASTRO'!$R$746:$R$893,'acab equip'!N64,' CADASTRO'!$S$746:$S$893,'acab equip'!$O$3)</f>
        <v>0</v>
      </c>
      <c r="R64" s="162">
        <f t="shared" si="10"/>
        <v>46157</v>
      </c>
      <c r="S64" s="163">
        <f>COUNTIFS(' CADASTRO'!$S:$S,'acab equip'!$C$3,' CADASTRO'!$R:$R,'acab equip'!R64)</f>
        <v>0</v>
      </c>
      <c r="T64" s="163">
        <f>COUNTIFS(' CADASTRO'!$S:$S,'acab equip'!$D$3,' CADASTRO'!$R:$R,'acab equip'!R64)</f>
        <v>0</v>
      </c>
      <c r="U64" s="163">
        <f>COUNTIFS(' CADASTRO'!$R$746:$R$893,'acab equip'!R64,' CADASTRO'!$S$746:$S$893,'acab equip'!$T$3)+COUNTIFS(' CADASTRO'!$R$746:$R$893,'acab equip'!R64,' CADASTRO'!$S$746:$S$893,'acab equip'!$S$3)</f>
        <v>0</v>
      </c>
      <c r="V64" s="162">
        <f t="shared" si="11"/>
        <v>46158</v>
      </c>
      <c r="W64" s="163">
        <f>COUNTIFS(' CADASTRO'!$S:$S,'acab equip'!$C$3,' CADASTRO'!$R:$R,'acab equip'!V64)</f>
        <v>0</v>
      </c>
      <c r="X64" s="163">
        <f>COUNTIFS(' CADASTRO'!$S:$S,'acab equip'!$D$3,' CADASTRO'!$R:$R,'acab equip'!V64)</f>
        <v>0</v>
      </c>
      <c r="Y64" s="163">
        <f>COUNTIFS(' CADASTRO'!$R$746:$R$893,'acab equip'!V64,' CADASTRO'!$S$746:$S$893,'acab equip'!$X$3)+COUNTIFS(' CADASTRO'!$R$746:$R$893,'acab equip'!V64,' CADASTRO'!$S$746:$S$893,'acab equip'!$W$3)</f>
        <v>0</v>
      </c>
      <c r="Z64" s="162">
        <f t="shared" si="12"/>
        <v>46159</v>
      </c>
      <c r="AB64" s="165">
        <f t="shared" si="0"/>
        <v>0</v>
      </c>
      <c r="AC64" s="165">
        <f t="shared" si="3"/>
        <v>0</v>
      </c>
      <c r="AD64" s="165">
        <f t="shared" si="4"/>
        <v>0</v>
      </c>
      <c r="AE64" s="177">
        <f t="shared" si="5"/>
        <v>0</v>
      </c>
    </row>
    <row r="65" spans="2:31" x14ac:dyDescent="0.25">
      <c r="B65" s="162">
        <f t="shared" si="6"/>
        <v>46160</v>
      </c>
      <c r="C65" s="163">
        <f>COUNTIFS(' CADASTRO'!$S:$S,'acab equip'!$C$3,' CADASTRO'!$R:$R,'acab equip'!B65)</f>
        <v>0</v>
      </c>
      <c r="D65" s="163">
        <f>COUNTIFS(' CADASTRO'!$S:$S,'acab equip'!$D$3,' CADASTRO'!$R:$R,'acab equip'!B65)</f>
        <v>0</v>
      </c>
      <c r="E65" s="163">
        <f>COUNTIFS(' CADASTRO'!$R$746:$R$893,'acab equip'!B65,' CADASTRO'!$S$746:$S$893,'acab equip'!$D$3)+COUNTIFS(' CADASTRO'!$R$746:$R$893,'acab equip'!B65,' CADASTRO'!$S$746:$S$893,'acab equip'!$C$3)</f>
        <v>0</v>
      </c>
      <c r="F65" s="162">
        <f t="shared" si="7"/>
        <v>46161</v>
      </c>
      <c r="G65" s="163">
        <f>COUNTIFS(' CADASTRO'!$S:$S,'acab equip'!$C$3,' CADASTRO'!$R:$R,'acab equip'!F65)</f>
        <v>0</v>
      </c>
      <c r="H65" s="163">
        <f>COUNTIFS(' CADASTRO'!$S:$S,'acab equip'!$D$3,' CADASTRO'!$R:$R,'acab equip'!F65)</f>
        <v>0</v>
      </c>
      <c r="I65" s="163">
        <f>COUNTIFS(' CADASTRO'!$R$746:$R$893,'acab equip'!F65,' CADASTRO'!$S$746:$S$893,'acab equip'!$H$3)+COUNTIFS(' CADASTRO'!$R$746:$R$893,'acab equip'!F65,' CADASTRO'!$S$746:$S$893,'acab equip'!$G$3)</f>
        <v>0</v>
      </c>
      <c r="J65" s="162">
        <f t="shared" si="8"/>
        <v>46162</v>
      </c>
      <c r="K65" s="163">
        <f>COUNTIFS(' CADASTRO'!$S:$S,'acab equip'!$C$3,' CADASTRO'!$R:$R,'acab equip'!J65)</f>
        <v>0</v>
      </c>
      <c r="L65" s="163">
        <f>COUNTIFS(' CADASTRO'!$S:$S,'acab equip'!$D$3,' CADASTRO'!$R:$R,'acab equip'!J65)</f>
        <v>0</v>
      </c>
      <c r="M65" s="163">
        <f>COUNTIFS(' CADASTRO'!$R$746:$R$893,'acab equip'!J65,' CADASTRO'!$S$746:$S$893,'acab equip'!$L$3)+COUNTIFS(' CADASTRO'!$R$746:$R$893,'acab equip'!J65,' CADASTRO'!$S$746:$S$893,'acab equip'!$K$3)</f>
        <v>0</v>
      </c>
      <c r="N65" s="162">
        <f t="shared" si="9"/>
        <v>46163</v>
      </c>
      <c r="O65" s="163">
        <f>COUNTIFS(' CADASTRO'!$S:$S,'acab equip'!$C$3,' CADASTRO'!$R:$R,'acab equip'!N65)</f>
        <v>0</v>
      </c>
      <c r="P65" s="163">
        <f>COUNTIFS(' CADASTRO'!$S:$S,'acab equip'!$D$3,' CADASTRO'!$R:$R,'acab equip'!N65)</f>
        <v>0</v>
      </c>
      <c r="Q65" s="163">
        <f>COUNTIFS(' CADASTRO'!$R$746:$R$893,'acab equip'!N65,' CADASTRO'!$S$746:$S$893,'acab equip'!$P$3)+COUNTIFS(' CADASTRO'!$R$746:$R$893,'acab equip'!N65,' CADASTRO'!$S$746:$S$893,'acab equip'!$O$3)</f>
        <v>0</v>
      </c>
      <c r="R65" s="162">
        <f t="shared" si="10"/>
        <v>46164</v>
      </c>
      <c r="S65" s="163">
        <f>COUNTIFS(' CADASTRO'!$S:$S,'acab equip'!$C$3,' CADASTRO'!$R:$R,'acab equip'!R65)</f>
        <v>0</v>
      </c>
      <c r="T65" s="163">
        <f>COUNTIFS(' CADASTRO'!$S:$S,'acab equip'!$D$3,' CADASTRO'!$R:$R,'acab equip'!R65)</f>
        <v>0</v>
      </c>
      <c r="U65" s="163">
        <f>COUNTIFS(' CADASTRO'!$R$746:$R$893,'acab equip'!R65,' CADASTRO'!$S$746:$S$893,'acab equip'!$T$3)+COUNTIFS(' CADASTRO'!$R$746:$R$893,'acab equip'!R65,' CADASTRO'!$S$746:$S$893,'acab equip'!$S$3)</f>
        <v>0</v>
      </c>
      <c r="V65" s="162">
        <f t="shared" si="11"/>
        <v>46165</v>
      </c>
      <c r="W65" s="163">
        <f>COUNTIFS(' CADASTRO'!$S:$S,'acab equip'!$C$3,' CADASTRO'!$R:$R,'acab equip'!V65)</f>
        <v>0</v>
      </c>
      <c r="X65" s="163">
        <f>COUNTIFS(' CADASTRO'!$S:$S,'acab equip'!$D$3,' CADASTRO'!$R:$R,'acab equip'!V65)</f>
        <v>0</v>
      </c>
      <c r="Y65" s="163">
        <f>COUNTIFS(' CADASTRO'!$R$746:$R$893,'acab equip'!V65,' CADASTRO'!$S$746:$S$893,'acab equip'!$X$3)+COUNTIFS(' CADASTRO'!$R$746:$R$893,'acab equip'!V65,' CADASTRO'!$S$746:$S$893,'acab equip'!$W$3)</f>
        <v>0</v>
      </c>
      <c r="Z65" s="162">
        <f t="shared" si="12"/>
        <v>46166</v>
      </c>
      <c r="AB65" s="165">
        <f t="shared" si="0"/>
        <v>0</v>
      </c>
      <c r="AC65" s="165">
        <f t="shared" si="3"/>
        <v>0</v>
      </c>
      <c r="AD65" s="165">
        <f t="shared" si="4"/>
        <v>0</v>
      </c>
      <c r="AE65" s="177">
        <f t="shared" si="5"/>
        <v>0</v>
      </c>
    </row>
    <row r="66" spans="2:31" x14ac:dyDescent="0.25">
      <c r="B66" s="162">
        <f t="shared" si="6"/>
        <v>46167</v>
      </c>
      <c r="C66" s="163">
        <f>COUNTIFS(' CADASTRO'!$S:$S,'acab equip'!$C$3,' CADASTRO'!$R:$R,'acab equip'!B66)</f>
        <v>0</v>
      </c>
      <c r="D66" s="163">
        <f>COUNTIFS(' CADASTRO'!$S:$S,'acab equip'!$D$3,' CADASTRO'!$R:$R,'acab equip'!B66)</f>
        <v>0</v>
      </c>
      <c r="E66" s="163">
        <f>COUNTIFS(' CADASTRO'!$R$746:$R$893,'acab equip'!B66,' CADASTRO'!$S$746:$S$893,'acab equip'!$D$3)+COUNTIFS(' CADASTRO'!$R$746:$R$893,'acab equip'!B66,' CADASTRO'!$S$746:$S$893,'acab equip'!$C$3)</f>
        <v>0</v>
      </c>
      <c r="F66" s="162">
        <f t="shared" si="7"/>
        <v>46168</v>
      </c>
      <c r="G66" s="163">
        <f>COUNTIFS(' CADASTRO'!$S:$S,'acab equip'!$C$3,' CADASTRO'!$R:$R,'acab equip'!F66)</f>
        <v>0</v>
      </c>
      <c r="H66" s="163">
        <f>COUNTIFS(' CADASTRO'!$S:$S,'acab equip'!$D$3,' CADASTRO'!$R:$R,'acab equip'!F66)</f>
        <v>0</v>
      </c>
      <c r="I66" s="163">
        <f>COUNTIFS(' CADASTRO'!$R$746:$R$893,'acab equip'!F66,' CADASTRO'!$S$746:$S$893,'acab equip'!$H$3)+COUNTIFS(' CADASTRO'!$R$746:$R$893,'acab equip'!F66,' CADASTRO'!$S$746:$S$893,'acab equip'!$G$3)</f>
        <v>0</v>
      </c>
      <c r="J66" s="162">
        <f t="shared" si="8"/>
        <v>46169</v>
      </c>
      <c r="K66" s="163">
        <f>COUNTIFS(' CADASTRO'!$S:$S,'acab equip'!$C$3,' CADASTRO'!$R:$R,'acab equip'!J66)</f>
        <v>0</v>
      </c>
      <c r="L66" s="163">
        <f>COUNTIFS(' CADASTRO'!$S:$S,'acab equip'!$D$3,' CADASTRO'!$R:$R,'acab equip'!J66)</f>
        <v>0</v>
      </c>
      <c r="M66" s="163">
        <f>COUNTIFS(' CADASTRO'!$R$746:$R$893,'acab equip'!J66,' CADASTRO'!$S$746:$S$893,'acab equip'!$L$3)+COUNTIFS(' CADASTRO'!$R$746:$R$893,'acab equip'!J66,' CADASTRO'!$S$746:$S$893,'acab equip'!$K$3)</f>
        <v>0</v>
      </c>
      <c r="N66" s="162">
        <f t="shared" si="9"/>
        <v>46170</v>
      </c>
      <c r="O66" s="163">
        <f>COUNTIFS(' CADASTRO'!$S:$S,'acab equip'!$C$3,' CADASTRO'!$R:$R,'acab equip'!N66)</f>
        <v>0</v>
      </c>
      <c r="P66" s="163">
        <f>COUNTIFS(' CADASTRO'!$S:$S,'acab equip'!$D$3,' CADASTRO'!$R:$R,'acab equip'!N66)</f>
        <v>0</v>
      </c>
      <c r="Q66" s="163">
        <f>COUNTIFS(' CADASTRO'!$R$746:$R$893,'acab equip'!N66,' CADASTRO'!$S$746:$S$893,'acab equip'!$P$3)+COUNTIFS(' CADASTRO'!$R$746:$R$893,'acab equip'!N66,' CADASTRO'!$S$746:$S$893,'acab equip'!$O$3)</f>
        <v>0</v>
      </c>
      <c r="R66" s="162">
        <f t="shared" si="10"/>
        <v>46171</v>
      </c>
      <c r="S66" s="163">
        <f>COUNTIFS(' CADASTRO'!$S:$S,'acab equip'!$C$3,' CADASTRO'!$R:$R,'acab equip'!R66)</f>
        <v>0</v>
      </c>
      <c r="T66" s="163">
        <f>COUNTIFS(' CADASTRO'!$S:$S,'acab equip'!$D$3,' CADASTRO'!$R:$R,'acab equip'!R66)</f>
        <v>0</v>
      </c>
      <c r="U66" s="163">
        <f>COUNTIFS(' CADASTRO'!$R$746:$R$893,'acab equip'!R66,' CADASTRO'!$S$746:$S$893,'acab equip'!$T$3)+COUNTIFS(' CADASTRO'!$R$746:$R$893,'acab equip'!R66,' CADASTRO'!$S$746:$S$893,'acab equip'!$S$3)</f>
        <v>0</v>
      </c>
      <c r="V66" s="162">
        <f t="shared" si="11"/>
        <v>46172</v>
      </c>
      <c r="W66" s="163">
        <f>COUNTIFS(' CADASTRO'!$S:$S,'acab equip'!$C$3,' CADASTRO'!$R:$R,'acab equip'!V66)</f>
        <v>0</v>
      </c>
      <c r="X66" s="163">
        <f>COUNTIFS(' CADASTRO'!$S:$S,'acab equip'!$D$3,' CADASTRO'!$R:$R,'acab equip'!V66)</f>
        <v>0</v>
      </c>
      <c r="Y66" s="163">
        <f>COUNTIFS(' CADASTRO'!$R$746:$R$893,'acab equip'!V66,' CADASTRO'!$S$746:$S$893,'acab equip'!$X$3)+COUNTIFS(' CADASTRO'!$R$746:$R$893,'acab equip'!V66,' CADASTRO'!$S$746:$S$893,'acab equip'!$W$3)</f>
        <v>0</v>
      </c>
      <c r="Z66" s="162">
        <f t="shared" si="12"/>
        <v>46173</v>
      </c>
      <c r="AB66" s="165">
        <f t="shared" si="0"/>
        <v>0</v>
      </c>
      <c r="AC66" s="165">
        <f t="shared" si="3"/>
        <v>0</v>
      </c>
      <c r="AD66" s="165">
        <f t="shared" si="4"/>
        <v>0</v>
      </c>
      <c r="AE66" s="177">
        <f t="shared" si="5"/>
        <v>0</v>
      </c>
    </row>
    <row r="67" spans="2:31" x14ac:dyDescent="0.25">
      <c r="B67" s="162">
        <f t="shared" si="6"/>
        <v>46174</v>
      </c>
      <c r="C67" s="163">
        <f>COUNTIFS(' CADASTRO'!$S:$S,'acab equip'!$C$3,' CADASTRO'!$R:$R,'acab equip'!B67)</f>
        <v>0</v>
      </c>
      <c r="D67" s="163">
        <f>COUNTIFS(' CADASTRO'!$S:$S,'acab equip'!$D$3,' CADASTRO'!$R:$R,'acab equip'!B67)</f>
        <v>0</v>
      </c>
      <c r="E67" s="163">
        <f>COUNTIFS(' CADASTRO'!$R$746:$R$893,'acab equip'!B67,' CADASTRO'!$S$746:$S$893,'acab equip'!$D$3)+COUNTIFS(' CADASTRO'!$R$746:$R$893,'acab equip'!B67,' CADASTRO'!$S$746:$S$893,'acab equip'!$C$3)</f>
        <v>0</v>
      </c>
      <c r="F67" s="162">
        <f t="shared" si="7"/>
        <v>46175</v>
      </c>
      <c r="G67" s="163">
        <f>COUNTIFS(' CADASTRO'!$S:$S,'acab equip'!$C$3,' CADASTRO'!$R:$R,'acab equip'!F67)</f>
        <v>0</v>
      </c>
      <c r="H67" s="163">
        <f>COUNTIFS(' CADASTRO'!$S:$S,'acab equip'!$D$3,' CADASTRO'!$R:$R,'acab equip'!F67)</f>
        <v>0</v>
      </c>
      <c r="I67" s="163">
        <f>COUNTIFS(' CADASTRO'!$R$746:$R$893,'acab equip'!F67,' CADASTRO'!$S$746:$S$893,'acab equip'!$H$3)+COUNTIFS(' CADASTRO'!$R$746:$R$893,'acab equip'!F67,' CADASTRO'!$S$746:$S$893,'acab equip'!$G$3)</f>
        <v>0</v>
      </c>
      <c r="J67" s="162">
        <f t="shared" si="8"/>
        <v>46176</v>
      </c>
      <c r="K67" s="163">
        <f>COUNTIFS(' CADASTRO'!$S:$S,'acab equip'!$C$3,' CADASTRO'!$R:$R,'acab equip'!J67)</f>
        <v>0</v>
      </c>
      <c r="L67" s="163">
        <f>COUNTIFS(' CADASTRO'!$S:$S,'acab equip'!$D$3,' CADASTRO'!$R:$R,'acab equip'!J67)</f>
        <v>0</v>
      </c>
      <c r="M67" s="163">
        <f>COUNTIFS(' CADASTRO'!$R$746:$R$893,'acab equip'!J67,' CADASTRO'!$S$746:$S$893,'acab equip'!$L$3)+COUNTIFS(' CADASTRO'!$R$746:$R$893,'acab equip'!J67,' CADASTRO'!$S$746:$S$893,'acab equip'!$K$3)</f>
        <v>0</v>
      </c>
      <c r="N67" s="162">
        <f t="shared" si="9"/>
        <v>46177</v>
      </c>
      <c r="O67" s="163">
        <f>COUNTIFS(' CADASTRO'!$S:$S,'acab equip'!$C$3,' CADASTRO'!$R:$R,'acab equip'!N67)</f>
        <v>0</v>
      </c>
      <c r="P67" s="163">
        <f>COUNTIFS(' CADASTRO'!$S:$S,'acab equip'!$D$3,' CADASTRO'!$R:$R,'acab equip'!N67)</f>
        <v>0</v>
      </c>
      <c r="Q67" s="163">
        <f>COUNTIFS(' CADASTRO'!$R$746:$R$893,'acab equip'!N67,' CADASTRO'!$S$746:$S$893,'acab equip'!$P$3)+COUNTIFS(' CADASTRO'!$R$746:$R$893,'acab equip'!N67,' CADASTRO'!$S$746:$S$893,'acab equip'!$O$3)</f>
        <v>0</v>
      </c>
      <c r="R67" s="162">
        <f t="shared" si="10"/>
        <v>46178</v>
      </c>
      <c r="S67" s="163">
        <f>COUNTIFS(' CADASTRO'!$S:$S,'acab equip'!$C$3,' CADASTRO'!$R:$R,'acab equip'!R67)</f>
        <v>0</v>
      </c>
      <c r="T67" s="163">
        <f>COUNTIFS(' CADASTRO'!$S:$S,'acab equip'!$D$3,' CADASTRO'!$R:$R,'acab equip'!R67)</f>
        <v>0</v>
      </c>
      <c r="U67" s="163">
        <f>COUNTIFS(' CADASTRO'!$R$746:$R$893,'acab equip'!R67,' CADASTRO'!$S$746:$S$893,'acab equip'!$T$3)+COUNTIFS(' CADASTRO'!$R$746:$R$893,'acab equip'!R67,' CADASTRO'!$S$746:$S$893,'acab equip'!$S$3)</f>
        <v>0</v>
      </c>
      <c r="V67" s="162">
        <f t="shared" si="11"/>
        <v>46179</v>
      </c>
      <c r="W67" s="163">
        <f>COUNTIFS(' CADASTRO'!$S:$S,'acab equip'!$C$3,' CADASTRO'!$R:$R,'acab equip'!V67)</f>
        <v>0</v>
      </c>
      <c r="X67" s="163">
        <f>COUNTIFS(' CADASTRO'!$S:$S,'acab equip'!$D$3,' CADASTRO'!$R:$R,'acab equip'!V67)</f>
        <v>0</v>
      </c>
      <c r="Y67" s="163">
        <f>COUNTIFS(' CADASTRO'!$R$746:$R$893,'acab equip'!V67,' CADASTRO'!$S$746:$S$893,'acab equip'!$X$3)+COUNTIFS(' CADASTRO'!$R$746:$R$893,'acab equip'!V67,' CADASTRO'!$S$746:$S$893,'acab equip'!$W$3)</f>
        <v>0</v>
      </c>
      <c r="Z67" s="162">
        <f t="shared" si="12"/>
        <v>46180</v>
      </c>
      <c r="AB67" s="165">
        <f t="shared" si="0"/>
        <v>0</v>
      </c>
      <c r="AC67" s="165">
        <f t="shared" si="3"/>
        <v>0</v>
      </c>
      <c r="AD67" s="165">
        <f t="shared" si="4"/>
        <v>0</v>
      </c>
      <c r="AE67" s="177">
        <f t="shared" si="5"/>
        <v>0</v>
      </c>
    </row>
    <row r="68" spans="2:31" x14ac:dyDescent="0.25">
      <c r="B68" s="162">
        <f t="shared" si="6"/>
        <v>46181</v>
      </c>
      <c r="C68" s="163">
        <f>COUNTIFS(' CADASTRO'!$S:$S,'acab equip'!$C$3,' CADASTRO'!$R:$R,'acab equip'!B68)</f>
        <v>0</v>
      </c>
      <c r="D68" s="163">
        <f>COUNTIFS(' CADASTRO'!$S:$S,'acab equip'!$D$3,' CADASTRO'!$R:$R,'acab equip'!B68)</f>
        <v>0</v>
      </c>
      <c r="E68" s="163">
        <f>COUNTIFS(' CADASTRO'!$R$746:$R$893,'acab equip'!B68,' CADASTRO'!$S$746:$S$893,'acab equip'!$D$3)+COUNTIFS(' CADASTRO'!$R$746:$R$893,'acab equip'!B68,' CADASTRO'!$S$746:$S$893,'acab equip'!$C$3)</f>
        <v>0</v>
      </c>
      <c r="F68" s="162">
        <f t="shared" si="7"/>
        <v>46182</v>
      </c>
      <c r="G68" s="163">
        <f>COUNTIFS(' CADASTRO'!$S:$S,'acab equip'!$C$3,' CADASTRO'!$R:$R,'acab equip'!F68)</f>
        <v>0</v>
      </c>
      <c r="H68" s="163">
        <f>COUNTIFS(' CADASTRO'!$S:$S,'acab equip'!$D$3,' CADASTRO'!$R:$R,'acab equip'!F68)</f>
        <v>0</v>
      </c>
      <c r="I68" s="163">
        <f>COUNTIFS(' CADASTRO'!$R$746:$R$893,'acab equip'!F68,' CADASTRO'!$S$746:$S$893,'acab equip'!$H$3)+COUNTIFS(' CADASTRO'!$R$746:$R$893,'acab equip'!F68,' CADASTRO'!$S$746:$S$893,'acab equip'!$G$3)</f>
        <v>0</v>
      </c>
      <c r="J68" s="162">
        <f t="shared" si="8"/>
        <v>46183</v>
      </c>
      <c r="K68" s="163">
        <f>COUNTIFS(' CADASTRO'!$S:$S,'acab equip'!$C$3,' CADASTRO'!$R:$R,'acab equip'!J68)</f>
        <v>0</v>
      </c>
      <c r="L68" s="163">
        <f>COUNTIFS(' CADASTRO'!$S:$S,'acab equip'!$D$3,' CADASTRO'!$R:$R,'acab equip'!J68)</f>
        <v>0</v>
      </c>
      <c r="M68" s="163">
        <f>COUNTIFS(' CADASTRO'!$R$746:$R$893,'acab equip'!J68,' CADASTRO'!$S$746:$S$893,'acab equip'!$L$3)+COUNTIFS(' CADASTRO'!$R$746:$R$893,'acab equip'!J68,' CADASTRO'!$S$746:$S$893,'acab equip'!$K$3)</f>
        <v>0</v>
      </c>
      <c r="N68" s="162">
        <f t="shared" si="9"/>
        <v>46184</v>
      </c>
      <c r="O68" s="163">
        <f>COUNTIFS(' CADASTRO'!$S:$S,'acab equip'!$C$3,' CADASTRO'!$R:$R,'acab equip'!N68)</f>
        <v>0</v>
      </c>
      <c r="P68" s="163">
        <f>COUNTIFS(' CADASTRO'!$S:$S,'acab equip'!$D$3,' CADASTRO'!$R:$R,'acab equip'!N68)</f>
        <v>0</v>
      </c>
      <c r="Q68" s="163">
        <f>COUNTIFS(' CADASTRO'!$R$746:$R$893,'acab equip'!N68,' CADASTRO'!$S$746:$S$893,'acab equip'!$P$3)+COUNTIFS(' CADASTRO'!$R$746:$R$893,'acab equip'!N68,' CADASTRO'!$S$746:$S$893,'acab equip'!$O$3)</f>
        <v>0</v>
      </c>
      <c r="R68" s="162">
        <f t="shared" si="10"/>
        <v>46185</v>
      </c>
      <c r="S68" s="163">
        <f>COUNTIFS(' CADASTRO'!$S:$S,'acab equip'!$C$3,' CADASTRO'!$R:$R,'acab equip'!R68)</f>
        <v>0</v>
      </c>
      <c r="T68" s="163">
        <f>COUNTIFS(' CADASTRO'!$S:$S,'acab equip'!$D$3,' CADASTRO'!$R:$R,'acab equip'!R68)</f>
        <v>0</v>
      </c>
      <c r="U68" s="163">
        <f>COUNTIFS(' CADASTRO'!$R$746:$R$893,'acab equip'!R68,' CADASTRO'!$S$746:$S$893,'acab equip'!$T$3)+COUNTIFS(' CADASTRO'!$R$746:$R$893,'acab equip'!R68,' CADASTRO'!$S$746:$S$893,'acab equip'!$S$3)</f>
        <v>0</v>
      </c>
      <c r="V68" s="162">
        <f t="shared" si="11"/>
        <v>46186</v>
      </c>
      <c r="W68" s="163">
        <f>COUNTIFS(' CADASTRO'!$S:$S,'acab equip'!$C$3,' CADASTRO'!$R:$R,'acab equip'!V68)</f>
        <v>0</v>
      </c>
      <c r="X68" s="163">
        <f>COUNTIFS(' CADASTRO'!$S:$S,'acab equip'!$D$3,' CADASTRO'!$R:$R,'acab equip'!V68)</f>
        <v>0</v>
      </c>
      <c r="Y68" s="163">
        <f>COUNTIFS(' CADASTRO'!$R$746:$R$893,'acab equip'!V68,' CADASTRO'!$S$746:$S$893,'acab equip'!$X$3)+COUNTIFS(' CADASTRO'!$R$746:$R$893,'acab equip'!V68,' CADASTRO'!$S$746:$S$893,'acab equip'!$W$3)</f>
        <v>0</v>
      </c>
      <c r="Z68" s="162">
        <f t="shared" si="12"/>
        <v>46187</v>
      </c>
      <c r="AB68" s="165">
        <f t="shared" ref="AB68:AB131" si="14">C68+G68+K68+O68+S68+W68</f>
        <v>0</v>
      </c>
      <c r="AC68" s="165">
        <f t="shared" si="3"/>
        <v>0</v>
      </c>
      <c r="AD68" s="165">
        <f t="shared" si="4"/>
        <v>0</v>
      </c>
      <c r="AE68" s="177">
        <f t="shared" si="5"/>
        <v>0</v>
      </c>
    </row>
    <row r="69" spans="2:31" x14ac:dyDescent="0.25">
      <c r="B69" s="162">
        <f t="shared" si="6"/>
        <v>46188</v>
      </c>
      <c r="C69" s="163">
        <f>COUNTIFS(' CADASTRO'!$S:$S,'acab equip'!$C$3,' CADASTRO'!$R:$R,'acab equip'!B69)</f>
        <v>0</v>
      </c>
      <c r="D69" s="163">
        <f>COUNTIFS(' CADASTRO'!$S:$S,'acab equip'!$D$3,' CADASTRO'!$R:$R,'acab equip'!B69)</f>
        <v>0</v>
      </c>
      <c r="E69" s="163">
        <f>COUNTIFS(' CADASTRO'!$R$746:$R$893,'acab equip'!B69,' CADASTRO'!$S$746:$S$893,'acab equip'!$D$3)+COUNTIFS(' CADASTRO'!$R$746:$R$893,'acab equip'!B69,' CADASTRO'!$S$746:$S$893,'acab equip'!$C$3)</f>
        <v>0</v>
      </c>
      <c r="F69" s="162">
        <f t="shared" si="7"/>
        <v>46189</v>
      </c>
      <c r="G69" s="163">
        <f>COUNTIFS(' CADASTRO'!$S:$S,'acab equip'!$C$3,' CADASTRO'!$R:$R,'acab equip'!F69)</f>
        <v>0</v>
      </c>
      <c r="H69" s="163">
        <f>COUNTIFS(' CADASTRO'!$S:$S,'acab equip'!$D$3,' CADASTRO'!$R:$R,'acab equip'!F69)</f>
        <v>0</v>
      </c>
      <c r="I69" s="163">
        <f>COUNTIFS(' CADASTRO'!$R$746:$R$893,'acab equip'!F69,' CADASTRO'!$S$746:$S$893,'acab equip'!$H$3)+COUNTIFS(' CADASTRO'!$R$746:$R$893,'acab equip'!F69,' CADASTRO'!$S$746:$S$893,'acab equip'!$G$3)</f>
        <v>0</v>
      </c>
      <c r="J69" s="162">
        <f t="shared" si="8"/>
        <v>46190</v>
      </c>
      <c r="K69" s="163">
        <f>COUNTIFS(' CADASTRO'!$S:$S,'acab equip'!$C$3,' CADASTRO'!$R:$R,'acab equip'!J69)</f>
        <v>0</v>
      </c>
      <c r="L69" s="163">
        <f>COUNTIFS(' CADASTRO'!$S:$S,'acab equip'!$D$3,' CADASTRO'!$R:$R,'acab equip'!J69)</f>
        <v>0</v>
      </c>
      <c r="M69" s="163">
        <f>COUNTIFS(' CADASTRO'!$R$746:$R$893,'acab equip'!J69,' CADASTRO'!$S$746:$S$893,'acab equip'!$L$3)+COUNTIFS(' CADASTRO'!$R$746:$R$893,'acab equip'!J69,' CADASTRO'!$S$746:$S$893,'acab equip'!$K$3)</f>
        <v>0</v>
      </c>
      <c r="N69" s="162">
        <f t="shared" si="9"/>
        <v>46191</v>
      </c>
      <c r="O69" s="163">
        <f>COUNTIFS(' CADASTRO'!$S:$S,'acab equip'!$C$3,' CADASTRO'!$R:$R,'acab equip'!N69)</f>
        <v>0</v>
      </c>
      <c r="P69" s="163">
        <f>COUNTIFS(' CADASTRO'!$S:$S,'acab equip'!$D$3,' CADASTRO'!$R:$R,'acab equip'!N69)</f>
        <v>0</v>
      </c>
      <c r="Q69" s="163">
        <f>COUNTIFS(' CADASTRO'!$R$746:$R$893,'acab equip'!N69,' CADASTRO'!$S$746:$S$893,'acab equip'!$P$3)+COUNTIFS(' CADASTRO'!$R$746:$R$893,'acab equip'!N69,' CADASTRO'!$S$746:$S$893,'acab equip'!$O$3)</f>
        <v>0</v>
      </c>
      <c r="R69" s="162">
        <f t="shared" si="10"/>
        <v>46192</v>
      </c>
      <c r="S69" s="163">
        <f>COUNTIFS(' CADASTRO'!$S:$S,'acab equip'!$C$3,' CADASTRO'!$R:$R,'acab equip'!R69)</f>
        <v>0</v>
      </c>
      <c r="T69" s="163">
        <f>COUNTIFS(' CADASTRO'!$S:$S,'acab equip'!$D$3,' CADASTRO'!$R:$R,'acab equip'!R69)</f>
        <v>0</v>
      </c>
      <c r="U69" s="163">
        <f>COUNTIFS(' CADASTRO'!$R$746:$R$893,'acab equip'!R69,' CADASTRO'!$S$746:$S$893,'acab equip'!$T$3)+COUNTIFS(' CADASTRO'!$R$746:$R$893,'acab equip'!R69,' CADASTRO'!$S$746:$S$893,'acab equip'!$S$3)</f>
        <v>0</v>
      </c>
      <c r="V69" s="162">
        <f t="shared" si="11"/>
        <v>46193</v>
      </c>
      <c r="W69" s="163">
        <f>COUNTIFS(' CADASTRO'!$S:$S,'acab equip'!$C$3,' CADASTRO'!$R:$R,'acab equip'!V69)</f>
        <v>0</v>
      </c>
      <c r="X69" s="163">
        <f>COUNTIFS(' CADASTRO'!$S:$S,'acab equip'!$D$3,' CADASTRO'!$R:$R,'acab equip'!V69)</f>
        <v>0</v>
      </c>
      <c r="Y69" s="163">
        <f>COUNTIFS(' CADASTRO'!$R$746:$R$893,'acab equip'!V69,' CADASTRO'!$S$746:$S$893,'acab equip'!$X$3)+COUNTIFS(' CADASTRO'!$R$746:$R$893,'acab equip'!V69,' CADASTRO'!$S$746:$S$893,'acab equip'!$W$3)</f>
        <v>0</v>
      </c>
      <c r="Z69" s="162">
        <f t="shared" si="12"/>
        <v>46194</v>
      </c>
      <c r="AB69" s="165">
        <f t="shared" si="14"/>
        <v>0</v>
      </c>
      <c r="AC69" s="165">
        <f t="shared" ref="AC69:AC132" si="15">D69+H69+L69+P69+T69+X69-AD69</f>
        <v>0</v>
      </c>
      <c r="AD69" s="165">
        <f t="shared" ref="AD69:AD132" si="16">M69+Q69+U69+Y69+I69+E69</f>
        <v>0</v>
      </c>
      <c r="AE69" s="177">
        <f t="shared" ref="AE69:AE132" si="17">AB69+AC69+AD69</f>
        <v>0</v>
      </c>
    </row>
    <row r="70" spans="2:31" x14ac:dyDescent="0.25">
      <c r="B70" s="162">
        <f t="shared" ref="B70:B133" si="18">Z69+1</f>
        <v>46195</v>
      </c>
      <c r="C70" s="163">
        <f>COUNTIFS(' CADASTRO'!$S:$S,'acab equip'!$C$3,' CADASTRO'!$R:$R,'acab equip'!B70)</f>
        <v>0</v>
      </c>
      <c r="D70" s="163">
        <f>COUNTIFS(' CADASTRO'!$S:$S,'acab equip'!$D$3,' CADASTRO'!$R:$R,'acab equip'!B70)</f>
        <v>0</v>
      </c>
      <c r="E70" s="163">
        <f>COUNTIFS(' CADASTRO'!$R$746:$R$893,'acab equip'!B70,' CADASTRO'!$S$746:$S$893,'acab equip'!$D$3)+COUNTIFS(' CADASTRO'!$R$746:$R$893,'acab equip'!B70,' CADASTRO'!$S$746:$S$893,'acab equip'!$C$3)</f>
        <v>0</v>
      </c>
      <c r="F70" s="162">
        <f t="shared" ref="F70:F133" si="19">B70+1</f>
        <v>46196</v>
      </c>
      <c r="G70" s="163">
        <f>COUNTIFS(' CADASTRO'!$S:$S,'acab equip'!$C$3,' CADASTRO'!$R:$R,'acab equip'!F70)</f>
        <v>0</v>
      </c>
      <c r="H70" s="163">
        <f>COUNTIFS(' CADASTRO'!$S:$S,'acab equip'!$D$3,' CADASTRO'!$R:$R,'acab equip'!F70)</f>
        <v>0</v>
      </c>
      <c r="I70" s="163">
        <f>COUNTIFS(' CADASTRO'!$R$746:$R$893,'acab equip'!F70,' CADASTRO'!$S$746:$S$893,'acab equip'!$H$3)+COUNTIFS(' CADASTRO'!$R$746:$R$893,'acab equip'!F70,' CADASTRO'!$S$746:$S$893,'acab equip'!$G$3)</f>
        <v>0</v>
      </c>
      <c r="J70" s="162">
        <f t="shared" ref="J70:J133" si="20">F70+1</f>
        <v>46197</v>
      </c>
      <c r="K70" s="163">
        <f>COUNTIFS(' CADASTRO'!$S:$S,'acab equip'!$C$3,' CADASTRO'!$R:$R,'acab equip'!J70)</f>
        <v>0</v>
      </c>
      <c r="L70" s="163">
        <f>COUNTIFS(' CADASTRO'!$S:$S,'acab equip'!$D$3,' CADASTRO'!$R:$R,'acab equip'!J70)</f>
        <v>0</v>
      </c>
      <c r="M70" s="163">
        <f>COUNTIFS(' CADASTRO'!$R$746:$R$893,'acab equip'!J70,' CADASTRO'!$S$746:$S$893,'acab equip'!$L$3)+COUNTIFS(' CADASTRO'!$R$746:$R$893,'acab equip'!J70,' CADASTRO'!$S$746:$S$893,'acab equip'!$K$3)</f>
        <v>0</v>
      </c>
      <c r="N70" s="162">
        <f t="shared" ref="N70:N133" si="21">J70+1</f>
        <v>46198</v>
      </c>
      <c r="O70" s="163">
        <f>COUNTIFS(' CADASTRO'!$S:$S,'acab equip'!$C$3,' CADASTRO'!$R:$R,'acab equip'!N70)</f>
        <v>0</v>
      </c>
      <c r="P70" s="163">
        <f>COUNTIFS(' CADASTRO'!$S:$S,'acab equip'!$D$3,' CADASTRO'!$R:$R,'acab equip'!N70)</f>
        <v>0</v>
      </c>
      <c r="Q70" s="163">
        <f>COUNTIFS(' CADASTRO'!$R$746:$R$893,'acab equip'!N70,' CADASTRO'!$S$746:$S$893,'acab equip'!$P$3)+COUNTIFS(' CADASTRO'!$R$746:$R$893,'acab equip'!N70,' CADASTRO'!$S$746:$S$893,'acab equip'!$O$3)</f>
        <v>0</v>
      </c>
      <c r="R70" s="162">
        <f t="shared" ref="R70:R133" si="22">N70+1</f>
        <v>46199</v>
      </c>
      <c r="S70" s="163">
        <f>COUNTIFS(' CADASTRO'!$S:$S,'acab equip'!$C$3,' CADASTRO'!$R:$R,'acab equip'!R70)</f>
        <v>0</v>
      </c>
      <c r="T70" s="163">
        <f>COUNTIFS(' CADASTRO'!$S:$S,'acab equip'!$D$3,' CADASTRO'!$R:$R,'acab equip'!R70)</f>
        <v>0</v>
      </c>
      <c r="U70" s="163">
        <f>COUNTIFS(' CADASTRO'!$R$746:$R$893,'acab equip'!R70,' CADASTRO'!$S$746:$S$893,'acab equip'!$T$3)+COUNTIFS(' CADASTRO'!$R$746:$R$893,'acab equip'!R70,' CADASTRO'!$S$746:$S$893,'acab equip'!$S$3)</f>
        <v>0</v>
      </c>
      <c r="V70" s="162">
        <f t="shared" ref="V70:V133" si="23">R70+1</f>
        <v>46200</v>
      </c>
      <c r="W70" s="163">
        <f>COUNTIFS(' CADASTRO'!$S:$S,'acab equip'!$C$3,' CADASTRO'!$R:$R,'acab equip'!V70)</f>
        <v>0</v>
      </c>
      <c r="X70" s="163">
        <f>COUNTIFS(' CADASTRO'!$S:$S,'acab equip'!$D$3,' CADASTRO'!$R:$R,'acab equip'!V70)</f>
        <v>0</v>
      </c>
      <c r="Y70" s="163">
        <f>COUNTIFS(' CADASTRO'!$R$746:$R$893,'acab equip'!V70,' CADASTRO'!$S$746:$S$893,'acab equip'!$X$3)+COUNTIFS(' CADASTRO'!$R$746:$R$893,'acab equip'!V70,' CADASTRO'!$S$746:$S$893,'acab equip'!$W$3)</f>
        <v>0</v>
      </c>
      <c r="Z70" s="162">
        <f t="shared" ref="Z70:Z133" si="24">V70+1</f>
        <v>46201</v>
      </c>
      <c r="AB70" s="165">
        <f t="shared" si="14"/>
        <v>0</v>
      </c>
      <c r="AC70" s="165">
        <f t="shared" si="15"/>
        <v>0</v>
      </c>
      <c r="AD70" s="165">
        <f t="shared" si="16"/>
        <v>0</v>
      </c>
      <c r="AE70" s="177">
        <f t="shared" si="17"/>
        <v>0</v>
      </c>
    </row>
    <row r="71" spans="2:31" x14ac:dyDescent="0.25">
      <c r="B71" s="162">
        <f t="shared" si="18"/>
        <v>46202</v>
      </c>
      <c r="C71" s="163">
        <f>COUNTIFS(' CADASTRO'!$S:$S,'acab equip'!$C$3,' CADASTRO'!$R:$R,'acab equip'!B71)</f>
        <v>0</v>
      </c>
      <c r="D71" s="163">
        <f>COUNTIFS(' CADASTRO'!$S:$S,'acab equip'!$D$3,' CADASTRO'!$R:$R,'acab equip'!B71)</f>
        <v>0</v>
      </c>
      <c r="E71" s="163">
        <f>COUNTIFS(' CADASTRO'!$R$746:$R$893,'acab equip'!B71,' CADASTRO'!$S$746:$S$893,'acab equip'!$D$3)+COUNTIFS(' CADASTRO'!$R$746:$R$893,'acab equip'!B71,' CADASTRO'!$S$746:$S$893,'acab equip'!$C$3)</f>
        <v>0</v>
      </c>
      <c r="F71" s="162">
        <f t="shared" si="19"/>
        <v>46203</v>
      </c>
      <c r="G71" s="163">
        <f>COUNTIFS(' CADASTRO'!$S:$S,'acab equip'!$C$3,' CADASTRO'!$R:$R,'acab equip'!F71)</f>
        <v>0</v>
      </c>
      <c r="H71" s="163">
        <f>COUNTIFS(' CADASTRO'!$S:$S,'acab equip'!$D$3,' CADASTRO'!$R:$R,'acab equip'!F71)</f>
        <v>0</v>
      </c>
      <c r="I71" s="163">
        <f>COUNTIFS(' CADASTRO'!$R$746:$R$893,'acab equip'!F71,' CADASTRO'!$S$746:$S$893,'acab equip'!$H$3)+COUNTIFS(' CADASTRO'!$R$746:$R$893,'acab equip'!F71,' CADASTRO'!$S$746:$S$893,'acab equip'!$G$3)</f>
        <v>0</v>
      </c>
      <c r="J71" s="162">
        <f t="shared" si="20"/>
        <v>46204</v>
      </c>
      <c r="K71" s="163">
        <f>COUNTIFS(' CADASTRO'!$S:$S,'acab equip'!$C$3,' CADASTRO'!$R:$R,'acab equip'!J71)</f>
        <v>0</v>
      </c>
      <c r="L71" s="163">
        <f>COUNTIFS(' CADASTRO'!$S:$S,'acab equip'!$D$3,' CADASTRO'!$R:$R,'acab equip'!J71)</f>
        <v>0</v>
      </c>
      <c r="M71" s="163">
        <f>COUNTIFS(' CADASTRO'!$R$746:$R$893,'acab equip'!J71,' CADASTRO'!$S$746:$S$893,'acab equip'!$L$3)+COUNTIFS(' CADASTRO'!$R$746:$R$893,'acab equip'!J71,' CADASTRO'!$S$746:$S$893,'acab equip'!$K$3)</f>
        <v>0</v>
      </c>
      <c r="N71" s="162">
        <f t="shared" si="21"/>
        <v>46205</v>
      </c>
      <c r="O71" s="163">
        <f>COUNTIFS(' CADASTRO'!$S:$S,'acab equip'!$C$3,' CADASTRO'!$R:$R,'acab equip'!N71)</f>
        <v>0</v>
      </c>
      <c r="P71" s="163">
        <f>COUNTIFS(' CADASTRO'!$S:$S,'acab equip'!$D$3,' CADASTRO'!$R:$R,'acab equip'!N71)</f>
        <v>0</v>
      </c>
      <c r="Q71" s="163">
        <f>COUNTIFS(' CADASTRO'!$R$746:$R$893,'acab equip'!N71,' CADASTRO'!$S$746:$S$893,'acab equip'!$P$3)+COUNTIFS(' CADASTRO'!$R$746:$R$893,'acab equip'!N71,' CADASTRO'!$S$746:$S$893,'acab equip'!$O$3)</f>
        <v>0</v>
      </c>
      <c r="R71" s="162">
        <f t="shared" si="22"/>
        <v>46206</v>
      </c>
      <c r="S71" s="163">
        <f>COUNTIFS(' CADASTRO'!$S:$S,'acab equip'!$C$3,' CADASTRO'!$R:$R,'acab equip'!R71)</f>
        <v>0</v>
      </c>
      <c r="T71" s="163">
        <f>COUNTIFS(' CADASTRO'!$S:$S,'acab equip'!$D$3,' CADASTRO'!$R:$R,'acab equip'!R71)</f>
        <v>0</v>
      </c>
      <c r="U71" s="163">
        <f>COUNTIFS(' CADASTRO'!$R$746:$R$893,'acab equip'!R71,' CADASTRO'!$S$746:$S$893,'acab equip'!$T$3)+COUNTIFS(' CADASTRO'!$R$746:$R$893,'acab equip'!R71,' CADASTRO'!$S$746:$S$893,'acab equip'!$S$3)</f>
        <v>0</v>
      </c>
      <c r="V71" s="162">
        <f t="shared" si="23"/>
        <v>46207</v>
      </c>
      <c r="W71" s="163">
        <f>COUNTIFS(' CADASTRO'!$S:$S,'acab equip'!$C$3,' CADASTRO'!$R:$R,'acab equip'!V71)</f>
        <v>0</v>
      </c>
      <c r="X71" s="163">
        <f>COUNTIFS(' CADASTRO'!$S:$S,'acab equip'!$D$3,' CADASTRO'!$R:$R,'acab equip'!V71)</f>
        <v>0</v>
      </c>
      <c r="Y71" s="163">
        <f>COUNTIFS(' CADASTRO'!$R$746:$R$893,'acab equip'!V71,' CADASTRO'!$S$746:$S$893,'acab equip'!$X$3)+COUNTIFS(' CADASTRO'!$R$746:$R$893,'acab equip'!V71,' CADASTRO'!$S$746:$S$893,'acab equip'!$W$3)</f>
        <v>0</v>
      </c>
      <c r="Z71" s="162">
        <f t="shared" si="24"/>
        <v>46208</v>
      </c>
      <c r="AB71" s="165">
        <f t="shared" si="14"/>
        <v>0</v>
      </c>
      <c r="AC71" s="165">
        <f t="shared" si="15"/>
        <v>0</v>
      </c>
      <c r="AD71" s="165">
        <f t="shared" si="16"/>
        <v>0</v>
      </c>
      <c r="AE71" s="177">
        <f t="shared" si="17"/>
        <v>0</v>
      </c>
    </row>
    <row r="72" spans="2:31" x14ac:dyDescent="0.25">
      <c r="B72" s="162">
        <f t="shared" si="18"/>
        <v>46209</v>
      </c>
      <c r="C72" s="163">
        <f>COUNTIFS(' CADASTRO'!$S:$S,'acab equip'!$C$3,' CADASTRO'!$R:$R,'acab equip'!B72)</f>
        <v>0</v>
      </c>
      <c r="D72" s="163">
        <f>COUNTIFS(' CADASTRO'!$S:$S,'acab equip'!$D$3,' CADASTRO'!$R:$R,'acab equip'!B72)</f>
        <v>0</v>
      </c>
      <c r="E72" s="163">
        <f>COUNTIFS(' CADASTRO'!$R$746:$R$893,'acab equip'!B72,' CADASTRO'!$S$746:$S$893,'acab equip'!$D$3)+COUNTIFS(' CADASTRO'!$R$746:$R$893,'acab equip'!B72,' CADASTRO'!$S$746:$S$893,'acab equip'!$C$3)</f>
        <v>0</v>
      </c>
      <c r="F72" s="162">
        <f t="shared" si="19"/>
        <v>46210</v>
      </c>
      <c r="G72" s="163">
        <f>COUNTIFS(' CADASTRO'!$S:$S,'acab equip'!$C$3,' CADASTRO'!$R:$R,'acab equip'!F72)</f>
        <v>0</v>
      </c>
      <c r="H72" s="163">
        <f>COUNTIFS(' CADASTRO'!$S:$S,'acab equip'!$D$3,' CADASTRO'!$R:$R,'acab equip'!F72)</f>
        <v>0</v>
      </c>
      <c r="I72" s="163">
        <f>COUNTIFS(' CADASTRO'!$R$746:$R$893,'acab equip'!F72,' CADASTRO'!$S$746:$S$893,'acab equip'!$H$3)+COUNTIFS(' CADASTRO'!$R$746:$R$893,'acab equip'!F72,' CADASTRO'!$S$746:$S$893,'acab equip'!$G$3)</f>
        <v>0</v>
      </c>
      <c r="J72" s="162">
        <f t="shared" si="20"/>
        <v>46211</v>
      </c>
      <c r="K72" s="163">
        <f>COUNTIFS(' CADASTRO'!$S:$S,'acab equip'!$C$3,' CADASTRO'!$R:$R,'acab equip'!J72)</f>
        <v>0</v>
      </c>
      <c r="L72" s="163">
        <f>COUNTIFS(' CADASTRO'!$S:$S,'acab equip'!$D$3,' CADASTRO'!$R:$R,'acab equip'!J72)</f>
        <v>0</v>
      </c>
      <c r="M72" s="163">
        <f>COUNTIFS(' CADASTRO'!$R$746:$R$893,'acab equip'!J72,' CADASTRO'!$S$746:$S$893,'acab equip'!$L$3)+COUNTIFS(' CADASTRO'!$R$746:$R$893,'acab equip'!J72,' CADASTRO'!$S$746:$S$893,'acab equip'!$K$3)</f>
        <v>0</v>
      </c>
      <c r="N72" s="162">
        <f t="shared" si="21"/>
        <v>46212</v>
      </c>
      <c r="O72" s="163">
        <f>COUNTIFS(' CADASTRO'!$S:$S,'acab equip'!$C$3,' CADASTRO'!$R:$R,'acab equip'!N72)</f>
        <v>0</v>
      </c>
      <c r="P72" s="163">
        <f>COUNTIFS(' CADASTRO'!$S:$S,'acab equip'!$D$3,' CADASTRO'!$R:$R,'acab equip'!N72)</f>
        <v>0</v>
      </c>
      <c r="Q72" s="163">
        <f>COUNTIFS(' CADASTRO'!$R$746:$R$893,'acab equip'!N72,' CADASTRO'!$S$746:$S$893,'acab equip'!$P$3)+COUNTIFS(' CADASTRO'!$R$746:$R$893,'acab equip'!N72,' CADASTRO'!$S$746:$S$893,'acab equip'!$O$3)</f>
        <v>0</v>
      </c>
      <c r="R72" s="162">
        <f t="shared" si="22"/>
        <v>46213</v>
      </c>
      <c r="S72" s="163">
        <f>COUNTIFS(' CADASTRO'!$S:$S,'acab equip'!$C$3,' CADASTRO'!$R:$R,'acab equip'!R72)</f>
        <v>0</v>
      </c>
      <c r="T72" s="163">
        <f>COUNTIFS(' CADASTRO'!$S:$S,'acab equip'!$D$3,' CADASTRO'!$R:$R,'acab equip'!R72)</f>
        <v>0</v>
      </c>
      <c r="U72" s="163">
        <f>COUNTIFS(' CADASTRO'!$R$746:$R$893,'acab equip'!R72,' CADASTRO'!$S$746:$S$893,'acab equip'!$T$3)+COUNTIFS(' CADASTRO'!$R$746:$R$893,'acab equip'!R72,' CADASTRO'!$S$746:$S$893,'acab equip'!$S$3)</f>
        <v>0</v>
      </c>
      <c r="V72" s="162">
        <f t="shared" si="23"/>
        <v>46214</v>
      </c>
      <c r="W72" s="163">
        <f>COUNTIFS(' CADASTRO'!$S:$S,'acab equip'!$C$3,' CADASTRO'!$R:$R,'acab equip'!V72)</f>
        <v>0</v>
      </c>
      <c r="X72" s="163">
        <f>COUNTIFS(' CADASTRO'!$S:$S,'acab equip'!$D$3,' CADASTRO'!$R:$R,'acab equip'!V72)</f>
        <v>0</v>
      </c>
      <c r="Y72" s="163">
        <f>COUNTIFS(' CADASTRO'!$R$746:$R$893,'acab equip'!V72,' CADASTRO'!$S$746:$S$893,'acab equip'!$X$3)+COUNTIFS(' CADASTRO'!$R$746:$R$893,'acab equip'!V72,' CADASTRO'!$S$746:$S$893,'acab equip'!$W$3)</f>
        <v>0</v>
      </c>
      <c r="Z72" s="162">
        <f t="shared" si="24"/>
        <v>46215</v>
      </c>
      <c r="AB72" s="165">
        <f t="shared" si="14"/>
        <v>0</v>
      </c>
      <c r="AC72" s="165">
        <f t="shared" si="15"/>
        <v>0</v>
      </c>
      <c r="AD72" s="165">
        <f t="shared" si="16"/>
        <v>0</v>
      </c>
      <c r="AE72" s="177">
        <f t="shared" si="17"/>
        <v>0</v>
      </c>
    </row>
    <row r="73" spans="2:31" x14ac:dyDescent="0.25">
      <c r="B73" s="162">
        <f t="shared" si="18"/>
        <v>46216</v>
      </c>
      <c r="C73" s="163">
        <f>COUNTIFS(' CADASTRO'!$S:$S,'acab equip'!$C$3,' CADASTRO'!$R:$R,'acab equip'!B73)</f>
        <v>0</v>
      </c>
      <c r="D73" s="163">
        <f>COUNTIFS(' CADASTRO'!$S:$S,'acab equip'!$D$3,' CADASTRO'!$R:$R,'acab equip'!B73)</f>
        <v>0</v>
      </c>
      <c r="E73" s="163">
        <f>COUNTIFS(' CADASTRO'!$R$746:$R$893,'acab equip'!B73,' CADASTRO'!$S$746:$S$893,'acab equip'!$D$3)+COUNTIFS(' CADASTRO'!$R$746:$R$893,'acab equip'!B73,' CADASTRO'!$S$746:$S$893,'acab equip'!$C$3)</f>
        <v>0</v>
      </c>
      <c r="F73" s="162">
        <f t="shared" si="19"/>
        <v>46217</v>
      </c>
      <c r="G73" s="163">
        <f>COUNTIFS(' CADASTRO'!$S:$S,'acab equip'!$C$3,' CADASTRO'!$R:$R,'acab equip'!F73)</f>
        <v>0</v>
      </c>
      <c r="H73" s="163">
        <f>COUNTIFS(' CADASTRO'!$S:$S,'acab equip'!$D$3,' CADASTRO'!$R:$R,'acab equip'!F73)</f>
        <v>0</v>
      </c>
      <c r="I73" s="163">
        <f>COUNTIFS(' CADASTRO'!$R$746:$R$893,'acab equip'!F73,' CADASTRO'!$S$746:$S$893,'acab equip'!$H$3)+COUNTIFS(' CADASTRO'!$R$746:$R$893,'acab equip'!F73,' CADASTRO'!$S$746:$S$893,'acab equip'!$G$3)</f>
        <v>0</v>
      </c>
      <c r="J73" s="162">
        <f t="shared" si="20"/>
        <v>46218</v>
      </c>
      <c r="K73" s="163">
        <f>COUNTIFS(' CADASTRO'!$S:$S,'acab equip'!$C$3,' CADASTRO'!$R:$R,'acab equip'!J73)</f>
        <v>0</v>
      </c>
      <c r="L73" s="163">
        <f>COUNTIFS(' CADASTRO'!$S:$S,'acab equip'!$D$3,' CADASTRO'!$R:$R,'acab equip'!J73)</f>
        <v>0</v>
      </c>
      <c r="M73" s="163">
        <f>COUNTIFS(' CADASTRO'!$R$746:$R$893,'acab equip'!J73,' CADASTRO'!$S$746:$S$893,'acab equip'!$L$3)+COUNTIFS(' CADASTRO'!$R$746:$R$893,'acab equip'!J73,' CADASTRO'!$S$746:$S$893,'acab equip'!$K$3)</f>
        <v>0</v>
      </c>
      <c r="N73" s="162">
        <f t="shared" si="21"/>
        <v>46219</v>
      </c>
      <c r="O73" s="163">
        <f>COUNTIFS(' CADASTRO'!$S:$S,'acab equip'!$C$3,' CADASTRO'!$R:$R,'acab equip'!N73)</f>
        <v>0</v>
      </c>
      <c r="P73" s="163">
        <f>COUNTIFS(' CADASTRO'!$S:$S,'acab equip'!$D$3,' CADASTRO'!$R:$R,'acab equip'!N73)</f>
        <v>0</v>
      </c>
      <c r="Q73" s="163">
        <f>COUNTIFS(' CADASTRO'!$R$746:$R$893,'acab equip'!N73,' CADASTRO'!$S$746:$S$893,'acab equip'!$P$3)+COUNTIFS(' CADASTRO'!$R$746:$R$893,'acab equip'!N73,' CADASTRO'!$S$746:$S$893,'acab equip'!$O$3)</f>
        <v>0</v>
      </c>
      <c r="R73" s="162">
        <f t="shared" si="22"/>
        <v>46220</v>
      </c>
      <c r="S73" s="163">
        <f>COUNTIFS(' CADASTRO'!$S:$S,'acab equip'!$C$3,' CADASTRO'!$R:$R,'acab equip'!R73)</f>
        <v>0</v>
      </c>
      <c r="T73" s="163">
        <f>COUNTIFS(' CADASTRO'!$S:$S,'acab equip'!$D$3,' CADASTRO'!$R:$R,'acab equip'!R73)</f>
        <v>0</v>
      </c>
      <c r="U73" s="163">
        <f>COUNTIFS(' CADASTRO'!$R$746:$R$893,'acab equip'!R73,' CADASTRO'!$S$746:$S$893,'acab equip'!$T$3)+COUNTIFS(' CADASTRO'!$R$746:$R$893,'acab equip'!R73,' CADASTRO'!$S$746:$S$893,'acab equip'!$S$3)</f>
        <v>0</v>
      </c>
      <c r="V73" s="162">
        <f t="shared" si="23"/>
        <v>46221</v>
      </c>
      <c r="W73" s="163">
        <f>COUNTIFS(' CADASTRO'!$S:$S,'acab equip'!$C$3,' CADASTRO'!$R:$R,'acab equip'!V73)</f>
        <v>0</v>
      </c>
      <c r="X73" s="163">
        <f>COUNTIFS(' CADASTRO'!$S:$S,'acab equip'!$D$3,' CADASTRO'!$R:$R,'acab equip'!V73)</f>
        <v>0</v>
      </c>
      <c r="Y73" s="163">
        <f>COUNTIFS(' CADASTRO'!$R$746:$R$893,'acab equip'!V73,' CADASTRO'!$S$746:$S$893,'acab equip'!$X$3)+COUNTIFS(' CADASTRO'!$R$746:$R$893,'acab equip'!V73,' CADASTRO'!$S$746:$S$893,'acab equip'!$W$3)</f>
        <v>0</v>
      </c>
      <c r="Z73" s="162">
        <f t="shared" si="24"/>
        <v>46222</v>
      </c>
      <c r="AB73" s="165">
        <f t="shared" si="14"/>
        <v>0</v>
      </c>
      <c r="AC73" s="165">
        <f t="shared" si="15"/>
        <v>0</v>
      </c>
      <c r="AD73" s="165">
        <f t="shared" si="16"/>
        <v>0</v>
      </c>
      <c r="AE73" s="177">
        <f t="shared" si="17"/>
        <v>0</v>
      </c>
    </row>
    <row r="74" spans="2:31" x14ac:dyDescent="0.25">
      <c r="B74" s="162">
        <f t="shared" si="18"/>
        <v>46223</v>
      </c>
      <c r="C74" s="163">
        <f>COUNTIFS(' CADASTRO'!$S:$S,'acab equip'!$C$3,' CADASTRO'!$R:$R,'acab equip'!B74)</f>
        <v>0</v>
      </c>
      <c r="D74" s="163">
        <f>COUNTIFS(' CADASTRO'!$S:$S,'acab equip'!$D$3,' CADASTRO'!$R:$R,'acab equip'!B74)</f>
        <v>0</v>
      </c>
      <c r="E74" s="163">
        <f>COUNTIFS(' CADASTRO'!$R$746:$R$893,'acab equip'!B74,' CADASTRO'!$S$746:$S$893,'acab equip'!$D$3)+COUNTIFS(' CADASTRO'!$R$746:$R$893,'acab equip'!B74,' CADASTRO'!$S$746:$S$893,'acab equip'!$C$3)</f>
        <v>0</v>
      </c>
      <c r="F74" s="162">
        <f t="shared" si="19"/>
        <v>46224</v>
      </c>
      <c r="G74" s="163">
        <f>COUNTIFS(' CADASTRO'!$S:$S,'acab equip'!$C$3,' CADASTRO'!$R:$R,'acab equip'!F74)</f>
        <v>0</v>
      </c>
      <c r="H74" s="163">
        <f>COUNTIFS(' CADASTRO'!$S:$S,'acab equip'!$D$3,' CADASTRO'!$R:$R,'acab equip'!F74)</f>
        <v>0</v>
      </c>
      <c r="I74" s="163">
        <f>COUNTIFS(' CADASTRO'!$R$746:$R$893,'acab equip'!F74,' CADASTRO'!$S$746:$S$893,'acab equip'!$H$3)+COUNTIFS(' CADASTRO'!$R$746:$R$893,'acab equip'!F74,' CADASTRO'!$S$746:$S$893,'acab equip'!$G$3)</f>
        <v>0</v>
      </c>
      <c r="J74" s="162">
        <f t="shared" si="20"/>
        <v>46225</v>
      </c>
      <c r="K74" s="163">
        <f>COUNTIFS(' CADASTRO'!$S:$S,'acab equip'!$C$3,' CADASTRO'!$R:$R,'acab equip'!J74)</f>
        <v>0</v>
      </c>
      <c r="L74" s="163">
        <f>COUNTIFS(' CADASTRO'!$S:$S,'acab equip'!$D$3,' CADASTRO'!$R:$R,'acab equip'!J74)</f>
        <v>0</v>
      </c>
      <c r="M74" s="163">
        <f>COUNTIFS(' CADASTRO'!$R$746:$R$893,'acab equip'!J74,' CADASTRO'!$S$746:$S$893,'acab equip'!$L$3)+COUNTIFS(' CADASTRO'!$R$746:$R$893,'acab equip'!J74,' CADASTRO'!$S$746:$S$893,'acab equip'!$K$3)</f>
        <v>0</v>
      </c>
      <c r="N74" s="162">
        <f t="shared" si="21"/>
        <v>46226</v>
      </c>
      <c r="O74" s="163">
        <f>COUNTIFS(' CADASTRO'!$S:$S,'acab equip'!$C$3,' CADASTRO'!$R:$R,'acab equip'!N74)</f>
        <v>0</v>
      </c>
      <c r="P74" s="163">
        <f>COUNTIFS(' CADASTRO'!$S:$S,'acab equip'!$D$3,' CADASTRO'!$R:$R,'acab equip'!N74)</f>
        <v>0</v>
      </c>
      <c r="Q74" s="163">
        <f>COUNTIFS(' CADASTRO'!$R$746:$R$893,'acab equip'!N74,' CADASTRO'!$S$746:$S$893,'acab equip'!$P$3)+COUNTIFS(' CADASTRO'!$R$746:$R$893,'acab equip'!N74,' CADASTRO'!$S$746:$S$893,'acab equip'!$O$3)</f>
        <v>0</v>
      </c>
      <c r="R74" s="162">
        <f t="shared" si="22"/>
        <v>46227</v>
      </c>
      <c r="S74" s="163">
        <f>COUNTIFS(' CADASTRO'!$S:$S,'acab equip'!$C$3,' CADASTRO'!$R:$R,'acab equip'!R74)</f>
        <v>0</v>
      </c>
      <c r="T74" s="163">
        <f>COUNTIFS(' CADASTRO'!$S:$S,'acab equip'!$D$3,' CADASTRO'!$R:$R,'acab equip'!R74)</f>
        <v>0</v>
      </c>
      <c r="U74" s="163">
        <f>COUNTIFS(' CADASTRO'!$R$746:$R$893,'acab equip'!R74,' CADASTRO'!$S$746:$S$893,'acab equip'!$T$3)+COUNTIFS(' CADASTRO'!$R$746:$R$893,'acab equip'!R74,' CADASTRO'!$S$746:$S$893,'acab equip'!$S$3)</f>
        <v>0</v>
      </c>
      <c r="V74" s="162">
        <f t="shared" si="23"/>
        <v>46228</v>
      </c>
      <c r="W74" s="163">
        <f>COUNTIFS(' CADASTRO'!$S:$S,'acab equip'!$C$3,' CADASTRO'!$R:$R,'acab equip'!V74)</f>
        <v>0</v>
      </c>
      <c r="X74" s="163">
        <f>COUNTIFS(' CADASTRO'!$S:$S,'acab equip'!$D$3,' CADASTRO'!$R:$R,'acab equip'!V74)</f>
        <v>0</v>
      </c>
      <c r="Y74" s="163">
        <f>COUNTIFS(' CADASTRO'!$R$746:$R$893,'acab equip'!V74,' CADASTRO'!$S$746:$S$893,'acab equip'!$X$3)+COUNTIFS(' CADASTRO'!$R$746:$R$893,'acab equip'!V74,' CADASTRO'!$S$746:$S$893,'acab equip'!$W$3)</f>
        <v>0</v>
      </c>
      <c r="Z74" s="162">
        <f t="shared" si="24"/>
        <v>46229</v>
      </c>
      <c r="AB74" s="165">
        <f t="shared" si="14"/>
        <v>0</v>
      </c>
      <c r="AC74" s="165">
        <f t="shared" si="15"/>
        <v>0</v>
      </c>
      <c r="AD74" s="165">
        <f t="shared" si="16"/>
        <v>0</v>
      </c>
      <c r="AE74" s="177">
        <f t="shared" si="17"/>
        <v>0</v>
      </c>
    </row>
    <row r="75" spans="2:31" x14ac:dyDescent="0.25">
      <c r="B75" s="162">
        <f t="shared" si="18"/>
        <v>46230</v>
      </c>
      <c r="C75" s="163">
        <f>COUNTIFS(' CADASTRO'!$S:$S,'acab equip'!$C$3,' CADASTRO'!$R:$R,'acab equip'!B75)</f>
        <v>0</v>
      </c>
      <c r="D75" s="163">
        <f>COUNTIFS(' CADASTRO'!$S:$S,'acab equip'!$D$3,' CADASTRO'!$R:$R,'acab equip'!B75)</f>
        <v>0</v>
      </c>
      <c r="E75" s="163">
        <f>COUNTIFS(' CADASTRO'!$R$746:$R$893,'acab equip'!B75,' CADASTRO'!$S$746:$S$893,'acab equip'!$D$3)+COUNTIFS(' CADASTRO'!$R$746:$R$893,'acab equip'!B75,' CADASTRO'!$S$746:$S$893,'acab equip'!$C$3)</f>
        <v>0</v>
      </c>
      <c r="F75" s="162">
        <f t="shared" si="19"/>
        <v>46231</v>
      </c>
      <c r="G75" s="163">
        <f>COUNTIFS(' CADASTRO'!$S:$S,'acab equip'!$C$3,' CADASTRO'!$R:$R,'acab equip'!F75)</f>
        <v>0</v>
      </c>
      <c r="H75" s="163">
        <f>COUNTIFS(' CADASTRO'!$S:$S,'acab equip'!$D$3,' CADASTRO'!$R:$R,'acab equip'!F75)</f>
        <v>0</v>
      </c>
      <c r="I75" s="163">
        <f>COUNTIFS(' CADASTRO'!$R$746:$R$893,'acab equip'!F75,' CADASTRO'!$S$746:$S$893,'acab equip'!$H$3)+COUNTIFS(' CADASTRO'!$R$746:$R$893,'acab equip'!F75,' CADASTRO'!$S$746:$S$893,'acab equip'!$G$3)</f>
        <v>0</v>
      </c>
      <c r="J75" s="162">
        <f t="shared" si="20"/>
        <v>46232</v>
      </c>
      <c r="K75" s="163">
        <f>COUNTIFS(' CADASTRO'!$S:$S,'acab equip'!$C$3,' CADASTRO'!$R:$R,'acab equip'!J75)</f>
        <v>0</v>
      </c>
      <c r="L75" s="163">
        <f>COUNTIFS(' CADASTRO'!$S:$S,'acab equip'!$D$3,' CADASTRO'!$R:$R,'acab equip'!J75)</f>
        <v>0</v>
      </c>
      <c r="M75" s="163">
        <f>COUNTIFS(' CADASTRO'!$R$746:$R$893,'acab equip'!J75,' CADASTRO'!$S$746:$S$893,'acab equip'!$L$3)+COUNTIFS(' CADASTRO'!$R$746:$R$893,'acab equip'!J75,' CADASTRO'!$S$746:$S$893,'acab equip'!$K$3)</f>
        <v>0</v>
      </c>
      <c r="N75" s="162">
        <f t="shared" si="21"/>
        <v>46233</v>
      </c>
      <c r="O75" s="163">
        <f>COUNTIFS(' CADASTRO'!$S:$S,'acab equip'!$C$3,' CADASTRO'!$R:$R,'acab equip'!N75)</f>
        <v>0</v>
      </c>
      <c r="P75" s="163">
        <f>COUNTIFS(' CADASTRO'!$S:$S,'acab equip'!$D$3,' CADASTRO'!$R:$R,'acab equip'!N75)</f>
        <v>0</v>
      </c>
      <c r="Q75" s="163">
        <f>COUNTIFS(' CADASTRO'!$R$746:$R$893,'acab equip'!N75,' CADASTRO'!$S$746:$S$893,'acab equip'!$P$3)+COUNTIFS(' CADASTRO'!$R$746:$R$893,'acab equip'!N75,' CADASTRO'!$S$746:$S$893,'acab equip'!$O$3)</f>
        <v>0</v>
      </c>
      <c r="R75" s="162">
        <f t="shared" si="22"/>
        <v>46234</v>
      </c>
      <c r="S75" s="163">
        <f>COUNTIFS(' CADASTRO'!$S:$S,'acab equip'!$C$3,' CADASTRO'!$R:$R,'acab equip'!R75)</f>
        <v>0</v>
      </c>
      <c r="T75" s="163">
        <f>COUNTIFS(' CADASTRO'!$S:$S,'acab equip'!$D$3,' CADASTRO'!$R:$R,'acab equip'!R75)</f>
        <v>0</v>
      </c>
      <c r="U75" s="163">
        <f>COUNTIFS(' CADASTRO'!$R$746:$R$893,'acab equip'!R75,' CADASTRO'!$S$746:$S$893,'acab equip'!$T$3)+COUNTIFS(' CADASTRO'!$R$746:$R$893,'acab equip'!R75,' CADASTRO'!$S$746:$S$893,'acab equip'!$S$3)</f>
        <v>0</v>
      </c>
      <c r="V75" s="162">
        <f t="shared" si="23"/>
        <v>46235</v>
      </c>
      <c r="W75" s="163">
        <f>COUNTIFS(' CADASTRO'!$S:$S,'acab equip'!$C$3,' CADASTRO'!$R:$R,'acab equip'!V75)</f>
        <v>0</v>
      </c>
      <c r="X75" s="163">
        <f>COUNTIFS(' CADASTRO'!$S:$S,'acab equip'!$D$3,' CADASTRO'!$R:$R,'acab equip'!V75)</f>
        <v>0</v>
      </c>
      <c r="Y75" s="163">
        <f>COUNTIFS(' CADASTRO'!$R$746:$R$893,'acab equip'!V75,' CADASTRO'!$S$746:$S$893,'acab equip'!$X$3)+COUNTIFS(' CADASTRO'!$R$746:$R$893,'acab equip'!V75,' CADASTRO'!$S$746:$S$893,'acab equip'!$W$3)</f>
        <v>0</v>
      </c>
      <c r="Z75" s="162">
        <f t="shared" si="24"/>
        <v>46236</v>
      </c>
      <c r="AB75" s="165">
        <f t="shared" si="14"/>
        <v>0</v>
      </c>
      <c r="AC75" s="165">
        <f t="shared" si="15"/>
        <v>0</v>
      </c>
      <c r="AD75" s="165">
        <f t="shared" si="16"/>
        <v>0</v>
      </c>
      <c r="AE75" s="177">
        <f t="shared" si="17"/>
        <v>0</v>
      </c>
    </row>
    <row r="76" spans="2:31" x14ac:dyDescent="0.25">
      <c r="B76" s="162">
        <f t="shared" si="18"/>
        <v>46237</v>
      </c>
      <c r="C76" s="163">
        <f>COUNTIFS(' CADASTRO'!$S:$S,'acab equip'!$C$3,' CADASTRO'!$R:$R,'acab equip'!B76)</f>
        <v>0</v>
      </c>
      <c r="D76" s="163">
        <f>COUNTIFS(' CADASTRO'!$S:$S,'acab equip'!$D$3,' CADASTRO'!$R:$R,'acab equip'!B76)</f>
        <v>0</v>
      </c>
      <c r="E76" s="163">
        <f>COUNTIFS(' CADASTRO'!$R$746:$R$893,'acab equip'!B76,' CADASTRO'!$S$746:$S$893,'acab equip'!$D$3)+COUNTIFS(' CADASTRO'!$R$746:$R$893,'acab equip'!B76,' CADASTRO'!$S$746:$S$893,'acab equip'!$C$3)</f>
        <v>0</v>
      </c>
      <c r="F76" s="162">
        <f t="shared" si="19"/>
        <v>46238</v>
      </c>
      <c r="G76" s="163">
        <f>COUNTIFS(' CADASTRO'!$S:$S,'acab equip'!$C$3,' CADASTRO'!$R:$R,'acab equip'!F76)</f>
        <v>0</v>
      </c>
      <c r="H76" s="163">
        <f>COUNTIFS(' CADASTRO'!$S:$S,'acab equip'!$D$3,' CADASTRO'!$R:$R,'acab equip'!F76)</f>
        <v>0</v>
      </c>
      <c r="I76" s="163">
        <f>COUNTIFS(' CADASTRO'!$R$746:$R$893,'acab equip'!F76,' CADASTRO'!$S$746:$S$893,'acab equip'!$H$3)+COUNTIFS(' CADASTRO'!$R$746:$R$893,'acab equip'!F76,' CADASTRO'!$S$746:$S$893,'acab equip'!$G$3)</f>
        <v>0</v>
      </c>
      <c r="J76" s="162">
        <f t="shared" si="20"/>
        <v>46239</v>
      </c>
      <c r="K76" s="163">
        <f>COUNTIFS(' CADASTRO'!$S:$S,'acab equip'!$C$3,' CADASTRO'!$R:$R,'acab equip'!J76)</f>
        <v>0</v>
      </c>
      <c r="L76" s="163">
        <f>COUNTIFS(' CADASTRO'!$S:$S,'acab equip'!$D$3,' CADASTRO'!$R:$R,'acab equip'!J76)</f>
        <v>0</v>
      </c>
      <c r="M76" s="163">
        <f>COUNTIFS(' CADASTRO'!$R$746:$R$893,'acab equip'!J76,' CADASTRO'!$S$746:$S$893,'acab equip'!$L$3)+COUNTIFS(' CADASTRO'!$R$746:$R$893,'acab equip'!J76,' CADASTRO'!$S$746:$S$893,'acab equip'!$K$3)</f>
        <v>0</v>
      </c>
      <c r="N76" s="162">
        <f t="shared" si="21"/>
        <v>46240</v>
      </c>
      <c r="O76" s="163">
        <f>COUNTIFS(' CADASTRO'!$S:$S,'acab equip'!$C$3,' CADASTRO'!$R:$R,'acab equip'!N76)</f>
        <v>0</v>
      </c>
      <c r="P76" s="163">
        <f>COUNTIFS(' CADASTRO'!$S:$S,'acab equip'!$D$3,' CADASTRO'!$R:$R,'acab equip'!N76)</f>
        <v>0</v>
      </c>
      <c r="Q76" s="163">
        <f>COUNTIFS(' CADASTRO'!$R$746:$R$893,'acab equip'!N76,' CADASTRO'!$S$746:$S$893,'acab equip'!$P$3)+COUNTIFS(' CADASTRO'!$R$746:$R$893,'acab equip'!N76,' CADASTRO'!$S$746:$S$893,'acab equip'!$O$3)</f>
        <v>0</v>
      </c>
      <c r="R76" s="162">
        <f t="shared" si="22"/>
        <v>46241</v>
      </c>
      <c r="S76" s="163">
        <f>COUNTIFS(' CADASTRO'!$S:$S,'acab equip'!$C$3,' CADASTRO'!$R:$R,'acab equip'!R76)</f>
        <v>0</v>
      </c>
      <c r="T76" s="163">
        <f>COUNTIFS(' CADASTRO'!$S:$S,'acab equip'!$D$3,' CADASTRO'!$R:$R,'acab equip'!R76)</f>
        <v>0</v>
      </c>
      <c r="U76" s="163">
        <f>COUNTIFS(' CADASTRO'!$R$746:$R$893,'acab equip'!R76,' CADASTRO'!$S$746:$S$893,'acab equip'!$T$3)+COUNTIFS(' CADASTRO'!$R$746:$R$893,'acab equip'!R76,' CADASTRO'!$S$746:$S$893,'acab equip'!$S$3)</f>
        <v>0</v>
      </c>
      <c r="V76" s="162">
        <f t="shared" si="23"/>
        <v>46242</v>
      </c>
      <c r="W76" s="163">
        <f>COUNTIFS(' CADASTRO'!$S:$S,'acab equip'!$C$3,' CADASTRO'!$R:$R,'acab equip'!V76)</f>
        <v>0</v>
      </c>
      <c r="X76" s="163">
        <f>COUNTIFS(' CADASTRO'!$S:$S,'acab equip'!$D$3,' CADASTRO'!$R:$R,'acab equip'!V76)</f>
        <v>0</v>
      </c>
      <c r="Y76" s="163">
        <f>COUNTIFS(' CADASTRO'!$R$746:$R$893,'acab equip'!V76,' CADASTRO'!$S$746:$S$893,'acab equip'!$X$3)+COUNTIFS(' CADASTRO'!$R$746:$R$893,'acab equip'!V76,' CADASTRO'!$S$746:$S$893,'acab equip'!$W$3)</f>
        <v>0</v>
      </c>
      <c r="Z76" s="162">
        <f t="shared" si="24"/>
        <v>46243</v>
      </c>
      <c r="AB76" s="165">
        <f t="shared" si="14"/>
        <v>0</v>
      </c>
      <c r="AC76" s="165">
        <f t="shared" si="15"/>
        <v>0</v>
      </c>
      <c r="AD76" s="165">
        <f t="shared" si="16"/>
        <v>0</v>
      </c>
      <c r="AE76" s="177">
        <f t="shared" si="17"/>
        <v>0</v>
      </c>
    </row>
    <row r="77" spans="2:31" x14ac:dyDescent="0.25">
      <c r="B77" s="162">
        <f t="shared" si="18"/>
        <v>46244</v>
      </c>
      <c r="C77" s="163">
        <f>COUNTIFS(' CADASTRO'!$S:$S,'acab equip'!$C$3,' CADASTRO'!$R:$R,'acab equip'!B77)</f>
        <v>0</v>
      </c>
      <c r="D77" s="163">
        <f>COUNTIFS(' CADASTRO'!$S:$S,'acab equip'!$D$3,' CADASTRO'!$R:$R,'acab equip'!B77)</f>
        <v>0</v>
      </c>
      <c r="E77" s="163">
        <f>COUNTIFS(' CADASTRO'!$R$746:$R$893,'acab equip'!B77,' CADASTRO'!$S$746:$S$893,'acab equip'!$D$3)+COUNTIFS(' CADASTRO'!$R$746:$R$893,'acab equip'!B77,' CADASTRO'!$S$746:$S$893,'acab equip'!$C$3)</f>
        <v>0</v>
      </c>
      <c r="F77" s="162">
        <f t="shared" si="19"/>
        <v>46245</v>
      </c>
      <c r="G77" s="163">
        <f>COUNTIFS(' CADASTRO'!$S:$S,'acab equip'!$C$3,' CADASTRO'!$R:$R,'acab equip'!F77)</f>
        <v>0</v>
      </c>
      <c r="H77" s="163">
        <f>COUNTIFS(' CADASTRO'!$S:$S,'acab equip'!$D$3,' CADASTRO'!$R:$R,'acab equip'!F77)</f>
        <v>0</v>
      </c>
      <c r="I77" s="163">
        <f>COUNTIFS(' CADASTRO'!$R$746:$R$893,'acab equip'!F77,' CADASTRO'!$S$746:$S$893,'acab equip'!$H$3)+COUNTIFS(' CADASTRO'!$R$746:$R$893,'acab equip'!F77,' CADASTRO'!$S$746:$S$893,'acab equip'!$G$3)</f>
        <v>0</v>
      </c>
      <c r="J77" s="162">
        <f t="shared" si="20"/>
        <v>46246</v>
      </c>
      <c r="K77" s="163">
        <f>COUNTIFS(' CADASTRO'!$S:$S,'acab equip'!$C$3,' CADASTRO'!$R:$R,'acab equip'!J77)</f>
        <v>0</v>
      </c>
      <c r="L77" s="163">
        <f>COUNTIFS(' CADASTRO'!$S:$S,'acab equip'!$D$3,' CADASTRO'!$R:$R,'acab equip'!J77)</f>
        <v>0</v>
      </c>
      <c r="M77" s="163">
        <f>COUNTIFS(' CADASTRO'!$R$746:$R$893,'acab equip'!J77,' CADASTRO'!$S$746:$S$893,'acab equip'!$L$3)+COUNTIFS(' CADASTRO'!$R$746:$R$893,'acab equip'!J77,' CADASTRO'!$S$746:$S$893,'acab equip'!$K$3)</f>
        <v>0</v>
      </c>
      <c r="N77" s="162">
        <f t="shared" si="21"/>
        <v>46247</v>
      </c>
      <c r="O77" s="163">
        <f>COUNTIFS(' CADASTRO'!$S:$S,'acab equip'!$C$3,' CADASTRO'!$R:$R,'acab equip'!N77)</f>
        <v>0</v>
      </c>
      <c r="P77" s="163">
        <f>COUNTIFS(' CADASTRO'!$S:$S,'acab equip'!$D$3,' CADASTRO'!$R:$R,'acab equip'!N77)</f>
        <v>0</v>
      </c>
      <c r="Q77" s="163">
        <f>COUNTIFS(' CADASTRO'!$R$746:$R$893,'acab equip'!N77,' CADASTRO'!$S$746:$S$893,'acab equip'!$P$3)+COUNTIFS(' CADASTRO'!$R$746:$R$893,'acab equip'!N77,' CADASTRO'!$S$746:$S$893,'acab equip'!$O$3)</f>
        <v>0</v>
      </c>
      <c r="R77" s="162">
        <f t="shared" si="22"/>
        <v>46248</v>
      </c>
      <c r="S77" s="163">
        <f>COUNTIFS(' CADASTRO'!$S:$S,'acab equip'!$C$3,' CADASTRO'!$R:$R,'acab equip'!R77)</f>
        <v>0</v>
      </c>
      <c r="T77" s="163">
        <f>COUNTIFS(' CADASTRO'!$S:$S,'acab equip'!$D$3,' CADASTRO'!$R:$R,'acab equip'!R77)</f>
        <v>0</v>
      </c>
      <c r="U77" s="163">
        <f>COUNTIFS(' CADASTRO'!$R$746:$R$893,'acab equip'!R77,' CADASTRO'!$S$746:$S$893,'acab equip'!$T$3)+COUNTIFS(' CADASTRO'!$R$746:$R$893,'acab equip'!R77,' CADASTRO'!$S$746:$S$893,'acab equip'!$S$3)</f>
        <v>0</v>
      </c>
      <c r="V77" s="162">
        <f t="shared" si="23"/>
        <v>46249</v>
      </c>
      <c r="W77" s="163">
        <f>COUNTIFS(' CADASTRO'!$S:$S,'acab equip'!$C$3,' CADASTRO'!$R:$R,'acab equip'!V77)</f>
        <v>0</v>
      </c>
      <c r="X77" s="163">
        <f>COUNTIFS(' CADASTRO'!$S:$S,'acab equip'!$D$3,' CADASTRO'!$R:$R,'acab equip'!V77)</f>
        <v>0</v>
      </c>
      <c r="Y77" s="163">
        <f>COUNTIFS(' CADASTRO'!$R$746:$R$893,'acab equip'!V77,' CADASTRO'!$S$746:$S$893,'acab equip'!$X$3)+COUNTIFS(' CADASTRO'!$R$746:$R$893,'acab equip'!V77,' CADASTRO'!$S$746:$S$893,'acab equip'!$W$3)</f>
        <v>0</v>
      </c>
      <c r="Z77" s="162">
        <f t="shared" si="24"/>
        <v>46250</v>
      </c>
      <c r="AB77" s="165">
        <f t="shared" si="14"/>
        <v>0</v>
      </c>
      <c r="AC77" s="165">
        <f t="shared" si="15"/>
        <v>0</v>
      </c>
      <c r="AD77" s="165">
        <f t="shared" si="16"/>
        <v>0</v>
      </c>
      <c r="AE77" s="177">
        <f t="shared" si="17"/>
        <v>0</v>
      </c>
    </row>
    <row r="78" spans="2:31" x14ac:dyDescent="0.25">
      <c r="B78" s="162">
        <f t="shared" si="18"/>
        <v>46251</v>
      </c>
      <c r="C78" s="163">
        <f>COUNTIFS(' CADASTRO'!$S:$S,'acab equip'!$C$3,' CADASTRO'!$R:$R,'acab equip'!B78)</f>
        <v>0</v>
      </c>
      <c r="D78" s="163">
        <f>COUNTIFS(' CADASTRO'!$S:$S,'acab equip'!$D$3,' CADASTRO'!$R:$R,'acab equip'!B78)</f>
        <v>0</v>
      </c>
      <c r="E78" s="163">
        <f>COUNTIFS(' CADASTRO'!$R$746:$R$893,'acab equip'!B78,' CADASTRO'!$S$746:$S$893,'acab equip'!$D$3)+COUNTIFS(' CADASTRO'!$R$746:$R$893,'acab equip'!B78,' CADASTRO'!$S$746:$S$893,'acab equip'!$C$3)</f>
        <v>0</v>
      </c>
      <c r="F78" s="162">
        <f t="shared" si="19"/>
        <v>46252</v>
      </c>
      <c r="G78" s="163">
        <f>COUNTIFS(' CADASTRO'!$S:$S,'acab equip'!$C$3,' CADASTRO'!$R:$R,'acab equip'!F78)</f>
        <v>0</v>
      </c>
      <c r="H78" s="163">
        <f>COUNTIFS(' CADASTRO'!$S:$S,'acab equip'!$D$3,' CADASTRO'!$R:$R,'acab equip'!F78)</f>
        <v>0</v>
      </c>
      <c r="I78" s="163">
        <f>COUNTIFS(' CADASTRO'!$R$746:$R$893,'acab equip'!F78,' CADASTRO'!$S$746:$S$893,'acab equip'!$H$3)+COUNTIFS(' CADASTRO'!$R$746:$R$893,'acab equip'!F78,' CADASTRO'!$S$746:$S$893,'acab equip'!$G$3)</f>
        <v>0</v>
      </c>
      <c r="J78" s="162">
        <f t="shared" si="20"/>
        <v>46253</v>
      </c>
      <c r="K78" s="163">
        <f>COUNTIFS(' CADASTRO'!$S:$S,'acab equip'!$C$3,' CADASTRO'!$R:$R,'acab equip'!J78)</f>
        <v>0</v>
      </c>
      <c r="L78" s="163">
        <f>COUNTIFS(' CADASTRO'!$S:$S,'acab equip'!$D$3,' CADASTRO'!$R:$R,'acab equip'!J78)</f>
        <v>0</v>
      </c>
      <c r="M78" s="163">
        <f>COUNTIFS(' CADASTRO'!$R$746:$R$893,'acab equip'!J78,' CADASTRO'!$S$746:$S$893,'acab equip'!$L$3)+COUNTIFS(' CADASTRO'!$R$746:$R$893,'acab equip'!J78,' CADASTRO'!$S$746:$S$893,'acab equip'!$K$3)</f>
        <v>0</v>
      </c>
      <c r="N78" s="162">
        <f t="shared" si="21"/>
        <v>46254</v>
      </c>
      <c r="O78" s="163">
        <f>COUNTIFS(' CADASTRO'!$S:$S,'acab equip'!$C$3,' CADASTRO'!$R:$R,'acab equip'!N78)</f>
        <v>0</v>
      </c>
      <c r="P78" s="163">
        <f>COUNTIFS(' CADASTRO'!$S:$S,'acab equip'!$D$3,' CADASTRO'!$R:$R,'acab equip'!N78)</f>
        <v>0</v>
      </c>
      <c r="Q78" s="163">
        <f>COUNTIFS(' CADASTRO'!$R$746:$R$893,'acab equip'!N78,' CADASTRO'!$S$746:$S$893,'acab equip'!$P$3)+COUNTIFS(' CADASTRO'!$R$746:$R$893,'acab equip'!N78,' CADASTRO'!$S$746:$S$893,'acab equip'!$O$3)</f>
        <v>0</v>
      </c>
      <c r="R78" s="162">
        <f t="shared" si="22"/>
        <v>46255</v>
      </c>
      <c r="S78" s="163">
        <f>COUNTIFS(' CADASTRO'!$S:$S,'acab equip'!$C$3,' CADASTRO'!$R:$R,'acab equip'!R78)</f>
        <v>0</v>
      </c>
      <c r="T78" s="163">
        <f>COUNTIFS(' CADASTRO'!$S:$S,'acab equip'!$D$3,' CADASTRO'!$R:$R,'acab equip'!R78)</f>
        <v>0</v>
      </c>
      <c r="U78" s="163">
        <f>COUNTIFS(' CADASTRO'!$R$746:$R$893,'acab equip'!R78,' CADASTRO'!$S$746:$S$893,'acab equip'!$T$3)+COUNTIFS(' CADASTRO'!$R$746:$R$893,'acab equip'!R78,' CADASTRO'!$S$746:$S$893,'acab equip'!$S$3)</f>
        <v>0</v>
      </c>
      <c r="V78" s="162">
        <f t="shared" si="23"/>
        <v>46256</v>
      </c>
      <c r="W78" s="163">
        <f>COUNTIFS(' CADASTRO'!$S:$S,'acab equip'!$C$3,' CADASTRO'!$R:$R,'acab equip'!V78)</f>
        <v>0</v>
      </c>
      <c r="X78" s="163">
        <f>COUNTIFS(' CADASTRO'!$S:$S,'acab equip'!$D$3,' CADASTRO'!$R:$R,'acab equip'!V78)</f>
        <v>0</v>
      </c>
      <c r="Y78" s="163">
        <f>COUNTIFS(' CADASTRO'!$R$746:$R$893,'acab equip'!V78,' CADASTRO'!$S$746:$S$893,'acab equip'!$X$3)+COUNTIFS(' CADASTRO'!$R$746:$R$893,'acab equip'!V78,' CADASTRO'!$S$746:$S$893,'acab equip'!$W$3)</f>
        <v>0</v>
      </c>
      <c r="Z78" s="162">
        <f t="shared" si="24"/>
        <v>46257</v>
      </c>
      <c r="AB78" s="165">
        <f t="shared" si="14"/>
        <v>0</v>
      </c>
      <c r="AC78" s="165">
        <f t="shared" si="15"/>
        <v>0</v>
      </c>
      <c r="AD78" s="165">
        <f t="shared" si="16"/>
        <v>0</v>
      </c>
      <c r="AE78" s="177">
        <f t="shared" si="17"/>
        <v>0</v>
      </c>
    </row>
    <row r="79" spans="2:31" x14ac:dyDescent="0.25">
      <c r="B79" s="162">
        <f t="shared" si="18"/>
        <v>46258</v>
      </c>
      <c r="C79" s="163">
        <f>COUNTIFS(' CADASTRO'!$S:$S,'acab equip'!$C$3,' CADASTRO'!$R:$R,'acab equip'!B79)</f>
        <v>0</v>
      </c>
      <c r="D79" s="163">
        <f>COUNTIFS(' CADASTRO'!$S:$S,'acab equip'!$D$3,' CADASTRO'!$R:$R,'acab equip'!B79)</f>
        <v>0</v>
      </c>
      <c r="E79" s="163">
        <f>COUNTIFS(' CADASTRO'!$R$746:$R$893,'acab equip'!B79,' CADASTRO'!$S$746:$S$893,'acab equip'!$D$3)+COUNTIFS(' CADASTRO'!$R$746:$R$893,'acab equip'!B79,' CADASTRO'!$S$746:$S$893,'acab equip'!$C$3)</f>
        <v>0</v>
      </c>
      <c r="F79" s="162">
        <f t="shared" si="19"/>
        <v>46259</v>
      </c>
      <c r="G79" s="163">
        <f>COUNTIFS(' CADASTRO'!$S:$S,'acab equip'!$C$3,' CADASTRO'!$R:$R,'acab equip'!F79)</f>
        <v>0</v>
      </c>
      <c r="H79" s="163">
        <f>COUNTIFS(' CADASTRO'!$S:$S,'acab equip'!$D$3,' CADASTRO'!$R:$R,'acab equip'!F79)</f>
        <v>0</v>
      </c>
      <c r="I79" s="163">
        <f>COUNTIFS(' CADASTRO'!$R$746:$R$893,'acab equip'!F79,' CADASTRO'!$S$746:$S$893,'acab equip'!$H$3)+COUNTIFS(' CADASTRO'!$R$746:$R$893,'acab equip'!F79,' CADASTRO'!$S$746:$S$893,'acab equip'!$G$3)</f>
        <v>0</v>
      </c>
      <c r="J79" s="162">
        <f t="shared" si="20"/>
        <v>46260</v>
      </c>
      <c r="K79" s="163">
        <f>COUNTIFS(' CADASTRO'!$S:$S,'acab equip'!$C$3,' CADASTRO'!$R:$R,'acab equip'!J79)</f>
        <v>0</v>
      </c>
      <c r="L79" s="163">
        <f>COUNTIFS(' CADASTRO'!$S:$S,'acab equip'!$D$3,' CADASTRO'!$R:$R,'acab equip'!J79)</f>
        <v>0</v>
      </c>
      <c r="M79" s="163">
        <f>COUNTIFS(' CADASTRO'!$R$746:$R$893,'acab equip'!J79,' CADASTRO'!$S$746:$S$893,'acab equip'!$L$3)+COUNTIFS(' CADASTRO'!$R$746:$R$893,'acab equip'!J79,' CADASTRO'!$S$746:$S$893,'acab equip'!$K$3)</f>
        <v>0</v>
      </c>
      <c r="N79" s="162">
        <f t="shared" si="21"/>
        <v>46261</v>
      </c>
      <c r="O79" s="163">
        <f>COUNTIFS(' CADASTRO'!$S:$S,'acab equip'!$C$3,' CADASTRO'!$R:$R,'acab equip'!N79)</f>
        <v>0</v>
      </c>
      <c r="P79" s="163">
        <f>COUNTIFS(' CADASTRO'!$S:$S,'acab equip'!$D$3,' CADASTRO'!$R:$R,'acab equip'!N79)</f>
        <v>0</v>
      </c>
      <c r="Q79" s="163">
        <f>COUNTIFS(' CADASTRO'!$R$746:$R$893,'acab equip'!N79,' CADASTRO'!$S$746:$S$893,'acab equip'!$P$3)+COUNTIFS(' CADASTRO'!$R$746:$R$893,'acab equip'!N79,' CADASTRO'!$S$746:$S$893,'acab equip'!$O$3)</f>
        <v>0</v>
      </c>
      <c r="R79" s="162">
        <f t="shared" si="22"/>
        <v>46262</v>
      </c>
      <c r="S79" s="163">
        <f>COUNTIFS(' CADASTRO'!$S:$S,'acab equip'!$C$3,' CADASTRO'!$R:$R,'acab equip'!R79)</f>
        <v>0</v>
      </c>
      <c r="T79" s="163">
        <f>COUNTIFS(' CADASTRO'!$S:$S,'acab equip'!$D$3,' CADASTRO'!$R:$R,'acab equip'!R79)</f>
        <v>0</v>
      </c>
      <c r="U79" s="163">
        <f>COUNTIFS(' CADASTRO'!$R$746:$R$893,'acab equip'!R79,' CADASTRO'!$S$746:$S$893,'acab equip'!$T$3)+COUNTIFS(' CADASTRO'!$R$746:$R$893,'acab equip'!R79,' CADASTRO'!$S$746:$S$893,'acab equip'!$S$3)</f>
        <v>0</v>
      </c>
      <c r="V79" s="162">
        <f t="shared" si="23"/>
        <v>46263</v>
      </c>
      <c r="W79" s="163">
        <f>COUNTIFS(' CADASTRO'!$S:$S,'acab equip'!$C$3,' CADASTRO'!$R:$R,'acab equip'!V79)</f>
        <v>0</v>
      </c>
      <c r="X79" s="163">
        <f>COUNTIFS(' CADASTRO'!$S:$S,'acab equip'!$D$3,' CADASTRO'!$R:$R,'acab equip'!V79)</f>
        <v>0</v>
      </c>
      <c r="Y79" s="163">
        <f>COUNTIFS(' CADASTRO'!$R$746:$R$893,'acab equip'!V79,' CADASTRO'!$S$746:$S$893,'acab equip'!$X$3)+COUNTIFS(' CADASTRO'!$R$746:$R$893,'acab equip'!V79,' CADASTRO'!$S$746:$S$893,'acab equip'!$W$3)</f>
        <v>0</v>
      </c>
      <c r="Z79" s="162">
        <f t="shared" si="24"/>
        <v>46264</v>
      </c>
      <c r="AB79" s="165">
        <f t="shared" si="14"/>
        <v>0</v>
      </c>
      <c r="AC79" s="165">
        <f t="shared" si="15"/>
        <v>0</v>
      </c>
      <c r="AD79" s="165">
        <f t="shared" si="16"/>
        <v>0</v>
      </c>
      <c r="AE79" s="177">
        <f t="shared" si="17"/>
        <v>0</v>
      </c>
    </row>
    <row r="80" spans="2:31" x14ac:dyDescent="0.25">
      <c r="B80" s="162">
        <f t="shared" si="18"/>
        <v>46265</v>
      </c>
      <c r="C80" s="163">
        <f>COUNTIFS(' CADASTRO'!$S:$S,'acab equip'!$C$3,' CADASTRO'!$R:$R,'acab equip'!B80)</f>
        <v>0</v>
      </c>
      <c r="D80" s="163">
        <f>COUNTIFS(' CADASTRO'!$S:$S,'acab equip'!$D$3,' CADASTRO'!$R:$R,'acab equip'!B80)</f>
        <v>0</v>
      </c>
      <c r="E80" s="163">
        <f>COUNTIFS(' CADASTRO'!$R$746:$R$893,'acab equip'!B80,' CADASTRO'!$S$746:$S$893,'acab equip'!$D$3)+COUNTIFS(' CADASTRO'!$R$746:$R$893,'acab equip'!B80,' CADASTRO'!$S$746:$S$893,'acab equip'!$C$3)</f>
        <v>0</v>
      </c>
      <c r="F80" s="162">
        <f t="shared" si="19"/>
        <v>46266</v>
      </c>
      <c r="G80" s="163">
        <f>COUNTIFS(' CADASTRO'!$S:$S,'acab equip'!$C$3,' CADASTRO'!$R:$R,'acab equip'!F80)</f>
        <v>0</v>
      </c>
      <c r="H80" s="163">
        <f>COUNTIFS(' CADASTRO'!$S:$S,'acab equip'!$D$3,' CADASTRO'!$R:$R,'acab equip'!F80)</f>
        <v>0</v>
      </c>
      <c r="I80" s="163">
        <f>COUNTIFS(' CADASTRO'!$R$746:$R$893,'acab equip'!F80,' CADASTRO'!$S$746:$S$893,'acab equip'!$H$3)+COUNTIFS(' CADASTRO'!$R$746:$R$893,'acab equip'!F80,' CADASTRO'!$S$746:$S$893,'acab equip'!$G$3)</f>
        <v>0</v>
      </c>
      <c r="J80" s="162">
        <f t="shared" si="20"/>
        <v>46267</v>
      </c>
      <c r="K80" s="163">
        <f>COUNTIFS(' CADASTRO'!$S:$S,'acab equip'!$C$3,' CADASTRO'!$R:$R,'acab equip'!J80)</f>
        <v>0</v>
      </c>
      <c r="L80" s="163">
        <f>COUNTIFS(' CADASTRO'!$S:$S,'acab equip'!$D$3,' CADASTRO'!$R:$R,'acab equip'!J80)</f>
        <v>0</v>
      </c>
      <c r="M80" s="163">
        <f>COUNTIFS(' CADASTRO'!$R$746:$R$893,'acab equip'!J80,' CADASTRO'!$S$746:$S$893,'acab equip'!$L$3)+COUNTIFS(' CADASTRO'!$R$746:$R$893,'acab equip'!J80,' CADASTRO'!$S$746:$S$893,'acab equip'!$K$3)</f>
        <v>0</v>
      </c>
      <c r="N80" s="162">
        <f t="shared" si="21"/>
        <v>46268</v>
      </c>
      <c r="O80" s="163">
        <f>COUNTIFS(' CADASTRO'!$S:$S,'acab equip'!$C$3,' CADASTRO'!$R:$R,'acab equip'!N80)</f>
        <v>0</v>
      </c>
      <c r="P80" s="163">
        <f>COUNTIFS(' CADASTRO'!$S:$S,'acab equip'!$D$3,' CADASTRO'!$R:$R,'acab equip'!N80)</f>
        <v>0</v>
      </c>
      <c r="Q80" s="163">
        <f>COUNTIFS(' CADASTRO'!$R$746:$R$893,'acab equip'!N80,' CADASTRO'!$S$746:$S$893,'acab equip'!$P$3)+COUNTIFS(' CADASTRO'!$R$746:$R$893,'acab equip'!N80,' CADASTRO'!$S$746:$S$893,'acab equip'!$O$3)</f>
        <v>0</v>
      </c>
      <c r="R80" s="162">
        <f t="shared" si="22"/>
        <v>46269</v>
      </c>
      <c r="S80" s="163">
        <f>COUNTIFS(' CADASTRO'!$S:$S,'acab equip'!$C$3,' CADASTRO'!$R:$R,'acab equip'!R80)</f>
        <v>0</v>
      </c>
      <c r="T80" s="163">
        <f>COUNTIFS(' CADASTRO'!$S:$S,'acab equip'!$D$3,' CADASTRO'!$R:$R,'acab equip'!R80)</f>
        <v>0</v>
      </c>
      <c r="U80" s="163">
        <f>COUNTIFS(' CADASTRO'!$R$746:$R$893,'acab equip'!R80,' CADASTRO'!$S$746:$S$893,'acab equip'!$T$3)+COUNTIFS(' CADASTRO'!$R$746:$R$893,'acab equip'!R80,' CADASTRO'!$S$746:$S$893,'acab equip'!$S$3)</f>
        <v>0</v>
      </c>
      <c r="V80" s="162">
        <f t="shared" si="23"/>
        <v>46270</v>
      </c>
      <c r="W80" s="163">
        <f>COUNTIFS(' CADASTRO'!$S:$S,'acab equip'!$C$3,' CADASTRO'!$R:$R,'acab equip'!V80)</f>
        <v>0</v>
      </c>
      <c r="X80" s="163">
        <f>COUNTIFS(' CADASTRO'!$S:$S,'acab equip'!$D$3,' CADASTRO'!$R:$R,'acab equip'!V80)</f>
        <v>0</v>
      </c>
      <c r="Y80" s="163">
        <f>COUNTIFS(' CADASTRO'!$R$746:$R$893,'acab equip'!V80,' CADASTRO'!$S$746:$S$893,'acab equip'!$X$3)+COUNTIFS(' CADASTRO'!$R$746:$R$893,'acab equip'!V80,' CADASTRO'!$S$746:$S$893,'acab equip'!$W$3)</f>
        <v>0</v>
      </c>
      <c r="Z80" s="162">
        <f t="shared" si="24"/>
        <v>46271</v>
      </c>
      <c r="AB80" s="165">
        <f t="shared" si="14"/>
        <v>0</v>
      </c>
      <c r="AC80" s="165">
        <f t="shared" si="15"/>
        <v>0</v>
      </c>
      <c r="AD80" s="165">
        <f t="shared" si="16"/>
        <v>0</v>
      </c>
      <c r="AE80" s="177">
        <f t="shared" si="17"/>
        <v>0</v>
      </c>
    </row>
    <row r="81" spans="2:31" x14ac:dyDescent="0.25">
      <c r="B81" s="162">
        <f t="shared" si="18"/>
        <v>46272</v>
      </c>
      <c r="C81" s="163">
        <f>COUNTIFS(' CADASTRO'!$S:$S,'acab equip'!$C$3,' CADASTRO'!$R:$R,'acab equip'!B81)</f>
        <v>0</v>
      </c>
      <c r="D81" s="163">
        <f>COUNTIFS(' CADASTRO'!$S:$S,'acab equip'!$D$3,' CADASTRO'!$R:$R,'acab equip'!B81)</f>
        <v>0</v>
      </c>
      <c r="E81" s="163">
        <f>COUNTIFS(' CADASTRO'!$R$746:$R$893,'acab equip'!B81,' CADASTRO'!$S$746:$S$893,'acab equip'!$D$3)+COUNTIFS(' CADASTRO'!$R$746:$R$893,'acab equip'!B81,' CADASTRO'!$S$746:$S$893,'acab equip'!$C$3)</f>
        <v>0</v>
      </c>
      <c r="F81" s="162">
        <f t="shared" si="19"/>
        <v>46273</v>
      </c>
      <c r="G81" s="163">
        <f>COUNTIFS(' CADASTRO'!$S:$S,'acab equip'!$C$3,' CADASTRO'!$R:$R,'acab equip'!F81)</f>
        <v>0</v>
      </c>
      <c r="H81" s="163">
        <f>COUNTIFS(' CADASTRO'!$S:$S,'acab equip'!$D$3,' CADASTRO'!$R:$R,'acab equip'!F81)</f>
        <v>0</v>
      </c>
      <c r="I81" s="163">
        <f>COUNTIFS(' CADASTRO'!$R$746:$R$893,'acab equip'!F81,' CADASTRO'!$S$746:$S$893,'acab equip'!$H$3)+COUNTIFS(' CADASTRO'!$R$746:$R$893,'acab equip'!F81,' CADASTRO'!$S$746:$S$893,'acab equip'!$G$3)</f>
        <v>0</v>
      </c>
      <c r="J81" s="162">
        <f t="shared" si="20"/>
        <v>46274</v>
      </c>
      <c r="K81" s="163">
        <f>COUNTIFS(' CADASTRO'!$S:$S,'acab equip'!$C$3,' CADASTRO'!$R:$R,'acab equip'!J81)</f>
        <v>0</v>
      </c>
      <c r="L81" s="163">
        <f>COUNTIFS(' CADASTRO'!$S:$S,'acab equip'!$D$3,' CADASTRO'!$R:$R,'acab equip'!J81)</f>
        <v>0</v>
      </c>
      <c r="M81" s="163">
        <f>COUNTIFS(' CADASTRO'!$R$746:$R$893,'acab equip'!J81,' CADASTRO'!$S$746:$S$893,'acab equip'!$L$3)+COUNTIFS(' CADASTRO'!$R$746:$R$893,'acab equip'!J81,' CADASTRO'!$S$746:$S$893,'acab equip'!$K$3)</f>
        <v>0</v>
      </c>
      <c r="N81" s="162">
        <f t="shared" si="21"/>
        <v>46275</v>
      </c>
      <c r="O81" s="163">
        <f>COUNTIFS(' CADASTRO'!$S:$S,'acab equip'!$C$3,' CADASTRO'!$R:$R,'acab equip'!N81)</f>
        <v>0</v>
      </c>
      <c r="P81" s="163">
        <f>COUNTIFS(' CADASTRO'!$S:$S,'acab equip'!$D$3,' CADASTRO'!$R:$R,'acab equip'!N81)</f>
        <v>0</v>
      </c>
      <c r="Q81" s="163">
        <f>COUNTIFS(' CADASTRO'!$R$746:$R$893,'acab equip'!N81,' CADASTRO'!$S$746:$S$893,'acab equip'!$P$3)+COUNTIFS(' CADASTRO'!$R$746:$R$893,'acab equip'!N81,' CADASTRO'!$S$746:$S$893,'acab equip'!$O$3)</f>
        <v>0</v>
      </c>
      <c r="R81" s="162">
        <f t="shared" si="22"/>
        <v>46276</v>
      </c>
      <c r="S81" s="163">
        <f>COUNTIFS(' CADASTRO'!$S:$S,'acab equip'!$C$3,' CADASTRO'!$R:$R,'acab equip'!R81)</f>
        <v>0</v>
      </c>
      <c r="T81" s="163">
        <f>COUNTIFS(' CADASTRO'!$S:$S,'acab equip'!$D$3,' CADASTRO'!$R:$R,'acab equip'!R81)</f>
        <v>0</v>
      </c>
      <c r="U81" s="163">
        <f>COUNTIFS(' CADASTRO'!$R$746:$R$893,'acab equip'!R81,' CADASTRO'!$S$746:$S$893,'acab equip'!$T$3)+COUNTIFS(' CADASTRO'!$R$746:$R$893,'acab equip'!R81,' CADASTRO'!$S$746:$S$893,'acab equip'!$S$3)</f>
        <v>0</v>
      </c>
      <c r="V81" s="162">
        <f t="shared" si="23"/>
        <v>46277</v>
      </c>
      <c r="W81" s="163">
        <f>COUNTIFS(' CADASTRO'!$S:$S,'acab equip'!$C$3,' CADASTRO'!$R:$R,'acab equip'!V81)</f>
        <v>0</v>
      </c>
      <c r="X81" s="163">
        <f>COUNTIFS(' CADASTRO'!$S:$S,'acab equip'!$D$3,' CADASTRO'!$R:$R,'acab equip'!V81)</f>
        <v>0</v>
      </c>
      <c r="Y81" s="163">
        <f>COUNTIFS(' CADASTRO'!$R$746:$R$893,'acab equip'!V81,' CADASTRO'!$S$746:$S$893,'acab equip'!$X$3)+COUNTIFS(' CADASTRO'!$R$746:$R$893,'acab equip'!V81,' CADASTRO'!$S$746:$S$893,'acab equip'!$W$3)</f>
        <v>0</v>
      </c>
      <c r="Z81" s="162">
        <f t="shared" si="24"/>
        <v>46278</v>
      </c>
      <c r="AB81" s="165">
        <f t="shared" si="14"/>
        <v>0</v>
      </c>
      <c r="AC81" s="165">
        <f t="shared" si="15"/>
        <v>0</v>
      </c>
      <c r="AD81" s="165">
        <f t="shared" si="16"/>
        <v>0</v>
      </c>
      <c r="AE81" s="177">
        <f t="shared" si="17"/>
        <v>0</v>
      </c>
    </row>
    <row r="82" spans="2:31" x14ac:dyDescent="0.25">
      <c r="B82" s="162">
        <f t="shared" si="18"/>
        <v>46279</v>
      </c>
      <c r="C82" s="163">
        <f>COUNTIFS(' CADASTRO'!$S:$S,'acab equip'!$C$3,' CADASTRO'!$R:$R,'acab equip'!B82)</f>
        <v>0</v>
      </c>
      <c r="D82" s="163">
        <f>COUNTIFS(' CADASTRO'!$S:$S,'acab equip'!$D$3,' CADASTRO'!$R:$R,'acab equip'!B82)</f>
        <v>0</v>
      </c>
      <c r="E82" s="163">
        <f>COUNTIFS(' CADASTRO'!$R$746:$R$893,'acab equip'!B82,' CADASTRO'!$S$746:$S$893,'acab equip'!$D$3)+COUNTIFS(' CADASTRO'!$R$746:$R$893,'acab equip'!B82,' CADASTRO'!$S$746:$S$893,'acab equip'!$C$3)</f>
        <v>0</v>
      </c>
      <c r="F82" s="162">
        <f t="shared" si="19"/>
        <v>46280</v>
      </c>
      <c r="G82" s="163">
        <f>COUNTIFS(' CADASTRO'!$S:$S,'acab equip'!$C$3,' CADASTRO'!$R:$R,'acab equip'!F82)</f>
        <v>0</v>
      </c>
      <c r="H82" s="163">
        <f>COUNTIFS(' CADASTRO'!$S:$S,'acab equip'!$D$3,' CADASTRO'!$R:$R,'acab equip'!F82)</f>
        <v>0</v>
      </c>
      <c r="I82" s="163">
        <f>COUNTIFS(' CADASTRO'!$R$746:$R$893,'acab equip'!F82,' CADASTRO'!$S$746:$S$893,'acab equip'!$H$3)+COUNTIFS(' CADASTRO'!$R$746:$R$893,'acab equip'!F82,' CADASTRO'!$S$746:$S$893,'acab equip'!$G$3)</f>
        <v>0</v>
      </c>
      <c r="J82" s="162">
        <f t="shared" si="20"/>
        <v>46281</v>
      </c>
      <c r="K82" s="163">
        <f>COUNTIFS(' CADASTRO'!$S:$S,'acab equip'!$C$3,' CADASTRO'!$R:$R,'acab equip'!J82)</f>
        <v>0</v>
      </c>
      <c r="L82" s="163">
        <f>COUNTIFS(' CADASTRO'!$S:$S,'acab equip'!$D$3,' CADASTRO'!$R:$R,'acab equip'!J82)</f>
        <v>0</v>
      </c>
      <c r="M82" s="163">
        <f>COUNTIFS(' CADASTRO'!$R$746:$R$893,'acab equip'!J82,' CADASTRO'!$S$746:$S$893,'acab equip'!$L$3)+COUNTIFS(' CADASTRO'!$R$746:$R$893,'acab equip'!J82,' CADASTRO'!$S$746:$S$893,'acab equip'!$K$3)</f>
        <v>0</v>
      </c>
      <c r="N82" s="162">
        <f t="shared" si="21"/>
        <v>46282</v>
      </c>
      <c r="O82" s="163">
        <f>COUNTIFS(' CADASTRO'!$S:$S,'acab equip'!$C$3,' CADASTRO'!$R:$R,'acab equip'!N82)</f>
        <v>0</v>
      </c>
      <c r="P82" s="163">
        <f>COUNTIFS(' CADASTRO'!$S:$S,'acab equip'!$D$3,' CADASTRO'!$R:$R,'acab equip'!N82)</f>
        <v>0</v>
      </c>
      <c r="Q82" s="163">
        <f>COUNTIFS(' CADASTRO'!$R$746:$R$893,'acab equip'!N82,' CADASTRO'!$S$746:$S$893,'acab equip'!$P$3)+COUNTIFS(' CADASTRO'!$R$746:$R$893,'acab equip'!N82,' CADASTRO'!$S$746:$S$893,'acab equip'!$O$3)</f>
        <v>0</v>
      </c>
      <c r="R82" s="162">
        <f t="shared" si="22"/>
        <v>46283</v>
      </c>
      <c r="S82" s="163">
        <f>COUNTIFS(' CADASTRO'!$S:$S,'acab equip'!$C$3,' CADASTRO'!$R:$R,'acab equip'!R82)</f>
        <v>0</v>
      </c>
      <c r="T82" s="163">
        <f>COUNTIFS(' CADASTRO'!$S:$S,'acab equip'!$D$3,' CADASTRO'!$R:$R,'acab equip'!R82)</f>
        <v>0</v>
      </c>
      <c r="U82" s="163">
        <f>COUNTIFS(' CADASTRO'!$R$746:$R$893,'acab equip'!R82,' CADASTRO'!$S$746:$S$893,'acab equip'!$T$3)+COUNTIFS(' CADASTRO'!$R$746:$R$893,'acab equip'!R82,' CADASTRO'!$S$746:$S$893,'acab equip'!$S$3)</f>
        <v>0</v>
      </c>
      <c r="V82" s="162">
        <f t="shared" si="23"/>
        <v>46284</v>
      </c>
      <c r="W82" s="163">
        <f>COUNTIFS(' CADASTRO'!$S:$S,'acab equip'!$C$3,' CADASTRO'!$R:$R,'acab equip'!V82)</f>
        <v>0</v>
      </c>
      <c r="X82" s="163">
        <f>COUNTIFS(' CADASTRO'!$S:$S,'acab equip'!$D$3,' CADASTRO'!$R:$R,'acab equip'!V82)</f>
        <v>0</v>
      </c>
      <c r="Y82" s="163">
        <f>COUNTIFS(' CADASTRO'!$R$746:$R$893,'acab equip'!V82,' CADASTRO'!$S$746:$S$893,'acab equip'!$X$3)+COUNTIFS(' CADASTRO'!$R$746:$R$893,'acab equip'!V82,' CADASTRO'!$S$746:$S$893,'acab equip'!$W$3)</f>
        <v>0</v>
      </c>
      <c r="Z82" s="162">
        <f t="shared" si="24"/>
        <v>46285</v>
      </c>
      <c r="AB82" s="165">
        <f t="shared" si="14"/>
        <v>0</v>
      </c>
      <c r="AC82" s="165">
        <f t="shared" si="15"/>
        <v>0</v>
      </c>
      <c r="AD82" s="165">
        <f t="shared" si="16"/>
        <v>0</v>
      </c>
      <c r="AE82" s="177">
        <f t="shared" si="17"/>
        <v>0</v>
      </c>
    </row>
    <row r="83" spans="2:31" x14ac:dyDescent="0.25">
      <c r="B83" s="162">
        <f t="shared" si="18"/>
        <v>46286</v>
      </c>
      <c r="C83" s="163">
        <f>COUNTIFS(' CADASTRO'!$S:$S,'acab equip'!$C$3,' CADASTRO'!$R:$R,'acab equip'!B83)</f>
        <v>0</v>
      </c>
      <c r="D83" s="163">
        <f>COUNTIFS(' CADASTRO'!$S:$S,'acab equip'!$D$3,' CADASTRO'!$R:$R,'acab equip'!B83)</f>
        <v>0</v>
      </c>
      <c r="E83" s="163">
        <f>COUNTIFS(' CADASTRO'!$R$746:$R$893,'acab equip'!B83,' CADASTRO'!$S$746:$S$893,'acab equip'!$D$3)+COUNTIFS(' CADASTRO'!$R$746:$R$893,'acab equip'!B83,' CADASTRO'!$S$746:$S$893,'acab equip'!$C$3)</f>
        <v>0</v>
      </c>
      <c r="F83" s="162">
        <f t="shared" si="19"/>
        <v>46287</v>
      </c>
      <c r="G83" s="163">
        <f>COUNTIFS(' CADASTRO'!$S:$S,'acab equip'!$C$3,' CADASTRO'!$R:$R,'acab equip'!F83)</f>
        <v>0</v>
      </c>
      <c r="H83" s="163">
        <f>COUNTIFS(' CADASTRO'!$S:$S,'acab equip'!$D$3,' CADASTRO'!$R:$R,'acab equip'!F83)</f>
        <v>0</v>
      </c>
      <c r="I83" s="163">
        <f>COUNTIFS(' CADASTRO'!$R$746:$R$893,'acab equip'!F83,' CADASTRO'!$S$746:$S$893,'acab equip'!$H$3)+COUNTIFS(' CADASTRO'!$R$746:$R$893,'acab equip'!F83,' CADASTRO'!$S$746:$S$893,'acab equip'!$G$3)</f>
        <v>0</v>
      </c>
      <c r="J83" s="162">
        <f t="shared" si="20"/>
        <v>46288</v>
      </c>
      <c r="K83" s="163">
        <f>COUNTIFS(' CADASTRO'!$S:$S,'acab equip'!$C$3,' CADASTRO'!$R:$R,'acab equip'!J83)</f>
        <v>0</v>
      </c>
      <c r="L83" s="163">
        <f>COUNTIFS(' CADASTRO'!$S:$S,'acab equip'!$D$3,' CADASTRO'!$R:$R,'acab equip'!J83)</f>
        <v>0</v>
      </c>
      <c r="M83" s="163">
        <f>COUNTIFS(' CADASTRO'!$R$746:$R$893,'acab equip'!J83,' CADASTRO'!$S$746:$S$893,'acab equip'!$L$3)+COUNTIFS(' CADASTRO'!$R$746:$R$893,'acab equip'!J83,' CADASTRO'!$S$746:$S$893,'acab equip'!$K$3)</f>
        <v>0</v>
      </c>
      <c r="N83" s="162">
        <f t="shared" si="21"/>
        <v>46289</v>
      </c>
      <c r="O83" s="163">
        <f>COUNTIFS(' CADASTRO'!$S:$S,'acab equip'!$C$3,' CADASTRO'!$R:$R,'acab equip'!N83)</f>
        <v>0</v>
      </c>
      <c r="P83" s="163">
        <f>COUNTIFS(' CADASTRO'!$S:$S,'acab equip'!$D$3,' CADASTRO'!$R:$R,'acab equip'!N83)</f>
        <v>0</v>
      </c>
      <c r="Q83" s="163">
        <f>COUNTIFS(' CADASTRO'!$R$746:$R$893,'acab equip'!N83,' CADASTRO'!$S$746:$S$893,'acab equip'!$P$3)+COUNTIFS(' CADASTRO'!$R$746:$R$893,'acab equip'!N83,' CADASTRO'!$S$746:$S$893,'acab equip'!$O$3)</f>
        <v>0</v>
      </c>
      <c r="R83" s="162">
        <f t="shared" si="22"/>
        <v>46290</v>
      </c>
      <c r="S83" s="163">
        <f>COUNTIFS(' CADASTRO'!$S:$S,'acab equip'!$C$3,' CADASTRO'!$R:$R,'acab equip'!R83)</f>
        <v>0</v>
      </c>
      <c r="T83" s="163">
        <f>COUNTIFS(' CADASTRO'!$S:$S,'acab equip'!$D$3,' CADASTRO'!$R:$R,'acab equip'!R83)</f>
        <v>0</v>
      </c>
      <c r="U83" s="163">
        <f>COUNTIFS(' CADASTRO'!$R$746:$R$893,'acab equip'!R83,' CADASTRO'!$S$746:$S$893,'acab equip'!$T$3)+COUNTIFS(' CADASTRO'!$R$746:$R$893,'acab equip'!R83,' CADASTRO'!$S$746:$S$893,'acab equip'!$S$3)</f>
        <v>0</v>
      </c>
      <c r="V83" s="162">
        <f t="shared" si="23"/>
        <v>46291</v>
      </c>
      <c r="W83" s="163">
        <f>COUNTIFS(' CADASTRO'!$S:$S,'acab equip'!$C$3,' CADASTRO'!$R:$R,'acab equip'!V83)</f>
        <v>0</v>
      </c>
      <c r="X83" s="163">
        <f>COUNTIFS(' CADASTRO'!$S:$S,'acab equip'!$D$3,' CADASTRO'!$R:$R,'acab equip'!V83)</f>
        <v>0</v>
      </c>
      <c r="Y83" s="163">
        <f>COUNTIFS(' CADASTRO'!$R$746:$R$893,'acab equip'!V83,' CADASTRO'!$S$746:$S$893,'acab equip'!$X$3)+COUNTIFS(' CADASTRO'!$R$746:$R$893,'acab equip'!V83,' CADASTRO'!$S$746:$S$893,'acab equip'!$W$3)</f>
        <v>0</v>
      </c>
      <c r="Z83" s="162">
        <f t="shared" si="24"/>
        <v>46292</v>
      </c>
      <c r="AB83" s="165">
        <f t="shared" si="14"/>
        <v>0</v>
      </c>
      <c r="AC83" s="165">
        <f t="shared" si="15"/>
        <v>0</v>
      </c>
      <c r="AD83" s="165">
        <f t="shared" si="16"/>
        <v>0</v>
      </c>
      <c r="AE83" s="177">
        <f t="shared" si="17"/>
        <v>0</v>
      </c>
    </row>
    <row r="84" spans="2:31" x14ac:dyDescent="0.25">
      <c r="B84" s="162">
        <f t="shared" si="18"/>
        <v>46293</v>
      </c>
      <c r="C84" s="163">
        <f>COUNTIFS(' CADASTRO'!$S:$S,'acab equip'!$C$3,' CADASTRO'!$R:$R,'acab equip'!B84)</f>
        <v>0</v>
      </c>
      <c r="D84" s="163">
        <f>COUNTIFS(' CADASTRO'!$S:$S,'acab equip'!$D$3,' CADASTRO'!$R:$R,'acab equip'!B84)</f>
        <v>0</v>
      </c>
      <c r="E84" s="163">
        <f>COUNTIFS(' CADASTRO'!$R$746:$R$893,'acab equip'!B84,' CADASTRO'!$S$746:$S$893,'acab equip'!$D$3)+COUNTIFS(' CADASTRO'!$R$746:$R$893,'acab equip'!B84,' CADASTRO'!$S$746:$S$893,'acab equip'!$C$3)</f>
        <v>0</v>
      </c>
      <c r="F84" s="162">
        <f t="shared" si="19"/>
        <v>46294</v>
      </c>
      <c r="G84" s="163">
        <f>COUNTIFS(' CADASTRO'!$S:$S,'acab equip'!$C$3,' CADASTRO'!$R:$R,'acab equip'!F84)</f>
        <v>0</v>
      </c>
      <c r="H84" s="163">
        <f>COUNTIFS(' CADASTRO'!$S:$S,'acab equip'!$D$3,' CADASTRO'!$R:$R,'acab equip'!F84)</f>
        <v>0</v>
      </c>
      <c r="I84" s="163">
        <f>COUNTIFS(' CADASTRO'!$R$746:$R$893,'acab equip'!F84,' CADASTRO'!$S$746:$S$893,'acab equip'!$H$3)+COUNTIFS(' CADASTRO'!$R$746:$R$893,'acab equip'!F84,' CADASTRO'!$S$746:$S$893,'acab equip'!$G$3)</f>
        <v>0</v>
      </c>
      <c r="J84" s="162">
        <f t="shared" si="20"/>
        <v>46295</v>
      </c>
      <c r="K84" s="163">
        <f>COUNTIFS(' CADASTRO'!$S:$S,'acab equip'!$C$3,' CADASTRO'!$R:$R,'acab equip'!J84)</f>
        <v>0</v>
      </c>
      <c r="L84" s="163">
        <f>COUNTIFS(' CADASTRO'!$S:$S,'acab equip'!$D$3,' CADASTRO'!$R:$R,'acab equip'!J84)</f>
        <v>0</v>
      </c>
      <c r="M84" s="163">
        <f>COUNTIFS(' CADASTRO'!$R$746:$R$893,'acab equip'!J84,' CADASTRO'!$S$746:$S$893,'acab equip'!$L$3)+COUNTIFS(' CADASTRO'!$R$746:$R$893,'acab equip'!J84,' CADASTRO'!$S$746:$S$893,'acab equip'!$K$3)</f>
        <v>0</v>
      </c>
      <c r="N84" s="162">
        <f t="shared" si="21"/>
        <v>46296</v>
      </c>
      <c r="O84" s="163">
        <f>COUNTIFS(' CADASTRO'!$S:$S,'acab equip'!$C$3,' CADASTRO'!$R:$R,'acab equip'!N84)</f>
        <v>0</v>
      </c>
      <c r="P84" s="163">
        <f>COUNTIFS(' CADASTRO'!$S:$S,'acab equip'!$D$3,' CADASTRO'!$R:$R,'acab equip'!N84)</f>
        <v>0</v>
      </c>
      <c r="Q84" s="163">
        <f>COUNTIFS(' CADASTRO'!$R$746:$R$893,'acab equip'!N84,' CADASTRO'!$S$746:$S$893,'acab equip'!$P$3)+COUNTIFS(' CADASTRO'!$R$746:$R$893,'acab equip'!N84,' CADASTRO'!$S$746:$S$893,'acab equip'!$O$3)</f>
        <v>0</v>
      </c>
      <c r="R84" s="162">
        <f t="shared" si="22"/>
        <v>46297</v>
      </c>
      <c r="S84" s="163">
        <f>COUNTIFS(' CADASTRO'!$S:$S,'acab equip'!$C$3,' CADASTRO'!$R:$R,'acab equip'!R84)</f>
        <v>0</v>
      </c>
      <c r="T84" s="163">
        <f>COUNTIFS(' CADASTRO'!$S:$S,'acab equip'!$D$3,' CADASTRO'!$R:$R,'acab equip'!R84)</f>
        <v>0</v>
      </c>
      <c r="U84" s="163">
        <f>COUNTIFS(' CADASTRO'!$R$746:$R$893,'acab equip'!R84,' CADASTRO'!$S$746:$S$893,'acab equip'!$T$3)+COUNTIFS(' CADASTRO'!$R$746:$R$893,'acab equip'!R84,' CADASTRO'!$S$746:$S$893,'acab equip'!$S$3)</f>
        <v>0</v>
      </c>
      <c r="V84" s="162">
        <f t="shared" si="23"/>
        <v>46298</v>
      </c>
      <c r="W84" s="163">
        <f>COUNTIFS(' CADASTRO'!$S:$S,'acab equip'!$C$3,' CADASTRO'!$R:$R,'acab equip'!V84)</f>
        <v>0</v>
      </c>
      <c r="X84" s="163">
        <f>COUNTIFS(' CADASTRO'!$S:$S,'acab equip'!$D$3,' CADASTRO'!$R:$R,'acab equip'!V84)</f>
        <v>0</v>
      </c>
      <c r="Y84" s="163">
        <f>COUNTIFS(' CADASTRO'!$R$746:$R$893,'acab equip'!V84,' CADASTRO'!$S$746:$S$893,'acab equip'!$X$3)+COUNTIFS(' CADASTRO'!$R$746:$R$893,'acab equip'!V84,' CADASTRO'!$S$746:$S$893,'acab equip'!$W$3)</f>
        <v>0</v>
      </c>
      <c r="Z84" s="162">
        <f t="shared" si="24"/>
        <v>46299</v>
      </c>
      <c r="AB84" s="165">
        <f t="shared" si="14"/>
        <v>0</v>
      </c>
      <c r="AC84" s="165">
        <f t="shared" si="15"/>
        <v>0</v>
      </c>
      <c r="AD84" s="165">
        <f t="shared" si="16"/>
        <v>0</v>
      </c>
      <c r="AE84" s="177">
        <f t="shared" si="17"/>
        <v>0</v>
      </c>
    </row>
    <row r="85" spans="2:31" x14ac:dyDescent="0.25">
      <c r="B85" s="162">
        <f t="shared" si="18"/>
        <v>46300</v>
      </c>
      <c r="C85" s="163">
        <f>COUNTIFS(' CADASTRO'!$S:$S,'acab equip'!$C$3,' CADASTRO'!$R:$R,'acab equip'!B85)</f>
        <v>0</v>
      </c>
      <c r="D85" s="163">
        <f>COUNTIFS(' CADASTRO'!$S:$S,'acab equip'!$D$3,' CADASTRO'!$R:$R,'acab equip'!B85)</f>
        <v>0</v>
      </c>
      <c r="E85" s="163">
        <f>COUNTIFS(' CADASTRO'!$R$746:$R$893,'acab equip'!B85,' CADASTRO'!$S$746:$S$893,'acab equip'!$D$3)+COUNTIFS(' CADASTRO'!$R$746:$R$893,'acab equip'!B85,' CADASTRO'!$S$746:$S$893,'acab equip'!$C$3)</f>
        <v>0</v>
      </c>
      <c r="F85" s="162">
        <f t="shared" si="19"/>
        <v>46301</v>
      </c>
      <c r="G85" s="163">
        <f>COUNTIFS(' CADASTRO'!$S:$S,'acab equip'!$C$3,' CADASTRO'!$R:$R,'acab equip'!F85)</f>
        <v>0</v>
      </c>
      <c r="H85" s="163">
        <f>COUNTIFS(' CADASTRO'!$S:$S,'acab equip'!$D$3,' CADASTRO'!$R:$R,'acab equip'!F85)</f>
        <v>0</v>
      </c>
      <c r="I85" s="163">
        <f>COUNTIFS(' CADASTRO'!$R$746:$R$893,'acab equip'!F85,' CADASTRO'!$S$746:$S$893,'acab equip'!$H$3)+COUNTIFS(' CADASTRO'!$R$746:$R$893,'acab equip'!F85,' CADASTRO'!$S$746:$S$893,'acab equip'!$G$3)</f>
        <v>0</v>
      </c>
      <c r="J85" s="162">
        <f t="shared" si="20"/>
        <v>46302</v>
      </c>
      <c r="K85" s="163">
        <f>COUNTIFS(' CADASTRO'!$S:$S,'acab equip'!$C$3,' CADASTRO'!$R:$R,'acab equip'!J85)</f>
        <v>0</v>
      </c>
      <c r="L85" s="163">
        <f>COUNTIFS(' CADASTRO'!$S:$S,'acab equip'!$D$3,' CADASTRO'!$R:$R,'acab equip'!J85)</f>
        <v>0</v>
      </c>
      <c r="M85" s="163">
        <f>COUNTIFS(' CADASTRO'!$R$746:$R$893,'acab equip'!J85,' CADASTRO'!$S$746:$S$893,'acab equip'!$L$3)+COUNTIFS(' CADASTRO'!$R$746:$R$893,'acab equip'!J85,' CADASTRO'!$S$746:$S$893,'acab equip'!$K$3)</f>
        <v>0</v>
      </c>
      <c r="N85" s="162">
        <f t="shared" si="21"/>
        <v>46303</v>
      </c>
      <c r="O85" s="163">
        <f>COUNTIFS(' CADASTRO'!$S:$S,'acab equip'!$C$3,' CADASTRO'!$R:$R,'acab equip'!N85)</f>
        <v>0</v>
      </c>
      <c r="P85" s="163">
        <f>COUNTIFS(' CADASTRO'!$S:$S,'acab equip'!$D$3,' CADASTRO'!$R:$R,'acab equip'!N85)</f>
        <v>0</v>
      </c>
      <c r="Q85" s="163">
        <f>COUNTIFS(' CADASTRO'!$R$746:$R$893,'acab equip'!N85,' CADASTRO'!$S$746:$S$893,'acab equip'!$P$3)+COUNTIFS(' CADASTRO'!$R$746:$R$893,'acab equip'!N85,' CADASTRO'!$S$746:$S$893,'acab equip'!$O$3)</f>
        <v>0</v>
      </c>
      <c r="R85" s="162">
        <f t="shared" si="22"/>
        <v>46304</v>
      </c>
      <c r="S85" s="163">
        <f>COUNTIFS(' CADASTRO'!$S:$S,'acab equip'!$C$3,' CADASTRO'!$R:$R,'acab equip'!R85)</f>
        <v>0</v>
      </c>
      <c r="T85" s="163">
        <f>COUNTIFS(' CADASTRO'!$S:$S,'acab equip'!$D$3,' CADASTRO'!$R:$R,'acab equip'!R85)</f>
        <v>0</v>
      </c>
      <c r="U85" s="163">
        <f>COUNTIFS(' CADASTRO'!$R$746:$R$893,'acab equip'!R85,' CADASTRO'!$S$746:$S$893,'acab equip'!$T$3)+COUNTIFS(' CADASTRO'!$R$746:$R$893,'acab equip'!R85,' CADASTRO'!$S$746:$S$893,'acab equip'!$S$3)</f>
        <v>0</v>
      </c>
      <c r="V85" s="162">
        <f t="shared" si="23"/>
        <v>46305</v>
      </c>
      <c r="W85" s="163">
        <f>COUNTIFS(' CADASTRO'!$S:$S,'acab equip'!$C$3,' CADASTRO'!$R:$R,'acab equip'!V85)</f>
        <v>0</v>
      </c>
      <c r="X85" s="163">
        <f>COUNTIFS(' CADASTRO'!$S:$S,'acab equip'!$D$3,' CADASTRO'!$R:$R,'acab equip'!V85)</f>
        <v>0</v>
      </c>
      <c r="Y85" s="163">
        <f>COUNTIFS(' CADASTRO'!$R$746:$R$893,'acab equip'!V85,' CADASTRO'!$S$746:$S$893,'acab equip'!$X$3)+COUNTIFS(' CADASTRO'!$R$746:$R$893,'acab equip'!V85,' CADASTRO'!$S$746:$S$893,'acab equip'!$W$3)</f>
        <v>0</v>
      </c>
      <c r="Z85" s="162">
        <f t="shared" si="24"/>
        <v>46306</v>
      </c>
      <c r="AB85" s="165">
        <f t="shared" si="14"/>
        <v>0</v>
      </c>
      <c r="AC85" s="165">
        <f t="shared" si="15"/>
        <v>0</v>
      </c>
      <c r="AD85" s="165">
        <f t="shared" si="16"/>
        <v>0</v>
      </c>
      <c r="AE85" s="177">
        <f t="shared" si="17"/>
        <v>0</v>
      </c>
    </row>
    <row r="86" spans="2:31" x14ac:dyDescent="0.25">
      <c r="B86" s="162">
        <f t="shared" si="18"/>
        <v>46307</v>
      </c>
      <c r="C86" s="163">
        <f>COUNTIFS(' CADASTRO'!$S:$S,'acab equip'!$C$3,' CADASTRO'!$R:$R,'acab equip'!B86)</f>
        <v>0</v>
      </c>
      <c r="D86" s="163">
        <f>COUNTIFS(' CADASTRO'!$S:$S,'acab equip'!$D$3,' CADASTRO'!$R:$R,'acab equip'!B86)</f>
        <v>0</v>
      </c>
      <c r="E86" s="163">
        <f>COUNTIFS(' CADASTRO'!$R$746:$R$893,'acab equip'!B86,' CADASTRO'!$S$746:$S$893,'acab equip'!$D$3)+COUNTIFS(' CADASTRO'!$R$746:$R$893,'acab equip'!B86,' CADASTRO'!$S$746:$S$893,'acab equip'!$C$3)</f>
        <v>0</v>
      </c>
      <c r="F86" s="162">
        <f t="shared" si="19"/>
        <v>46308</v>
      </c>
      <c r="G86" s="163">
        <f>COUNTIFS(' CADASTRO'!$S:$S,'acab equip'!$C$3,' CADASTRO'!$R:$R,'acab equip'!F86)</f>
        <v>0</v>
      </c>
      <c r="H86" s="163">
        <f>COUNTIFS(' CADASTRO'!$S:$S,'acab equip'!$D$3,' CADASTRO'!$R:$R,'acab equip'!F86)</f>
        <v>0</v>
      </c>
      <c r="I86" s="163">
        <f>COUNTIFS(' CADASTRO'!$R$746:$R$893,'acab equip'!F86,' CADASTRO'!$S$746:$S$893,'acab equip'!$H$3)+COUNTIFS(' CADASTRO'!$R$746:$R$893,'acab equip'!F86,' CADASTRO'!$S$746:$S$893,'acab equip'!$G$3)</f>
        <v>0</v>
      </c>
      <c r="J86" s="162">
        <f t="shared" si="20"/>
        <v>46309</v>
      </c>
      <c r="K86" s="163">
        <f>COUNTIFS(' CADASTRO'!$S:$S,'acab equip'!$C$3,' CADASTRO'!$R:$R,'acab equip'!J86)</f>
        <v>0</v>
      </c>
      <c r="L86" s="163">
        <f>COUNTIFS(' CADASTRO'!$S:$S,'acab equip'!$D$3,' CADASTRO'!$R:$R,'acab equip'!J86)</f>
        <v>0</v>
      </c>
      <c r="M86" s="163">
        <f>COUNTIFS(' CADASTRO'!$R$746:$R$893,'acab equip'!J86,' CADASTRO'!$S$746:$S$893,'acab equip'!$L$3)+COUNTIFS(' CADASTRO'!$R$746:$R$893,'acab equip'!J86,' CADASTRO'!$S$746:$S$893,'acab equip'!$K$3)</f>
        <v>0</v>
      </c>
      <c r="N86" s="162">
        <f t="shared" si="21"/>
        <v>46310</v>
      </c>
      <c r="O86" s="163">
        <f>COUNTIFS(' CADASTRO'!$S:$S,'acab equip'!$C$3,' CADASTRO'!$R:$R,'acab equip'!N86)</f>
        <v>0</v>
      </c>
      <c r="P86" s="163">
        <f>COUNTIFS(' CADASTRO'!$S:$S,'acab equip'!$D$3,' CADASTRO'!$R:$R,'acab equip'!N86)</f>
        <v>0</v>
      </c>
      <c r="Q86" s="163">
        <f>COUNTIFS(' CADASTRO'!$R$746:$R$893,'acab equip'!N86,' CADASTRO'!$S$746:$S$893,'acab equip'!$P$3)+COUNTIFS(' CADASTRO'!$R$746:$R$893,'acab equip'!N86,' CADASTRO'!$S$746:$S$893,'acab equip'!$O$3)</f>
        <v>0</v>
      </c>
      <c r="R86" s="162">
        <f t="shared" si="22"/>
        <v>46311</v>
      </c>
      <c r="S86" s="163">
        <f>COUNTIFS(' CADASTRO'!$S:$S,'acab equip'!$C$3,' CADASTRO'!$R:$R,'acab equip'!R86)</f>
        <v>0</v>
      </c>
      <c r="T86" s="163">
        <f>COUNTIFS(' CADASTRO'!$S:$S,'acab equip'!$D$3,' CADASTRO'!$R:$R,'acab equip'!R86)</f>
        <v>0</v>
      </c>
      <c r="U86" s="163">
        <f>COUNTIFS(' CADASTRO'!$R$746:$R$893,'acab equip'!R86,' CADASTRO'!$S$746:$S$893,'acab equip'!$T$3)+COUNTIFS(' CADASTRO'!$R$746:$R$893,'acab equip'!R86,' CADASTRO'!$S$746:$S$893,'acab equip'!$S$3)</f>
        <v>0</v>
      </c>
      <c r="V86" s="162">
        <f t="shared" si="23"/>
        <v>46312</v>
      </c>
      <c r="W86" s="163">
        <f>COUNTIFS(' CADASTRO'!$S:$S,'acab equip'!$C$3,' CADASTRO'!$R:$R,'acab equip'!V86)</f>
        <v>0</v>
      </c>
      <c r="X86" s="163">
        <f>COUNTIFS(' CADASTRO'!$S:$S,'acab equip'!$D$3,' CADASTRO'!$R:$R,'acab equip'!V86)</f>
        <v>0</v>
      </c>
      <c r="Y86" s="163">
        <f>COUNTIFS(' CADASTRO'!$R$746:$R$893,'acab equip'!V86,' CADASTRO'!$S$746:$S$893,'acab equip'!$X$3)+COUNTIFS(' CADASTRO'!$R$746:$R$893,'acab equip'!V86,' CADASTRO'!$S$746:$S$893,'acab equip'!$W$3)</f>
        <v>0</v>
      </c>
      <c r="Z86" s="162">
        <f t="shared" si="24"/>
        <v>46313</v>
      </c>
      <c r="AB86" s="165">
        <f t="shared" si="14"/>
        <v>0</v>
      </c>
      <c r="AC86" s="165">
        <f t="shared" si="15"/>
        <v>0</v>
      </c>
      <c r="AD86" s="165">
        <f t="shared" si="16"/>
        <v>0</v>
      </c>
      <c r="AE86" s="177">
        <f t="shared" si="17"/>
        <v>0</v>
      </c>
    </row>
    <row r="87" spans="2:31" x14ac:dyDescent="0.25">
      <c r="B87" s="162">
        <f t="shared" si="18"/>
        <v>46314</v>
      </c>
      <c r="C87" s="163">
        <f>COUNTIFS(' CADASTRO'!$S:$S,'acab equip'!$C$3,' CADASTRO'!$R:$R,'acab equip'!B87)</f>
        <v>0</v>
      </c>
      <c r="D87" s="163">
        <f>COUNTIFS(' CADASTRO'!$S:$S,'acab equip'!$D$3,' CADASTRO'!$R:$R,'acab equip'!B87)</f>
        <v>0</v>
      </c>
      <c r="E87" s="163">
        <f>COUNTIFS(' CADASTRO'!$R$746:$R$893,'acab equip'!B87,' CADASTRO'!$S$746:$S$893,'acab equip'!$D$3)+COUNTIFS(' CADASTRO'!$R$746:$R$893,'acab equip'!B87,' CADASTRO'!$S$746:$S$893,'acab equip'!$C$3)</f>
        <v>0</v>
      </c>
      <c r="F87" s="162">
        <f t="shared" si="19"/>
        <v>46315</v>
      </c>
      <c r="G87" s="163">
        <f>COUNTIFS(' CADASTRO'!$S:$S,'acab equip'!$C$3,' CADASTRO'!$R:$R,'acab equip'!F87)</f>
        <v>0</v>
      </c>
      <c r="H87" s="163">
        <f>COUNTIFS(' CADASTRO'!$S:$S,'acab equip'!$D$3,' CADASTRO'!$R:$R,'acab equip'!F87)</f>
        <v>0</v>
      </c>
      <c r="I87" s="163">
        <f>COUNTIFS(' CADASTRO'!$R$746:$R$893,'acab equip'!F87,' CADASTRO'!$S$746:$S$893,'acab equip'!$H$3)+COUNTIFS(' CADASTRO'!$R$746:$R$893,'acab equip'!F87,' CADASTRO'!$S$746:$S$893,'acab equip'!$G$3)</f>
        <v>0</v>
      </c>
      <c r="J87" s="162">
        <f t="shared" si="20"/>
        <v>46316</v>
      </c>
      <c r="K87" s="163">
        <f>COUNTIFS(' CADASTRO'!$S:$S,'acab equip'!$C$3,' CADASTRO'!$R:$R,'acab equip'!J87)</f>
        <v>0</v>
      </c>
      <c r="L87" s="163">
        <f>COUNTIFS(' CADASTRO'!$S:$S,'acab equip'!$D$3,' CADASTRO'!$R:$R,'acab equip'!J87)</f>
        <v>0</v>
      </c>
      <c r="M87" s="163">
        <f>COUNTIFS(' CADASTRO'!$R$746:$R$893,'acab equip'!J87,' CADASTRO'!$S$746:$S$893,'acab equip'!$L$3)+COUNTIFS(' CADASTRO'!$R$746:$R$893,'acab equip'!J87,' CADASTRO'!$S$746:$S$893,'acab equip'!$K$3)</f>
        <v>0</v>
      </c>
      <c r="N87" s="162">
        <f t="shared" si="21"/>
        <v>46317</v>
      </c>
      <c r="O87" s="163">
        <f>COUNTIFS(' CADASTRO'!$S:$S,'acab equip'!$C$3,' CADASTRO'!$R:$R,'acab equip'!N87)</f>
        <v>0</v>
      </c>
      <c r="P87" s="163">
        <f>COUNTIFS(' CADASTRO'!$S:$S,'acab equip'!$D$3,' CADASTRO'!$R:$R,'acab equip'!N87)</f>
        <v>0</v>
      </c>
      <c r="Q87" s="163">
        <f>COUNTIFS(' CADASTRO'!$R$746:$R$893,'acab equip'!N87,' CADASTRO'!$S$746:$S$893,'acab equip'!$P$3)+COUNTIFS(' CADASTRO'!$R$746:$R$893,'acab equip'!N87,' CADASTRO'!$S$746:$S$893,'acab equip'!$O$3)</f>
        <v>0</v>
      </c>
      <c r="R87" s="162">
        <f t="shared" si="22"/>
        <v>46318</v>
      </c>
      <c r="S87" s="163">
        <f>COUNTIFS(' CADASTRO'!$S:$S,'acab equip'!$C$3,' CADASTRO'!$R:$R,'acab equip'!R87)</f>
        <v>0</v>
      </c>
      <c r="T87" s="163">
        <f>COUNTIFS(' CADASTRO'!$S:$S,'acab equip'!$D$3,' CADASTRO'!$R:$R,'acab equip'!R87)</f>
        <v>0</v>
      </c>
      <c r="U87" s="163">
        <f>COUNTIFS(' CADASTRO'!$R$746:$R$893,'acab equip'!R87,' CADASTRO'!$S$746:$S$893,'acab equip'!$T$3)+COUNTIFS(' CADASTRO'!$R$746:$R$893,'acab equip'!R87,' CADASTRO'!$S$746:$S$893,'acab equip'!$S$3)</f>
        <v>0</v>
      </c>
      <c r="V87" s="162">
        <f t="shared" si="23"/>
        <v>46319</v>
      </c>
      <c r="W87" s="163">
        <f>COUNTIFS(' CADASTRO'!$S:$S,'acab equip'!$C$3,' CADASTRO'!$R:$R,'acab equip'!V87)</f>
        <v>0</v>
      </c>
      <c r="X87" s="163">
        <f>COUNTIFS(' CADASTRO'!$S:$S,'acab equip'!$D$3,' CADASTRO'!$R:$R,'acab equip'!V87)</f>
        <v>0</v>
      </c>
      <c r="Y87" s="163">
        <f>COUNTIFS(' CADASTRO'!$R$746:$R$893,'acab equip'!V87,' CADASTRO'!$S$746:$S$893,'acab equip'!$X$3)+COUNTIFS(' CADASTRO'!$R$746:$R$893,'acab equip'!V87,' CADASTRO'!$S$746:$S$893,'acab equip'!$W$3)</f>
        <v>0</v>
      </c>
      <c r="Z87" s="162">
        <f t="shared" si="24"/>
        <v>46320</v>
      </c>
      <c r="AB87" s="165">
        <f t="shared" si="14"/>
        <v>0</v>
      </c>
      <c r="AC87" s="165">
        <f t="shared" si="15"/>
        <v>0</v>
      </c>
      <c r="AD87" s="165">
        <f t="shared" si="16"/>
        <v>0</v>
      </c>
      <c r="AE87" s="177">
        <f t="shared" si="17"/>
        <v>0</v>
      </c>
    </row>
    <row r="88" spans="2:31" x14ac:dyDescent="0.25">
      <c r="B88" s="162">
        <f t="shared" si="18"/>
        <v>46321</v>
      </c>
      <c r="C88" s="163">
        <f>COUNTIFS(' CADASTRO'!$S:$S,'acab equip'!$C$3,' CADASTRO'!$R:$R,'acab equip'!B88)</f>
        <v>0</v>
      </c>
      <c r="D88" s="163">
        <f>COUNTIFS(' CADASTRO'!$S:$S,'acab equip'!$D$3,' CADASTRO'!$R:$R,'acab equip'!B88)</f>
        <v>0</v>
      </c>
      <c r="E88" s="163">
        <f>COUNTIFS(' CADASTRO'!$R$746:$R$893,'acab equip'!B88,' CADASTRO'!$S$746:$S$893,'acab equip'!$D$3)+COUNTIFS(' CADASTRO'!$R$746:$R$893,'acab equip'!B88,' CADASTRO'!$S$746:$S$893,'acab equip'!$C$3)</f>
        <v>0</v>
      </c>
      <c r="F88" s="162">
        <f t="shared" si="19"/>
        <v>46322</v>
      </c>
      <c r="G88" s="163">
        <f>COUNTIFS(' CADASTRO'!$S:$S,'acab equip'!$C$3,' CADASTRO'!$R:$R,'acab equip'!F88)</f>
        <v>0</v>
      </c>
      <c r="H88" s="163">
        <f>COUNTIFS(' CADASTRO'!$S:$S,'acab equip'!$D$3,' CADASTRO'!$R:$R,'acab equip'!F88)</f>
        <v>0</v>
      </c>
      <c r="I88" s="163">
        <f>COUNTIFS(' CADASTRO'!$R$746:$R$893,'acab equip'!F88,' CADASTRO'!$S$746:$S$893,'acab equip'!$H$3)+COUNTIFS(' CADASTRO'!$R$746:$R$893,'acab equip'!F88,' CADASTRO'!$S$746:$S$893,'acab equip'!$G$3)</f>
        <v>0</v>
      </c>
      <c r="J88" s="162">
        <f t="shared" si="20"/>
        <v>46323</v>
      </c>
      <c r="K88" s="163">
        <f>COUNTIFS(' CADASTRO'!$S:$S,'acab equip'!$C$3,' CADASTRO'!$R:$R,'acab equip'!J88)</f>
        <v>0</v>
      </c>
      <c r="L88" s="163">
        <f>COUNTIFS(' CADASTRO'!$S:$S,'acab equip'!$D$3,' CADASTRO'!$R:$R,'acab equip'!J88)</f>
        <v>0</v>
      </c>
      <c r="M88" s="163">
        <f>COUNTIFS(' CADASTRO'!$R$746:$R$893,'acab equip'!J88,' CADASTRO'!$S$746:$S$893,'acab equip'!$L$3)+COUNTIFS(' CADASTRO'!$R$746:$R$893,'acab equip'!J88,' CADASTRO'!$S$746:$S$893,'acab equip'!$K$3)</f>
        <v>0</v>
      </c>
      <c r="N88" s="162">
        <f t="shared" si="21"/>
        <v>46324</v>
      </c>
      <c r="O88" s="163">
        <f>COUNTIFS(' CADASTRO'!$S:$S,'acab equip'!$C$3,' CADASTRO'!$R:$R,'acab equip'!N88)</f>
        <v>0</v>
      </c>
      <c r="P88" s="163">
        <f>COUNTIFS(' CADASTRO'!$S:$S,'acab equip'!$D$3,' CADASTRO'!$R:$R,'acab equip'!N88)</f>
        <v>0</v>
      </c>
      <c r="Q88" s="163">
        <f>COUNTIFS(' CADASTRO'!$R$746:$R$893,'acab equip'!N88,' CADASTRO'!$S$746:$S$893,'acab equip'!$P$3)+COUNTIFS(' CADASTRO'!$R$746:$R$893,'acab equip'!N88,' CADASTRO'!$S$746:$S$893,'acab equip'!$O$3)</f>
        <v>0</v>
      </c>
      <c r="R88" s="162">
        <f t="shared" si="22"/>
        <v>46325</v>
      </c>
      <c r="S88" s="163">
        <f>COUNTIFS(' CADASTRO'!$S:$S,'acab equip'!$C$3,' CADASTRO'!$R:$R,'acab equip'!R88)</f>
        <v>0</v>
      </c>
      <c r="T88" s="163">
        <f>COUNTIFS(' CADASTRO'!$S:$S,'acab equip'!$D$3,' CADASTRO'!$R:$R,'acab equip'!R88)</f>
        <v>0</v>
      </c>
      <c r="U88" s="163">
        <f>COUNTIFS(' CADASTRO'!$R$746:$R$893,'acab equip'!R88,' CADASTRO'!$S$746:$S$893,'acab equip'!$T$3)+COUNTIFS(' CADASTRO'!$R$746:$R$893,'acab equip'!R88,' CADASTRO'!$S$746:$S$893,'acab equip'!$S$3)</f>
        <v>0</v>
      </c>
      <c r="V88" s="162">
        <f t="shared" si="23"/>
        <v>46326</v>
      </c>
      <c r="W88" s="163">
        <f>COUNTIFS(' CADASTRO'!$S:$S,'acab equip'!$C$3,' CADASTRO'!$R:$R,'acab equip'!V88)</f>
        <v>0</v>
      </c>
      <c r="X88" s="163">
        <f>COUNTIFS(' CADASTRO'!$S:$S,'acab equip'!$D$3,' CADASTRO'!$R:$R,'acab equip'!V88)</f>
        <v>0</v>
      </c>
      <c r="Y88" s="163">
        <f>COUNTIFS(' CADASTRO'!$R$746:$R$893,'acab equip'!V88,' CADASTRO'!$S$746:$S$893,'acab equip'!$X$3)+COUNTIFS(' CADASTRO'!$R$746:$R$893,'acab equip'!V88,' CADASTRO'!$S$746:$S$893,'acab equip'!$W$3)</f>
        <v>0</v>
      </c>
      <c r="Z88" s="162">
        <f t="shared" si="24"/>
        <v>46327</v>
      </c>
      <c r="AB88" s="165">
        <f t="shared" si="14"/>
        <v>0</v>
      </c>
      <c r="AC88" s="165">
        <f t="shared" si="15"/>
        <v>0</v>
      </c>
      <c r="AD88" s="165">
        <f t="shared" si="16"/>
        <v>0</v>
      </c>
      <c r="AE88" s="177">
        <f t="shared" si="17"/>
        <v>0</v>
      </c>
    </row>
    <row r="89" spans="2:31" x14ac:dyDescent="0.25">
      <c r="B89" s="162">
        <f t="shared" si="18"/>
        <v>46328</v>
      </c>
      <c r="C89" s="163">
        <f>COUNTIFS(' CADASTRO'!$S:$S,'acab equip'!$C$3,' CADASTRO'!$R:$R,'acab equip'!B89)</f>
        <v>0</v>
      </c>
      <c r="D89" s="163">
        <f>COUNTIFS(' CADASTRO'!$S:$S,'acab equip'!$D$3,' CADASTRO'!$R:$R,'acab equip'!B89)</f>
        <v>0</v>
      </c>
      <c r="E89" s="163">
        <f>COUNTIFS(' CADASTRO'!$R$746:$R$893,'acab equip'!B89,' CADASTRO'!$S$746:$S$893,'acab equip'!$D$3)+COUNTIFS(' CADASTRO'!$R$746:$R$893,'acab equip'!B89,' CADASTRO'!$S$746:$S$893,'acab equip'!$C$3)</f>
        <v>0</v>
      </c>
      <c r="F89" s="162">
        <f t="shared" si="19"/>
        <v>46329</v>
      </c>
      <c r="G89" s="163">
        <f>COUNTIFS(' CADASTRO'!$S:$S,'acab equip'!$C$3,' CADASTRO'!$R:$R,'acab equip'!F89)</f>
        <v>0</v>
      </c>
      <c r="H89" s="163">
        <f>COUNTIFS(' CADASTRO'!$S:$S,'acab equip'!$D$3,' CADASTRO'!$R:$R,'acab equip'!F89)</f>
        <v>0</v>
      </c>
      <c r="I89" s="163">
        <f>COUNTIFS(' CADASTRO'!$R$746:$R$893,'acab equip'!F89,' CADASTRO'!$S$746:$S$893,'acab equip'!$H$3)+COUNTIFS(' CADASTRO'!$R$746:$R$893,'acab equip'!F89,' CADASTRO'!$S$746:$S$893,'acab equip'!$G$3)</f>
        <v>0</v>
      </c>
      <c r="J89" s="162">
        <f t="shared" si="20"/>
        <v>46330</v>
      </c>
      <c r="K89" s="163">
        <f>COUNTIFS(' CADASTRO'!$S:$S,'acab equip'!$C$3,' CADASTRO'!$R:$R,'acab equip'!J89)</f>
        <v>0</v>
      </c>
      <c r="L89" s="163">
        <f>COUNTIFS(' CADASTRO'!$S:$S,'acab equip'!$D$3,' CADASTRO'!$R:$R,'acab equip'!J89)</f>
        <v>0</v>
      </c>
      <c r="M89" s="163">
        <f>COUNTIFS(' CADASTRO'!$R$746:$R$893,'acab equip'!J89,' CADASTRO'!$S$746:$S$893,'acab equip'!$L$3)+COUNTIFS(' CADASTRO'!$R$746:$R$893,'acab equip'!J89,' CADASTRO'!$S$746:$S$893,'acab equip'!$K$3)</f>
        <v>0</v>
      </c>
      <c r="N89" s="162">
        <f t="shared" si="21"/>
        <v>46331</v>
      </c>
      <c r="O89" s="163">
        <f>COUNTIFS(' CADASTRO'!$S:$S,'acab equip'!$C$3,' CADASTRO'!$R:$R,'acab equip'!N89)</f>
        <v>0</v>
      </c>
      <c r="P89" s="163">
        <f>COUNTIFS(' CADASTRO'!$S:$S,'acab equip'!$D$3,' CADASTRO'!$R:$R,'acab equip'!N89)</f>
        <v>0</v>
      </c>
      <c r="Q89" s="163">
        <f>COUNTIFS(' CADASTRO'!$R$746:$R$893,'acab equip'!N89,' CADASTRO'!$S$746:$S$893,'acab equip'!$P$3)+COUNTIFS(' CADASTRO'!$R$746:$R$893,'acab equip'!N89,' CADASTRO'!$S$746:$S$893,'acab equip'!$O$3)</f>
        <v>0</v>
      </c>
      <c r="R89" s="162">
        <f t="shared" si="22"/>
        <v>46332</v>
      </c>
      <c r="S89" s="163">
        <f>COUNTIFS(' CADASTRO'!$S:$S,'acab equip'!$C$3,' CADASTRO'!$R:$R,'acab equip'!R89)</f>
        <v>0</v>
      </c>
      <c r="T89" s="163">
        <f>COUNTIFS(' CADASTRO'!$S:$S,'acab equip'!$D$3,' CADASTRO'!$R:$R,'acab equip'!R89)</f>
        <v>0</v>
      </c>
      <c r="U89" s="163">
        <f>COUNTIFS(' CADASTRO'!$R$746:$R$893,'acab equip'!R89,' CADASTRO'!$S$746:$S$893,'acab equip'!$T$3)+COUNTIFS(' CADASTRO'!$R$746:$R$893,'acab equip'!R89,' CADASTRO'!$S$746:$S$893,'acab equip'!$S$3)</f>
        <v>0</v>
      </c>
      <c r="V89" s="162">
        <f t="shared" si="23"/>
        <v>46333</v>
      </c>
      <c r="W89" s="163">
        <f>COUNTIFS(' CADASTRO'!$S:$S,'acab equip'!$C$3,' CADASTRO'!$R:$R,'acab equip'!V89)</f>
        <v>0</v>
      </c>
      <c r="X89" s="163">
        <f>COUNTIFS(' CADASTRO'!$S:$S,'acab equip'!$D$3,' CADASTRO'!$R:$R,'acab equip'!V89)</f>
        <v>0</v>
      </c>
      <c r="Y89" s="163">
        <f>COUNTIFS(' CADASTRO'!$R$746:$R$893,'acab equip'!V89,' CADASTRO'!$S$746:$S$893,'acab equip'!$X$3)+COUNTIFS(' CADASTRO'!$R$746:$R$893,'acab equip'!V89,' CADASTRO'!$S$746:$S$893,'acab equip'!$W$3)</f>
        <v>0</v>
      </c>
      <c r="Z89" s="162">
        <f t="shared" si="24"/>
        <v>46334</v>
      </c>
      <c r="AB89" s="165">
        <f t="shared" si="14"/>
        <v>0</v>
      </c>
      <c r="AC89" s="165">
        <f t="shared" si="15"/>
        <v>0</v>
      </c>
      <c r="AD89" s="165">
        <f t="shared" si="16"/>
        <v>0</v>
      </c>
      <c r="AE89" s="177">
        <f t="shared" si="17"/>
        <v>0</v>
      </c>
    </row>
    <row r="90" spans="2:31" x14ac:dyDescent="0.25">
      <c r="B90" s="162">
        <f t="shared" si="18"/>
        <v>46335</v>
      </c>
      <c r="C90" s="163">
        <f>COUNTIFS(' CADASTRO'!$S:$S,'acab equip'!$C$3,' CADASTRO'!$R:$R,'acab equip'!B90)</f>
        <v>0</v>
      </c>
      <c r="D90" s="163">
        <f>COUNTIFS(' CADASTRO'!$S:$S,'acab equip'!$D$3,' CADASTRO'!$R:$R,'acab equip'!B90)</f>
        <v>0</v>
      </c>
      <c r="E90" s="163">
        <f>COUNTIFS(' CADASTRO'!$R$746:$R$893,'acab equip'!B90,' CADASTRO'!$S$746:$S$893,'acab equip'!$D$3)+COUNTIFS(' CADASTRO'!$R$746:$R$893,'acab equip'!B90,' CADASTRO'!$S$746:$S$893,'acab equip'!$C$3)</f>
        <v>0</v>
      </c>
      <c r="F90" s="162">
        <f t="shared" si="19"/>
        <v>46336</v>
      </c>
      <c r="G90" s="163">
        <f>COUNTIFS(' CADASTRO'!$S:$S,'acab equip'!$C$3,' CADASTRO'!$R:$R,'acab equip'!F90)</f>
        <v>0</v>
      </c>
      <c r="H90" s="163">
        <f>COUNTIFS(' CADASTRO'!$S:$S,'acab equip'!$D$3,' CADASTRO'!$R:$R,'acab equip'!F90)</f>
        <v>0</v>
      </c>
      <c r="I90" s="163">
        <f>COUNTIFS(' CADASTRO'!$R$746:$R$893,'acab equip'!F90,' CADASTRO'!$S$746:$S$893,'acab equip'!$H$3)+COUNTIFS(' CADASTRO'!$R$746:$R$893,'acab equip'!F90,' CADASTRO'!$S$746:$S$893,'acab equip'!$G$3)</f>
        <v>0</v>
      </c>
      <c r="J90" s="162">
        <f t="shared" si="20"/>
        <v>46337</v>
      </c>
      <c r="K90" s="163">
        <f>COUNTIFS(' CADASTRO'!$S:$S,'acab equip'!$C$3,' CADASTRO'!$R:$R,'acab equip'!J90)</f>
        <v>0</v>
      </c>
      <c r="L90" s="163">
        <f>COUNTIFS(' CADASTRO'!$S:$S,'acab equip'!$D$3,' CADASTRO'!$R:$R,'acab equip'!J90)</f>
        <v>0</v>
      </c>
      <c r="M90" s="163">
        <f>COUNTIFS(' CADASTRO'!$R$746:$R$893,'acab equip'!J90,' CADASTRO'!$S$746:$S$893,'acab equip'!$L$3)+COUNTIFS(' CADASTRO'!$R$746:$R$893,'acab equip'!J90,' CADASTRO'!$S$746:$S$893,'acab equip'!$K$3)</f>
        <v>0</v>
      </c>
      <c r="N90" s="162">
        <f t="shared" si="21"/>
        <v>46338</v>
      </c>
      <c r="O90" s="163">
        <f>COUNTIFS(' CADASTRO'!$S:$S,'acab equip'!$C$3,' CADASTRO'!$R:$R,'acab equip'!N90)</f>
        <v>0</v>
      </c>
      <c r="P90" s="163">
        <f>COUNTIFS(' CADASTRO'!$S:$S,'acab equip'!$D$3,' CADASTRO'!$R:$R,'acab equip'!N90)</f>
        <v>0</v>
      </c>
      <c r="Q90" s="163">
        <f>COUNTIFS(' CADASTRO'!$R$746:$R$893,'acab equip'!N90,' CADASTRO'!$S$746:$S$893,'acab equip'!$P$3)+COUNTIFS(' CADASTRO'!$R$746:$R$893,'acab equip'!N90,' CADASTRO'!$S$746:$S$893,'acab equip'!$O$3)</f>
        <v>0</v>
      </c>
      <c r="R90" s="162">
        <f t="shared" si="22"/>
        <v>46339</v>
      </c>
      <c r="S90" s="163">
        <f>COUNTIFS(' CADASTRO'!$S:$S,'acab equip'!$C$3,' CADASTRO'!$R:$R,'acab equip'!R90)</f>
        <v>0</v>
      </c>
      <c r="T90" s="163">
        <f>COUNTIFS(' CADASTRO'!$S:$S,'acab equip'!$D$3,' CADASTRO'!$R:$R,'acab equip'!R90)</f>
        <v>0</v>
      </c>
      <c r="U90" s="163">
        <f>COUNTIFS(' CADASTRO'!$R$746:$R$893,'acab equip'!R90,' CADASTRO'!$S$746:$S$893,'acab equip'!$T$3)+COUNTIFS(' CADASTRO'!$R$746:$R$893,'acab equip'!R90,' CADASTRO'!$S$746:$S$893,'acab equip'!$S$3)</f>
        <v>0</v>
      </c>
      <c r="V90" s="162">
        <f t="shared" si="23"/>
        <v>46340</v>
      </c>
      <c r="W90" s="163">
        <f>COUNTIFS(' CADASTRO'!$S:$S,'acab equip'!$C$3,' CADASTRO'!$R:$R,'acab equip'!V90)</f>
        <v>0</v>
      </c>
      <c r="X90" s="163">
        <f>COUNTIFS(' CADASTRO'!$S:$S,'acab equip'!$D$3,' CADASTRO'!$R:$R,'acab equip'!V90)</f>
        <v>0</v>
      </c>
      <c r="Y90" s="163">
        <f>COUNTIFS(' CADASTRO'!$R$746:$R$893,'acab equip'!V90,' CADASTRO'!$S$746:$S$893,'acab equip'!$X$3)+COUNTIFS(' CADASTRO'!$R$746:$R$893,'acab equip'!V90,' CADASTRO'!$S$746:$S$893,'acab equip'!$W$3)</f>
        <v>0</v>
      </c>
      <c r="Z90" s="162">
        <f t="shared" si="24"/>
        <v>46341</v>
      </c>
      <c r="AB90" s="165">
        <f t="shared" si="14"/>
        <v>0</v>
      </c>
      <c r="AC90" s="165">
        <f t="shared" si="15"/>
        <v>0</v>
      </c>
      <c r="AD90" s="165">
        <f t="shared" si="16"/>
        <v>0</v>
      </c>
      <c r="AE90" s="177">
        <f t="shared" si="17"/>
        <v>0</v>
      </c>
    </row>
    <row r="91" spans="2:31" x14ac:dyDescent="0.25">
      <c r="B91" s="162">
        <f t="shared" si="18"/>
        <v>46342</v>
      </c>
      <c r="C91" s="163">
        <f>COUNTIFS(' CADASTRO'!$S:$S,'acab equip'!$C$3,' CADASTRO'!$R:$R,'acab equip'!B91)</f>
        <v>0</v>
      </c>
      <c r="D91" s="163">
        <f>COUNTIFS(' CADASTRO'!$S:$S,'acab equip'!$D$3,' CADASTRO'!$R:$R,'acab equip'!B91)</f>
        <v>0</v>
      </c>
      <c r="E91" s="163">
        <f>COUNTIFS(' CADASTRO'!$R$746:$R$893,'acab equip'!B91,' CADASTRO'!$S$746:$S$893,'acab equip'!$D$3)+COUNTIFS(' CADASTRO'!$R$746:$R$893,'acab equip'!B91,' CADASTRO'!$S$746:$S$893,'acab equip'!$C$3)</f>
        <v>0</v>
      </c>
      <c r="F91" s="162">
        <f t="shared" si="19"/>
        <v>46343</v>
      </c>
      <c r="G91" s="163">
        <f>COUNTIFS(' CADASTRO'!$S:$S,'acab equip'!$C$3,' CADASTRO'!$R:$R,'acab equip'!F91)</f>
        <v>0</v>
      </c>
      <c r="H91" s="163">
        <f>COUNTIFS(' CADASTRO'!$S:$S,'acab equip'!$D$3,' CADASTRO'!$R:$R,'acab equip'!F91)</f>
        <v>0</v>
      </c>
      <c r="I91" s="163">
        <f>COUNTIFS(' CADASTRO'!$R$746:$R$893,'acab equip'!F91,' CADASTRO'!$S$746:$S$893,'acab equip'!$H$3)+COUNTIFS(' CADASTRO'!$R$746:$R$893,'acab equip'!F91,' CADASTRO'!$S$746:$S$893,'acab equip'!$G$3)</f>
        <v>0</v>
      </c>
      <c r="J91" s="162">
        <f t="shared" si="20"/>
        <v>46344</v>
      </c>
      <c r="K91" s="163">
        <f>COUNTIFS(' CADASTRO'!$S:$S,'acab equip'!$C$3,' CADASTRO'!$R:$R,'acab equip'!J91)</f>
        <v>0</v>
      </c>
      <c r="L91" s="163">
        <f>COUNTIFS(' CADASTRO'!$S:$S,'acab equip'!$D$3,' CADASTRO'!$R:$R,'acab equip'!J91)</f>
        <v>0</v>
      </c>
      <c r="M91" s="163">
        <f>COUNTIFS(' CADASTRO'!$R$746:$R$893,'acab equip'!J91,' CADASTRO'!$S$746:$S$893,'acab equip'!$L$3)+COUNTIFS(' CADASTRO'!$R$746:$R$893,'acab equip'!J91,' CADASTRO'!$S$746:$S$893,'acab equip'!$K$3)</f>
        <v>0</v>
      </c>
      <c r="N91" s="162">
        <f t="shared" si="21"/>
        <v>46345</v>
      </c>
      <c r="O91" s="163">
        <f>COUNTIFS(' CADASTRO'!$S:$S,'acab equip'!$C$3,' CADASTRO'!$R:$R,'acab equip'!N91)</f>
        <v>0</v>
      </c>
      <c r="P91" s="163">
        <f>COUNTIFS(' CADASTRO'!$S:$S,'acab equip'!$D$3,' CADASTRO'!$R:$R,'acab equip'!N91)</f>
        <v>0</v>
      </c>
      <c r="Q91" s="163">
        <f>COUNTIFS(' CADASTRO'!$R$746:$R$893,'acab equip'!N91,' CADASTRO'!$S$746:$S$893,'acab equip'!$P$3)+COUNTIFS(' CADASTRO'!$R$746:$R$893,'acab equip'!N91,' CADASTRO'!$S$746:$S$893,'acab equip'!$O$3)</f>
        <v>0</v>
      </c>
      <c r="R91" s="162">
        <f t="shared" si="22"/>
        <v>46346</v>
      </c>
      <c r="S91" s="163">
        <f>COUNTIFS(' CADASTRO'!$S:$S,'acab equip'!$C$3,' CADASTRO'!$R:$R,'acab equip'!R91)</f>
        <v>0</v>
      </c>
      <c r="T91" s="163">
        <f>COUNTIFS(' CADASTRO'!$S:$S,'acab equip'!$D$3,' CADASTRO'!$R:$R,'acab equip'!R91)</f>
        <v>0</v>
      </c>
      <c r="U91" s="163">
        <f>COUNTIFS(' CADASTRO'!$R$746:$R$893,'acab equip'!R91,' CADASTRO'!$S$746:$S$893,'acab equip'!$T$3)+COUNTIFS(' CADASTRO'!$R$746:$R$893,'acab equip'!R91,' CADASTRO'!$S$746:$S$893,'acab equip'!$S$3)</f>
        <v>0</v>
      </c>
      <c r="V91" s="162">
        <f t="shared" si="23"/>
        <v>46347</v>
      </c>
      <c r="W91" s="163">
        <f>COUNTIFS(' CADASTRO'!$S:$S,'acab equip'!$C$3,' CADASTRO'!$R:$R,'acab equip'!V91)</f>
        <v>0</v>
      </c>
      <c r="X91" s="163">
        <f>COUNTIFS(' CADASTRO'!$S:$S,'acab equip'!$D$3,' CADASTRO'!$R:$R,'acab equip'!V91)</f>
        <v>0</v>
      </c>
      <c r="Y91" s="163">
        <f>COUNTIFS(' CADASTRO'!$R$746:$R$893,'acab equip'!V91,' CADASTRO'!$S$746:$S$893,'acab equip'!$X$3)+COUNTIFS(' CADASTRO'!$R$746:$R$893,'acab equip'!V91,' CADASTRO'!$S$746:$S$893,'acab equip'!$W$3)</f>
        <v>0</v>
      </c>
      <c r="Z91" s="162">
        <f t="shared" si="24"/>
        <v>46348</v>
      </c>
      <c r="AB91" s="165">
        <f t="shared" si="14"/>
        <v>0</v>
      </c>
      <c r="AC91" s="165">
        <f t="shared" si="15"/>
        <v>0</v>
      </c>
      <c r="AD91" s="165">
        <f t="shared" si="16"/>
        <v>0</v>
      </c>
      <c r="AE91" s="177">
        <f t="shared" si="17"/>
        <v>0</v>
      </c>
    </row>
    <row r="92" spans="2:31" x14ac:dyDescent="0.25">
      <c r="B92" s="162">
        <f t="shared" si="18"/>
        <v>46349</v>
      </c>
      <c r="C92" s="163">
        <f>COUNTIFS(' CADASTRO'!$S:$S,'acab equip'!$C$3,' CADASTRO'!$R:$R,'acab equip'!B92)</f>
        <v>0</v>
      </c>
      <c r="D92" s="163">
        <f>COUNTIFS(' CADASTRO'!$S:$S,'acab equip'!$D$3,' CADASTRO'!$R:$R,'acab equip'!B92)</f>
        <v>0</v>
      </c>
      <c r="E92" s="163">
        <f>COUNTIFS(' CADASTRO'!$R$746:$R$893,'acab equip'!B92,' CADASTRO'!$S$746:$S$893,'acab equip'!$D$3)+COUNTIFS(' CADASTRO'!$R$746:$R$893,'acab equip'!B92,' CADASTRO'!$S$746:$S$893,'acab equip'!$C$3)</f>
        <v>0</v>
      </c>
      <c r="F92" s="162">
        <f t="shared" si="19"/>
        <v>46350</v>
      </c>
      <c r="G92" s="163">
        <f>COUNTIFS(' CADASTRO'!$S:$S,'acab equip'!$C$3,' CADASTRO'!$R:$R,'acab equip'!F92)</f>
        <v>0</v>
      </c>
      <c r="H92" s="163">
        <f>COUNTIFS(' CADASTRO'!$S:$S,'acab equip'!$D$3,' CADASTRO'!$R:$R,'acab equip'!F92)</f>
        <v>0</v>
      </c>
      <c r="I92" s="163">
        <f>COUNTIFS(' CADASTRO'!$R$746:$R$893,'acab equip'!F92,' CADASTRO'!$S$746:$S$893,'acab equip'!$H$3)+COUNTIFS(' CADASTRO'!$R$746:$R$893,'acab equip'!F92,' CADASTRO'!$S$746:$S$893,'acab equip'!$G$3)</f>
        <v>0</v>
      </c>
      <c r="J92" s="162">
        <f t="shared" si="20"/>
        <v>46351</v>
      </c>
      <c r="K92" s="163">
        <f>COUNTIFS(' CADASTRO'!$S:$S,'acab equip'!$C$3,' CADASTRO'!$R:$R,'acab equip'!J92)</f>
        <v>0</v>
      </c>
      <c r="L92" s="163">
        <f>COUNTIFS(' CADASTRO'!$S:$S,'acab equip'!$D$3,' CADASTRO'!$R:$R,'acab equip'!J92)</f>
        <v>0</v>
      </c>
      <c r="M92" s="163">
        <f>COUNTIFS(' CADASTRO'!$R$746:$R$893,'acab equip'!J92,' CADASTRO'!$S$746:$S$893,'acab equip'!$L$3)+COUNTIFS(' CADASTRO'!$R$746:$R$893,'acab equip'!J92,' CADASTRO'!$S$746:$S$893,'acab equip'!$K$3)</f>
        <v>0</v>
      </c>
      <c r="N92" s="162">
        <f t="shared" si="21"/>
        <v>46352</v>
      </c>
      <c r="O92" s="163">
        <f>COUNTIFS(' CADASTRO'!$S:$S,'acab equip'!$C$3,' CADASTRO'!$R:$R,'acab equip'!N92)</f>
        <v>0</v>
      </c>
      <c r="P92" s="163">
        <f>COUNTIFS(' CADASTRO'!$S:$S,'acab equip'!$D$3,' CADASTRO'!$R:$R,'acab equip'!N92)</f>
        <v>0</v>
      </c>
      <c r="Q92" s="163">
        <f>COUNTIFS(' CADASTRO'!$R$746:$R$893,'acab equip'!N92,' CADASTRO'!$S$746:$S$893,'acab equip'!$P$3)+COUNTIFS(' CADASTRO'!$R$746:$R$893,'acab equip'!N92,' CADASTRO'!$S$746:$S$893,'acab equip'!$O$3)</f>
        <v>0</v>
      </c>
      <c r="R92" s="162">
        <f t="shared" si="22"/>
        <v>46353</v>
      </c>
      <c r="S92" s="163">
        <f>COUNTIFS(' CADASTRO'!$S:$S,'acab equip'!$C$3,' CADASTRO'!$R:$R,'acab equip'!R92)</f>
        <v>0</v>
      </c>
      <c r="T92" s="163">
        <f>COUNTIFS(' CADASTRO'!$S:$S,'acab equip'!$D$3,' CADASTRO'!$R:$R,'acab equip'!R92)</f>
        <v>0</v>
      </c>
      <c r="U92" s="163">
        <f>COUNTIFS(' CADASTRO'!$R$746:$R$893,'acab equip'!R92,' CADASTRO'!$S$746:$S$893,'acab equip'!$T$3)+COUNTIFS(' CADASTRO'!$R$746:$R$893,'acab equip'!R92,' CADASTRO'!$S$746:$S$893,'acab equip'!$S$3)</f>
        <v>0</v>
      </c>
      <c r="V92" s="162">
        <f t="shared" si="23"/>
        <v>46354</v>
      </c>
      <c r="W92" s="163">
        <f>COUNTIFS(' CADASTRO'!$S:$S,'acab equip'!$C$3,' CADASTRO'!$R:$R,'acab equip'!V92)</f>
        <v>0</v>
      </c>
      <c r="X92" s="163">
        <f>COUNTIFS(' CADASTRO'!$S:$S,'acab equip'!$D$3,' CADASTRO'!$R:$R,'acab equip'!V92)</f>
        <v>0</v>
      </c>
      <c r="Y92" s="163">
        <f>COUNTIFS(' CADASTRO'!$R$746:$R$893,'acab equip'!V92,' CADASTRO'!$S$746:$S$893,'acab equip'!$X$3)+COUNTIFS(' CADASTRO'!$R$746:$R$893,'acab equip'!V92,' CADASTRO'!$S$746:$S$893,'acab equip'!$W$3)</f>
        <v>0</v>
      </c>
      <c r="Z92" s="162">
        <f t="shared" si="24"/>
        <v>46355</v>
      </c>
      <c r="AB92" s="165">
        <f t="shared" si="14"/>
        <v>0</v>
      </c>
      <c r="AC92" s="165">
        <f t="shared" si="15"/>
        <v>0</v>
      </c>
      <c r="AD92" s="165">
        <f t="shared" si="16"/>
        <v>0</v>
      </c>
      <c r="AE92" s="177">
        <f t="shared" si="17"/>
        <v>0</v>
      </c>
    </row>
    <row r="93" spans="2:31" x14ac:dyDescent="0.25">
      <c r="B93" s="162">
        <f t="shared" si="18"/>
        <v>46356</v>
      </c>
      <c r="C93" s="163">
        <f>COUNTIFS(' CADASTRO'!$S:$S,'acab equip'!$C$3,' CADASTRO'!$R:$R,'acab equip'!B93)</f>
        <v>0</v>
      </c>
      <c r="D93" s="163">
        <f>COUNTIFS(' CADASTRO'!$S:$S,'acab equip'!$D$3,' CADASTRO'!$R:$R,'acab equip'!B93)</f>
        <v>0</v>
      </c>
      <c r="E93" s="163">
        <f>COUNTIFS(' CADASTRO'!$R$746:$R$893,'acab equip'!B93,' CADASTRO'!$S$746:$S$893,'acab equip'!$D$3)+COUNTIFS(' CADASTRO'!$R$746:$R$893,'acab equip'!B93,' CADASTRO'!$S$746:$S$893,'acab equip'!$C$3)</f>
        <v>0</v>
      </c>
      <c r="F93" s="162">
        <f t="shared" si="19"/>
        <v>46357</v>
      </c>
      <c r="G93" s="163">
        <f>COUNTIFS(' CADASTRO'!$S:$S,'acab equip'!$C$3,' CADASTRO'!$R:$R,'acab equip'!F93)</f>
        <v>0</v>
      </c>
      <c r="H93" s="163">
        <f>COUNTIFS(' CADASTRO'!$S:$S,'acab equip'!$D$3,' CADASTRO'!$R:$R,'acab equip'!F93)</f>
        <v>0</v>
      </c>
      <c r="I93" s="163">
        <f>COUNTIFS(' CADASTRO'!$R$746:$R$893,'acab equip'!F93,' CADASTRO'!$S$746:$S$893,'acab equip'!$H$3)+COUNTIFS(' CADASTRO'!$R$746:$R$893,'acab equip'!F93,' CADASTRO'!$S$746:$S$893,'acab equip'!$G$3)</f>
        <v>0</v>
      </c>
      <c r="J93" s="162">
        <f t="shared" si="20"/>
        <v>46358</v>
      </c>
      <c r="K93" s="163">
        <f>COUNTIFS(' CADASTRO'!$S:$S,'acab equip'!$C$3,' CADASTRO'!$R:$R,'acab equip'!J93)</f>
        <v>0</v>
      </c>
      <c r="L93" s="163">
        <f>COUNTIFS(' CADASTRO'!$S:$S,'acab equip'!$D$3,' CADASTRO'!$R:$R,'acab equip'!J93)</f>
        <v>0</v>
      </c>
      <c r="M93" s="163">
        <f>COUNTIFS(' CADASTRO'!$R$746:$R$893,'acab equip'!J93,' CADASTRO'!$S$746:$S$893,'acab equip'!$L$3)+COUNTIFS(' CADASTRO'!$R$746:$R$893,'acab equip'!J93,' CADASTRO'!$S$746:$S$893,'acab equip'!$K$3)</f>
        <v>0</v>
      </c>
      <c r="N93" s="162">
        <f t="shared" si="21"/>
        <v>46359</v>
      </c>
      <c r="O93" s="163">
        <f>COUNTIFS(' CADASTRO'!$S:$S,'acab equip'!$C$3,' CADASTRO'!$R:$R,'acab equip'!N93)</f>
        <v>0</v>
      </c>
      <c r="P93" s="163">
        <f>COUNTIFS(' CADASTRO'!$S:$S,'acab equip'!$D$3,' CADASTRO'!$R:$R,'acab equip'!N93)</f>
        <v>0</v>
      </c>
      <c r="Q93" s="163">
        <f>COUNTIFS(' CADASTRO'!$R$746:$R$893,'acab equip'!N93,' CADASTRO'!$S$746:$S$893,'acab equip'!$P$3)+COUNTIFS(' CADASTRO'!$R$746:$R$893,'acab equip'!N93,' CADASTRO'!$S$746:$S$893,'acab equip'!$O$3)</f>
        <v>0</v>
      </c>
      <c r="R93" s="162">
        <f t="shared" si="22"/>
        <v>46360</v>
      </c>
      <c r="S93" s="163">
        <f>COUNTIFS(' CADASTRO'!$S:$S,'acab equip'!$C$3,' CADASTRO'!$R:$R,'acab equip'!R93)</f>
        <v>0</v>
      </c>
      <c r="T93" s="163">
        <f>COUNTIFS(' CADASTRO'!$S:$S,'acab equip'!$D$3,' CADASTRO'!$R:$R,'acab equip'!R93)</f>
        <v>0</v>
      </c>
      <c r="U93" s="163">
        <f>COUNTIFS(' CADASTRO'!$R$746:$R$893,'acab equip'!R93,' CADASTRO'!$S$746:$S$893,'acab equip'!$T$3)+COUNTIFS(' CADASTRO'!$R$746:$R$893,'acab equip'!R93,' CADASTRO'!$S$746:$S$893,'acab equip'!$S$3)</f>
        <v>0</v>
      </c>
      <c r="V93" s="162">
        <f t="shared" si="23"/>
        <v>46361</v>
      </c>
      <c r="W93" s="163">
        <f>COUNTIFS(' CADASTRO'!$S:$S,'acab equip'!$C$3,' CADASTRO'!$R:$R,'acab equip'!V93)</f>
        <v>0</v>
      </c>
      <c r="X93" s="163">
        <f>COUNTIFS(' CADASTRO'!$S:$S,'acab equip'!$D$3,' CADASTRO'!$R:$R,'acab equip'!V93)</f>
        <v>0</v>
      </c>
      <c r="Y93" s="163">
        <f>COUNTIFS(' CADASTRO'!$R$746:$R$893,'acab equip'!V93,' CADASTRO'!$S$746:$S$893,'acab equip'!$X$3)+COUNTIFS(' CADASTRO'!$R$746:$R$893,'acab equip'!V93,' CADASTRO'!$S$746:$S$893,'acab equip'!$W$3)</f>
        <v>0</v>
      </c>
      <c r="Z93" s="162">
        <f t="shared" si="24"/>
        <v>46362</v>
      </c>
      <c r="AB93" s="165">
        <f t="shared" si="14"/>
        <v>0</v>
      </c>
      <c r="AC93" s="165">
        <f t="shared" si="15"/>
        <v>0</v>
      </c>
      <c r="AD93" s="165">
        <f t="shared" si="16"/>
        <v>0</v>
      </c>
      <c r="AE93" s="177">
        <f t="shared" si="17"/>
        <v>0</v>
      </c>
    </row>
    <row r="94" spans="2:31" x14ac:dyDescent="0.25">
      <c r="B94" s="162">
        <f t="shared" si="18"/>
        <v>46363</v>
      </c>
      <c r="C94" s="163">
        <f>COUNTIFS(' CADASTRO'!$S:$S,'acab equip'!$C$3,' CADASTRO'!$R:$R,'acab equip'!B94)</f>
        <v>0</v>
      </c>
      <c r="D94" s="163">
        <f>COUNTIFS(' CADASTRO'!$S:$S,'acab equip'!$D$3,' CADASTRO'!$R:$R,'acab equip'!B94)</f>
        <v>0</v>
      </c>
      <c r="E94" s="163">
        <f>COUNTIFS(' CADASTRO'!$R$746:$R$893,'acab equip'!B94,' CADASTRO'!$S$746:$S$893,'acab equip'!$D$3)+COUNTIFS(' CADASTRO'!$R$746:$R$893,'acab equip'!B94,' CADASTRO'!$S$746:$S$893,'acab equip'!$C$3)</f>
        <v>0</v>
      </c>
      <c r="F94" s="162">
        <f t="shared" si="19"/>
        <v>46364</v>
      </c>
      <c r="G94" s="163">
        <f>COUNTIFS(' CADASTRO'!$S:$S,'acab equip'!$C$3,' CADASTRO'!$R:$R,'acab equip'!F94)</f>
        <v>0</v>
      </c>
      <c r="H94" s="163">
        <f>COUNTIFS(' CADASTRO'!$S:$S,'acab equip'!$D$3,' CADASTRO'!$R:$R,'acab equip'!F94)</f>
        <v>0</v>
      </c>
      <c r="I94" s="163">
        <f>COUNTIFS(' CADASTRO'!$R$746:$R$893,'acab equip'!F94,' CADASTRO'!$S$746:$S$893,'acab equip'!$H$3)+COUNTIFS(' CADASTRO'!$R$746:$R$893,'acab equip'!F94,' CADASTRO'!$S$746:$S$893,'acab equip'!$G$3)</f>
        <v>0</v>
      </c>
      <c r="J94" s="162">
        <f t="shared" si="20"/>
        <v>46365</v>
      </c>
      <c r="K94" s="163">
        <f>COUNTIFS(' CADASTRO'!$S:$S,'acab equip'!$C$3,' CADASTRO'!$R:$R,'acab equip'!J94)</f>
        <v>0</v>
      </c>
      <c r="L94" s="163">
        <f>COUNTIFS(' CADASTRO'!$S:$S,'acab equip'!$D$3,' CADASTRO'!$R:$R,'acab equip'!J94)</f>
        <v>0</v>
      </c>
      <c r="M94" s="163">
        <f>COUNTIFS(' CADASTRO'!$R$746:$R$893,'acab equip'!J94,' CADASTRO'!$S$746:$S$893,'acab equip'!$L$3)+COUNTIFS(' CADASTRO'!$R$746:$R$893,'acab equip'!J94,' CADASTRO'!$S$746:$S$893,'acab equip'!$K$3)</f>
        <v>0</v>
      </c>
      <c r="N94" s="162">
        <f t="shared" si="21"/>
        <v>46366</v>
      </c>
      <c r="O94" s="163">
        <f>COUNTIFS(' CADASTRO'!$S:$S,'acab equip'!$C$3,' CADASTRO'!$R:$R,'acab equip'!N94)</f>
        <v>0</v>
      </c>
      <c r="P94" s="163">
        <f>COUNTIFS(' CADASTRO'!$S:$S,'acab equip'!$D$3,' CADASTRO'!$R:$R,'acab equip'!N94)</f>
        <v>0</v>
      </c>
      <c r="Q94" s="163">
        <f>COUNTIFS(' CADASTRO'!$R$746:$R$893,'acab equip'!N94,' CADASTRO'!$S$746:$S$893,'acab equip'!$P$3)+COUNTIFS(' CADASTRO'!$R$746:$R$893,'acab equip'!N94,' CADASTRO'!$S$746:$S$893,'acab equip'!$O$3)</f>
        <v>0</v>
      </c>
      <c r="R94" s="162">
        <f t="shared" si="22"/>
        <v>46367</v>
      </c>
      <c r="S94" s="163">
        <f>COUNTIFS(' CADASTRO'!$S:$S,'acab equip'!$C$3,' CADASTRO'!$R:$R,'acab equip'!R94)</f>
        <v>0</v>
      </c>
      <c r="T94" s="163">
        <f>COUNTIFS(' CADASTRO'!$S:$S,'acab equip'!$D$3,' CADASTRO'!$R:$R,'acab equip'!R94)</f>
        <v>0</v>
      </c>
      <c r="U94" s="163">
        <f>COUNTIFS(' CADASTRO'!$R$746:$R$893,'acab equip'!R94,' CADASTRO'!$S$746:$S$893,'acab equip'!$T$3)+COUNTIFS(' CADASTRO'!$R$746:$R$893,'acab equip'!R94,' CADASTRO'!$S$746:$S$893,'acab equip'!$S$3)</f>
        <v>0</v>
      </c>
      <c r="V94" s="162">
        <f t="shared" si="23"/>
        <v>46368</v>
      </c>
      <c r="W94" s="163">
        <f>COUNTIFS(' CADASTRO'!$S:$S,'acab equip'!$C$3,' CADASTRO'!$R:$R,'acab equip'!V94)</f>
        <v>0</v>
      </c>
      <c r="X94" s="163">
        <f>COUNTIFS(' CADASTRO'!$S:$S,'acab equip'!$D$3,' CADASTRO'!$R:$R,'acab equip'!V94)</f>
        <v>0</v>
      </c>
      <c r="Y94" s="163">
        <f>COUNTIFS(' CADASTRO'!$R$746:$R$893,'acab equip'!V94,' CADASTRO'!$S$746:$S$893,'acab equip'!$X$3)+COUNTIFS(' CADASTRO'!$R$746:$R$893,'acab equip'!V94,' CADASTRO'!$S$746:$S$893,'acab equip'!$W$3)</f>
        <v>0</v>
      </c>
      <c r="Z94" s="162">
        <f t="shared" si="24"/>
        <v>46369</v>
      </c>
      <c r="AB94" s="165">
        <f t="shared" si="14"/>
        <v>0</v>
      </c>
      <c r="AC94" s="165">
        <f t="shared" si="15"/>
        <v>0</v>
      </c>
      <c r="AD94" s="165">
        <f t="shared" si="16"/>
        <v>0</v>
      </c>
      <c r="AE94" s="177">
        <f t="shared" si="17"/>
        <v>0</v>
      </c>
    </row>
    <row r="95" spans="2:31" x14ac:dyDescent="0.25">
      <c r="B95" s="162">
        <f t="shared" si="18"/>
        <v>46370</v>
      </c>
      <c r="C95" s="163">
        <f>COUNTIFS(' CADASTRO'!$S:$S,'acab equip'!$C$3,' CADASTRO'!$R:$R,'acab equip'!B95)</f>
        <v>0</v>
      </c>
      <c r="D95" s="163">
        <f>COUNTIFS(' CADASTRO'!$S:$S,'acab equip'!$D$3,' CADASTRO'!$R:$R,'acab equip'!B95)</f>
        <v>0</v>
      </c>
      <c r="E95" s="163">
        <f>COUNTIFS(' CADASTRO'!$R$746:$R$893,'acab equip'!B95,' CADASTRO'!$S$746:$S$893,'acab equip'!$D$3)+COUNTIFS(' CADASTRO'!$R$746:$R$893,'acab equip'!B95,' CADASTRO'!$S$746:$S$893,'acab equip'!$C$3)</f>
        <v>0</v>
      </c>
      <c r="F95" s="162">
        <f t="shared" si="19"/>
        <v>46371</v>
      </c>
      <c r="G95" s="163">
        <f>COUNTIFS(' CADASTRO'!$S:$S,'acab equip'!$C$3,' CADASTRO'!$R:$R,'acab equip'!F95)</f>
        <v>0</v>
      </c>
      <c r="H95" s="163">
        <f>COUNTIFS(' CADASTRO'!$S:$S,'acab equip'!$D$3,' CADASTRO'!$R:$R,'acab equip'!F95)</f>
        <v>0</v>
      </c>
      <c r="I95" s="163">
        <f>COUNTIFS(' CADASTRO'!$R$746:$R$893,'acab equip'!F95,' CADASTRO'!$S$746:$S$893,'acab equip'!$H$3)+COUNTIFS(' CADASTRO'!$R$746:$R$893,'acab equip'!F95,' CADASTRO'!$S$746:$S$893,'acab equip'!$G$3)</f>
        <v>0</v>
      </c>
      <c r="J95" s="162">
        <f t="shared" si="20"/>
        <v>46372</v>
      </c>
      <c r="K95" s="163">
        <f>COUNTIFS(' CADASTRO'!$S:$S,'acab equip'!$C$3,' CADASTRO'!$R:$R,'acab equip'!J95)</f>
        <v>0</v>
      </c>
      <c r="L95" s="163">
        <f>COUNTIFS(' CADASTRO'!$S:$S,'acab equip'!$D$3,' CADASTRO'!$R:$R,'acab equip'!J95)</f>
        <v>0</v>
      </c>
      <c r="M95" s="163">
        <f>COUNTIFS(' CADASTRO'!$R$746:$R$893,'acab equip'!J95,' CADASTRO'!$S$746:$S$893,'acab equip'!$L$3)+COUNTIFS(' CADASTRO'!$R$746:$R$893,'acab equip'!J95,' CADASTRO'!$S$746:$S$893,'acab equip'!$K$3)</f>
        <v>0</v>
      </c>
      <c r="N95" s="162">
        <f t="shared" si="21"/>
        <v>46373</v>
      </c>
      <c r="O95" s="163">
        <f>COUNTIFS(' CADASTRO'!$S:$S,'acab equip'!$C$3,' CADASTRO'!$R:$R,'acab equip'!N95)</f>
        <v>0</v>
      </c>
      <c r="P95" s="163">
        <f>COUNTIFS(' CADASTRO'!$S:$S,'acab equip'!$D$3,' CADASTRO'!$R:$R,'acab equip'!N95)</f>
        <v>0</v>
      </c>
      <c r="Q95" s="163">
        <f>COUNTIFS(' CADASTRO'!$R$746:$R$893,'acab equip'!N95,' CADASTRO'!$S$746:$S$893,'acab equip'!$P$3)+COUNTIFS(' CADASTRO'!$R$746:$R$893,'acab equip'!N95,' CADASTRO'!$S$746:$S$893,'acab equip'!$O$3)</f>
        <v>0</v>
      </c>
      <c r="R95" s="162">
        <f t="shared" si="22"/>
        <v>46374</v>
      </c>
      <c r="S95" s="163">
        <f>COUNTIFS(' CADASTRO'!$S:$S,'acab equip'!$C$3,' CADASTRO'!$R:$R,'acab equip'!R95)</f>
        <v>0</v>
      </c>
      <c r="T95" s="163">
        <f>COUNTIFS(' CADASTRO'!$S:$S,'acab equip'!$D$3,' CADASTRO'!$R:$R,'acab equip'!R95)</f>
        <v>0</v>
      </c>
      <c r="U95" s="163">
        <f>COUNTIFS(' CADASTRO'!$R$746:$R$893,'acab equip'!R95,' CADASTRO'!$S$746:$S$893,'acab equip'!$T$3)+COUNTIFS(' CADASTRO'!$R$746:$R$893,'acab equip'!R95,' CADASTRO'!$S$746:$S$893,'acab equip'!$S$3)</f>
        <v>0</v>
      </c>
      <c r="V95" s="162">
        <f t="shared" si="23"/>
        <v>46375</v>
      </c>
      <c r="W95" s="163">
        <f>COUNTIFS(' CADASTRO'!$S:$S,'acab equip'!$C$3,' CADASTRO'!$R:$R,'acab equip'!V95)</f>
        <v>0</v>
      </c>
      <c r="X95" s="163">
        <f>COUNTIFS(' CADASTRO'!$S:$S,'acab equip'!$D$3,' CADASTRO'!$R:$R,'acab equip'!V95)</f>
        <v>0</v>
      </c>
      <c r="Y95" s="163">
        <f>COUNTIFS(' CADASTRO'!$R$746:$R$893,'acab equip'!V95,' CADASTRO'!$S$746:$S$893,'acab equip'!$X$3)+COUNTIFS(' CADASTRO'!$R$746:$R$893,'acab equip'!V95,' CADASTRO'!$S$746:$S$893,'acab equip'!$W$3)</f>
        <v>0</v>
      </c>
      <c r="Z95" s="162">
        <f t="shared" si="24"/>
        <v>46376</v>
      </c>
      <c r="AB95" s="165">
        <f t="shared" si="14"/>
        <v>0</v>
      </c>
      <c r="AC95" s="165">
        <f t="shared" si="15"/>
        <v>0</v>
      </c>
      <c r="AD95" s="165">
        <f t="shared" si="16"/>
        <v>0</v>
      </c>
      <c r="AE95" s="177">
        <f t="shared" si="17"/>
        <v>0</v>
      </c>
    </row>
    <row r="96" spans="2:31" x14ac:dyDescent="0.25">
      <c r="B96" s="162">
        <f t="shared" si="18"/>
        <v>46377</v>
      </c>
      <c r="C96" s="163">
        <f>COUNTIFS(' CADASTRO'!$S:$S,'acab equip'!$C$3,' CADASTRO'!$R:$R,'acab equip'!B96)</f>
        <v>0</v>
      </c>
      <c r="D96" s="163">
        <f>COUNTIFS(' CADASTRO'!$S:$S,'acab equip'!$D$3,' CADASTRO'!$R:$R,'acab equip'!B96)</f>
        <v>0</v>
      </c>
      <c r="E96" s="163">
        <f>COUNTIFS(' CADASTRO'!$R$746:$R$893,'acab equip'!B96,' CADASTRO'!$S$746:$S$893,'acab equip'!$D$3)+COUNTIFS(' CADASTRO'!$R$746:$R$893,'acab equip'!B96,' CADASTRO'!$S$746:$S$893,'acab equip'!$C$3)</f>
        <v>0</v>
      </c>
      <c r="F96" s="162">
        <f t="shared" si="19"/>
        <v>46378</v>
      </c>
      <c r="G96" s="163">
        <f>COUNTIFS(' CADASTRO'!$S:$S,'acab equip'!$C$3,' CADASTRO'!$R:$R,'acab equip'!F96)</f>
        <v>0</v>
      </c>
      <c r="H96" s="163">
        <f>COUNTIFS(' CADASTRO'!$S:$S,'acab equip'!$D$3,' CADASTRO'!$R:$R,'acab equip'!F96)</f>
        <v>0</v>
      </c>
      <c r="I96" s="163">
        <f>COUNTIFS(' CADASTRO'!$R$746:$R$893,'acab equip'!F96,' CADASTRO'!$S$746:$S$893,'acab equip'!$H$3)+COUNTIFS(' CADASTRO'!$R$746:$R$893,'acab equip'!F96,' CADASTRO'!$S$746:$S$893,'acab equip'!$G$3)</f>
        <v>0</v>
      </c>
      <c r="J96" s="162">
        <f t="shared" si="20"/>
        <v>46379</v>
      </c>
      <c r="K96" s="163">
        <f>COUNTIFS(' CADASTRO'!$S:$S,'acab equip'!$C$3,' CADASTRO'!$R:$R,'acab equip'!J96)</f>
        <v>0</v>
      </c>
      <c r="L96" s="163">
        <f>COUNTIFS(' CADASTRO'!$S:$S,'acab equip'!$D$3,' CADASTRO'!$R:$R,'acab equip'!J96)</f>
        <v>0</v>
      </c>
      <c r="M96" s="163">
        <f>COUNTIFS(' CADASTRO'!$R$746:$R$893,'acab equip'!J96,' CADASTRO'!$S$746:$S$893,'acab equip'!$L$3)+COUNTIFS(' CADASTRO'!$R$746:$R$893,'acab equip'!J96,' CADASTRO'!$S$746:$S$893,'acab equip'!$K$3)</f>
        <v>0</v>
      </c>
      <c r="N96" s="162">
        <f t="shared" si="21"/>
        <v>46380</v>
      </c>
      <c r="O96" s="163">
        <f>COUNTIFS(' CADASTRO'!$S:$S,'acab equip'!$C$3,' CADASTRO'!$R:$R,'acab equip'!N96)</f>
        <v>0</v>
      </c>
      <c r="P96" s="163">
        <f>COUNTIFS(' CADASTRO'!$S:$S,'acab equip'!$D$3,' CADASTRO'!$R:$R,'acab equip'!N96)</f>
        <v>0</v>
      </c>
      <c r="Q96" s="163">
        <f>COUNTIFS(' CADASTRO'!$R$746:$R$893,'acab equip'!N96,' CADASTRO'!$S$746:$S$893,'acab equip'!$P$3)+COUNTIFS(' CADASTRO'!$R$746:$R$893,'acab equip'!N96,' CADASTRO'!$S$746:$S$893,'acab equip'!$O$3)</f>
        <v>0</v>
      </c>
      <c r="R96" s="162">
        <f t="shared" si="22"/>
        <v>46381</v>
      </c>
      <c r="S96" s="163">
        <f>COUNTIFS(' CADASTRO'!$S:$S,'acab equip'!$C$3,' CADASTRO'!$R:$R,'acab equip'!R96)</f>
        <v>0</v>
      </c>
      <c r="T96" s="163">
        <f>COUNTIFS(' CADASTRO'!$S:$S,'acab equip'!$D$3,' CADASTRO'!$R:$R,'acab equip'!R96)</f>
        <v>0</v>
      </c>
      <c r="U96" s="163">
        <f>COUNTIFS(' CADASTRO'!$R$746:$R$893,'acab equip'!R96,' CADASTRO'!$S$746:$S$893,'acab equip'!$T$3)+COUNTIFS(' CADASTRO'!$R$746:$R$893,'acab equip'!R96,' CADASTRO'!$S$746:$S$893,'acab equip'!$S$3)</f>
        <v>0</v>
      </c>
      <c r="V96" s="162">
        <f t="shared" si="23"/>
        <v>46382</v>
      </c>
      <c r="W96" s="163">
        <f>COUNTIFS(' CADASTRO'!$S:$S,'acab equip'!$C$3,' CADASTRO'!$R:$R,'acab equip'!V96)</f>
        <v>0</v>
      </c>
      <c r="X96" s="163">
        <f>COUNTIFS(' CADASTRO'!$S:$S,'acab equip'!$D$3,' CADASTRO'!$R:$R,'acab equip'!V96)</f>
        <v>0</v>
      </c>
      <c r="Y96" s="163">
        <f>COUNTIFS(' CADASTRO'!$R$746:$R$893,'acab equip'!V96,' CADASTRO'!$S$746:$S$893,'acab equip'!$X$3)+COUNTIFS(' CADASTRO'!$R$746:$R$893,'acab equip'!V96,' CADASTRO'!$S$746:$S$893,'acab equip'!$W$3)</f>
        <v>0</v>
      </c>
      <c r="Z96" s="162">
        <f t="shared" si="24"/>
        <v>46383</v>
      </c>
      <c r="AB96" s="165">
        <f t="shared" si="14"/>
        <v>0</v>
      </c>
      <c r="AC96" s="165">
        <f t="shared" si="15"/>
        <v>0</v>
      </c>
      <c r="AD96" s="165">
        <f t="shared" si="16"/>
        <v>0</v>
      </c>
      <c r="AE96" s="177">
        <f t="shared" si="17"/>
        <v>0</v>
      </c>
    </row>
    <row r="97" spans="2:31" x14ac:dyDescent="0.25">
      <c r="B97" s="162">
        <f t="shared" si="18"/>
        <v>46384</v>
      </c>
      <c r="C97" s="163">
        <f>COUNTIFS(' CADASTRO'!$S:$S,'acab equip'!$C$3,' CADASTRO'!$R:$R,'acab equip'!B97)</f>
        <v>0</v>
      </c>
      <c r="D97" s="163">
        <f>COUNTIFS(' CADASTRO'!$S:$S,'acab equip'!$D$3,' CADASTRO'!$R:$R,'acab equip'!B97)</f>
        <v>0</v>
      </c>
      <c r="E97" s="163">
        <f>COUNTIFS(' CADASTRO'!$R$746:$R$893,'acab equip'!B97,' CADASTRO'!$S$746:$S$893,'acab equip'!$D$3)+COUNTIFS(' CADASTRO'!$R$746:$R$893,'acab equip'!B97,' CADASTRO'!$S$746:$S$893,'acab equip'!$C$3)</f>
        <v>0</v>
      </c>
      <c r="F97" s="162">
        <f t="shared" si="19"/>
        <v>46385</v>
      </c>
      <c r="G97" s="163">
        <f>COUNTIFS(' CADASTRO'!$S:$S,'acab equip'!$C$3,' CADASTRO'!$R:$R,'acab equip'!F97)</f>
        <v>0</v>
      </c>
      <c r="H97" s="163">
        <f>COUNTIFS(' CADASTRO'!$S:$S,'acab equip'!$D$3,' CADASTRO'!$R:$R,'acab equip'!F97)</f>
        <v>0</v>
      </c>
      <c r="I97" s="163">
        <f>COUNTIFS(' CADASTRO'!$R$746:$R$893,'acab equip'!F97,' CADASTRO'!$S$746:$S$893,'acab equip'!$H$3)+COUNTIFS(' CADASTRO'!$R$746:$R$893,'acab equip'!F97,' CADASTRO'!$S$746:$S$893,'acab equip'!$G$3)</f>
        <v>0</v>
      </c>
      <c r="J97" s="162">
        <f t="shared" si="20"/>
        <v>46386</v>
      </c>
      <c r="K97" s="163">
        <f>COUNTIFS(' CADASTRO'!$S:$S,'acab equip'!$C$3,' CADASTRO'!$R:$R,'acab equip'!J97)</f>
        <v>0</v>
      </c>
      <c r="L97" s="163">
        <f>COUNTIFS(' CADASTRO'!$S:$S,'acab equip'!$D$3,' CADASTRO'!$R:$R,'acab equip'!J97)</f>
        <v>0</v>
      </c>
      <c r="M97" s="163">
        <f>COUNTIFS(' CADASTRO'!$R$746:$R$893,'acab equip'!J97,' CADASTRO'!$S$746:$S$893,'acab equip'!$L$3)+COUNTIFS(' CADASTRO'!$R$746:$R$893,'acab equip'!J97,' CADASTRO'!$S$746:$S$893,'acab equip'!$K$3)</f>
        <v>0</v>
      </c>
      <c r="N97" s="162">
        <f t="shared" si="21"/>
        <v>46387</v>
      </c>
      <c r="O97" s="163">
        <f>COUNTIFS(' CADASTRO'!$S:$S,'acab equip'!$C$3,' CADASTRO'!$R:$R,'acab equip'!N97)</f>
        <v>0</v>
      </c>
      <c r="P97" s="163">
        <f>COUNTIFS(' CADASTRO'!$S:$S,'acab equip'!$D$3,' CADASTRO'!$R:$R,'acab equip'!N97)</f>
        <v>0</v>
      </c>
      <c r="Q97" s="163">
        <f>COUNTIFS(' CADASTRO'!$R$746:$R$893,'acab equip'!N97,' CADASTRO'!$S$746:$S$893,'acab equip'!$P$3)+COUNTIFS(' CADASTRO'!$R$746:$R$893,'acab equip'!N97,' CADASTRO'!$S$746:$S$893,'acab equip'!$O$3)</f>
        <v>0</v>
      </c>
      <c r="R97" s="162">
        <f t="shared" si="22"/>
        <v>46388</v>
      </c>
      <c r="S97" s="163">
        <f>COUNTIFS(' CADASTRO'!$S:$S,'acab equip'!$C$3,' CADASTRO'!$R:$R,'acab equip'!R97)</f>
        <v>0</v>
      </c>
      <c r="T97" s="163">
        <f>COUNTIFS(' CADASTRO'!$S:$S,'acab equip'!$D$3,' CADASTRO'!$R:$R,'acab equip'!R97)</f>
        <v>0</v>
      </c>
      <c r="U97" s="163">
        <f>COUNTIFS(' CADASTRO'!$R$746:$R$893,'acab equip'!R97,' CADASTRO'!$S$746:$S$893,'acab equip'!$T$3)+COUNTIFS(' CADASTRO'!$R$746:$R$893,'acab equip'!R97,' CADASTRO'!$S$746:$S$893,'acab equip'!$S$3)</f>
        <v>0</v>
      </c>
      <c r="V97" s="162">
        <f t="shared" si="23"/>
        <v>46389</v>
      </c>
      <c r="W97" s="163">
        <f>COUNTIFS(' CADASTRO'!$S:$S,'acab equip'!$C$3,' CADASTRO'!$R:$R,'acab equip'!V97)</f>
        <v>0</v>
      </c>
      <c r="X97" s="163">
        <f>COUNTIFS(' CADASTRO'!$S:$S,'acab equip'!$D$3,' CADASTRO'!$R:$R,'acab equip'!V97)</f>
        <v>0</v>
      </c>
      <c r="Y97" s="163">
        <f>COUNTIFS(' CADASTRO'!$R$746:$R$893,'acab equip'!V97,' CADASTRO'!$S$746:$S$893,'acab equip'!$X$3)+COUNTIFS(' CADASTRO'!$R$746:$R$893,'acab equip'!V97,' CADASTRO'!$S$746:$S$893,'acab equip'!$W$3)</f>
        <v>0</v>
      </c>
      <c r="Z97" s="162">
        <f t="shared" si="24"/>
        <v>46390</v>
      </c>
      <c r="AB97" s="165">
        <f t="shared" si="14"/>
        <v>0</v>
      </c>
      <c r="AC97" s="165">
        <f t="shared" si="15"/>
        <v>0</v>
      </c>
      <c r="AD97" s="165">
        <f t="shared" si="16"/>
        <v>0</v>
      </c>
      <c r="AE97" s="177">
        <f t="shared" si="17"/>
        <v>0</v>
      </c>
    </row>
    <row r="98" spans="2:31" x14ac:dyDescent="0.25">
      <c r="B98" s="162">
        <f t="shared" si="18"/>
        <v>46391</v>
      </c>
      <c r="C98" s="163">
        <f>COUNTIFS(' CADASTRO'!$S:$S,'acab equip'!$C$3,' CADASTRO'!$R:$R,'acab equip'!B98)</f>
        <v>0</v>
      </c>
      <c r="D98" s="163">
        <f>COUNTIFS(' CADASTRO'!$S:$S,'acab equip'!$D$3,' CADASTRO'!$R:$R,'acab equip'!B98)</f>
        <v>0</v>
      </c>
      <c r="E98" s="163">
        <f>COUNTIFS(' CADASTRO'!$R$746:$R$893,'acab equip'!B98,' CADASTRO'!$S$746:$S$893,'acab equip'!$D$3)+COUNTIFS(' CADASTRO'!$R$746:$R$893,'acab equip'!B98,' CADASTRO'!$S$746:$S$893,'acab equip'!$C$3)</f>
        <v>0</v>
      </c>
      <c r="F98" s="162">
        <f t="shared" si="19"/>
        <v>46392</v>
      </c>
      <c r="G98" s="163">
        <f>COUNTIFS(' CADASTRO'!$S:$S,'acab equip'!$C$3,' CADASTRO'!$R:$R,'acab equip'!F98)</f>
        <v>0</v>
      </c>
      <c r="H98" s="163">
        <f>COUNTIFS(' CADASTRO'!$S:$S,'acab equip'!$D$3,' CADASTRO'!$R:$R,'acab equip'!F98)</f>
        <v>0</v>
      </c>
      <c r="I98" s="163">
        <f>COUNTIFS(' CADASTRO'!$R$746:$R$893,'acab equip'!F98,' CADASTRO'!$S$746:$S$893,'acab equip'!$H$3)+COUNTIFS(' CADASTRO'!$R$746:$R$893,'acab equip'!F98,' CADASTRO'!$S$746:$S$893,'acab equip'!$G$3)</f>
        <v>0</v>
      </c>
      <c r="J98" s="162">
        <f t="shared" si="20"/>
        <v>46393</v>
      </c>
      <c r="K98" s="163">
        <f>COUNTIFS(' CADASTRO'!$S:$S,'acab equip'!$C$3,' CADASTRO'!$R:$R,'acab equip'!J98)</f>
        <v>0</v>
      </c>
      <c r="L98" s="163">
        <f>COUNTIFS(' CADASTRO'!$S:$S,'acab equip'!$D$3,' CADASTRO'!$R:$R,'acab equip'!J98)</f>
        <v>0</v>
      </c>
      <c r="M98" s="163">
        <f>COUNTIFS(' CADASTRO'!$R$746:$R$893,'acab equip'!J98,' CADASTRO'!$S$746:$S$893,'acab equip'!$L$3)+COUNTIFS(' CADASTRO'!$R$746:$R$893,'acab equip'!J98,' CADASTRO'!$S$746:$S$893,'acab equip'!$K$3)</f>
        <v>0</v>
      </c>
      <c r="N98" s="162">
        <f t="shared" si="21"/>
        <v>46394</v>
      </c>
      <c r="O98" s="163">
        <f>COUNTIFS(' CADASTRO'!$S:$S,'acab equip'!$C$3,' CADASTRO'!$R:$R,'acab equip'!N98)</f>
        <v>0</v>
      </c>
      <c r="P98" s="163">
        <f>COUNTIFS(' CADASTRO'!$S:$S,'acab equip'!$D$3,' CADASTRO'!$R:$R,'acab equip'!N98)</f>
        <v>0</v>
      </c>
      <c r="Q98" s="163">
        <f>COUNTIFS(' CADASTRO'!$R$746:$R$893,'acab equip'!N98,' CADASTRO'!$S$746:$S$893,'acab equip'!$P$3)+COUNTIFS(' CADASTRO'!$R$746:$R$893,'acab equip'!N98,' CADASTRO'!$S$746:$S$893,'acab equip'!$O$3)</f>
        <v>0</v>
      </c>
      <c r="R98" s="162">
        <f t="shared" si="22"/>
        <v>46395</v>
      </c>
      <c r="S98" s="163">
        <f>COUNTIFS(' CADASTRO'!$S:$S,'acab equip'!$C$3,' CADASTRO'!$R:$R,'acab equip'!R98)</f>
        <v>0</v>
      </c>
      <c r="T98" s="163">
        <f>COUNTIFS(' CADASTRO'!$S:$S,'acab equip'!$D$3,' CADASTRO'!$R:$R,'acab equip'!R98)</f>
        <v>0</v>
      </c>
      <c r="U98" s="163">
        <f>COUNTIFS(' CADASTRO'!$R$746:$R$893,'acab equip'!R98,' CADASTRO'!$S$746:$S$893,'acab equip'!$T$3)+COUNTIFS(' CADASTRO'!$R$746:$R$893,'acab equip'!R98,' CADASTRO'!$S$746:$S$893,'acab equip'!$S$3)</f>
        <v>0</v>
      </c>
      <c r="V98" s="162">
        <f t="shared" si="23"/>
        <v>46396</v>
      </c>
      <c r="W98" s="163">
        <f>COUNTIFS(' CADASTRO'!$S:$S,'acab equip'!$C$3,' CADASTRO'!$R:$R,'acab equip'!V98)</f>
        <v>0</v>
      </c>
      <c r="X98" s="163">
        <f>COUNTIFS(' CADASTRO'!$S:$S,'acab equip'!$D$3,' CADASTRO'!$R:$R,'acab equip'!V98)</f>
        <v>0</v>
      </c>
      <c r="Y98" s="163">
        <f>COUNTIFS(' CADASTRO'!$R$746:$R$893,'acab equip'!V98,' CADASTRO'!$S$746:$S$893,'acab equip'!$X$3)+COUNTIFS(' CADASTRO'!$R$746:$R$893,'acab equip'!V98,' CADASTRO'!$S$746:$S$893,'acab equip'!$W$3)</f>
        <v>0</v>
      </c>
      <c r="Z98" s="162">
        <f t="shared" si="24"/>
        <v>46397</v>
      </c>
      <c r="AB98" s="165">
        <f t="shared" si="14"/>
        <v>0</v>
      </c>
      <c r="AC98" s="165">
        <f t="shared" si="15"/>
        <v>0</v>
      </c>
      <c r="AD98" s="165">
        <f t="shared" si="16"/>
        <v>0</v>
      </c>
      <c r="AE98" s="177">
        <f t="shared" si="17"/>
        <v>0</v>
      </c>
    </row>
    <row r="99" spans="2:31" x14ac:dyDescent="0.25">
      <c r="B99" s="162">
        <f t="shared" si="18"/>
        <v>46398</v>
      </c>
      <c r="C99" s="163">
        <f>COUNTIFS(' CADASTRO'!$S:$S,'acab equip'!$C$3,' CADASTRO'!$R:$R,'acab equip'!B99)</f>
        <v>0</v>
      </c>
      <c r="D99" s="163">
        <f>COUNTIFS(' CADASTRO'!$S:$S,'acab equip'!$D$3,' CADASTRO'!$R:$R,'acab equip'!B99)</f>
        <v>0</v>
      </c>
      <c r="E99" s="163">
        <f>COUNTIFS(' CADASTRO'!$R$746:$R$893,'acab equip'!B99,' CADASTRO'!$S$746:$S$893,'acab equip'!$D$3)+COUNTIFS(' CADASTRO'!$R$746:$R$893,'acab equip'!B99,' CADASTRO'!$S$746:$S$893,'acab equip'!$C$3)</f>
        <v>0</v>
      </c>
      <c r="F99" s="162">
        <f t="shared" si="19"/>
        <v>46399</v>
      </c>
      <c r="G99" s="163">
        <f>COUNTIFS(' CADASTRO'!$S:$S,'acab equip'!$C$3,' CADASTRO'!$R:$R,'acab equip'!F99)</f>
        <v>0</v>
      </c>
      <c r="H99" s="163">
        <f>COUNTIFS(' CADASTRO'!$S:$S,'acab equip'!$D$3,' CADASTRO'!$R:$R,'acab equip'!F99)</f>
        <v>0</v>
      </c>
      <c r="I99" s="163">
        <f>COUNTIFS(' CADASTRO'!$R$746:$R$893,'acab equip'!F99,' CADASTRO'!$S$746:$S$893,'acab equip'!$H$3)+COUNTIFS(' CADASTRO'!$R$746:$R$893,'acab equip'!F99,' CADASTRO'!$S$746:$S$893,'acab equip'!$G$3)</f>
        <v>0</v>
      </c>
      <c r="J99" s="162">
        <f t="shared" si="20"/>
        <v>46400</v>
      </c>
      <c r="K99" s="163">
        <f>COUNTIFS(' CADASTRO'!$S:$S,'acab equip'!$C$3,' CADASTRO'!$R:$R,'acab equip'!J99)</f>
        <v>0</v>
      </c>
      <c r="L99" s="163">
        <f>COUNTIFS(' CADASTRO'!$S:$S,'acab equip'!$D$3,' CADASTRO'!$R:$R,'acab equip'!J99)</f>
        <v>0</v>
      </c>
      <c r="M99" s="163">
        <f>COUNTIFS(' CADASTRO'!$R$746:$R$893,'acab equip'!J99,' CADASTRO'!$S$746:$S$893,'acab equip'!$L$3)+COUNTIFS(' CADASTRO'!$R$746:$R$893,'acab equip'!J99,' CADASTRO'!$S$746:$S$893,'acab equip'!$K$3)</f>
        <v>0</v>
      </c>
      <c r="N99" s="162">
        <f t="shared" si="21"/>
        <v>46401</v>
      </c>
      <c r="O99" s="163">
        <f>COUNTIFS(' CADASTRO'!$S:$S,'acab equip'!$C$3,' CADASTRO'!$R:$R,'acab equip'!N99)</f>
        <v>0</v>
      </c>
      <c r="P99" s="163">
        <f>COUNTIFS(' CADASTRO'!$S:$S,'acab equip'!$D$3,' CADASTRO'!$R:$R,'acab equip'!N99)</f>
        <v>0</v>
      </c>
      <c r="Q99" s="163">
        <f>COUNTIFS(' CADASTRO'!$R$746:$R$893,'acab equip'!N99,' CADASTRO'!$S$746:$S$893,'acab equip'!$P$3)+COUNTIFS(' CADASTRO'!$R$746:$R$893,'acab equip'!N99,' CADASTRO'!$S$746:$S$893,'acab equip'!$O$3)</f>
        <v>0</v>
      </c>
      <c r="R99" s="162">
        <f t="shared" si="22"/>
        <v>46402</v>
      </c>
      <c r="S99" s="163">
        <f>COUNTIFS(' CADASTRO'!$S:$S,'acab equip'!$C$3,' CADASTRO'!$R:$R,'acab equip'!R99)</f>
        <v>0</v>
      </c>
      <c r="T99" s="163">
        <f>COUNTIFS(' CADASTRO'!$S:$S,'acab equip'!$D$3,' CADASTRO'!$R:$R,'acab equip'!R99)</f>
        <v>0</v>
      </c>
      <c r="U99" s="163">
        <f>COUNTIFS(' CADASTRO'!$R$746:$R$893,'acab equip'!R99,' CADASTRO'!$S$746:$S$893,'acab equip'!$T$3)+COUNTIFS(' CADASTRO'!$R$746:$R$893,'acab equip'!R99,' CADASTRO'!$S$746:$S$893,'acab equip'!$S$3)</f>
        <v>0</v>
      </c>
      <c r="V99" s="162">
        <f t="shared" si="23"/>
        <v>46403</v>
      </c>
      <c r="W99" s="163">
        <f>COUNTIFS(' CADASTRO'!$S:$S,'acab equip'!$C$3,' CADASTRO'!$R:$R,'acab equip'!V99)</f>
        <v>0</v>
      </c>
      <c r="X99" s="163">
        <f>COUNTIFS(' CADASTRO'!$S:$S,'acab equip'!$D$3,' CADASTRO'!$R:$R,'acab equip'!V99)</f>
        <v>0</v>
      </c>
      <c r="Y99" s="163">
        <f>COUNTIFS(' CADASTRO'!$R$746:$R$893,'acab equip'!V99,' CADASTRO'!$S$746:$S$893,'acab equip'!$X$3)+COUNTIFS(' CADASTRO'!$R$746:$R$893,'acab equip'!V99,' CADASTRO'!$S$746:$S$893,'acab equip'!$W$3)</f>
        <v>0</v>
      </c>
      <c r="Z99" s="162">
        <f t="shared" si="24"/>
        <v>46404</v>
      </c>
      <c r="AB99" s="165">
        <f t="shared" si="14"/>
        <v>0</v>
      </c>
      <c r="AC99" s="165">
        <f t="shared" si="15"/>
        <v>0</v>
      </c>
      <c r="AD99" s="165">
        <f t="shared" si="16"/>
        <v>0</v>
      </c>
      <c r="AE99" s="177">
        <f t="shared" si="17"/>
        <v>0</v>
      </c>
    </row>
    <row r="100" spans="2:31" x14ac:dyDescent="0.25">
      <c r="B100" s="162">
        <f t="shared" si="18"/>
        <v>46405</v>
      </c>
      <c r="C100" s="163">
        <f>COUNTIFS(' CADASTRO'!$S:$S,'acab equip'!$C$3,' CADASTRO'!$R:$R,'acab equip'!B100)</f>
        <v>0</v>
      </c>
      <c r="D100" s="163">
        <f>COUNTIFS(' CADASTRO'!$S:$S,'acab equip'!$D$3,' CADASTRO'!$R:$R,'acab equip'!B100)</f>
        <v>0</v>
      </c>
      <c r="E100" s="163">
        <f>COUNTIFS(' CADASTRO'!$R$746:$R$893,'acab equip'!B100,' CADASTRO'!$S$746:$S$893,'acab equip'!$D$3)+COUNTIFS(' CADASTRO'!$R$746:$R$893,'acab equip'!B100,' CADASTRO'!$S$746:$S$893,'acab equip'!$C$3)</f>
        <v>0</v>
      </c>
      <c r="F100" s="162">
        <f t="shared" si="19"/>
        <v>46406</v>
      </c>
      <c r="G100" s="163">
        <f>COUNTIFS(' CADASTRO'!$S:$S,'acab equip'!$C$3,' CADASTRO'!$R:$R,'acab equip'!F100)</f>
        <v>0</v>
      </c>
      <c r="H100" s="163">
        <f>COUNTIFS(' CADASTRO'!$S:$S,'acab equip'!$D$3,' CADASTRO'!$R:$R,'acab equip'!F100)</f>
        <v>0</v>
      </c>
      <c r="I100" s="163">
        <f>COUNTIFS(' CADASTRO'!$R$746:$R$893,'acab equip'!F100,' CADASTRO'!$S$746:$S$893,'acab equip'!$H$3)+COUNTIFS(' CADASTRO'!$R$746:$R$893,'acab equip'!F100,' CADASTRO'!$S$746:$S$893,'acab equip'!$G$3)</f>
        <v>0</v>
      </c>
      <c r="J100" s="162">
        <f t="shared" si="20"/>
        <v>46407</v>
      </c>
      <c r="K100" s="163">
        <f>COUNTIFS(' CADASTRO'!$S:$S,'acab equip'!$C$3,' CADASTRO'!$R:$R,'acab equip'!J100)</f>
        <v>0</v>
      </c>
      <c r="L100" s="163">
        <f>COUNTIFS(' CADASTRO'!$S:$S,'acab equip'!$D$3,' CADASTRO'!$R:$R,'acab equip'!J100)</f>
        <v>0</v>
      </c>
      <c r="M100" s="163">
        <f>COUNTIFS(' CADASTRO'!$R$746:$R$893,'acab equip'!J100,' CADASTRO'!$S$746:$S$893,'acab equip'!$L$3)+COUNTIFS(' CADASTRO'!$R$746:$R$893,'acab equip'!J100,' CADASTRO'!$S$746:$S$893,'acab equip'!$K$3)</f>
        <v>0</v>
      </c>
      <c r="N100" s="162">
        <f t="shared" si="21"/>
        <v>46408</v>
      </c>
      <c r="O100" s="163">
        <f>COUNTIFS(' CADASTRO'!$S:$S,'acab equip'!$C$3,' CADASTRO'!$R:$R,'acab equip'!N100)</f>
        <v>0</v>
      </c>
      <c r="P100" s="163">
        <f>COUNTIFS(' CADASTRO'!$S:$S,'acab equip'!$D$3,' CADASTRO'!$R:$R,'acab equip'!N100)</f>
        <v>0</v>
      </c>
      <c r="Q100" s="163">
        <f>COUNTIFS(' CADASTRO'!$R$746:$R$893,'acab equip'!N100,' CADASTRO'!$S$746:$S$893,'acab equip'!$P$3)+COUNTIFS(' CADASTRO'!$R$746:$R$893,'acab equip'!N100,' CADASTRO'!$S$746:$S$893,'acab equip'!$O$3)</f>
        <v>0</v>
      </c>
      <c r="R100" s="162">
        <f t="shared" si="22"/>
        <v>46409</v>
      </c>
      <c r="S100" s="163">
        <f>COUNTIFS(' CADASTRO'!$S:$S,'acab equip'!$C$3,' CADASTRO'!$R:$R,'acab equip'!R100)</f>
        <v>0</v>
      </c>
      <c r="T100" s="163">
        <f>COUNTIFS(' CADASTRO'!$S:$S,'acab equip'!$D$3,' CADASTRO'!$R:$R,'acab equip'!R100)</f>
        <v>0</v>
      </c>
      <c r="U100" s="163">
        <f>COUNTIFS(' CADASTRO'!$R$746:$R$893,'acab equip'!R100,' CADASTRO'!$S$746:$S$893,'acab equip'!$T$3)+COUNTIFS(' CADASTRO'!$R$746:$R$893,'acab equip'!R100,' CADASTRO'!$S$746:$S$893,'acab equip'!$S$3)</f>
        <v>0</v>
      </c>
      <c r="V100" s="162">
        <f t="shared" si="23"/>
        <v>46410</v>
      </c>
      <c r="W100" s="163">
        <f>COUNTIFS(' CADASTRO'!$S:$S,'acab equip'!$C$3,' CADASTRO'!$R:$R,'acab equip'!V100)</f>
        <v>0</v>
      </c>
      <c r="X100" s="163">
        <f>COUNTIFS(' CADASTRO'!$S:$S,'acab equip'!$D$3,' CADASTRO'!$R:$R,'acab equip'!V100)</f>
        <v>0</v>
      </c>
      <c r="Y100" s="163">
        <f>COUNTIFS(' CADASTRO'!$R$746:$R$893,'acab equip'!V100,' CADASTRO'!$S$746:$S$893,'acab equip'!$X$3)+COUNTIFS(' CADASTRO'!$R$746:$R$893,'acab equip'!V100,' CADASTRO'!$S$746:$S$893,'acab equip'!$W$3)</f>
        <v>0</v>
      </c>
      <c r="Z100" s="162">
        <f t="shared" si="24"/>
        <v>46411</v>
      </c>
      <c r="AB100" s="165">
        <f t="shared" si="14"/>
        <v>0</v>
      </c>
      <c r="AC100" s="165">
        <f t="shared" si="15"/>
        <v>0</v>
      </c>
      <c r="AD100" s="165">
        <f t="shared" si="16"/>
        <v>0</v>
      </c>
      <c r="AE100" s="177">
        <f t="shared" si="17"/>
        <v>0</v>
      </c>
    </row>
    <row r="101" spans="2:31" x14ac:dyDescent="0.25">
      <c r="B101" s="162">
        <f t="shared" si="18"/>
        <v>46412</v>
      </c>
      <c r="C101" s="163">
        <f>COUNTIFS(' CADASTRO'!$S:$S,'acab equip'!$C$3,' CADASTRO'!$R:$R,'acab equip'!B101)</f>
        <v>0</v>
      </c>
      <c r="D101" s="163">
        <f>COUNTIFS(' CADASTRO'!$S:$S,'acab equip'!$D$3,' CADASTRO'!$R:$R,'acab equip'!B101)</f>
        <v>0</v>
      </c>
      <c r="E101" s="163">
        <f>COUNTIFS(' CADASTRO'!$R$746:$R$893,'acab equip'!B101,' CADASTRO'!$S$746:$S$893,'acab equip'!$D$3)+COUNTIFS(' CADASTRO'!$R$746:$R$893,'acab equip'!B101,' CADASTRO'!$S$746:$S$893,'acab equip'!$C$3)</f>
        <v>0</v>
      </c>
      <c r="F101" s="162">
        <f t="shared" si="19"/>
        <v>46413</v>
      </c>
      <c r="G101" s="163">
        <f>COUNTIFS(' CADASTRO'!$S:$S,'acab equip'!$C$3,' CADASTRO'!$R:$R,'acab equip'!F101)</f>
        <v>0</v>
      </c>
      <c r="H101" s="163">
        <f>COUNTIFS(' CADASTRO'!$S:$S,'acab equip'!$D$3,' CADASTRO'!$R:$R,'acab equip'!F101)</f>
        <v>0</v>
      </c>
      <c r="I101" s="163">
        <f>COUNTIFS(' CADASTRO'!$R$746:$R$893,'acab equip'!F101,' CADASTRO'!$S$746:$S$893,'acab equip'!$H$3)+COUNTIFS(' CADASTRO'!$R$746:$R$893,'acab equip'!F101,' CADASTRO'!$S$746:$S$893,'acab equip'!$G$3)</f>
        <v>0</v>
      </c>
      <c r="J101" s="162">
        <f t="shared" si="20"/>
        <v>46414</v>
      </c>
      <c r="K101" s="163">
        <f>COUNTIFS(' CADASTRO'!$S:$S,'acab equip'!$C$3,' CADASTRO'!$R:$R,'acab equip'!J101)</f>
        <v>0</v>
      </c>
      <c r="L101" s="163">
        <f>COUNTIFS(' CADASTRO'!$S:$S,'acab equip'!$D$3,' CADASTRO'!$R:$R,'acab equip'!J101)</f>
        <v>0</v>
      </c>
      <c r="M101" s="163">
        <f>COUNTIFS(' CADASTRO'!$R$746:$R$893,'acab equip'!J101,' CADASTRO'!$S$746:$S$893,'acab equip'!$L$3)+COUNTIFS(' CADASTRO'!$R$746:$R$893,'acab equip'!J101,' CADASTRO'!$S$746:$S$893,'acab equip'!$K$3)</f>
        <v>0</v>
      </c>
      <c r="N101" s="162">
        <f t="shared" si="21"/>
        <v>46415</v>
      </c>
      <c r="O101" s="163">
        <f>COUNTIFS(' CADASTRO'!$S:$S,'acab equip'!$C$3,' CADASTRO'!$R:$R,'acab equip'!N101)</f>
        <v>0</v>
      </c>
      <c r="P101" s="163">
        <f>COUNTIFS(' CADASTRO'!$S:$S,'acab equip'!$D$3,' CADASTRO'!$R:$R,'acab equip'!N101)</f>
        <v>0</v>
      </c>
      <c r="Q101" s="163">
        <f>COUNTIFS(' CADASTRO'!$R$746:$R$893,'acab equip'!N101,' CADASTRO'!$S$746:$S$893,'acab equip'!$P$3)+COUNTIFS(' CADASTRO'!$R$746:$R$893,'acab equip'!N101,' CADASTRO'!$S$746:$S$893,'acab equip'!$O$3)</f>
        <v>0</v>
      </c>
      <c r="R101" s="162">
        <f t="shared" si="22"/>
        <v>46416</v>
      </c>
      <c r="S101" s="163">
        <f>COUNTIFS(' CADASTRO'!$S:$S,'acab equip'!$C$3,' CADASTRO'!$R:$R,'acab equip'!R101)</f>
        <v>0</v>
      </c>
      <c r="T101" s="163">
        <f>COUNTIFS(' CADASTRO'!$S:$S,'acab equip'!$D$3,' CADASTRO'!$R:$R,'acab equip'!R101)</f>
        <v>0</v>
      </c>
      <c r="U101" s="163">
        <f>COUNTIFS(' CADASTRO'!$R$746:$R$893,'acab equip'!R101,' CADASTRO'!$S$746:$S$893,'acab equip'!$T$3)+COUNTIFS(' CADASTRO'!$R$746:$R$893,'acab equip'!R101,' CADASTRO'!$S$746:$S$893,'acab equip'!$S$3)</f>
        <v>0</v>
      </c>
      <c r="V101" s="162">
        <f t="shared" si="23"/>
        <v>46417</v>
      </c>
      <c r="W101" s="163">
        <f>COUNTIFS(' CADASTRO'!$S:$S,'acab equip'!$C$3,' CADASTRO'!$R:$R,'acab equip'!V101)</f>
        <v>0</v>
      </c>
      <c r="X101" s="163">
        <f>COUNTIFS(' CADASTRO'!$S:$S,'acab equip'!$D$3,' CADASTRO'!$R:$R,'acab equip'!V101)</f>
        <v>0</v>
      </c>
      <c r="Y101" s="163">
        <f>COUNTIFS(' CADASTRO'!$R$746:$R$893,'acab equip'!V101,' CADASTRO'!$S$746:$S$893,'acab equip'!$X$3)+COUNTIFS(' CADASTRO'!$R$746:$R$893,'acab equip'!V101,' CADASTRO'!$S$746:$S$893,'acab equip'!$W$3)</f>
        <v>0</v>
      </c>
      <c r="Z101" s="162">
        <f t="shared" si="24"/>
        <v>46418</v>
      </c>
      <c r="AB101" s="165">
        <f t="shared" si="14"/>
        <v>0</v>
      </c>
      <c r="AC101" s="165">
        <f t="shared" si="15"/>
        <v>0</v>
      </c>
      <c r="AD101" s="165">
        <f t="shared" si="16"/>
        <v>0</v>
      </c>
      <c r="AE101" s="177">
        <f t="shared" si="17"/>
        <v>0</v>
      </c>
    </row>
    <row r="102" spans="2:31" x14ac:dyDescent="0.25">
      <c r="B102" s="162">
        <f t="shared" si="18"/>
        <v>46419</v>
      </c>
      <c r="C102" s="163">
        <f>COUNTIFS(' CADASTRO'!$S:$S,'acab equip'!$C$3,' CADASTRO'!$R:$R,'acab equip'!B102)</f>
        <v>0</v>
      </c>
      <c r="D102" s="163">
        <f>COUNTIFS(' CADASTRO'!$S:$S,'acab equip'!$D$3,' CADASTRO'!$R:$R,'acab equip'!B102)</f>
        <v>0</v>
      </c>
      <c r="E102" s="163">
        <f>COUNTIFS(' CADASTRO'!$R$746:$R$893,'acab equip'!B102,' CADASTRO'!$S$746:$S$893,'acab equip'!$D$3)+COUNTIFS(' CADASTRO'!$R$746:$R$893,'acab equip'!B102,' CADASTRO'!$S$746:$S$893,'acab equip'!$C$3)</f>
        <v>0</v>
      </c>
      <c r="F102" s="162">
        <f t="shared" si="19"/>
        <v>46420</v>
      </c>
      <c r="G102" s="163">
        <f>COUNTIFS(' CADASTRO'!$S:$S,'acab equip'!$C$3,' CADASTRO'!$R:$R,'acab equip'!F102)</f>
        <v>0</v>
      </c>
      <c r="H102" s="163">
        <f>COUNTIFS(' CADASTRO'!$S:$S,'acab equip'!$D$3,' CADASTRO'!$R:$R,'acab equip'!F102)</f>
        <v>0</v>
      </c>
      <c r="I102" s="163">
        <f>COUNTIFS(' CADASTRO'!$R$746:$R$893,'acab equip'!F102,' CADASTRO'!$S$746:$S$893,'acab equip'!$H$3)+COUNTIFS(' CADASTRO'!$R$746:$R$893,'acab equip'!F102,' CADASTRO'!$S$746:$S$893,'acab equip'!$G$3)</f>
        <v>0</v>
      </c>
      <c r="J102" s="162">
        <f t="shared" si="20"/>
        <v>46421</v>
      </c>
      <c r="K102" s="163">
        <f>COUNTIFS(' CADASTRO'!$S:$S,'acab equip'!$C$3,' CADASTRO'!$R:$R,'acab equip'!J102)</f>
        <v>0</v>
      </c>
      <c r="L102" s="163">
        <f>COUNTIFS(' CADASTRO'!$S:$S,'acab equip'!$D$3,' CADASTRO'!$R:$R,'acab equip'!J102)</f>
        <v>0</v>
      </c>
      <c r="M102" s="163">
        <f>COUNTIFS(' CADASTRO'!$R$746:$R$893,'acab equip'!J102,' CADASTRO'!$S$746:$S$893,'acab equip'!$L$3)+COUNTIFS(' CADASTRO'!$R$746:$R$893,'acab equip'!J102,' CADASTRO'!$S$746:$S$893,'acab equip'!$K$3)</f>
        <v>0</v>
      </c>
      <c r="N102" s="162">
        <f t="shared" si="21"/>
        <v>46422</v>
      </c>
      <c r="O102" s="163">
        <f>COUNTIFS(' CADASTRO'!$S:$S,'acab equip'!$C$3,' CADASTRO'!$R:$R,'acab equip'!N102)</f>
        <v>0</v>
      </c>
      <c r="P102" s="163">
        <f>COUNTIFS(' CADASTRO'!$S:$S,'acab equip'!$D$3,' CADASTRO'!$R:$R,'acab equip'!N102)</f>
        <v>0</v>
      </c>
      <c r="Q102" s="163">
        <f>COUNTIFS(' CADASTRO'!$R$746:$R$893,'acab equip'!N102,' CADASTRO'!$S$746:$S$893,'acab equip'!$P$3)+COUNTIFS(' CADASTRO'!$R$746:$R$893,'acab equip'!N102,' CADASTRO'!$S$746:$S$893,'acab equip'!$O$3)</f>
        <v>0</v>
      </c>
      <c r="R102" s="162">
        <f t="shared" si="22"/>
        <v>46423</v>
      </c>
      <c r="S102" s="163">
        <f>COUNTIFS(' CADASTRO'!$S:$S,'acab equip'!$C$3,' CADASTRO'!$R:$R,'acab equip'!R102)</f>
        <v>0</v>
      </c>
      <c r="T102" s="163">
        <f>COUNTIFS(' CADASTRO'!$S:$S,'acab equip'!$D$3,' CADASTRO'!$R:$R,'acab equip'!R102)</f>
        <v>0</v>
      </c>
      <c r="U102" s="163">
        <f>COUNTIFS(' CADASTRO'!$R$746:$R$893,'acab equip'!R102,' CADASTRO'!$S$746:$S$893,'acab equip'!$T$3)+COUNTIFS(' CADASTRO'!$R$746:$R$893,'acab equip'!R102,' CADASTRO'!$S$746:$S$893,'acab equip'!$S$3)</f>
        <v>0</v>
      </c>
      <c r="V102" s="162">
        <f t="shared" si="23"/>
        <v>46424</v>
      </c>
      <c r="W102" s="163">
        <f>COUNTIFS(' CADASTRO'!$S:$S,'acab equip'!$C$3,' CADASTRO'!$R:$R,'acab equip'!V102)</f>
        <v>0</v>
      </c>
      <c r="X102" s="163">
        <f>COUNTIFS(' CADASTRO'!$S:$S,'acab equip'!$D$3,' CADASTRO'!$R:$R,'acab equip'!V102)</f>
        <v>0</v>
      </c>
      <c r="Y102" s="163">
        <f>COUNTIFS(' CADASTRO'!$R$746:$R$893,'acab equip'!V102,' CADASTRO'!$S$746:$S$893,'acab equip'!$X$3)+COUNTIFS(' CADASTRO'!$R$746:$R$893,'acab equip'!V102,' CADASTRO'!$S$746:$S$893,'acab equip'!$W$3)</f>
        <v>0</v>
      </c>
      <c r="Z102" s="162">
        <f t="shared" si="24"/>
        <v>46425</v>
      </c>
      <c r="AB102" s="165">
        <f t="shared" si="14"/>
        <v>0</v>
      </c>
      <c r="AC102" s="165">
        <f t="shared" si="15"/>
        <v>0</v>
      </c>
      <c r="AD102" s="165">
        <f t="shared" si="16"/>
        <v>0</v>
      </c>
      <c r="AE102" s="177">
        <f t="shared" si="17"/>
        <v>0</v>
      </c>
    </row>
    <row r="103" spans="2:31" x14ac:dyDescent="0.25">
      <c r="B103" s="162">
        <f t="shared" si="18"/>
        <v>46426</v>
      </c>
      <c r="C103" s="163">
        <f>COUNTIFS(' CADASTRO'!$S:$S,'acab equip'!$C$3,' CADASTRO'!$R:$R,'acab equip'!B103)</f>
        <v>0</v>
      </c>
      <c r="D103" s="163">
        <f>COUNTIFS(' CADASTRO'!$S:$S,'acab equip'!$D$3,' CADASTRO'!$R:$R,'acab equip'!B103)</f>
        <v>0</v>
      </c>
      <c r="E103" s="163">
        <f>COUNTIFS(' CADASTRO'!$R$746:$R$893,'acab equip'!B103,' CADASTRO'!$S$746:$S$893,'acab equip'!$D$3)+COUNTIFS(' CADASTRO'!$R$746:$R$893,'acab equip'!B103,' CADASTRO'!$S$746:$S$893,'acab equip'!$C$3)</f>
        <v>0</v>
      </c>
      <c r="F103" s="162">
        <f t="shared" si="19"/>
        <v>46427</v>
      </c>
      <c r="G103" s="163">
        <f>COUNTIFS(' CADASTRO'!$S:$S,'acab equip'!$C$3,' CADASTRO'!$R:$R,'acab equip'!F103)</f>
        <v>0</v>
      </c>
      <c r="H103" s="163">
        <f>COUNTIFS(' CADASTRO'!$S:$S,'acab equip'!$D$3,' CADASTRO'!$R:$R,'acab equip'!F103)</f>
        <v>0</v>
      </c>
      <c r="I103" s="163">
        <f>COUNTIFS(' CADASTRO'!$R$746:$R$893,'acab equip'!F103,' CADASTRO'!$S$746:$S$893,'acab equip'!$H$3)+COUNTIFS(' CADASTRO'!$R$746:$R$893,'acab equip'!F103,' CADASTRO'!$S$746:$S$893,'acab equip'!$G$3)</f>
        <v>0</v>
      </c>
      <c r="J103" s="162">
        <f t="shared" si="20"/>
        <v>46428</v>
      </c>
      <c r="K103" s="163">
        <f>COUNTIFS(' CADASTRO'!$S:$S,'acab equip'!$C$3,' CADASTRO'!$R:$R,'acab equip'!J103)</f>
        <v>0</v>
      </c>
      <c r="L103" s="163">
        <f>COUNTIFS(' CADASTRO'!$S:$S,'acab equip'!$D$3,' CADASTRO'!$R:$R,'acab equip'!J103)</f>
        <v>0</v>
      </c>
      <c r="M103" s="163">
        <f>COUNTIFS(' CADASTRO'!$R$746:$R$893,'acab equip'!J103,' CADASTRO'!$S$746:$S$893,'acab equip'!$L$3)+COUNTIFS(' CADASTRO'!$R$746:$R$893,'acab equip'!J103,' CADASTRO'!$S$746:$S$893,'acab equip'!$K$3)</f>
        <v>0</v>
      </c>
      <c r="N103" s="162">
        <f t="shared" si="21"/>
        <v>46429</v>
      </c>
      <c r="O103" s="163">
        <f>COUNTIFS(' CADASTRO'!$S:$S,'acab equip'!$C$3,' CADASTRO'!$R:$R,'acab equip'!N103)</f>
        <v>0</v>
      </c>
      <c r="P103" s="163">
        <f>COUNTIFS(' CADASTRO'!$S:$S,'acab equip'!$D$3,' CADASTRO'!$R:$R,'acab equip'!N103)</f>
        <v>0</v>
      </c>
      <c r="Q103" s="163">
        <f>COUNTIFS(' CADASTRO'!$R$746:$R$893,'acab equip'!N103,' CADASTRO'!$S$746:$S$893,'acab equip'!$P$3)+COUNTIFS(' CADASTRO'!$R$746:$R$893,'acab equip'!N103,' CADASTRO'!$S$746:$S$893,'acab equip'!$O$3)</f>
        <v>0</v>
      </c>
      <c r="R103" s="162">
        <f t="shared" si="22"/>
        <v>46430</v>
      </c>
      <c r="S103" s="163">
        <f>COUNTIFS(' CADASTRO'!$S:$S,'acab equip'!$C$3,' CADASTRO'!$R:$R,'acab equip'!R103)</f>
        <v>0</v>
      </c>
      <c r="T103" s="163">
        <f>COUNTIFS(' CADASTRO'!$S:$S,'acab equip'!$D$3,' CADASTRO'!$R:$R,'acab equip'!R103)</f>
        <v>0</v>
      </c>
      <c r="U103" s="163">
        <f>COUNTIFS(' CADASTRO'!$R$746:$R$893,'acab equip'!R103,' CADASTRO'!$S$746:$S$893,'acab equip'!$T$3)+COUNTIFS(' CADASTRO'!$R$746:$R$893,'acab equip'!R103,' CADASTRO'!$S$746:$S$893,'acab equip'!$S$3)</f>
        <v>0</v>
      </c>
      <c r="V103" s="162">
        <f t="shared" si="23"/>
        <v>46431</v>
      </c>
      <c r="W103" s="163">
        <f>COUNTIFS(' CADASTRO'!$S:$S,'acab equip'!$C$3,' CADASTRO'!$R:$R,'acab equip'!V103)</f>
        <v>0</v>
      </c>
      <c r="X103" s="163">
        <f>COUNTIFS(' CADASTRO'!$S:$S,'acab equip'!$D$3,' CADASTRO'!$R:$R,'acab equip'!V103)</f>
        <v>0</v>
      </c>
      <c r="Y103" s="163">
        <f>COUNTIFS(' CADASTRO'!$R$746:$R$893,'acab equip'!V103,' CADASTRO'!$S$746:$S$893,'acab equip'!$X$3)+COUNTIFS(' CADASTRO'!$R$746:$R$893,'acab equip'!V103,' CADASTRO'!$S$746:$S$893,'acab equip'!$W$3)</f>
        <v>0</v>
      </c>
      <c r="Z103" s="162">
        <f t="shared" si="24"/>
        <v>46432</v>
      </c>
      <c r="AB103" s="165">
        <f t="shared" si="14"/>
        <v>0</v>
      </c>
      <c r="AC103" s="165">
        <f t="shared" si="15"/>
        <v>0</v>
      </c>
      <c r="AD103" s="165">
        <f t="shared" si="16"/>
        <v>0</v>
      </c>
      <c r="AE103" s="177">
        <f t="shared" si="17"/>
        <v>0</v>
      </c>
    </row>
    <row r="104" spans="2:31" x14ac:dyDescent="0.25">
      <c r="B104" s="162">
        <f t="shared" si="18"/>
        <v>46433</v>
      </c>
      <c r="C104" s="163">
        <f>COUNTIFS(' CADASTRO'!$S:$S,'acab equip'!$C$3,' CADASTRO'!$R:$R,'acab equip'!B104)</f>
        <v>0</v>
      </c>
      <c r="D104" s="163">
        <f>COUNTIFS(' CADASTRO'!$S:$S,'acab equip'!$D$3,' CADASTRO'!$R:$R,'acab equip'!B104)</f>
        <v>0</v>
      </c>
      <c r="E104" s="163">
        <f>COUNTIFS(' CADASTRO'!$R$746:$R$893,'acab equip'!B104,' CADASTRO'!$S$746:$S$893,'acab equip'!$D$3)+COUNTIFS(' CADASTRO'!$R$746:$R$893,'acab equip'!B104,' CADASTRO'!$S$746:$S$893,'acab equip'!$C$3)</f>
        <v>0</v>
      </c>
      <c r="F104" s="162">
        <f t="shared" si="19"/>
        <v>46434</v>
      </c>
      <c r="G104" s="163">
        <f>COUNTIFS(' CADASTRO'!$S:$S,'acab equip'!$C$3,' CADASTRO'!$R:$R,'acab equip'!F104)</f>
        <v>0</v>
      </c>
      <c r="H104" s="163">
        <f>COUNTIFS(' CADASTRO'!$S:$S,'acab equip'!$D$3,' CADASTRO'!$R:$R,'acab equip'!F104)</f>
        <v>0</v>
      </c>
      <c r="I104" s="163">
        <f>COUNTIFS(' CADASTRO'!$R$746:$R$893,'acab equip'!F104,' CADASTRO'!$S$746:$S$893,'acab equip'!$H$3)+COUNTIFS(' CADASTRO'!$R$746:$R$893,'acab equip'!F104,' CADASTRO'!$S$746:$S$893,'acab equip'!$G$3)</f>
        <v>0</v>
      </c>
      <c r="J104" s="162">
        <f t="shared" si="20"/>
        <v>46435</v>
      </c>
      <c r="K104" s="163">
        <f>COUNTIFS(' CADASTRO'!$S:$S,'acab equip'!$C$3,' CADASTRO'!$R:$R,'acab equip'!J104)</f>
        <v>0</v>
      </c>
      <c r="L104" s="163">
        <f>COUNTIFS(' CADASTRO'!$S:$S,'acab equip'!$D$3,' CADASTRO'!$R:$R,'acab equip'!J104)</f>
        <v>0</v>
      </c>
      <c r="M104" s="163">
        <f>COUNTIFS(' CADASTRO'!$R$746:$R$893,'acab equip'!J104,' CADASTRO'!$S$746:$S$893,'acab equip'!$L$3)+COUNTIFS(' CADASTRO'!$R$746:$R$893,'acab equip'!J104,' CADASTRO'!$S$746:$S$893,'acab equip'!$K$3)</f>
        <v>0</v>
      </c>
      <c r="N104" s="162">
        <f t="shared" si="21"/>
        <v>46436</v>
      </c>
      <c r="O104" s="163">
        <f>COUNTIFS(' CADASTRO'!$S:$S,'acab equip'!$C$3,' CADASTRO'!$R:$R,'acab equip'!N104)</f>
        <v>0</v>
      </c>
      <c r="P104" s="163">
        <f>COUNTIFS(' CADASTRO'!$S:$S,'acab equip'!$D$3,' CADASTRO'!$R:$R,'acab equip'!N104)</f>
        <v>0</v>
      </c>
      <c r="Q104" s="163">
        <f>COUNTIFS(' CADASTRO'!$R$746:$R$893,'acab equip'!N104,' CADASTRO'!$S$746:$S$893,'acab equip'!$P$3)+COUNTIFS(' CADASTRO'!$R$746:$R$893,'acab equip'!N104,' CADASTRO'!$S$746:$S$893,'acab equip'!$O$3)</f>
        <v>0</v>
      </c>
      <c r="R104" s="162">
        <f t="shared" si="22"/>
        <v>46437</v>
      </c>
      <c r="S104" s="163">
        <f>COUNTIFS(' CADASTRO'!$S:$S,'acab equip'!$C$3,' CADASTRO'!$R:$R,'acab equip'!R104)</f>
        <v>0</v>
      </c>
      <c r="T104" s="163">
        <f>COUNTIFS(' CADASTRO'!$S:$S,'acab equip'!$D$3,' CADASTRO'!$R:$R,'acab equip'!R104)</f>
        <v>0</v>
      </c>
      <c r="U104" s="163">
        <f>COUNTIFS(' CADASTRO'!$R$746:$R$893,'acab equip'!R104,' CADASTRO'!$S$746:$S$893,'acab equip'!$T$3)+COUNTIFS(' CADASTRO'!$R$746:$R$893,'acab equip'!R104,' CADASTRO'!$S$746:$S$893,'acab equip'!$S$3)</f>
        <v>0</v>
      </c>
      <c r="V104" s="162">
        <f t="shared" si="23"/>
        <v>46438</v>
      </c>
      <c r="W104" s="163">
        <f>COUNTIFS(' CADASTRO'!$S:$S,'acab equip'!$C$3,' CADASTRO'!$R:$R,'acab equip'!V104)</f>
        <v>0</v>
      </c>
      <c r="X104" s="163">
        <f>COUNTIFS(' CADASTRO'!$S:$S,'acab equip'!$D$3,' CADASTRO'!$R:$R,'acab equip'!V104)</f>
        <v>0</v>
      </c>
      <c r="Y104" s="163">
        <f>COUNTIFS(' CADASTRO'!$R$746:$R$893,'acab equip'!V104,' CADASTRO'!$S$746:$S$893,'acab equip'!$X$3)+COUNTIFS(' CADASTRO'!$R$746:$R$893,'acab equip'!V104,' CADASTRO'!$S$746:$S$893,'acab equip'!$W$3)</f>
        <v>0</v>
      </c>
      <c r="Z104" s="162">
        <f t="shared" si="24"/>
        <v>46439</v>
      </c>
      <c r="AB104" s="165">
        <f t="shared" si="14"/>
        <v>0</v>
      </c>
      <c r="AC104" s="165">
        <f t="shared" si="15"/>
        <v>0</v>
      </c>
      <c r="AD104" s="165">
        <f t="shared" si="16"/>
        <v>0</v>
      </c>
      <c r="AE104" s="177">
        <f t="shared" si="17"/>
        <v>0</v>
      </c>
    </row>
    <row r="105" spans="2:31" x14ac:dyDescent="0.25">
      <c r="B105" s="162">
        <f t="shared" si="18"/>
        <v>46440</v>
      </c>
      <c r="C105" s="163">
        <f>COUNTIFS(' CADASTRO'!$S:$S,'acab equip'!$C$3,' CADASTRO'!$R:$R,'acab equip'!B105)</f>
        <v>0</v>
      </c>
      <c r="D105" s="163">
        <f>COUNTIFS(' CADASTRO'!$S:$S,'acab equip'!$D$3,' CADASTRO'!$R:$R,'acab equip'!B105)</f>
        <v>0</v>
      </c>
      <c r="E105" s="163">
        <f>COUNTIFS(' CADASTRO'!$R$746:$R$893,'acab equip'!B105,' CADASTRO'!$S$746:$S$893,'acab equip'!$D$3)+COUNTIFS(' CADASTRO'!$R$746:$R$893,'acab equip'!B105,' CADASTRO'!$S$746:$S$893,'acab equip'!$C$3)</f>
        <v>0</v>
      </c>
      <c r="F105" s="162">
        <f t="shared" si="19"/>
        <v>46441</v>
      </c>
      <c r="G105" s="163">
        <f>COUNTIFS(' CADASTRO'!$S:$S,'acab equip'!$C$3,' CADASTRO'!$R:$R,'acab equip'!F105)</f>
        <v>0</v>
      </c>
      <c r="H105" s="163">
        <f>COUNTIFS(' CADASTRO'!$S:$S,'acab equip'!$D$3,' CADASTRO'!$R:$R,'acab equip'!F105)</f>
        <v>0</v>
      </c>
      <c r="I105" s="163">
        <f>COUNTIFS(' CADASTRO'!$R$746:$R$893,'acab equip'!F105,' CADASTRO'!$S$746:$S$893,'acab equip'!$H$3)+COUNTIFS(' CADASTRO'!$R$746:$R$893,'acab equip'!F105,' CADASTRO'!$S$746:$S$893,'acab equip'!$G$3)</f>
        <v>0</v>
      </c>
      <c r="J105" s="162">
        <f t="shared" si="20"/>
        <v>46442</v>
      </c>
      <c r="K105" s="163">
        <f>COUNTIFS(' CADASTRO'!$S:$S,'acab equip'!$C$3,' CADASTRO'!$R:$R,'acab equip'!J105)</f>
        <v>0</v>
      </c>
      <c r="L105" s="163">
        <f>COUNTIFS(' CADASTRO'!$S:$S,'acab equip'!$D$3,' CADASTRO'!$R:$R,'acab equip'!J105)</f>
        <v>0</v>
      </c>
      <c r="M105" s="163">
        <f>COUNTIFS(' CADASTRO'!$R$746:$R$893,'acab equip'!J105,' CADASTRO'!$S$746:$S$893,'acab equip'!$L$3)+COUNTIFS(' CADASTRO'!$R$746:$R$893,'acab equip'!J105,' CADASTRO'!$S$746:$S$893,'acab equip'!$K$3)</f>
        <v>0</v>
      </c>
      <c r="N105" s="162">
        <f t="shared" si="21"/>
        <v>46443</v>
      </c>
      <c r="O105" s="163">
        <f>COUNTIFS(' CADASTRO'!$S:$S,'acab equip'!$C$3,' CADASTRO'!$R:$R,'acab equip'!N105)</f>
        <v>0</v>
      </c>
      <c r="P105" s="163">
        <f>COUNTIFS(' CADASTRO'!$S:$S,'acab equip'!$D$3,' CADASTRO'!$R:$R,'acab equip'!N105)</f>
        <v>0</v>
      </c>
      <c r="Q105" s="163">
        <f>COUNTIFS(' CADASTRO'!$R$746:$R$893,'acab equip'!N105,' CADASTRO'!$S$746:$S$893,'acab equip'!$P$3)+COUNTIFS(' CADASTRO'!$R$746:$R$893,'acab equip'!N105,' CADASTRO'!$S$746:$S$893,'acab equip'!$O$3)</f>
        <v>0</v>
      </c>
      <c r="R105" s="162">
        <f t="shared" si="22"/>
        <v>46444</v>
      </c>
      <c r="S105" s="163">
        <f>COUNTIFS(' CADASTRO'!$S:$S,'acab equip'!$C$3,' CADASTRO'!$R:$R,'acab equip'!R105)</f>
        <v>0</v>
      </c>
      <c r="T105" s="163">
        <f>COUNTIFS(' CADASTRO'!$S:$S,'acab equip'!$D$3,' CADASTRO'!$R:$R,'acab equip'!R105)</f>
        <v>0</v>
      </c>
      <c r="U105" s="163">
        <f>COUNTIFS(' CADASTRO'!$R$746:$R$893,'acab equip'!R105,' CADASTRO'!$S$746:$S$893,'acab equip'!$T$3)+COUNTIFS(' CADASTRO'!$R$746:$R$893,'acab equip'!R105,' CADASTRO'!$S$746:$S$893,'acab equip'!$S$3)</f>
        <v>0</v>
      </c>
      <c r="V105" s="162">
        <f t="shared" si="23"/>
        <v>46445</v>
      </c>
      <c r="W105" s="163">
        <f>COUNTIFS(' CADASTRO'!$S:$S,'acab equip'!$C$3,' CADASTRO'!$R:$R,'acab equip'!V105)</f>
        <v>0</v>
      </c>
      <c r="X105" s="163">
        <f>COUNTIFS(' CADASTRO'!$S:$S,'acab equip'!$D$3,' CADASTRO'!$R:$R,'acab equip'!V105)</f>
        <v>0</v>
      </c>
      <c r="Y105" s="163">
        <f>COUNTIFS(' CADASTRO'!$R$746:$R$893,'acab equip'!V105,' CADASTRO'!$S$746:$S$893,'acab equip'!$X$3)+COUNTIFS(' CADASTRO'!$R$746:$R$893,'acab equip'!V105,' CADASTRO'!$S$746:$S$893,'acab equip'!$W$3)</f>
        <v>0</v>
      </c>
      <c r="Z105" s="162">
        <f t="shared" si="24"/>
        <v>46446</v>
      </c>
      <c r="AB105" s="165">
        <f t="shared" si="14"/>
        <v>0</v>
      </c>
      <c r="AC105" s="165">
        <f t="shared" si="15"/>
        <v>0</v>
      </c>
      <c r="AD105" s="165">
        <f t="shared" si="16"/>
        <v>0</v>
      </c>
      <c r="AE105" s="177">
        <f t="shared" si="17"/>
        <v>0</v>
      </c>
    </row>
    <row r="106" spans="2:31" x14ac:dyDescent="0.25">
      <c r="B106" s="162">
        <f t="shared" si="18"/>
        <v>46447</v>
      </c>
      <c r="C106" s="163">
        <f>COUNTIFS(' CADASTRO'!$S:$S,'acab equip'!$C$3,' CADASTRO'!$R:$R,'acab equip'!B106)</f>
        <v>0</v>
      </c>
      <c r="D106" s="163">
        <f>COUNTIFS(' CADASTRO'!$S:$S,'acab equip'!$D$3,' CADASTRO'!$R:$R,'acab equip'!B106)</f>
        <v>0</v>
      </c>
      <c r="E106" s="163">
        <f>COUNTIFS(' CADASTRO'!$R$746:$R$893,'acab equip'!B106,' CADASTRO'!$S$746:$S$893,'acab equip'!$D$3)+COUNTIFS(' CADASTRO'!$R$746:$R$893,'acab equip'!B106,' CADASTRO'!$S$746:$S$893,'acab equip'!$C$3)</f>
        <v>0</v>
      </c>
      <c r="F106" s="162">
        <f t="shared" si="19"/>
        <v>46448</v>
      </c>
      <c r="G106" s="163">
        <f>COUNTIFS(' CADASTRO'!$S:$S,'acab equip'!$C$3,' CADASTRO'!$R:$R,'acab equip'!F106)</f>
        <v>0</v>
      </c>
      <c r="H106" s="163">
        <f>COUNTIFS(' CADASTRO'!$S:$S,'acab equip'!$D$3,' CADASTRO'!$R:$R,'acab equip'!F106)</f>
        <v>0</v>
      </c>
      <c r="I106" s="163">
        <f>COUNTIFS(' CADASTRO'!$R$746:$R$893,'acab equip'!F106,' CADASTRO'!$S$746:$S$893,'acab equip'!$H$3)+COUNTIFS(' CADASTRO'!$R$746:$R$893,'acab equip'!F106,' CADASTRO'!$S$746:$S$893,'acab equip'!$G$3)</f>
        <v>0</v>
      </c>
      <c r="J106" s="162">
        <f t="shared" si="20"/>
        <v>46449</v>
      </c>
      <c r="K106" s="163">
        <f>COUNTIFS(' CADASTRO'!$S:$S,'acab equip'!$C$3,' CADASTRO'!$R:$R,'acab equip'!J106)</f>
        <v>0</v>
      </c>
      <c r="L106" s="163">
        <f>COUNTIFS(' CADASTRO'!$S:$S,'acab equip'!$D$3,' CADASTRO'!$R:$R,'acab equip'!J106)</f>
        <v>0</v>
      </c>
      <c r="M106" s="163">
        <f>COUNTIFS(' CADASTRO'!$R$746:$R$893,'acab equip'!J106,' CADASTRO'!$S$746:$S$893,'acab equip'!$L$3)+COUNTIFS(' CADASTRO'!$R$746:$R$893,'acab equip'!J106,' CADASTRO'!$S$746:$S$893,'acab equip'!$K$3)</f>
        <v>0</v>
      </c>
      <c r="N106" s="162">
        <f t="shared" si="21"/>
        <v>46450</v>
      </c>
      <c r="O106" s="163">
        <f>COUNTIFS(' CADASTRO'!$S:$S,'acab equip'!$C$3,' CADASTRO'!$R:$R,'acab equip'!N106)</f>
        <v>0</v>
      </c>
      <c r="P106" s="163">
        <f>COUNTIFS(' CADASTRO'!$S:$S,'acab equip'!$D$3,' CADASTRO'!$R:$R,'acab equip'!N106)</f>
        <v>0</v>
      </c>
      <c r="Q106" s="163">
        <f>COUNTIFS(' CADASTRO'!$R$746:$R$893,'acab equip'!N106,' CADASTRO'!$S$746:$S$893,'acab equip'!$P$3)+COUNTIFS(' CADASTRO'!$R$746:$R$893,'acab equip'!N106,' CADASTRO'!$S$746:$S$893,'acab equip'!$O$3)</f>
        <v>0</v>
      </c>
      <c r="R106" s="162">
        <f t="shared" si="22"/>
        <v>46451</v>
      </c>
      <c r="S106" s="163">
        <f>COUNTIFS(' CADASTRO'!$S:$S,'acab equip'!$C$3,' CADASTRO'!$R:$R,'acab equip'!R106)</f>
        <v>0</v>
      </c>
      <c r="T106" s="163">
        <f>COUNTIFS(' CADASTRO'!$S:$S,'acab equip'!$D$3,' CADASTRO'!$R:$R,'acab equip'!R106)</f>
        <v>0</v>
      </c>
      <c r="U106" s="163">
        <f>COUNTIFS(' CADASTRO'!$R$746:$R$893,'acab equip'!R106,' CADASTRO'!$S$746:$S$893,'acab equip'!$T$3)+COUNTIFS(' CADASTRO'!$R$746:$R$893,'acab equip'!R106,' CADASTRO'!$S$746:$S$893,'acab equip'!$S$3)</f>
        <v>0</v>
      </c>
      <c r="V106" s="162">
        <f t="shared" si="23"/>
        <v>46452</v>
      </c>
      <c r="W106" s="163">
        <f>COUNTIFS(' CADASTRO'!$S:$S,'acab equip'!$C$3,' CADASTRO'!$R:$R,'acab equip'!V106)</f>
        <v>0</v>
      </c>
      <c r="X106" s="163">
        <f>COUNTIFS(' CADASTRO'!$S:$S,'acab equip'!$D$3,' CADASTRO'!$R:$R,'acab equip'!V106)</f>
        <v>0</v>
      </c>
      <c r="Y106" s="163">
        <f>COUNTIFS(' CADASTRO'!$R$746:$R$893,'acab equip'!V106,' CADASTRO'!$S$746:$S$893,'acab equip'!$X$3)+COUNTIFS(' CADASTRO'!$R$746:$R$893,'acab equip'!V106,' CADASTRO'!$S$746:$S$893,'acab equip'!$W$3)</f>
        <v>0</v>
      </c>
      <c r="Z106" s="162">
        <f t="shared" si="24"/>
        <v>46453</v>
      </c>
      <c r="AB106" s="165">
        <f t="shared" si="14"/>
        <v>0</v>
      </c>
      <c r="AC106" s="165">
        <f t="shared" si="15"/>
        <v>0</v>
      </c>
      <c r="AD106" s="165">
        <f t="shared" si="16"/>
        <v>0</v>
      </c>
      <c r="AE106" s="177">
        <f t="shared" si="17"/>
        <v>0</v>
      </c>
    </row>
    <row r="107" spans="2:31" x14ac:dyDescent="0.25">
      <c r="B107" s="162">
        <f t="shared" si="18"/>
        <v>46454</v>
      </c>
      <c r="C107" s="163">
        <f>COUNTIFS(' CADASTRO'!$S:$S,'acab equip'!$C$3,' CADASTRO'!$R:$R,'acab equip'!B107)</f>
        <v>0</v>
      </c>
      <c r="D107" s="163">
        <f>COUNTIFS(' CADASTRO'!$S:$S,'acab equip'!$D$3,' CADASTRO'!$R:$R,'acab equip'!B107)</f>
        <v>0</v>
      </c>
      <c r="E107" s="163">
        <f>COUNTIFS(' CADASTRO'!$R$746:$R$893,'acab equip'!B107,' CADASTRO'!$S$746:$S$893,'acab equip'!$D$3)+COUNTIFS(' CADASTRO'!$R$746:$R$893,'acab equip'!B107,' CADASTRO'!$S$746:$S$893,'acab equip'!$C$3)</f>
        <v>0</v>
      </c>
      <c r="F107" s="162">
        <f t="shared" si="19"/>
        <v>46455</v>
      </c>
      <c r="G107" s="163">
        <f>COUNTIFS(' CADASTRO'!$S:$S,'acab equip'!$C$3,' CADASTRO'!$R:$R,'acab equip'!F107)</f>
        <v>0</v>
      </c>
      <c r="H107" s="163">
        <f>COUNTIFS(' CADASTRO'!$S:$S,'acab equip'!$D$3,' CADASTRO'!$R:$R,'acab equip'!F107)</f>
        <v>0</v>
      </c>
      <c r="I107" s="163">
        <f>COUNTIFS(' CADASTRO'!$R$746:$R$893,'acab equip'!F107,' CADASTRO'!$S$746:$S$893,'acab equip'!$H$3)+COUNTIFS(' CADASTRO'!$R$746:$R$893,'acab equip'!F107,' CADASTRO'!$S$746:$S$893,'acab equip'!$G$3)</f>
        <v>0</v>
      </c>
      <c r="J107" s="162">
        <f t="shared" si="20"/>
        <v>46456</v>
      </c>
      <c r="K107" s="163">
        <f>COUNTIFS(' CADASTRO'!$S:$S,'acab equip'!$C$3,' CADASTRO'!$R:$R,'acab equip'!J107)</f>
        <v>0</v>
      </c>
      <c r="L107" s="163">
        <f>COUNTIFS(' CADASTRO'!$S:$S,'acab equip'!$D$3,' CADASTRO'!$R:$R,'acab equip'!J107)</f>
        <v>0</v>
      </c>
      <c r="M107" s="163">
        <f>COUNTIFS(' CADASTRO'!$R$746:$R$893,'acab equip'!J107,' CADASTRO'!$S$746:$S$893,'acab equip'!$L$3)+COUNTIFS(' CADASTRO'!$R$746:$R$893,'acab equip'!J107,' CADASTRO'!$S$746:$S$893,'acab equip'!$K$3)</f>
        <v>0</v>
      </c>
      <c r="N107" s="162">
        <f t="shared" si="21"/>
        <v>46457</v>
      </c>
      <c r="O107" s="163">
        <f>COUNTIFS(' CADASTRO'!$S:$S,'acab equip'!$C$3,' CADASTRO'!$R:$R,'acab equip'!N107)</f>
        <v>0</v>
      </c>
      <c r="P107" s="163">
        <f>COUNTIFS(' CADASTRO'!$S:$S,'acab equip'!$D$3,' CADASTRO'!$R:$R,'acab equip'!N107)</f>
        <v>0</v>
      </c>
      <c r="Q107" s="163">
        <f>COUNTIFS(' CADASTRO'!$R$746:$R$893,'acab equip'!N107,' CADASTRO'!$S$746:$S$893,'acab equip'!$P$3)+COUNTIFS(' CADASTRO'!$R$746:$R$893,'acab equip'!N107,' CADASTRO'!$S$746:$S$893,'acab equip'!$O$3)</f>
        <v>0</v>
      </c>
      <c r="R107" s="162">
        <f t="shared" si="22"/>
        <v>46458</v>
      </c>
      <c r="S107" s="163">
        <f>COUNTIFS(' CADASTRO'!$S:$S,'acab equip'!$C$3,' CADASTRO'!$R:$R,'acab equip'!R107)</f>
        <v>0</v>
      </c>
      <c r="T107" s="163">
        <f>COUNTIFS(' CADASTRO'!$S:$S,'acab equip'!$D$3,' CADASTRO'!$R:$R,'acab equip'!R107)</f>
        <v>0</v>
      </c>
      <c r="U107" s="163">
        <f>COUNTIFS(' CADASTRO'!$R$746:$R$893,'acab equip'!R107,' CADASTRO'!$S$746:$S$893,'acab equip'!$T$3)+COUNTIFS(' CADASTRO'!$R$746:$R$893,'acab equip'!R107,' CADASTRO'!$S$746:$S$893,'acab equip'!$S$3)</f>
        <v>0</v>
      </c>
      <c r="V107" s="162">
        <f t="shared" si="23"/>
        <v>46459</v>
      </c>
      <c r="W107" s="163">
        <f>COUNTIFS(' CADASTRO'!$S:$S,'acab equip'!$C$3,' CADASTRO'!$R:$R,'acab equip'!V107)</f>
        <v>0</v>
      </c>
      <c r="X107" s="163">
        <f>COUNTIFS(' CADASTRO'!$S:$S,'acab equip'!$D$3,' CADASTRO'!$R:$R,'acab equip'!V107)</f>
        <v>0</v>
      </c>
      <c r="Y107" s="163">
        <f>COUNTIFS(' CADASTRO'!$R$746:$R$893,'acab equip'!V107,' CADASTRO'!$S$746:$S$893,'acab equip'!$X$3)+COUNTIFS(' CADASTRO'!$R$746:$R$893,'acab equip'!V107,' CADASTRO'!$S$746:$S$893,'acab equip'!$W$3)</f>
        <v>0</v>
      </c>
      <c r="Z107" s="162">
        <f t="shared" si="24"/>
        <v>46460</v>
      </c>
      <c r="AB107" s="165">
        <f t="shared" si="14"/>
        <v>0</v>
      </c>
      <c r="AC107" s="165">
        <f t="shared" si="15"/>
        <v>0</v>
      </c>
      <c r="AD107" s="165">
        <f t="shared" si="16"/>
        <v>0</v>
      </c>
      <c r="AE107" s="177">
        <f t="shared" si="17"/>
        <v>0</v>
      </c>
    </row>
    <row r="108" spans="2:31" x14ac:dyDescent="0.25">
      <c r="B108" s="162">
        <f t="shared" si="18"/>
        <v>46461</v>
      </c>
      <c r="C108" s="163">
        <f>COUNTIFS(' CADASTRO'!$S:$S,'acab equip'!$C$3,' CADASTRO'!$R:$R,'acab equip'!B108)</f>
        <v>0</v>
      </c>
      <c r="D108" s="163">
        <f>COUNTIFS(' CADASTRO'!$S:$S,'acab equip'!$D$3,' CADASTRO'!$R:$R,'acab equip'!B108)</f>
        <v>0</v>
      </c>
      <c r="E108" s="163">
        <f>COUNTIFS(' CADASTRO'!$R$746:$R$893,'acab equip'!B108,' CADASTRO'!$S$746:$S$893,'acab equip'!$D$3)+COUNTIFS(' CADASTRO'!$R$746:$R$893,'acab equip'!B108,' CADASTRO'!$S$746:$S$893,'acab equip'!$C$3)</f>
        <v>0</v>
      </c>
      <c r="F108" s="162">
        <f t="shared" si="19"/>
        <v>46462</v>
      </c>
      <c r="G108" s="163">
        <f>COUNTIFS(' CADASTRO'!$S:$S,'acab equip'!$C$3,' CADASTRO'!$R:$R,'acab equip'!F108)</f>
        <v>0</v>
      </c>
      <c r="H108" s="163">
        <f>COUNTIFS(' CADASTRO'!$S:$S,'acab equip'!$D$3,' CADASTRO'!$R:$R,'acab equip'!F108)</f>
        <v>0</v>
      </c>
      <c r="I108" s="163">
        <f>COUNTIFS(' CADASTRO'!$R$746:$R$893,'acab equip'!F108,' CADASTRO'!$S$746:$S$893,'acab equip'!$H$3)+COUNTIFS(' CADASTRO'!$R$746:$R$893,'acab equip'!F108,' CADASTRO'!$S$746:$S$893,'acab equip'!$G$3)</f>
        <v>0</v>
      </c>
      <c r="J108" s="162">
        <f t="shared" si="20"/>
        <v>46463</v>
      </c>
      <c r="K108" s="163">
        <f>COUNTIFS(' CADASTRO'!$S:$S,'acab equip'!$C$3,' CADASTRO'!$R:$R,'acab equip'!J108)</f>
        <v>0</v>
      </c>
      <c r="L108" s="163">
        <f>COUNTIFS(' CADASTRO'!$S:$S,'acab equip'!$D$3,' CADASTRO'!$R:$R,'acab equip'!J108)</f>
        <v>0</v>
      </c>
      <c r="M108" s="163">
        <f>COUNTIFS(' CADASTRO'!$R$746:$R$893,'acab equip'!J108,' CADASTRO'!$S$746:$S$893,'acab equip'!$L$3)+COUNTIFS(' CADASTRO'!$R$746:$R$893,'acab equip'!J108,' CADASTRO'!$S$746:$S$893,'acab equip'!$K$3)</f>
        <v>0</v>
      </c>
      <c r="N108" s="162">
        <f t="shared" si="21"/>
        <v>46464</v>
      </c>
      <c r="O108" s="163">
        <f>COUNTIFS(' CADASTRO'!$S:$S,'acab equip'!$C$3,' CADASTRO'!$R:$R,'acab equip'!N108)</f>
        <v>0</v>
      </c>
      <c r="P108" s="163">
        <f>COUNTIFS(' CADASTRO'!$S:$S,'acab equip'!$D$3,' CADASTRO'!$R:$R,'acab equip'!N108)</f>
        <v>0</v>
      </c>
      <c r="Q108" s="163">
        <f>COUNTIFS(' CADASTRO'!$R$746:$R$893,'acab equip'!N108,' CADASTRO'!$S$746:$S$893,'acab equip'!$P$3)+COUNTIFS(' CADASTRO'!$R$746:$R$893,'acab equip'!N108,' CADASTRO'!$S$746:$S$893,'acab equip'!$O$3)</f>
        <v>0</v>
      </c>
      <c r="R108" s="162">
        <f t="shared" si="22"/>
        <v>46465</v>
      </c>
      <c r="S108" s="163">
        <f>COUNTIFS(' CADASTRO'!$S:$S,'acab equip'!$C$3,' CADASTRO'!$R:$R,'acab equip'!R108)</f>
        <v>0</v>
      </c>
      <c r="T108" s="163">
        <f>COUNTIFS(' CADASTRO'!$S:$S,'acab equip'!$D$3,' CADASTRO'!$R:$R,'acab equip'!R108)</f>
        <v>0</v>
      </c>
      <c r="U108" s="163">
        <f>COUNTIFS(' CADASTRO'!$R$746:$R$893,'acab equip'!R108,' CADASTRO'!$S$746:$S$893,'acab equip'!$T$3)+COUNTIFS(' CADASTRO'!$R$746:$R$893,'acab equip'!R108,' CADASTRO'!$S$746:$S$893,'acab equip'!$S$3)</f>
        <v>0</v>
      </c>
      <c r="V108" s="162">
        <f t="shared" si="23"/>
        <v>46466</v>
      </c>
      <c r="W108" s="163">
        <f>COUNTIFS(' CADASTRO'!$S:$S,'acab equip'!$C$3,' CADASTRO'!$R:$R,'acab equip'!V108)</f>
        <v>0</v>
      </c>
      <c r="X108" s="163">
        <f>COUNTIFS(' CADASTRO'!$S:$S,'acab equip'!$D$3,' CADASTRO'!$R:$R,'acab equip'!V108)</f>
        <v>0</v>
      </c>
      <c r="Y108" s="163">
        <f>COUNTIFS(' CADASTRO'!$R$746:$R$893,'acab equip'!V108,' CADASTRO'!$S$746:$S$893,'acab equip'!$X$3)+COUNTIFS(' CADASTRO'!$R$746:$R$893,'acab equip'!V108,' CADASTRO'!$S$746:$S$893,'acab equip'!$W$3)</f>
        <v>0</v>
      </c>
      <c r="Z108" s="162">
        <f t="shared" si="24"/>
        <v>46467</v>
      </c>
      <c r="AB108" s="165">
        <f t="shared" si="14"/>
        <v>0</v>
      </c>
      <c r="AC108" s="165">
        <f t="shared" si="15"/>
        <v>0</v>
      </c>
      <c r="AD108" s="165">
        <f t="shared" si="16"/>
        <v>0</v>
      </c>
      <c r="AE108" s="177">
        <f t="shared" si="17"/>
        <v>0</v>
      </c>
    </row>
    <row r="109" spans="2:31" x14ac:dyDescent="0.25">
      <c r="B109" s="162">
        <f t="shared" si="18"/>
        <v>46468</v>
      </c>
      <c r="C109" s="163">
        <f>COUNTIFS(' CADASTRO'!$S:$S,'acab equip'!$C$3,' CADASTRO'!$R:$R,'acab equip'!B109)</f>
        <v>0</v>
      </c>
      <c r="D109" s="163">
        <f>COUNTIFS(' CADASTRO'!$S:$S,'acab equip'!$D$3,' CADASTRO'!$R:$R,'acab equip'!B109)</f>
        <v>0</v>
      </c>
      <c r="E109" s="163">
        <f>COUNTIFS(' CADASTRO'!$R$746:$R$893,'acab equip'!B109,' CADASTRO'!$S$746:$S$893,'acab equip'!$D$3)+COUNTIFS(' CADASTRO'!$R$746:$R$893,'acab equip'!B109,' CADASTRO'!$S$746:$S$893,'acab equip'!$C$3)</f>
        <v>0</v>
      </c>
      <c r="F109" s="162">
        <f t="shared" si="19"/>
        <v>46469</v>
      </c>
      <c r="G109" s="163">
        <f>COUNTIFS(' CADASTRO'!$S:$S,'acab equip'!$C$3,' CADASTRO'!$R:$R,'acab equip'!F109)</f>
        <v>0</v>
      </c>
      <c r="H109" s="163">
        <f>COUNTIFS(' CADASTRO'!$S:$S,'acab equip'!$D$3,' CADASTRO'!$R:$R,'acab equip'!F109)</f>
        <v>0</v>
      </c>
      <c r="I109" s="163">
        <f>COUNTIFS(' CADASTRO'!$R$746:$R$893,'acab equip'!F109,' CADASTRO'!$S$746:$S$893,'acab equip'!$H$3)+COUNTIFS(' CADASTRO'!$R$746:$R$893,'acab equip'!F109,' CADASTRO'!$S$746:$S$893,'acab equip'!$G$3)</f>
        <v>0</v>
      </c>
      <c r="J109" s="162">
        <f t="shared" si="20"/>
        <v>46470</v>
      </c>
      <c r="K109" s="163">
        <f>COUNTIFS(' CADASTRO'!$S:$S,'acab equip'!$C$3,' CADASTRO'!$R:$R,'acab equip'!J109)</f>
        <v>0</v>
      </c>
      <c r="L109" s="163">
        <f>COUNTIFS(' CADASTRO'!$S:$S,'acab equip'!$D$3,' CADASTRO'!$R:$R,'acab equip'!J109)</f>
        <v>0</v>
      </c>
      <c r="M109" s="163">
        <f>COUNTIFS(' CADASTRO'!$R$746:$R$893,'acab equip'!J109,' CADASTRO'!$S$746:$S$893,'acab equip'!$L$3)+COUNTIFS(' CADASTRO'!$R$746:$R$893,'acab equip'!J109,' CADASTRO'!$S$746:$S$893,'acab equip'!$K$3)</f>
        <v>0</v>
      </c>
      <c r="N109" s="162">
        <f t="shared" si="21"/>
        <v>46471</v>
      </c>
      <c r="O109" s="163">
        <f>COUNTIFS(' CADASTRO'!$S:$S,'acab equip'!$C$3,' CADASTRO'!$R:$R,'acab equip'!N109)</f>
        <v>0</v>
      </c>
      <c r="P109" s="163">
        <f>COUNTIFS(' CADASTRO'!$S:$S,'acab equip'!$D$3,' CADASTRO'!$R:$R,'acab equip'!N109)</f>
        <v>0</v>
      </c>
      <c r="Q109" s="163">
        <f>COUNTIFS(' CADASTRO'!$R$746:$R$893,'acab equip'!N109,' CADASTRO'!$S$746:$S$893,'acab equip'!$P$3)+COUNTIFS(' CADASTRO'!$R$746:$R$893,'acab equip'!N109,' CADASTRO'!$S$746:$S$893,'acab equip'!$O$3)</f>
        <v>0</v>
      </c>
      <c r="R109" s="162">
        <f t="shared" si="22"/>
        <v>46472</v>
      </c>
      <c r="S109" s="163">
        <f>COUNTIFS(' CADASTRO'!$S:$S,'acab equip'!$C$3,' CADASTRO'!$R:$R,'acab equip'!R109)</f>
        <v>0</v>
      </c>
      <c r="T109" s="163">
        <f>COUNTIFS(' CADASTRO'!$S:$S,'acab equip'!$D$3,' CADASTRO'!$R:$R,'acab equip'!R109)</f>
        <v>0</v>
      </c>
      <c r="U109" s="163">
        <f>COUNTIFS(' CADASTRO'!$R$746:$R$893,'acab equip'!R109,' CADASTRO'!$S$746:$S$893,'acab equip'!$T$3)+COUNTIFS(' CADASTRO'!$R$746:$R$893,'acab equip'!R109,' CADASTRO'!$S$746:$S$893,'acab equip'!$S$3)</f>
        <v>0</v>
      </c>
      <c r="V109" s="162">
        <f t="shared" si="23"/>
        <v>46473</v>
      </c>
      <c r="W109" s="163">
        <f>COUNTIFS(' CADASTRO'!$S:$S,'acab equip'!$C$3,' CADASTRO'!$R:$R,'acab equip'!V109)</f>
        <v>0</v>
      </c>
      <c r="X109" s="163">
        <f>COUNTIFS(' CADASTRO'!$S:$S,'acab equip'!$D$3,' CADASTRO'!$R:$R,'acab equip'!V109)</f>
        <v>0</v>
      </c>
      <c r="Y109" s="163">
        <f>COUNTIFS(' CADASTRO'!$R$746:$R$893,'acab equip'!V109,' CADASTRO'!$S$746:$S$893,'acab equip'!$X$3)+COUNTIFS(' CADASTRO'!$R$746:$R$893,'acab equip'!V109,' CADASTRO'!$S$746:$S$893,'acab equip'!$W$3)</f>
        <v>0</v>
      </c>
      <c r="Z109" s="162">
        <f t="shared" si="24"/>
        <v>46474</v>
      </c>
      <c r="AB109" s="165">
        <f t="shared" si="14"/>
        <v>0</v>
      </c>
      <c r="AC109" s="165">
        <f t="shared" si="15"/>
        <v>0</v>
      </c>
      <c r="AD109" s="165">
        <f t="shared" si="16"/>
        <v>0</v>
      </c>
      <c r="AE109" s="177">
        <f t="shared" si="17"/>
        <v>0</v>
      </c>
    </row>
    <row r="110" spans="2:31" x14ac:dyDescent="0.25">
      <c r="B110" s="162">
        <f t="shared" si="18"/>
        <v>46475</v>
      </c>
      <c r="C110" s="163">
        <f>COUNTIFS(' CADASTRO'!$S:$S,'acab equip'!$C$3,' CADASTRO'!$R:$R,'acab equip'!B110)</f>
        <v>0</v>
      </c>
      <c r="D110" s="163">
        <f>COUNTIFS(' CADASTRO'!$S:$S,'acab equip'!$D$3,' CADASTRO'!$R:$R,'acab equip'!B110)</f>
        <v>0</v>
      </c>
      <c r="E110" s="163">
        <f>COUNTIFS(' CADASTRO'!$R$746:$R$893,'acab equip'!B110,' CADASTRO'!$S$746:$S$893,'acab equip'!$D$3)+COUNTIFS(' CADASTRO'!$R$746:$R$893,'acab equip'!B110,' CADASTRO'!$S$746:$S$893,'acab equip'!$C$3)</f>
        <v>0</v>
      </c>
      <c r="F110" s="162">
        <f t="shared" si="19"/>
        <v>46476</v>
      </c>
      <c r="G110" s="163">
        <f>COUNTIFS(' CADASTRO'!$S:$S,'acab equip'!$C$3,' CADASTRO'!$R:$R,'acab equip'!F110)</f>
        <v>0</v>
      </c>
      <c r="H110" s="163">
        <f>COUNTIFS(' CADASTRO'!$S:$S,'acab equip'!$D$3,' CADASTRO'!$R:$R,'acab equip'!F110)</f>
        <v>0</v>
      </c>
      <c r="I110" s="163">
        <f>COUNTIFS(' CADASTRO'!$R$746:$R$893,'acab equip'!F110,' CADASTRO'!$S$746:$S$893,'acab equip'!$H$3)+COUNTIFS(' CADASTRO'!$R$746:$R$893,'acab equip'!F110,' CADASTRO'!$S$746:$S$893,'acab equip'!$G$3)</f>
        <v>0</v>
      </c>
      <c r="J110" s="162">
        <f t="shared" si="20"/>
        <v>46477</v>
      </c>
      <c r="K110" s="163">
        <f>COUNTIFS(' CADASTRO'!$S:$S,'acab equip'!$C$3,' CADASTRO'!$R:$R,'acab equip'!J110)</f>
        <v>0</v>
      </c>
      <c r="L110" s="163">
        <f>COUNTIFS(' CADASTRO'!$S:$S,'acab equip'!$D$3,' CADASTRO'!$R:$R,'acab equip'!J110)</f>
        <v>0</v>
      </c>
      <c r="M110" s="163">
        <f>COUNTIFS(' CADASTRO'!$R$746:$R$893,'acab equip'!J110,' CADASTRO'!$S$746:$S$893,'acab equip'!$L$3)+COUNTIFS(' CADASTRO'!$R$746:$R$893,'acab equip'!J110,' CADASTRO'!$S$746:$S$893,'acab equip'!$K$3)</f>
        <v>0</v>
      </c>
      <c r="N110" s="162">
        <f t="shared" si="21"/>
        <v>46478</v>
      </c>
      <c r="O110" s="163">
        <f>COUNTIFS(' CADASTRO'!$S:$S,'acab equip'!$C$3,' CADASTRO'!$R:$R,'acab equip'!N110)</f>
        <v>0</v>
      </c>
      <c r="P110" s="163">
        <f>COUNTIFS(' CADASTRO'!$S:$S,'acab equip'!$D$3,' CADASTRO'!$R:$R,'acab equip'!N110)</f>
        <v>0</v>
      </c>
      <c r="Q110" s="163">
        <f>COUNTIFS(' CADASTRO'!$R$746:$R$893,'acab equip'!N110,' CADASTRO'!$S$746:$S$893,'acab equip'!$P$3)+COUNTIFS(' CADASTRO'!$R$746:$R$893,'acab equip'!N110,' CADASTRO'!$S$746:$S$893,'acab equip'!$O$3)</f>
        <v>0</v>
      </c>
      <c r="R110" s="162">
        <f t="shared" si="22"/>
        <v>46479</v>
      </c>
      <c r="S110" s="163">
        <f>COUNTIFS(' CADASTRO'!$S:$S,'acab equip'!$C$3,' CADASTRO'!$R:$R,'acab equip'!R110)</f>
        <v>0</v>
      </c>
      <c r="T110" s="163">
        <f>COUNTIFS(' CADASTRO'!$S:$S,'acab equip'!$D$3,' CADASTRO'!$R:$R,'acab equip'!R110)</f>
        <v>0</v>
      </c>
      <c r="U110" s="163">
        <f>COUNTIFS(' CADASTRO'!$R$746:$R$893,'acab equip'!R110,' CADASTRO'!$S$746:$S$893,'acab equip'!$T$3)+COUNTIFS(' CADASTRO'!$R$746:$R$893,'acab equip'!R110,' CADASTRO'!$S$746:$S$893,'acab equip'!$S$3)</f>
        <v>0</v>
      </c>
      <c r="V110" s="162">
        <f t="shared" si="23"/>
        <v>46480</v>
      </c>
      <c r="W110" s="163">
        <f>COUNTIFS(' CADASTRO'!$S:$S,'acab equip'!$C$3,' CADASTRO'!$R:$R,'acab equip'!V110)</f>
        <v>0</v>
      </c>
      <c r="X110" s="163">
        <f>COUNTIFS(' CADASTRO'!$S:$S,'acab equip'!$D$3,' CADASTRO'!$R:$R,'acab equip'!V110)</f>
        <v>0</v>
      </c>
      <c r="Y110" s="163">
        <f>COUNTIFS(' CADASTRO'!$R$746:$R$893,'acab equip'!V110,' CADASTRO'!$S$746:$S$893,'acab equip'!$X$3)+COUNTIFS(' CADASTRO'!$R$746:$R$893,'acab equip'!V110,' CADASTRO'!$S$746:$S$893,'acab equip'!$W$3)</f>
        <v>0</v>
      </c>
      <c r="Z110" s="162">
        <f t="shared" si="24"/>
        <v>46481</v>
      </c>
      <c r="AB110" s="165">
        <f t="shared" si="14"/>
        <v>0</v>
      </c>
      <c r="AC110" s="165">
        <f t="shared" si="15"/>
        <v>0</v>
      </c>
      <c r="AD110" s="165">
        <f t="shared" si="16"/>
        <v>0</v>
      </c>
      <c r="AE110" s="177">
        <f t="shared" si="17"/>
        <v>0</v>
      </c>
    </row>
    <row r="111" spans="2:31" x14ac:dyDescent="0.25">
      <c r="B111" s="162">
        <f t="shared" si="18"/>
        <v>46482</v>
      </c>
      <c r="C111" s="163">
        <f>COUNTIFS(' CADASTRO'!$S:$S,'acab equip'!$C$3,' CADASTRO'!$R:$R,'acab equip'!B111)</f>
        <v>0</v>
      </c>
      <c r="D111" s="163">
        <f>COUNTIFS(' CADASTRO'!$S:$S,'acab equip'!$D$3,' CADASTRO'!$R:$R,'acab equip'!B111)</f>
        <v>0</v>
      </c>
      <c r="E111" s="163">
        <f>COUNTIFS(' CADASTRO'!$R$746:$R$893,'acab equip'!B111,' CADASTRO'!$S$746:$S$893,'acab equip'!$D$3)+COUNTIFS(' CADASTRO'!$R$746:$R$893,'acab equip'!B111,' CADASTRO'!$S$746:$S$893,'acab equip'!$C$3)</f>
        <v>0</v>
      </c>
      <c r="F111" s="162">
        <f t="shared" si="19"/>
        <v>46483</v>
      </c>
      <c r="G111" s="163">
        <f>COUNTIFS(' CADASTRO'!$S:$S,'acab equip'!$C$3,' CADASTRO'!$R:$R,'acab equip'!F111)</f>
        <v>0</v>
      </c>
      <c r="H111" s="163">
        <f>COUNTIFS(' CADASTRO'!$S:$S,'acab equip'!$D$3,' CADASTRO'!$R:$R,'acab equip'!F111)</f>
        <v>0</v>
      </c>
      <c r="I111" s="163">
        <f>COUNTIFS(' CADASTRO'!$R$746:$R$893,'acab equip'!F111,' CADASTRO'!$S$746:$S$893,'acab equip'!$H$3)+COUNTIFS(' CADASTRO'!$R$746:$R$893,'acab equip'!F111,' CADASTRO'!$S$746:$S$893,'acab equip'!$G$3)</f>
        <v>0</v>
      </c>
      <c r="J111" s="162">
        <f t="shared" si="20"/>
        <v>46484</v>
      </c>
      <c r="K111" s="163">
        <f>COUNTIFS(' CADASTRO'!$S:$S,'acab equip'!$C$3,' CADASTRO'!$R:$R,'acab equip'!J111)</f>
        <v>0</v>
      </c>
      <c r="L111" s="163">
        <f>COUNTIFS(' CADASTRO'!$S:$S,'acab equip'!$D$3,' CADASTRO'!$R:$R,'acab equip'!J111)</f>
        <v>0</v>
      </c>
      <c r="M111" s="163">
        <f>COUNTIFS(' CADASTRO'!$R$746:$R$893,'acab equip'!J111,' CADASTRO'!$S$746:$S$893,'acab equip'!$L$3)+COUNTIFS(' CADASTRO'!$R$746:$R$893,'acab equip'!J111,' CADASTRO'!$S$746:$S$893,'acab equip'!$K$3)</f>
        <v>0</v>
      </c>
      <c r="N111" s="162">
        <f t="shared" si="21"/>
        <v>46485</v>
      </c>
      <c r="O111" s="163">
        <f>COUNTIFS(' CADASTRO'!$S:$S,'acab equip'!$C$3,' CADASTRO'!$R:$R,'acab equip'!N111)</f>
        <v>0</v>
      </c>
      <c r="P111" s="163">
        <f>COUNTIFS(' CADASTRO'!$S:$S,'acab equip'!$D$3,' CADASTRO'!$R:$R,'acab equip'!N111)</f>
        <v>0</v>
      </c>
      <c r="Q111" s="163">
        <f>COUNTIFS(' CADASTRO'!$R$746:$R$893,'acab equip'!N111,' CADASTRO'!$S$746:$S$893,'acab equip'!$P$3)+COUNTIFS(' CADASTRO'!$R$746:$R$893,'acab equip'!N111,' CADASTRO'!$S$746:$S$893,'acab equip'!$O$3)</f>
        <v>0</v>
      </c>
      <c r="R111" s="162">
        <f t="shared" si="22"/>
        <v>46486</v>
      </c>
      <c r="S111" s="163">
        <f>COUNTIFS(' CADASTRO'!$S:$S,'acab equip'!$C$3,' CADASTRO'!$R:$R,'acab equip'!R111)</f>
        <v>0</v>
      </c>
      <c r="T111" s="163">
        <f>COUNTIFS(' CADASTRO'!$S:$S,'acab equip'!$D$3,' CADASTRO'!$R:$R,'acab equip'!R111)</f>
        <v>0</v>
      </c>
      <c r="U111" s="163">
        <f>COUNTIFS(' CADASTRO'!$R$746:$R$893,'acab equip'!R111,' CADASTRO'!$S$746:$S$893,'acab equip'!$T$3)+COUNTIFS(' CADASTRO'!$R$746:$R$893,'acab equip'!R111,' CADASTRO'!$S$746:$S$893,'acab equip'!$S$3)</f>
        <v>0</v>
      </c>
      <c r="V111" s="162">
        <f t="shared" si="23"/>
        <v>46487</v>
      </c>
      <c r="W111" s="163">
        <f>COUNTIFS(' CADASTRO'!$S:$S,'acab equip'!$C$3,' CADASTRO'!$R:$R,'acab equip'!V111)</f>
        <v>0</v>
      </c>
      <c r="X111" s="163">
        <f>COUNTIFS(' CADASTRO'!$S:$S,'acab equip'!$D$3,' CADASTRO'!$R:$R,'acab equip'!V111)</f>
        <v>0</v>
      </c>
      <c r="Y111" s="163">
        <f>COUNTIFS(' CADASTRO'!$R$746:$R$893,'acab equip'!V111,' CADASTRO'!$S$746:$S$893,'acab equip'!$X$3)+COUNTIFS(' CADASTRO'!$R$746:$R$893,'acab equip'!V111,' CADASTRO'!$S$746:$S$893,'acab equip'!$W$3)</f>
        <v>0</v>
      </c>
      <c r="Z111" s="162">
        <f t="shared" si="24"/>
        <v>46488</v>
      </c>
      <c r="AB111" s="165">
        <f t="shared" si="14"/>
        <v>0</v>
      </c>
      <c r="AC111" s="165">
        <f t="shared" si="15"/>
        <v>0</v>
      </c>
      <c r="AD111" s="165">
        <f t="shared" si="16"/>
        <v>0</v>
      </c>
      <c r="AE111" s="177">
        <f t="shared" si="17"/>
        <v>0</v>
      </c>
    </row>
    <row r="112" spans="2:31" x14ac:dyDescent="0.25">
      <c r="B112" s="162">
        <f t="shared" si="18"/>
        <v>46489</v>
      </c>
      <c r="C112" s="163">
        <f>COUNTIFS(' CADASTRO'!$S:$S,'acab equip'!$C$3,' CADASTRO'!$R:$R,'acab equip'!B112)</f>
        <v>0</v>
      </c>
      <c r="D112" s="163">
        <f>COUNTIFS(' CADASTRO'!$S:$S,'acab equip'!$D$3,' CADASTRO'!$R:$R,'acab equip'!B112)</f>
        <v>0</v>
      </c>
      <c r="E112" s="163">
        <f>COUNTIFS(' CADASTRO'!$R$746:$R$893,'acab equip'!B112,' CADASTRO'!$S$746:$S$893,'acab equip'!$D$3)+COUNTIFS(' CADASTRO'!$R$746:$R$893,'acab equip'!B112,' CADASTRO'!$S$746:$S$893,'acab equip'!$C$3)</f>
        <v>0</v>
      </c>
      <c r="F112" s="162">
        <f t="shared" si="19"/>
        <v>46490</v>
      </c>
      <c r="G112" s="163">
        <f>COUNTIFS(' CADASTRO'!$S:$S,'acab equip'!$C$3,' CADASTRO'!$R:$R,'acab equip'!F112)</f>
        <v>0</v>
      </c>
      <c r="H112" s="163">
        <f>COUNTIFS(' CADASTRO'!$S:$S,'acab equip'!$D$3,' CADASTRO'!$R:$R,'acab equip'!F112)</f>
        <v>0</v>
      </c>
      <c r="I112" s="163">
        <f>COUNTIFS(' CADASTRO'!$R$746:$R$893,'acab equip'!F112,' CADASTRO'!$S$746:$S$893,'acab equip'!$H$3)+COUNTIFS(' CADASTRO'!$R$746:$R$893,'acab equip'!F112,' CADASTRO'!$S$746:$S$893,'acab equip'!$G$3)</f>
        <v>0</v>
      </c>
      <c r="J112" s="162">
        <f t="shared" si="20"/>
        <v>46491</v>
      </c>
      <c r="K112" s="163">
        <f>COUNTIFS(' CADASTRO'!$S:$S,'acab equip'!$C$3,' CADASTRO'!$R:$R,'acab equip'!J112)</f>
        <v>0</v>
      </c>
      <c r="L112" s="163">
        <f>COUNTIFS(' CADASTRO'!$S:$S,'acab equip'!$D$3,' CADASTRO'!$R:$R,'acab equip'!J112)</f>
        <v>0</v>
      </c>
      <c r="M112" s="163">
        <f>COUNTIFS(' CADASTRO'!$R$746:$R$893,'acab equip'!J112,' CADASTRO'!$S$746:$S$893,'acab equip'!$L$3)+COUNTIFS(' CADASTRO'!$R$746:$R$893,'acab equip'!J112,' CADASTRO'!$S$746:$S$893,'acab equip'!$K$3)</f>
        <v>0</v>
      </c>
      <c r="N112" s="162">
        <f t="shared" si="21"/>
        <v>46492</v>
      </c>
      <c r="O112" s="163">
        <f>COUNTIFS(' CADASTRO'!$S:$S,'acab equip'!$C$3,' CADASTRO'!$R:$R,'acab equip'!N112)</f>
        <v>0</v>
      </c>
      <c r="P112" s="163">
        <f>COUNTIFS(' CADASTRO'!$S:$S,'acab equip'!$D$3,' CADASTRO'!$R:$R,'acab equip'!N112)</f>
        <v>0</v>
      </c>
      <c r="Q112" s="163">
        <f>COUNTIFS(' CADASTRO'!$R$746:$R$893,'acab equip'!N112,' CADASTRO'!$S$746:$S$893,'acab equip'!$P$3)+COUNTIFS(' CADASTRO'!$R$746:$R$893,'acab equip'!N112,' CADASTRO'!$S$746:$S$893,'acab equip'!$O$3)</f>
        <v>0</v>
      </c>
      <c r="R112" s="162">
        <f t="shared" si="22"/>
        <v>46493</v>
      </c>
      <c r="S112" s="163">
        <f>COUNTIFS(' CADASTRO'!$S:$S,'acab equip'!$C$3,' CADASTRO'!$R:$R,'acab equip'!R112)</f>
        <v>0</v>
      </c>
      <c r="T112" s="163">
        <f>COUNTIFS(' CADASTRO'!$S:$S,'acab equip'!$D$3,' CADASTRO'!$R:$R,'acab equip'!R112)</f>
        <v>0</v>
      </c>
      <c r="U112" s="163">
        <f>COUNTIFS(' CADASTRO'!$R$746:$R$893,'acab equip'!R112,' CADASTRO'!$S$746:$S$893,'acab equip'!$T$3)+COUNTIFS(' CADASTRO'!$R$746:$R$893,'acab equip'!R112,' CADASTRO'!$S$746:$S$893,'acab equip'!$S$3)</f>
        <v>0</v>
      </c>
      <c r="V112" s="162">
        <f t="shared" si="23"/>
        <v>46494</v>
      </c>
      <c r="W112" s="163">
        <f>COUNTIFS(' CADASTRO'!$S:$S,'acab equip'!$C$3,' CADASTRO'!$R:$R,'acab equip'!V112)</f>
        <v>0</v>
      </c>
      <c r="X112" s="163">
        <f>COUNTIFS(' CADASTRO'!$S:$S,'acab equip'!$D$3,' CADASTRO'!$R:$R,'acab equip'!V112)</f>
        <v>0</v>
      </c>
      <c r="Y112" s="163">
        <f>COUNTIFS(' CADASTRO'!$R$746:$R$893,'acab equip'!V112,' CADASTRO'!$S$746:$S$893,'acab equip'!$X$3)+COUNTIFS(' CADASTRO'!$R$746:$R$893,'acab equip'!V112,' CADASTRO'!$S$746:$S$893,'acab equip'!$W$3)</f>
        <v>0</v>
      </c>
      <c r="Z112" s="162">
        <f t="shared" si="24"/>
        <v>46495</v>
      </c>
      <c r="AB112" s="165">
        <f t="shared" si="14"/>
        <v>0</v>
      </c>
      <c r="AC112" s="165">
        <f t="shared" si="15"/>
        <v>0</v>
      </c>
      <c r="AD112" s="165">
        <f t="shared" si="16"/>
        <v>0</v>
      </c>
      <c r="AE112" s="177">
        <f t="shared" si="17"/>
        <v>0</v>
      </c>
    </row>
    <row r="113" spans="2:31" x14ac:dyDescent="0.25">
      <c r="B113" s="162">
        <f t="shared" si="18"/>
        <v>46496</v>
      </c>
      <c r="C113" s="163">
        <f>COUNTIFS(' CADASTRO'!$S:$S,'acab equip'!$C$3,' CADASTRO'!$R:$R,'acab equip'!B113)</f>
        <v>0</v>
      </c>
      <c r="D113" s="163">
        <f>COUNTIFS(' CADASTRO'!$S:$S,'acab equip'!$D$3,' CADASTRO'!$R:$R,'acab equip'!B113)</f>
        <v>0</v>
      </c>
      <c r="E113" s="163">
        <f>COUNTIFS(' CADASTRO'!$R$746:$R$893,'acab equip'!B113,' CADASTRO'!$S$746:$S$893,'acab equip'!$D$3)+COUNTIFS(' CADASTRO'!$R$746:$R$893,'acab equip'!B113,' CADASTRO'!$S$746:$S$893,'acab equip'!$C$3)</f>
        <v>0</v>
      </c>
      <c r="F113" s="162">
        <f t="shared" si="19"/>
        <v>46497</v>
      </c>
      <c r="G113" s="163">
        <f>COUNTIFS(' CADASTRO'!$S:$S,'acab equip'!$C$3,' CADASTRO'!$R:$R,'acab equip'!F113)</f>
        <v>0</v>
      </c>
      <c r="H113" s="163">
        <f>COUNTIFS(' CADASTRO'!$S:$S,'acab equip'!$D$3,' CADASTRO'!$R:$R,'acab equip'!F113)</f>
        <v>0</v>
      </c>
      <c r="I113" s="163">
        <f>COUNTIFS(' CADASTRO'!$R$746:$R$893,'acab equip'!F113,' CADASTRO'!$S$746:$S$893,'acab equip'!$H$3)+COUNTIFS(' CADASTRO'!$R$746:$R$893,'acab equip'!F113,' CADASTRO'!$S$746:$S$893,'acab equip'!$G$3)</f>
        <v>0</v>
      </c>
      <c r="J113" s="162">
        <f t="shared" si="20"/>
        <v>46498</v>
      </c>
      <c r="K113" s="163">
        <f>COUNTIFS(' CADASTRO'!$S:$S,'acab equip'!$C$3,' CADASTRO'!$R:$R,'acab equip'!J113)</f>
        <v>0</v>
      </c>
      <c r="L113" s="163">
        <f>COUNTIFS(' CADASTRO'!$S:$S,'acab equip'!$D$3,' CADASTRO'!$R:$R,'acab equip'!J113)</f>
        <v>0</v>
      </c>
      <c r="M113" s="163">
        <f>COUNTIFS(' CADASTRO'!$R$746:$R$893,'acab equip'!J113,' CADASTRO'!$S$746:$S$893,'acab equip'!$L$3)+COUNTIFS(' CADASTRO'!$R$746:$R$893,'acab equip'!J113,' CADASTRO'!$S$746:$S$893,'acab equip'!$K$3)</f>
        <v>0</v>
      </c>
      <c r="N113" s="162">
        <f t="shared" si="21"/>
        <v>46499</v>
      </c>
      <c r="O113" s="163">
        <f>COUNTIFS(' CADASTRO'!$S:$S,'acab equip'!$C$3,' CADASTRO'!$R:$R,'acab equip'!N113)</f>
        <v>0</v>
      </c>
      <c r="P113" s="163">
        <f>COUNTIFS(' CADASTRO'!$S:$S,'acab equip'!$D$3,' CADASTRO'!$R:$R,'acab equip'!N113)</f>
        <v>0</v>
      </c>
      <c r="Q113" s="163">
        <f>COUNTIFS(' CADASTRO'!$R$746:$R$893,'acab equip'!N113,' CADASTRO'!$S$746:$S$893,'acab equip'!$P$3)+COUNTIFS(' CADASTRO'!$R$746:$R$893,'acab equip'!N113,' CADASTRO'!$S$746:$S$893,'acab equip'!$O$3)</f>
        <v>0</v>
      </c>
      <c r="R113" s="162">
        <f t="shared" si="22"/>
        <v>46500</v>
      </c>
      <c r="S113" s="163">
        <f>COUNTIFS(' CADASTRO'!$S:$S,'acab equip'!$C$3,' CADASTRO'!$R:$R,'acab equip'!R113)</f>
        <v>0</v>
      </c>
      <c r="T113" s="163">
        <f>COUNTIFS(' CADASTRO'!$S:$S,'acab equip'!$D$3,' CADASTRO'!$R:$R,'acab equip'!R113)</f>
        <v>0</v>
      </c>
      <c r="U113" s="163">
        <f>COUNTIFS(' CADASTRO'!$R$746:$R$893,'acab equip'!R113,' CADASTRO'!$S$746:$S$893,'acab equip'!$T$3)+COUNTIFS(' CADASTRO'!$R$746:$R$893,'acab equip'!R113,' CADASTRO'!$S$746:$S$893,'acab equip'!$S$3)</f>
        <v>0</v>
      </c>
      <c r="V113" s="162">
        <f t="shared" si="23"/>
        <v>46501</v>
      </c>
      <c r="W113" s="163">
        <f>COUNTIFS(' CADASTRO'!$S:$S,'acab equip'!$C$3,' CADASTRO'!$R:$R,'acab equip'!V113)</f>
        <v>0</v>
      </c>
      <c r="X113" s="163">
        <f>COUNTIFS(' CADASTRO'!$S:$S,'acab equip'!$D$3,' CADASTRO'!$R:$R,'acab equip'!V113)</f>
        <v>0</v>
      </c>
      <c r="Y113" s="163">
        <f>COUNTIFS(' CADASTRO'!$R$746:$R$893,'acab equip'!V113,' CADASTRO'!$S$746:$S$893,'acab equip'!$X$3)+COUNTIFS(' CADASTRO'!$R$746:$R$893,'acab equip'!V113,' CADASTRO'!$S$746:$S$893,'acab equip'!$W$3)</f>
        <v>0</v>
      </c>
      <c r="Z113" s="162">
        <f t="shared" si="24"/>
        <v>46502</v>
      </c>
      <c r="AB113" s="165">
        <f t="shared" si="14"/>
        <v>0</v>
      </c>
      <c r="AC113" s="165">
        <f t="shared" si="15"/>
        <v>0</v>
      </c>
      <c r="AD113" s="165">
        <f t="shared" si="16"/>
        <v>0</v>
      </c>
      <c r="AE113" s="177">
        <f t="shared" si="17"/>
        <v>0</v>
      </c>
    </row>
    <row r="114" spans="2:31" x14ac:dyDescent="0.25">
      <c r="B114" s="162">
        <f t="shared" si="18"/>
        <v>46503</v>
      </c>
      <c r="C114" s="163">
        <f>COUNTIFS(' CADASTRO'!$S:$S,'acab equip'!$C$3,' CADASTRO'!$R:$R,'acab equip'!B114)</f>
        <v>0</v>
      </c>
      <c r="D114" s="163">
        <f>COUNTIFS(' CADASTRO'!$S:$S,'acab equip'!$D$3,' CADASTRO'!$R:$R,'acab equip'!B114)</f>
        <v>0</v>
      </c>
      <c r="E114" s="163">
        <f>COUNTIFS(' CADASTRO'!$R$746:$R$893,'acab equip'!B114,' CADASTRO'!$S$746:$S$893,'acab equip'!$D$3)+COUNTIFS(' CADASTRO'!$R$746:$R$893,'acab equip'!B114,' CADASTRO'!$S$746:$S$893,'acab equip'!$C$3)</f>
        <v>0</v>
      </c>
      <c r="F114" s="162">
        <f t="shared" si="19"/>
        <v>46504</v>
      </c>
      <c r="G114" s="163">
        <f>COUNTIFS(' CADASTRO'!$S:$S,'acab equip'!$C$3,' CADASTRO'!$R:$R,'acab equip'!F114)</f>
        <v>0</v>
      </c>
      <c r="H114" s="163">
        <f>COUNTIFS(' CADASTRO'!$S:$S,'acab equip'!$D$3,' CADASTRO'!$R:$R,'acab equip'!F114)</f>
        <v>0</v>
      </c>
      <c r="I114" s="163">
        <f>COUNTIFS(' CADASTRO'!$R$746:$R$893,'acab equip'!F114,' CADASTRO'!$S$746:$S$893,'acab equip'!$H$3)+COUNTIFS(' CADASTRO'!$R$746:$R$893,'acab equip'!F114,' CADASTRO'!$S$746:$S$893,'acab equip'!$G$3)</f>
        <v>0</v>
      </c>
      <c r="J114" s="162">
        <f t="shared" si="20"/>
        <v>46505</v>
      </c>
      <c r="K114" s="163">
        <f>COUNTIFS(' CADASTRO'!$S:$S,'acab equip'!$C$3,' CADASTRO'!$R:$R,'acab equip'!J114)</f>
        <v>0</v>
      </c>
      <c r="L114" s="163">
        <f>COUNTIFS(' CADASTRO'!$S:$S,'acab equip'!$D$3,' CADASTRO'!$R:$R,'acab equip'!J114)</f>
        <v>0</v>
      </c>
      <c r="M114" s="163">
        <f>COUNTIFS(' CADASTRO'!$R$746:$R$893,'acab equip'!J114,' CADASTRO'!$S$746:$S$893,'acab equip'!$L$3)+COUNTIFS(' CADASTRO'!$R$746:$R$893,'acab equip'!J114,' CADASTRO'!$S$746:$S$893,'acab equip'!$K$3)</f>
        <v>0</v>
      </c>
      <c r="N114" s="162">
        <f t="shared" si="21"/>
        <v>46506</v>
      </c>
      <c r="O114" s="163">
        <f>COUNTIFS(' CADASTRO'!$S:$S,'acab equip'!$C$3,' CADASTRO'!$R:$R,'acab equip'!N114)</f>
        <v>0</v>
      </c>
      <c r="P114" s="163">
        <f>COUNTIFS(' CADASTRO'!$S:$S,'acab equip'!$D$3,' CADASTRO'!$R:$R,'acab equip'!N114)</f>
        <v>0</v>
      </c>
      <c r="Q114" s="163">
        <f>COUNTIFS(' CADASTRO'!$R$746:$R$893,'acab equip'!N114,' CADASTRO'!$S$746:$S$893,'acab equip'!$P$3)+COUNTIFS(' CADASTRO'!$R$746:$R$893,'acab equip'!N114,' CADASTRO'!$S$746:$S$893,'acab equip'!$O$3)</f>
        <v>0</v>
      </c>
      <c r="R114" s="162">
        <f t="shared" si="22"/>
        <v>46507</v>
      </c>
      <c r="S114" s="163">
        <f>COUNTIFS(' CADASTRO'!$S:$S,'acab equip'!$C$3,' CADASTRO'!$R:$R,'acab equip'!R114)</f>
        <v>0</v>
      </c>
      <c r="T114" s="163">
        <f>COUNTIFS(' CADASTRO'!$S:$S,'acab equip'!$D$3,' CADASTRO'!$R:$R,'acab equip'!R114)</f>
        <v>0</v>
      </c>
      <c r="U114" s="163">
        <f>COUNTIFS(' CADASTRO'!$R$746:$R$893,'acab equip'!R114,' CADASTRO'!$S$746:$S$893,'acab equip'!$T$3)+COUNTIFS(' CADASTRO'!$R$746:$R$893,'acab equip'!R114,' CADASTRO'!$S$746:$S$893,'acab equip'!$S$3)</f>
        <v>0</v>
      </c>
      <c r="V114" s="162">
        <f t="shared" si="23"/>
        <v>46508</v>
      </c>
      <c r="W114" s="163">
        <f>COUNTIFS(' CADASTRO'!$S:$S,'acab equip'!$C$3,' CADASTRO'!$R:$R,'acab equip'!V114)</f>
        <v>0</v>
      </c>
      <c r="X114" s="163">
        <f>COUNTIFS(' CADASTRO'!$S:$S,'acab equip'!$D$3,' CADASTRO'!$R:$R,'acab equip'!V114)</f>
        <v>0</v>
      </c>
      <c r="Y114" s="163">
        <f>COUNTIFS(' CADASTRO'!$R$746:$R$893,'acab equip'!V114,' CADASTRO'!$S$746:$S$893,'acab equip'!$X$3)+COUNTIFS(' CADASTRO'!$R$746:$R$893,'acab equip'!V114,' CADASTRO'!$S$746:$S$893,'acab equip'!$W$3)</f>
        <v>0</v>
      </c>
      <c r="Z114" s="162">
        <f t="shared" si="24"/>
        <v>46509</v>
      </c>
      <c r="AB114" s="165">
        <f t="shared" si="14"/>
        <v>0</v>
      </c>
      <c r="AC114" s="165">
        <f t="shared" si="15"/>
        <v>0</v>
      </c>
      <c r="AD114" s="165">
        <f t="shared" si="16"/>
        <v>0</v>
      </c>
      <c r="AE114" s="177">
        <f t="shared" si="17"/>
        <v>0</v>
      </c>
    </row>
    <row r="115" spans="2:31" x14ac:dyDescent="0.25">
      <c r="B115" s="162">
        <f t="shared" si="18"/>
        <v>46510</v>
      </c>
      <c r="C115" s="163">
        <f>COUNTIFS(' CADASTRO'!$S:$S,'acab equip'!$C$3,' CADASTRO'!$R:$R,'acab equip'!B115)</f>
        <v>0</v>
      </c>
      <c r="D115" s="163">
        <f>COUNTIFS(' CADASTRO'!$S:$S,'acab equip'!$D$3,' CADASTRO'!$R:$R,'acab equip'!B115)</f>
        <v>0</v>
      </c>
      <c r="E115" s="163">
        <f>COUNTIFS(' CADASTRO'!$R$746:$R$893,'acab equip'!B115,' CADASTRO'!$S$746:$S$893,'acab equip'!$D$3)+COUNTIFS(' CADASTRO'!$R$746:$R$893,'acab equip'!B115,' CADASTRO'!$S$746:$S$893,'acab equip'!$C$3)</f>
        <v>0</v>
      </c>
      <c r="F115" s="162">
        <f t="shared" si="19"/>
        <v>46511</v>
      </c>
      <c r="G115" s="163">
        <f>COUNTIFS(' CADASTRO'!$S:$S,'acab equip'!$C$3,' CADASTRO'!$R:$R,'acab equip'!F115)</f>
        <v>0</v>
      </c>
      <c r="H115" s="163">
        <f>COUNTIFS(' CADASTRO'!$S:$S,'acab equip'!$D$3,' CADASTRO'!$R:$R,'acab equip'!F115)</f>
        <v>0</v>
      </c>
      <c r="I115" s="163">
        <f>COUNTIFS(' CADASTRO'!$R$746:$R$893,'acab equip'!F115,' CADASTRO'!$S$746:$S$893,'acab equip'!$H$3)+COUNTIFS(' CADASTRO'!$R$746:$R$893,'acab equip'!F115,' CADASTRO'!$S$746:$S$893,'acab equip'!$G$3)</f>
        <v>0</v>
      </c>
      <c r="J115" s="162">
        <f t="shared" si="20"/>
        <v>46512</v>
      </c>
      <c r="K115" s="163">
        <f>COUNTIFS(' CADASTRO'!$S:$S,'acab equip'!$C$3,' CADASTRO'!$R:$R,'acab equip'!J115)</f>
        <v>0</v>
      </c>
      <c r="L115" s="163">
        <f>COUNTIFS(' CADASTRO'!$S:$S,'acab equip'!$D$3,' CADASTRO'!$R:$R,'acab equip'!J115)</f>
        <v>0</v>
      </c>
      <c r="M115" s="163">
        <f>COUNTIFS(' CADASTRO'!$R$746:$R$893,'acab equip'!J115,' CADASTRO'!$S$746:$S$893,'acab equip'!$L$3)+COUNTIFS(' CADASTRO'!$R$746:$R$893,'acab equip'!J115,' CADASTRO'!$S$746:$S$893,'acab equip'!$K$3)</f>
        <v>0</v>
      </c>
      <c r="N115" s="162">
        <f t="shared" si="21"/>
        <v>46513</v>
      </c>
      <c r="O115" s="163">
        <f>COUNTIFS(' CADASTRO'!$S:$S,'acab equip'!$C$3,' CADASTRO'!$R:$R,'acab equip'!N115)</f>
        <v>0</v>
      </c>
      <c r="P115" s="163">
        <f>COUNTIFS(' CADASTRO'!$S:$S,'acab equip'!$D$3,' CADASTRO'!$R:$R,'acab equip'!N115)</f>
        <v>0</v>
      </c>
      <c r="Q115" s="163">
        <f>COUNTIFS(' CADASTRO'!$R$746:$R$893,'acab equip'!N115,' CADASTRO'!$S$746:$S$893,'acab equip'!$P$3)+COUNTIFS(' CADASTRO'!$R$746:$R$893,'acab equip'!N115,' CADASTRO'!$S$746:$S$893,'acab equip'!$O$3)</f>
        <v>0</v>
      </c>
      <c r="R115" s="162">
        <f t="shared" si="22"/>
        <v>46514</v>
      </c>
      <c r="S115" s="163">
        <f>COUNTIFS(' CADASTRO'!$S:$S,'acab equip'!$C$3,' CADASTRO'!$R:$R,'acab equip'!R115)</f>
        <v>0</v>
      </c>
      <c r="T115" s="163">
        <f>COUNTIFS(' CADASTRO'!$S:$S,'acab equip'!$D$3,' CADASTRO'!$R:$R,'acab equip'!R115)</f>
        <v>0</v>
      </c>
      <c r="U115" s="163">
        <f>COUNTIFS(' CADASTRO'!$R$746:$R$893,'acab equip'!R115,' CADASTRO'!$S$746:$S$893,'acab equip'!$T$3)+COUNTIFS(' CADASTRO'!$R$746:$R$893,'acab equip'!R115,' CADASTRO'!$S$746:$S$893,'acab equip'!$S$3)</f>
        <v>0</v>
      </c>
      <c r="V115" s="162">
        <f t="shared" si="23"/>
        <v>46515</v>
      </c>
      <c r="W115" s="163">
        <f>COUNTIFS(' CADASTRO'!$S:$S,'acab equip'!$C$3,' CADASTRO'!$R:$R,'acab equip'!V115)</f>
        <v>0</v>
      </c>
      <c r="X115" s="163">
        <f>COUNTIFS(' CADASTRO'!$S:$S,'acab equip'!$D$3,' CADASTRO'!$R:$R,'acab equip'!V115)</f>
        <v>0</v>
      </c>
      <c r="Y115" s="163">
        <f>COUNTIFS(' CADASTRO'!$R$746:$R$893,'acab equip'!V115,' CADASTRO'!$S$746:$S$893,'acab equip'!$X$3)+COUNTIFS(' CADASTRO'!$R$746:$R$893,'acab equip'!V115,' CADASTRO'!$S$746:$S$893,'acab equip'!$W$3)</f>
        <v>0</v>
      </c>
      <c r="Z115" s="162">
        <f t="shared" si="24"/>
        <v>46516</v>
      </c>
      <c r="AB115" s="165">
        <f t="shared" si="14"/>
        <v>0</v>
      </c>
      <c r="AC115" s="165">
        <f t="shared" si="15"/>
        <v>0</v>
      </c>
      <c r="AD115" s="165">
        <f t="shared" si="16"/>
        <v>0</v>
      </c>
      <c r="AE115" s="177">
        <f t="shared" si="17"/>
        <v>0</v>
      </c>
    </row>
    <row r="116" spans="2:31" x14ac:dyDescent="0.25">
      <c r="B116" s="162">
        <f t="shared" si="18"/>
        <v>46517</v>
      </c>
      <c r="C116" s="163">
        <f>COUNTIFS(' CADASTRO'!$S:$S,'acab equip'!$C$3,' CADASTRO'!$R:$R,'acab equip'!B116)</f>
        <v>0</v>
      </c>
      <c r="D116" s="163">
        <f>COUNTIFS(' CADASTRO'!$S:$S,'acab equip'!$D$3,' CADASTRO'!$R:$R,'acab equip'!B116)</f>
        <v>0</v>
      </c>
      <c r="E116" s="163">
        <f>COUNTIFS(' CADASTRO'!$R$746:$R$893,'acab equip'!B116,' CADASTRO'!$S$746:$S$893,'acab equip'!$D$3)+COUNTIFS(' CADASTRO'!$R$746:$R$893,'acab equip'!B116,' CADASTRO'!$S$746:$S$893,'acab equip'!$C$3)</f>
        <v>0</v>
      </c>
      <c r="F116" s="162">
        <f t="shared" si="19"/>
        <v>46518</v>
      </c>
      <c r="G116" s="163">
        <f>COUNTIFS(' CADASTRO'!$S:$S,'acab equip'!$C$3,' CADASTRO'!$R:$R,'acab equip'!F116)</f>
        <v>0</v>
      </c>
      <c r="H116" s="163">
        <f>COUNTIFS(' CADASTRO'!$S:$S,'acab equip'!$D$3,' CADASTRO'!$R:$R,'acab equip'!F116)</f>
        <v>0</v>
      </c>
      <c r="I116" s="163">
        <f>COUNTIFS(' CADASTRO'!$R$746:$R$893,'acab equip'!F116,' CADASTRO'!$S$746:$S$893,'acab equip'!$H$3)+COUNTIFS(' CADASTRO'!$R$746:$R$893,'acab equip'!F116,' CADASTRO'!$S$746:$S$893,'acab equip'!$G$3)</f>
        <v>0</v>
      </c>
      <c r="J116" s="162">
        <f t="shared" si="20"/>
        <v>46519</v>
      </c>
      <c r="K116" s="163">
        <f>COUNTIFS(' CADASTRO'!$S:$S,'acab equip'!$C$3,' CADASTRO'!$R:$R,'acab equip'!J116)</f>
        <v>0</v>
      </c>
      <c r="L116" s="163">
        <f>COUNTIFS(' CADASTRO'!$S:$S,'acab equip'!$D$3,' CADASTRO'!$R:$R,'acab equip'!J116)</f>
        <v>0</v>
      </c>
      <c r="M116" s="163">
        <f>COUNTIFS(' CADASTRO'!$R$746:$R$893,'acab equip'!J116,' CADASTRO'!$S$746:$S$893,'acab equip'!$L$3)+COUNTIFS(' CADASTRO'!$R$746:$R$893,'acab equip'!J116,' CADASTRO'!$S$746:$S$893,'acab equip'!$K$3)</f>
        <v>0</v>
      </c>
      <c r="N116" s="162">
        <f t="shared" si="21"/>
        <v>46520</v>
      </c>
      <c r="O116" s="163">
        <f>COUNTIFS(' CADASTRO'!$S:$S,'acab equip'!$C$3,' CADASTRO'!$R:$R,'acab equip'!N116)</f>
        <v>0</v>
      </c>
      <c r="P116" s="163">
        <f>COUNTIFS(' CADASTRO'!$S:$S,'acab equip'!$D$3,' CADASTRO'!$R:$R,'acab equip'!N116)</f>
        <v>0</v>
      </c>
      <c r="Q116" s="163">
        <f>COUNTIFS(' CADASTRO'!$R$746:$R$893,'acab equip'!N116,' CADASTRO'!$S$746:$S$893,'acab equip'!$P$3)+COUNTIFS(' CADASTRO'!$R$746:$R$893,'acab equip'!N116,' CADASTRO'!$S$746:$S$893,'acab equip'!$O$3)</f>
        <v>0</v>
      </c>
      <c r="R116" s="162">
        <f t="shared" si="22"/>
        <v>46521</v>
      </c>
      <c r="S116" s="163">
        <f>COUNTIFS(' CADASTRO'!$S:$S,'acab equip'!$C$3,' CADASTRO'!$R:$R,'acab equip'!R116)</f>
        <v>0</v>
      </c>
      <c r="T116" s="163">
        <f>COUNTIFS(' CADASTRO'!$S:$S,'acab equip'!$D$3,' CADASTRO'!$R:$R,'acab equip'!R116)</f>
        <v>0</v>
      </c>
      <c r="U116" s="163">
        <f>COUNTIFS(' CADASTRO'!$R$746:$R$893,'acab equip'!R116,' CADASTRO'!$S$746:$S$893,'acab equip'!$T$3)+COUNTIFS(' CADASTRO'!$R$746:$R$893,'acab equip'!R116,' CADASTRO'!$S$746:$S$893,'acab equip'!$S$3)</f>
        <v>0</v>
      </c>
      <c r="V116" s="162">
        <f t="shared" si="23"/>
        <v>46522</v>
      </c>
      <c r="W116" s="163">
        <f>COUNTIFS(' CADASTRO'!$S:$S,'acab equip'!$C$3,' CADASTRO'!$R:$R,'acab equip'!V116)</f>
        <v>0</v>
      </c>
      <c r="X116" s="163">
        <f>COUNTIFS(' CADASTRO'!$S:$S,'acab equip'!$D$3,' CADASTRO'!$R:$R,'acab equip'!V116)</f>
        <v>0</v>
      </c>
      <c r="Y116" s="163">
        <f>COUNTIFS(' CADASTRO'!$R$746:$R$893,'acab equip'!V116,' CADASTRO'!$S$746:$S$893,'acab equip'!$X$3)+COUNTIFS(' CADASTRO'!$R$746:$R$893,'acab equip'!V116,' CADASTRO'!$S$746:$S$893,'acab equip'!$W$3)</f>
        <v>0</v>
      </c>
      <c r="Z116" s="162">
        <f t="shared" si="24"/>
        <v>46523</v>
      </c>
      <c r="AB116" s="165">
        <f t="shared" si="14"/>
        <v>0</v>
      </c>
      <c r="AC116" s="165">
        <f t="shared" si="15"/>
        <v>0</v>
      </c>
      <c r="AD116" s="165">
        <f t="shared" si="16"/>
        <v>0</v>
      </c>
      <c r="AE116" s="177">
        <f t="shared" si="17"/>
        <v>0</v>
      </c>
    </row>
    <row r="117" spans="2:31" x14ac:dyDescent="0.25">
      <c r="B117" s="162">
        <f t="shared" si="18"/>
        <v>46524</v>
      </c>
      <c r="C117" s="163">
        <f>COUNTIFS(' CADASTRO'!$S:$S,'acab equip'!$C$3,' CADASTRO'!$R:$R,'acab equip'!B117)</f>
        <v>0</v>
      </c>
      <c r="D117" s="163">
        <f>COUNTIFS(' CADASTRO'!$S:$S,'acab equip'!$D$3,' CADASTRO'!$R:$R,'acab equip'!B117)</f>
        <v>0</v>
      </c>
      <c r="E117" s="163">
        <f>COUNTIFS(' CADASTRO'!$R$746:$R$893,'acab equip'!B117,' CADASTRO'!$S$746:$S$893,'acab equip'!$D$3)+COUNTIFS(' CADASTRO'!$R$746:$R$893,'acab equip'!B117,' CADASTRO'!$S$746:$S$893,'acab equip'!$C$3)</f>
        <v>0</v>
      </c>
      <c r="F117" s="162">
        <f t="shared" si="19"/>
        <v>46525</v>
      </c>
      <c r="G117" s="163">
        <f>COUNTIFS(' CADASTRO'!$S:$S,'acab equip'!$C$3,' CADASTRO'!$R:$R,'acab equip'!F117)</f>
        <v>0</v>
      </c>
      <c r="H117" s="163">
        <f>COUNTIFS(' CADASTRO'!$S:$S,'acab equip'!$D$3,' CADASTRO'!$R:$R,'acab equip'!F117)</f>
        <v>0</v>
      </c>
      <c r="I117" s="163">
        <f>COUNTIFS(' CADASTRO'!$R$746:$R$893,'acab equip'!F117,' CADASTRO'!$S$746:$S$893,'acab equip'!$H$3)+COUNTIFS(' CADASTRO'!$R$746:$R$893,'acab equip'!F117,' CADASTRO'!$S$746:$S$893,'acab equip'!$G$3)</f>
        <v>0</v>
      </c>
      <c r="J117" s="162">
        <f t="shared" si="20"/>
        <v>46526</v>
      </c>
      <c r="K117" s="163">
        <f>COUNTIFS(' CADASTRO'!$S:$S,'acab equip'!$C$3,' CADASTRO'!$R:$R,'acab equip'!J117)</f>
        <v>0</v>
      </c>
      <c r="L117" s="163">
        <f>COUNTIFS(' CADASTRO'!$S:$S,'acab equip'!$D$3,' CADASTRO'!$R:$R,'acab equip'!J117)</f>
        <v>0</v>
      </c>
      <c r="M117" s="163">
        <f>COUNTIFS(' CADASTRO'!$R$746:$R$893,'acab equip'!J117,' CADASTRO'!$S$746:$S$893,'acab equip'!$L$3)+COUNTIFS(' CADASTRO'!$R$746:$R$893,'acab equip'!J117,' CADASTRO'!$S$746:$S$893,'acab equip'!$K$3)</f>
        <v>0</v>
      </c>
      <c r="N117" s="162">
        <f t="shared" si="21"/>
        <v>46527</v>
      </c>
      <c r="O117" s="163">
        <f>COUNTIFS(' CADASTRO'!$S:$S,'acab equip'!$C$3,' CADASTRO'!$R:$R,'acab equip'!N117)</f>
        <v>0</v>
      </c>
      <c r="P117" s="163">
        <f>COUNTIFS(' CADASTRO'!$S:$S,'acab equip'!$D$3,' CADASTRO'!$R:$R,'acab equip'!N117)</f>
        <v>0</v>
      </c>
      <c r="Q117" s="163">
        <f>COUNTIFS(' CADASTRO'!$R$746:$R$893,'acab equip'!N117,' CADASTRO'!$S$746:$S$893,'acab equip'!$P$3)+COUNTIFS(' CADASTRO'!$R$746:$R$893,'acab equip'!N117,' CADASTRO'!$S$746:$S$893,'acab equip'!$O$3)</f>
        <v>0</v>
      </c>
      <c r="R117" s="162">
        <f t="shared" si="22"/>
        <v>46528</v>
      </c>
      <c r="S117" s="163">
        <f>COUNTIFS(' CADASTRO'!$S:$S,'acab equip'!$C$3,' CADASTRO'!$R:$R,'acab equip'!R117)</f>
        <v>0</v>
      </c>
      <c r="T117" s="163">
        <f>COUNTIFS(' CADASTRO'!$S:$S,'acab equip'!$D$3,' CADASTRO'!$R:$R,'acab equip'!R117)</f>
        <v>0</v>
      </c>
      <c r="U117" s="163">
        <f>COUNTIFS(' CADASTRO'!$R$746:$R$893,'acab equip'!R117,' CADASTRO'!$S$746:$S$893,'acab equip'!$T$3)+COUNTIFS(' CADASTRO'!$R$746:$R$893,'acab equip'!R117,' CADASTRO'!$S$746:$S$893,'acab equip'!$S$3)</f>
        <v>0</v>
      </c>
      <c r="V117" s="162">
        <f t="shared" si="23"/>
        <v>46529</v>
      </c>
      <c r="W117" s="163">
        <f>COUNTIFS(' CADASTRO'!$S:$S,'acab equip'!$C$3,' CADASTRO'!$R:$R,'acab equip'!V117)</f>
        <v>0</v>
      </c>
      <c r="X117" s="163">
        <f>COUNTIFS(' CADASTRO'!$S:$S,'acab equip'!$D$3,' CADASTRO'!$R:$R,'acab equip'!V117)</f>
        <v>0</v>
      </c>
      <c r="Y117" s="163">
        <f>COUNTIFS(' CADASTRO'!$R$746:$R$893,'acab equip'!V117,' CADASTRO'!$S$746:$S$893,'acab equip'!$X$3)+COUNTIFS(' CADASTRO'!$R$746:$R$893,'acab equip'!V117,' CADASTRO'!$S$746:$S$893,'acab equip'!$W$3)</f>
        <v>0</v>
      </c>
      <c r="Z117" s="162">
        <f t="shared" si="24"/>
        <v>46530</v>
      </c>
      <c r="AB117" s="165">
        <f t="shared" si="14"/>
        <v>0</v>
      </c>
      <c r="AC117" s="165">
        <f t="shared" si="15"/>
        <v>0</v>
      </c>
      <c r="AD117" s="165">
        <f t="shared" si="16"/>
        <v>0</v>
      </c>
      <c r="AE117" s="177">
        <f t="shared" si="17"/>
        <v>0</v>
      </c>
    </row>
    <row r="118" spans="2:31" x14ac:dyDescent="0.25">
      <c r="B118" s="162">
        <f t="shared" si="18"/>
        <v>46531</v>
      </c>
      <c r="C118" s="163">
        <f>COUNTIFS(' CADASTRO'!$S:$S,'acab equip'!$C$3,' CADASTRO'!$R:$R,'acab equip'!B118)</f>
        <v>0</v>
      </c>
      <c r="D118" s="163">
        <f>COUNTIFS(' CADASTRO'!$S:$S,'acab equip'!$D$3,' CADASTRO'!$R:$R,'acab equip'!B118)</f>
        <v>0</v>
      </c>
      <c r="E118" s="163">
        <f>COUNTIFS(' CADASTRO'!$R$746:$R$893,'acab equip'!B118,' CADASTRO'!$S$746:$S$893,'acab equip'!$D$3)+COUNTIFS(' CADASTRO'!$R$746:$R$893,'acab equip'!B118,' CADASTRO'!$S$746:$S$893,'acab equip'!$C$3)</f>
        <v>0</v>
      </c>
      <c r="F118" s="162">
        <f t="shared" si="19"/>
        <v>46532</v>
      </c>
      <c r="G118" s="163">
        <f>COUNTIFS(' CADASTRO'!$S:$S,'acab equip'!$C$3,' CADASTRO'!$R:$R,'acab equip'!F118)</f>
        <v>0</v>
      </c>
      <c r="H118" s="163">
        <f>COUNTIFS(' CADASTRO'!$S:$S,'acab equip'!$D$3,' CADASTRO'!$R:$R,'acab equip'!F118)</f>
        <v>0</v>
      </c>
      <c r="I118" s="163">
        <f>COUNTIFS(' CADASTRO'!$R$746:$R$893,'acab equip'!F118,' CADASTRO'!$S$746:$S$893,'acab equip'!$H$3)+COUNTIFS(' CADASTRO'!$R$746:$R$893,'acab equip'!F118,' CADASTRO'!$S$746:$S$893,'acab equip'!$G$3)</f>
        <v>0</v>
      </c>
      <c r="J118" s="162">
        <f t="shared" si="20"/>
        <v>46533</v>
      </c>
      <c r="K118" s="163">
        <f>COUNTIFS(' CADASTRO'!$S:$S,'acab equip'!$C$3,' CADASTRO'!$R:$R,'acab equip'!J118)</f>
        <v>0</v>
      </c>
      <c r="L118" s="163">
        <f>COUNTIFS(' CADASTRO'!$S:$S,'acab equip'!$D$3,' CADASTRO'!$R:$R,'acab equip'!J118)</f>
        <v>0</v>
      </c>
      <c r="M118" s="163">
        <f>COUNTIFS(' CADASTRO'!$R$746:$R$893,'acab equip'!J118,' CADASTRO'!$S$746:$S$893,'acab equip'!$L$3)+COUNTIFS(' CADASTRO'!$R$746:$R$893,'acab equip'!J118,' CADASTRO'!$S$746:$S$893,'acab equip'!$K$3)</f>
        <v>0</v>
      </c>
      <c r="N118" s="162">
        <f t="shared" si="21"/>
        <v>46534</v>
      </c>
      <c r="O118" s="163">
        <f>COUNTIFS(' CADASTRO'!$S:$S,'acab equip'!$C$3,' CADASTRO'!$R:$R,'acab equip'!N118)</f>
        <v>0</v>
      </c>
      <c r="P118" s="163">
        <f>COUNTIFS(' CADASTRO'!$S:$S,'acab equip'!$D$3,' CADASTRO'!$R:$R,'acab equip'!N118)</f>
        <v>0</v>
      </c>
      <c r="Q118" s="163">
        <f>COUNTIFS(' CADASTRO'!$R$746:$R$893,'acab equip'!N118,' CADASTRO'!$S$746:$S$893,'acab equip'!$P$3)+COUNTIFS(' CADASTRO'!$R$746:$R$893,'acab equip'!N118,' CADASTRO'!$S$746:$S$893,'acab equip'!$O$3)</f>
        <v>0</v>
      </c>
      <c r="R118" s="162">
        <f t="shared" si="22"/>
        <v>46535</v>
      </c>
      <c r="S118" s="163">
        <f>COUNTIFS(' CADASTRO'!$S:$S,'acab equip'!$C$3,' CADASTRO'!$R:$R,'acab equip'!R118)</f>
        <v>0</v>
      </c>
      <c r="T118" s="163">
        <f>COUNTIFS(' CADASTRO'!$S:$S,'acab equip'!$D$3,' CADASTRO'!$R:$R,'acab equip'!R118)</f>
        <v>0</v>
      </c>
      <c r="U118" s="163">
        <f>COUNTIFS(' CADASTRO'!$R$746:$R$893,'acab equip'!R118,' CADASTRO'!$S$746:$S$893,'acab equip'!$T$3)+COUNTIFS(' CADASTRO'!$R$746:$R$893,'acab equip'!R118,' CADASTRO'!$S$746:$S$893,'acab equip'!$S$3)</f>
        <v>0</v>
      </c>
      <c r="V118" s="162">
        <f t="shared" si="23"/>
        <v>46536</v>
      </c>
      <c r="W118" s="163">
        <f>COUNTIFS(' CADASTRO'!$S:$S,'acab equip'!$C$3,' CADASTRO'!$R:$R,'acab equip'!V118)</f>
        <v>0</v>
      </c>
      <c r="X118" s="163">
        <f>COUNTIFS(' CADASTRO'!$S:$S,'acab equip'!$D$3,' CADASTRO'!$R:$R,'acab equip'!V118)</f>
        <v>0</v>
      </c>
      <c r="Y118" s="163">
        <f>COUNTIFS(' CADASTRO'!$R$746:$R$893,'acab equip'!V118,' CADASTRO'!$S$746:$S$893,'acab equip'!$X$3)+COUNTIFS(' CADASTRO'!$R$746:$R$893,'acab equip'!V118,' CADASTRO'!$S$746:$S$893,'acab equip'!$W$3)</f>
        <v>0</v>
      </c>
      <c r="Z118" s="162">
        <f t="shared" si="24"/>
        <v>46537</v>
      </c>
      <c r="AB118" s="165">
        <f t="shared" si="14"/>
        <v>0</v>
      </c>
      <c r="AC118" s="165">
        <f t="shared" si="15"/>
        <v>0</v>
      </c>
      <c r="AD118" s="165">
        <f t="shared" si="16"/>
        <v>0</v>
      </c>
      <c r="AE118" s="177">
        <f t="shared" si="17"/>
        <v>0</v>
      </c>
    </row>
    <row r="119" spans="2:31" x14ac:dyDescent="0.25">
      <c r="B119" s="162">
        <f t="shared" si="18"/>
        <v>46538</v>
      </c>
      <c r="C119" s="163">
        <f>COUNTIFS(' CADASTRO'!$S:$S,'acab equip'!$C$3,' CADASTRO'!$R:$R,'acab equip'!B119)</f>
        <v>0</v>
      </c>
      <c r="D119" s="163">
        <f>COUNTIFS(' CADASTRO'!$S:$S,'acab equip'!$D$3,' CADASTRO'!$R:$R,'acab equip'!B119)</f>
        <v>0</v>
      </c>
      <c r="E119" s="163">
        <f>COUNTIFS(' CADASTRO'!$R$746:$R$893,'acab equip'!B119,' CADASTRO'!$S$746:$S$893,'acab equip'!$D$3)+COUNTIFS(' CADASTRO'!$R$746:$R$893,'acab equip'!B119,' CADASTRO'!$S$746:$S$893,'acab equip'!$C$3)</f>
        <v>0</v>
      </c>
      <c r="F119" s="162">
        <f t="shared" si="19"/>
        <v>46539</v>
      </c>
      <c r="G119" s="163">
        <f>COUNTIFS(' CADASTRO'!$S:$S,'acab equip'!$C$3,' CADASTRO'!$R:$R,'acab equip'!F119)</f>
        <v>0</v>
      </c>
      <c r="H119" s="163">
        <f>COUNTIFS(' CADASTRO'!$S:$S,'acab equip'!$D$3,' CADASTRO'!$R:$R,'acab equip'!F119)</f>
        <v>0</v>
      </c>
      <c r="I119" s="163">
        <f>COUNTIFS(' CADASTRO'!$R$746:$R$893,'acab equip'!F119,' CADASTRO'!$S$746:$S$893,'acab equip'!$H$3)+COUNTIFS(' CADASTRO'!$R$746:$R$893,'acab equip'!F119,' CADASTRO'!$S$746:$S$893,'acab equip'!$G$3)</f>
        <v>0</v>
      </c>
      <c r="J119" s="162">
        <f t="shared" si="20"/>
        <v>46540</v>
      </c>
      <c r="K119" s="163">
        <f>COUNTIFS(' CADASTRO'!$S:$S,'acab equip'!$C$3,' CADASTRO'!$R:$R,'acab equip'!J119)</f>
        <v>0</v>
      </c>
      <c r="L119" s="163">
        <f>COUNTIFS(' CADASTRO'!$S:$S,'acab equip'!$D$3,' CADASTRO'!$R:$R,'acab equip'!J119)</f>
        <v>0</v>
      </c>
      <c r="M119" s="163">
        <f>COUNTIFS(' CADASTRO'!$R$746:$R$893,'acab equip'!J119,' CADASTRO'!$S$746:$S$893,'acab equip'!$L$3)+COUNTIFS(' CADASTRO'!$R$746:$R$893,'acab equip'!J119,' CADASTRO'!$S$746:$S$893,'acab equip'!$K$3)</f>
        <v>0</v>
      </c>
      <c r="N119" s="162">
        <f t="shared" si="21"/>
        <v>46541</v>
      </c>
      <c r="O119" s="163">
        <f>COUNTIFS(' CADASTRO'!$S:$S,'acab equip'!$C$3,' CADASTRO'!$R:$R,'acab equip'!N119)</f>
        <v>0</v>
      </c>
      <c r="P119" s="163">
        <f>COUNTIFS(' CADASTRO'!$S:$S,'acab equip'!$D$3,' CADASTRO'!$R:$R,'acab equip'!N119)</f>
        <v>0</v>
      </c>
      <c r="Q119" s="163">
        <f>COUNTIFS(' CADASTRO'!$R$746:$R$893,'acab equip'!N119,' CADASTRO'!$S$746:$S$893,'acab equip'!$P$3)+COUNTIFS(' CADASTRO'!$R$746:$R$893,'acab equip'!N119,' CADASTRO'!$S$746:$S$893,'acab equip'!$O$3)</f>
        <v>0</v>
      </c>
      <c r="R119" s="162">
        <f t="shared" si="22"/>
        <v>46542</v>
      </c>
      <c r="S119" s="163">
        <f>COUNTIFS(' CADASTRO'!$S:$S,'acab equip'!$C$3,' CADASTRO'!$R:$R,'acab equip'!R119)</f>
        <v>0</v>
      </c>
      <c r="T119" s="163">
        <f>COUNTIFS(' CADASTRO'!$S:$S,'acab equip'!$D$3,' CADASTRO'!$R:$R,'acab equip'!R119)</f>
        <v>0</v>
      </c>
      <c r="U119" s="163">
        <f>COUNTIFS(' CADASTRO'!$R$746:$R$893,'acab equip'!R119,' CADASTRO'!$S$746:$S$893,'acab equip'!$T$3)+COUNTIFS(' CADASTRO'!$R$746:$R$893,'acab equip'!R119,' CADASTRO'!$S$746:$S$893,'acab equip'!$S$3)</f>
        <v>0</v>
      </c>
      <c r="V119" s="162">
        <f t="shared" si="23"/>
        <v>46543</v>
      </c>
      <c r="W119" s="163">
        <f>COUNTIFS(' CADASTRO'!$S:$S,'acab equip'!$C$3,' CADASTRO'!$R:$R,'acab equip'!V119)</f>
        <v>0</v>
      </c>
      <c r="X119" s="163">
        <f>COUNTIFS(' CADASTRO'!$S:$S,'acab equip'!$D$3,' CADASTRO'!$R:$R,'acab equip'!V119)</f>
        <v>0</v>
      </c>
      <c r="Y119" s="163">
        <f>COUNTIFS(' CADASTRO'!$R$746:$R$893,'acab equip'!V119,' CADASTRO'!$S$746:$S$893,'acab equip'!$X$3)+COUNTIFS(' CADASTRO'!$R$746:$R$893,'acab equip'!V119,' CADASTRO'!$S$746:$S$893,'acab equip'!$W$3)</f>
        <v>0</v>
      </c>
      <c r="Z119" s="162">
        <f t="shared" si="24"/>
        <v>46544</v>
      </c>
      <c r="AB119" s="165">
        <f t="shared" si="14"/>
        <v>0</v>
      </c>
      <c r="AC119" s="165">
        <f t="shared" si="15"/>
        <v>0</v>
      </c>
      <c r="AD119" s="165">
        <f t="shared" si="16"/>
        <v>0</v>
      </c>
      <c r="AE119" s="177">
        <f t="shared" si="17"/>
        <v>0</v>
      </c>
    </row>
    <row r="120" spans="2:31" x14ac:dyDescent="0.25">
      <c r="B120" s="162">
        <f t="shared" si="18"/>
        <v>46545</v>
      </c>
      <c r="C120" s="163">
        <f>COUNTIFS(' CADASTRO'!$S:$S,'acab equip'!$C$3,' CADASTRO'!$R:$R,'acab equip'!B120)</f>
        <v>0</v>
      </c>
      <c r="D120" s="163">
        <f>COUNTIFS(' CADASTRO'!$S:$S,'acab equip'!$D$3,' CADASTRO'!$R:$R,'acab equip'!B120)</f>
        <v>0</v>
      </c>
      <c r="E120" s="163">
        <f>COUNTIFS(' CADASTRO'!$R$746:$R$893,'acab equip'!B120,' CADASTRO'!$S$746:$S$893,'acab equip'!$D$3)+COUNTIFS(' CADASTRO'!$R$746:$R$893,'acab equip'!B120,' CADASTRO'!$S$746:$S$893,'acab equip'!$C$3)</f>
        <v>0</v>
      </c>
      <c r="F120" s="162">
        <f t="shared" si="19"/>
        <v>46546</v>
      </c>
      <c r="G120" s="163">
        <f>COUNTIFS(' CADASTRO'!$S:$S,'acab equip'!$C$3,' CADASTRO'!$R:$R,'acab equip'!F120)</f>
        <v>0</v>
      </c>
      <c r="H120" s="163">
        <f>COUNTIFS(' CADASTRO'!$S:$S,'acab equip'!$D$3,' CADASTRO'!$R:$R,'acab equip'!F120)</f>
        <v>0</v>
      </c>
      <c r="I120" s="163">
        <f>COUNTIFS(' CADASTRO'!$R$746:$R$893,'acab equip'!F120,' CADASTRO'!$S$746:$S$893,'acab equip'!$H$3)+COUNTIFS(' CADASTRO'!$R$746:$R$893,'acab equip'!F120,' CADASTRO'!$S$746:$S$893,'acab equip'!$G$3)</f>
        <v>0</v>
      </c>
      <c r="J120" s="162">
        <f t="shared" si="20"/>
        <v>46547</v>
      </c>
      <c r="K120" s="163">
        <f>COUNTIFS(' CADASTRO'!$S:$S,'acab equip'!$C$3,' CADASTRO'!$R:$R,'acab equip'!J120)</f>
        <v>0</v>
      </c>
      <c r="L120" s="163">
        <f>COUNTIFS(' CADASTRO'!$S:$S,'acab equip'!$D$3,' CADASTRO'!$R:$R,'acab equip'!J120)</f>
        <v>0</v>
      </c>
      <c r="M120" s="163">
        <f>COUNTIFS(' CADASTRO'!$R$746:$R$893,'acab equip'!J120,' CADASTRO'!$S$746:$S$893,'acab equip'!$L$3)+COUNTIFS(' CADASTRO'!$R$746:$R$893,'acab equip'!J120,' CADASTRO'!$S$746:$S$893,'acab equip'!$K$3)</f>
        <v>0</v>
      </c>
      <c r="N120" s="162">
        <f t="shared" si="21"/>
        <v>46548</v>
      </c>
      <c r="O120" s="163">
        <f>COUNTIFS(' CADASTRO'!$S:$S,'acab equip'!$C$3,' CADASTRO'!$R:$R,'acab equip'!N120)</f>
        <v>0</v>
      </c>
      <c r="P120" s="163">
        <f>COUNTIFS(' CADASTRO'!$S:$S,'acab equip'!$D$3,' CADASTRO'!$R:$R,'acab equip'!N120)</f>
        <v>0</v>
      </c>
      <c r="Q120" s="163">
        <f>COUNTIFS(' CADASTRO'!$R$746:$R$893,'acab equip'!N120,' CADASTRO'!$S$746:$S$893,'acab equip'!$P$3)+COUNTIFS(' CADASTRO'!$R$746:$R$893,'acab equip'!N120,' CADASTRO'!$S$746:$S$893,'acab equip'!$O$3)</f>
        <v>0</v>
      </c>
      <c r="R120" s="162">
        <f t="shared" si="22"/>
        <v>46549</v>
      </c>
      <c r="S120" s="163">
        <f>COUNTIFS(' CADASTRO'!$S:$S,'acab equip'!$C$3,' CADASTRO'!$R:$R,'acab equip'!R120)</f>
        <v>0</v>
      </c>
      <c r="T120" s="163">
        <f>COUNTIFS(' CADASTRO'!$S:$S,'acab equip'!$D$3,' CADASTRO'!$R:$R,'acab equip'!R120)</f>
        <v>0</v>
      </c>
      <c r="U120" s="163">
        <f>COUNTIFS(' CADASTRO'!$R$746:$R$893,'acab equip'!R120,' CADASTRO'!$S$746:$S$893,'acab equip'!$T$3)+COUNTIFS(' CADASTRO'!$R$746:$R$893,'acab equip'!R120,' CADASTRO'!$S$746:$S$893,'acab equip'!$S$3)</f>
        <v>0</v>
      </c>
      <c r="V120" s="162">
        <f t="shared" si="23"/>
        <v>46550</v>
      </c>
      <c r="W120" s="163">
        <f>COUNTIFS(' CADASTRO'!$S:$S,'acab equip'!$C$3,' CADASTRO'!$R:$R,'acab equip'!V120)</f>
        <v>0</v>
      </c>
      <c r="X120" s="163">
        <f>COUNTIFS(' CADASTRO'!$S:$S,'acab equip'!$D$3,' CADASTRO'!$R:$R,'acab equip'!V120)</f>
        <v>0</v>
      </c>
      <c r="Y120" s="163">
        <f>COUNTIFS(' CADASTRO'!$R$746:$R$893,'acab equip'!V120,' CADASTRO'!$S$746:$S$893,'acab equip'!$X$3)+COUNTIFS(' CADASTRO'!$R$746:$R$893,'acab equip'!V120,' CADASTRO'!$S$746:$S$893,'acab equip'!$W$3)</f>
        <v>0</v>
      </c>
      <c r="Z120" s="162">
        <f t="shared" si="24"/>
        <v>46551</v>
      </c>
      <c r="AB120" s="165">
        <f t="shared" si="14"/>
        <v>0</v>
      </c>
      <c r="AC120" s="165">
        <f t="shared" si="15"/>
        <v>0</v>
      </c>
      <c r="AD120" s="165">
        <f t="shared" si="16"/>
        <v>0</v>
      </c>
      <c r="AE120" s="177">
        <f t="shared" si="17"/>
        <v>0</v>
      </c>
    </row>
    <row r="121" spans="2:31" x14ac:dyDescent="0.25">
      <c r="B121" s="162">
        <f t="shared" si="18"/>
        <v>46552</v>
      </c>
      <c r="C121" s="163">
        <f>COUNTIFS(' CADASTRO'!$S:$S,'acab equip'!$C$3,' CADASTRO'!$R:$R,'acab equip'!B121)</f>
        <v>0</v>
      </c>
      <c r="D121" s="163">
        <f>COUNTIFS(' CADASTRO'!$S:$S,'acab equip'!$D$3,' CADASTRO'!$R:$R,'acab equip'!B121)</f>
        <v>0</v>
      </c>
      <c r="E121" s="163">
        <f>COUNTIFS(' CADASTRO'!$R$746:$R$893,'acab equip'!B121,' CADASTRO'!$S$746:$S$893,'acab equip'!$D$3)+COUNTIFS(' CADASTRO'!$R$746:$R$893,'acab equip'!B121,' CADASTRO'!$S$746:$S$893,'acab equip'!$C$3)</f>
        <v>0</v>
      </c>
      <c r="F121" s="162">
        <f t="shared" si="19"/>
        <v>46553</v>
      </c>
      <c r="G121" s="163">
        <f>COUNTIFS(' CADASTRO'!$S:$S,'acab equip'!$C$3,' CADASTRO'!$R:$R,'acab equip'!F121)</f>
        <v>0</v>
      </c>
      <c r="H121" s="163">
        <f>COUNTIFS(' CADASTRO'!$S:$S,'acab equip'!$D$3,' CADASTRO'!$R:$R,'acab equip'!F121)</f>
        <v>0</v>
      </c>
      <c r="I121" s="163">
        <f>COUNTIFS(' CADASTRO'!$R$746:$R$893,'acab equip'!F121,' CADASTRO'!$S$746:$S$893,'acab equip'!$H$3)+COUNTIFS(' CADASTRO'!$R$746:$R$893,'acab equip'!F121,' CADASTRO'!$S$746:$S$893,'acab equip'!$G$3)</f>
        <v>0</v>
      </c>
      <c r="J121" s="162">
        <f t="shared" si="20"/>
        <v>46554</v>
      </c>
      <c r="K121" s="163">
        <f>COUNTIFS(' CADASTRO'!$S:$S,'acab equip'!$C$3,' CADASTRO'!$R:$R,'acab equip'!J121)</f>
        <v>0</v>
      </c>
      <c r="L121" s="163">
        <f>COUNTIFS(' CADASTRO'!$S:$S,'acab equip'!$D$3,' CADASTRO'!$R:$R,'acab equip'!J121)</f>
        <v>0</v>
      </c>
      <c r="M121" s="163">
        <f>COUNTIFS(' CADASTRO'!$R$746:$R$893,'acab equip'!J121,' CADASTRO'!$S$746:$S$893,'acab equip'!$L$3)+COUNTIFS(' CADASTRO'!$R$746:$R$893,'acab equip'!J121,' CADASTRO'!$S$746:$S$893,'acab equip'!$K$3)</f>
        <v>0</v>
      </c>
      <c r="N121" s="162">
        <f t="shared" si="21"/>
        <v>46555</v>
      </c>
      <c r="O121" s="163">
        <f>COUNTIFS(' CADASTRO'!$S:$S,'acab equip'!$C$3,' CADASTRO'!$R:$R,'acab equip'!N121)</f>
        <v>0</v>
      </c>
      <c r="P121" s="163">
        <f>COUNTIFS(' CADASTRO'!$S:$S,'acab equip'!$D$3,' CADASTRO'!$R:$R,'acab equip'!N121)</f>
        <v>0</v>
      </c>
      <c r="Q121" s="163">
        <f>COUNTIFS(' CADASTRO'!$R$746:$R$893,'acab equip'!N121,' CADASTRO'!$S$746:$S$893,'acab equip'!$P$3)+COUNTIFS(' CADASTRO'!$R$746:$R$893,'acab equip'!N121,' CADASTRO'!$S$746:$S$893,'acab equip'!$O$3)</f>
        <v>0</v>
      </c>
      <c r="R121" s="162">
        <f t="shared" si="22"/>
        <v>46556</v>
      </c>
      <c r="S121" s="163">
        <f>COUNTIFS(' CADASTRO'!$S:$S,'acab equip'!$C$3,' CADASTRO'!$R:$R,'acab equip'!R121)</f>
        <v>0</v>
      </c>
      <c r="T121" s="163">
        <f>COUNTIFS(' CADASTRO'!$S:$S,'acab equip'!$D$3,' CADASTRO'!$R:$R,'acab equip'!R121)</f>
        <v>0</v>
      </c>
      <c r="U121" s="163">
        <f>COUNTIFS(' CADASTRO'!$R$746:$R$893,'acab equip'!R121,' CADASTRO'!$S$746:$S$893,'acab equip'!$T$3)+COUNTIFS(' CADASTRO'!$R$746:$R$893,'acab equip'!R121,' CADASTRO'!$S$746:$S$893,'acab equip'!$S$3)</f>
        <v>0</v>
      </c>
      <c r="V121" s="162">
        <f t="shared" si="23"/>
        <v>46557</v>
      </c>
      <c r="W121" s="163">
        <f>COUNTIFS(' CADASTRO'!$S:$S,'acab equip'!$C$3,' CADASTRO'!$R:$R,'acab equip'!V121)</f>
        <v>0</v>
      </c>
      <c r="X121" s="163">
        <f>COUNTIFS(' CADASTRO'!$S:$S,'acab equip'!$D$3,' CADASTRO'!$R:$R,'acab equip'!V121)</f>
        <v>0</v>
      </c>
      <c r="Y121" s="163">
        <f>COUNTIFS(' CADASTRO'!$R$746:$R$893,'acab equip'!V121,' CADASTRO'!$S$746:$S$893,'acab equip'!$X$3)+COUNTIFS(' CADASTRO'!$R$746:$R$893,'acab equip'!V121,' CADASTRO'!$S$746:$S$893,'acab equip'!$W$3)</f>
        <v>0</v>
      </c>
      <c r="Z121" s="162">
        <f t="shared" si="24"/>
        <v>46558</v>
      </c>
      <c r="AB121" s="165">
        <f t="shared" si="14"/>
        <v>0</v>
      </c>
      <c r="AC121" s="165">
        <f t="shared" si="15"/>
        <v>0</v>
      </c>
      <c r="AD121" s="165">
        <f t="shared" si="16"/>
        <v>0</v>
      </c>
      <c r="AE121" s="177">
        <f t="shared" si="17"/>
        <v>0</v>
      </c>
    </row>
    <row r="122" spans="2:31" x14ac:dyDescent="0.25">
      <c r="B122" s="162">
        <f t="shared" si="18"/>
        <v>46559</v>
      </c>
      <c r="C122" s="163">
        <f>COUNTIFS(' CADASTRO'!$S:$S,'acab equip'!$C$3,' CADASTRO'!$R:$R,'acab equip'!B122)</f>
        <v>0</v>
      </c>
      <c r="D122" s="163">
        <f>COUNTIFS(' CADASTRO'!$S:$S,'acab equip'!$D$3,' CADASTRO'!$R:$R,'acab equip'!B122)</f>
        <v>0</v>
      </c>
      <c r="E122" s="163">
        <f>COUNTIFS(' CADASTRO'!$R$746:$R$893,'acab equip'!B122,' CADASTRO'!$S$746:$S$893,'acab equip'!$D$3)+COUNTIFS(' CADASTRO'!$R$746:$R$893,'acab equip'!B122,' CADASTRO'!$S$746:$S$893,'acab equip'!$C$3)</f>
        <v>0</v>
      </c>
      <c r="F122" s="162">
        <f t="shared" si="19"/>
        <v>46560</v>
      </c>
      <c r="G122" s="163">
        <f>COUNTIFS(' CADASTRO'!$S:$S,'acab equip'!$C$3,' CADASTRO'!$R:$R,'acab equip'!F122)</f>
        <v>0</v>
      </c>
      <c r="H122" s="163">
        <f>COUNTIFS(' CADASTRO'!$S:$S,'acab equip'!$D$3,' CADASTRO'!$R:$R,'acab equip'!F122)</f>
        <v>0</v>
      </c>
      <c r="I122" s="163">
        <f>COUNTIFS(' CADASTRO'!$R$746:$R$893,'acab equip'!F122,' CADASTRO'!$S$746:$S$893,'acab equip'!$H$3)+COUNTIFS(' CADASTRO'!$R$746:$R$893,'acab equip'!F122,' CADASTRO'!$S$746:$S$893,'acab equip'!$G$3)</f>
        <v>0</v>
      </c>
      <c r="J122" s="162">
        <f t="shared" si="20"/>
        <v>46561</v>
      </c>
      <c r="K122" s="163">
        <f>COUNTIFS(' CADASTRO'!$S:$S,'acab equip'!$C$3,' CADASTRO'!$R:$R,'acab equip'!J122)</f>
        <v>0</v>
      </c>
      <c r="L122" s="163">
        <f>COUNTIFS(' CADASTRO'!$S:$S,'acab equip'!$D$3,' CADASTRO'!$R:$R,'acab equip'!J122)</f>
        <v>0</v>
      </c>
      <c r="M122" s="163">
        <f>COUNTIFS(' CADASTRO'!$R$746:$R$893,'acab equip'!J122,' CADASTRO'!$S$746:$S$893,'acab equip'!$L$3)+COUNTIFS(' CADASTRO'!$R$746:$R$893,'acab equip'!J122,' CADASTRO'!$S$746:$S$893,'acab equip'!$K$3)</f>
        <v>0</v>
      </c>
      <c r="N122" s="162">
        <f t="shared" si="21"/>
        <v>46562</v>
      </c>
      <c r="O122" s="163">
        <f>COUNTIFS(' CADASTRO'!$S:$S,'acab equip'!$C$3,' CADASTRO'!$R:$R,'acab equip'!N122)</f>
        <v>0</v>
      </c>
      <c r="P122" s="163">
        <f>COUNTIFS(' CADASTRO'!$S:$S,'acab equip'!$D$3,' CADASTRO'!$R:$R,'acab equip'!N122)</f>
        <v>0</v>
      </c>
      <c r="Q122" s="163">
        <f>COUNTIFS(' CADASTRO'!$R$746:$R$893,'acab equip'!N122,' CADASTRO'!$S$746:$S$893,'acab equip'!$P$3)+COUNTIFS(' CADASTRO'!$R$746:$R$893,'acab equip'!N122,' CADASTRO'!$S$746:$S$893,'acab equip'!$O$3)</f>
        <v>0</v>
      </c>
      <c r="R122" s="162">
        <f t="shared" si="22"/>
        <v>46563</v>
      </c>
      <c r="S122" s="163">
        <f>COUNTIFS(' CADASTRO'!$S:$S,'acab equip'!$C$3,' CADASTRO'!$R:$R,'acab equip'!R122)</f>
        <v>0</v>
      </c>
      <c r="T122" s="163">
        <f>COUNTIFS(' CADASTRO'!$S:$S,'acab equip'!$D$3,' CADASTRO'!$R:$R,'acab equip'!R122)</f>
        <v>0</v>
      </c>
      <c r="U122" s="163">
        <f>COUNTIFS(' CADASTRO'!$R$746:$R$893,'acab equip'!R122,' CADASTRO'!$S$746:$S$893,'acab equip'!$T$3)+COUNTIFS(' CADASTRO'!$R$746:$R$893,'acab equip'!R122,' CADASTRO'!$S$746:$S$893,'acab equip'!$S$3)</f>
        <v>0</v>
      </c>
      <c r="V122" s="162">
        <f t="shared" si="23"/>
        <v>46564</v>
      </c>
      <c r="W122" s="163">
        <f>COUNTIFS(' CADASTRO'!$S:$S,'acab equip'!$C$3,' CADASTRO'!$R:$R,'acab equip'!V122)</f>
        <v>0</v>
      </c>
      <c r="X122" s="163">
        <f>COUNTIFS(' CADASTRO'!$S:$S,'acab equip'!$D$3,' CADASTRO'!$R:$R,'acab equip'!V122)</f>
        <v>0</v>
      </c>
      <c r="Y122" s="163">
        <f>COUNTIFS(' CADASTRO'!$R$746:$R$893,'acab equip'!V122,' CADASTRO'!$S$746:$S$893,'acab equip'!$X$3)+COUNTIFS(' CADASTRO'!$R$746:$R$893,'acab equip'!V122,' CADASTRO'!$S$746:$S$893,'acab equip'!$W$3)</f>
        <v>0</v>
      </c>
      <c r="Z122" s="162">
        <f t="shared" si="24"/>
        <v>46565</v>
      </c>
      <c r="AB122" s="165">
        <f t="shared" si="14"/>
        <v>0</v>
      </c>
      <c r="AC122" s="165">
        <f t="shared" si="15"/>
        <v>0</v>
      </c>
      <c r="AD122" s="165">
        <f t="shared" si="16"/>
        <v>0</v>
      </c>
      <c r="AE122" s="177">
        <f t="shared" si="17"/>
        <v>0</v>
      </c>
    </row>
    <row r="123" spans="2:31" x14ac:dyDescent="0.25">
      <c r="B123" s="162">
        <f t="shared" si="18"/>
        <v>46566</v>
      </c>
      <c r="C123" s="163">
        <f>COUNTIFS(' CADASTRO'!$S:$S,'acab equip'!$C$3,' CADASTRO'!$R:$R,'acab equip'!B123)</f>
        <v>0</v>
      </c>
      <c r="D123" s="163">
        <f>COUNTIFS(' CADASTRO'!$S:$S,'acab equip'!$D$3,' CADASTRO'!$R:$R,'acab equip'!B123)</f>
        <v>0</v>
      </c>
      <c r="E123" s="163">
        <f>COUNTIFS(' CADASTRO'!$R$746:$R$893,'acab equip'!B123,' CADASTRO'!$S$746:$S$893,'acab equip'!$D$3)+COUNTIFS(' CADASTRO'!$R$746:$R$893,'acab equip'!B123,' CADASTRO'!$S$746:$S$893,'acab equip'!$C$3)</f>
        <v>0</v>
      </c>
      <c r="F123" s="162">
        <f t="shared" si="19"/>
        <v>46567</v>
      </c>
      <c r="G123" s="163">
        <f>COUNTIFS(' CADASTRO'!$S:$S,'acab equip'!$C$3,' CADASTRO'!$R:$R,'acab equip'!F123)</f>
        <v>0</v>
      </c>
      <c r="H123" s="163">
        <f>COUNTIFS(' CADASTRO'!$S:$S,'acab equip'!$D$3,' CADASTRO'!$R:$R,'acab equip'!F123)</f>
        <v>0</v>
      </c>
      <c r="I123" s="163">
        <f>COUNTIFS(' CADASTRO'!$R$746:$R$893,'acab equip'!F123,' CADASTRO'!$S$746:$S$893,'acab equip'!$H$3)+COUNTIFS(' CADASTRO'!$R$746:$R$893,'acab equip'!F123,' CADASTRO'!$S$746:$S$893,'acab equip'!$G$3)</f>
        <v>0</v>
      </c>
      <c r="J123" s="162">
        <f t="shared" si="20"/>
        <v>46568</v>
      </c>
      <c r="K123" s="163">
        <f>COUNTIFS(' CADASTRO'!$S:$S,'acab equip'!$C$3,' CADASTRO'!$R:$R,'acab equip'!J123)</f>
        <v>0</v>
      </c>
      <c r="L123" s="163">
        <f>COUNTIFS(' CADASTRO'!$S:$S,'acab equip'!$D$3,' CADASTRO'!$R:$R,'acab equip'!J123)</f>
        <v>0</v>
      </c>
      <c r="M123" s="163">
        <f>COUNTIFS(' CADASTRO'!$R$746:$R$893,'acab equip'!J123,' CADASTRO'!$S$746:$S$893,'acab equip'!$L$3)+COUNTIFS(' CADASTRO'!$R$746:$R$893,'acab equip'!J123,' CADASTRO'!$S$746:$S$893,'acab equip'!$K$3)</f>
        <v>0</v>
      </c>
      <c r="N123" s="162">
        <f t="shared" si="21"/>
        <v>46569</v>
      </c>
      <c r="O123" s="163">
        <f>COUNTIFS(' CADASTRO'!$S:$S,'acab equip'!$C$3,' CADASTRO'!$R:$R,'acab equip'!N123)</f>
        <v>0</v>
      </c>
      <c r="P123" s="163">
        <f>COUNTIFS(' CADASTRO'!$S:$S,'acab equip'!$D$3,' CADASTRO'!$R:$R,'acab equip'!N123)</f>
        <v>0</v>
      </c>
      <c r="Q123" s="163">
        <f>COUNTIFS(' CADASTRO'!$R$746:$R$893,'acab equip'!N123,' CADASTRO'!$S$746:$S$893,'acab equip'!$P$3)+COUNTIFS(' CADASTRO'!$R$746:$R$893,'acab equip'!N123,' CADASTRO'!$S$746:$S$893,'acab equip'!$O$3)</f>
        <v>0</v>
      </c>
      <c r="R123" s="162">
        <f t="shared" si="22"/>
        <v>46570</v>
      </c>
      <c r="S123" s="163">
        <f>COUNTIFS(' CADASTRO'!$S:$S,'acab equip'!$C$3,' CADASTRO'!$R:$R,'acab equip'!R123)</f>
        <v>0</v>
      </c>
      <c r="T123" s="163">
        <f>COUNTIFS(' CADASTRO'!$S:$S,'acab equip'!$D$3,' CADASTRO'!$R:$R,'acab equip'!R123)</f>
        <v>0</v>
      </c>
      <c r="U123" s="163">
        <f>COUNTIFS(' CADASTRO'!$R$746:$R$893,'acab equip'!R123,' CADASTRO'!$S$746:$S$893,'acab equip'!$T$3)+COUNTIFS(' CADASTRO'!$R$746:$R$893,'acab equip'!R123,' CADASTRO'!$S$746:$S$893,'acab equip'!$S$3)</f>
        <v>0</v>
      </c>
      <c r="V123" s="162">
        <f t="shared" si="23"/>
        <v>46571</v>
      </c>
      <c r="W123" s="163">
        <f>COUNTIFS(' CADASTRO'!$S:$S,'acab equip'!$C$3,' CADASTRO'!$R:$R,'acab equip'!V123)</f>
        <v>0</v>
      </c>
      <c r="X123" s="163">
        <f>COUNTIFS(' CADASTRO'!$S:$S,'acab equip'!$D$3,' CADASTRO'!$R:$R,'acab equip'!V123)</f>
        <v>0</v>
      </c>
      <c r="Y123" s="163">
        <f>COUNTIFS(' CADASTRO'!$R$746:$R$893,'acab equip'!V123,' CADASTRO'!$S$746:$S$893,'acab equip'!$X$3)+COUNTIFS(' CADASTRO'!$R$746:$R$893,'acab equip'!V123,' CADASTRO'!$S$746:$S$893,'acab equip'!$W$3)</f>
        <v>0</v>
      </c>
      <c r="Z123" s="162">
        <f t="shared" si="24"/>
        <v>46572</v>
      </c>
      <c r="AB123" s="165">
        <f t="shared" si="14"/>
        <v>0</v>
      </c>
      <c r="AC123" s="165">
        <f t="shared" si="15"/>
        <v>0</v>
      </c>
      <c r="AD123" s="165">
        <f t="shared" si="16"/>
        <v>0</v>
      </c>
      <c r="AE123" s="177">
        <f t="shared" si="17"/>
        <v>0</v>
      </c>
    </row>
    <row r="124" spans="2:31" x14ac:dyDescent="0.25">
      <c r="B124" s="162">
        <f t="shared" si="18"/>
        <v>46573</v>
      </c>
      <c r="C124" s="163">
        <f>COUNTIFS(' CADASTRO'!$S:$S,'acab equip'!$C$3,' CADASTRO'!$R:$R,'acab equip'!B124)</f>
        <v>0</v>
      </c>
      <c r="D124" s="163">
        <f>COUNTIFS(' CADASTRO'!$S:$S,'acab equip'!$D$3,' CADASTRO'!$R:$R,'acab equip'!B124)</f>
        <v>0</v>
      </c>
      <c r="E124" s="163">
        <f>COUNTIFS(' CADASTRO'!$R$746:$R$893,'acab equip'!B124,' CADASTRO'!$S$746:$S$893,'acab equip'!$D$3)+COUNTIFS(' CADASTRO'!$R$746:$R$893,'acab equip'!B124,' CADASTRO'!$S$746:$S$893,'acab equip'!$C$3)</f>
        <v>0</v>
      </c>
      <c r="F124" s="162">
        <f t="shared" si="19"/>
        <v>46574</v>
      </c>
      <c r="G124" s="163">
        <f>COUNTIFS(' CADASTRO'!$S:$S,'acab equip'!$C$3,' CADASTRO'!$R:$R,'acab equip'!F124)</f>
        <v>0</v>
      </c>
      <c r="H124" s="163">
        <f>COUNTIFS(' CADASTRO'!$S:$S,'acab equip'!$D$3,' CADASTRO'!$R:$R,'acab equip'!F124)</f>
        <v>0</v>
      </c>
      <c r="I124" s="163">
        <f>COUNTIFS(' CADASTRO'!$R$746:$R$893,'acab equip'!F124,' CADASTRO'!$S$746:$S$893,'acab equip'!$H$3)+COUNTIFS(' CADASTRO'!$R$746:$R$893,'acab equip'!F124,' CADASTRO'!$S$746:$S$893,'acab equip'!$G$3)</f>
        <v>0</v>
      </c>
      <c r="J124" s="162">
        <f t="shared" si="20"/>
        <v>46575</v>
      </c>
      <c r="K124" s="163">
        <f>COUNTIFS(' CADASTRO'!$S:$S,'acab equip'!$C$3,' CADASTRO'!$R:$R,'acab equip'!J124)</f>
        <v>0</v>
      </c>
      <c r="L124" s="163">
        <f>COUNTIFS(' CADASTRO'!$S:$S,'acab equip'!$D$3,' CADASTRO'!$R:$R,'acab equip'!J124)</f>
        <v>0</v>
      </c>
      <c r="M124" s="163">
        <f>COUNTIFS(' CADASTRO'!$R$746:$R$893,'acab equip'!J124,' CADASTRO'!$S$746:$S$893,'acab equip'!$L$3)+COUNTIFS(' CADASTRO'!$R$746:$R$893,'acab equip'!J124,' CADASTRO'!$S$746:$S$893,'acab equip'!$K$3)</f>
        <v>0</v>
      </c>
      <c r="N124" s="162">
        <f t="shared" si="21"/>
        <v>46576</v>
      </c>
      <c r="O124" s="163">
        <f>COUNTIFS(' CADASTRO'!$S:$S,'acab equip'!$C$3,' CADASTRO'!$R:$R,'acab equip'!N124)</f>
        <v>0</v>
      </c>
      <c r="P124" s="163">
        <f>COUNTIFS(' CADASTRO'!$S:$S,'acab equip'!$D$3,' CADASTRO'!$R:$R,'acab equip'!N124)</f>
        <v>0</v>
      </c>
      <c r="Q124" s="163">
        <f>COUNTIFS(' CADASTRO'!$R$746:$R$893,'acab equip'!N124,' CADASTRO'!$S$746:$S$893,'acab equip'!$P$3)+COUNTIFS(' CADASTRO'!$R$746:$R$893,'acab equip'!N124,' CADASTRO'!$S$746:$S$893,'acab equip'!$O$3)</f>
        <v>0</v>
      </c>
      <c r="R124" s="162">
        <f t="shared" si="22"/>
        <v>46577</v>
      </c>
      <c r="S124" s="163">
        <f>COUNTIFS(' CADASTRO'!$S:$S,'acab equip'!$C$3,' CADASTRO'!$R:$R,'acab equip'!R124)</f>
        <v>0</v>
      </c>
      <c r="T124" s="163">
        <f>COUNTIFS(' CADASTRO'!$S:$S,'acab equip'!$D$3,' CADASTRO'!$R:$R,'acab equip'!R124)</f>
        <v>0</v>
      </c>
      <c r="U124" s="163">
        <f>COUNTIFS(' CADASTRO'!$R$746:$R$893,'acab equip'!R124,' CADASTRO'!$S$746:$S$893,'acab equip'!$T$3)+COUNTIFS(' CADASTRO'!$R$746:$R$893,'acab equip'!R124,' CADASTRO'!$S$746:$S$893,'acab equip'!$S$3)</f>
        <v>0</v>
      </c>
      <c r="V124" s="162">
        <f t="shared" si="23"/>
        <v>46578</v>
      </c>
      <c r="W124" s="163">
        <f>COUNTIFS(' CADASTRO'!$S:$S,'acab equip'!$C$3,' CADASTRO'!$R:$R,'acab equip'!V124)</f>
        <v>0</v>
      </c>
      <c r="X124" s="163">
        <f>COUNTIFS(' CADASTRO'!$S:$S,'acab equip'!$D$3,' CADASTRO'!$R:$R,'acab equip'!V124)</f>
        <v>0</v>
      </c>
      <c r="Y124" s="163">
        <f>COUNTIFS(' CADASTRO'!$R$746:$R$893,'acab equip'!V124,' CADASTRO'!$S$746:$S$893,'acab equip'!$X$3)+COUNTIFS(' CADASTRO'!$R$746:$R$893,'acab equip'!V124,' CADASTRO'!$S$746:$S$893,'acab equip'!$W$3)</f>
        <v>0</v>
      </c>
      <c r="Z124" s="162">
        <f t="shared" si="24"/>
        <v>46579</v>
      </c>
      <c r="AB124" s="165">
        <f t="shared" si="14"/>
        <v>0</v>
      </c>
      <c r="AC124" s="165">
        <f t="shared" si="15"/>
        <v>0</v>
      </c>
      <c r="AD124" s="165">
        <f t="shared" si="16"/>
        <v>0</v>
      </c>
      <c r="AE124" s="177">
        <f t="shared" si="17"/>
        <v>0</v>
      </c>
    </row>
    <row r="125" spans="2:31" x14ac:dyDescent="0.25">
      <c r="B125" s="162">
        <f t="shared" si="18"/>
        <v>46580</v>
      </c>
      <c r="C125" s="163">
        <f>COUNTIFS(' CADASTRO'!$S:$S,'acab equip'!$C$3,' CADASTRO'!$R:$R,'acab equip'!B125)</f>
        <v>0</v>
      </c>
      <c r="D125" s="163">
        <f>COUNTIFS(' CADASTRO'!$S:$S,'acab equip'!$D$3,' CADASTRO'!$R:$R,'acab equip'!B125)</f>
        <v>0</v>
      </c>
      <c r="E125" s="163">
        <f>COUNTIFS(' CADASTRO'!$R$746:$R$893,'acab equip'!B125,' CADASTRO'!$S$746:$S$893,'acab equip'!$D$3)+COUNTIFS(' CADASTRO'!$R$746:$R$893,'acab equip'!B125,' CADASTRO'!$S$746:$S$893,'acab equip'!$C$3)</f>
        <v>0</v>
      </c>
      <c r="F125" s="162">
        <f t="shared" si="19"/>
        <v>46581</v>
      </c>
      <c r="G125" s="163">
        <f>COUNTIFS(' CADASTRO'!$S:$S,'acab equip'!$C$3,' CADASTRO'!$R:$R,'acab equip'!F125)</f>
        <v>0</v>
      </c>
      <c r="H125" s="163">
        <f>COUNTIFS(' CADASTRO'!$S:$S,'acab equip'!$D$3,' CADASTRO'!$R:$R,'acab equip'!F125)</f>
        <v>0</v>
      </c>
      <c r="I125" s="163">
        <f>COUNTIFS(' CADASTRO'!$R$746:$R$893,'acab equip'!F125,' CADASTRO'!$S$746:$S$893,'acab equip'!$H$3)+COUNTIFS(' CADASTRO'!$R$746:$R$893,'acab equip'!F125,' CADASTRO'!$S$746:$S$893,'acab equip'!$G$3)</f>
        <v>0</v>
      </c>
      <c r="J125" s="162">
        <f t="shared" si="20"/>
        <v>46582</v>
      </c>
      <c r="K125" s="163">
        <f>COUNTIFS(' CADASTRO'!$S:$S,'acab equip'!$C$3,' CADASTRO'!$R:$R,'acab equip'!J125)</f>
        <v>0</v>
      </c>
      <c r="L125" s="163">
        <f>COUNTIFS(' CADASTRO'!$S:$S,'acab equip'!$D$3,' CADASTRO'!$R:$R,'acab equip'!J125)</f>
        <v>0</v>
      </c>
      <c r="M125" s="163">
        <f>COUNTIFS(' CADASTRO'!$R$746:$R$893,'acab equip'!J125,' CADASTRO'!$S$746:$S$893,'acab equip'!$L$3)+COUNTIFS(' CADASTRO'!$R$746:$R$893,'acab equip'!J125,' CADASTRO'!$S$746:$S$893,'acab equip'!$K$3)</f>
        <v>0</v>
      </c>
      <c r="N125" s="162">
        <f t="shared" si="21"/>
        <v>46583</v>
      </c>
      <c r="O125" s="163">
        <f>COUNTIFS(' CADASTRO'!$S:$S,'acab equip'!$C$3,' CADASTRO'!$R:$R,'acab equip'!N125)</f>
        <v>0</v>
      </c>
      <c r="P125" s="163">
        <f>COUNTIFS(' CADASTRO'!$S:$S,'acab equip'!$D$3,' CADASTRO'!$R:$R,'acab equip'!N125)</f>
        <v>0</v>
      </c>
      <c r="Q125" s="163">
        <f>COUNTIFS(' CADASTRO'!$R$746:$R$893,'acab equip'!N125,' CADASTRO'!$S$746:$S$893,'acab equip'!$P$3)+COUNTIFS(' CADASTRO'!$R$746:$R$893,'acab equip'!N125,' CADASTRO'!$S$746:$S$893,'acab equip'!$O$3)</f>
        <v>0</v>
      </c>
      <c r="R125" s="162">
        <f t="shared" si="22"/>
        <v>46584</v>
      </c>
      <c r="S125" s="163">
        <f>COUNTIFS(' CADASTRO'!$S:$S,'acab equip'!$C$3,' CADASTRO'!$R:$R,'acab equip'!R125)</f>
        <v>0</v>
      </c>
      <c r="T125" s="163">
        <f>COUNTIFS(' CADASTRO'!$S:$S,'acab equip'!$D$3,' CADASTRO'!$R:$R,'acab equip'!R125)</f>
        <v>0</v>
      </c>
      <c r="U125" s="163">
        <f>COUNTIFS(' CADASTRO'!$R$746:$R$893,'acab equip'!R125,' CADASTRO'!$S$746:$S$893,'acab equip'!$T$3)+COUNTIFS(' CADASTRO'!$R$746:$R$893,'acab equip'!R125,' CADASTRO'!$S$746:$S$893,'acab equip'!$S$3)</f>
        <v>0</v>
      </c>
      <c r="V125" s="162">
        <f t="shared" si="23"/>
        <v>46585</v>
      </c>
      <c r="W125" s="163">
        <f>COUNTIFS(' CADASTRO'!$S:$S,'acab equip'!$C$3,' CADASTRO'!$R:$R,'acab equip'!V125)</f>
        <v>0</v>
      </c>
      <c r="X125" s="163">
        <f>COUNTIFS(' CADASTRO'!$S:$S,'acab equip'!$D$3,' CADASTRO'!$R:$R,'acab equip'!V125)</f>
        <v>0</v>
      </c>
      <c r="Y125" s="163">
        <f>COUNTIFS(' CADASTRO'!$R$746:$R$893,'acab equip'!V125,' CADASTRO'!$S$746:$S$893,'acab equip'!$X$3)+COUNTIFS(' CADASTRO'!$R$746:$R$893,'acab equip'!V125,' CADASTRO'!$S$746:$S$893,'acab equip'!$W$3)</f>
        <v>0</v>
      </c>
      <c r="Z125" s="162">
        <f t="shared" si="24"/>
        <v>46586</v>
      </c>
      <c r="AB125" s="165">
        <f t="shared" si="14"/>
        <v>0</v>
      </c>
      <c r="AC125" s="165">
        <f t="shared" si="15"/>
        <v>0</v>
      </c>
      <c r="AD125" s="165">
        <f t="shared" si="16"/>
        <v>0</v>
      </c>
      <c r="AE125" s="177">
        <f t="shared" si="17"/>
        <v>0</v>
      </c>
    </row>
    <row r="126" spans="2:31" x14ac:dyDescent="0.25">
      <c r="B126" s="162">
        <f t="shared" si="18"/>
        <v>46587</v>
      </c>
      <c r="C126" s="163">
        <f>COUNTIFS(' CADASTRO'!$S:$S,'acab equip'!$C$3,' CADASTRO'!$R:$R,'acab equip'!B126)</f>
        <v>0</v>
      </c>
      <c r="D126" s="163">
        <f>COUNTIFS(' CADASTRO'!$S:$S,'acab equip'!$D$3,' CADASTRO'!$R:$R,'acab equip'!B126)</f>
        <v>0</v>
      </c>
      <c r="E126" s="163">
        <f>COUNTIFS(' CADASTRO'!$R$746:$R$893,'acab equip'!B126,' CADASTRO'!$S$746:$S$893,'acab equip'!$D$3)+COUNTIFS(' CADASTRO'!$R$746:$R$893,'acab equip'!B126,' CADASTRO'!$S$746:$S$893,'acab equip'!$C$3)</f>
        <v>0</v>
      </c>
      <c r="F126" s="162">
        <f t="shared" si="19"/>
        <v>46588</v>
      </c>
      <c r="G126" s="163">
        <f>COUNTIFS(' CADASTRO'!$S:$S,'acab equip'!$C$3,' CADASTRO'!$R:$R,'acab equip'!F126)</f>
        <v>0</v>
      </c>
      <c r="H126" s="163">
        <f>COUNTIFS(' CADASTRO'!$S:$S,'acab equip'!$D$3,' CADASTRO'!$R:$R,'acab equip'!F126)</f>
        <v>0</v>
      </c>
      <c r="I126" s="163">
        <f>COUNTIFS(' CADASTRO'!$R$746:$R$893,'acab equip'!F126,' CADASTRO'!$S$746:$S$893,'acab equip'!$H$3)+COUNTIFS(' CADASTRO'!$R$746:$R$893,'acab equip'!F126,' CADASTRO'!$S$746:$S$893,'acab equip'!$G$3)</f>
        <v>0</v>
      </c>
      <c r="J126" s="162">
        <f t="shared" si="20"/>
        <v>46589</v>
      </c>
      <c r="K126" s="163">
        <f>COUNTIFS(' CADASTRO'!$S:$S,'acab equip'!$C$3,' CADASTRO'!$R:$R,'acab equip'!J126)</f>
        <v>0</v>
      </c>
      <c r="L126" s="163">
        <f>COUNTIFS(' CADASTRO'!$S:$S,'acab equip'!$D$3,' CADASTRO'!$R:$R,'acab equip'!J126)</f>
        <v>0</v>
      </c>
      <c r="M126" s="163">
        <f>COUNTIFS(' CADASTRO'!$R$746:$R$893,'acab equip'!J126,' CADASTRO'!$S$746:$S$893,'acab equip'!$L$3)+COUNTIFS(' CADASTRO'!$R$746:$R$893,'acab equip'!J126,' CADASTRO'!$S$746:$S$893,'acab equip'!$K$3)</f>
        <v>0</v>
      </c>
      <c r="N126" s="162">
        <f t="shared" si="21"/>
        <v>46590</v>
      </c>
      <c r="O126" s="163">
        <f>COUNTIFS(' CADASTRO'!$S:$S,'acab equip'!$C$3,' CADASTRO'!$R:$R,'acab equip'!N126)</f>
        <v>0</v>
      </c>
      <c r="P126" s="163">
        <f>COUNTIFS(' CADASTRO'!$S:$S,'acab equip'!$D$3,' CADASTRO'!$R:$R,'acab equip'!N126)</f>
        <v>0</v>
      </c>
      <c r="Q126" s="163">
        <f>COUNTIFS(' CADASTRO'!$R$746:$R$893,'acab equip'!N126,' CADASTRO'!$S$746:$S$893,'acab equip'!$P$3)+COUNTIFS(' CADASTRO'!$R$746:$R$893,'acab equip'!N126,' CADASTRO'!$S$746:$S$893,'acab equip'!$O$3)</f>
        <v>0</v>
      </c>
      <c r="R126" s="162">
        <f t="shared" si="22"/>
        <v>46591</v>
      </c>
      <c r="S126" s="163">
        <f>COUNTIFS(' CADASTRO'!$S:$S,'acab equip'!$C$3,' CADASTRO'!$R:$R,'acab equip'!R126)</f>
        <v>0</v>
      </c>
      <c r="T126" s="163">
        <f>COUNTIFS(' CADASTRO'!$S:$S,'acab equip'!$D$3,' CADASTRO'!$R:$R,'acab equip'!R126)</f>
        <v>0</v>
      </c>
      <c r="U126" s="163">
        <f>COUNTIFS(' CADASTRO'!$R$746:$R$893,'acab equip'!R126,' CADASTRO'!$S$746:$S$893,'acab equip'!$T$3)+COUNTIFS(' CADASTRO'!$R$746:$R$893,'acab equip'!R126,' CADASTRO'!$S$746:$S$893,'acab equip'!$S$3)</f>
        <v>0</v>
      </c>
      <c r="V126" s="162">
        <f t="shared" si="23"/>
        <v>46592</v>
      </c>
      <c r="W126" s="163">
        <f>COUNTIFS(' CADASTRO'!$S:$S,'acab equip'!$C$3,' CADASTRO'!$R:$R,'acab equip'!V126)</f>
        <v>0</v>
      </c>
      <c r="X126" s="163">
        <f>COUNTIFS(' CADASTRO'!$S:$S,'acab equip'!$D$3,' CADASTRO'!$R:$R,'acab equip'!V126)</f>
        <v>0</v>
      </c>
      <c r="Y126" s="163">
        <f>COUNTIFS(' CADASTRO'!$R$746:$R$893,'acab equip'!V126,' CADASTRO'!$S$746:$S$893,'acab equip'!$X$3)+COUNTIFS(' CADASTRO'!$R$746:$R$893,'acab equip'!V126,' CADASTRO'!$S$746:$S$893,'acab equip'!$W$3)</f>
        <v>0</v>
      </c>
      <c r="Z126" s="162">
        <f t="shared" si="24"/>
        <v>46593</v>
      </c>
      <c r="AB126" s="165">
        <f t="shared" si="14"/>
        <v>0</v>
      </c>
      <c r="AC126" s="165">
        <f t="shared" si="15"/>
        <v>0</v>
      </c>
      <c r="AD126" s="165">
        <f t="shared" si="16"/>
        <v>0</v>
      </c>
      <c r="AE126" s="177">
        <f t="shared" si="17"/>
        <v>0</v>
      </c>
    </row>
    <row r="127" spans="2:31" x14ac:dyDescent="0.25">
      <c r="B127" s="162">
        <f t="shared" si="18"/>
        <v>46594</v>
      </c>
      <c r="C127" s="163">
        <f>COUNTIFS(' CADASTRO'!$S:$S,'acab equip'!$C$3,' CADASTRO'!$R:$R,'acab equip'!B127)</f>
        <v>0</v>
      </c>
      <c r="D127" s="163">
        <f>COUNTIFS(' CADASTRO'!$S:$S,'acab equip'!$D$3,' CADASTRO'!$R:$R,'acab equip'!B127)</f>
        <v>0</v>
      </c>
      <c r="E127" s="163">
        <f>COUNTIFS(' CADASTRO'!$R$746:$R$893,'acab equip'!B127,' CADASTRO'!$S$746:$S$893,'acab equip'!$D$3)+COUNTIFS(' CADASTRO'!$R$746:$R$893,'acab equip'!B127,' CADASTRO'!$S$746:$S$893,'acab equip'!$C$3)</f>
        <v>0</v>
      </c>
      <c r="F127" s="162">
        <f t="shared" si="19"/>
        <v>46595</v>
      </c>
      <c r="G127" s="163">
        <f>COUNTIFS(' CADASTRO'!$S:$S,'acab equip'!$C$3,' CADASTRO'!$R:$R,'acab equip'!F127)</f>
        <v>0</v>
      </c>
      <c r="H127" s="163">
        <f>COUNTIFS(' CADASTRO'!$S:$S,'acab equip'!$D$3,' CADASTRO'!$R:$R,'acab equip'!F127)</f>
        <v>0</v>
      </c>
      <c r="I127" s="163">
        <f>COUNTIFS(' CADASTRO'!$R$746:$R$893,'acab equip'!F127,' CADASTRO'!$S$746:$S$893,'acab equip'!$H$3)+COUNTIFS(' CADASTRO'!$R$746:$R$893,'acab equip'!F127,' CADASTRO'!$S$746:$S$893,'acab equip'!$G$3)</f>
        <v>0</v>
      </c>
      <c r="J127" s="162">
        <f t="shared" si="20"/>
        <v>46596</v>
      </c>
      <c r="K127" s="163">
        <f>COUNTIFS(' CADASTRO'!$S:$S,'acab equip'!$C$3,' CADASTRO'!$R:$R,'acab equip'!J127)</f>
        <v>0</v>
      </c>
      <c r="L127" s="163">
        <f>COUNTIFS(' CADASTRO'!$S:$S,'acab equip'!$D$3,' CADASTRO'!$R:$R,'acab equip'!J127)</f>
        <v>0</v>
      </c>
      <c r="M127" s="163">
        <f>COUNTIFS(' CADASTRO'!$R$746:$R$893,'acab equip'!J127,' CADASTRO'!$S$746:$S$893,'acab equip'!$L$3)+COUNTIFS(' CADASTRO'!$R$746:$R$893,'acab equip'!J127,' CADASTRO'!$S$746:$S$893,'acab equip'!$K$3)</f>
        <v>0</v>
      </c>
      <c r="N127" s="162">
        <f t="shared" si="21"/>
        <v>46597</v>
      </c>
      <c r="O127" s="163">
        <f>COUNTIFS(' CADASTRO'!$S:$S,'acab equip'!$C$3,' CADASTRO'!$R:$R,'acab equip'!N127)</f>
        <v>0</v>
      </c>
      <c r="P127" s="163">
        <f>COUNTIFS(' CADASTRO'!$S:$S,'acab equip'!$D$3,' CADASTRO'!$R:$R,'acab equip'!N127)</f>
        <v>0</v>
      </c>
      <c r="Q127" s="163">
        <f>COUNTIFS(' CADASTRO'!$R$746:$R$893,'acab equip'!N127,' CADASTRO'!$S$746:$S$893,'acab equip'!$P$3)+COUNTIFS(' CADASTRO'!$R$746:$R$893,'acab equip'!N127,' CADASTRO'!$S$746:$S$893,'acab equip'!$O$3)</f>
        <v>0</v>
      </c>
      <c r="R127" s="162">
        <f t="shared" si="22"/>
        <v>46598</v>
      </c>
      <c r="S127" s="163">
        <f>COUNTIFS(' CADASTRO'!$S:$S,'acab equip'!$C$3,' CADASTRO'!$R:$R,'acab equip'!R127)</f>
        <v>0</v>
      </c>
      <c r="T127" s="163">
        <f>COUNTIFS(' CADASTRO'!$S:$S,'acab equip'!$D$3,' CADASTRO'!$R:$R,'acab equip'!R127)</f>
        <v>0</v>
      </c>
      <c r="U127" s="163">
        <f>COUNTIFS(' CADASTRO'!$R$746:$R$893,'acab equip'!R127,' CADASTRO'!$S$746:$S$893,'acab equip'!$T$3)+COUNTIFS(' CADASTRO'!$R$746:$R$893,'acab equip'!R127,' CADASTRO'!$S$746:$S$893,'acab equip'!$S$3)</f>
        <v>0</v>
      </c>
      <c r="V127" s="162">
        <f t="shared" si="23"/>
        <v>46599</v>
      </c>
      <c r="W127" s="163">
        <f>COUNTIFS(' CADASTRO'!$S:$S,'acab equip'!$C$3,' CADASTRO'!$R:$R,'acab equip'!V127)</f>
        <v>0</v>
      </c>
      <c r="X127" s="163">
        <f>COUNTIFS(' CADASTRO'!$S:$S,'acab equip'!$D$3,' CADASTRO'!$R:$R,'acab equip'!V127)</f>
        <v>0</v>
      </c>
      <c r="Y127" s="163">
        <f>COUNTIFS(' CADASTRO'!$R$746:$R$893,'acab equip'!V127,' CADASTRO'!$S$746:$S$893,'acab equip'!$X$3)+COUNTIFS(' CADASTRO'!$R$746:$R$893,'acab equip'!V127,' CADASTRO'!$S$746:$S$893,'acab equip'!$W$3)</f>
        <v>0</v>
      </c>
      <c r="Z127" s="162">
        <f t="shared" si="24"/>
        <v>46600</v>
      </c>
      <c r="AB127" s="165">
        <f t="shared" si="14"/>
        <v>0</v>
      </c>
      <c r="AC127" s="165">
        <f t="shared" si="15"/>
        <v>0</v>
      </c>
      <c r="AD127" s="165">
        <f t="shared" si="16"/>
        <v>0</v>
      </c>
      <c r="AE127" s="177">
        <f t="shared" si="17"/>
        <v>0</v>
      </c>
    </row>
    <row r="128" spans="2:31" x14ac:dyDescent="0.25">
      <c r="B128" s="162">
        <f t="shared" si="18"/>
        <v>46601</v>
      </c>
      <c r="C128" s="163">
        <f>COUNTIFS(' CADASTRO'!$S:$S,'acab equip'!$C$3,' CADASTRO'!$R:$R,'acab equip'!B128)</f>
        <v>0</v>
      </c>
      <c r="D128" s="163">
        <f>COUNTIFS(' CADASTRO'!$S:$S,'acab equip'!$D$3,' CADASTRO'!$R:$R,'acab equip'!B128)</f>
        <v>0</v>
      </c>
      <c r="E128" s="163">
        <f>COUNTIFS(' CADASTRO'!$R$746:$R$893,'acab equip'!B128,' CADASTRO'!$S$746:$S$893,'acab equip'!$D$3)+COUNTIFS(' CADASTRO'!$R$746:$R$893,'acab equip'!B128,' CADASTRO'!$S$746:$S$893,'acab equip'!$C$3)</f>
        <v>0</v>
      </c>
      <c r="F128" s="162">
        <f t="shared" si="19"/>
        <v>46602</v>
      </c>
      <c r="G128" s="163">
        <f>COUNTIFS(' CADASTRO'!$S:$S,'acab equip'!$C$3,' CADASTRO'!$R:$R,'acab equip'!F128)</f>
        <v>0</v>
      </c>
      <c r="H128" s="163">
        <f>COUNTIFS(' CADASTRO'!$S:$S,'acab equip'!$D$3,' CADASTRO'!$R:$R,'acab equip'!F128)</f>
        <v>0</v>
      </c>
      <c r="I128" s="163">
        <f>COUNTIFS(' CADASTRO'!$R$746:$R$893,'acab equip'!F128,' CADASTRO'!$S$746:$S$893,'acab equip'!$H$3)+COUNTIFS(' CADASTRO'!$R$746:$R$893,'acab equip'!F128,' CADASTRO'!$S$746:$S$893,'acab equip'!$G$3)</f>
        <v>0</v>
      </c>
      <c r="J128" s="162">
        <f t="shared" si="20"/>
        <v>46603</v>
      </c>
      <c r="K128" s="163">
        <f>COUNTIFS(' CADASTRO'!$S:$S,'acab equip'!$C$3,' CADASTRO'!$R:$R,'acab equip'!J128)</f>
        <v>0</v>
      </c>
      <c r="L128" s="163">
        <f>COUNTIFS(' CADASTRO'!$S:$S,'acab equip'!$D$3,' CADASTRO'!$R:$R,'acab equip'!J128)</f>
        <v>0</v>
      </c>
      <c r="M128" s="163">
        <f>COUNTIFS(' CADASTRO'!$R$746:$R$893,'acab equip'!J128,' CADASTRO'!$S$746:$S$893,'acab equip'!$L$3)+COUNTIFS(' CADASTRO'!$R$746:$R$893,'acab equip'!J128,' CADASTRO'!$S$746:$S$893,'acab equip'!$K$3)</f>
        <v>0</v>
      </c>
      <c r="N128" s="162">
        <f t="shared" si="21"/>
        <v>46604</v>
      </c>
      <c r="O128" s="163">
        <f>COUNTIFS(' CADASTRO'!$S:$S,'acab equip'!$C$3,' CADASTRO'!$R:$R,'acab equip'!N128)</f>
        <v>0</v>
      </c>
      <c r="P128" s="163">
        <f>COUNTIFS(' CADASTRO'!$S:$S,'acab equip'!$D$3,' CADASTRO'!$R:$R,'acab equip'!N128)</f>
        <v>0</v>
      </c>
      <c r="Q128" s="163">
        <f>COUNTIFS(' CADASTRO'!$R$746:$R$893,'acab equip'!N128,' CADASTRO'!$S$746:$S$893,'acab equip'!$P$3)+COUNTIFS(' CADASTRO'!$R$746:$R$893,'acab equip'!N128,' CADASTRO'!$S$746:$S$893,'acab equip'!$O$3)</f>
        <v>0</v>
      </c>
      <c r="R128" s="162">
        <f t="shared" si="22"/>
        <v>46605</v>
      </c>
      <c r="S128" s="163">
        <f>COUNTIFS(' CADASTRO'!$S:$S,'acab equip'!$C$3,' CADASTRO'!$R:$R,'acab equip'!R128)</f>
        <v>0</v>
      </c>
      <c r="T128" s="163">
        <f>COUNTIFS(' CADASTRO'!$S:$S,'acab equip'!$D$3,' CADASTRO'!$R:$R,'acab equip'!R128)</f>
        <v>0</v>
      </c>
      <c r="U128" s="163">
        <f>COUNTIFS(' CADASTRO'!$R$746:$R$893,'acab equip'!R128,' CADASTRO'!$S$746:$S$893,'acab equip'!$T$3)+COUNTIFS(' CADASTRO'!$R$746:$R$893,'acab equip'!R128,' CADASTRO'!$S$746:$S$893,'acab equip'!$S$3)</f>
        <v>0</v>
      </c>
      <c r="V128" s="162">
        <f t="shared" si="23"/>
        <v>46606</v>
      </c>
      <c r="W128" s="163">
        <f>COUNTIFS(' CADASTRO'!$S:$S,'acab equip'!$C$3,' CADASTRO'!$R:$R,'acab equip'!V128)</f>
        <v>0</v>
      </c>
      <c r="X128" s="163">
        <f>COUNTIFS(' CADASTRO'!$S:$S,'acab equip'!$D$3,' CADASTRO'!$R:$R,'acab equip'!V128)</f>
        <v>0</v>
      </c>
      <c r="Y128" s="163">
        <f>COUNTIFS(' CADASTRO'!$R$746:$R$893,'acab equip'!V128,' CADASTRO'!$S$746:$S$893,'acab equip'!$X$3)+COUNTIFS(' CADASTRO'!$R$746:$R$893,'acab equip'!V128,' CADASTRO'!$S$746:$S$893,'acab equip'!$W$3)</f>
        <v>0</v>
      </c>
      <c r="Z128" s="162">
        <f t="shared" si="24"/>
        <v>46607</v>
      </c>
      <c r="AB128" s="165">
        <f t="shared" si="14"/>
        <v>0</v>
      </c>
      <c r="AC128" s="165">
        <f t="shared" si="15"/>
        <v>0</v>
      </c>
      <c r="AD128" s="165">
        <f t="shared" si="16"/>
        <v>0</v>
      </c>
      <c r="AE128" s="177">
        <f t="shared" si="17"/>
        <v>0</v>
      </c>
    </row>
    <row r="129" spans="2:31" x14ac:dyDescent="0.25">
      <c r="B129" s="162">
        <f t="shared" si="18"/>
        <v>46608</v>
      </c>
      <c r="C129" s="163">
        <f>COUNTIFS(' CADASTRO'!$S:$S,'acab equip'!$C$3,' CADASTRO'!$R:$R,'acab equip'!B129)</f>
        <v>0</v>
      </c>
      <c r="D129" s="163">
        <f>COUNTIFS(' CADASTRO'!$S:$S,'acab equip'!$D$3,' CADASTRO'!$R:$R,'acab equip'!B129)</f>
        <v>0</v>
      </c>
      <c r="E129" s="163">
        <f>COUNTIFS(' CADASTRO'!$R$746:$R$893,'acab equip'!B129,' CADASTRO'!$S$746:$S$893,'acab equip'!$D$3)+COUNTIFS(' CADASTRO'!$R$746:$R$893,'acab equip'!B129,' CADASTRO'!$S$746:$S$893,'acab equip'!$C$3)</f>
        <v>0</v>
      </c>
      <c r="F129" s="162">
        <f t="shared" si="19"/>
        <v>46609</v>
      </c>
      <c r="G129" s="163">
        <f>COUNTIFS(' CADASTRO'!$S:$S,'acab equip'!$C$3,' CADASTRO'!$R:$R,'acab equip'!F129)</f>
        <v>0</v>
      </c>
      <c r="H129" s="163">
        <f>COUNTIFS(' CADASTRO'!$S:$S,'acab equip'!$D$3,' CADASTRO'!$R:$R,'acab equip'!F129)</f>
        <v>0</v>
      </c>
      <c r="I129" s="163">
        <f>COUNTIFS(' CADASTRO'!$R$746:$R$893,'acab equip'!F129,' CADASTRO'!$S$746:$S$893,'acab equip'!$H$3)+COUNTIFS(' CADASTRO'!$R$746:$R$893,'acab equip'!F129,' CADASTRO'!$S$746:$S$893,'acab equip'!$G$3)</f>
        <v>0</v>
      </c>
      <c r="J129" s="162">
        <f t="shared" si="20"/>
        <v>46610</v>
      </c>
      <c r="K129" s="163">
        <f>COUNTIFS(' CADASTRO'!$S:$S,'acab equip'!$C$3,' CADASTRO'!$R:$R,'acab equip'!J129)</f>
        <v>0</v>
      </c>
      <c r="L129" s="163">
        <f>COUNTIFS(' CADASTRO'!$S:$S,'acab equip'!$D$3,' CADASTRO'!$R:$R,'acab equip'!J129)</f>
        <v>0</v>
      </c>
      <c r="M129" s="163">
        <f>COUNTIFS(' CADASTRO'!$R$746:$R$893,'acab equip'!J129,' CADASTRO'!$S$746:$S$893,'acab equip'!$L$3)+COUNTIFS(' CADASTRO'!$R$746:$R$893,'acab equip'!J129,' CADASTRO'!$S$746:$S$893,'acab equip'!$K$3)</f>
        <v>0</v>
      </c>
      <c r="N129" s="162">
        <f t="shared" si="21"/>
        <v>46611</v>
      </c>
      <c r="O129" s="163">
        <f>COUNTIFS(' CADASTRO'!$S:$S,'acab equip'!$C$3,' CADASTRO'!$R:$R,'acab equip'!N129)</f>
        <v>0</v>
      </c>
      <c r="P129" s="163">
        <f>COUNTIFS(' CADASTRO'!$S:$S,'acab equip'!$D$3,' CADASTRO'!$R:$R,'acab equip'!N129)</f>
        <v>0</v>
      </c>
      <c r="Q129" s="163">
        <f>COUNTIFS(' CADASTRO'!$R$746:$R$893,'acab equip'!N129,' CADASTRO'!$S$746:$S$893,'acab equip'!$P$3)+COUNTIFS(' CADASTRO'!$R$746:$R$893,'acab equip'!N129,' CADASTRO'!$S$746:$S$893,'acab equip'!$O$3)</f>
        <v>0</v>
      </c>
      <c r="R129" s="162">
        <f t="shared" si="22"/>
        <v>46612</v>
      </c>
      <c r="S129" s="163">
        <f>COUNTIFS(' CADASTRO'!$S:$S,'acab equip'!$C$3,' CADASTRO'!$R:$R,'acab equip'!R129)</f>
        <v>0</v>
      </c>
      <c r="T129" s="163">
        <f>COUNTIFS(' CADASTRO'!$S:$S,'acab equip'!$D$3,' CADASTRO'!$R:$R,'acab equip'!R129)</f>
        <v>0</v>
      </c>
      <c r="U129" s="163">
        <f>COUNTIFS(' CADASTRO'!$R$746:$R$893,'acab equip'!R129,' CADASTRO'!$S$746:$S$893,'acab equip'!$T$3)+COUNTIFS(' CADASTRO'!$R$746:$R$893,'acab equip'!R129,' CADASTRO'!$S$746:$S$893,'acab equip'!$S$3)</f>
        <v>0</v>
      </c>
      <c r="V129" s="162">
        <f t="shared" si="23"/>
        <v>46613</v>
      </c>
      <c r="W129" s="163">
        <f>COUNTIFS(' CADASTRO'!$S:$S,'acab equip'!$C$3,' CADASTRO'!$R:$R,'acab equip'!V129)</f>
        <v>0</v>
      </c>
      <c r="X129" s="163">
        <f>COUNTIFS(' CADASTRO'!$S:$S,'acab equip'!$D$3,' CADASTRO'!$R:$R,'acab equip'!V129)</f>
        <v>0</v>
      </c>
      <c r="Y129" s="163">
        <f>COUNTIFS(' CADASTRO'!$R$746:$R$893,'acab equip'!V129,' CADASTRO'!$S$746:$S$893,'acab equip'!$X$3)+COUNTIFS(' CADASTRO'!$R$746:$R$893,'acab equip'!V129,' CADASTRO'!$S$746:$S$893,'acab equip'!$W$3)</f>
        <v>0</v>
      </c>
      <c r="Z129" s="162">
        <f t="shared" si="24"/>
        <v>46614</v>
      </c>
      <c r="AB129" s="165">
        <f t="shared" si="14"/>
        <v>0</v>
      </c>
      <c r="AC129" s="165">
        <f t="shared" si="15"/>
        <v>0</v>
      </c>
      <c r="AD129" s="165">
        <f t="shared" si="16"/>
        <v>0</v>
      </c>
      <c r="AE129" s="177">
        <f t="shared" si="17"/>
        <v>0</v>
      </c>
    </row>
    <row r="130" spans="2:31" x14ac:dyDescent="0.25">
      <c r="B130" s="162">
        <f t="shared" si="18"/>
        <v>46615</v>
      </c>
      <c r="C130" s="163">
        <f>COUNTIFS(' CADASTRO'!$S:$S,'acab equip'!$C$3,' CADASTRO'!$R:$R,'acab equip'!B130)</f>
        <v>0</v>
      </c>
      <c r="D130" s="163">
        <f>COUNTIFS(' CADASTRO'!$S:$S,'acab equip'!$D$3,' CADASTRO'!$R:$R,'acab equip'!B130)</f>
        <v>0</v>
      </c>
      <c r="E130" s="163">
        <f>COUNTIFS(' CADASTRO'!$R$746:$R$893,'acab equip'!B130,' CADASTRO'!$S$746:$S$893,'acab equip'!$D$3)+COUNTIFS(' CADASTRO'!$R$746:$R$893,'acab equip'!B130,' CADASTRO'!$S$746:$S$893,'acab equip'!$C$3)</f>
        <v>0</v>
      </c>
      <c r="F130" s="162">
        <f t="shared" si="19"/>
        <v>46616</v>
      </c>
      <c r="G130" s="163">
        <f>COUNTIFS(' CADASTRO'!$S:$S,'acab equip'!$C$3,' CADASTRO'!$R:$R,'acab equip'!F130)</f>
        <v>0</v>
      </c>
      <c r="H130" s="163">
        <f>COUNTIFS(' CADASTRO'!$S:$S,'acab equip'!$D$3,' CADASTRO'!$R:$R,'acab equip'!F130)</f>
        <v>0</v>
      </c>
      <c r="I130" s="163">
        <f>COUNTIFS(' CADASTRO'!$R$746:$R$893,'acab equip'!F130,' CADASTRO'!$S$746:$S$893,'acab equip'!$H$3)+COUNTIFS(' CADASTRO'!$R$746:$R$893,'acab equip'!F130,' CADASTRO'!$S$746:$S$893,'acab equip'!$G$3)</f>
        <v>0</v>
      </c>
      <c r="J130" s="162">
        <f t="shared" si="20"/>
        <v>46617</v>
      </c>
      <c r="K130" s="163">
        <f>COUNTIFS(' CADASTRO'!$S:$S,'acab equip'!$C$3,' CADASTRO'!$R:$R,'acab equip'!J130)</f>
        <v>0</v>
      </c>
      <c r="L130" s="163">
        <f>COUNTIFS(' CADASTRO'!$S:$S,'acab equip'!$D$3,' CADASTRO'!$R:$R,'acab equip'!J130)</f>
        <v>0</v>
      </c>
      <c r="M130" s="163">
        <f>COUNTIFS(' CADASTRO'!$R$746:$R$893,'acab equip'!J130,' CADASTRO'!$S$746:$S$893,'acab equip'!$L$3)+COUNTIFS(' CADASTRO'!$R$746:$R$893,'acab equip'!J130,' CADASTRO'!$S$746:$S$893,'acab equip'!$K$3)</f>
        <v>0</v>
      </c>
      <c r="N130" s="162">
        <f t="shared" si="21"/>
        <v>46618</v>
      </c>
      <c r="O130" s="163">
        <f>COUNTIFS(' CADASTRO'!$S:$S,'acab equip'!$C$3,' CADASTRO'!$R:$R,'acab equip'!N130)</f>
        <v>0</v>
      </c>
      <c r="P130" s="163">
        <f>COUNTIFS(' CADASTRO'!$S:$S,'acab equip'!$D$3,' CADASTRO'!$R:$R,'acab equip'!N130)</f>
        <v>0</v>
      </c>
      <c r="Q130" s="163">
        <f>COUNTIFS(' CADASTRO'!$R$746:$R$893,'acab equip'!N130,' CADASTRO'!$S$746:$S$893,'acab equip'!$P$3)+COUNTIFS(' CADASTRO'!$R$746:$R$893,'acab equip'!N130,' CADASTRO'!$S$746:$S$893,'acab equip'!$O$3)</f>
        <v>0</v>
      </c>
      <c r="R130" s="162">
        <f t="shared" si="22"/>
        <v>46619</v>
      </c>
      <c r="S130" s="163">
        <f>COUNTIFS(' CADASTRO'!$S:$S,'acab equip'!$C$3,' CADASTRO'!$R:$R,'acab equip'!R130)</f>
        <v>0</v>
      </c>
      <c r="T130" s="163">
        <f>COUNTIFS(' CADASTRO'!$S:$S,'acab equip'!$D$3,' CADASTRO'!$R:$R,'acab equip'!R130)</f>
        <v>0</v>
      </c>
      <c r="U130" s="163">
        <f>COUNTIFS(' CADASTRO'!$R$746:$R$893,'acab equip'!R130,' CADASTRO'!$S$746:$S$893,'acab equip'!$T$3)+COUNTIFS(' CADASTRO'!$R$746:$R$893,'acab equip'!R130,' CADASTRO'!$S$746:$S$893,'acab equip'!$S$3)</f>
        <v>0</v>
      </c>
      <c r="V130" s="162">
        <f t="shared" si="23"/>
        <v>46620</v>
      </c>
      <c r="W130" s="163">
        <f>COUNTIFS(' CADASTRO'!$S:$S,'acab equip'!$C$3,' CADASTRO'!$R:$R,'acab equip'!V130)</f>
        <v>0</v>
      </c>
      <c r="X130" s="163">
        <f>COUNTIFS(' CADASTRO'!$S:$S,'acab equip'!$D$3,' CADASTRO'!$R:$R,'acab equip'!V130)</f>
        <v>0</v>
      </c>
      <c r="Y130" s="163">
        <f>COUNTIFS(' CADASTRO'!$R$746:$R$893,'acab equip'!V130,' CADASTRO'!$S$746:$S$893,'acab equip'!$X$3)+COUNTIFS(' CADASTRO'!$R$746:$R$893,'acab equip'!V130,' CADASTRO'!$S$746:$S$893,'acab equip'!$W$3)</f>
        <v>0</v>
      </c>
      <c r="Z130" s="162">
        <f t="shared" si="24"/>
        <v>46621</v>
      </c>
      <c r="AB130" s="165">
        <f t="shared" si="14"/>
        <v>0</v>
      </c>
      <c r="AC130" s="165">
        <f t="shared" si="15"/>
        <v>0</v>
      </c>
      <c r="AD130" s="165">
        <f t="shared" si="16"/>
        <v>0</v>
      </c>
      <c r="AE130" s="177">
        <f t="shared" si="17"/>
        <v>0</v>
      </c>
    </row>
    <row r="131" spans="2:31" x14ac:dyDescent="0.25">
      <c r="B131" s="162">
        <f t="shared" si="18"/>
        <v>46622</v>
      </c>
      <c r="C131" s="163">
        <f>COUNTIFS(' CADASTRO'!$S:$S,'acab equip'!$C$3,' CADASTRO'!$R:$R,'acab equip'!B131)</f>
        <v>0</v>
      </c>
      <c r="D131" s="163">
        <f>COUNTIFS(' CADASTRO'!$S:$S,'acab equip'!$D$3,' CADASTRO'!$R:$R,'acab equip'!B131)</f>
        <v>0</v>
      </c>
      <c r="E131" s="163">
        <f>COUNTIFS(' CADASTRO'!$R$746:$R$893,'acab equip'!B131,' CADASTRO'!$S$746:$S$893,'acab equip'!$D$3)+COUNTIFS(' CADASTRO'!$R$746:$R$893,'acab equip'!B131,' CADASTRO'!$S$746:$S$893,'acab equip'!$C$3)</f>
        <v>0</v>
      </c>
      <c r="F131" s="162">
        <f t="shared" si="19"/>
        <v>46623</v>
      </c>
      <c r="G131" s="163">
        <f>COUNTIFS(' CADASTRO'!$S:$S,'acab equip'!$C$3,' CADASTRO'!$R:$R,'acab equip'!F131)</f>
        <v>0</v>
      </c>
      <c r="H131" s="163">
        <f>COUNTIFS(' CADASTRO'!$S:$S,'acab equip'!$D$3,' CADASTRO'!$R:$R,'acab equip'!F131)</f>
        <v>0</v>
      </c>
      <c r="I131" s="163">
        <f>COUNTIFS(' CADASTRO'!$R$746:$R$893,'acab equip'!F131,' CADASTRO'!$S$746:$S$893,'acab equip'!$H$3)+COUNTIFS(' CADASTRO'!$R$746:$R$893,'acab equip'!F131,' CADASTRO'!$S$746:$S$893,'acab equip'!$G$3)</f>
        <v>0</v>
      </c>
      <c r="J131" s="162">
        <f t="shared" si="20"/>
        <v>46624</v>
      </c>
      <c r="K131" s="163">
        <f>COUNTIFS(' CADASTRO'!$S:$S,'acab equip'!$C$3,' CADASTRO'!$R:$R,'acab equip'!J131)</f>
        <v>0</v>
      </c>
      <c r="L131" s="163">
        <f>COUNTIFS(' CADASTRO'!$S:$S,'acab equip'!$D$3,' CADASTRO'!$R:$R,'acab equip'!J131)</f>
        <v>0</v>
      </c>
      <c r="M131" s="163">
        <f>COUNTIFS(' CADASTRO'!$R$746:$R$893,'acab equip'!J131,' CADASTRO'!$S$746:$S$893,'acab equip'!$L$3)+COUNTIFS(' CADASTRO'!$R$746:$R$893,'acab equip'!J131,' CADASTRO'!$S$746:$S$893,'acab equip'!$K$3)</f>
        <v>0</v>
      </c>
      <c r="N131" s="162">
        <f t="shared" si="21"/>
        <v>46625</v>
      </c>
      <c r="O131" s="163">
        <f>COUNTIFS(' CADASTRO'!$S:$S,'acab equip'!$C$3,' CADASTRO'!$R:$R,'acab equip'!N131)</f>
        <v>0</v>
      </c>
      <c r="P131" s="163">
        <f>COUNTIFS(' CADASTRO'!$S:$S,'acab equip'!$D$3,' CADASTRO'!$R:$R,'acab equip'!N131)</f>
        <v>0</v>
      </c>
      <c r="Q131" s="163">
        <f>COUNTIFS(' CADASTRO'!$R$746:$R$893,'acab equip'!N131,' CADASTRO'!$S$746:$S$893,'acab equip'!$P$3)+COUNTIFS(' CADASTRO'!$R$746:$R$893,'acab equip'!N131,' CADASTRO'!$S$746:$S$893,'acab equip'!$O$3)</f>
        <v>0</v>
      </c>
      <c r="R131" s="162">
        <f t="shared" si="22"/>
        <v>46626</v>
      </c>
      <c r="S131" s="163">
        <f>COUNTIFS(' CADASTRO'!$S:$S,'acab equip'!$C$3,' CADASTRO'!$R:$R,'acab equip'!R131)</f>
        <v>0</v>
      </c>
      <c r="T131" s="163">
        <f>COUNTIFS(' CADASTRO'!$S:$S,'acab equip'!$D$3,' CADASTRO'!$R:$R,'acab equip'!R131)</f>
        <v>0</v>
      </c>
      <c r="U131" s="163">
        <f>COUNTIFS(' CADASTRO'!$R$746:$R$893,'acab equip'!R131,' CADASTRO'!$S$746:$S$893,'acab equip'!$T$3)+COUNTIFS(' CADASTRO'!$R$746:$R$893,'acab equip'!R131,' CADASTRO'!$S$746:$S$893,'acab equip'!$S$3)</f>
        <v>0</v>
      </c>
      <c r="V131" s="162">
        <f t="shared" si="23"/>
        <v>46627</v>
      </c>
      <c r="W131" s="163">
        <f>COUNTIFS(' CADASTRO'!$S:$S,'acab equip'!$C$3,' CADASTRO'!$R:$R,'acab equip'!V131)</f>
        <v>0</v>
      </c>
      <c r="X131" s="163">
        <f>COUNTIFS(' CADASTRO'!$S:$S,'acab equip'!$D$3,' CADASTRO'!$R:$R,'acab equip'!V131)</f>
        <v>0</v>
      </c>
      <c r="Y131" s="163">
        <f>COUNTIFS(' CADASTRO'!$R$746:$R$893,'acab equip'!V131,' CADASTRO'!$S$746:$S$893,'acab equip'!$X$3)+COUNTIFS(' CADASTRO'!$R$746:$R$893,'acab equip'!V131,' CADASTRO'!$S$746:$S$893,'acab equip'!$W$3)</f>
        <v>0</v>
      </c>
      <c r="Z131" s="162">
        <f t="shared" si="24"/>
        <v>46628</v>
      </c>
      <c r="AB131" s="165">
        <f t="shared" si="14"/>
        <v>0</v>
      </c>
      <c r="AC131" s="165">
        <f t="shared" si="15"/>
        <v>0</v>
      </c>
      <c r="AD131" s="165">
        <f t="shared" si="16"/>
        <v>0</v>
      </c>
      <c r="AE131" s="177">
        <f t="shared" si="17"/>
        <v>0</v>
      </c>
    </row>
    <row r="132" spans="2:31" x14ac:dyDescent="0.25">
      <c r="B132" s="162">
        <f t="shared" si="18"/>
        <v>46629</v>
      </c>
      <c r="C132" s="163">
        <f>COUNTIFS(' CADASTRO'!$S:$S,'acab equip'!$C$3,' CADASTRO'!$R:$R,'acab equip'!B132)</f>
        <v>0</v>
      </c>
      <c r="D132" s="163">
        <f>COUNTIFS(' CADASTRO'!$S:$S,'acab equip'!$D$3,' CADASTRO'!$R:$R,'acab equip'!B132)</f>
        <v>0</v>
      </c>
      <c r="E132" s="163">
        <f>COUNTIFS(' CADASTRO'!$R$746:$R$893,'acab equip'!B132,' CADASTRO'!$S$746:$S$893,'acab equip'!$D$3)+COUNTIFS(' CADASTRO'!$R$746:$R$893,'acab equip'!B132,' CADASTRO'!$S$746:$S$893,'acab equip'!$C$3)</f>
        <v>0</v>
      </c>
      <c r="F132" s="162">
        <f t="shared" si="19"/>
        <v>46630</v>
      </c>
      <c r="G132" s="163">
        <f>COUNTIFS(' CADASTRO'!$S:$S,'acab equip'!$C$3,' CADASTRO'!$R:$R,'acab equip'!F132)</f>
        <v>0</v>
      </c>
      <c r="H132" s="163">
        <f>COUNTIFS(' CADASTRO'!$S:$S,'acab equip'!$D$3,' CADASTRO'!$R:$R,'acab equip'!F132)</f>
        <v>0</v>
      </c>
      <c r="I132" s="163">
        <f>COUNTIFS(' CADASTRO'!$R$746:$R$893,'acab equip'!F132,' CADASTRO'!$S$746:$S$893,'acab equip'!$H$3)+COUNTIFS(' CADASTRO'!$R$746:$R$893,'acab equip'!F132,' CADASTRO'!$S$746:$S$893,'acab equip'!$G$3)</f>
        <v>0</v>
      </c>
      <c r="J132" s="162">
        <f t="shared" si="20"/>
        <v>46631</v>
      </c>
      <c r="K132" s="163">
        <f>COUNTIFS(' CADASTRO'!$S:$S,'acab equip'!$C$3,' CADASTRO'!$R:$R,'acab equip'!J132)</f>
        <v>0</v>
      </c>
      <c r="L132" s="163">
        <f>COUNTIFS(' CADASTRO'!$S:$S,'acab equip'!$D$3,' CADASTRO'!$R:$R,'acab equip'!J132)</f>
        <v>0</v>
      </c>
      <c r="M132" s="163">
        <f>COUNTIFS(' CADASTRO'!$R$746:$R$893,'acab equip'!J132,' CADASTRO'!$S$746:$S$893,'acab equip'!$L$3)+COUNTIFS(' CADASTRO'!$R$746:$R$893,'acab equip'!J132,' CADASTRO'!$S$746:$S$893,'acab equip'!$K$3)</f>
        <v>0</v>
      </c>
      <c r="N132" s="162">
        <f t="shared" si="21"/>
        <v>46632</v>
      </c>
      <c r="O132" s="163">
        <f>COUNTIFS(' CADASTRO'!$S:$S,'acab equip'!$C$3,' CADASTRO'!$R:$R,'acab equip'!N132)</f>
        <v>0</v>
      </c>
      <c r="P132" s="163">
        <f>COUNTIFS(' CADASTRO'!$S:$S,'acab equip'!$D$3,' CADASTRO'!$R:$R,'acab equip'!N132)</f>
        <v>0</v>
      </c>
      <c r="Q132" s="163">
        <f>COUNTIFS(' CADASTRO'!$R$746:$R$893,'acab equip'!N132,' CADASTRO'!$S$746:$S$893,'acab equip'!$P$3)+COUNTIFS(' CADASTRO'!$R$746:$R$893,'acab equip'!N132,' CADASTRO'!$S$746:$S$893,'acab equip'!$O$3)</f>
        <v>0</v>
      </c>
      <c r="R132" s="162">
        <f t="shared" si="22"/>
        <v>46633</v>
      </c>
      <c r="S132" s="163">
        <f>COUNTIFS(' CADASTRO'!$S:$S,'acab equip'!$C$3,' CADASTRO'!$R:$R,'acab equip'!R132)</f>
        <v>0</v>
      </c>
      <c r="T132" s="163">
        <f>COUNTIFS(' CADASTRO'!$S:$S,'acab equip'!$D$3,' CADASTRO'!$R:$R,'acab equip'!R132)</f>
        <v>0</v>
      </c>
      <c r="U132" s="163">
        <f>COUNTIFS(' CADASTRO'!$R$746:$R$893,'acab equip'!R132,' CADASTRO'!$S$746:$S$893,'acab equip'!$T$3)+COUNTIFS(' CADASTRO'!$R$746:$R$893,'acab equip'!R132,' CADASTRO'!$S$746:$S$893,'acab equip'!$S$3)</f>
        <v>0</v>
      </c>
      <c r="V132" s="162">
        <f t="shared" si="23"/>
        <v>46634</v>
      </c>
      <c r="W132" s="163">
        <f>COUNTIFS(' CADASTRO'!$S:$S,'acab equip'!$C$3,' CADASTRO'!$R:$R,'acab equip'!V132)</f>
        <v>0</v>
      </c>
      <c r="X132" s="163">
        <f>COUNTIFS(' CADASTRO'!$S:$S,'acab equip'!$D$3,' CADASTRO'!$R:$R,'acab equip'!V132)</f>
        <v>0</v>
      </c>
      <c r="Y132" s="163">
        <f>COUNTIFS(' CADASTRO'!$R$746:$R$893,'acab equip'!V132,' CADASTRO'!$S$746:$S$893,'acab equip'!$X$3)+COUNTIFS(' CADASTRO'!$R$746:$R$893,'acab equip'!V132,' CADASTRO'!$S$746:$S$893,'acab equip'!$W$3)</f>
        <v>0</v>
      </c>
      <c r="Z132" s="162">
        <f t="shared" si="24"/>
        <v>46635</v>
      </c>
      <c r="AB132" s="165">
        <f t="shared" ref="AB132:AB195" si="25">C132+G132+K132+O132+S132+W132</f>
        <v>0</v>
      </c>
      <c r="AC132" s="165">
        <f t="shared" si="15"/>
        <v>0</v>
      </c>
      <c r="AD132" s="165">
        <f t="shared" si="16"/>
        <v>0</v>
      </c>
      <c r="AE132" s="177">
        <f t="shared" si="17"/>
        <v>0</v>
      </c>
    </row>
    <row r="133" spans="2:31" x14ac:dyDescent="0.25">
      <c r="B133" s="162">
        <f t="shared" si="18"/>
        <v>46636</v>
      </c>
      <c r="C133" s="163">
        <f>COUNTIFS(' CADASTRO'!$S:$S,'acab equip'!$C$3,' CADASTRO'!$R:$R,'acab equip'!B133)</f>
        <v>0</v>
      </c>
      <c r="D133" s="163">
        <f>COUNTIFS(' CADASTRO'!$S:$S,'acab equip'!$D$3,' CADASTRO'!$R:$R,'acab equip'!B133)</f>
        <v>0</v>
      </c>
      <c r="E133" s="163">
        <f>COUNTIFS(' CADASTRO'!$R$746:$R$893,'acab equip'!B133,' CADASTRO'!$S$746:$S$893,'acab equip'!$D$3)+COUNTIFS(' CADASTRO'!$R$746:$R$893,'acab equip'!B133,' CADASTRO'!$S$746:$S$893,'acab equip'!$C$3)</f>
        <v>0</v>
      </c>
      <c r="F133" s="162">
        <f t="shared" si="19"/>
        <v>46637</v>
      </c>
      <c r="G133" s="163">
        <f>COUNTIFS(' CADASTRO'!$S:$S,'acab equip'!$C$3,' CADASTRO'!$R:$R,'acab equip'!F133)</f>
        <v>0</v>
      </c>
      <c r="H133" s="163">
        <f>COUNTIFS(' CADASTRO'!$S:$S,'acab equip'!$D$3,' CADASTRO'!$R:$R,'acab equip'!F133)</f>
        <v>0</v>
      </c>
      <c r="I133" s="163">
        <f>COUNTIFS(' CADASTRO'!$R$746:$R$893,'acab equip'!F133,' CADASTRO'!$S$746:$S$893,'acab equip'!$H$3)+COUNTIFS(' CADASTRO'!$R$746:$R$893,'acab equip'!F133,' CADASTRO'!$S$746:$S$893,'acab equip'!$G$3)</f>
        <v>0</v>
      </c>
      <c r="J133" s="162">
        <f t="shared" si="20"/>
        <v>46638</v>
      </c>
      <c r="K133" s="163">
        <f>COUNTIFS(' CADASTRO'!$S:$S,'acab equip'!$C$3,' CADASTRO'!$R:$R,'acab equip'!J133)</f>
        <v>0</v>
      </c>
      <c r="L133" s="163">
        <f>COUNTIFS(' CADASTRO'!$S:$S,'acab equip'!$D$3,' CADASTRO'!$R:$R,'acab equip'!J133)</f>
        <v>0</v>
      </c>
      <c r="M133" s="163">
        <f>COUNTIFS(' CADASTRO'!$R$746:$R$893,'acab equip'!J133,' CADASTRO'!$S$746:$S$893,'acab equip'!$L$3)+COUNTIFS(' CADASTRO'!$R$746:$R$893,'acab equip'!J133,' CADASTRO'!$S$746:$S$893,'acab equip'!$K$3)</f>
        <v>0</v>
      </c>
      <c r="N133" s="162">
        <f t="shared" si="21"/>
        <v>46639</v>
      </c>
      <c r="O133" s="163">
        <f>COUNTIFS(' CADASTRO'!$S:$S,'acab equip'!$C$3,' CADASTRO'!$R:$R,'acab equip'!N133)</f>
        <v>0</v>
      </c>
      <c r="P133" s="163">
        <f>COUNTIFS(' CADASTRO'!$S:$S,'acab equip'!$D$3,' CADASTRO'!$R:$R,'acab equip'!N133)</f>
        <v>0</v>
      </c>
      <c r="Q133" s="163">
        <f>COUNTIFS(' CADASTRO'!$R$746:$R$893,'acab equip'!N133,' CADASTRO'!$S$746:$S$893,'acab equip'!$P$3)+COUNTIFS(' CADASTRO'!$R$746:$R$893,'acab equip'!N133,' CADASTRO'!$S$746:$S$893,'acab equip'!$O$3)</f>
        <v>0</v>
      </c>
      <c r="R133" s="162">
        <f t="shared" si="22"/>
        <v>46640</v>
      </c>
      <c r="S133" s="163">
        <f>COUNTIFS(' CADASTRO'!$S:$S,'acab equip'!$C$3,' CADASTRO'!$R:$R,'acab equip'!R133)</f>
        <v>0</v>
      </c>
      <c r="T133" s="163">
        <f>COUNTIFS(' CADASTRO'!$S:$S,'acab equip'!$D$3,' CADASTRO'!$R:$R,'acab equip'!R133)</f>
        <v>0</v>
      </c>
      <c r="U133" s="163">
        <f>COUNTIFS(' CADASTRO'!$R$746:$R$893,'acab equip'!R133,' CADASTRO'!$S$746:$S$893,'acab equip'!$T$3)+COUNTIFS(' CADASTRO'!$R$746:$R$893,'acab equip'!R133,' CADASTRO'!$S$746:$S$893,'acab equip'!$S$3)</f>
        <v>0</v>
      </c>
      <c r="V133" s="162">
        <f t="shared" si="23"/>
        <v>46641</v>
      </c>
      <c r="W133" s="163">
        <f>COUNTIFS(' CADASTRO'!$S:$S,'acab equip'!$C$3,' CADASTRO'!$R:$R,'acab equip'!V133)</f>
        <v>0</v>
      </c>
      <c r="X133" s="163">
        <f>COUNTIFS(' CADASTRO'!$S:$S,'acab equip'!$D$3,' CADASTRO'!$R:$R,'acab equip'!V133)</f>
        <v>0</v>
      </c>
      <c r="Y133" s="163">
        <f>COUNTIFS(' CADASTRO'!$R$746:$R$893,'acab equip'!V133,' CADASTRO'!$S$746:$S$893,'acab equip'!$X$3)+COUNTIFS(' CADASTRO'!$R$746:$R$893,'acab equip'!V133,' CADASTRO'!$S$746:$S$893,'acab equip'!$W$3)</f>
        <v>0</v>
      </c>
      <c r="Z133" s="162">
        <f t="shared" si="24"/>
        <v>46642</v>
      </c>
      <c r="AB133" s="165">
        <f t="shared" si="25"/>
        <v>0</v>
      </c>
      <c r="AC133" s="165">
        <f t="shared" ref="AC133:AC196" si="26">D133+H133+L133+P133+T133+X133-AD133</f>
        <v>0</v>
      </c>
      <c r="AD133" s="165">
        <f t="shared" ref="AD133:AD196" si="27">M133+Q133+U133+Y133+I133+E133</f>
        <v>0</v>
      </c>
      <c r="AE133" s="177">
        <f t="shared" ref="AE133:AE196" si="28">AB133+AC133+AD133</f>
        <v>0</v>
      </c>
    </row>
    <row r="134" spans="2:31" x14ac:dyDescent="0.25">
      <c r="B134" s="162">
        <f t="shared" ref="B134:B197" si="29">Z133+1</f>
        <v>46643</v>
      </c>
      <c r="C134" s="163">
        <f>COUNTIFS(' CADASTRO'!$S:$S,'acab equip'!$C$3,' CADASTRO'!$R:$R,'acab equip'!B134)</f>
        <v>0</v>
      </c>
      <c r="D134" s="163">
        <f>COUNTIFS(' CADASTRO'!$S:$S,'acab equip'!$D$3,' CADASTRO'!$R:$R,'acab equip'!B134)</f>
        <v>0</v>
      </c>
      <c r="E134" s="163">
        <f>COUNTIFS(' CADASTRO'!$R$746:$R$893,'acab equip'!B134,' CADASTRO'!$S$746:$S$893,'acab equip'!$D$3)+COUNTIFS(' CADASTRO'!$R$746:$R$893,'acab equip'!B134,' CADASTRO'!$S$746:$S$893,'acab equip'!$C$3)</f>
        <v>0</v>
      </c>
      <c r="F134" s="162">
        <f t="shared" ref="F134:F197" si="30">B134+1</f>
        <v>46644</v>
      </c>
      <c r="G134" s="163">
        <f>COUNTIFS(' CADASTRO'!$S:$S,'acab equip'!$C$3,' CADASTRO'!$R:$R,'acab equip'!F134)</f>
        <v>0</v>
      </c>
      <c r="H134" s="163">
        <f>COUNTIFS(' CADASTRO'!$S:$S,'acab equip'!$D$3,' CADASTRO'!$R:$R,'acab equip'!F134)</f>
        <v>0</v>
      </c>
      <c r="I134" s="163">
        <f>COUNTIFS(' CADASTRO'!$R$746:$R$893,'acab equip'!F134,' CADASTRO'!$S$746:$S$893,'acab equip'!$H$3)+COUNTIFS(' CADASTRO'!$R$746:$R$893,'acab equip'!F134,' CADASTRO'!$S$746:$S$893,'acab equip'!$G$3)</f>
        <v>0</v>
      </c>
      <c r="J134" s="162">
        <f t="shared" ref="J134:J197" si="31">F134+1</f>
        <v>46645</v>
      </c>
      <c r="K134" s="163">
        <f>COUNTIFS(' CADASTRO'!$S:$S,'acab equip'!$C$3,' CADASTRO'!$R:$R,'acab equip'!J134)</f>
        <v>0</v>
      </c>
      <c r="L134" s="163">
        <f>COUNTIFS(' CADASTRO'!$S:$S,'acab equip'!$D$3,' CADASTRO'!$R:$R,'acab equip'!J134)</f>
        <v>0</v>
      </c>
      <c r="M134" s="163">
        <f>COUNTIFS(' CADASTRO'!$R$746:$R$893,'acab equip'!J134,' CADASTRO'!$S$746:$S$893,'acab equip'!$L$3)+COUNTIFS(' CADASTRO'!$R$746:$R$893,'acab equip'!J134,' CADASTRO'!$S$746:$S$893,'acab equip'!$K$3)</f>
        <v>0</v>
      </c>
      <c r="N134" s="162">
        <f t="shared" ref="N134:N197" si="32">J134+1</f>
        <v>46646</v>
      </c>
      <c r="O134" s="163">
        <f>COUNTIFS(' CADASTRO'!$S:$S,'acab equip'!$C$3,' CADASTRO'!$R:$R,'acab equip'!N134)</f>
        <v>0</v>
      </c>
      <c r="P134" s="163">
        <f>COUNTIFS(' CADASTRO'!$S:$S,'acab equip'!$D$3,' CADASTRO'!$R:$R,'acab equip'!N134)</f>
        <v>0</v>
      </c>
      <c r="Q134" s="163">
        <f>COUNTIFS(' CADASTRO'!$R$746:$R$893,'acab equip'!N134,' CADASTRO'!$S$746:$S$893,'acab equip'!$P$3)+COUNTIFS(' CADASTRO'!$R$746:$R$893,'acab equip'!N134,' CADASTRO'!$S$746:$S$893,'acab equip'!$O$3)</f>
        <v>0</v>
      </c>
      <c r="R134" s="162">
        <f t="shared" ref="R134:R197" si="33">N134+1</f>
        <v>46647</v>
      </c>
      <c r="S134" s="163">
        <f>COUNTIFS(' CADASTRO'!$S:$S,'acab equip'!$C$3,' CADASTRO'!$R:$R,'acab equip'!R134)</f>
        <v>0</v>
      </c>
      <c r="T134" s="163">
        <f>COUNTIFS(' CADASTRO'!$S:$S,'acab equip'!$D$3,' CADASTRO'!$R:$R,'acab equip'!R134)</f>
        <v>0</v>
      </c>
      <c r="U134" s="163">
        <f>COUNTIFS(' CADASTRO'!$R$746:$R$893,'acab equip'!R134,' CADASTRO'!$S$746:$S$893,'acab equip'!$T$3)+COUNTIFS(' CADASTRO'!$R$746:$R$893,'acab equip'!R134,' CADASTRO'!$S$746:$S$893,'acab equip'!$S$3)</f>
        <v>0</v>
      </c>
      <c r="V134" s="162">
        <f t="shared" ref="V134:V197" si="34">R134+1</f>
        <v>46648</v>
      </c>
      <c r="W134" s="163">
        <f>COUNTIFS(' CADASTRO'!$S:$S,'acab equip'!$C$3,' CADASTRO'!$R:$R,'acab equip'!V134)</f>
        <v>0</v>
      </c>
      <c r="X134" s="163">
        <f>COUNTIFS(' CADASTRO'!$S:$S,'acab equip'!$D$3,' CADASTRO'!$R:$R,'acab equip'!V134)</f>
        <v>0</v>
      </c>
      <c r="Y134" s="163">
        <f>COUNTIFS(' CADASTRO'!$R$746:$R$893,'acab equip'!V134,' CADASTRO'!$S$746:$S$893,'acab equip'!$X$3)+COUNTIFS(' CADASTRO'!$R$746:$R$893,'acab equip'!V134,' CADASTRO'!$S$746:$S$893,'acab equip'!$W$3)</f>
        <v>0</v>
      </c>
      <c r="Z134" s="162">
        <f t="shared" ref="Z134:Z197" si="35">V134+1</f>
        <v>46649</v>
      </c>
      <c r="AB134" s="165">
        <f t="shared" si="25"/>
        <v>0</v>
      </c>
      <c r="AC134" s="165">
        <f t="shared" si="26"/>
        <v>0</v>
      </c>
      <c r="AD134" s="165">
        <f t="shared" si="27"/>
        <v>0</v>
      </c>
      <c r="AE134" s="177">
        <f t="shared" si="28"/>
        <v>0</v>
      </c>
    </row>
    <row r="135" spans="2:31" x14ac:dyDescent="0.25">
      <c r="B135" s="162">
        <f t="shared" si="29"/>
        <v>46650</v>
      </c>
      <c r="C135" s="163">
        <f>COUNTIFS(' CADASTRO'!$S:$S,'acab equip'!$C$3,' CADASTRO'!$R:$R,'acab equip'!B135)</f>
        <v>0</v>
      </c>
      <c r="D135" s="163">
        <f>COUNTIFS(' CADASTRO'!$S:$S,'acab equip'!$D$3,' CADASTRO'!$R:$R,'acab equip'!B135)</f>
        <v>0</v>
      </c>
      <c r="E135" s="163">
        <f>COUNTIFS(' CADASTRO'!$R$746:$R$893,'acab equip'!B135,' CADASTRO'!$S$746:$S$893,'acab equip'!$D$3)+COUNTIFS(' CADASTRO'!$R$746:$R$893,'acab equip'!B135,' CADASTRO'!$S$746:$S$893,'acab equip'!$C$3)</f>
        <v>0</v>
      </c>
      <c r="F135" s="162">
        <f t="shared" si="30"/>
        <v>46651</v>
      </c>
      <c r="G135" s="163">
        <f>COUNTIFS(' CADASTRO'!$S:$S,'acab equip'!$C$3,' CADASTRO'!$R:$R,'acab equip'!F135)</f>
        <v>0</v>
      </c>
      <c r="H135" s="163">
        <f>COUNTIFS(' CADASTRO'!$S:$S,'acab equip'!$D$3,' CADASTRO'!$R:$R,'acab equip'!F135)</f>
        <v>0</v>
      </c>
      <c r="I135" s="163">
        <f>COUNTIFS(' CADASTRO'!$R$746:$R$893,'acab equip'!F135,' CADASTRO'!$S$746:$S$893,'acab equip'!$H$3)+COUNTIFS(' CADASTRO'!$R$746:$R$893,'acab equip'!F135,' CADASTRO'!$S$746:$S$893,'acab equip'!$G$3)</f>
        <v>0</v>
      </c>
      <c r="J135" s="162">
        <f t="shared" si="31"/>
        <v>46652</v>
      </c>
      <c r="K135" s="163">
        <f>COUNTIFS(' CADASTRO'!$S:$S,'acab equip'!$C$3,' CADASTRO'!$R:$R,'acab equip'!J135)</f>
        <v>0</v>
      </c>
      <c r="L135" s="163">
        <f>COUNTIFS(' CADASTRO'!$S:$S,'acab equip'!$D$3,' CADASTRO'!$R:$R,'acab equip'!J135)</f>
        <v>0</v>
      </c>
      <c r="M135" s="163">
        <f>COUNTIFS(' CADASTRO'!$R$746:$R$893,'acab equip'!J135,' CADASTRO'!$S$746:$S$893,'acab equip'!$L$3)+COUNTIFS(' CADASTRO'!$R$746:$R$893,'acab equip'!J135,' CADASTRO'!$S$746:$S$893,'acab equip'!$K$3)</f>
        <v>0</v>
      </c>
      <c r="N135" s="162">
        <f t="shared" si="32"/>
        <v>46653</v>
      </c>
      <c r="O135" s="163">
        <f>COUNTIFS(' CADASTRO'!$S:$S,'acab equip'!$C$3,' CADASTRO'!$R:$R,'acab equip'!N135)</f>
        <v>0</v>
      </c>
      <c r="P135" s="163">
        <f>COUNTIFS(' CADASTRO'!$S:$S,'acab equip'!$D$3,' CADASTRO'!$R:$R,'acab equip'!N135)</f>
        <v>0</v>
      </c>
      <c r="Q135" s="163">
        <f>COUNTIFS(' CADASTRO'!$R$746:$R$893,'acab equip'!N135,' CADASTRO'!$S$746:$S$893,'acab equip'!$P$3)+COUNTIFS(' CADASTRO'!$R$746:$R$893,'acab equip'!N135,' CADASTRO'!$S$746:$S$893,'acab equip'!$O$3)</f>
        <v>0</v>
      </c>
      <c r="R135" s="162">
        <f t="shared" si="33"/>
        <v>46654</v>
      </c>
      <c r="S135" s="163">
        <f>COUNTIFS(' CADASTRO'!$S:$S,'acab equip'!$C$3,' CADASTRO'!$R:$R,'acab equip'!R135)</f>
        <v>0</v>
      </c>
      <c r="T135" s="163">
        <f>COUNTIFS(' CADASTRO'!$S:$S,'acab equip'!$D$3,' CADASTRO'!$R:$R,'acab equip'!R135)</f>
        <v>0</v>
      </c>
      <c r="U135" s="163">
        <f>COUNTIFS(' CADASTRO'!$R$746:$R$893,'acab equip'!R135,' CADASTRO'!$S$746:$S$893,'acab equip'!$T$3)+COUNTIFS(' CADASTRO'!$R$746:$R$893,'acab equip'!R135,' CADASTRO'!$S$746:$S$893,'acab equip'!$S$3)</f>
        <v>0</v>
      </c>
      <c r="V135" s="162">
        <f t="shared" si="34"/>
        <v>46655</v>
      </c>
      <c r="W135" s="163">
        <f>COUNTIFS(' CADASTRO'!$S:$S,'acab equip'!$C$3,' CADASTRO'!$R:$R,'acab equip'!V135)</f>
        <v>0</v>
      </c>
      <c r="X135" s="163">
        <f>COUNTIFS(' CADASTRO'!$S:$S,'acab equip'!$D$3,' CADASTRO'!$R:$R,'acab equip'!V135)</f>
        <v>0</v>
      </c>
      <c r="Y135" s="163">
        <f>COUNTIFS(' CADASTRO'!$R$746:$R$893,'acab equip'!V135,' CADASTRO'!$S$746:$S$893,'acab equip'!$X$3)+COUNTIFS(' CADASTRO'!$R$746:$R$893,'acab equip'!V135,' CADASTRO'!$S$746:$S$893,'acab equip'!$W$3)</f>
        <v>0</v>
      </c>
      <c r="Z135" s="162">
        <f t="shared" si="35"/>
        <v>46656</v>
      </c>
      <c r="AB135" s="165">
        <f t="shared" si="25"/>
        <v>0</v>
      </c>
      <c r="AC135" s="165">
        <f t="shared" si="26"/>
        <v>0</v>
      </c>
      <c r="AD135" s="165">
        <f t="shared" si="27"/>
        <v>0</v>
      </c>
      <c r="AE135" s="177">
        <f t="shared" si="28"/>
        <v>0</v>
      </c>
    </row>
    <row r="136" spans="2:31" x14ac:dyDescent="0.25">
      <c r="B136" s="162">
        <f t="shared" si="29"/>
        <v>46657</v>
      </c>
      <c r="C136" s="163">
        <f>COUNTIFS(' CADASTRO'!$S:$S,'acab equip'!$C$3,' CADASTRO'!$R:$R,'acab equip'!B136)</f>
        <v>0</v>
      </c>
      <c r="D136" s="163">
        <f>COUNTIFS(' CADASTRO'!$S:$S,'acab equip'!$D$3,' CADASTRO'!$R:$R,'acab equip'!B136)</f>
        <v>0</v>
      </c>
      <c r="E136" s="163">
        <f>COUNTIFS(' CADASTRO'!$R$746:$R$893,'acab equip'!B136,' CADASTRO'!$S$746:$S$893,'acab equip'!$D$3)+COUNTIFS(' CADASTRO'!$R$746:$R$893,'acab equip'!B136,' CADASTRO'!$S$746:$S$893,'acab equip'!$C$3)</f>
        <v>0</v>
      </c>
      <c r="F136" s="162">
        <f t="shared" si="30"/>
        <v>46658</v>
      </c>
      <c r="G136" s="163">
        <f>COUNTIFS(' CADASTRO'!$S:$S,'acab equip'!$C$3,' CADASTRO'!$R:$R,'acab equip'!F136)</f>
        <v>0</v>
      </c>
      <c r="H136" s="163">
        <f>COUNTIFS(' CADASTRO'!$S:$S,'acab equip'!$D$3,' CADASTRO'!$R:$R,'acab equip'!F136)</f>
        <v>0</v>
      </c>
      <c r="I136" s="163">
        <f>COUNTIFS(' CADASTRO'!$R$746:$R$893,'acab equip'!F136,' CADASTRO'!$S$746:$S$893,'acab equip'!$H$3)+COUNTIFS(' CADASTRO'!$R$746:$R$893,'acab equip'!F136,' CADASTRO'!$S$746:$S$893,'acab equip'!$G$3)</f>
        <v>0</v>
      </c>
      <c r="J136" s="162">
        <f t="shared" si="31"/>
        <v>46659</v>
      </c>
      <c r="K136" s="163">
        <f>COUNTIFS(' CADASTRO'!$S:$S,'acab equip'!$C$3,' CADASTRO'!$R:$R,'acab equip'!J136)</f>
        <v>0</v>
      </c>
      <c r="L136" s="163">
        <f>COUNTIFS(' CADASTRO'!$S:$S,'acab equip'!$D$3,' CADASTRO'!$R:$R,'acab equip'!J136)</f>
        <v>0</v>
      </c>
      <c r="M136" s="163">
        <f>COUNTIFS(' CADASTRO'!$R$746:$R$893,'acab equip'!J136,' CADASTRO'!$S$746:$S$893,'acab equip'!$L$3)+COUNTIFS(' CADASTRO'!$R$746:$R$893,'acab equip'!J136,' CADASTRO'!$S$746:$S$893,'acab equip'!$K$3)</f>
        <v>0</v>
      </c>
      <c r="N136" s="162">
        <f t="shared" si="32"/>
        <v>46660</v>
      </c>
      <c r="O136" s="163">
        <f>COUNTIFS(' CADASTRO'!$S:$S,'acab equip'!$C$3,' CADASTRO'!$R:$R,'acab equip'!N136)</f>
        <v>0</v>
      </c>
      <c r="P136" s="163">
        <f>COUNTIFS(' CADASTRO'!$S:$S,'acab equip'!$D$3,' CADASTRO'!$R:$R,'acab equip'!N136)</f>
        <v>0</v>
      </c>
      <c r="Q136" s="163">
        <f>COUNTIFS(' CADASTRO'!$R$746:$R$893,'acab equip'!N136,' CADASTRO'!$S$746:$S$893,'acab equip'!$P$3)+COUNTIFS(' CADASTRO'!$R$746:$R$893,'acab equip'!N136,' CADASTRO'!$S$746:$S$893,'acab equip'!$O$3)</f>
        <v>0</v>
      </c>
      <c r="R136" s="162">
        <f t="shared" si="33"/>
        <v>46661</v>
      </c>
      <c r="S136" s="163">
        <f>COUNTIFS(' CADASTRO'!$S:$S,'acab equip'!$C$3,' CADASTRO'!$R:$R,'acab equip'!R136)</f>
        <v>0</v>
      </c>
      <c r="T136" s="163">
        <f>COUNTIFS(' CADASTRO'!$S:$S,'acab equip'!$D$3,' CADASTRO'!$R:$R,'acab equip'!R136)</f>
        <v>0</v>
      </c>
      <c r="U136" s="163">
        <f>COUNTIFS(' CADASTRO'!$R$746:$R$893,'acab equip'!R136,' CADASTRO'!$S$746:$S$893,'acab equip'!$T$3)+COUNTIFS(' CADASTRO'!$R$746:$R$893,'acab equip'!R136,' CADASTRO'!$S$746:$S$893,'acab equip'!$S$3)</f>
        <v>0</v>
      </c>
      <c r="V136" s="162">
        <f t="shared" si="34"/>
        <v>46662</v>
      </c>
      <c r="W136" s="163">
        <f>COUNTIFS(' CADASTRO'!$S:$S,'acab equip'!$C$3,' CADASTRO'!$R:$R,'acab equip'!V136)</f>
        <v>0</v>
      </c>
      <c r="X136" s="163">
        <f>COUNTIFS(' CADASTRO'!$S:$S,'acab equip'!$D$3,' CADASTRO'!$R:$R,'acab equip'!V136)</f>
        <v>0</v>
      </c>
      <c r="Y136" s="163">
        <f>COUNTIFS(' CADASTRO'!$R$746:$R$893,'acab equip'!V136,' CADASTRO'!$S$746:$S$893,'acab equip'!$X$3)+COUNTIFS(' CADASTRO'!$R$746:$R$893,'acab equip'!V136,' CADASTRO'!$S$746:$S$893,'acab equip'!$W$3)</f>
        <v>0</v>
      </c>
      <c r="Z136" s="162">
        <f t="shared" si="35"/>
        <v>46663</v>
      </c>
      <c r="AB136" s="165">
        <f t="shared" si="25"/>
        <v>0</v>
      </c>
      <c r="AC136" s="165">
        <f t="shared" si="26"/>
        <v>0</v>
      </c>
      <c r="AD136" s="165">
        <f t="shared" si="27"/>
        <v>0</v>
      </c>
      <c r="AE136" s="177">
        <f t="shared" si="28"/>
        <v>0</v>
      </c>
    </row>
    <row r="137" spans="2:31" x14ac:dyDescent="0.25">
      <c r="B137" s="162">
        <f t="shared" si="29"/>
        <v>46664</v>
      </c>
      <c r="C137" s="163">
        <f>COUNTIFS(' CADASTRO'!$S:$S,'acab equip'!$C$3,' CADASTRO'!$R:$R,'acab equip'!B137)</f>
        <v>0</v>
      </c>
      <c r="D137" s="163">
        <f>COUNTIFS(' CADASTRO'!$S:$S,'acab equip'!$D$3,' CADASTRO'!$R:$R,'acab equip'!B137)</f>
        <v>0</v>
      </c>
      <c r="E137" s="163">
        <f>COUNTIFS(' CADASTRO'!$R$746:$R$893,'acab equip'!B137,' CADASTRO'!$S$746:$S$893,'acab equip'!$D$3)+COUNTIFS(' CADASTRO'!$R$746:$R$893,'acab equip'!B137,' CADASTRO'!$S$746:$S$893,'acab equip'!$C$3)</f>
        <v>0</v>
      </c>
      <c r="F137" s="162">
        <f t="shared" si="30"/>
        <v>46665</v>
      </c>
      <c r="G137" s="163">
        <f>COUNTIFS(' CADASTRO'!$S:$S,'acab equip'!$C$3,' CADASTRO'!$R:$R,'acab equip'!F137)</f>
        <v>0</v>
      </c>
      <c r="H137" s="163">
        <f>COUNTIFS(' CADASTRO'!$S:$S,'acab equip'!$D$3,' CADASTRO'!$R:$R,'acab equip'!F137)</f>
        <v>0</v>
      </c>
      <c r="I137" s="163">
        <f>COUNTIFS(' CADASTRO'!$R$746:$R$893,'acab equip'!F137,' CADASTRO'!$S$746:$S$893,'acab equip'!$H$3)+COUNTIFS(' CADASTRO'!$R$746:$R$893,'acab equip'!F137,' CADASTRO'!$S$746:$S$893,'acab equip'!$G$3)</f>
        <v>0</v>
      </c>
      <c r="J137" s="162">
        <f t="shared" si="31"/>
        <v>46666</v>
      </c>
      <c r="K137" s="163">
        <f>COUNTIFS(' CADASTRO'!$S:$S,'acab equip'!$C$3,' CADASTRO'!$R:$R,'acab equip'!J137)</f>
        <v>0</v>
      </c>
      <c r="L137" s="163">
        <f>COUNTIFS(' CADASTRO'!$S:$S,'acab equip'!$D$3,' CADASTRO'!$R:$R,'acab equip'!J137)</f>
        <v>0</v>
      </c>
      <c r="M137" s="163">
        <f>COUNTIFS(' CADASTRO'!$R$746:$R$893,'acab equip'!J137,' CADASTRO'!$S$746:$S$893,'acab equip'!$L$3)+COUNTIFS(' CADASTRO'!$R$746:$R$893,'acab equip'!J137,' CADASTRO'!$S$746:$S$893,'acab equip'!$K$3)</f>
        <v>0</v>
      </c>
      <c r="N137" s="162">
        <f t="shared" si="32"/>
        <v>46667</v>
      </c>
      <c r="O137" s="163">
        <f>COUNTIFS(' CADASTRO'!$S:$S,'acab equip'!$C$3,' CADASTRO'!$R:$R,'acab equip'!N137)</f>
        <v>0</v>
      </c>
      <c r="P137" s="163">
        <f>COUNTIFS(' CADASTRO'!$S:$S,'acab equip'!$D$3,' CADASTRO'!$R:$R,'acab equip'!N137)</f>
        <v>0</v>
      </c>
      <c r="Q137" s="163">
        <f>COUNTIFS(' CADASTRO'!$R$746:$R$893,'acab equip'!N137,' CADASTRO'!$S$746:$S$893,'acab equip'!$P$3)+COUNTIFS(' CADASTRO'!$R$746:$R$893,'acab equip'!N137,' CADASTRO'!$S$746:$S$893,'acab equip'!$O$3)</f>
        <v>0</v>
      </c>
      <c r="R137" s="162">
        <f t="shared" si="33"/>
        <v>46668</v>
      </c>
      <c r="S137" s="163">
        <f>COUNTIFS(' CADASTRO'!$S:$S,'acab equip'!$C$3,' CADASTRO'!$R:$R,'acab equip'!R137)</f>
        <v>0</v>
      </c>
      <c r="T137" s="163">
        <f>COUNTIFS(' CADASTRO'!$S:$S,'acab equip'!$D$3,' CADASTRO'!$R:$R,'acab equip'!R137)</f>
        <v>0</v>
      </c>
      <c r="U137" s="163">
        <f>COUNTIFS(' CADASTRO'!$R$746:$R$893,'acab equip'!R137,' CADASTRO'!$S$746:$S$893,'acab equip'!$T$3)+COUNTIFS(' CADASTRO'!$R$746:$R$893,'acab equip'!R137,' CADASTRO'!$S$746:$S$893,'acab equip'!$S$3)</f>
        <v>0</v>
      </c>
      <c r="V137" s="162">
        <f t="shared" si="34"/>
        <v>46669</v>
      </c>
      <c r="W137" s="163">
        <f>COUNTIFS(' CADASTRO'!$S:$S,'acab equip'!$C$3,' CADASTRO'!$R:$R,'acab equip'!V137)</f>
        <v>0</v>
      </c>
      <c r="X137" s="163">
        <f>COUNTIFS(' CADASTRO'!$S:$S,'acab equip'!$D$3,' CADASTRO'!$R:$R,'acab equip'!V137)</f>
        <v>0</v>
      </c>
      <c r="Y137" s="163">
        <f>COUNTIFS(' CADASTRO'!$R$746:$R$893,'acab equip'!V137,' CADASTRO'!$S$746:$S$893,'acab equip'!$X$3)+COUNTIFS(' CADASTRO'!$R$746:$R$893,'acab equip'!V137,' CADASTRO'!$S$746:$S$893,'acab equip'!$W$3)</f>
        <v>0</v>
      </c>
      <c r="Z137" s="162">
        <f t="shared" si="35"/>
        <v>46670</v>
      </c>
      <c r="AB137" s="165">
        <f t="shared" si="25"/>
        <v>0</v>
      </c>
      <c r="AC137" s="165">
        <f t="shared" si="26"/>
        <v>0</v>
      </c>
      <c r="AD137" s="165">
        <f t="shared" si="27"/>
        <v>0</v>
      </c>
      <c r="AE137" s="177">
        <f t="shared" si="28"/>
        <v>0</v>
      </c>
    </row>
    <row r="138" spans="2:31" x14ac:dyDescent="0.25">
      <c r="B138" s="162">
        <f t="shared" si="29"/>
        <v>46671</v>
      </c>
      <c r="C138" s="163">
        <f>COUNTIFS(' CADASTRO'!$S:$S,'acab equip'!$C$3,' CADASTRO'!$R:$R,'acab equip'!B138)</f>
        <v>0</v>
      </c>
      <c r="D138" s="163">
        <f>COUNTIFS(' CADASTRO'!$S:$S,'acab equip'!$D$3,' CADASTRO'!$R:$R,'acab equip'!B138)</f>
        <v>0</v>
      </c>
      <c r="E138" s="163">
        <f>COUNTIFS(' CADASTRO'!$R$746:$R$893,'acab equip'!B138,' CADASTRO'!$S$746:$S$893,'acab equip'!$D$3)+COUNTIFS(' CADASTRO'!$R$746:$R$893,'acab equip'!B138,' CADASTRO'!$S$746:$S$893,'acab equip'!$C$3)</f>
        <v>0</v>
      </c>
      <c r="F138" s="162">
        <f t="shared" si="30"/>
        <v>46672</v>
      </c>
      <c r="G138" s="163">
        <f>COUNTIFS(' CADASTRO'!$S:$S,'acab equip'!$C$3,' CADASTRO'!$R:$R,'acab equip'!F138)</f>
        <v>0</v>
      </c>
      <c r="H138" s="163">
        <f>COUNTIFS(' CADASTRO'!$S:$S,'acab equip'!$D$3,' CADASTRO'!$R:$R,'acab equip'!F138)</f>
        <v>0</v>
      </c>
      <c r="I138" s="163">
        <f>COUNTIFS(' CADASTRO'!$R$746:$R$893,'acab equip'!F138,' CADASTRO'!$S$746:$S$893,'acab equip'!$H$3)+COUNTIFS(' CADASTRO'!$R$746:$R$893,'acab equip'!F138,' CADASTRO'!$S$746:$S$893,'acab equip'!$G$3)</f>
        <v>0</v>
      </c>
      <c r="J138" s="162">
        <f t="shared" si="31"/>
        <v>46673</v>
      </c>
      <c r="K138" s="163">
        <f>COUNTIFS(' CADASTRO'!$S:$S,'acab equip'!$C$3,' CADASTRO'!$R:$R,'acab equip'!J138)</f>
        <v>0</v>
      </c>
      <c r="L138" s="163">
        <f>COUNTIFS(' CADASTRO'!$S:$S,'acab equip'!$D$3,' CADASTRO'!$R:$R,'acab equip'!J138)</f>
        <v>0</v>
      </c>
      <c r="M138" s="163">
        <f>COUNTIFS(' CADASTRO'!$R$746:$R$893,'acab equip'!J138,' CADASTRO'!$S$746:$S$893,'acab equip'!$L$3)+COUNTIFS(' CADASTRO'!$R$746:$R$893,'acab equip'!J138,' CADASTRO'!$S$746:$S$893,'acab equip'!$K$3)</f>
        <v>0</v>
      </c>
      <c r="N138" s="162">
        <f t="shared" si="32"/>
        <v>46674</v>
      </c>
      <c r="O138" s="163">
        <f>COUNTIFS(' CADASTRO'!$S:$S,'acab equip'!$C$3,' CADASTRO'!$R:$R,'acab equip'!N138)</f>
        <v>0</v>
      </c>
      <c r="P138" s="163">
        <f>COUNTIFS(' CADASTRO'!$S:$S,'acab equip'!$D$3,' CADASTRO'!$R:$R,'acab equip'!N138)</f>
        <v>0</v>
      </c>
      <c r="Q138" s="163">
        <f>COUNTIFS(' CADASTRO'!$R$746:$R$893,'acab equip'!N138,' CADASTRO'!$S$746:$S$893,'acab equip'!$P$3)+COUNTIFS(' CADASTRO'!$R$746:$R$893,'acab equip'!N138,' CADASTRO'!$S$746:$S$893,'acab equip'!$O$3)</f>
        <v>0</v>
      </c>
      <c r="R138" s="162">
        <f t="shared" si="33"/>
        <v>46675</v>
      </c>
      <c r="S138" s="163">
        <f>COUNTIFS(' CADASTRO'!$S:$S,'acab equip'!$C$3,' CADASTRO'!$R:$R,'acab equip'!R138)</f>
        <v>0</v>
      </c>
      <c r="T138" s="163">
        <f>COUNTIFS(' CADASTRO'!$S:$S,'acab equip'!$D$3,' CADASTRO'!$R:$R,'acab equip'!R138)</f>
        <v>0</v>
      </c>
      <c r="U138" s="163">
        <f>COUNTIFS(' CADASTRO'!$R$746:$R$893,'acab equip'!R138,' CADASTRO'!$S$746:$S$893,'acab equip'!$T$3)+COUNTIFS(' CADASTRO'!$R$746:$R$893,'acab equip'!R138,' CADASTRO'!$S$746:$S$893,'acab equip'!$S$3)</f>
        <v>0</v>
      </c>
      <c r="V138" s="162">
        <f t="shared" si="34"/>
        <v>46676</v>
      </c>
      <c r="W138" s="163">
        <f>COUNTIFS(' CADASTRO'!$S:$S,'acab equip'!$C$3,' CADASTRO'!$R:$R,'acab equip'!V138)</f>
        <v>0</v>
      </c>
      <c r="X138" s="163">
        <f>COUNTIFS(' CADASTRO'!$S:$S,'acab equip'!$D$3,' CADASTRO'!$R:$R,'acab equip'!V138)</f>
        <v>0</v>
      </c>
      <c r="Y138" s="163">
        <f>COUNTIFS(' CADASTRO'!$R$746:$R$893,'acab equip'!V138,' CADASTRO'!$S$746:$S$893,'acab equip'!$X$3)+COUNTIFS(' CADASTRO'!$R$746:$R$893,'acab equip'!V138,' CADASTRO'!$S$746:$S$893,'acab equip'!$W$3)</f>
        <v>0</v>
      </c>
      <c r="Z138" s="162">
        <f t="shared" si="35"/>
        <v>46677</v>
      </c>
      <c r="AB138" s="165">
        <f t="shared" si="25"/>
        <v>0</v>
      </c>
      <c r="AC138" s="165">
        <f t="shared" si="26"/>
        <v>0</v>
      </c>
      <c r="AD138" s="165">
        <f t="shared" si="27"/>
        <v>0</v>
      </c>
      <c r="AE138" s="177">
        <f t="shared" si="28"/>
        <v>0</v>
      </c>
    </row>
    <row r="139" spans="2:31" x14ac:dyDescent="0.25">
      <c r="B139" s="162">
        <f t="shared" si="29"/>
        <v>46678</v>
      </c>
      <c r="C139" s="163">
        <f>COUNTIFS(' CADASTRO'!$S:$S,'acab equip'!$C$3,' CADASTRO'!$R:$R,'acab equip'!B139)</f>
        <v>0</v>
      </c>
      <c r="D139" s="163">
        <f>COUNTIFS(' CADASTRO'!$S:$S,'acab equip'!$D$3,' CADASTRO'!$R:$R,'acab equip'!B139)</f>
        <v>0</v>
      </c>
      <c r="E139" s="163">
        <f>COUNTIFS(' CADASTRO'!$R$746:$R$893,'acab equip'!B139,' CADASTRO'!$S$746:$S$893,'acab equip'!$D$3)+COUNTIFS(' CADASTRO'!$R$746:$R$893,'acab equip'!B139,' CADASTRO'!$S$746:$S$893,'acab equip'!$C$3)</f>
        <v>0</v>
      </c>
      <c r="F139" s="162">
        <f t="shared" si="30"/>
        <v>46679</v>
      </c>
      <c r="G139" s="163">
        <f>COUNTIFS(' CADASTRO'!$S:$S,'acab equip'!$C$3,' CADASTRO'!$R:$R,'acab equip'!F139)</f>
        <v>0</v>
      </c>
      <c r="H139" s="163">
        <f>COUNTIFS(' CADASTRO'!$S:$S,'acab equip'!$D$3,' CADASTRO'!$R:$R,'acab equip'!F139)</f>
        <v>0</v>
      </c>
      <c r="I139" s="163">
        <f>COUNTIFS(' CADASTRO'!$R$746:$R$893,'acab equip'!F139,' CADASTRO'!$S$746:$S$893,'acab equip'!$H$3)+COUNTIFS(' CADASTRO'!$R$746:$R$893,'acab equip'!F139,' CADASTRO'!$S$746:$S$893,'acab equip'!$G$3)</f>
        <v>0</v>
      </c>
      <c r="J139" s="162">
        <f t="shared" si="31"/>
        <v>46680</v>
      </c>
      <c r="K139" s="163">
        <f>COUNTIFS(' CADASTRO'!$S:$S,'acab equip'!$C$3,' CADASTRO'!$R:$R,'acab equip'!J139)</f>
        <v>0</v>
      </c>
      <c r="L139" s="163">
        <f>COUNTIFS(' CADASTRO'!$S:$S,'acab equip'!$D$3,' CADASTRO'!$R:$R,'acab equip'!J139)</f>
        <v>0</v>
      </c>
      <c r="M139" s="163">
        <f>COUNTIFS(' CADASTRO'!$R$746:$R$893,'acab equip'!J139,' CADASTRO'!$S$746:$S$893,'acab equip'!$L$3)+COUNTIFS(' CADASTRO'!$R$746:$R$893,'acab equip'!J139,' CADASTRO'!$S$746:$S$893,'acab equip'!$K$3)</f>
        <v>0</v>
      </c>
      <c r="N139" s="162">
        <f t="shared" si="32"/>
        <v>46681</v>
      </c>
      <c r="O139" s="163">
        <f>COUNTIFS(' CADASTRO'!$S:$S,'acab equip'!$C$3,' CADASTRO'!$R:$R,'acab equip'!N139)</f>
        <v>0</v>
      </c>
      <c r="P139" s="163">
        <f>COUNTIFS(' CADASTRO'!$S:$S,'acab equip'!$D$3,' CADASTRO'!$R:$R,'acab equip'!N139)</f>
        <v>0</v>
      </c>
      <c r="Q139" s="163">
        <f>COUNTIFS(' CADASTRO'!$R$746:$R$893,'acab equip'!N139,' CADASTRO'!$S$746:$S$893,'acab equip'!$P$3)+COUNTIFS(' CADASTRO'!$R$746:$R$893,'acab equip'!N139,' CADASTRO'!$S$746:$S$893,'acab equip'!$O$3)</f>
        <v>0</v>
      </c>
      <c r="R139" s="162">
        <f t="shared" si="33"/>
        <v>46682</v>
      </c>
      <c r="S139" s="163">
        <f>COUNTIFS(' CADASTRO'!$S:$S,'acab equip'!$C$3,' CADASTRO'!$R:$R,'acab equip'!R139)</f>
        <v>0</v>
      </c>
      <c r="T139" s="163">
        <f>COUNTIFS(' CADASTRO'!$S:$S,'acab equip'!$D$3,' CADASTRO'!$R:$R,'acab equip'!R139)</f>
        <v>0</v>
      </c>
      <c r="U139" s="163">
        <f>COUNTIFS(' CADASTRO'!$R$746:$R$893,'acab equip'!R139,' CADASTRO'!$S$746:$S$893,'acab equip'!$T$3)+COUNTIFS(' CADASTRO'!$R$746:$R$893,'acab equip'!R139,' CADASTRO'!$S$746:$S$893,'acab equip'!$S$3)</f>
        <v>0</v>
      </c>
      <c r="V139" s="162">
        <f t="shared" si="34"/>
        <v>46683</v>
      </c>
      <c r="W139" s="163">
        <f>COUNTIFS(' CADASTRO'!$S:$S,'acab equip'!$C$3,' CADASTRO'!$R:$R,'acab equip'!V139)</f>
        <v>0</v>
      </c>
      <c r="X139" s="163">
        <f>COUNTIFS(' CADASTRO'!$S:$S,'acab equip'!$D$3,' CADASTRO'!$R:$R,'acab equip'!V139)</f>
        <v>0</v>
      </c>
      <c r="Y139" s="163">
        <f>COUNTIFS(' CADASTRO'!$R$746:$R$893,'acab equip'!V139,' CADASTRO'!$S$746:$S$893,'acab equip'!$X$3)+COUNTIFS(' CADASTRO'!$R$746:$R$893,'acab equip'!V139,' CADASTRO'!$S$746:$S$893,'acab equip'!$W$3)</f>
        <v>0</v>
      </c>
      <c r="Z139" s="162">
        <f t="shared" si="35"/>
        <v>46684</v>
      </c>
      <c r="AB139" s="165">
        <f t="shared" si="25"/>
        <v>0</v>
      </c>
      <c r="AC139" s="165">
        <f t="shared" si="26"/>
        <v>0</v>
      </c>
      <c r="AD139" s="165">
        <f t="shared" si="27"/>
        <v>0</v>
      </c>
      <c r="AE139" s="177">
        <f t="shared" si="28"/>
        <v>0</v>
      </c>
    </row>
    <row r="140" spans="2:31" x14ac:dyDescent="0.25">
      <c r="B140" s="162">
        <f t="shared" si="29"/>
        <v>46685</v>
      </c>
      <c r="C140" s="163">
        <f>COUNTIFS(' CADASTRO'!$S:$S,'acab equip'!$C$3,' CADASTRO'!$R:$R,'acab equip'!B140)</f>
        <v>0</v>
      </c>
      <c r="D140" s="163">
        <f>COUNTIFS(' CADASTRO'!$S:$S,'acab equip'!$D$3,' CADASTRO'!$R:$R,'acab equip'!B140)</f>
        <v>0</v>
      </c>
      <c r="E140" s="163">
        <f>COUNTIFS(' CADASTRO'!$R$746:$R$893,'acab equip'!B140,' CADASTRO'!$S$746:$S$893,'acab equip'!$D$3)+COUNTIFS(' CADASTRO'!$R$746:$R$893,'acab equip'!B140,' CADASTRO'!$S$746:$S$893,'acab equip'!$C$3)</f>
        <v>0</v>
      </c>
      <c r="F140" s="162">
        <f t="shared" si="30"/>
        <v>46686</v>
      </c>
      <c r="G140" s="163">
        <f>COUNTIFS(' CADASTRO'!$S:$S,'acab equip'!$C$3,' CADASTRO'!$R:$R,'acab equip'!F140)</f>
        <v>0</v>
      </c>
      <c r="H140" s="163">
        <f>COUNTIFS(' CADASTRO'!$S:$S,'acab equip'!$D$3,' CADASTRO'!$R:$R,'acab equip'!F140)</f>
        <v>0</v>
      </c>
      <c r="I140" s="163">
        <f>COUNTIFS(' CADASTRO'!$R$746:$R$893,'acab equip'!F140,' CADASTRO'!$S$746:$S$893,'acab equip'!$H$3)+COUNTIFS(' CADASTRO'!$R$746:$R$893,'acab equip'!F140,' CADASTRO'!$S$746:$S$893,'acab equip'!$G$3)</f>
        <v>0</v>
      </c>
      <c r="J140" s="162">
        <f t="shared" si="31"/>
        <v>46687</v>
      </c>
      <c r="K140" s="163">
        <f>COUNTIFS(' CADASTRO'!$S:$S,'acab equip'!$C$3,' CADASTRO'!$R:$R,'acab equip'!J140)</f>
        <v>0</v>
      </c>
      <c r="L140" s="163">
        <f>COUNTIFS(' CADASTRO'!$S:$S,'acab equip'!$D$3,' CADASTRO'!$R:$R,'acab equip'!J140)</f>
        <v>0</v>
      </c>
      <c r="M140" s="163">
        <f>COUNTIFS(' CADASTRO'!$R$746:$R$893,'acab equip'!J140,' CADASTRO'!$S$746:$S$893,'acab equip'!$L$3)+COUNTIFS(' CADASTRO'!$R$746:$R$893,'acab equip'!J140,' CADASTRO'!$S$746:$S$893,'acab equip'!$K$3)</f>
        <v>0</v>
      </c>
      <c r="N140" s="162">
        <f t="shared" si="32"/>
        <v>46688</v>
      </c>
      <c r="O140" s="163">
        <f>COUNTIFS(' CADASTRO'!$S:$S,'acab equip'!$C$3,' CADASTRO'!$R:$R,'acab equip'!N140)</f>
        <v>0</v>
      </c>
      <c r="P140" s="163">
        <f>COUNTIFS(' CADASTRO'!$S:$S,'acab equip'!$D$3,' CADASTRO'!$R:$R,'acab equip'!N140)</f>
        <v>0</v>
      </c>
      <c r="Q140" s="163">
        <f>COUNTIFS(' CADASTRO'!$R$746:$R$893,'acab equip'!N140,' CADASTRO'!$S$746:$S$893,'acab equip'!$P$3)+COUNTIFS(' CADASTRO'!$R$746:$R$893,'acab equip'!N140,' CADASTRO'!$S$746:$S$893,'acab equip'!$O$3)</f>
        <v>0</v>
      </c>
      <c r="R140" s="162">
        <f t="shared" si="33"/>
        <v>46689</v>
      </c>
      <c r="S140" s="163">
        <f>COUNTIFS(' CADASTRO'!$S:$S,'acab equip'!$C$3,' CADASTRO'!$R:$R,'acab equip'!R140)</f>
        <v>0</v>
      </c>
      <c r="T140" s="163">
        <f>COUNTIFS(' CADASTRO'!$S:$S,'acab equip'!$D$3,' CADASTRO'!$R:$R,'acab equip'!R140)</f>
        <v>0</v>
      </c>
      <c r="U140" s="163">
        <f>COUNTIFS(' CADASTRO'!$R$746:$R$893,'acab equip'!R140,' CADASTRO'!$S$746:$S$893,'acab equip'!$T$3)+COUNTIFS(' CADASTRO'!$R$746:$R$893,'acab equip'!R140,' CADASTRO'!$S$746:$S$893,'acab equip'!$S$3)</f>
        <v>0</v>
      </c>
      <c r="V140" s="162">
        <f t="shared" si="34"/>
        <v>46690</v>
      </c>
      <c r="W140" s="163">
        <f>COUNTIFS(' CADASTRO'!$S:$S,'acab equip'!$C$3,' CADASTRO'!$R:$R,'acab equip'!V140)</f>
        <v>0</v>
      </c>
      <c r="X140" s="163">
        <f>COUNTIFS(' CADASTRO'!$S:$S,'acab equip'!$D$3,' CADASTRO'!$R:$R,'acab equip'!V140)</f>
        <v>0</v>
      </c>
      <c r="Y140" s="163">
        <f>COUNTIFS(' CADASTRO'!$R$746:$R$893,'acab equip'!V140,' CADASTRO'!$S$746:$S$893,'acab equip'!$X$3)+COUNTIFS(' CADASTRO'!$R$746:$R$893,'acab equip'!V140,' CADASTRO'!$S$746:$S$893,'acab equip'!$W$3)</f>
        <v>0</v>
      </c>
      <c r="Z140" s="162">
        <f t="shared" si="35"/>
        <v>46691</v>
      </c>
      <c r="AB140" s="165">
        <f t="shared" si="25"/>
        <v>0</v>
      </c>
      <c r="AC140" s="165">
        <f t="shared" si="26"/>
        <v>0</v>
      </c>
      <c r="AD140" s="165">
        <f t="shared" si="27"/>
        <v>0</v>
      </c>
      <c r="AE140" s="177">
        <f t="shared" si="28"/>
        <v>0</v>
      </c>
    </row>
    <row r="141" spans="2:31" x14ac:dyDescent="0.25">
      <c r="B141" s="162">
        <f t="shared" si="29"/>
        <v>46692</v>
      </c>
      <c r="C141" s="163">
        <f>COUNTIFS(' CADASTRO'!$S:$S,'acab equip'!$C$3,' CADASTRO'!$R:$R,'acab equip'!B141)</f>
        <v>0</v>
      </c>
      <c r="D141" s="163">
        <f>COUNTIFS(' CADASTRO'!$S:$S,'acab equip'!$D$3,' CADASTRO'!$R:$R,'acab equip'!B141)</f>
        <v>0</v>
      </c>
      <c r="E141" s="163">
        <f>COUNTIFS(' CADASTRO'!$R$746:$R$893,'acab equip'!B141,' CADASTRO'!$S$746:$S$893,'acab equip'!$D$3)+COUNTIFS(' CADASTRO'!$R$746:$R$893,'acab equip'!B141,' CADASTRO'!$S$746:$S$893,'acab equip'!$C$3)</f>
        <v>0</v>
      </c>
      <c r="F141" s="162">
        <f t="shared" si="30"/>
        <v>46693</v>
      </c>
      <c r="G141" s="163">
        <f>COUNTIFS(' CADASTRO'!$S:$S,'acab equip'!$C$3,' CADASTRO'!$R:$R,'acab equip'!F141)</f>
        <v>0</v>
      </c>
      <c r="H141" s="163">
        <f>COUNTIFS(' CADASTRO'!$S:$S,'acab equip'!$D$3,' CADASTRO'!$R:$R,'acab equip'!F141)</f>
        <v>0</v>
      </c>
      <c r="I141" s="163">
        <f>COUNTIFS(' CADASTRO'!$R$746:$R$893,'acab equip'!F141,' CADASTRO'!$S$746:$S$893,'acab equip'!$H$3)+COUNTIFS(' CADASTRO'!$R$746:$R$893,'acab equip'!F141,' CADASTRO'!$S$746:$S$893,'acab equip'!$G$3)</f>
        <v>0</v>
      </c>
      <c r="J141" s="162">
        <f t="shared" si="31"/>
        <v>46694</v>
      </c>
      <c r="K141" s="163">
        <f>COUNTIFS(' CADASTRO'!$S:$S,'acab equip'!$C$3,' CADASTRO'!$R:$R,'acab equip'!J141)</f>
        <v>0</v>
      </c>
      <c r="L141" s="163">
        <f>COUNTIFS(' CADASTRO'!$S:$S,'acab equip'!$D$3,' CADASTRO'!$R:$R,'acab equip'!J141)</f>
        <v>0</v>
      </c>
      <c r="M141" s="163">
        <f>COUNTIFS(' CADASTRO'!$R$746:$R$893,'acab equip'!J141,' CADASTRO'!$S$746:$S$893,'acab equip'!$L$3)+COUNTIFS(' CADASTRO'!$R$746:$R$893,'acab equip'!J141,' CADASTRO'!$S$746:$S$893,'acab equip'!$K$3)</f>
        <v>0</v>
      </c>
      <c r="N141" s="162">
        <f t="shared" si="32"/>
        <v>46695</v>
      </c>
      <c r="O141" s="163">
        <f>COUNTIFS(' CADASTRO'!$S:$S,'acab equip'!$C$3,' CADASTRO'!$R:$R,'acab equip'!N141)</f>
        <v>0</v>
      </c>
      <c r="P141" s="163">
        <f>COUNTIFS(' CADASTRO'!$S:$S,'acab equip'!$D$3,' CADASTRO'!$R:$R,'acab equip'!N141)</f>
        <v>0</v>
      </c>
      <c r="Q141" s="163">
        <f>COUNTIFS(' CADASTRO'!$R$746:$R$893,'acab equip'!N141,' CADASTRO'!$S$746:$S$893,'acab equip'!$P$3)+COUNTIFS(' CADASTRO'!$R$746:$R$893,'acab equip'!N141,' CADASTRO'!$S$746:$S$893,'acab equip'!$O$3)</f>
        <v>0</v>
      </c>
      <c r="R141" s="162">
        <f t="shared" si="33"/>
        <v>46696</v>
      </c>
      <c r="S141" s="163">
        <f>COUNTIFS(' CADASTRO'!$S:$S,'acab equip'!$C$3,' CADASTRO'!$R:$R,'acab equip'!R141)</f>
        <v>0</v>
      </c>
      <c r="T141" s="163">
        <f>COUNTIFS(' CADASTRO'!$S:$S,'acab equip'!$D$3,' CADASTRO'!$R:$R,'acab equip'!R141)</f>
        <v>0</v>
      </c>
      <c r="U141" s="163">
        <f>COUNTIFS(' CADASTRO'!$R$746:$R$893,'acab equip'!R141,' CADASTRO'!$S$746:$S$893,'acab equip'!$T$3)+COUNTIFS(' CADASTRO'!$R$746:$R$893,'acab equip'!R141,' CADASTRO'!$S$746:$S$893,'acab equip'!$S$3)</f>
        <v>0</v>
      </c>
      <c r="V141" s="162">
        <f t="shared" si="34"/>
        <v>46697</v>
      </c>
      <c r="W141" s="163">
        <f>COUNTIFS(' CADASTRO'!$S:$S,'acab equip'!$C$3,' CADASTRO'!$R:$R,'acab equip'!V141)</f>
        <v>0</v>
      </c>
      <c r="X141" s="163">
        <f>COUNTIFS(' CADASTRO'!$S:$S,'acab equip'!$D$3,' CADASTRO'!$R:$R,'acab equip'!V141)</f>
        <v>0</v>
      </c>
      <c r="Y141" s="163">
        <f>COUNTIFS(' CADASTRO'!$R$746:$R$893,'acab equip'!V141,' CADASTRO'!$S$746:$S$893,'acab equip'!$X$3)+COUNTIFS(' CADASTRO'!$R$746:$R$893,'acab equip'!V141,' CADASTRO'!$S$746:$S$893,'acab equip'!$W$3)</f>
        <v>0</v>
      </c>
      <c r="Z141" s="162">
        <f t="shared" si="35"/>
        <v>46698</v>
      </c>
      <c r="AB141" s="165">
        <f t="shared" si="25"/>
        <v>0</v>
      </c>
      <c r="AC141" s="165">
        <f t="shared" si="26"/>
        <v>0</v>
      </c>
      <c r="AD141" s="165">
        <f t="shared" si="27"/>
        <v>0</v>
      </c>
      <c r="AE141" s="177">
        <f t="shared" si="28"/>
        <v>0</v>
      </c>
    </row>
    <row r="142" spans="2:31" x14ac:dyDescent="0.25">
      <c r="B142" s="162">
        <f t="shared" si="29"/>
        <v>46699</v>
      </c>
      <c r="C142" s="163">
        <f>COUNTIFS(' CADASTRO'!$S:$S,'acab equip'!$C$3,' CADASTRO'!$R:$R,'acab equip'!B142)</f>
        <v>0</v>
      </c>
      <c r="D142" s="163">
        <f>COUNTIFS(' CADASTRO'!$S:$S,'acab equip'!$D$3,' CADASTRO'!$R:$R,'acab equip'!B142)</f>
        <v>0</v>
      </c>
      <c r="E142" s="163">
        <f>COUNTIFS(' CADASTRO'!$R$746:$R$893,'acab equip'!B142,' CADASTRO'!$S$746:$S$893,'acab equip'!$D$3)+COUNTIFS(' CADASTRO'!$R$746:$R$893,'acab equip'!B142,' CADASTRO'!$S$746:$S$893,'acab equip'!$C$3)</f>
        <v>0</v>
      </c>
      <c r="F142" s="162">
        <f t="shared" si="30"/>
        <v>46700</v>
      </c>
      <c r="G142" s="163">
        <f>COUNTIFS(' CADASTRO'!$S:$S,'acab equip'!$C$3,' CADASTRO'!$R:$R,'acab equip'!F142)</f>
        <v>0</v>
      </c>
      <c r="H142" s="163">
        <f>COUNTIFS(' CADASTRO'!$S:$S,'acab equip'!$D$3,' CADASTRO'!$R:$R,'acab equip'!F142)</f>
        <v>0</v>
      </c>
      <c r="I142" s="163">
        <f>COUNTIFS(' CADASTRO'!$R$746:$R$893,'acab equip'!F142,' CADASTRO'!$S$746:$S$893,'acab equip'!$H$3)+COUNTIFS(' CADASTRO'!$R$746:$R$893,'acab equip'!F142,' CADASTRO'!$S$746:$S$893,'acab equip'!$G$3)</f>
        <v>0</v>
      </c>
      <c r="J142" s="162">
        <f t="shared" si="31"/>
        <v>46701</v>
      </c>
      <c r="K142" s="163">
        <f>COUNTIFS(' CADASTRO'!$S:$S,'acab equip'!$C$3,' CADASTRO'!$R:$R,'acab equip'!J142)</f>
        <v>0</v>
      </c>
      <c r="L142" s="163">
        <f>COUNTIFS(' CADASTRO'!$S:$S,'acab equip'!$D$3,' CADASTRO'!$R:$R,'acab equip'!J142)</f>
        <v>0</v>
      </c>
      <c r="M142" s="163">
        <f>COUNTIFS(' CADASTRO'!$R$746:$R$893,'acab equip'!J142,' CADASTRO'!$S$746:$S$893,'acab equip'!$L$3)+COUNTIFS(' CADASTRO'!$R$746:$R$893,'acab equip'!J142,' CADASTRO'!$S$746:$S$893,'acab equip'!$K$3)</f>
        <v>0</v>
      </c>
      <c r="N142" s="162">
        <f t="shared" si="32"/>
        <v>46702</v>
      </c>
      <c r="O142" s="163">
        <f>COUNTIFS(' CADASTRO'!$S:$S,'acab equip'!$C$3,' CADASTRO'!$R:$R,'acab equip'!N142)</f>
        <v>0</v>
      </c>
      <c r="P142" s="163">
        <f>COUNTIFS(' CADASTRO'!$S:$S,'acab equip'!$D$3,' CADASTRO'!$R:$R,'acab equip'!N142)</f>
        <v>0</v>
      </c>
      <c r="Q142" s="163">
        <f>COUNTIFS(' CADASTRO'!$R$746:$R$893,'acab equip'!N142,' CADASTRO'!$S$746:$S$893,'acab equip'!$P$3)+COUNTIFS(' CADASTRO'!$R$746:$R$893,'acab equip'!N142,' CADASTRO'!$S$746:$S$893,'acab equip'!$O$3)</f>
        <v>0</v>
      </c>
      <c r="R142" s="162">
        <f t="shared" si="33"/>
        <v>46703</v>
      </c>
      <c r="S142" s="163">
        <f>COUNTIFS(' CADASTRO'!$S:$S,'acab equip'!$C$3,' CADASTRO'!$R:$R,'acab equip'!R142)</f>
        <v>0</v>
      </c>
      <c r="T142" s="163">
        <f>COUNTIFS(' CADASTRO'!$S:$S,'acab equip'!$D$3,' CADASTRO'!$R:$R,'acab equip'!R142)</f>
        <v>0</v>
      </c>
      <c r="U142" s="163">
        <f>COUNTIFS(' CADASTRO'!$R$746:$R$893,'acab equip'!R142,' CADASTRO'!$S$746:$S$893,'acab equip'!$T$3)+COUNTIFS(' CADASTRO'!$R$746:$R$893,'acab equip'!R142,' CADASTRO'!$S$746:$S$893,'acab equip'!$S$3)</f>
        <v>0</v>
      </c>
      <c r="V142" s="162">
        <f t="shared" si="34"/>
        <v>46704</v>
      </c>
      <c r="W142" s="163">
        <f>COUNTIFS(' CADASTRO'!$S:$S,'acab equip'!$C$3,' CADASTRO'!$R:$R,'acab equip'!V142)</f>
        <v>0</v>
      </c>
      <c r="X142" s="163">
        <f>COUNTIFS(' CADASTRO'!$S:$S,'acab equip'!$D$3,' CADASTRO'!$R:$R,'acab equip'!V142)</f>
        <v>0</v>
      </c>
      <c r="Y142" s="163">
        <f>COUNTIFS(' CADASTRO'!$R$746:$R$893,'acab equip'!V142,' CADASTRO'!$S$746:$S$893,'acab equip'!$X$3)+COUNTIFS(' CADASTRO'!$R$746:$R$893,'acab equip'!V142,' CADASTRO'!$S$746:$S$893,'acab equip'!$W$3)</f>
        <v>0</v>
      </c>
      <c r="Z142" s="162">
        <f t="shared" si="35"/>
        <v>46705</v>
      </c>
      <c r="AB142" s="165">
        <f t="shared" si="25"/>
        <v>0</v>
      </c>
      <c r="AC142" s="165">
        <f t="shared" si="26"/>
        <v>0</v>
      </c>
      <c r="AD142" s="165">
        <f t="shared" si="27"/>
        <v>0</v>
      </c>
      <c r="AE142" s="177">
        <f t="shared" si="28"/>
        <v>0</v>
      </c>
    </row>
    <row r="143" spans="2:31" x14ac:dyDescent="0.25">
      <c r="B143" s="162">
        <f t="shared" si="29"/>
        <v>46706</v>
      </c>
      <c r="C143" s="163">
        <f>COUNTIFS(' CADASTRO'!$S:$S,'acab equip'!$C$3,' CADASTRO'!$R:$R,'acab equip'!B143)</f>
        <v>0</v>
      </c>
      <c r="D143" s="163">
        <f>COUNTIFS(' CADASTRO'!$S:$S,'acab equip'!$D$3,' CADASTRO'!$R:$R,'acab equip'!B143)</f>
        <v>0</v>
      </c>
      <c r="E143" s="163">
        <f>COUNTIFS(' CADASTRO'!$R$746:$R$893,'acab equip'!B143,' CADASTRO'!$S$746:$S$893,'acab equip'!$D$3)+COUNTIFS(' CADASTRO'!$R$746:$R$893,'acab equip'!B143,' CADASTRO'!$S$746:$S$893,'acab equip'!$C$3)</f>
        <v>0</v>
      </c>
      <c r="F143" s="162">
        <f t="shared" si="30"/>
        <v>46707</v>
      </c>
      <c r="G143" s="163">
        <f>COUNTIFS(' CADASTRO'!$S:$S,'acab equip'!$C$3,' CADASTRO'!$R:$R,'acab equip'!F143)</f>
        <v>0</v>
      </c>
      <c r="H143" s="163">
        <f>COUNTIFS(' CADASTRO'!$S:$S,'acab equip'!$D$3,' CADASTRO'!$R:$R,'acab equip'!F143)</f>
        <v>0</v>
      </c>
      <c r="I143" s="163">
        <f>COUNTIFS(' CADASTRO'!$R$746:$R$893,'acab equip'!F143,' CADASTRO'!$S$746:$S$893,'acab equip'!$H$3)+COUNTIFS(' CADASTRO'!$R$746:$R$893,'acab equip'!F143,' CADASTRO'!$S$746:$S$893,'acab equip'!$G$3)</f>
        <v>0</v>
      </c>
      <c r="J143" s="162">
        <f t="shared" si="31"/>
        <v>46708</v>
      </c>
      <c r="K143" s="163">
        <f>COUNTIFS(' CADASTRO'!$S:$S,'acab equip'!$C$3,' CADASTRO'!$R:$R,'acab equip'!J143)</f>
        <v>0</v>
      </c>
      <c r="L143" s="163">
        <f>COUNTIFS(' CADASTRO'!$S:$S,'acab equip'!$D$3,' CADASTRO'!$R:$R,'acab equip'!J143)</f>
        <v>0</v>
      </c>
      <c r="M143" s="163">
        <f>COUNTIFS(' CADASTRO'!$R$746:$R$893,'acab equip'!J143,' CADASTRO'!$S$746:$S$893,'acab equip'!$L$3)+COUNTIFS(' CADASTRO'!$R$746:$R$893,'acab equip'!J143,' CADASTRO'!$S$746:$S$893,'acab equip'!$K$3)</f>
        <v>0</v>
      </c>
      <c r="N143" s="162">
        <f t="shared" si="32"/>
        <v>46709</v>
      </c>
      <c r="O143" s="163">
        <f>COUNTIFS(' CADASTRO'!$S:$S,'acab equip'!$C$3,' CADASTRO'!$R:$R,'acab equip'!N143)</f>
        <v>0</v>
      </c>
      <c r="P143" s="163">
        <f>COUNTIFS(' CADASTRO'!$S:$S,'acab equip'!$D$3,' CADASTRO'!$R:$R,'acab equip'!N143)</f>
        <v>0</v>
      </c>
      <c r="Q143" s="163">
        <f>COUNTIFS(' CADASTRO'!$R$746:$R$893,'acab equip'!N143,' CADASTRO'!$S$746:$S$893,'acab equip'!$P$3)+COUNTIFS(' CADASTRO'!$R$746:$R$893,'acab equip'!N143,' CADASTRO'!$S$746:$S$893,'acab equip'!$O$3)</f>
        <v>0</v>
      </c>
      <c r="R143" s="162">
        <f t="shared" si="33"/>
        <v>46710</v>
      </c>
      <c r="S143" s="163">
        <f>COUNTIFS(' CADASTRO'!$S:$S,'acab equip'!$C$3,' CADASTRO'!$R:$R,'acab equip'!R143)</f>
        <v>0</v>
      </c>
      <c r="T143" s="163">
        <f>COUNTIFS(' CADASTRO'!$S:$S,'acab equip'!$D$3,' CADASTRO'!$R:$R,'acab equip'!R143)</f>
        <v>0</v>
      </c>
      <c r="U143" s="163">
        <f>COUNTIFS(' CADASTRO'!$R$746:$R$893,'acab equip'!R143,' CADASTRO'!$S$746:$S$893,'acab equip'!$T$3)+COUNTIFS(' CADASTRO'!$R$746:$R$893,'acab equip'!R143,' CADASTRO'!$S$746:$S$893,'acab equip'!$S$3)</f>
        <v>0</v>
      </c>
      <c r="V143" s="162">
        <f t="shared" si="34"/>
        <v>46711</v>
      </c>
      <c r="W143" s="163">
        <f>COUNTIFS(' CADASTRO'!$S:$S,'acab equip'!$C$3,' CADASTRO'!$R:$R,'acab equip'!V143)</f>
        <v>0</v>
      </c>
      <c r="X143" s="163">
        <f>COUNTIFS(' CADASTRO'!$S:$S,'acab equip'!$D$3,' CADASTRO'!$R:$R,'acab equip'!V143)</f>
        <v>0</v>
      </c>
      <c r="Y143" s="163">
        <f>COUNTIFS(' CADASTRO'!$R$746:$R$893,'acab equip'!V143,' CADASTRO'!$S$746:$S$893,'acab equip'!$X$3)+COUNTIFS(' CADASTRO'!$R$746:$R$893,'acab equip'!V143,' CADASTRO'!$S$746:$S$893,'acab equip'!$W$3)</f>
        <v>0</v>
      </c>
      <c r="Z143" s="162">
        <f t="shared" si="35"/>
        <v>46712</v>
      </c>
      <c r="AB143" s="165">
        <f t="shared" si="25"/>
        <v>0</v>
      </c>
      <c r="AC143" s="165">
        <f t="shared" si="26"/>
        <v>0</v>
      </c>
      <c r="AD143" s="165">
        <f t="shared" si="27"/>
        <v>0</v>
      </c>
      <c r="AE143" s="177">
        <f t="shared" si="28"/>
        <v>0</v>
      </c>
    </row>
    <row r="144" spans="2:31" x14ac:dyDescent="0.25">
      <c r="B144" s="162">
        <f t="shared" si="29"/>
        <v>46713</v>
      </c>
      <c r="C144" s="163">
        <f>COUNTIFS(' CADASTRO'!$S:$S,'acab equip'!$C$3,' CADASTRO'!$R:$R,'acab equip'!B144)</f>
        <v>0</v>
      </c>
      <c r="D144" s="163">
        <f>COUNTIFS(' CADASTRO'!$S:$S,'acab equip'!$D$3,' CADASTRO'!$R:$R,'acab equip'!B144)</f>
        <v>0</v>
      </c>
      <c r="E144" s="163">
        <f>COUNTIFS(' CADASTRO'!$R$746:$R$893,'acab equip'!B144,' CADASTRO'!$S$746:$S$893,'acab equip'!$D$3)+COUNTIFS(' CADASTRO'!$R$746:$R$893,'acab equip'!B144,' CADASTRO'!$S$746:$S$893,'acab equip'!$C$3)</f>
        <v>0</v>
      </c>
      <c r="F144" s="162">
        <f t="shared" si="30"/>
        <v>46714</v>
      </c>
      <c r="G144" s="163">
        <f>COUNTIFS(' CADASTRO'!$S:$S,'acab equip'!$C$3,' CADASTRO'!$R:$R,'acab equip'!F144)</f>
        <v>0</v>
      </c>
      <c r="H144" s="163">
        <f>COUNTIFS(' CADASTRO'!$S:$S,'acab equip'!$D$3,' CADASTRO'!$R:$R,'acab equip'!F144)</f>
        <v>0</v>
      </c>
      <c r="I144" s="163">
        <f>COUNTIFS(' CADASTRO'!$R$746:$R$893,'acab equip'!F144,' CADASTRO'!$S$746:$S$893,'acab equip'!$H$3)+COUNTIFS(' CADASTRO'!$R$746:$R$893,'acab equip'!F144,' CADASTRO'!$S$746:$S$893,'acab equip'!$G$3)</f>
        <v>0</v>
      </c>
      <c r="J144" s="162">
        <f t="shared" si="31"/>
        <v>46715</v>
      </c>
      <c r="K144" s="163">
        <f>COUNTIFS(' CADASTRO'!$S:$S,'acab equip'!$C$3,' CADASTRO'!$R:$R,'acab equip'!J144)</f>
        <v>0</v>
      </c>
      <c r="L144" s="163">
        <f>COUNTIFS(' CADASTRO'!$S:$S,'acab equip'!$D$3,' CADASTRO'!$R:$R,'acab equip'!J144)</f>
        <v>0</v>
      </c>
      <c r="M144" s="163">
        <f>COUNTIFS(' CADASTRO'!$R$746:$R$893,'acab equip'!J144,' CADASTRO'!$S$746:$S$893,'acab equip'!$L$3)+COUNTIFS(' CADASTRO'!$R$746:$R$893,'acab equip'!J144,' CADASTRO'!$S$746:$S$893,'acab equip'!$K$3)</f>
        <v>0</v>
      </c>
      <c r="N144" s="162">
        <f t="shared" si="32"/>
        <v>46716</v>
      </c>
      <c r="O144" s="163">
        <f>COUNTIFS(' CADASTRO'!$S:$S,'acab equip'!$C$3,' CADASTRO'!$R:$R,'acab equip'!N144)</f>
        <v>0</v>
      </c>
      <c r="P144" s="163">
        <f>COUNTIFS(' CADASTRO'!$S:$S,'acab equip'!$D$3,' CADASTRO'!$R:$R,'acab equip'!N144)</f>
        <v>0</v>
      </c>
      <c r="Q144" s="163">
        <f>COUNTIFS(' CADASTRO'!$R$746:$R$893,'acab equip'!N144,' CADASTRO'!$S$746:$S$893,'acab equip'!$P$3)+COUNTIFS(' CADASTRO'!$R$746:$R$893,'acab equip'!N144,' CADASTRO'!$S$746:$S$893,'acab equip'!$O$3)</f>
        <v>0</v>
      </c>
      <c r="R144" s="162">
        <f t="shared" si="33"/>
        <v>46717</v>
      </c>
      <c r="S144" s="163">
        <f>COUNTIFS(' CADASTRO'!$S:$S,'acab equip'!$C$3,' CADASTRO'!$R:$R,'acab equip'!R144)</f>
        <v>0</v>
      </c>
      <c r="T144" s="163">
        <f>COUNTIFS(' CADASTRO'!$S:$S,'acab equip'!$D$3,' CADASTRO'!$R:$R,'acab equip'!R144)</f>
        <v>0</v>
      </c>
      <c r="U144" s="163">
        <f>COUNTIFS(' CADASTRO'!$R$746:$R$893,'acab equip'!R144,' CADASTRO'!$S$746:$S$893,'acab equip'!$T$3)+COUNTIFS(' CADASTRO'!$R$746:$R$893,'acab equip'!R144,' CADASTRO'!$S$746:$S$893,'acab equip'!$S$3)</f>
        <v>0</v>
      </c>
      <c r="V144" s="162">
        <f t="shared" si="34"/>
        <v>46718</v>
      </c>
      <c r="W144" s="163">
        <f>COUNTIFS(' CADASTRO'!$S:$S,'acab equip'!$C$3,' CADASTRO'!$R:$R,'acab equip'!V144)</f>
        <v>0</v>
      </c>
      <c r="X144" s="163">
        <f>COUNTIFS(' CADASTRO'!$S:$S,'acab equip'!$D$3,' CADASTRO'!$R:$R,'acab equip'!V144)</f>
        <v>0</v>
      </c>
      <c r="Y144" s="163">
        <f>COUNTIFS(' CADASTRO'!$R$746:$R$893,'acab equip'!V144,' CADASTRO'!$S$746:$S$893,'acab equip'!$X$3)+COUNTIFS(' CADASTRO'!$R$746:$R$893,'acab equip'!V144,' CADASTRO'!$S$746:$S$893,'acab equip'!$W$3)</f>
        <v>0</v>
      </c>
      <c r="Z144" s="162">
        <f t="shared" si="35"/>
        <v>46719</v>
      </c>
      <c r="AB144" s="165">
        <f t="shared" si="25"/>
        <v>0</v>
      </c>
      <c r="AC144" s="165">
        <f t="shared" si="26"/>
        <v>0</v>
      </c>
      <c r="AD144" s="165">
        <f t="shared" si="27"/>
        <v>0</v>
      </c>
      <c r="AE144" s="177">
        <f t="shared" si="28"/>
        <v>0</v>
      </c>
    </row>
    <row r="145" spans="2:31" x14ac:dyDescent="0.25">
      <c r="B145" s="162">
        <f t="shared" si="29"/>
        <v>46720</v>
      </c>
      <c r="C145" s="163">
        <f>COUNTIFS(' CADASTRO'!$S:$S,'acab equip'!$C$3,' CADASTRO'!$R:$R,'acab equip'!B145)</f>
        <v>0</v>
      </c>
      <c r="D145" s="163">
        <f>COUNTIFS(' CADASTRO'!$S:$S,'acab equip'!$D$3,' CADASTRO'!$R:$R,'acab equip'!B145)</f>
        <v>0</v>
      </c>
      <c r="E145" s="163">
        <f>COUNTIFS(' CADASTRO'!$R$746:$R$893,'acab equip'!B145,' CADASTRO'!$S$746:$S$893,'acab equip'!$D$3)+COUNTIFS(' CADASTRO'!$R$746:$R$893,'acab equip'!B145,' CADASTRO'!$S$746:$S$893,'acab equip'!$C$3)</f>
        <v>0</v>
      </c>
      <c r="F145" s="162">
        <f t="shared" si="30"/>
        <v>46721</v>
      </c>
      <c r="G145" s="163">
        <f>COUNTIFS(' CADASTRO'!$S:$S,'acab equip'!$C$3,' CADASTRO'!$R:$R,'acab equip'!F145)</f>
        <v>0</v>
      </c>
      <c r="H145" s="163">
        <f>COUNTIFS(' CADASTRO'!$S:$S,'acab equip'!$D$3,' CADASTRO'!$R:$R,'acab equip'!F145)</f>
        <v>0</v>
      </c>
      <c r="I145" s="163">
        <f>COUNTIFS(' CADASTRO'!$R$746:$R$893,'acab equip'!F145,' CADASTRO'!$S$746:$S$893,'acab equip'!$H$3)+COUNTIFS(' CADASTRO'!$R$746:$R$893,'acab equip'!F145,' CADASTRO'!$S$746:$S$893,'acab equip'!$G$3)</f>
        <v>0</v>
      </c>
      <c r="J145" s="162">
        <f t="shared" si="31"/>
        <v>46722</v>
      </c>
      <c r="K145" s="163">
        <f>COUNTIFS(' CADASTRO'!$S:$S,'acab equip'!$C$3,' CADASTRO'!$R:$R,'acab equip'!J145)</f>
        <v>0</v>
      </c>
      <c r="L145" s="163">
        <f>COUNTIFS(' CADASTRO'!$S:$S,'acab equip'!$D$3,' CADASTRO'!$R:$R,'acab equip'!J145)</f>
        <v>0</v>
      </c>
      <c r="M145" s="163">
        <f>COUNTIFS(' CADASTRO'!$R$746:$R$893,'acab equip'!J145,' CADASTRO'!$S$746:$S$893,'acab equip'!$L$3)+COUNTIFS(' CADASTRO'!$R$746:$R$893,'acab equip'!J145,' CADASTRO'!$S$746:$S$893,'acab equip'!$K$3)</f>
        <v>0</v>
      </c>
      <c r="N145" s="162">
        <f t="shared" si="32"/>
        <v>46723</v>
      </c>
      <c r="O145" s="163">
        <f>COUNTIFS(' CADASTRO'!$S:$S,'acab equip'!$C$3,' CADASTRO'!$R:$R,'acab equip'!N145)</f>
        <v>0</v>
      </c>
      <c r="P145" s="163">
        <f>COUNTIFS(' CADASTRO'!$S:$S,'acab equip'!$D$3,' CADASTRO'!$R:$R,'acab equip'!N145)</f>
        <v>0</v>
      </c>
      <c r="Q145" s="163">
        <f>COUNTIFS(' CADASTRO'!$R$746:$R$893,'acab equip'!N145,' CADASTRO'!$S$746:$S$893,'acab equip'!$P$3)+COUNTIFS(' CADASTRO'!$R$746:$R$893,'acab equip'!N145,' CADASTRO'!$S$746:$S$893,'acab equip'!$O$3)</f>
        <v>0</v>
      </c>
      <c r="R145" s="162">
        <f t="shared" si="33"/>
        <v>46724</v>
      </c>
      <c r="S145" s="163">
        <f>COUNTIFS(' CADASTRO'!$S:$S,'acab equip'!$C$3,' CADASTRO'!$R:$R,'acab equip'!R145)</f>
        <v>0</v>
      </c>
      <c r="T145" s="163">
        <f>COUNTIFS(' CADASTRO'!$S:$S,'acab equip'!$D$3,' CADASTRO'!$R:$R,'acab equip'!R145)</f>
        <v>0</v>
      </c>
      <c r="U145" s="163">
        <f>COUNTIFS(' CADASTRO'!$R$746:$R$893,'acab equip'!R145,' CADASTRO'!$S$746:$S$893,'acab equip'!$T$3)+COUNTIFS(' CADASTRO'!$R$746:$R$893,'acab equip'!R145,' CADASTRO'!$S$746:$S$893,'acab equip'!$S$3)</f>
        <v>0</v>
      </c>
      <c r="V145" s="162">
        <f t="shared" si="34"/>
        <v>46725</v>
      </c>
      <c r="W145" s="163">
        <f>COUNTIFS(' CADASTRO'!$S:$S,'acab equip'!$C$3,' CADASTRO'!$R:$R,'acab equip'!V145)</f>
        <v>0</v>
      </c>
      <c r="X145" s="163">
        <f>COUNTIFS(' CADASTRO'!$S:$S,'acab equip'!$D$3,' CADASTRO'!$R:$R,'acab equip'!V145)</f>
        <v>0</v>
      </c>
      <c r="Y145" s="163">
        <f>COUNTIFS(' CADASTRO'!$R$746:$R$893,'acab equip'!V145,' CADASTRO'!$S$746:$S$893,'acab equip'!$X$3)+COUNTIFS(' CADASTRO'!$R$746:$R$893,'acab equip'!V145,' CADASTRO'!$S$746:$S$893,'acab equip'!$W$3)</f>
        <v>0</v>
      </c>
      <c r="Z145" s="162">
        <f t="shared" si="35"/>
        <v>46726</v>
      </c>
      <c r="AB145" s="165">
        <f t="shared" si="25"/>
        <v>0</v>
      </c>
      <c r="AC145" s="165">
        <f t="shared" si="26"/>
        <v>0</v>
      </c>
      <c r="AD145" s="165">
        <f t="shared" si="27"/>
        <v>0</v>
      </c>
      <c r="AE145" s="177">
        <f t="shared" si="28"/>
        <v>0</v>
      </c>
    </row>
    <row r="146" spans="2:31" x14ac:dyDescent="0.25">
      <c r="B146" s="162">
        <f t="shared" si="29"/>
        <v>46727</v>
      </c>
      <c r="C146" s="163">
        <f>COUNTIFS(' CADASTRO'!$S:$S,'acab equip'!$C$3,' CADASTRO'!$R:$R,'acab equip'!B146)</f>
        <v>0</v>
      </c>
      <c r="D146" s="163">
        <f>COUNTIFS(' CADASTRO'!$S:$S,'acab equip'!$D$3,' CADASTRO'!$R:$R,'acab equip'!B146)</f>
        <v>0</v>
      </c>
      <c r="E146" s="163">
        <f>COUNTIFS(' CADASTRO'!$R$746:$R$893,'acab equip'!B146,' CADASTRO'!$S$746:$S$893,'acab equip'!$D$3)+COUNTIFS(' CADASTRO'!$R$746:$R$893,'acab equip'!B146,' CADASTRO'!$S$746:$S$893,'acab equip'!$C$3)</f>
        <v>0</v>
      </c>
      <c r="F146" s="162">
        <f t="shared" si="30"/>
        <v>46728</v>
      </c>
      <c r="G146" s="163">
        <f>COUNTIFS(' CADASTRO'!$S:$S,'acab equip'!$C$3,' CADASTRO'!$R:$R,'acab equip'!F146)</f>
        <v>0</v>
      </c>
      <c r="H146" s="163">
        <f>COUNTIFS(' CADASTRO'!$S:$S,'acab equip'!$D$3,' CADASTRO'!$R:$R,'acab equip'!F146)</f>
        <v>0</v>
      </c>
      <c r="I146" s="163">
        <f>COUNTIFS(' CADASTRO'!$R$746:$R$893,'acab equip'!F146,' CADASTRO'!$S$746:$S$893,'acab equip'!$H$3)+COUNTIFS(' CADASTRO'!$R$746:$R$893,'acab equip'!F146,' CADASTRO'!$S$746:$S$893,'acab equip'!$G$3)</f>
        <v>0</v>
      </c>
      <c r="J146" s="162">
        <f t="shared" si="31"/>
        <v>46729</v>
      </c>
      <c r="K146" s="163">
        <f>COUNTIFS(' CADASTRO'!$S:$S,'acab equip'!$C$3,' CADASTRO'!$R:$R,'acab equip'!J146)</f>
        <v>0</v>
      </c>
      <c r="L146" s="163">
        <f>COUNTIFS(' CADASTRO'!$S:$S,'acab equip'!$D$3,' CADASTRO'!$R:$R,'acab equip'!J146)</f>
        <v>0</v>
      </c>
      <c r="M146" s="163">
        <f>COUNTIFS(' CADASTRO'!$R$746:$R$893,'acab equip'!J146,' CADASTRO'!$S$746:$S$893,'acab equip'!$L$3)+COUNTIFS(' CADASTRO'!$R$746:$R$893,'acab equip'!J146,' CADASTRO'!$S$746:$S$893,'acab equip'!$K$3)</f>
        <v>0</v>
      </c>
      <c r="N146" s="162">
        <f t="shared" si="32"/>
        <v>46730</v>
      </c>
      <c r="O146" s="163">
        <f>COUNTIFS(' CADASTRO'!$S:$S,'acab equip'!$C$3,' CADASTRO'!$R:$R,'acab equip'!N146)</f>
        <v>0</v>
      </c>
      <c r="P146" s="163">
        <f>COUNTIFS(' CADASTRO'!$S:$S,'acab equip'!$D$3,' CADASTRO'!$R:$R,'acab equip'!N146)</f>
        <v>0</v>
      </c>
      <c r="Q146" s="163">
        <f>COUNTIFS(' CADASTRO'!$R$746:$R$893,'acab equip'!N146,' CADASTRO'!$S$746:$S$893,'acab equip'!$P$3)+COUNTIFS(' CADASTRO'!$R$746:$R$893,'acab equip'!N146,' CADASTRO'!$S$746:$S$893,'acab equip'!$O$3)</f>
        <v>0</v>
      </c>
      <c r="R146" s="162">
        <f t="shared" si="33"/>
        <v>46731</v>
      </c>
      <c r="S146" s="163">
        <f>COUNTIFS(' CADASTRO'!$S:$S,'acab equip'!$C$3,' CADASTRO'!$R:$R,'acab equip'!R146)</f>
        <v>0</v>
      </c>
      <c r="T146" s="163">
        <f>COUNTIFS(' CADASTRO'!$S:$S,'acab equip'!$D$3,' CADASTRO'!$R:$R,'acab equip'!R146)</f>
        <v>0</v>
      </c>
      <c r="U146" s="163">
        <f>COUNTIFS(' CADASTRO'!$R$746:$R$893,'acab equip'!R146,' CADASTRO'!$S$746:$S$893,'acab equip'!$T$3)+COUNTIFS(' CADASTRO'!$R$746:$R$893,'acab equip'!R146,' CADASTRO'!$S$746:$S$893,'acab equip'!$S$3)</f>
        <v>0</v>
      </c>
      <c r="V146" s="162">
        <f t="shared" si="34"/>
        <v>46732</v>
      </c>
      <c r="W146" s="163">
        <f>COUNTIFS(' CADASTRO'!$S:$S,'acab equip'!$C$3,' CADASTRO'!$R:$R,'acab equip'!V146)</f>
        <v>0</v>
      </c>
      <c r="X146" s="163">
        <f>COUNTIFS(' CADASTRO'!$S:$S,'acab equip'!$D$3,' CADASTRO'!$R:$R,'acab equip'!V146)</f>
        <v>0</v>
      </c>
      <c r="Y146" s="163">
        <f>COUNTIFS(' CADASTRO'!$R$746:$R$893,'acab equip'!V146,' CADASTRO'!$S$746:$S$893,'acab equip'!$X$3)+COUNTIFS(' CADASTRO'!$R$746:$R$893,'acab equip'!V146,' CADASTRO'!$S$746:$S$893,'acab equip'!$W$3)</f>
        <v>0</v>
      </c>
      <c r="Z146" s="162">
        <f t="shared" si="35"/>
        <v>46733</v>
      </c>
      <c r="AB146" s="165">
        <f t="shared" si="25"/>
        <v>0</v>
      </c>
      <c r="AC146" s="165">
        <f t="shared" si="26"/>
        <v>0</v>
      </c>
      <c r="AD146" s="165">
        <f t="shared" si="27"/>
        <v>0</v>
      </c>
      <c r="AE146" s="177">
        <f t="shared" si="28"/>
        <v>0</v>
      </c>
    </row>
    <row r="147" spans="2:31" x14ac:dyDescent="0.25">
      <c r="B147" s="162">
        <f t="shared" si="29"/>
        <v>46734</v>
      </c>
      <c r="C147" s="163">
        <f>COUNTIFS(' CADASTRO'!$S:$S,'acab equip'!$C$3,' CADASTRO'!$R:$R,'acab equip'!B147)</f>
        <v>0</v>
      </c>
      <c r="D147" s="163">
        <f>COUNTIFS(' CADASTRO'!$S:$S,'acab equip'!$D$3,' CADASTRO'!$R:$R,'acab equip'!B147)</f>
        <v>0</v>
      </c>
      <c r="E147" s="163">
        <f>COUNTIFS(' CADASTRO'!$R$746:$R$893,'acab equip'!B147,' CADASTRO'!$S$746:$S$893,'acab equip'!$D$3)+COUNTIFS(' CADASTRO'!$R$746:$R$893,'acab equip'!B147,' CADASTRO'!$S$746:$S$893,'acab equip'!$C$3)</f>
        <v>0</v>
      </c>
      <c r="F147" s="162">
        <f t="shared" si="30"/>
        <v>46735</v>
      </c>
      <c r="G147" s="163">
        <f>COUNTIFS(' CADASTRO'!$S:$S,'acab equip'!$C$3,' CADASTRO'!$R:$R,'acab equip'!F147)</f>
        <v>0</v>
      </c>
      <c r="H147" s="163">
        <f>COUNTIFS(' CADASTRO'!$S:$S,'acab equip'!$D$3,' CADASTRO'!$R:$R,'acab equip'!F147)</f>
        <v>0</v>
      </c>
      <c r="I147" s="163">
        <f>COUNTIFS(' CADASTRO'!$R$746:$R$893,'acab equip'!F147,' CADASTRO'!$S$746:$S$893,'acab equip'!$H$3)+COUNTIFS(' CADASTRO'!$R$746:$R$893,'acab equip'!F147,' CADASTRO'!$S$746:$S$893,'acab equip'!$G$3)</f>
        <v>0</v>
      </c>
      <c r="J147" s="162">
        <f t="shared" si="31"/>
        <v>46736</v>
      </c>
      <c r="K147" s="163">
        <f>COUNTIFS(' CADASTRO'!$S:$S,'acab equip'!$C$3,' CADASTRO'!$R:$R,'acab equip'!J147)</f>
        <v>0</v>
      </c>
      <c r="L147" s="163">
        <f>COUNTIFS(' CADASTRO'!$S:$S,'acab equip'!$D$3,' CADASTRO'!$R:$R,'acab equip'!J147)</f>
        <v>0</v>
      </c>
      <c r="M147" s="163">
        <f>COUNTIFS(' CADASTRO'!$R$746:$R$893,'acab equip'!J147,' CADASTRO'!$S$746:$S$893,'acab equip'!$L$3)+COUNTIFS(' CADASTRO'!$R$746:$R$893,'acab equip'!J147,' CADASTRO'!$S$746:$S$893,'acab equip'!$K$3)</f>
        <v>0</v>
      </c>
      <c r="N147" s="162">
        <f t="shared" si="32"/>
        <v>46737</v>
      </c>
      <c r="O147" s="163">
        <f>COUNTIFS(' CADASTRO'!$S:$S,'acab equip'!$C$3,' CADASTRO'!$R:$R,'acab equip'!N147)</f>
        <v>0</v>
      </c>
      <c r="P147" s="163">
        <f>COUNTIFS(' CADASTRO'!$S:$S,'acab equip'!$D$3,' CADASTRO'!$R:$R,'acab equip'!N147)</f>
        <v>0</v>
      </c>
      <c r="Q147" s="163">
        <f>COUNTIFS(' CADASTRO'!$R$746:$R$893,'acab equip'!N147,' CADASTRO'!$S$746:$S$893,'acab equip'!$P$3)+COUNTIFS(' CADASTRO'!$R$746:$R$893,'acab equip'!N147,' CADASTRO'!$S$746:$S$893,'acab equip'!$O$3)</f>
        <v>0</v>
      </c>
      <c r="R147" s="162">
        <f t="shared" si="33"/>
        <v>46738</v>
      </c>
      <c r="S147" s="163">
        <f>COUNTIFS(' CADASTRO'!$S:$S,'acab equip'!$C$3,' CADASTRO'!$R:$R,'acab equip'!R147)</f>
        <v>0</v>
      </c>
      <c r="T147" s="163">
        <f>COUNTIFS(' CADASTRO'!$S:$S,'acab equip'!$D$3,' CADASTRO'!$R:$R,'acab equip'!R147)</f>
        <v>0</v>
      </c>
      <c r="U147" s="163">
        <f>COUNTIFS(' CADASTRO'!$R$746:$R$893,'acab equip'!R147,' CADASTRO'!$S$746:$S$893,'acab equip'!$T$3)+COUNTIFS(' CADASTRO'!$R$746:$R$893,'acab equip'!R147,' CADASTRO'!$S$746:$S$893,'acab equip'!$S$3)</f>
        <v>0</v>
      </c>
      <c r="V147" s="162">
        <f t="shared" si="34"/>
        <v>46739</v>
      </c>
      <c r="W147" s="163">
        <f>COUNTIFS(' CADASTRO'!$S:$S,'acab equip'!$C$3,' CADASTRO'!$R:$R,'acab equip'!V147)</f>
        <v>0</v>
      </c>
      <c r="X147" s="163">
        <f>COUNTIFS(' CADASTRO'!$S:$S,'acab equip'!$D$3,' CADASTRO'!$R:$R,'acab equip'!V147)</f>
        <v>0</v>
      </c>
      <c r="Y147" s="163">
        <f>COUNTIFS(' CADASTRO'!$R$746:$R$893,'acab equip'!V147,' CADASTRO'!$S$746:$S$893,'acab equip'!$X$3)+COUNTIFS(' CADASTRO'!$R$746:$R$893,'acab equip'!V147,' CADASTRO'!$S$746:$S$893,'acab equip'!$W$3)</f>
        <v>0</v>
      </c>
      <c r="Z147" s="162">
        <f t="shared" si="35"/>
        <v>46740</v>
      </c>
      <c r="AB147" s="165">
        <f t="shared" si="25"/>
        <v>0</v>
      </c>
      <c r="AC147" s="165">
        <f t="shared" si="26"/>
        <v>0</v>
      </c>
      <c r="AD147" s="165">
        <f t="shared" si="27"/>
        <v>0</v>
      </c>
      <c r="AE147" s="177">
        <f t="shared" si="28"/>
        <v>0</v>
      </c>
    </row>
    <row r="148" spans="2:31" x14ac:dyDescent="0.25">
      <c r="B148" s="162">
        <f t="shared" si="29"/>
        <v>46741</v>
      </c>
      <c r="C148" s="163">
        <f>COUNTIFS(' CADASTRO'!$S:$S,'acab equip'!$C$3,' CADASTRO'!$R:$R,'acab equip'!B148)</f>
        <v>0</v>
      </c>
      <c r="D148" s="163">
        <f>COUNTIFS(' CADASTRO'!$S:$S,'acab equip'!$D$3,' CADASTRO'!$R:$R,'acab equip'!B148)</f>
        <v>0</v>
      </c>
      <c r="E148" s="163">
        <f>COUNTIFS(' CADASTRO'!$R$746:$R$893,'acab equip'!B148,' CADASTRO'!$S$746:$S$893,'acab equip'!$D$3)+COUNTIFS(' CADASTRO'!$R$746:$R$893,'acab equip'!B148,' CADASTRO'!$S$746:$S$893,'acab equip'!$C$3)</f>
        <v>0</v>
      </c>
      <c r="F148" s="162">
        <f t="shared" si="30"/>
        <v>46742</v>
      </c>
      <c r="G148" s="163">
        <f>COUNTIFS(' CADASTRO'!$S:$S,'acab equip'!$C$3,' CADASTRO'!$R:$R,'acab equip'!F148)</f>
        <v>0</v>
      </c>
      <c r="H148" s="163">
        <f>COUNTIFS(' CADASTRO'!$S:$S,'acab equip'!$D$3,' CADASTRO'!$R:$R,'acab equip'!F148)</f>
        <v>0</v>
      </c>
      <c r="I148" s="163">
        <f>COUNTIFS(' CADASTRO'!$R$746:$R$893,'acab equip'!F148,' CADASTRO'!$S$746:$S$893,'acab equip'!$H$3)+COUNTIFS(' CADASTRO'!$R$746:$R$893,'acab equip'!F148,' CADASTRO'!$S$746:$S$893,'acab equip'!$G$3)</f>
        <v>0</v>
      </c>
      <c r="J148" s="162">
        <f t="shared" si="31"/>
        <v>46743</v>
      </c>
      <c r="K148" s="163">
        <f>COUNTIFS(' CADASTRO'!$S:$S,'acab equip'!$C$3,' CADASTRO'!$R:$R,'acab equip'!J148)</f>
        <v>0</v>
      </c>
      <c r="L148" s="163">
        <f>COUNTIFS(' CADASTRO'!$S:$S,'acab equip'!$D$3,' CADASTRO'!$R:$R,'acab equip'!J148)</f>
        <v>0</v>
      </c>
      <c r="M148" s="163">
        <f>COUNTIFS(' CADASTRO'!$R$746:$R$893,'acab equip'!J148,' CADASTRO'!$S$746:$S$893,'acab equip'!$L$3)+COUNTIFS(' CADASTRO'!$R$746:$R$893,'acab equip'!J148,' CADASTRO'!$S$746:$S$893,'acab equip'!$K$3)</f>
        <v>0</v>
      </c>
      <c r="N148" s="162">
        <f t="shared" si="32"/>
        <v>46744</v>
      </c>
      <c r="O148" s="163">
        <f>COUNTIFS(' CADASTRO'!$S:$S,'acab equip'!$C$3,' CADASTRO'!$R:$R,'acab equip'!N148)</f>
        <v>0</v>
      </c>
      <c r="P148" s="163">
        <f>COUNTIFS(' CADASTRO'!$S:$S,'acab equip'!$D$3,' CADASTRO'!$R:$R,'acab equip'!N148)</f>
        <v>0</v>
      </c>
      <c r="Q148" s="163">
        <f>COUNTIFS(' CADASTRO'!$R$746:$R$893,'acab equip'!N148,' CADASTRO'!$S$746:$S$893,'acab equip'!$P$3)+COUNTIFS(' CADASTRO'!$R$746:$R$893,'acab equip'!N148,' CADASTRO'!$S$746:$S$893,'acab equip'!$O$3)</f>
        <v>0</v>
      </c>
      <c r="R148" s="162">
        <f t="shared" si="33"/>
        <v>46745</v>
      </c>
      <c r="S148" s="163">
        <f>COUNTIFS(' CADASTRO'!$S:$S,'acab equip'!$C$3,' CADASTRO'!$R:$R,'acab equip'!R148)</f>
        <v>0</v>
      </c>
      <c r="T148" s="163">
        <f>COUNTIFS(' CADASTRO'!$S:$S,'acab equip'!$D$3,' CADASTRO'!$R:$R,'acab equip'!R148)</f>
        <v>0</v>
      </c>
      <c r="U148" s="163">
        <f>COUNTIFS(' CADASTRO'!$R$746:$R$893,'acab equip'!R148,' CADASTRO'!$S$746:$S$893,'acab equip'!$T$3)+COUNTIFS(' CADASTRO'!$R$746:$R$893,'acab equip'!R148,' CADASTRO'!$S$746:$S$893,'acab equip'!$S$3)</f>
        <v>0</v>
      </c>
      <c r="V148" s="162">
        <f t="shared" si="34"/>
        <v>46746</v>
      </c>
      <c r="W148" s="163">
        <f>COUNTIFS(' CADASTRO'!$S:$S,'acab equip'!$C$3,' CADASTRO'!$R:$R,'acab equip'!V148)</f>
        <v>0</v>
      </c>
      <c r="X148" s="163">
        <f>COUNTIFS(' CADASTRO'!$S:$S,'acab equip'!$D$3,' CADASTRO'!$R:$R,'acab equip'!V148)</f>
        <v>0</v>
      </c>
      <c r="Y148" s="163">
        <f>COUNTIFS(' CADASTRO'!$R$746:$R$893,'acab equip'!V148,' CADASTRO'!$S$746:$S$893,'acab equip'!$X$3)+COUNTIFS(' CADASTRO'!$R$746:$R$893,'acab equip'!V148,' CADASTRO'!$S$746:$S$893,'acab equip'!$W$3)</f>
        <v>0</v>
      </c>
      <c r="Z148" s="162">
        <f t="shared" si="35"/>
        <v>46747</v>
      </c>
      <c r="AB148" s="165">
        <f t="shared" si="25"/>
        <v>0</v>
      </c>
      <c r="AC148" s="165">
        <f t="shared" si="26"/>
        <v>0</v>
      </c>
      <c r="AD148" s="165">
        <f t="shared" si="27"/>
        <v>0</v>
      </c>
      <c r="AE148" s="177">
        <f t="shared" si="28"/>
        <v>0</v>
      </c>
    </row>
    <row r="149" spans="2:31" x14ac:dyDescent="0.25">
      <c r="B149" s="162">
        <f t="shared" si="29"/>
        <v>46748</v>
      </c>
      <c r="C149" s="163">
        <f>COUNTIFS(' CADASTRO'!$S:$S,'acab equip'!$C$3,' CADASTRO'!$R:$R,'acab equip'!B149)</f>
        <v>0</v>
      </c>
      <c r="D149" s="163">
        <f>COUNTIFS(' CADASTRO'!$S:$S,'acab equip'!$D$3,' CADASTRO'!$R:$R,'acab equip'!B149)</f>
        <v>0</v>
      </c>
      <c r="E149" s="163">
        <f>COUNTIFS(' CADASTRO'!$R$746:$R$893,'acab equip'!B149,' CADASTRO'!$S$746:$S$893,'acab equip'!$D$3)+COUNTIFS(' CADASTRO'!$R$746:$R$893,'acab equip'!B149,' CADASTRO'!$S$746:$S$893,'acab equip'!$C$3)</f>
        <v>0</v>
      </c>
      <c r="F149" s="162">
        <f t="shared" si="30"/>
        <v>46749</v>
      </c>
      <c r="G149" s="163">
        <f>COUNTIFS(' CADASTRO'!$S:$S,'acab equip'!$C$3,' CADASTRO'!$R:$R,'acab equip'!F149)</f>
        <v>0</v>
      </c>
      <c r="H149" s="163">
        <f>COUNTIFS(' CADASTRO'!$S:$S,'acab equip'!$D$3,' CADASTRO'!$R:$R,'acab equip'!F149)</f>
        <v>0</v>
      </c>
      <c r="I149" s="163">
        <f>COUNTIFS(' CADASTRO'!$R$746:$R$893,'acab equip'!F149,' CADASTRO'!$S$746:$S$893,'acab equip'!$H$3)+COUNTIFS(' CADASTRO'!$R$746:$R$893,'acab equip'!F149,' CADASTRO'!$S$746:$S$893,'acab equip'!$G$3)</f>
        <v>0</v>
      </c>
      <c r="J149" s="162">
        <f t="shared" si="31"/>
        <v>46750</v>
      </c>
      <c r="K149" s="163">
        <f>COUNTIFS(' CADASTRO'!$S:$S,'acab equip'!$C$3,' CADASTRO'!$R:$R,'acab equip'!J149)</f>
        <v>0</v>
      </c>
      <c r="L149" s="163">
        <f>COUNTIFS(' CADASTRO'!$S:$S,'acab equip'!$D$3,' CADASTRO'!$R:$R,'acab equip'!J149)</f>
        <v>0</v>
      </c>
      <c r="M149" s="163">
        <f>COUNTIFS(' CADASTRO'!$R$746:$R$893,'acab equip'!J149,' CADASTRO'!$S$746:$S$893,'acab equip'!$L$3)+COUNTIFS(' CADASTRO'!$R$746:$R$893,'acab equip'!J149,' CADASTRO'!$S$746:$S$893,'acab equip'!$K$3)</f>
        <v>0</v>
      </c>
      <c r="N149" s="162">
        <f t="shared" si="32"/>
        <v>46751</v>
      </c>
      <c r="O149" s="163">
        <f>COUNTIFS(' CADASTRO'!$S:$S,'acab equip'!$C$3,' CADASTRO'!$R:$R,'acab equip'!N149)</f>
        <v>0</v>
      </c>
      <c r="P149" s="163">
        <f>COUNTIFS(' CADASTRO'!$S:$S,'acab equip'!$D$3,' CADASTRO'!$R:$R,'acab equip'!N149)</f>
        <v>0</v>
      </c>
      <c r="Q149" s="163">
        <f>COUNTIFS(' CADASTRO'!$R$746:$R$893,'acab equip'!N149,' CADASTRO'!$S$746:$S$893,'acab equip'!$P$3)+COUNTIFS(' CADASTRO'!$R$746:$R$893,'acab equip'!N149,' CADASTRO'!$S$746:$S$893,'acab equip'!$O$3)</f>
        <v>0</v>
      </c>
      <c r="R149" s="162">
        <f t="shared" si="33"/>
        <v>46752</v>
      </c>
      <c r="S149" s="163">
        <f>COUNTIFS(' CADASTRO'!$S:$S,'acab equip'!$C$3,' CADASTRO'!$R:$R,'acab equip'!R149)</f>
        <v>0</v>
      </c>
      <c r="T149" s="163">
        <f>COUNTIFS(' CADASTRO'!$S:$S,'acab equip'!$D$3,' CADASTRO'!$R:$R,'acab equip'!R149)</f>
        <v>0</v>
      </c>
      <c r="U149" s="163">
        <f>COUNTIFS(' CADASTRO'!$R$746:$R$893,'acab equip'!R149,' CADASTRO'!$S$746:$S$893,'acab equip'!$T$3)+COUNTIFS(' CADASTRO'!$R$746:$R$893,'acab equip'!R149,' CADASTRO'!$S$746:$S$893,'acab equip'!$S$3)</f>
        <v>0</v>
      </c>
      <c r="V149" s="162">
        <f t="shared" si="34"/>
        <v>46753</v>
      </c>
      <c r="W149" s="163">
        <f>COUNTIFS(' CADASTRO'!$S:$S,'acab equip'!$C$3,' CADASTRO'!$R:$R,'acab equip'!V149)</f>
        <v>0</v>
      </c>
      <c r="X149" s="163">
        <f>COUNTIFS(' CADASTRO'!$S:$S,'acab equip'!$D$3,' CADASTRO'!$R:$R,'acab equip'!V149)</f>
        <v>0</v>
      </c>
      <c r="Y149" s="163">
        <f>COUNTIFS(' CADASTRO'!$R$746:$R$893,'acab equip'!V149,' CADASTRO'!$S$746:$S$893,'acab equip'!$X$3)+COUNTIFS(' CADASTRO'!$R$746:$R$893,'acab equip'!V149,' CADASTRO'!$S$746:$S$893,'acab equip'!$W$3)</f>
        <v>0</v>
      </c>
      <c r="Z149" s="162">
        <f t="shared" si="35"/>
        <v>46754</v>
      </c>
      <c r="AB149" s="165">
        <f t="shared" si="25"/>
        <v>0</v>
      </c>
      <c r="AC149" s="165">
        <f t="shared" si="26"/>
        <v>0</v>
      </c>
      <c r="AD149" s="165">
        <f t="shared" si="27"/>
        <v>0</v>
      </c>
      <c r="AE149" s="177">
        <f t="shared" si="28"/>
        <v>0</v>
      </c>
    </row>
    <row r="150" spans="2:31" x14ac:dyDescent="0.25">
      <c r="B150" s="162">
        <f t="shared" si="29"/>
        <v>46755</v>
      </c>
      <c r="C150" s="163">
        <f>COUNTIFS(' CADASTRO'!$S:$S,'acab equip'!$C$3,' CADASTRO'!$R:$R,'acab equip'!B150)</f>
        <v>0</v>
      </c>
      <c r="D150" s="163">
        <f>COUNTIFS(' CADASTRO'!$S:$S,'acab equip'!$D$3,' CADASTRO'!$R:$R,'acab equip'!B150)</f>
        <v>0</v>
      </c>
      <c r="E150" s="163">
        <f>COUNTIFS(' CADASTRO'!$R$746:$R$893,'acab equip'!B150,' CADASTRO'!$S$746:$S$893,'acab equip'!$D$3)+COUNTIFS(' CADASTRO'!$R$746:$R$893,'acab equip'!B150,' CADASTRO'!$S$746:$S$893,'acab equip'!$C$3)</f>
        <v>0</v>
      </c>
      <c r="F150" s="162">
        <f t="shared" si="30"/>
        <v>46756</v>
      </c>
      <c r="G150" s="163">
        <f>COUNTIFS(' CADASTRO'!$S:$S,'acab equip'!$C$3,' CADASTRO'!$R:$R,'acab equip'!F150)</f>
        <v>0</v>
      </c>
      <c r="H150" s="163">
        <f>COUNTIFS(' CADASTRO'!$S:$S,'acab equip'!$D$3,' CADASTRO'!$R:$R,'acab equip'!F150)</f>
        <v>0</v>
      </c>
      <c r="I150" s="163">
        <f>COUNTIFS(' CADASTRO'!$R$746:$R$893,'acab equip'!F150,' CADASTRO'!$S$746:$S$893,'acab equip'!$H$3)+COUNTIFS(' CADASTRO'!$R$746:$R$893,'acab equip'!F150,' CADASTRO'!$S$746:$S$893,'acab equip'!$G$3)</f>
        <v>0</v>
      </c>
      <c r="J150" s="162">
        <f t="shared" si="31"/>
        <v>46757</v>
      </c>
      <c r="K150" s="163">
        <f>COUNTIFS(' CADASTRO'!$S:$S,'acab equip'!$C$3,' CADASTRO'!$R:$R,'acab equip'!J150)</f>
        <v>0</v>
      </c>
      <c r="L150" s="163">
        <f>COUNTIFS(' CADASTRO'!$S:$S,'acab equip'!$D$3,' CADASTRO'!$R:$R,'acab equip'!J150)</f>
        <v>0</v>
      </c>
      <c r="M150" s="163">
        <f>COUNTIFS(' CADASTRO'!$R$746:$R$893,'acab equip'!J150,' CADASTRO'!$S$746:$S$893,'acab equip'!$L$3)+COUNTIFS(' CADASTRO'!$R$746:$R$893,'acab equip'!J150,' CADASTRO'!$S$746:$S$893,'acab equip'!$K$3)</f>
        <v>0</v>
      </c>
      <c r="N150" s="162">
        <f t="shared" si="32"/>
        <v>46758</v>
      </c>
      <c r="O150" s="163">
        <f>COUNTIFS(' CADASTRO'!$S:$S,'acab equip'!$C$3,' CADASTRO'!$R:$R,'acab equip'!N150)</f>
        <v>0</v>
      </c>
      <c r="P150" s="163">
        <f>COUNTIFS(' CADASTRO'!$S:$S,'acab equip'!$D$3,' CADASTRO'!$R:$R,'acab equip'!N150)</f>
        <v>0</v>
      </c>
      <c r="Q150" s="163">
        <f>COUNTIFS(' CADASTRO'!$R$746:$R$893,'acab equip'!N150,' CADASTRO'!$S$746:$S$893,'acab equip'!$P$3)+COUNTIFS(' CADASTRO'!$R$746:$R$893,'acab equip'!N150,' CADASTRO'!$S$746:$S$893,'acab equip'!$O$3)</f>
        <v>0</v>
      </c>
      <c r="R150" s="162">
        <f t="shared" si="33"/>
        <v>46759</v>
      </c>
      <c r="S150" s="163">
        <f>COUNTIFS(' CADASTRO'!$S:$S,'acab equip'!$C$3,' CADASTRO'!$R:$R,'acab equip'!R150)</f>
        <v>0</v>
      </c>
      <c r="T150" s="163">
        <f>COUNTIFS(' CADASTRO'!$S:$S,'acab equip'!$D$3,' CADASTRO'!$R:$R,'acab equip'!R150)</f>
        <v>0</v>
      </c>
      <c r="U150" s="163">
        <f>COUNTIFS(' CADASTRO'!$R$746:$R$893,'acab equip'!R150,' CADASTRO'!$S$746:$S$893,'acab equip'!$T$3)+COUNTIFS(' CADASTRO'!$R$746:$R$893,'acab equip'!R150,' CADASTRO'!$S$746:$S$893,'acab equip'!$S$3)</f>
        <v>0</v>
      </c>
      <c r="V150" s="162">
        <f t="shared" si="34"/>
        <v>46760</v>
      </c>
      <c r="W150" s="163">
        <f>COUNTIFS(' CADASTRO'!$S:$S,'acab equip'!$C$3,' CADASTRO'!$R:$R,'acab equip'!V150)</f>
        <v>0</v>
      </c>
      <c r="X150" s="163">
        <f>COUNTIFS(' CADASTRO'!$S:$S,'acab equip'!$D$3,' CADASTRO'!$R:$R,'acab equip'!V150)</f>
        <v>0</v>
      </c>
      <c r="Y150" s="163">
        <f>COUNTIFS(' CADASTRO'!$R$746:$R$893,'acab equip'!V150,' CADASTRO'!$S$746:$S$893,'acab equip'!$X$3)+COUNTIFS(' CADASTRO'!$R$746:$R$893,'acab equip'!V150,' CADASTRO'!$S$746:$S$893,'acab equip'!$W$3)</f>
        <v>0</v>
      </c>
      <c r="Z150" s="162">
        <f t="shared" si="35"/>
        <v>46761</v>
      </c>
      <c r="AB150" s="165">
        <f t="shared" si="25"/>
        <v>0</v>
      </c>
      <c r="AC150" s="165">
        <f t="shared" si="26"/>
        <v>0</v>
      </c>
      <c r="AD150" s="165">
        <f t="shared" si="27"/>
        <v>0</v>
      </c>
      <c r="AE150" s="177">
        <f t="shared" si="28"/>
        <v>0</v>
      </c>
    </row>
    <row r="151" spans="2:31" x14ac:dyDescent="0.25">
      <c r="B151" s="162">
        <f t="shared" si="29"/>
        <v>46762</v>
      </c>
      <c r="C151" s="163">
        <f>COUNTIFS(' CADASTRO'!$S:$S,'acab equip'!$C$3,' CADASTRO'!$R:$R,'acab equip'!B151)</f>
        <v>0</v>
      </c>
      <c r="D151" s="163">
        <f>COUNTIFS(' CADASTRO'!$S:$S,'acab equip'!$D$3,' CADASTRO'!$R:$R,'acab equip'!B151)</f>
        <v>0</v>
      </c>
      <c r="E151" s="163">
        <f>COUNTIFS(' CADASTRO'!$R$746:$R$893,'acab equip'!B151,' CADASTRO'!$S$746:$S$893,'acab equip'!$D$3)+COUNTIFS(' CADASTRO'!$R$746:$R$893,'acab equip'!B151,' CADASTRO'!$S$746:$S$893,'acab equip'!$C$3)</f>
        <v>0</v>
      </c>
      <c r="F151" s="162">
        <f t="shared" si="30"/>
        <v>46763</v>
      </c>
      <c r="G151" s="163">
        <f>COUNTIFS(' CADASTRO'!$S:$S,'acab equip'!$C$3,' CADASTRO'!$R:$R,'acab equip'!F151)</f>
        <v>0</v>
      </c>
      <c r="H151" s="163">
        <f>COUNTIFS(' CADASTRO'!$S:$S,'acab equip'!$D$3,' CADASTRO'!$R:$R,'acab equip'!F151)</f>
        <v>0</v>
      </c>
      <c r="I151" s="163">
        <f>COUNTIFS(' CADASTRO'!$R$746:$R$893,'acab equip'!F151,' CADASTRO'!$S$746:$S$893,'acab equip'!$H$3)+COUNTIFS(' CADASTRO'!$R$746:$R$893,'acab equip'!F151,' CADASTRO'!$S$746:$S$893,'acab equip'!$G$3)</f>
        <v>0</v>
      </c>
      <c r="J151" s="162">
        <f t="shared" si="31"/>
        <v>46764</v>
      </c>
      <c r="K151" s="163">
        <f>COUNTIFS(' CADASTRO'!$S:$S,'acab equip'!$C$3,' CADASTRO'!$R:$R,'acab equip'!J151)</f>
        <v>0</v>
      </c>
      <c r="L151" s="163">
        <f>COUNTIFS(' CADASTRO'!$S:$S,'acab equip'!$D$3,' CADASTRO'!$R:$R,'acab equip'!J151)</f>
        <v>0</v>
      </c>
      <c r="M151" s="163">
        <f>COUNTIFS(' CADASTRO'!$R$746:$R$893,'acab equip'!J151,' CADASTRO'!$S$746:$S$893,'acab equip'!$L$3)+COUNTIFS(' CADASTRO'!$R$746:$R$893,'acab equip'!J151,' CADASTRO'!$S$746:$S$893,'acab equip'!$K$3)</f>
        <v>0</v>
      </c>
      <c r="N151" s="162">
        <f t="shared" si="32"/>
        <v>46765</v>
      </c>
      <c r="O151" s="163">
        <f>COUNTIFS(' CADASTRO'!$S:$S,'acab equip'!$C$3,' CADASTRO'!$R:$R,'acab equip'!N151)</f>
        <v>0</v>
      </c>
      <c r="P151" s="163">
        <f>COUNTIFS(' CADASTRO'!$S:$S,'acab equip'!$D$3,' CADASTRO'!$R:$R,'acab equip'!N151)</f>
        <v>0</v>
      </c>
      <c r="Q151" s="163">
        <f>COUNTIFS(' CADASTRO'!$R$746:$R$893,'acab equip'!N151,' CADASTRO'!$S$746:$S$893,'acab equip'!$P$3)+COUNTIFS(' CADASTRO'!$R$746:$R$893,'acab equip'!N151,' CADASTRO'!$S$746:$S$893,'acab equip'!$O$3)</f>
        <v>0</v>
      </c>
      <c r="R151" s="162">
        <f t="shared" si="33"/>
        <v>46766</v>
      </c>
      <c r="S151" s="163">
        <f>COUNTIFS(' CADASTRO'!$S:$S,'acab equip'!$C$3,' CADASTRO'!$R:$R,'acab equip'!R151)</f>
        <v>0</v>
      </c>
      <c r="T151" s="163">
        <f>COUNTIFS(' CADASTRO'!$S:$S,'acab equip'!$D$3,' CADASTRO'!$R:$R,'acab equip'!R151)</f>
        <v>0</v>
      </c>
      <c r="U151" s="163">
        <f>COUNTIFS(' CADASTRO'!$R$746:$R$893,'acab equip'!R151,' CADASTRO'!$S$746:$S$893,'acab equip'!$T$3)+COUNTIFS(' CADASTRO'!$R$746:$R$893,'acab equip'!R151,' CADASTRO'!$S$746:$S$893,'acab equip'!$S$3)</f>
        <v>0</v>
      </c>
      <c r="V151" s="162">
        <f t="shared" si="34"/>
        <v>46767</v>
      </c>
      <c r="W151" s="163">
        <f>COUNTIFS(' CADASTRO'!$S:$S,'acab equip'!$C$3,' CADASTRO'!$R:$R,'acab equip'!V151)</f>
        <v>0</v>
      </c>
      <c r="X151" s="163">
        <f>COUNTIFS(' CADASTRO'!$S:$S,'acab equip'!$D$3,' CADASTRO'!$R:$R,'acab equip'!V151)</f>
        <v>0</v>
      </c>
      <c r="Y151" s="163">
        <f>COUNTIFS(' CADASTRO'!$R$746:$R$893,'acab equip'!V151,' CADASTRO'!$S$746:$S$893,'acab equip'!$X$3)+COUNTIFS(' CADASTRO'!$R$746:$R$893,'acab equip'!V151,' CADASTRO'!$S$746:$S$893,'acab equip'!$W$3)</f>
        <v>0</v>
      </c>
      <c r="Z151" s="162">
        <f t="shared" si="35"/>
        <v>46768</v>
      </c>
      <c r="AB151" s="165">
        <f t="shared" si="25"/>
        <v>0</v>
      </c>
      <c r="AC151" s="165">
        <f t="shared" si="26"/>
        <v>0</v>
      </c>
      <c r="AD151" s="165">
        <f t="shared" si="27"/>
        <v>0</v>
      </c>
      <c r="AE151" s="177">
        <f t="shared" si="28"/>
        <v>0</v>
      </c>
    </row>
    <row r="152" spans="2:31" x14ac:dyDescent="0.25">
      <c r="B152" s="162">
        <f t="shared" si="29"/>
        <v>46769</v>
      </c>
      <c r="C152" s="163">
        <f>COUNTIFS(' CADASTRO'!$S:$S,'acab equip'!$C$3,' CADASTRO'!$R:$R,'acab equip'!B152)</f>
        <v>0</v>
      </c>
      <c r="D152" s="163">
        <f>COUNTIFS(' CADASTRO'!$S:$S,'acab equip'!$D$3,' CADASTRO'!$R:$R,'acab equip'!B152)</f>
        <v>0</v>
      </c>
      <c r="E152" s="163">
        <f>COUNTIFS(' CADASTRO'!$R$746:$R$893,'acab equip'!B152,' CADASTRO'!$S$746:$S$893,'acab equip'!$D$3)+COUNTIFS(' CADASTRO'!$R$746:$R$893,'acab equip'!B152,' CADASTRO'!$S$746:$S$893,'acab equip'!$C$3)</f>
        <v>0</v>
      </c>
      <c r="F152" s="162">
        <f t="shared" si="30"/>
        <v>46770</v>
      </c>
      <c r="G152" s="163">
        <f>COUNTIFS(' CADASTRO'!$S:$S,'acab equip'!$C$3,' CADASTRO'!$R:$R,'acab equip'!F152)</f>
        <v>0</v>
      </c>
      <c r="H152" s="163">
        <f>COUNTIFS(' CADASTRO'!$S:$S,'acab equip'!$D$3,' CADASTRO'!$R:$R,'acab equip'!F152)</f>
        <v>0</v>
      </c>
      <c r="I152" s="163">
        <f>COUNTIFS(' CADASTRO'!$R$746:$R$893,'acab equip'!F152,' CADASTRO'!$S$746:$S$893,'acab equip'!$H$3)+COUNTIFS(' CADASTRO'!$R$746:$R$893,'acab equip'!F152,' CADASTRO'!$S$746:$S$893,'acab equip'!$G$3)</f>
        <v>0</v>
      </c>
      <c r="J152" s="162">
        <f t="shared" si="31"/>
        <v>46771</v>
      </c>
      <c r="K152" s="163">
        <f>COUNTIFS(' CADASTRO'!$S:$S,'acab equip'!$C$3,' CADASTRO'!$R:$R,'acab equip'!J152)</f>
        <v>0</v>
      </c>
      <c r="L152" s="163">
        <f>COUNTIFS(' CADASTRO'!$S:$S,'acab equip'!$D$3,' CADASTRO'!$R:$R,'acab equip'!J152)</f>
        <v>0</v>
      </c>
      <c r="M152" s="163">
        <f>COUNTIFS(' CADASTRO'!$R$746:$R$893,'acab equip'!J152,' CADASTRO'!$S$746:$S$893,'acab equip'!$L$3)+COUNTIFS(' CADASTRO'!$R$746:$R$893,'acab equip'!J152,' CADASTRO'!$S$746:$S$893,'acab equip'!$K$3)</f>
        <v>0</v>
      </c>
      <c r="N152" s="162">
        <f t="shared" si="32"/>
        <v>46772</v>
      </c>
      <c r="O152" s="163">
        <f>COUNTIFS(' CADASTRO'!$S:$S,'acab equip'!$C$3,' CADASTRO'!$R:$R,'acab equip'!N152)</f>
        <v>0</v>
      </c>
      <c r="P152" s="163">
        <f>COUNTIFS(' CADASTRO'!$S:$S,'acab equip'!$D$3,' CADASTRO'!$R:$R,'acab equip'!N152)</f>
        <v>0</v>
      </c>
      <c r="Q152" s="163">
        <f>COUNTIFS(' CADASTRO'!$R$746:$R$893,'acab equip'!N152,' CADASTRO'!$S$746:$S$893,'acab equip'!$P$3)+COUNTIFS(' CADASTRO'!$R$746:$R$893,'acab equip'!N152,' CADASTRO'!$S$746:$S$893,'acab equip'!$O$3)</f>
        <v>0</v>
      </c>
      <c r="R152" s="162">
        <f t="shared" si="33"/>
        <v>46773</v>
      </c>
      <c r="S152" s="163">
        <f>COUNTIFS(' CADASTRO'!$S:$S,'acab equip'!$C$3,' CADASTRO'!$R:$R,'acab equip'!R152)</f>
        <v>0</v>
      </c>
      <c r="T152" s="163">
        <f>COUNTIFS(' CADASTRO'!$S:$S,'acab equip'!$D$3,' CADASTRO'!$R:$R,'acab equip'!R152)</f>
        <v>0</v>
      </c>
      <c r="U152" s="163">
        <f>COUNTIFS(' CADASTRO'!$R$746:$R$893,'acab equip'!R152,' CADASTRO'!$S$746:$S$893,'acab equip'!$T$3)+COUNTIFS(' CADASTRO'!$R$746:$R$893,'acab equip'!R152,' CADASTRO'!$S$746:$S$893,'acab equip'!$S$3)</f>
        <v>0</v>
      </c>
      <c r="V152" s="162">
        <f t="shared" si="34"/>
        <v>46774</v>
      </c>
      <c r="W152" s="163">
        <f>COUNTIFS(' CADASTRO'!$S:$S,'acab equip'!$C$3,' CADASTRO'!$R:$R,'acab equip'!V152)</f>
        <v>0</v>
      </c>
      <c r="X152" s="163">
        <f>COUNTIFS(' CADASTRO'!$S:$S,'acab equip'!$D$3,' CADASTRO'!$R:$R,'acab equip'!V152)</f>
        <v>0</v>
      </c>
      <c r="Y152" s="163">
        <f>COUNTIFS(' CADASTRO'!$R$746:$R$893,'acab equip'!V152,' CADASTRO'!$S$746:$S$893,'acab equip'!$X$3)+COUNTIFS(' CADASTRO'!$R$746:$R$893,'acab equip'!V152,' CADASTRO'!$S$746:$S$893,'acab equip'!$W$3)</f>
        <v>0</v>
      </c>
      <c r="Z152" s="162">
        <f t="shared" si="35"/>
        <v>46775</v>
      </c>
      <c r="AB152" s="165">
        <f t="shared" si="25"/>
        <v>0</v>
      </c>
      <c r="AC152" s="165">
        <f t="shared" si="26"/>
        <v>0</v>
      </c>
      <c r="AD152" s="165">
        <f t="shared" si="27"/>
        <v>0</v>
      </c>
      <c r="AE152" s="177">
        <f t="shared" si="28"/>
        <v>0</v>
      </c>
    </row>
    <row r="153" spans="2:31" x14ac:dyDescent="0.25">
      <c r="B153" s="162">
        <f t="shared" si="29"/>
        <v>46776</v>
      </c>
      <c r="C153" s="163">
        <f>COUNTIFS(' CADASTRO'!$S:$S,'acab equip'!$C$3,' CADASTRO'!$R:$R,'acab equip'!B153)</f>
        <v>0</v>
      </c>
      <c r="D153" s="163">
        <f>COUNTIFS(' CADASTRO'!$S:$S,'acab equip'!$D$3,' CADASTRO'!$R:$R,'acab equip'!B153)</f>
        <v>0</v>
      </c>
      <c r="E153" s="163">
        <f>COUNTIFS(' CADASTRO'!$R$746:$R$893,'acab equip'!B153,' CADASTRO'!$S$746:$S$893,'acab equip'!$D$3)+COUNTIFS(' CADASTRO'!$R$746:$R$893,'acab equip'!B153,' CADASTRO'!$S$746:$S$893,'acab equip'!$C$3)</f>
        <v>0</v>
      </c>
      <c r="F153" s="162">
        <f t="shared" si="30"/>
        <v>46777</v>
      </c>
      <c r="G153" s="163">
        <f>COUNTIFS(' CADASTRO'!$S:$S,'acab equip'!$C$3,' CADASTRO'!$R:$R,'acab equip'!F153)</f>
        <v>0</v>
      </c>
      <c r="H153" s="163">
        <f>COUNTIFS(' CADASTRO'!$S:$S,'acab equip'!$D$3,' CADASTRO'!$R:$R,'acab equip'!F153)</f>
        <v>0</v>
      </c>
      <c r="I153" s="163">
        <f>COUNTIFS(' CADASTRO'!$R$746:$R$893,'acab equip'!F153,' CADASTRO'!$S$746:$S$893,'acab equip'!$H$3)+COUNTIFS(' CADASTRO'!$R$746:$R$893,'acab equip'!F153,' CADASTRO'!$S$746:$S$893,'acab equip'!$G$3)</f>
        <v>0</v>
      </c>
      <c r="J153" s="162">
        <f t="shared" si="31"/>
        <v>46778</v>
      </c>
      <c r="K153" s="163">
        <f>COUNTIFS(' CADASTRO'!$S:$S,'acab equip'!$C$3,' CADASTRO'!$R:$R,'acab equip'!J153)</f>
        <v>0</v>
      </c>
      <c r="L153" s="163">
        <f>COUNTIFS(' CADASTRO'!$S:$S,'acab equip'!$D$3,' CADASTRO'!$R:$R,'acab equip'!J153)</f>
        <v>0</v>
      </c>
      <c r="M153" s="163">
        <f>COUNTIFS(' CADASTRO'!$R$746:$R$893,'acab equip'!J153,' CADASTRO'!$S$746:$S$893,'acab equip'!$L$3)+COUNTIFS(' CADASTRO'!$R$746:$R$893,'acab equip'!J153,' CADASTRO'!$S$746:$S$893,'acab equip'!$K$3)</f>
        <v>0</v>
      </c>
      <c r="N153" s="162">
        <f t="shared" si="32"/>
        <v>46779</v>
      </c>
      <c r="O153" s="163">
        <f>COUNTIFS(' CADASTRO'!$S:$S,'acab equip'!$C$3,' CADASTRO'!$R:$R,'acab equip'!N153)</f>
        <v>0</v>
      </c>
      <c r="P153" s="163">
        <f>COUNTIFS(' CADASTRO'!$S:$S,'acab equip'!$D$3,' CADASTRO'!$R:$R,'acab equip'!N153)</f>
        <v>0</v>
      </c>
      <c r="Q153" s="163">
        <f>COUNTIFS(' CADASTRO'!$R$746:$R$893,'acab equip'!N153,' CADASTRO'!$S$746:$S$893,'acab equip'!$P$3)+COUNTIFS(' CADASTRO'!$R$746:$R$893,'acab equip'!N153,' CADASTRO'!$S$746:$S$893,'acab equip'!$O$3)</f>
        <v>0</v>
      </c>
      <c r="R153" s="162">
        <f t="shared" si="33"/>
        <v>46780</v>
      </c>
      <c r="S153" s="163">
        <f>COUNTIFS(' CADASTRO'!$S:$S,'acab equip'!$C$3,' CADASTRO'!$R:$R,'acab equip'!R153)</f>
        <v>0</v>
      </c>
      <c r="T153" s="163">
        <f>COUNTIFS(' CADASTRO'!$S:$S,'acab equip'!$D$3,' CADASTRO'!$R:$R,'acab equip'!R153)</f>
        <v>0</v>
      </c>
      <c r="U153" s="163">
        <f>COUNTIFS(' CADASTRO'!$R$746:$R$893,'acab equip'!R153,' CADASTRO'!$S$746:$S$893,'acab equip'!$T$3)+COUNTIFS(' CADASTRO'!$R$746:$R$893,'acab equip'!R153,' CADASTRO'!$S$746:$S$893,'acab equip'!$S$3)</f>
        <v>0</v>
      </c>
      <c r="V153" s="162">
        <f t="shared" si="34"/>
        <v>46781</v>
      </c>
      <c r="W153" s="163">
        <f>COUNTIFS(' CADASTRO'!$S:$S,'acab equip'!$C$3,' CADASTRO'!$R:$R,'acab equip'!V153)</f>
        <v>0</v>
      </c>
      <c r="X153" s="163">
        <f>COUNTIFS(' CADASTRO'!$S:$S,'acab equip'!$D$3,' CADASTRO'!$R:$R,'acab equip'!V153)</f>
        <v>0</v>
      </c>
      <c r="Y153" s="163">
        <f>COUNTIFS(' CADASTRO'!$R$746:$R$893,'acab equip'!V153,' CADASTRO'!$S$746:$S$893,'acab equip'!$X$3)+COUNTIFS(' CADASTRO'!$R$746:$R$893,'acab equip'!V153,' CADASTRO'!$S$746:$S$893,'acab equip'!$W$3)</f>
        <v>0</v>
      </c>
      <c r="Z153" s="162">
        <f t="shared" si="35"/>
        <v>46782</v>
      </c>
      <c r="AB153" s="165">
        <f t="shared" si="25"/>
        <v>0</v>
      </c>
      <c r="AC153" s="165">
        <f t="shared" si="26"/>
        <v>0</v>
      </c>
      <c r="AD153" s="165">
        <f t="shared" si="27"/>
        <v>0</v>
      </c>
      <c r="AE153" s="177">
        <f t="shared" si="28"/>
        <v>0</v>
      </c>
    </row>
    <row r="154" spans="2:31" x14ac:dyDescent="0.25">
      <c r="B154" s="162">
        <f t="shared" si="29"/>
        <v>46783</v>
      </c>
      <c r="C154" s="163">
        <f>COUNTIFS(' CADASTRO'!$S:$S,'acab equip'!$C$3,' CADASTRO'!$R:$R,'acab equip'!B154)</f>
        <v>0</v>
      </c>
      <c r="D154" s="163">
        <f>COUNTIFS(' CADASTRO'!$S:$S,'acab equip'!$D$3,' CADASTRO'!$R:$R,'acab equip'!B154)</f>
        <v>0</v>
      </c>
      <c r="E154" s="163">
        <f>COUNTIFS(' CADASTRO'!$R$746:$R$893,'acab equip'!B154,' CADASTRO'!$S$746:$S$893,'acab equip'!$D$3)+COUNTIFS(' CADASTRO'!$R$746:$R$893,'acab equip'!B154,' CADASTRO'!$S$746:$S$893,'acab equip'!$C$3)</f>
        <v>0</v>
      </c>
      <c r="F154" s="162">
        <f t="shared" si="30"/>
        <v>46784</v>
      </c>
      <c r="G154" s="163">
        <f>COUNTIFS(' CADASTRO'!$S:$S,'acab equip'!$C$3,' CADASTRO'!$R:$R,'acab equip'!F154)</f>
        <v>0</v>
      </c>
      <c r="H154" s="163">
        <f>COUNTIFS(' CADASTRO'!$S:$S,'acab equip'!$D$3,' CADASTRO'!$R:$R,'acab equip'!F154)</f>
        <v>0</v>
      </c>
      <c r="I154" s="163">
        <f>COUNTIFS(' CADASTRO'!$R$746:$R$893,'acab equip'!F154,' CADASTRO'!$S$746:$S$893,'acab equip'!$H$3)+COUNTIFS(' CADASTRO'!$R$746:$R$893,'acab equip'!F154,' CADASTRO'!$S$746:$S$893,'acab equip'!$G$3)</f>
        <v>0</v>
      </c>
      <c r="J154" s="162">
        <f t="shared" si="31"/>
        <v>46785</v>
      </c>
      <c r="K154" s="163">
        <f>COUNTIFS(' CADASTRO'!$S:$S,'acab equip'!$C$3,' CADASTRO'!$R:$R,'acab equip'!J154)</f>
        <v>0</v>
      </c>
      <c r="L154" s="163">
        <f>COUNTIFS(' CADASTRO'!$S:$S,'acab equip'!$D$3,' CADASTRO'!$R:$R,'acab equip'!J154)</f>
        <v>0</v>
      </c>
      <c r="M154" s="163">
        <f>COUNTIFS(' CADASTRO'!$R$746:$R$893,'acab equip'!J154,' CADASTRO'!$S$746:$S$893,'acab equip'!$L$3)+COUNTIFS(' CADASTRO'!$R$746:$R$893,'acab equip'!J154,' CADASTRO'!$S$746:$S$893,'acab equip'!$K$3)</f>
        <v>0</v>
      </c>
      <c r="N154" s="162">
        <f t="shared" si="32"/>
        <v>46786</v>
      </c>
      <c r="O154" s="163">
        <f>COUNTIFS(' CADASTRO'!$S:$S,'acab equip'!$C$3,' CADASTRO'!$R:$R,'acab equip'!N154)</f>
        <v>0</v>
      </c>
      <c r="P154" s="163">
        <f>COUNTIFS(' CADASTRO'!$S:$S,'acab equip'!$D$3,' CADASTRO'!$R:$R,'acab equip'!N154)</f>
        <v>0</v>
      </c>
      <c r="Q154" s="163">
        <f>COUNTIFS(' CADASTRO'!$R$746:$R$893,'acab equip'!N154,' CADASTRO'!$S$746:$S$893,'acab equip'!$P$3)+COUNTIFS(' CADASTRO'!$R$746:$R$893,'acab equip'!N154,' CADASTRO'!$S$746:$S$893,'acab equip'!$O$3)</f>
        <v>0</v>
      </c>
      <c r="R154" s="162">
        <f t="shared" si="33"/>
        <v>46787</v>
      </c>
      <c r="S154" s="163">
        <f>COUNTIFS(' CADASTRO'!$S:$S,'acab equip'!$C$3,' CADASTRO'!$R:$R,'acab equip'!R154)</f>
        <v>0</v>
      </c>
      <c r="T154" s="163">
        <f>COUNTIFS(' CADASTRO'!$S:$S,'acab equip'!$D$3,' CADASTRO'!$R:$R,'acab equip'!R154)</f>
        <v>0</v>
      </c>
      <c r="U154" s="163">
        <f>COUNTIFS(' CADASTRO'!$R$746:$R$893,'acab equip'!R154,' CADASTRO'!$S$746:$S$893,'acab equip'!$T$3)+COUNTIFS(' CADASTRO'!$R$746:$R$893,'acab equip'!R154,' CADASTRO'!$S$746:$S$893,'acab equip'!$S$3)</f>
        <v>0</v>
      </c>
      <c r="V154" s="162">
        <f t="shared" si="34"/>
        <v>46788</v>
      </c>
      <c r="W154" s="163">
        <f>COUNTIFS(' CADASTRO'!$S:$S,'acab equip'!$C$3,' CADASTRO'!$R:$R,'acab equip'!V154)</f>
        <v>0</v>
      </c>
      <c r="X154" s="163">
        <f>COUNTIFS(' CADASTRO'!$S:$S,'acab equip'!$D$3,' CADASTRO'!$R:$R,'acab equip'!V154)</f>
        <v>0</v>
      </c>
      <c r="Y154" s="163">
        <f>COUNTIFS(' CADASTRO'!$R$746:$R$893,'acab equip'!V154,' CADASTRO'!$S$746:$S$893,'acab equip'!$X$3)+COUNTIFS(' CADASTRO'!$R$746:$R$893,'acab equip'!V154,' CADASTRO'!$S$746:$S$893,'acab equip'!$W$3)</f>
        <v>0</v>
      </c>
      <c r="Z154" s="162">
        <f t="shared" si="35"/>
        <v>46789</v>
      </c>
      <c r="AB154" s="165">
        <f t="shared" si="25"/>
        <v>0</v>
      </c>
      <c r="AC154" s="165">
        <f t="shared" si="26"/>
        <v>0</v>
      </c>
      <c r="AD154" s="165">
        <f t="shared" si="27"/>
        <v>0</v>
      </c>
      <c r="AE154" s="177">
        <f t="shared" si="28"/>
        <v>0</v>
      </c>
    </row>
    <row r="155" spans="2:31" x14ac:dyDescent="0.25">
      <c r="B155" s="162">
        <f t="shared" si="29"/>
        <v>46790</v>
      </c>
      <c r="C155" s="163">
        <f>COUNTIFS(' CADASTRO'!$S:$S,'acab equip'!$C$3,' CADASTRO'!$R:$R,'acab equip'!B155)</f>
        <v>0</v>
      </c>
      <c r="D155" s="163">
        <f>COUNTIFS(' CADASTRO'!$S:$S,'acab equip'!$D$3,' CADASTRO'!$R:$R,'acab equip'!B155)</f>
        <v>0</v>
      </c>
      <c r="E155" s="163">
        <f>COUNTIFS(' CADASTRO'!$R$746:$R$893,'acab equip'!B155,' CADASTRO'!$S$746:$S$893,'acab equip'!$D$3)+COUNTIFS(' CADASTRO'!$R$746:$R$893,'acab equip'!B155,' CADASTRO'!$S$746:$S$893,'acab equip'!$C$3)</f>
        <v>0</v>
      </c>
      <c r="F155" s="162">
        <f t="shared" si="30"/>
        <v>46791</v>
      </c>
      <c r="G155" s="163">
        <f>COUNTIFS(' CADASTRO'!$S:$S,'acab equip'!$C$3,' CADASTRO'!$R:$R,'acab equip'!F155)</f>
        <v>0</v>
      </c>
      <c r="H155" s="163">
        <f>COUNTIFS(' CADASTRO'!$S:$S,'acab equip'!$D$3,' CADASTRO'!$R:$R,'acab equip'!F155)</f>
        <v>0</v>
      </c>
      <c r="I155" s="163">
        <f>COUNTIFS(' CADASTRO'!$R$746:$R$893,'acab equip'!F155,' CADASTRO'!$S$746:$S$893,'acab equip'!$H$3)+COUNTIFS(' CADASTRO'!$R$746:$R$893,'acab equip'!F155,' CADASTRO'!$S$746:$S$893,'acab equip'!$G$3)</f>
        <v>0</v>
      </c>
      <c r="J155" s="162">
        <f t="shared" si="31"/>
        <v>46792</v>
      </c>
      <c r="K155" s="163">
        <f>COUNTIFS(' CADASTRO'!$S:$S,'acab equip'!$C$3,' CADASTRO'!$R:$R,'acab equip'!J155)</f>
        <v>0</v>
      </c>
      <c r="L155" s="163">
        <f>COUNTIFS(' CADASTRO'!$S:$S,'acab equip'!$D$3,' CADASTRO'!$R:$R,'acab equip'!J155)</f>
        <v>0</v>
      </c>
      <c r="M155" s="163">
        <f>COUNTIFS(' CADASTRO'!$R$746:$R$893,'acab equip'!J155,' CADASTRO'!$S$746:$S$893,'acab equip'!$L$3)+COUNTIFS(' CADASTRO'!$R$746:$R$893,'acab equip'!J155,' CADASTRO'!$S$746:$S$893,'acab equip'!$K$3)</f>
        <v>0</v>
      </c>
      <c r="N155" s="162">
        <f t="shared" si="32"/>
        <v>46793</v>
      </c>
      <c r="O155" s="163">
        <f>COUNTIFS(' CADASTRO'!$S:$S,'acab equip'!$C$3,' CADASTRO'!$R:$R,'acab equip'!N155)</f>
        <v>0</v>
      </c>
      <c r="P155" s="163">
        <f>COUNTIFS(' CADASTRO'!$S:$S,'acab equip'!$D$3,' CADASTRO'!$R:$R,'acab equip'!N155)</f>
        <v>0</v>
      </c>
      <c r="Q155" s="163">
        <f>COUNTIFS(' CADASTRO'!$R$746:$R$893,'acab equip'!N155,' CADASTRO'!$S$746:$S$893,'acab equip'!$P$3)+COUNTIFS(' CADASTRO'!$R$746:$R$893,'acab equip'!N155,' CADASTRO'!$S$746:$S$893,'acab equip'!$O$3)</f>
        <v>0</v>
      </c>
      <c r="R155" s="162">
        <f t="shared" si="33"/>
        <v>46794</v>
      </c>
      <c r="S155" s="163">
        <f>COUNTIFS(' CADASTRO'!$S:$S,'acab equip'!$C$3,' CADASTRO'!$R:$R,'acab equip'!R155)</f>
        <v>0</v>
      </c>
      <c r="T155" s="163">
        <f>COUNTIFS(' CADASTRO'!$S:$S,'acab equip'!$D$3,' CADASTRO'!$R:$R,'acab equip'!R155)</f>
        <v>0</v>
      </c>
      <c r="U155" s="163">
        <f>COUNTIFS(' CADASTRO'!$R$746:$R$893,'acab equip'!R155,' CADASTRO'!$S$746:$S$893,'acab equip'!$T$3)+COUNTIFS(' CADASTRO'!$R$746:$R$893,'acab equip'!R155,' CADASTRO'!$S$746:$S$893,'acab equip'!$S$3)</f>
        <v>0</v>
      </c>
      <c r="V155" s="162">
        <f t="shared" si="34"/>
        <v>46795</v>
      </c>
      <c r="W155" s="163">
        <f>COUNTIFS(' CADASTRO'!$S:$S,'acab equip'!$C$3,' CADASTRO'!$R:$R,'acab equip'!V155)</f>
        <v>0</v>
      </c>
      <c r="X155" s="163">
        <f>COUNTIFS(' CADASTRO'!$S:$S,'acab equip'!$D$3,' CADASTRO'!$R:$R,'acab equip'!V155)</f>
        <v>0</v>
      </c>
      <c r="Y155" s="163">
        <f>COUNTIFS(' CADASTRO'!$R$746:$R$893,'acab equip'!V155,' CADASTRO'!$S$746:$S$893,'acab equip'!$X$3)+COUNTIFS(' CADASTRO'!$R$746:$R$893,'acab equip'!V155,' CADASTRO'!$S$746:$S$893,'acab equip'!$W$3)</f>
        <v>0</v>
      </c>
      <c r="Z155" s="162">
        <f t="shared" si="35"/>
        <v>46796</v>
      </c>
      <c r="AB155" s="165">
        <f t="shared" si="25"/>
        <v>0</v>
      </c>
      <c r="AC155" s="165">
        <f t="shared" si="26"/>
        <v>0</v>
      </c>
      <c r="AD155" s="165">
        <f t="shared" si="27"/>
        <v>0</v>
      </c>
      <c r="AE155" s="177">
        <f t="shared" si="28"/>
        <v>0</v>
      </c>
    </row>
    <row r="156" spans="2:31" x14ac:dyDescent="0.25">
      <c r="B156" s="162">
        <f t="shared" si="29"/>
        <v>46797</v>
      </c>
      <c r="C156" s="163">
        <f>COUNTIFS(' CADASTRO'!$S:$S,'acab equip'!$C$3,' CADASTRO'!$R:$R,'acab equip'!B156)</f>
        <v>0</v>
      </c>
      <c r="D156" s="163">
        <f>COUNTIFS(' CADASTRO'!$S:$S,'acab equip'!$D$3,' CADASTRO'!$R:$R,'acab equip'!B156)</f>
        <v>0</v>
      </c>
      <c r="E156" s="163">
        <f>COUNTIFS(' CADASTRO'!$R$746:$R$893,'acab equip'!B156,' CADASTRO'!$S$746:$S$893,'acab equip'!$D$3)+COUNTIFS(' CADASTRO'!$R$746:$R$893,'acab equip'!B156,' CADASTRO'!$S$746:$S$893,'acab equip'!$C$3)</f>
        <v>0</v>
      </c>
      <c r="F156" s="162">
        <f t="shared" si="30"/>
        <v>46798</v>
      </c>
      <c r="G156" s="163">
        <f>COUNTIFS(' CADASTRO'!$S:$S,'acab equip'!$C$3,' CADASTRO'!$R:$R,'acab equip'!F156)</f>
        <v>0</v>
      </c>
      <c r="H156" s="163">
        <f>COUNTIFS(' CADASTRO'!$S:$S,'acab equip'!$D$3,' CADASTRO'!$R:$R,'acab equip'!F156)</f>
        <v>0</v>
      </c>
      <c r="I156" s="163">
        <f>COUNTIFS(' CADASTRO'!$R$746:$R$893,'acab equip'!F156,' CADASTRO'!$S$746:$S$893,'acab equip'!$H$3)+COUNTIFS(' CADASTRO'!$R$746:$R$893,'acab equip'!F156,' CADASTRO'!$S$746:$S$893,'acab equip'!$G$3)</f>
        <v>0</v>
      </c>
      <c r="J156" s="162">
        <f t="shared" si="31"/>
        <v>46799</v>
      </c>
      <c r="K156" s="163">
        <f>COUNTIFS(' CADASTRO'!$S:$S,'acab equip'!$C$3,' CADASTRO'!$R:$R,'acab equip'!J156)</f>
        <v>0</v>
      </c>
      <c r="L156" s="163">
        <f>COUNTIFS(' CADASTRO'!$S:$S,'acab equip'!$D$3,' CADASTRO'!$R:$R,'acab equip'!J156)</f>
        <v>0</v>
      </c>
      <c r="M156" s="163">
        <f>COUNTIFS(' CADASTRO'!$R$746:$R$893,'acab equip'!J156,' CADASTRO'!$S$746:$S$893,'acab equip'!$L$3)+COUNTIFS(' CADASTRO'!$R$746:$R$893,'acab equip'!J156,' CADASTRO'!$S$746:$S$893,'acab equip'!$K$3)</f>
        <v>0</v>
      </c>
      <c r="N156" s="162">
        <f t="shared" si="32"/>
        <v>46800</v>
      </c>
      <c r="O156" s="163">
        <f>COUNTIFS(' CADASTRO'!$S:$S,'acab equip'!$C$3,' CADASTRO'!$R:$R,'acab equip'!N156)</f>
        <v>0</v>
      </c>
      <c r="P156" s="163">
        <f>COUNTIFS(' CADASTRO'!$S:$S,'acab equip'!$D$3,' CADASTRO'!$R:$R,'acab equip'!N156)</f>
        <v>0</v>
      </c>
      <c r="Q156" s="163">
        <f>COUNTIFS(' CADASTRO'!$R$746:$R$893,'acab equip'!N156,' CADASTRO'!$S$746:$S$893,'acab equip'!$P$3)+COUNTIFS(' CADASTRO'!$R$746:$R$893,'acab equip'!N156,' CADASTRO'!$S$746:$S$893,'acab equip'!$O$3)</f>
        <v>0</v>
      </c>
      <c r="R156" s="162">
        <f t="shared" si="33"/>
        <v>46801</v>
      </c>
      <c r="S156" s="163">
        <f>COUNTIFS(' CADASTRO'!$S:$S,'acab equip'!$C$3,' CADASTRO'!$R:$R,'acab equip'!R156)</f>
        <v>0</v>
      </c>
      <c r="T156" s="163">
        <f>COUNTIFS(' CADASTRO'!$S:$S,'acab equip'!$D$3,' CADASTRO'!$R:$R,'acab equip'!R156)</f>
        <v>0</v>
      </c>
      <c r="U156" s="163">
        <f>COUNTIFS(' CADASTRO'!$R$746:$R$893,'acab equip'!R156,' CADASTRO'!$S$746:$S$893,'acab equip'!$T$3)+COUNTIFS(' CADASTRO'!$R$746:$R$893,'acab equip'!R156,' CADASTRO'!$S$746:$S$893,'acab equip'!$S$3)</f>
        <v>0</v>
      </c>
      <c r="V156" s="162">
        <f t="shared" si="34"/>
        <v>46802</v>
      </c>
      <c r="W156" s="163">
        <f>COUNTIFS(' CADASTRO'!$S:$S,'acab equip'!$C$3,' CADASTRO'!$R:$R,'acab equip'!V156)</f>
        <v>0</v>
      </c>
      <c r="X156" s="163">
        <f>COUNTIFS(' CADASTRO'!$S:$S,'acab equip'!$D$3,' CADASTRO'!$R:$R,'acab equip'!V156)</f>
        <v>0</v>
      </c>
      <c r="Y156" s="163">
        <f>COUNTIFS(' CADASTRO'!$R$746:$R$893,'acab equip'!V156,' CADASTRO'!$S$746:$S$893,'acab equip'!$X$3)+COUNTIFS(' CADASTRO'!$R$746:$R$893,'acab equip'!V156,' CADASTRO'!$S$746:$S$893,'acab equip'!$W$3)</f>
        <v>0</v>
      </c>
      <c r="Z156" s="162">
        <f t="shared" si="35"/>
        <v>46803</v>
      </c>
      <c r="AB156" s="165">
        <f t="shared" si="25"/>
        <v>0</v>
      </c>
      <c r="AC156" s="165">
        <f t="shared" si="26"/>
        <v>0</v>
      </c>
      <c r="AD156" s="165">
        <f t="shared" si="27"/>
        <v>0</v>
      </c>
      <c r="AE156" s="177">
        <f t="shared" si="28"/>
        <v>0</v>
      </c>
    </row>
    <row r="157" spans="2:31" x14ac:dyDescent="0.25">
      <c r="B157" s="162">
        <f t="shared" si="29"/>
        <v>46804</v>
      </c>
      <c r="C157" s="163">
        <f>COUNTIFS(' CADASTRO'!$S:$S,'acab equip'!$C$3,' CADASTRO'!$R:$R,'acab equip'!B157)</f>
        <v>0</v>
      </c>
      <c r="D157" s="163">
        <f>COUNTIFS(' CADASTRO'!$S:$S,'acab equip'!$D$3,' CADASTRO'!$R:$R,'acab equip'!B157)</f>
        <v>0</v>
      </c>
      <c r="E157" s="163">
        <f>COUNTIFS(' CADASTRO'!$R$746:$R$893,'acab equip'!B157,' CADASTRO'!$S$746:$S$893,'acab equip'!$D$3)+COUNTIFS(' CADASTRO'!$R$746:$R$893,'acab equip'!B157,' CADASTRO'!$S$746:$S$893,'acab equip'!$C$3)</f>
        <v>0</v>
      </c>
      <c r="F157" s="162">
        <f t="shared" si="30"/>
        <v>46805</v>
      </c>
      <c r="G157" s="163">
        <f>COUNTIFS(' CADASTRO'!$S:$S,'acab equip'!$C$3,' CADASTRO'!$R:$R,'acab equip'!F157)</f>
        <v>0</v>
      </c>
      <c r="H157" s="163">
        <f>COUNTIFS(' CADASTRO'!$S:$S,'acab equip'!$D$3,' CADASTRO'!$R:$R,'acab equip'!F157)</f>
        <v>0</v>
      </c>
      <c r="I157" s="163">
        <f>COUNTIFS(' CADASTRO'!$R$746:$R$893,'acab equip'!F157,' CADASTRO'!$S$746:$S$893,'acab equip'!$H$3)+COUNTIFS(' CADASTRO'!$R$746:$R$893,'acab equip'!F157,' CADASTRO'!$S$746:$S$893,'acab equip'!$G$3)</f>
        <v>0</v>
      </c>
      <c r="J157" s="162">
        <f t="shared" si="31"/>
        <v>46806</v>
      </c>
      <c r="K157" s="163">
        <f>COUNTIFS(' CADASTRO'!$S:$S,'acab equip'!$C$3,' CADASTRO'!$R:$R,'acab equip'!J157)</f>
        <v>0</v>
      </c>
      <c r="L157" s="163">
        <f>COUNTIFS(' CADASTRO'!$S:$S,'acab equip'!$D$3,' CADASTRO'!$R:$R,'acab equip'!J157)</f>
        <v>0</v>
      </c>
      <c r="M157" s="163">
        <f>COUNTIFS(' CADASTRO'!$R$746:$R$893,'acab equip'!J157,' CADASTRO'!$S$746:$S$893,'acab equip'!$L$3)+COUNTIFS(' CADASTRO'!$R$746:$R$893,'acab equip'!J157,' CADASTRO'!$S$746:$S$893,'acab equip'!$K$3)</f>
        <v>0</v>
      </c>
      <c r="N157" s="162">
        <f t="shared" si="32"/>
        <v>46807</v>
      </c>
      <c r="O157" s="163">
        <f>COUNTIFS(' CADASTRO'!$S:$S,'acab equip'!$C$3,' CADASTRO'!$R:$R,'acab equip'!N157)</f>
        <v>0</v>
      </c>
      <c r="P157" s="163">
        <f>COUNTIFS(' CADASTRO'!$S:$S,'acab equip'!$D$3,' CADASTRO'!$R:$R,'acab equip'!N157)</f>
        <v>0</v>
      </c>
      <c r="Q157" s="163">
        <f>COUNTIFS(' CADASTRO'!$R$746:$R$893,'acab equip'!N157,' CADASTRO'!$S$746:$S$893,'acab equip'!$P$3)+COUNTIFS(' CADASTRO'!$R$746:$R$893,'acab equip'!N157,' CADASTRO'!$S$746:$S$893,'acab equip'!$O$3)</f>
        <v>0</v>
      </c>
      <c r="R157" s="162">
        <f t="shared" si="33"/>
        <v>46808</v>
      </c>
      <c r="S157" s="163">
        <f>COUNTIFS(' CADASTRO'!$S:$S,'acab equip'!$C$3,' CADASTRO'!$R:$R,'acab equip'!R157)</f>
        <v>0</v>
      </c>
      <c r="T157" s="163">
        <f>COUNTIFS(' CADASTRO'!$S:$S,'acab equip'!$D$3,' CADASTRO'!$R:$R,'acab equip'!R157)</f>
        <v>0</v>
      </c>
      <c r="U157" s="163">
        <f>COUNTIFS(' CADASTRO'!$R$746:$R$893,'acab equip'!R157,' CADASTRO'!$S$746:$S$893,'acab equip'!$T$3)+COUNTIFS(' CADASTRO'!$R$746:$R$893,'acab equip'!R157,' CADASTRO'!$S$746:$S$893,'acab equip'!$S$3)</f>
        <v>0</v>
      </c>
      <c r="V157" s="162">
        <f t="shared" si="34"/>
        <v>46809</v>
      </c>
      <c r="W157" s="163">
        <f>COUNTIFS(' CADASTRO'!$S:$S,'acab equip'!$C$3,' CADASTRO'!$R:$R,'acab equip'!V157)</f>
        <v>0</v>
      </c>
      <c r="X157" s="163">
        <f>COUNTIFS(' CADASTRO'!$S:$S,'acab equip'!$D$3,' CADASTRO'!$R:$R,'acab equip'!V157)</f>
        <v>0</v>
      </c>
      <c r="Y157" s="163">
        <f>COUNTIFS(' CADASTRO'!$R$746:$R$893,'acab equip'!V157,' CADASTRO'!$S$746:$S$893,'acab equip'!$X$3)+COUNTIFS(' CADASTRO'!$R$746:$R$893,'acab equip'!V157,' CADASTRO'!$S$746:$S$893,'acab equip'!$W$3)</f>
        <v>0</v>
      </c>
      <c r="Z157" s="162">
        <f t="shared" si="35"/>
        <v>46810</v>
      </c>
      <c r="AB157" s="165">
        <f t="shared" si="25"/>
        <v>0</v>
      </c>
      <c r="AC157" s="165">
        <f t="shared" si="26"/>
        <v>0</v>
      </c>
      <c r="AD157" s="165">
        <f t="shared" si="27"/>
        <v>0</v>
      </c>
      <c r="AE157" s="177">
        <f t="shared" si="28"/>
        <v>0</v>
      </c>
    </row>
    <row r="158" spans="2:31" x14ac:dyDescent="0.25">
      <c r="B158" s="162">
        <f t="shared" si="29"/>
        <v>46811</v>
      </c>
      <c r="C158" s="163">
        <f>COUNTIFS(' CADASTRO'!$S:$S,'acab equip'!$C$3,' CADASTRO'!$R:$R,'acab equip'!B158)</f>
        <v>0</v>
      </c>
      <c r="D158" s="163">
        <f>COUNTIFS(' CADASTRO'!$S:$S,'acab equip'!$D$3,' CADASTRO'!$R:$R,'acab equip'!B158)</f>
        <v>0</v>
      </c>
      <c r="E158" s="163">
        <f>COUNTIFS(' CADASTRO'!$R$746:$R$893,'acab equip'!B158,' CADASTRO'!$S$746:$S$893,'acab equip'!$D$3)+COUNTIFS(' CADASTRO'!$R$746:$R$893,'acab equip'!B158,' CADASTRO'!$S$746:$S$893,'acab equip'!$C$3)</f>
        <v>0</v>
      </c>
      <c r="F158" s="162">
        <f t="shared" si="30"/>
        <v>46812</v>
      </c>
      <c r="G158" s="163">
        <f>COUNTIFS(' CADASTRO'!$S:$S,'acab equip'!$C$3,' CADASTRO'!$R:$R,'acab equip'!F158)</f>
        <v>0</v>
      </c>
      <c r="H158" s="163">
        <f>COUNTIFS(' CADASTRO'!$S:$S,'acab equip'!$D$3,' CADASTRO'!$R:$R,'acab equip'!F158)</f>
        <v>0</v>
      </c>
      <c r="I158" s="163">
        <f>COUNTIFS(' CADASTRO'!$R$746:$R$893,'acab equip'!F158,' CADASTRO'!$S$746:$S$893,'acab equip'!$H$3)+COUNTIFS(' CADASTRO'!$R$746:$R$893,'acab equip'!F158,' CADASTRO'!$S$746:$S$893,'acab equip'!$G$3)</f>
        <v>0</v>
      </c>
      <c r="J158" s="162">
        <f t="shared" si="31"/>
        <v>46813</v>
      </c>
      <c r="K158" s="163">
        <f>COUNTIFS(' CADASTRO'!$S:$S,'acab equip'!$C$3,' CADASTRO'!$R:$R,'acab equip'!J158)</f>
        <v>0</v>
      </c>
      <c r="L158" s="163">
        <f>COUNTIFS(' CADASTRO'!$S:$S,'acab equip'!$D$3,' CADASTRO'!$R:$R,'acab equip'!J158)</f>
        <v>0</v>
      </c>
      <c r="M158" s="163">
        <f>COUNTIFS(' CADASTRO'!$R$746:$R$893,'acab equip'!J158,' CADASTRO'!$S$746:$S$893,'acab equip'!$L$3)+COUNTIFS(' CADASTRO'!$R$746:$R$893,'acab equip'!J158,' CADASTRO'!$S$746:$S$893,'acab equip'!$K$3)</f>
        <v>0</v>
      </c>
      <c r="N158" s="162">
        <f t="shared" si="32"/>
        <v>46814</v>
      </c>
      <c r="O158" s="163">
        <f>COUNTIFS(' CADASTRO'!$S:$S,'acab equip'!$C$3,' CADASTRO'!$R:$R,'acab equip'!N158)</f>
        <v>0</v>
      </c>
      <c r="P158" s="163">
        <f>COUNTIFS(' CADASTRO'!$S:$S,'acab equip'!$D$3,' CADASTRO'!$R:$R,'acab equip'!N158)</f>
        <v>0</v>
      </c>
      <c r="Q158" s="163">
        <f>COUNTIFS(' CADASTRO'!$R$746:$R$893,'acab equip'!N158,' CADASTRO'!$S$746:$S$893,'acab equip'!$P$3)+COUNTIFS(' CADASTRO'!$R$746:$R$893,'acab equip'!N158,' CADASTRO'!$S$746:$S$893,'acab equip'!$O$3)</f>
        <v>0</v>
      </c>
      <c r="R158" s="162">
        <f t="shared" si="33"/>
        <v>46815</v>
      </c>
      <c r="S158" s="163">
        <f>COUNTIFS(' CADASTRO'!$S:$S,'acab equip'!$C$3,' CADASTRO'!$R:$R,'acab equip'!R158)</f>
        <v>0</v>
      </c>
      <c r="T158" s="163">
        <f>COUNTIFS(' CADASTRO'!$S:$S,'acab equip'!$D$3,' CADASTRO'!$R:$R,'acab equip'!R158)</f>
        <v>0</v>
      </c>
      <c r="U158" s="163">
        <f>COUNTIFS(' CADASTRO'!$R$746:$R$893,'acab equip'!R158,' CADASTRO'!$S$746:$S$893,'acab equip'!$T$3)+COUNTIFS(' CADASTRO'!$R$746:$R$893,'acab equip'!R158,' CADASTRO'!$S$746:$S$893,'acab equip'!$S$3)</f>
        <v>0</v>
      </c>
      <c r="V158" s="162">
        <f t="shared" si="34"/>
        <v>46816</v>
      </c>
      <c r="W158" s="163">
        <f>COUNTIFS(' CADASTRO'!$S:$S,'acab equip'!$C$3,' CADASTRO'!$R:$R,'acab equip'!V158)</f>
        <v>0</v>
      </c>
      <c r="X158" s="163">
        <f>COUNTIFS(' CADASTRO'!$S:$S,'acab equip'!$D$3,' CADASTRO'!$R:$R,'acab equip'!V158)</f>
        <v>0</v>
      </c>
      <c r="Y158" s="163">
        <f>COUNTIFS(' CADASTRO'!$R$746:$R$893,'acab equip'!V158,' CADASTRO'!$S$746:$S$893,'acab equip'!$X$3)+COUNTIFS(' CADASTRO'!$R$746:$R$893,'acab equip'!V158,' CADASTRO'!$S$746:$S$893,'acab equip'!$W$3)</f>
        <v>0</v>
      </c>
      <c r="Z158" s="162">
        <f t="shared" si="35"/>
        <v>46817</v>
      </c>
      <c r="AB158" s="165">
        <f t="shared" si="25"/>
        <v>0</v>
      </c>
      <c r="AC158" s="165">
        <f t="shared" si="26"/>
        <v>0</v>
      </c>
      <c r="AD158" s="165">
        <f t="shared" si="27"/>
        <v>0</v>
      </c>
      <c r="AE158" s="177">
        <f t="shared" si="28"/>
        <v>0</v>
      </c>
    </row>
    <row r="159" spans="2:31" x14ac:dyDescent="0.25">
      <c r="B159" s="162">
        <f t="shared" si="29"/>
        <v>46818</v>
      </c>
      <c r="C159" s="163">
        <f>COUNTIFS(' CADASTRO'!$S:$S,'acab equip'!$C$3,' CADASTRO'!$R:$R,'acab equip'!B159)</f>
        <v>0</v>
      </c>
      <c r="D159" s="163">
        <f>COUNTIFS(' CADASTRO'!$S:$S,'acab equip'!$D$3,' CADASTRO'!$R:$R,'acab equip'!B159)</f>
        <v>0</v>
      </c>
      <c r="E159" s="163">
        <f>COUNTIFS(' CADASTRO'!$R$746:$R$893,'acab equip'!B159,' CADASTRO'!$S$746:$S$893,'acab equip'!$D$3)+COUNTIFS(' CADASTRO'!$R$746:$R$893,'acab equip'!B159,' CADASTRO'!$S$746:$S$893,'acab equip'!$C$3)</f>
        <v>0</v>
      </c>
      <c r="F159" s="162">
        <f t="shared" si="30"/>
        <v>46819</v>
      </c>
      <c r="G159" s="163">
        <f>COUNTIFS(' CADASTRO'!$S:$S,'acab equip'!$C$3,' CADASTRO'!$R:$R,'acab equip'!F159)</f>
        <v>0</v>
      </c>
      <c r="H159" s="163">
        <f>COUNTIFS(' CADASTRO'!$S:$S,'acab equip'!$D$3,' CADASTRO'!$R:$R,'acab equip'!F159)</f>
        <v>0</v>
      </c>
      <c r="I159" s="163">
        <f>COUNTIFS(' CADASTRO'!$R$746:$R$893,'acab equip'!F159,' CADASTRO'!$S$746:$S$893,'acab equip'!$H$3)+COUNTIFS(' CADASTRO'!$R$746:$R$893,'acab equip'!F159,' CADASTRO'!$S$746:$S$893,'acab equip'!$G$3)</f>
        <v>0</v>
      </c>
      <c r="J159" s="162">
        <f t="shared" si="31"/>
        <v>46820</v>
      </c>
      <c r="K159" s="163">
        <f>COUNTIFS(' CADASTRO'!$S:$S,'acab equip'!$C$3,' CADASTRO'!$R:$R,'acab equip'!J159)</f>
        <v>0</v>
      </c>
      <c r="L159" s="163">
        <f>COUNTIFS(' CADASTRO'!$S:$S,'acab equip'!$D$3,' CADASTRO'!$R:$R,'acab equip'!J159)</f>
        <v>0</v>
      </c>
      <c r="M159" s="163">
        <f>COUNTIFS(' CADASTRO'!$R$746:$R$893,'acab equip'!J159,' CADASTRO'!$S$746:$S$893,'acab equip'!$L$3)+COUNTIFS(' CADASTRO'!$R$746:$R$893,'acab equip'!J159,' CADASTRO'!$S$746:$S$893,'acab equip'!$K$3)</f>
        <v>0</v>
      </c>
      <c r="N159" s="162">
        <f t="shared" si="32"/>
        <v>46821</v>
      </c>
      <c r="O159" s="163">
        <f>COUNTIFS(' CADASTRO'!$S:$S,'acab equip'!$C$3,' CADASTRO'!$R:$R,'acab equip'!N159)</f>
        <v>0</v>
      </c>
      <c r="P159" s="163">
        <f>COUNTIFS(' CADASTRO'!$S:$S,'acab equip'!$D$3,' CADASTRO'!$R:$R,'acab equip'!N159)</f>
        <v>0</v>
      </c>
      <c r="Q159" s="163">
        <f>COUNTIFS(' CADASTRO'!$R$746:$R$893,'acab equip'!N159,' CADASTRO'!$S$746:$S$893,'acab equip'!$P$3)+COUNTIFS(' CADASTRO'!$R$746:$R$893,'acab equip'!N159,' CADASTRO'!$S$746:$S$893,'acab equip'!$O$3)</f>
        <v>0</v>
      </c>
      <c r="R159" s="162">
        <f t="shared" si="33"/>
        <v>46822</v>
      </c>
      <c r="S159" s="163">
        <f>COUNTIFS(' CADASTRO'!$S:$S,'acab equip'!$C$3,' CADASTRO'!$R:$R,'acab equip'!R159)</f>
        <v>0</v>
      </c>
      <c r="T159" s="163">
        <f>COUNTIFS(' CADASTRO'!$S:$S,'acab equip'!$D$3,' CADASTRO'!$R:$R,'acab equip'!R159)</f>
        <v>0</v>
      </c>
      <c r="U159" s="163">
        <f>COUNTIFS(' CADASTRO'!$R$746:$R$893,'acab equip'!R159,' CADASTRO'!$S$746:$S$893,'acab equip'!$T$3)+COUNTIFS(' CADASTRO'!$R$746:$R$893,'acab equip'!R159,' CADASTRO'!$S$746:$S$893,'acab equip'!$S$3)</f>
        <v>0</v>
      </c>
      <c r="V159" s="162">
        <f t="shared" si="34"/>
        <v>46823</v>
      </c>
      <c r="W159" s="163">
        <f>COUNTIFS(' CADASTRO'!$S:$S,'acab equip'!$C$3,' CADASTRO'!$R:$R,'acab equip'!V159)</f>
        <v>0</v>
      </c>
      <c r="X159" s="163">
        <f>COUNTIFS(' CADASTRO'!$S:$S,'acab equip'!$D$3,' CADASTRO'!$R:$R,'acab equip'!V159)</f>
        <v>0</v>
      </c>
      <c r="Y159" s="163">
        <f>COUNTIFS(' CADASTRO'!$R$746:$R$893,'acab equip'!V159,' CADASTRO'!$S$746:$S$893,'acab equip'!$X$3)+COUNTIFS(' CADASTRO'!$R$746:$R$893,'acab equip'!V159,' CADASTRO'!$S$746:$S$893,'acab equip'!$W$3)</f>
        <v>0</v>
      </c>
      <c r="Z159" s="162">
        <f t="shared" si="35"/>
        <v>46824</v>
      </c>
      <c r="AB159" s="165">
        <f t="shared" si="25"/>
        <v>0</v>
      </c>
      <c r="AC159" s="165">
        <f t="shared" si="26"/>
        <v>0</v>
      </c>
      <c r="AD159" s="165">
        <f t="shared" si="27"/>
        <v>0</v>
      </c>
      <c r="AE159" s="177">
        <f t="shared" si="28"/>
        <v>0</v>
      </c>
    </row>
    <row r="160" spans="2:31" x14ac:dyDescent="0.25">
      <c r="B160" s="162">
        <f t="shared" si="29"/>
        <v>46825</v>
      </c>
      <c r="C160" s="163">
        <f>COUNTIFS(' CADASTRO'!$S:$S,'acab equip'!$C$3,' CADASTRO'!$R:$R,'acab equip'!B160)</f>
        <v>0</v>
      </c>
      <c r="D160" s="163">
        <f>COUNTIFS(' CADASTRO'!$S:$S,'acab equip'!$D$3,' CADASTRO'!$R:$R,'acab equip'!B160)</f>
        <v>0</v>
      </c>
      <c r="E160" s="163">
        <f>COUNTIFS(' CADASTRO'!$R$746:$R$893,'acab equip'!B160,' CADASTRO'!$S$746:$S$893,'acab equip'!$D$3)+COUNTIFS(' CADASTRO'!$R$746:$R$893,'acab equip'!B160,' CADASTRO'!$S$746:$S$893,'acab equip'!$C$3)</f>
        <v>0</v>
      </c>
      <c r="F160" s="162">
        <f t="shared" si="30"/>
        <v>46826</v>
      </c>
      <c r="G160" s="163">
        <f>COUNTIFS(' CADASTRO'!$S:$S,'acab equip'!$C$3,' CADASTRO'!$R:$R,'acab equip'!F160)</f>
        <v>0</v>
      </c>
      <c r="H160" s="163">
        <f>COUNTIFS(' CADASTRO'!$S:$S,'acab equip'!$D$3,' CADASTRO'!$R:$R,'acab equip'!F160)</f>
        <v>0</v>
      </c>
      <c r="I160" s="163">
        <f>COUNTIFS(' CADASTRO'!$R$746:$R$893,'acab equip'!F160,' CADASTRO'!$S$746:$S$893,'acab equip'!$H$3)+COUNTIFS(' CADASTRO'!$R$746:$R$893,'acab equip'!F160,' CADASTRO'!$S$746:$S$893,'acab equip'!$G$3)</f>
        <v>0</v>
      </c>
      <c r="J160" s="162">
        <f t="shared" si="31"/>
        <v>46827</v>
      </c>
      <c r="K160" s="163">
        <f>COUNTIFS(' CADASTRO'!$S:$S,'acab equip'!$C$3,' CADASTRO'!$R:$R,'acab equip'!J160)</f>
        <v>0</v>
      </c>
      <c r="L160" s="163">
        <f>COUNTIFS(' CADASTRO'!$S:$S,'acab equip'!$D$3,' CADASTRO'!$R:$R,'acab equip'!J160)</f>
        <v>0</v>
      </c>
      <c r="M160" s="163">
        <f>COUNTIFS(' CADASTRO'!$R$746:$R$893,'acab equip'!J160,' CADASTRO'!$S$746:$S$893,'acab equip'!$L$3)+COUNTIFS(' CADASTRO'!$R$746:$R$893,'acab equip'!J160,' CADASTRO'!$S$746:$S$893,'acab equip'!$K$3)</f>
        <v>0</v>
      </c>
      <c r="N160" s="162">
        <f t="shared" si="32"/>
        <v>46828</v>
      </c>
      <c r="O160" s="163">
        <f>COUNTIFS(' CADASTRO'!$S:$S,'acab equip'!$C$3,' CADASTRO'!$R:$R,'acab equip'!N160)</f>
        <v>0</v>
      </c>
      <c r="P160" s="163">
        <f>COUNTIFS(' CADASTRO'!$S:$S,'acab equip'!$D$3,' CADASTRO'!$R:$R,'acab equip'!N160)</f>
        <v>0</v>
      </c>
      <c r="Q160" s="163">
        <f>COUNTIFS(' CADASTRO'!$R$746:$R$893,'acab equip'!N160,' CADASTRO'!$S$746:$S$893,'acab equip'!$P$3)+COUNTIFS(' CADASTRO'!$R$746:$R$893,'acab equip'!N160,' CADASTRO'!$S$746:$S$893,'acab equip'!$O$3)</f>
        <v>0</v>
      </c>
      <c r="R160" s="162">
        <f t="shared" si="33"/>
        <v>46829</v>
      </c>
      <c r="S160" s="163">
        <f>COUNTIFS(' CADASTRO'!$S:$S,'acab equip'!$C$3,' CADASTRO'!$R:$R,'acab equip'!R160)</f>
        <v>0</v>
      </c>
      <c r="T160" s="163">
        <f>COUNTIFS(' CADASTRO'!$S:$S,'acab equip'!$D$3,' CADASTRO'!$R:$R,'acab equip'!R160)</f>
        <v>0</v>
      </c>
      <c r="U160" s="163">
        <f>COUNTIFS(' CADASTRO'!$R$746:$R$893,'acab equip'!R160,' CADASTRO'!$S$746:$S$893,'acab equip'!$T$3)+COUNTIFS(' CADASTRO'!$R$746:$R$893,'acab equip'!R160,' CADASTRO'!$S$746:$S$893,'acab equip'!$S$3)</f>
        <v>0</v>
      </c>
      <c r="V160" s="162">
        <f t="shared" si="34"/>
        <v>46830</v>
      </c>
      <c r="W160" s="163">
        <f>COUNTIFS(' CADASTRO'!$S:$S,'acab equip'!$C$3,' CADASTRO'!$R:$R,'acab equip'!V160)</f>
        <v>0</v>
      </c>
      <c r="X160" s="163">
        <f>COUNTIFS(' CADASTRO'!$S:$S,'acab equip'!$D$3,' CADASTRO'!$R:$R,'acab equip'!V160)</f>
        <v>0</v>
      </c>
      <c r="Y160" s="163">
        <f>COUNTIFS(' CADASTRO'!$R$746:$R$893,'acab equip'!V160,' CADASTRO'!$S$746:$S$893,'acab equip'!$X$3)+COUNTIFS(' CADASTRO'!$R$746:$R$893,'acab equip'!V160,' CADASTRO'!$S$746:$S$893,'acab equip'!$W$3)</f>
        <v>0</v>
      </c>
      <c r="Z160" s="162">
        <f t="shared" si="35"/>
        <v>46831</v>
      </c>
      <c r="AB160" s="165">
        <f t="shared" si="25"/>
        <v>0</v>
      </c>
      <c r="AC160" s="165">
        <f t="shared" si="26"/>
        <v>0</v>
      </c>
      <c r="AD160" s="165">
        <f t="shared" si="27"/>
        <v>0</v>
      </c>
      <c r="AE160" s="177">
        <f t="shared" si="28"/>
        <v>0</v>
      </c>
    </row>
    <row r="161" spans="2:31" x14ac:dyDescent="0.25">
      <c r="B161" s="162">
        <f t="shared" si="29"/>
        <v>46832</v>
      </c>
      <c r="C161" s="163">
        <f>COUNTIFS(' CADASTRO'!$S:$S,'acab equip'!$C$3,' CADASTRO'!$R:$R,'acab equip'!B161)</f>
        <v>0</v>
      </c>
      <c r="D161" s="163">
        <f>COUNTIFS(' CADASTRO'!$S:$S,'acab equip'!$D$3,' CADASTRO'!$R:$R,'acab equip'!B161)</f>
        <v>0</v>
      </c>
      <c r="E161" s="163">
        <f>COUNTIFS(' CADASTRO'!$R$746:$R$893,'acab equip'!B161,' CADASTRO'!$S$746:$S$893,'acab equip'!$D$3)+COUNTIFS(' CADASTRO'!$R$746:$R$893,'acab equip'!B161,' CADASTRO'!$S$746:$S$893,'acab equip'!$C$3)</f>
        <v>0</v>
      </c>
      <c r="F161" s="162">
        <f t="shared" si="30"/>
        <v>46833</v>
      </c>
      <c r="G161" s="163">
        <f>COUNTIFS(' CADASTRO'!$S:$S,'acab equip'!$C$3,' CADASTRO'!$R:$R,'acab equip'!F161)</f>
        <v>0</v>
      </c>
      <c r="H161" s="163">
        <f>COUNTIFS(' CADASTRO'!$S:$S,'acab equip'!$D$3,' CADASTRO'!$R:$R,'acab equip'!F161)</f>
        <v>0</v>
      </c>
      <c r="I161" s="163">
        <f>COUNTIFS(' CADASTRO'!$R$746:$R$893,'acab equip'!F161,' CADASTRO'!$S$746:$S$893,'acab equip'!$H$3)+COUNTIFS(' CADASTRO'!$R$746:$R$893,'acab equip'!F161,' CADASTRO'!$S$746:$S$893,'acab equip'!$G$3)</f>
        <v>0</v>
      </c>
      <c r="J161" s="162">
        <f t="shared" si="31"/>
        <v>46834</v>
      </c>
      <c r="K161" s="163">
        <f>COUNTIFS(' CADASTRO'!$S:$S,'acab equip'!$C$3,' CADASTRO'!$R:$R,'acab equip'!J161)</f>
        <v>0</v>
      </c>
      <c r="L161" s="163">
        <f>COUNTIFS(' CADASTRO'!$S:$S,'acab equip'!$D$3,' CADASTRO'!$R:$R,'acab equip'!J161)</f>
        <v>0</v>
      </c>
      <c r="M161" s="163">
        <f>COUNTIFS(' CADASTRO'!$R$746:$R$893,'acab equip'!J161,' CADASTRO'!$S$746:$S$893,'acab equip'!$L$3)+COUNTIFS(' CADASTRO'!$R$746:$R$893,'acab equip'!J161,' CADASTRO'!$S$746:$S$893,'acab equip'!$K$3)</f>
        <v>0</v>
      </c>
      <c r="N161" s="162">
        <f t="shared" si="32"/>
        <v>46835</v>
      </c>
      <c r="O161" s="163">
        <f>COUNTIFS(' CADASTRO'!$S:$S,'acab equip'!$C$3,' CADASTRO'!$R:$R,'acab equip'!N161)</f>
        <v>0</v>
      </c>
      <c r="P161" s="163">
        <f>COUNTIFS(' CADASTRO'!$S:$S,'acab equip'!$D$3,' CADASTRO'!$R:$R,'acab equip'!N161)</f>
        <v>0</v>
      </c>
      <c r="Q161" s="163">
        <f>COUNTIFS(' CADASTRO'!$R$746:$R$893,'acab equip'!N161,' CADASTRO'!$S$746:$S$893,'acab equip'!$P$3)+COUNTIFS(' CADASTRO'!$R$746:$R$893,'acab equip'!N161,' CADASTRO'!$S$746:$S$893,'acab equip'!$O$3)</f>
        <v>0</v>
      </c>
      <c r="R161" s="162">
        <f t="shared" si="33"/>
        <v>46836</v>
      </c>
      <c r="S161" s="163">
        <f>COUNTIFS(' CADASTRO'!$S:$S,'acab equip'!$C$3,' CADASTRO'!$R:$R,'acab equip'!R161)</f>
        <v>0</v>
      </c>
      <c r="T161" s="163">
        <f>COUNTIFS(' CADASTRO'!$S:$S,'acab equip'!$D$3,' CADASTRO'!$R:$R,'acab equip'!R161)</f>
        <v>0</v>
      </c>
      <c r="U161" s="163">
        <f>COUNTIFS(' CADASTRO'!$R$746:$R$893,'acab equip'!R161,' CADASTRO'!$S$746:$S$893,'acab equip'!$T$3)+COUNTIFS(' CADASTRO'!$R$746:$R$893,'acab equip'!R161,' CADASTRO'!$S$746:$S$893,'acab equip'!$S$3)</f>
        <v>0</v>
      </c>
      <c r="V161" s="162">
        <f t="shared" si="34"/>
        <v>46837</v>
      </c>
      <c r="W161" s="163">
        <f>COUNTIFS(' CADASTRO'!$S:$S,'acab equip'!$C$3,' CADASTRO'!$R:$R,'acab equip'!V161)</f>
        <v>0</v>
      </c>
      <c r="X161" s="163">
        <f>COUNTIFS(' CADASTRO'!$S:$S,'acab equip'!$D$3,' CADASTRO'!$R:$R,'acab equip'!V161)</f>
        <v>0</v>
      </c>
      <c r="Y161" s="163">
        <f>COUNTIFS(' CADASTRO'!$R$746:$R$893,'acab equip'!V161,' CADASTRO'!$S$746:$S$893,'acab equip'!$X$3)+COUNTIFS(' CADASTRO'!$R$746:$R$893,'acab equip'!V161,' CADASTRO'!$S$746:$S$893,'acab equip'!$W$3)</f>
        <v>0</v>
      </c>
      <c r="Z161" s="162">
        <f t="shared" si="35"/>
        <v>46838</v>
      </c>
      <c r="AB161" s="165">
        <f t="shared" si="25"/>
        <v>0</v>
      </c>
      <c r="AC161" s="165">
        <f t="shared" si="26"/>
        <v>0</v>
      </c>
      <c r="AD161" s="165">
        <f t="shared" si="27"/>
        <v>0</v>
      </c>
      <c r="AE161" s="177">
        <f t="shared" si="28"/>
        <v>0</v>
      </c>
    </row>
    <row r="162" spans="2:31" x14ac:dyDescent="0.25">
      <c r="B162" s="162">
        <f t="shared" si="29"/>
        <v>46839</v>
      </c>
      <c r="C162" s="163">
        <f>COUNTIFS(' CADASTRO'!$S:$S,'acab equip'!$C$3,' CADASTRO'!$R:$R,'acab equip'!B162)</f>
        <v>0</v>
      </c>
      <c r="D162" s="163">
        <f>COUNTIFS(' CADASTRO'!$S:$S,'acab equip'!$D$3,' CADASTRO'!$R:$R,'acab equip'!B162)</f>
        <v>0</v>
      </c>
      <c r="E162" s="163">
        <f>COUNTIFS(' CADASTRO'!$R$746:$R$893,'acab equip'!B162,' CADASTRO'!$S$746:$S$893,'acab equip'!$D$3)+COUNTIFS(' CADASTRO'!$R$746:$R$893,'acab equip'!B162,' CADASTRO'!$S$746:$S$893,'acab equip'!$C$3)</f>
        <v>0</v>
      </c>
      <c r="F162" s="162">
        <f t="shared" si="30"/>
        <v>46840</v>
      </c>
      <c r="G162" s="163">
        <f>COUNTIFS(' CADASTRO'!$S:$S,'acab equip'!$C$3,' CADASTRO'!$R:$R,'acab equip'!F162)</f>
        <v>0</v>
      </c>
      <c r="H162" s="163">
        <f>COUNTIFS(' CADASTRO'!$S:$S,'acab equip'!$D$3,' CADASTRO'!$R:$R,'acab equip'!F162)</f>
        <v>0</v>
      </c>
      <c r="I162" s="163">
        <f>COUNTIFS(' CADASTRO'!$R$746:$R$893,'acab equip'!F162,' CADASTRO'!$S$746:$S$893,'acab equip'!$H$3)+COUNTIFS(' CADASTRO'!$R$746:$R$893,'acab equip'!F162,' CADASTRO'!$S$746:$S$893,'acab equip'!$G$3)</f>
        <v>0</v>
      </c>
      <c r="J162" s="162">
        <f t="shared" si="31"/>
        <v>46841</v>
      </c>
      <c r="K162" s="163">
        <f>COUNTIFS(' CADASTRO'!$S:$S,'acab equip'!$C$3,' CADASTRO'!$R:$R,'acab equip'!J162)</f>
        <v>0</v>
      </c>
      <c r="L162" s="163">
        <f>COUNTIFS(' CADASTRO'!$S:$S,'acab equip'!$D$3,' CADASTRO'!$R:$R,'acab equip'!J162)</f>
        <v>0</v>
      </c>
      <c r="M162" s="163">
        <f>COUNTIFS(' CADASTRO'!$R$746:$R$893,'acab equip'!J162,' CADASTRO'!$S$746:$S$893,'acab equip'!$L$3)+COUNTIFS(' CADASTRO'!$R$746:$R$893,'acab equip'!J162,' CADASTRO'!$S$746:$S$893,'acab equip'!$K$3)</f>
        <v>0</v>
      </c>
      <c r="N162" s="162">
        <f t="shared" si="32"/>
        <v>46842</v>
      </c>
      <c r="O162" s="163">
        <f>COUNTIFS(' CADASTRO'!$S:$S,'acab equip'!$C$3,' CADASTRO'!$R:$R,'acab equip'!N162)</f>
        <v>0</v>
      </c>
      <c r="P162" s="163">
        <f>COUNTIFS(' CADASTRO'!$S:$S,'acab equip'!$D$3,' CADASTRO'!$R:$R,'acab equip'!N162)</f>
        <v>0</v>
      </c>
      <c r="Q162" s="163">
        <f>COUNTIFS(' CADASTRO'!$R$746:$R$893,'acab equip'!N162,' CADASTRO'!$S$746:$S$893,'acab equip'!$P$3)+COUNTIFS(' CADASTRO'!$R$746:$R$893,'acab equip'!N162,' CADASTRO'!$S$746:$S$893,'acab equip'!$O$3)</f>
        <v>0</v>
      </c>
      <c r="R162" s="162">
        <f t="shared" si="33"/>
        <v>46843</v>
      </c>
      <c r="S162" s="163">
        <f>COUNTIFS(' CADASTRO'!$S:$S,'acab equip'!$C$3,' CADASTRO'!$R:$R,'acab equip'!R162)</f>
        <v>0</v>
      </c>
      <c r="T162" s="163">
        <f>COUNTIFS(' CADASTRO'!$S:$S,'acab equip'!$D$3,' CADASTRO'!$R:$R,'acab equip'!R162)</f>
        <v>0</v>
      </c>
      <c r="U162" s="163">
        <f>COUNTIFS(' CADASTRO'!$R$746:$R$893,'acab equip'!R162,' CADASTRO'!$S$746:$S$893,'acab equip'!$T$3)+COUNTIFS(' CADASTRO'!$R$746:$R$893,'acab equip'!R162,' CADASTRO'!$S$746:$S$893,'acab equip'!$S$3)</f>
        <v>0</v>
      </c>
      <c r="V162" s="162">
        <f t="shared" si="34"/>
        <v>46844</v>
      </c>
      <c r="W162" s="163">
        <f>COUNTIFS(' CADASTRO'!$S:$S,'acab equip'!$C$3,' CADASTRO'!$R:$R,'acab equip'!V162)</f>
        <v>0</v>
      </c>
      <c r="X162" s="163">
        <f>COUNTIFS(' CADASTRO'!$S:$S,'acab equip'!$D$3,' CADASTRO'!$R:$R,'acab equip'!V162)</f>
        <v>0</v>
      </c>
      <c r="Y162" s="163">
        <f>COUNTIFS(' CADASTRO'!$R$746:$R$893,'acab equip'!V162,' CADASTRO'!$S$746:$S$893,'acab equip'!$X$3)+COUNTIFS(' CADASTRO'!$R$746:$R$893,'acab equip'!V162,' CADASTRO'!$S$746:$S$893,'acab equip'!$W$3)</f>
        <v>0</v>
      </c>
      <c r="Z162" s="162">
        <f t="shared" si="35"/>
        <v>46845</v>
      </c>
      <c r="AB162" s="165">
        <f t="shared" si="25"/>
        <v>0</v>
      </c>
      <c r="AC162" s="165">
        <f t="shared" si="26"/>
        <v>0</v>
      </c>
      <c r="AD162" s="165">
        <f t="shared" si="27"/>
        <v>0</v>
      </c>
      <c r="AE162" s="177">
        <f t="shared" si="28"/>
        <v>0</v>
      </c>
    </row>
    <row r="163" spans="2:31" x14ac:dyDescent="0.25">
      <c r="B163" s="162">
        <f t="shared" si="29"/>
        <v>46846</v>
      </c>
      <c r="C163" s="163">
        <f>COUNTIFS(' CADASTRO'!$S:$S,'acab equip'!$C$3,' CADASTRO'!$R:$R,'acab equip'!B163)</f>
        <v>0</v>
      </c>
      <c r="D163" s="163">
        <f>COUNTIFS(' CADASTRO'!$S:$S,'acab equip'!$D$3,' CADASTRO'!$R:$R,'acab equip'!B163)</f>
        <v>0</v>
      </c>
      <c r="E163" s="163">
        <f>COUNTIFS(' CADASTRO'!$R$746:$R$893,'acab equip'!B163,' CADASTRO'!$S$746:$S$893,'acab equip'!$D$3)+COUNTIFS(' CADASTRO'!$R$746:$R$893,'acab equip'!B163,' CADASTRO'!$S$746:$S$893,'acab equip'!$C$3)</f>
        <v>0</v>
      </c>
      <c r="F163" s="162">
        <f t="shared" si="30"/>
        <v>46847</v>
      </c>
      <c r="G163" s="163">
        <f>COUNTIFS(' CADASTRO'!$S:$S,'acab equip'!$C$3,' CADASTRO'!$R:$R,'acab equip'!F163)</f>
        <v>0</v>
      </c>
      <c r="H163" s="163">
        <f>COUNTIFS(' CADASTRO'!$S:$S,'acab equip'!$D$3,' CADASTRO'!$R:$R,'acab equip'!F163)</f>
        <v>0</v>
      </c>
      <c r="I163" s="163">
        <f>COUNTIFS(' CADASTRO'!$R$746:$R$893,'acab equip'!F163,' CADASTRO'!$S$746:$S$893,'acab equip'!$H$3)+COUNTIFS(' CADASTRO'!$R$746:$R$893,'acab equip'!F163,' CADASTRO'!$S$746:$S$893,'acab equip'!$G$3)</f>
        <v>0</v>
      </c>
      <c r="J163" s="162">
        <f t="shared" si="31"/>
        <v>46848</v>
      </c>
      <c r="K163" s="163">
        <f>COUNTIFS(' CADASTRO'!$S:$S,'acab equip'!$C$3,' CADASTRO'!$R:$R,'acab equip'!J163)</f>
        <v>0</v>
      </c>
      <c r="L163" s="163">
        <f>COUNTIFS(' CADASTRO'!$S:$S,'acab equip'!$D$3,' CADASTRO'!$R:$R,'acab equip'!J163)</f>
        <v>0</v>
      </c>
      <c r="M163" s="163">
        <f>COUNTIFS(' CADASTRO'!$R$746:$R$893,'acab equip'!J163,' CADASTRO'!$S$746:$S$893,'acab equip'!$L$3)+COUNTIFS(' CADASTRO'!$R$746:$R$893,'acab equip'!J163,' CADASTRO'!$S$746:$S$893,'acab equip'!$K$3)</f>
        <v>0</v>
      </c>
      <c r="N163" s="162">
        <f t="shared" si="32"/>
        <v>46849</v>
      </c>
      <c r="O163" s="163">
        <f>COUNTIFS(' CADASTRO'!$S:$S,'acab equip'!$C$3,' CADASTRO'!$R:$R,'acab equip'!N163)</f>
        <v>0</v>
      </c>
      <c r="P163" s="163">
        <f>COUNTIFS(' CADASTRO'!$S:$S,'acab equip'!$D$3,' CADASTRO'!$R:$R,'acab equip'!N163)</f>
        <v>0</v>
      </c>
      <c r="Q163" s="163">
        <f>COUNTIFS(' CADASTRO'!$R$746:$R$893,'acab equip'!N163,' CADASTRO'!$S$746:$S$893,'acab equip'!$P$3)+COUNTIFS(' CADASTRO'!$R$746:$R$893,'acab equip'!N163,' CADASTRO'!$S$746:$S$893,'acab equip'!$O$3)</f>
        <v>0</v>
      </c>
      <c r="R163" s="162">
        <f t="shared" si="33"/>
        <v>46850</v>
      </c>
      <c r="S163" s="163">
        <f>COUNTIFS(' CADASTRO'!$S:$S,'acab equip'!$C$3,' CADASTRO'!$R:$R,'acab equip'!R163)</f>
        <v>0</v>
      </c>
      <c r="T163" s="163">
        <f>COUNTIFS(' CADASTRO'!$S:$S,'acab equip'!$D$3,' CADASTRO'!$R:$R,'acab equip'!R163)</f>
        <v>0</v>
      </c>
      <c r="U163" s="163">
        <f>COUNTIFS(' CADASTRO'!$R$746:$R$893,'acab equip'!R163,' CADASTRO'!$S$746:$S$893,'acab equip'!$T$3)+COUNTIFS(' CADASTRO'!$R$746:$R$893,'acab equip'!R163,' CADASTRO'!$S$746:$S$893,'acab equip'!$S$3)</f>
        <v>0</v>
      </c>
      <c r="V163" s="162">
        <f t="shared" si="34"/>
        <v>46851</v>
      </c>
      <c r="W163" s="163">
        <f>COUNTIFS(' CADASTRO'!$S:$S,'acab equip'!$C$3,' CADASTRO'!$R:$R,'acab equip'!V163)</f>
        <v>0</v>
      </c>
      <c r="X163" s="163">
        <f>COUNTIFS(' CADASTRO'!$S:$S,'acab equip'!$D$3,' CADASTRO'!$R:$R,'acab equip'!V163)</f>
        <v>0</v>
      </c>
      <c r="Y163" s="163">
        <f>COUNTIFS(' CADASTRO'!$R$746:$R$893,'acab equip'!V163,' CADASTRO'!$S$746:$S$893,'acab equip'!$X$3)+COUNTIFS(' CADASTRO'!$R$746:$R$893,'acab equip'!V163,' CADASTRO'!$S$746:$S$893,'acab equip'!$W$3)</f>
        <v>0</v>
      </c>
      <c r="Z163" s="162">
        <f t="shared" si="35"/>
        <v>46852</v>
      </c>
      <c r="AB163" s="165">
        <f t="shared" si="25"/>
        <v>0</v>
      </c>
      <c r="AC163" s="165">
        <f t="shared" si="26"/>
        <v>0</v>
      </c>
      <c r="AD163" s="165">
        <f t="shared" si="27"/>
        <v>0</v>
      </c>
      <c r="AE163" s="177">
        <f t="shared" si="28"/>
        <v>0</v>
      </c>
    </row>
    <row r="164" spans="2:31" x14ac:dyDescent="0.25">
      <c r="B164" s="162">
        <f t="shared" si="29"/>
        <v>46853</v>
      </c>
      <c r="C164" s="163">
        <f>COUNTIFS(' CADASTRO'!$S:$S,'acab equip'!$C$3,' CADASTRO'!$R:$R,'acab equip'!B164)</f>
        <v>0</v>
      </c>
      <c r="D164" s="163">
        <f>COUNTIFS(' CADASTRO'!$S:$S,'acab equip'!$D$3,' CADASTRO'!$R:$R,'acab equip'!B164)</f>
        <v>0</v>
      </c>
      <c r="E164" s="163">
        <f>COUNTIFS(' CADASTRO'!$R$746:$R$893,'acab equip'!B164,' CADASTRO'!$S$746:$S$893,'acab equip'!$D$3)+COUNTIFS(' CADASTRO'!$R$746:$R$893,'acab equip'!B164,' CADASTRO'!$S$746:$S$893,'acab equip'!$C$3)</f>
        <v>0</v>
      </c>
      <c r="F164" s="162">
        <f t="shared" si="30"/>
        <v>46854</v>
      </c>
      <c r="G164" s="163">
        <f>COUNTIFS(' CADASTRO'!$S:$S,'acab equip'!$C$3,' CADASTRO'!$R:$R,'acab equip'!F164)</f>
        <v>0</v>
      </c>
      <c r="H164" s="163">
        <f>COUNTIFS(' CADASTRO'!$S:$S,'acab equip'!$D$3,' CADASTRO'!$R:$R,'acab equip'!F164)</f>
        <v>0</v>
      </c>
      <c r="I164" s="163">
        <f>COUNTIFS(' CADASTRO'!$R$746:$R$893,'acab equip'!F164,' CADASTRO'!$S$746:$S$893,'acab equip'!$H$3)+COUNTIFS(' CADASTRO'!$R$746:$R$893,'acab equip'!F164,' CADASTRO'!$S$746:$S$893,'acab equip'!$G$3)</f>
        <v>0</v>
      </c>
      <c r="J164" s="162">
        <f t="shared" si="31"/>
        <v>46855</v>
      </c>
      <c r="K164" s="163">
        <f>COUNTIFS(' CADASTRO'!$S:$S,'acab equip'!$C$3,' CADASTRO'!$R:$R,'acab equip'!J164)</f>
        <v>0</v>
      </c>
      <c r="L164" s="163">
        <f>COUNTIFS(' CADASTRO'!$S:$S,'acab equip'!$D$3,' CADASTRO'!$R:$R,'acab equip'!J164)</f>
        <v>0</v>
      </c>
      <c r="M164" s="163">
        <f>COUNTIFS(' CADASTRO'!$R$746:$R$893,'acab equip'!J164,' CADASTRO'!$S$746:$S$893,'acab equip'!$L$3)+COUNTIFS(' CADASTRO'!$R$746:$R$893,'acab equip'!J164,' CADASTRO'!$S$746:$S$893,'acab equip'!$K$3)</f>
        <v>0</v>
      </c>
      <c r="N164" s="162">
        <f t="shared" si="32"/>
        <v>46856</v>
      </c>
      <c r="O164" s="163">
        <f>COUNTIFS(' CADASTRO'!$S:$S,'acab equip'!$C$3,' CADASTRO'!$R:$R,'acab equip'!N164)</f>
        <v>0</v>
      </c>
      <c r="P164" s="163">
        <f>COUNTIFS(' CADASTRO'!$S:$S,'acab equip'!$D$3,' CADASTRO'!$R:$R,'acab equip'!N164)</f>
        <v>0</v>
      </c>
      <c r="Q164" s="163">
        <f>COUNTIFS(' CADASTRO'!$R$746:$R$893,'acab equip'!N164,' CADASTRO'!$S$746:$S$893,'acab equip'!$P$3)+COUNTIFS(' CADASTRO'!$R$746:$R$893,'acab equip'!N164,' CADASTRO'!$S$746:$S$893,'acab equip'!$O$3)</f>
        <v>0</v>
      </c>
      <c r="R164" s="162">
        <f t="shared" si="33"/>
        <v>46857</v>
      </c>
      <c r="S164" s="163">
        <f>COUNTIFS(' CADASTRO'!$S:$S,'acab equip'!$C$3,' CADASTRO'!$R:$R,'acab equip'!R164)</f>
        <v>0</v>
      </c>
      <c r="T164" s="163">
        <f>COUNTIFS(' CADASTRO'!$S:$S,'acab equip'!$D$3,' CADASTRO'!$R:$R,'acab equip'!R164)</f>
        <v>0</v>
      </c>
      <c r="U164" s="163">
        <f>COUNTIFS(' CADASTRO'!$R$746:$R$893,'acab equip'!R164,' CADASTRO'!$S$746:$S$893,'acab equip'!$T$3)+COUNTIFS(' CADASTRO'!$R$746:$R$893,'acab equip'!R164,' CADASTRO'!$S$746:$S$893,'acab equip'!$S$3)</f>
        <v>0</v>
      </c>
      <c r="V164" s="162">
        <f t="shared" si="34"/>
        <v>46858</v>
      </c>
      <c r="W164" s="163">
        <f>COUNTIFS(' CADASTRO'!$S:$S,'acab equip'!$C$3,' CADASTRO'!$R:$R,'acab equip'!V164)</f>
        <v>0</v>
      </c>
      <c r="X164" s="163">
        <f>COUNTIFS(' CADASTRO'!$S:$S,'acab equip'!$D$3,' CADASTRO'!$R:$R,'acab equip'!V164)</f>
        <v>0</v>
      </c>
      <c r="Y164" s="163">
        <f>COUNTIFS(' CADASTRO'!$R$746:$R$893,'acab equip'!V164,' CADASTRO'!$S$746:$S$893,'acab equip'!$X$3)+COUNTIFS(' CADASTRO'!$R$746:$R$893,'acab equip'!V164,' CADASTRO'!$S$746:$S$893,'acab equip'!$W$3)</f>
        <v>0</v>
      </c>
      <c r="Z164" s="162">
        <f t="shared" si="35"/>
        <v>46859</v>
      </c>
      <c r="AB164" s="165">
        <f t="shared" si="25"/>
        <v>0</v>
      </c>
      <c r="AC164" s="165">
        <f t="shared" si="26"/>
        <v>0</v>
      </c>
      <c r="AD164" s="165">
        <f t="shared" si="27"/>
        <v>0</v>
      </c>
      <c r="AE164" s="177">
        <f t="shared" si="28"/>
        <v>0</v>
      </c>
    </row>
    <row r="165" spans="2:31" x14ac:dyDescent="0.25">
      <c r="B165" s="162">
        <f t="shared" si="29"/>
        <v>46860</v>
      </c>
      <c r="C165" s="163">
        <f>COUNTIFS(' CADASTRO'!$S:$S,'acab equip'!$C$3,' CADASTRO'!$R:$R,'acab equip'!B165)</f>
        <v>0</v>
      </c>
      <c r="D165" s="163">
        <f>COUNTIFS(' CADASTRO'!$S:$S,'acab equip'!$D$3,' CADASTRO'!$R:$R,'acab equip'!B165)</f>
        <v>0</v>
      </c>
      <c r="E165" s="163">
        <f>COUNTIFS(' CADASTRO'!$R$746:$R$893,'acab equip'!B165,' CADASTRO'!$S$746:$S$893,'acab equip'!$D$3)+COUNTIFS(' CADASTRO'!$R$746:$R$893,'acab equip'!B165,' CADASTRO'!$S$746:$S$893,'acab equip'!$C$3)</f>
        <v>0</v>
      </c>
      <c r="F165" s="162">
        <f t="shared" si="30"/>
        <v>46861</v>
      </c>
      <c r="G165" s="163">
        <f>COUNTIFS(' CADASTRO'!$S:$S,'acab equip'!$C$3,' CADASTRO'!$R:$R,'acab equip'!F165)</f>
        <v>0</v>
      </c>
      <c r="H165" s="163">
        <f>COUNTIFS(' CADASTRO'!$S:$S,'acab equip'!$D$3,' CADASTRO'!$R:$R,'acab equip'!F165)</f>
        <v>0</v>
      </c>
      <c r="I165" s="163">
        <f>COUNTIFS(' CADASTRO'!$R$746:$R$893,'acab equip'!F165,' CADASTRO'!$S$746:$S$893,'acab equip'!$H$3)+COUNTIFS(' CADASTRO'!$R$746:$R$893,'acab equip'!F165,' CADASTRO'!$S$746:$S$893,'acab equip'!$G$3)</f>
        <v>0</v>
      </c>
      <c r="J165" s="162">
        <f t="shared" si="31"/>
        <v>46862</v>
      </c>
      <c r="K165" s="163">
        <f>COUNTIFS(' CADASTRO'!$S:$S,'acab equip'!$C$3,' CADASTRO'!$R:$R,'acab equip'!J165)</f>
        <v>0</v>
      </c>
      <c r="L165" s="163">
        <f>COUNTIFS(' CADASTRO'!$S:$S,'acab equip'!$D$3,' CADASTRO'!$R:$R,'acab equip'!J165)</f>
        <v>0</v>
      </c>
      <c r="M165" s="163">
        <f>COUNTIFS(' CADASTRO'!$R$746:$R$893,'acab equip'!J165,' CADASTRO'!$S$746:$S$893,'acab equip'!$L$3)+COUNTIFS(' CADASTRO'!$R$746:$R$893,'acab equip'!J165,' CADASTRO'!$S$746:$S$893,'acab equip'!$K$3)</f>
        <v>0</v>
      </c>
      <c r="N165" s="162">
        <f t="shared" si="32"/>
        <v>46863</v>
      </c>
      <c r="O165" s="163">
        <f>COUNTIFS(' CADASTRO'!$S:$S,'acab equip'!$C$3,' CADASTRO'!$R:$R,'acab equip'!N165)</f>
        <v>0</v>
      </c>
      <c r="P165" s="163">
        <f>COUNTIFS(' CADASTRO'!$S:$S,'acab equip'!$D$3,' CADASTRO'!$R:$R,'acab equip'!N165)</f>
        <v>0</v>
      </c>
      <c r="Q165" s="163">
        <f>COUNTIFS(' CADASTRO'!$R$746:$R$893,'acab equip'!N165,' CADASTRO'!$S$746:$S$893,'acab equip'!$P$3)+COUNTIFS(' CADASTRO'!$R$746:$R$893,'acab equip'!N165,' CADASTRO'!$S$746:$S$893,'acab equip'!$O$3)</f>
        <v>0</v>
      </c>
      <c r="R165" s="162">
        <f t="shared" si="33"/>
        <v>46864</v>
      </c>
      <c r="S165" s="163">
        <f>COUNTIFS(' CADASTRO'!$S:$S,'acab equip'!$C$3,' CADASTRO'!$R:$R,'acab equip'!R165)</f>
        <v>0</v>
      </c>
      <c r="T165" s="163">
        <f>COUNTIFS(' CADASTRO'!$S:$S,'acab equip'!$D$3,' CADASTRO'!$R:$R,'acab equip'!R165)</f>
        <v>0</v>
      </c>
      <c r="U165" s="163">
        <f>COUNTIFS(' CADASTRO'!$R$746:$R$893,'acab equip'!R165,' CADASTRO'!$S$746:$S$893,'acab equip'!$T$3)+COUNTIFS(' CADASTRO'!$R$746:$R$893,'acab equip'!R165,' CADASTRO'!$S$746:$S$893,'acab equip'!$S$3)</f>
        <v>0</v>
      </c>
      <c r="V165" s="162">
        <f t="shared" si="34"/>
        <v>46865</v>
      </c>
      <c r="W165" s="163">
        <f>COUNTIFS(' CADASTRO'!$S:$S,'acab equip'!$C$3,' CADASTRO'!$R:$R,'acab equip'!V165)</f>
        <v>0</v>
      </c>
      <c r="X165" s="163">
        <f>COUNTIFS(' CADASTRO'!$S:$S,'acab equip'!$D$3,' CADASTRO'!$R:$R,'acab equip'!V165)</f>
        <v>0</v>
      </c>
      <c r="Y165" s="163">
        <f>COUNTIFS(' CADASTRO'!$R$746:$R$893,'acab equip'!V165,' CADASTRO'!$S$746:$S$893,'acab equip'!$X$3)+COUNTIFS(' CADASTRO'!$R$746:$R$893,'acab equip'!V165,' CADASTRO'!$S$746:$S$893,'acab equip'!$W$3)</f>
        <v>0</v>
      </c>
      <c r="Z165" s="162">
        <f t="shared" si="35"/>
        <v>46866</v>
      </c>
      <c r="AB165" s="165">
        <f t="shared" si="25"/>
        <v>0</v>
      </c>
      <c r="AC165" s="165">
        <f t="shared" si="26"/>
        <v>0</v>
      </c>
      <c r="AD165" s="165">
        <f t="shared" si="27"/>
        <v>0</v>
      </c>
      <c r="AE165" s="177">
        <f t="shared" si="28"/>
        <v>0</v>
      </c>
    </row>
    <row r="166" spans="2:31" x14ac:dyDescent="0.25">
      <c r="B166" s="162">
        <f t="shared" si="29"/>
        <v>46867</v>
      </c>
      <c r="C166" s="163">
        <f>COUNTIFS(' CADASTRO'!$S:$S,'acab equip'!$C$3,' CADASTRO'!$R:$R,'acab equip'!B166)</f>
        <v>0</v>
      </c>
      <c r="D166" s="163">
        <f>COUNTIFS(' CADASTRO'!$S:$S,'acab equip'!$D$3,' CADASTRO'!$R:$R,'acab equip'!B166)</f>
        <v>0</v>
      </c>
      <c r="E166" s="163">
        <f>COUNTIFS(' CADASTRO'!$R$746:$R$893,'acab equip'!B166,' CADASTRO'!$S$746:$S$893,'acab equip'!$D$3)+COUNTIFS(' CADASTRO'!$R$746:$R$893,'acab equip'!B166,' CADASTRO'!$S$746:$S$893,'acab equip'!$C$3)</f>
        <v>0</v>
      </c>
      <c r="F166" s="162">
        <f t="shared" si="30"/>
        <v>46868</v>
      </c>
      <c r="G166" s="163">
        <f>COUNTIFS(' CADASTRO'!$S:$S,'acab equip'!$C$3,' CADASTRO'!$R:$R,'acab equip'!F166)</f>
        <v>0</v>
      </c>
      <c r="H166" s="163">
        <f>COUNTIFS(' CADASTRO'!$S:$S,'acab equip'!$D$3,' CADASTRO'!$R:$R,'acab equip'!F166)</f>
        <v>0</v>
      </c>
      <c r="I166" s="163">
        <f>COUNTIFS(' CADASTRO'!$R$746:$R$893,'acab equip'!F166,' CADASTRO'!$S$746:$S$893,'acab equip'!$H$3)+COUNTIFS(' CADASTRO'!$R$746:$R$893,'acab equip'!F166,' CADASTRO'!$S$746:$S$893,'acab equip'!$G$3)</f>
        <v>0</v>
      </c>
      <c r="J166" s="162">
        <f t="shared" si="31"/>
        <v>46869</v>
      </c>
      <c r="K166" s="163">
        <f>COUNTIFS(' CADASTRO'!$S:$S,'acab equip'!$C$3,' CADASTRO'!$R:$R,'acab equip'!J166)</f>
        <v>0</v>
      </c>
      <c r="L166" s="163">
        <f>COUNTIFS(' CADASTRO'!$S:$S,'acab equip'!$D$3,' CADASTRO'!$R:$R,'acab equip'!J166)</f>
        <v>0</v>
      </c>
      <c r="M166" s="163">
        <f>COUNTIFS(' CADASTRO'!$R$746:$R$893,'acab equip'!J166,' CADASTRO'!$S$746:$S$893,'acab equip'!$L$3)+COUNTIFS(' CADASTRO'!$R$746:$R$893,'acab equip'!J166,' CADASTRO'!$S$746:$S$893,'acab equip'!$K$3)</f>
        <v>0</v>
      </c>
      <c r="N166" s="162">
        <f t="shared" si="32"/>
        <v>46870</v>
      </c>
      <c r="O166" s="163">
        <f>COUNTIFS(' CADASTRO'!$S:$S,'acab equip'!$C$3,' CADASTRO'!$R:$R,'acab equip'!N166)</f>
        <v>0</v>
      </c>
      <c r="P166" s="163">
        <f>COUNTIFS(' CADASTRO'!$S:$S,'acab equip'!$D$3,' CADASTRO'!$R:$R,'acab equip'!N166)</f>
        <v>0</v>
      </c>
      <c r="Q166" s="163">
        <f>COUNTIFS(' CADASTRO'!$R$746:$R$893,'acab equip'!N166,' CADASTRO'!$S$746:$S$893,'acab equip'!$P$3)+COUNTIFS(' CADASTRO'!$R$746:$R$893,'acab equip'!N166,' CADASTRO'!$S$746:$S$893,'acab equip'!$O$3)</f>
        <v>0</v>
      </c>
      <c r="R166" s="162">
        <f t="shared" si="33"/>
        <v>46871</v>
      </c>
      <c r="S166" s="163">
        <f>COUNTIFS(' CADASTRO'!$S:$S,'acab equip'!$C$3,' CADASTRO'!$R:$R,'acab equip'!R166)</f>
        <v>0</v>
      </c>
      <c r="T166" s="163">
        <f>COUNTIFS(' CADASTRO'!$S:$S,'acab equip'!$D$3,' CADASTRO'!$R:$R,'acab equip'!R166)</f>
        <v>0</v>
      </c>
      <c r="U166" s="163">
        <f>COUNTIFS(' CADASTRO'!$R$746:$R$893,'acab equip'!R166,' CADASTRO'!$S$746:$S$893,'acab equip'!$T$3)+COUNTIFS(' CADASTRO'!$R$746:$R$893,'acab equip'!R166,' CADASTRO'!$S$746:$S$893,'acab equip'!$S$3)</f>
        <v>0</v>
      </c>
      <c r="V166" s="162">
        <f t="shared" si="34"/>
        <v>46872</v>
      </c>
      <c r="W166" s="163">
        <f>COUNTIFS(' CADASTRO'!$S:$S,'acab equip'!$C$3,' CADASTRO'!$R:$R,'acab equip'!V166)</f>
        <v>0</v>
      </c>
      <c r="X166" s="163">
        <f>COUNTIFS(' CADASTRO'!$S:$S,'acab equip'!$D$3,' CADASTRO'!$R:$R,'acab equip'!V166)</f>
        <v>0</v>
      </c>
      <c r="Y166" s="163">
        <f>COUNTIFS(' CADASTRO'!$R$746:$R$893,'acab equip'!V166,' CADASTRO'!$S$746:$S$893,'acab equip'!$X$3)+COUNTIFS(' CADASTRO'!$R$746:$R$893,'acab equip'!V166,' CADASTRO'!$S$746:$S$893,'acab equip'!$W$3)</f>
        <v>0</v>
      </c>
      <c r="Z166" s="162">
        <f t="shared" si="35"/>
        <v>46873</v>
      </c>
      <c r="AB166" s="165">
        <f t="shared" si="25"/>
        <v>0</v>
      </c>
      <c r="AC166" s="165">
        <f t="shared" si="26"/>
        <v>0</v>
      </c>
      <c r="AD166" s="165">
        <f t="shared" si="27"/>
        <v>0</v>
      </c>
      <c r="AE166" s="177">
        <f t="shared" si="28"/>
        <v>0</v>
      </c>
    </row>
    <row r="167" spans="2:31" x14ac:dyDescent="0.25">
      <c r="B167" s="162">
        <f t="shared" si="29"/>
        <v>46874</v>
      </c>
      <c r="C167" s="163">
        <f>COUNTIFS(' CADASTRO'!$S:$S,'acab equip'!$C$3,' CADASTRO'!$R:$R,'acab equip'!B167)</f>
        <v>0</v>
      </c>
      <c r="D167" s="163">
        <f>COUNTIFS(' CADASTRO'!$S:$S,'acab equip'!$D$3,' CADASTRO'!$R:$R,'acab equip'!B167)</f>
        <v>0</v>
      </c>
      <c r="E167" s="163">
        <f>COUNTIFS(' CADASTRO'!$R$746:$R$893,'acab equip'!B167,' CADASTRO'!$S$746:$S$893,'acab equip'!$D$3)+COUNTIFS(' CADASTRO'!$R$746:$R$893,'acab equip'!B167,' CADASTRO'!$S$746:$S$893,'acab equip'!$C$3)</f>
        <v>0</v>
      </c>
      <c r="F167" s="162">
        <f t="shared" si="30"/>
        <v>46875</v>
      </c>
      <c r="G167" s="163">
        <f>COUNTIFS(' CADASTRO'!$S:$S,'acab equip'!$C$3,' CADASTRO'!$R:$R,'acab equip'!F167)</f>
        <v>0</v>
      </c>
      <c r="H167" s="163">
        <f>COUNTIFS(' CADASTRO'!$S:$S,'acab equip'!$D$3,' CADASTRO'!$R:$R,'acab equip'!F167)</f>
        <v>0</v>
      </c>
      <c r="I167" s="163">
        <f>COUNTIFS(' CADASTRO'!$R$746:$R$893,'acab equip'!F167,' CADASTRO'!$S$746:$S$893,'acab equip'!$H$3)+COUNTIFS(' CADASTRO'!$R$746:$R$893,'acab equip'!F167,' CADASTRO'!$S$746:$S$893,'acab equip'!$G$3)</f>
        <v>0</v>
      </c>
      <c r="J167" s="162">
        <f t="shared" si="31"/>
        <v>46876</v>
      </c>
      <c r="K167" s="163">
        <f>COUNTIFS(' CADASTRO'!$S:$S,'acab equip'!$C$3,' CADASTRO'!$R:$R,'acab equip'!J167)</f>
        <v>0</v>
      </c>
      <c r="L167" s="163">
        <f>COUNTIFS(' CADASTRO'!$S:$S,'acab equip'!$D$3,' CADASTRO'!$R:$R,'acab equip'!J167)</f>
        <v>0</v>
      </c>
      <c r="M167" s="163">
        <f>COUNTIFS(' CADASTRO'!$R$746:$R$893,'acab equip'!J167,' CADASTRO'!$S$746:$S$893,'acab equip'!$L$3)+COUNTIFS(' CADASTRO'!$R$746:$R$893,'acab equip'!J167,' CADASTRO'!$S$746:$S$893,'acab equip'!$K$3)</f>
        <v>0</v>
      </c>
      <c r="N167" s="162">
        <f t="shared" si="32"/>
        <v>46877</v>
      </c>
      <c r="O167" s="163">
        <f>COUNTIFS(' CADASTRO'!$S:$S,'acab equip'!$C$3,' CADASTRO'!$R:$R,'acab equip'!N167)</f>
        <v>0</v>
      </c>
      <c r="P167" s="163">
        <f>COUNTIFS(' CADASTRO'!$S:$S,'acab equip'!$D$3,' CADASTRO'!$R:$R,'acab equip'!N167)</f>
        <v>0</v>
      </c>
      <c r="Q167" s="163">
        <f>COUNTIFS(' CADASTRO'!$R$746:$R$893,'acab equip'!N167,' CADASTRO'!$S$746:$S$893,'acab equip'!$P$3)+COUNTIFS(' CADASTRO'!$R$746:$R$893,'acab equip'!N167,' CADASTRO'!$S$746:$S$893,'acab equip'!$O$3)</f>
        <v>0</v>
      </c>
      <c r="R167" s="162">
        <f t="shared" si="33"/>
        <v>46878</v>
      </c>
      <c r="S167" s="163">
        <f>COUNTIFS(' CADASTRO'!$S:$S,'acab equip'!$C$3,' CADASTRO'!$R:$R,'acab equip'!R167)</f>
        <v>0</v>
      </c>
      <c r="T167" s="163">
        <f>COUNTIFS(' CADASTRO'!$S:$S,'acab equip'!$D$3,' CADASTRO'!$R:$R,'acab equip'!R167)</f>
        <v>0</v>
      </c>
      <c r="U167" s="163">
        <f>COUNTIFS(' CADASTRO'!$R$746:$R$893,'acab equip'!R167,' CADASTRO'!$S$746:$S$893,'acab equip'!$T$3)+COUNTIFS(' CADASTRO'!$R$746:$R$893,'acab equip'!R167,' CADASTRO'!$S$746:$S$893,'acab equip'!$S$3)</f>
        <v>0</v>
      </c>
      <c r="V167" s="162">
        <f t="shared" si="34"/>
        <v>46879</v>
      </c>
      <c r="W167" s="163">
        <f>COUNTIFS(' CADASTRO'!$S:$S,'acab equip'!$C$3,' CADASTRO'!$R:$R,'acab equip'!V167)</f>
        <v>0</v>
      </c>
      <c r="X167" s="163">
        <f>COUNTIFS(' CADASTRO'!$S:$S,'acab equip'!$D$3,' CADASTRO'!$R:$R,'acab equip'!V167)</f>
        <v>0</v>
      </c>
      <c r="Y167" s="163">
        <f>COUNTIFS(' CADASTRO'!$R$746:$R$893,'acab equip'!V167,' CADASTRO'!$S$746:$S$893,'acab equip'!$X$3)+COUNTIFS(' CADASTRO'!$R$746:$R$893,'acab equip'!V167,' CADASTRO'!$S$746:$S$893,'acab equip'!$W$3)</f>
        <v>0</v>
      </c>
      <c r="Z167" s="162">
        <f t="shared" si="35"/>
        <v>46880</v>
      </c>
      <c r="AB167" s="165">
        <f t="shared" si="25"/>
        <v>0</v>
      </c>
      <c r="AC167" s="165">
        <f t="shared" si="26"/>
        <v>0</v>
      </c>
      <c r="AD167" s="165">
        <f t="shared" si="27"/>
        <v>0</v>
      </c>
      <c r="AE167" s="177">
        <f t="shared" si="28"/>
        <v>0</v>
      </c>
    </row>
    <row r="168" spans="2:31" x14ac:dyDescent="0.25">
      <c r="B168" s="162">
        <f t="shared" si="29"/>
        <v>46881</v>
      </c>
      <c r="C168" s="163">
        <f>COUNTIFS(' CADASTRO'!$S:$S,'acab equip'!$C$3,' CADASTRO'!$R:$R,'acab equip'!B168)</f>
        <v>0</v>
      </c>
      <c r="D168" s="163">
        <f>COUNTIFS(' CADASTRO'!$S:$S,'acab equip'!$D$3,' CADASTRO'!$R:$R,'acab equip'!B168)</f>
        <v>0</v>
      </c>
      <c r="E168" s="163">
        <f>COUNTIFS(' CADASTRO'!$R$746:$R$893,'acab equip'!B168,' CADASTRO'!$S$746:$S$893,'acab equip'!$D$3)+COUNTIFS(' CADASTRO'!$R$746:$R$893,'acab equip'!B168,' CADASTRO'!$S$746:$S$893,'acab equip'!$C$3)</f>
        <v>0</v>
      </c>
      <c r="F168" s="162">
        <f t="shared" si="30"/>
        <v>46882</v>
      </c>
      <c r="G168" s="163">
        <f>COUNTIFS(' CADASTRO'!$S:$S,'acab equip'!$C$3,' CADASTRO'!$R:$R,'acab equip'!F168)</f>
        <v>0</v>
      </c>
      <c r="H168" s="163">
        <f>COUNTIFS(' CADASTRO'!$S:$S,'acab equip'!$D$3,' CADASTRO'!$R:$R,'acab equip'!F168)</f>
        <v>0</v>
      </c>
      <c r="I168" s="163">
        <f>COUNTIFS(' CADASTRO'!$R$746:$R$893,'acab equip'!F168,' CADASTRO'!$S$746:$S$893,'acab equip'!$H$3)+COUNTIFS(' CADASTRO'!$R$746:$R$893,'acab equip'!F168,' CADASTRO'!$S$746:$S$893,'acab equip'!$G$3)</f>
        <v>0</v>
      </c>
      <c r="J168" s="162">
        <f t="shared" si="31"/>
        <v>46883</v>
      </c>
      <c r="K168" s="163">
        <f>COUNTIFS(' CADASTRO'!$S:$S,'acab equip'!$C$3,' CADASTRO'!$R:$R,'acab equip'!J168)</f>
        <v>0</v>
      </c>
      <c r="L168" s="163">
        <f>COUNTIFS(' CADASTRO'!$S:$S,'acab equip'!$D$3,' CADASTRO'!$R:$R,'acab equip'!J168)</f>
        <v>0</v>
      </c>
      <c r="M168" s="163">
        <f>COUNTIFS(' CADASTRO'!$R$746:$R$893,'acab equip'!J168,' CADASTRO'!$S$746:$S$893,'acab equip'!$L$3)+COUNTIFS(' CADASTRO'!$R$746:$R$893,'acab equip'!J168,' CADASTRO'!$S$746:$S$893,'acab equip'!$K$3)</f>
        <v>0</v>
      </c>
      <c r="N168" s="162">
        <f t="shared" si="32"/>
        <v>46884</v>
      </c>
      <c r="O168" s="163">
        <f>COUNTIFS(' CADASTRO'!$S:$S,'acab equip'!$C$3,' CADASTRO'!$R:$R,'acab equip'!N168)</f>
        <v>0</v>
      </c>
      <c r="P168" s="163">
        <f>COUNTIFS(' CADASTRO'!$S:$S,'acab equip'!$D$3,' CADASTRO'!$R:$R,'acab equip'!N168)</f>
        <v>0</v>
      </c>
      <c r="Q168" s="163">
        <f>COUNTIFS(' CADASTRO'!$R$746:$R$893,'acab equip'!N168,' CADASTRO'!$S$746:$S$893,'acab equip'!$P$3)+COUNTIFS(' CADASTRO'!$R$746:$R$893,'acab equip'!N168,' CADASTRO'!$S$746:$S$893,'acab equip'!$O$3)</f>
        <v>0</v>
      </c>
      <c r="R168" s="162">
        <f t="shared" si="33"/>
        <v>46885</v>
      </c>
      <c r="S168" s="163">
        <f>COUNTIFS(' CADASTRO'!$S:$S,'acab equip'!$C$3,' CADASTRO'!$R:$R,'acab equip'!R168)</f>
        <v>0</v>
      </c>
      <c r="T168" s="163">
        <f>COUNTIFS(' CADASTRO'!$S:$S,'acab equip'!$D$3,' CADASTRO'!$R:$R,'acab equip'!R168)</f>
        <v>0</v>
      </c>
      <c r="U168" s="163">
        <f>COUNTIFS(' CADASTRO'!$R$746:$R$893,'acab equip'!R168,' CADASTRO'!$S$746:$S$893,'acab equip'!$T$3)+COUNTIFS(' CADASTRO'!$R$746:$R$893,'acab equip'!R168,' CADASTRO'!$S$746:$S$893,'acab equip'!$S$3)</f>
        <v>0</v>
      </c>
      <c r="V168" s="162">
        <f t="shared" si="34"/>
        <v>46886</v>
      </c>
      <c r="W168" s="163">
        <f>COUNTIFS(' CADASTRO'!$S:$S,'acab equip'!$C$3,' CADASTRO'!$R:$R,'acab equip'!V168)</f>
        <v>0</v>
      </c>
      <c r="X168" s="163">
        <f>COUNTIFS(' CADASTRO'!$S:$S,'acab equip'!$D$3,' CADASTRO'!$R:$R,'acab equip'!V168)</f>
        <v>0</v>
      </c>
      <c r="Y168" s="163">
        <f>COUNTIFS(' CADASTRO'!$R$746:$R$893,'acab equip'!V168,' CADASTRO'!$S$746:$S$893,'acab equip'!$X$3)+COUNTIFS(' CADASTRO'!$R$746:$R$893,'acab equip'!V168,' CADASTRO'!$S$746:$S$893,'acab equip'!$W$3)</f>
        <v>0</v>
      </c>
      <c r="Z168" s="162">
        <f t="shared" si="35"/>
        <v>46887</v>
      </c>
      <c r="AB168" s="165">
        <f t="shared" si="25"/>
        <v>0</v>
      </c>
      <c r="AC168" s="165">
        <f t="shared" si="26"/>
        <v>0</v>
      </c>
      <c r="AD168" s="165">
        <f t="shared" si="27"/>
        <v>0</v>
      </c>
      <c r="AE168" s="177">
        <f t="shared" si="28"/>
        <v>0</v>
      </c>
    </row>
    <row r="169" spans="2:31" x14ac:dyDescent="0.25">
      <c r="B169" s="162">
        <f t="shared" si="29"/>
        <v>46888</v>
      </c>
      <c r="C169" s="163">
        <f>COUNTIFS(' CADASTRO'!$S:$S,'acab equip'!$C$3,' CADASTRO'!$R:$R,'acab equip'!B169)</f>
        <v>0</v>
      </c>
      <c r="D169" s="163">
        <f>COUNTIFS(' CADASTRO'!$S:$S,'acab equip'!$D$3,' CADASTRO'!$R:$R,'acab equip'!B169)</f>
        <v>0</v>
      </c>
      <c r="E169" s="163">
        <f>COUNTIFS(' CADASTRO'!$R$746:$R$893,'acab equip'!B169,' CADASTRO'!$S$746:$S$893,'acab equip'!$D$3)+COUNTIFS(' CADASTRO'!$R$746:$R$893,'acab equip'!B169,' CADASTRO'!$S$746:$S$893,'acab equip'!$C$3)</f>
        <v>0</v>
      </c>
      <c r="F169" s="162">
        <f t="shared" si="30"/>
        <v>46889</v>
      </c>
      <c r="G169" s="163">
        <f>COUNTIFS(' CADASTRO'!$S:$S,'acab equip'!$C$3,' CADASTRO'!$R:$R,'acab equip'!F169)</f>
        <v>0</v>
      </c>
      <c r="H169" s="163">
        <f>COUNTIFS(' CADASTRO'!$S:$S,'acab equip'!$D$3,' CADASTRO'!$R:$R,'acab equip'!F169)</f>
        <v>0</v>
      </c>
      <c r="I169" s="163">
        <f>COUNTIFS(' CADASTRO'!$R$746:$R$893,'acab equip'!F169,' CADASTRO'!$S$746:$S$893,'acab equip'!$H$3)+COUNTIFS(' CADASTRO'!$R$746:$R$893,'acab equip'!F169,' CADASTRO'!$S$746:$S$893,'acab equip'!$G$3)</f>
        <v>0</v>
      </c>
      <c r="J169" s="162">
        <f t="shared" si="31"/>
        <v>46890</v>
      </c>
      <c r="K169" s="163">
        <f>COUNTIFS(' CADASTRO'!$S:$S,'acab equip'!$C$3,' CADASTRO'!$R:$R,'acab equip'!J169)</f>
        <v>0</v>
      </c>
      <c r="L169" s="163">
        <f>COUNTIFS(' CADASTRO'!$S:$S,'acab equip'!$D$3,' CADASTRO'!$R:$R,'acab equip'!J169)</f>
        <v>0</v>
      </c>
      <c r="M169" s="163">
        <f>COUNTIFS(' CADASTRO'!$R$746:$R$893,'acab equip'!J169,' CADASTRO'!$S$746:$S$893,'acab equip'!$L$3)+COUNTIFS(' CADASTRO'!$R$746:$R$893,'acab equip'!J169,' CADASTRO'!$S$746:$S$893,'acab equip'!$K$3)</f>
        <v>0</v>
      </c>
      <c r="N169" s="162">
        <f t="shared" si="32"/>
        <v>46891</v>
      </c>
      <c r="O169" s="163">
        <f>COUNTIFS(' CADASTRO'!$S:$S,'acab equip'!$C$3,' CADASTRO'!$R:$R,'acab equip'!N169)</f>
        <v>0</v>
      </c>
      <c r="P169" s="163">
        <f>COUNTIFS(' CADASTRO'!$S:$S,'acab equip'!$D$3,' CADASTRO'!$R:$R,'acab equip'!N169)</f>
        <v>0</v>
      </c>
      <c r="Q169" s="163">
        <f>COUNTIFS(' CADASTRO'!$R$746:$R$893,'acab equip'!N169,' CADASTRO'!$S$746:$S$893,'acab equip'!$P$3)+COUNTIFS(' CADASTRO'!$R$746:$R$893,'acab equip'!N169,' CADASTRO'!$S$746:$S$893,'acab equip'!$O$3)</f>
        <v>0</v>
      </c>
      <c r="R169" s="162">
        <f t="shared" si="33"/>
        <v>46892</v>
      </c>
      <c r="S169" s="163">
        <f>COUNTIFS(' CADASTRO'!$S:$S,'acab equip'!$C$3,' CADASTRO'!$R:$R,'acab equip'!R169)</f>
        <v>0</v>
      </c>
      <c r="T169" s="163">
        <f>COUNTIFS(' CADASTRO'!$S:$S,'acab equip'!$D$3,' CADASTRO'!$R:$R,'acab equip'!R169)</f>
        <v>0</v>
      </c>
      <c r="U169" s="163">
        <f>COUNTIFS(' CADASTRO'!$R$746:$R$893,'acab equip'!R169,' CADASTRO'!$S$746:$S$893,'acab equip'!$T$3)+COUNTIFS(' CADASTRO'!$R$746:$R$893,'acab equip'!R169,' CADASTRO'!$S$746:$S$893,'acab equip'!$S$3)</f>
        <v>0</v>
      </c>
      <c r="V169" s="162">
        <f t="shared" si="34"/>
        <v>46893</v>
      </c>
      <c r="W169" s="163">
        <f>COUNTIFS(' CADASTRO'!$S:$S,'acab equip'!$C$3,' CADASTRO'!$R:$R,'acab equip'!V169)</f>
        <v>0</v>
      </c>
      <c r="X169" s="163">
        <f>COUNTIFS(' CADASTRO'!$S:$S,'acab equip'!$D$3,' CADASTRO'!$R:$R,'acab equip'!V169)</f>
        <v>0</v>
      </c>
      <c r="Y169" s="163">
        <f>COUNTIFS(' CADASTRO'!$R$746:$R$893,'acab equip'!V169,' CADASTRO'!$S$746:$S$893,'acab equip'!$X$3)+COUNTIFS(' CADASTRO'!$R$746:$R$893,'acab equip'!V169,' CADASTRO'!$S$746:$S$893,'acab equip'!$W$3)</f>
        <v>0</v>
      </c>
      <c r="Z169" s="162">
        <f t="shared" si="35"/>
        <v>46894</v>
      </c>
      <c r="AB169" s="165">
        <f t="shared" si="25"/>
        <v>0</v>
      </c>
      <c r="AC169" s="165">
        <f t="shared" si="26"/>
        <v>0</v>
      </c>
      <c r="AD169" s="165">
        <f t="shared" si="27"/>
        <v>0</v>
      </c>
      <c r="AE169" s="177">
        <f t="shared" si="28"/>
        <v>0</v>
      </c>
    </row>
    <row r="170" spans="2:31" x14ac:dyDescent="0.25">
      <c r="B170" s="162">
        <f t="shared" si="29"/>
        <v>46895</v>
      </c>
      <c r="C170" s="163">
        <f>COUNTIFS(' CADASTRO'!$S:$S,'acab equip'!$C$3,' CADASTRO'!$R:$R,'acab equip'!B170)</f>
        <v>0</v>
      </c>
      <c r="D170" s="163">
        <f>COUNTIFS(' CADASTRO'!$S:$S,'acab equip'!$D$3,' CADASTRO'!$R:$R,'acab equip'!B170)</f>
        <v>0</v>
      </c>
      <c r="E170" s="163">
        <f>COUNTIFS(' CADASTRO'!$R$746:$R$893,'acab equip'!B170,' CADASTRO'!$S$746:$S$893,'acab equip'!$D$3)+COUNTIFS(' CADASTRO'!$R$746:$R$893,'acab equip'!B170,' CADASTRO'!$S$746:$S$893,'acab equip'!$C$3)</f>
        <v>0</v>
      </c>
      <c r="F170" s="162">
        <f t="shared" si="30"/>
        <v>46896</v>
      </c>
      <c r="G170" s="163">
        <f>COUNTIFS(' CADASTRO'!$S:$S,'acab equip'!$C$3,' CADASTRO'!$R:$R,'acab equip'!F170)</f>
        <v>0</v>
      </c>
      <c r="H170" s="163">
        <f>COUNTIFS(' CADASTRO'!$S:$S,'acab equip'!$D$3,' CADASTRO'!$R:$R,'acab equip'!F170)</f>
        <v>0</v>
      </c>
      <c r="I170" s="163">
        <f>COUNTIFS(' CADASTRO'!$R$746:$R$893,'acab equip'!F170,' CADASTRO'!$S$746:$S$893,'acab equip'!$H$3)+COUNTIFS(' CADASTRO'!$R$746:$R$893,'acab equip'!F170,' CADASTRO'!$S$746:$S$893,'acab equip'!$G$3)</f>
        <v>0</v>
      </c>
      <c r="J170" s="162">
        <f t="shared" si="31"/>
        <v>46897</v>
      </c>
      <c r="K170" s="163">
        <f>COUNTIFS(' CADASTRO'!$S:$S,'acab equip'!$C$3,' CADASTRO'!$R:$R,'acab equip'!J170)</f>
        <v>0</v>
      </c>
      <c r="L170" s="163">
        <f>COUNTIFS(' CADASTRO'!$S:$S,'acab equip'!$D$3,' CADASTRO'!$R:$R,'acab equip'!J170)</f>
        <v>0</v>
      </c>
      <c r="M170" s="163">
        <f>COUNTIFS(' CADASTRO'!$R$746:$R$893,'acab equip'!J170,' CADASTRO'!$S$746:$S$893,'acab equip'!$L$3)+COUNTIFS(' CADASTRO'!$R$746:$R$893,'acab equip'!J170,' CADASTRO'!$S$746:$S$893,'acab equip'!$K$3)</f>
        <v>0</v>
      </c>
      <c r="N170" s="162">
        <f t="shared" si="32"/>
        <v>46898</v>
      </c>
      <c r="O170" s="163">
        <f>COUNTIFS(' CADASTRO'!$S:$S,'acab equip'!$C$3,' CADASTRO'!$R:$R,'acab equip'!N170)</f>
        <v>0</v>
      </c>
      <c r="P170" s="163">
        <f>COUNTIFS(' CADASTRO'!$S:$S,'acab equip'!$D$3,' CADASTRO'!$R:$R,'acab equip'!N170)</f>
        <v>0</v>
      </c>
      <c r="Q170" s="163">
        <f>COUNTIFS(' CADASTRO'!$R$746:$R$893,'acab equip'!N170,' CADASTRO'!$S$746:$S$893,'acab equip'!$P$3)+COUNTIFS(' CADASTRO'!$R$746:$R$893,'acab equip'!N170,' CADASTRO'!$S$746:$S$893,'acab equip'!$O$3)</f>
        <v>0</v>
      </c>
      <c r="R170" s="162">
        <f t="shared" si="33"/>
        <v>46899</v>
      </c>
      <c r="S170" s="163">
        <f>COUNTIFS(' CADASTRO'!$S:$S,'acab equip'!$C$3,' CADASTRO'!$R:$R,'acab equip'!R170)</f>
        <v>0</v>
      </c>
      <c r="T170" s="163">
        <f>COUNTIFS(' CADASTRO'!$S:$S,'acab equip'!$D$3,' CADASTRO'!$R:$R,'acab equip'!R170)</f>
        <v>0</v>
      </c>
      <c r="U170" s="163">
        <f>COUNTIFS(' CADASTRO'!$R$746:$R$893,'acab equip'!R170,' CADASTRO'!$S$746:$S$893,'acab equip'!$T$3)+COUNTIFS(' CADASTRO'!$R$746:$R$893,'acab equip'!R170,' CADASTRO'!$S$746:$S$893,'acab equip'!$S$3)</f>
        <v>0</v>
      </c>
      <c r="V170" s="162">
        <f t="shared" si="34"/>
        <v>46900</v>
      </c>
      <c r="W170" s="163">
        <f>COUNTIFS(' CADASTRO'!$S:$S,'acab equip'!$C$3,' CADASTRO'!$R:$R,'acab equip'!V170)</f>
        <v>0</v>
      </c>
      <c r="X170" s="163">
        <f>COUNTIFS(' CADASTRO'!$S:$S,'acab equip'!$D$3,' CADASTRO'!$R:$R,'acab equip'!V170)</f>
        <v>0</v>
      </c>
      <c r="Y170" s="163">
        <f>COUNTIFS(' CADASTRO'!$R$746:$R$893,'acab equip'!V170,' CADASTRO'!$S$746:$S$893,'acab equip'!$X$3)+COUNTIFS(' CADASTRO'!$R$746:$R$893,'acab equip'!V170,' CADASTRO'!$S$746:$S$893,'acab equip'!$W$3)</f>
        <v>0</v>
      </c>
      <c r="Z170" s="162">
        <f t="shared" si="35"/>
        <v>46901</v>
      </c>
      <c r="AB170" s="165">
        <f t="shared" si="25"/>
        <v>0</v>
      </c>
      <c r="AC170" s="165">
        <f t="shared" si="26"/>
        <v>0</v>
      </c>
      <c r="AD170" s="165">
        <f t="shared" si="27"/>
        <v>0</v>
      </c>
      <c r="AE170" s="177">
        <f t="shared" si="28"/>
        <v>0</v>
      </c>
    </row>
    <row r="171" spans="2:31" x14ac:dyDescent="0.25">
      <c r="B171" s="162">
        <f t="shared" si="29"/>
        <v>46902</v>
      </c>
      <c r="C171" s="163">
        <f>COUNTIFS(' CADASTRO'!$S:$S,'acab equip'!$C$3,' CADASTRO'!$R:$R,'acab equip'!B171)</f>
        <v>0</v>
      </c>
      <c r="D171" s="163">
        <f>COUNTIFS(' CADASTRO'!$S:$S,'acab equip'!$D$3,' CADASTRO'!$R:$R,'acab equip'!B171)</f>
        <v>0</v>
      </c>
      <c r="E171" s="163">
        <f>COUNTIFS(' CADASTRO'!$R$746:$R$893,'acab equip'!B171,' CADASTRO'!$S$746:$S$893,'acab equip'!$D$3)+COUNTIFS(' CADASTRO'!$R$746:$R$893,'acab equip'!B171,' CADASTRO'!$S$746:$S$893,'acab equip'!$C$3)</f>
        <v>0</v>
      </c>
      <c r="F171" s="162">
        <f t="shared" si="30"/>
        <v>46903</v>
      </c>
      <c r="G171" s="163">
        <f>COUNTIFS(' CADASTRO'!$S:$S,'acab equip'!$C$3,' CADASTRO'!$R:$R,'acab equip'!F171)</f>
        <v>0</v>
      </c>
      <c r="H171" s="163">
        <f>COUNTIFS(' CADASTRO'!$S:$S,'acab equip'!$D$3,' CADASTRO'!$R:$R,'acab equip'!F171)</f>
        <v>0</v>
      </c>
      <c r="I171" s="163">
        <f>COUNTIFS(' CADASTRO'!$R$746:$R$893,'acab equip'!F171,' CADASTRO'!$S$746:$S$893,'acab equip'!$H$3)+COUNTIFS(' CADASTRO'!$R$746:$R$893,'acab equip'!F171,' CADASTRO'!$S$746:$S$893,'acab equip'!$G$3)</f>
        <v>0</v>
      </c>
      <c r="J171" s="162">
        <f t="shared" si="31"/>
        <v>46904</v>
      </c>
      <c r="K171" s="163">
        <f>COUNTIFS(' CADASTRO'!$S:$S,'acab equip'!$C$3,' CADASTRO'!$R:$R,'acab equip'!J171)</f>
        <v>0</v>
      </c>
      <c r="L171" s="163">
        <f>COUNTIFS(' CADASTRO'!$S:$S,'acab equip'!$D$3,' CADASTRO'!$R:$R,'acab equip'!J171)</f>
        <v>0</v>
      </c>
      <c r="M171" s="163">
        <f>COUNTIFS(' CADASTRO'!$R$746:$R$893,'acab equip'!J171,' CADASTRO'!$S$746:$S$893,'acab equip'!$L$3)+COUNTIFS(' CADASTRO'!$R$746:$R$893,'acab equip'!J171,' CADASTRO'!$S$746:$S$893,'acab equip'!$K$3)</f>
        <v>0</v>
      </c>
      <c r="N171" s="162">
        <f t="shared" si="32"/>
        <v>46905</v>
      </c>
      <c r="O171" s="163">
        <f>COUNTIFS(' CADASTRO'!$S:$S,'acab equip'!$C$3,' CADASTRO'!$R:$R,'acab equip'!N171)</f>
        <v>0</v>
      </c>
      <c r="P171" s="163">
        <f>COUNTIFS(' CADASTRO'!$S:$S,'acab equip'!$D$3,' CADASTRO'!$R:$R,'acab equip'!N171)</f>
        <v>0</v>
      </c>
      <c r="Q171" s="163">
        <f>COUNTIFS(' CADASTRO'!$R$746:$R$893,'acab equip'!N171,' CADASTRO'!$S$746:$S$893,'acab equip'!$P$3)+COUNTIFS(' CADASTRO'!$R$746:$R$893,'acab equip'!N171,' CADASTRO'!$S$746:$S$893,'acab equip'!$O$3)</f>
        <v>0</v>
      </c>
      <c r="R171" s="162">
        <f t="shared" si="33"/>
        <v>46906</v>
      </c>
      <c r="S171" s="163">
        <f>COUNTIFS(' CADASTRO'!$S:$S,'acab equip'!$C$3,' CADASTRO'!$R:$R,'acab equip'!R171)</f>
        <v>0</v>
      </c>
      <c r="T171" s="163">
        <f>COUNTIFS(' CADASTRO'!$S:$S,'acab equip'!$D$3,' CADASTRO'!$R:$R,'acab equip'!R171)</f>
        <v>0</v>
      </c>
      <c r="U171" s="163">
        <f>COUNTIFS(' CADASTRO'!$R$746:$R$893,'acab equip'!R171,' CADASTRO'!$S$746:$S$893,'acab equip'!$T$3)+COUNTIFS(' CADASTRO'!$R$746:$R$893,'acab equip'!R171,' CADASTRO'!$S$746:$S$893,'acab equip'!$S$3)</f>
        <v>0</v>
      </c>
      <c r="V171" s="162">
        <f t="shared" si="34"/>
        <v>46907</v>
      </c>
      <c r="W171" s="163">
        <f>COUNTIFS(' CADASTRO'!$S:$S,'acab equip'!$C$3,' CADASTRO'!$R:$R,'acab equip'!V171)</f>
        <v>0</v>
      </c>
      <c r="X171" s="163">
        <f>COUNTIFS(' CADASTRO'!$S:$S,'acab equip'!$D$3,' CADASTRO'!$R:$R,'acab equip'!V171)</f>
        <v>0</v>
      </c>
      <c r="Y171" s="163">
        <f>COUNTIFS(' CADASTRO'!$R$746:$R$893,'acab equip'!V171,' CADASTRO'!$S$746:$S$893,'acab equip'!$X$3)+COUNTIFS(' CADASTRO'!$R$746:$R$893,'acab equip'!V171,' CADASTRO'!$S$746:$S$893,'acab equip'!$W$3)</f>
        <v>0</v>
      </c>
      <c r="Z171" s="162">
        <f t="shared" si="35"/>
        <v>46908</v>
      </c>
      <c r="AB171" s="165">
        <f t="shared" si="25"/>
        <v>0</v>
      </c>
      <c r="AC171" s="165">
        <f t="shared" si="26"/>
        <v>0</v>
      </c>
      <c r="AD171" s="165">
        <f t="shared" si="27"/>
        <v>0</v>
      </c>
      <c r="AE171" s="177">
        <f t="shared" si="28"/>
        <v>0</v>
      </c>
    </row>
    <row r="172" spans="2:31" x14ac:dyDescent="0.25">
      <c r="B172" s="162">
        <f t="shared" si="29"/>
        <v>46909</v>
      </c>
      <c r="C172" s="163">
        <f>COUNTIFS(' CADASTRO'!$S:$S,'acab equip'!$C$3,' CADASTRO'!$R:$R,'acab equip'!B172)</f>
        <v>0</v>
      </c>
      <c r="D172" s="163">
        <f>COUNTIFS(' CADASTRO'!$S:$S,'acab equip'!$D$3,' CADASTRO'!$R:$R,'acab equip'!B172)</f>
        <v>0</v>
      </c>
      <c r="E172" s="163">
        <f>COUNTIFS(' CADASTRO'!$R$746:$R$893,'acab equip'!B172,' CADASTRO'!$S$746:$S$893,'acab equip'!$D$3)+COUNTIFS(' CADASTRO'!$R$746:$R$893,'acab equip'!B172,' CADASTRO'!$S$746:$S$893,'acab equip'!$C$3)</f>
        <v>0</v>
      </c>
      <c r="F172" s="162">
        <f t="shared" si="30"/>
        <v>46910</v>
      </c>
      <c r="G172" s="163">
        <f>COUNTIFS(' CADASTRO'!$S:$S,'acab equip'!$C$3,' CADASTRO'!$R:$R,'acab equip'!F172)</f>
        <v>0</v>
      </c>
      <c r="H172" s="163">
        <f>COUNTIFS(' CADASTRO'!$S:$S,'acab equip'!$D$3,' CADASTRO'!$R:$R,'acab equip'!F172)</f>
        <v>0</v>
      </c>
      <c r="I172" s="163">
        <f>COUNTIFS(' CADASTRO'!$R$746:$R$893,'acab equip'!F172,' CADASTRO'!$S$746:$S$893,'acab equip'!$H$3)+COUNTIFS(' CADASTRO'!$R$746:$R$893,'acab equip'!F172,' CADASTRO'!$S$746:$S$893,'acab equip'!$G$3)</f>
        <v>0</v>
      </c>
      <c r="J172" s="162">
        <f t="shared" si="31"/>
        <v>46911</v>
      </c>
      <c r="K172" s="163">
        <f>COUNTIFS(' CADASTRO'!$S:$S,'acab equip'!$C$3,' CADASTRO'!$R:$R,'acab equip'!J172)</f>
        <v>0</v>
      </c>
      <c r="L172" s="163">
        <f>COUNTIFS(' CADASTRO'!$S:$S,'acab equip'!$D$3,' CADASTRO'!$R:$R,'acab equip'!J172)</f>
        <v>0</v>
      </c>
      <c r="M172" s="163">
        <f>COUNTIFS(' CADASTRO'!$R$746:$R$893,'acab equip'!J172,' CADASTRO'!$S$746:$S$893,'acab equip'!$L$3)+COUNTIFS(' CADASTRO'!$R$746:$R$893,'acab equip'!J172,' CADASTRO'!$S$746:$S$893,'acab equip'!$K$3)</f>
        <v>0</v>
      </c>
      <c r="N172" s="162">
        <f t="shared" si="32"/>
        <v>46912</v>
      </c>
      <c r="O172" s="163">
        <f>COUNTIFS(' CADASTRO'!$S:$S,'acab equip'!$C$3,' CADASTRO'!$R:$R,'acab equip'!N172)</f>
        <v>0</v>
      </c>
      <c r="P172" s="163">
        <f>COUNTIFS(' CADASTRO'!$S:$S,'acab equip'!$D$3,' CADASTRO'!$R:$R,'acab equip'!N172)</f>
        <v>0</v>
      </c>
      <c r="Q172" s="163">
        <f>COUNTIFS(' CADASTRO'!$R$746:$R$893,'acab equip'!N172,' CADASTRO'!$S$746:$S$893,'acab equip'!$P$3)+COUNTIFS(' CADASTRO'!$R$746:$R$893,'acab equip'!N172,' CADASTRO'!$S$746:$S$893,'acab equip'!$O$3)</f>
        <v>0</v>
      </c>
      <c r="R172" s="162">
        <f t="shared" si="33"/>
        <v>46913</v>
      </c>
      <c r="S172" s="163">
        <f>COUNTIFS(' CADASTRO'!$S:$S,'acab equip'!$C$3,' CADASTRO'!$R:$R,'acab equip'!R172)</f>
        <v>0</v>
      </c>
      <c r="T172" s="163">
        <f>COUNTIFS(' CADASTRO'!$S:$S,'acab equip'!$D$3,' CADASTRO'!$R:$R,'acab equip'!R172)</f>
        <v>0</v>
      </c>
      <c r="U172" s="163">
        <f>COUNTIFS(' CADASTRO'!$R$746:$R$893,'acab equip'!R172,' CADASTRO'!$S$746:$S$893,'acab equip'!$T$3)+COUNTIFS(' CADASTRO'!$R$746:$R$893,'acab equip'!R172,' CADASTRO'!$S$746:$S$893,'acab equip'!$S$3)</f>
        <v>0</v>
      </c>
      <c r="V172" s="162">
        <f t="shared" si="34"/>
        <v>46914</v>
      </c>
      <c r="W172" s="163">
        <f>COUNTIFS(' CADASTRO'!$S:$S,'acab equip'!$C$3,' CADASTRO'!$R:$R,'acab equip'!V172)</f>
        <v>0</v>
      </c>
      <c r="X172" s="163">
        <f>COUNTIFS(' CADASTRO'!$S:$S,'acab equip'!$D$3,' CADASTRO'!$R:$R,'acab equip'!V172)</f>
        <v>0</v>
      </c>
      <c r="Y172" s="163">
        <f>COUNTIFS(' CADASTRO'!$R$746:$R$893,'acab equip'!V172,' CADASTRO'!$S$746:$S$893,'acab equip'!$X$3)+COUNTIFS(' CADASTRO'!$R$746:$R$893,'acab equip'!V172,' CADASTRO'!$S$746:$S$893,'acab equip'!$W$3)</f>
        <v>0</v>
      </c>
      <c r="Z172" s="162">
        <f t="shared" si="35"/>
        <v>46915</v>
      </c>
      <c r="AB172" s="165">
        <f t="shared" si="25"/>
        <v>0</v>
      </c>
      <c r="AC172" s="165">
        <f t="shared" si="26"/>
        <v>0</v>
      </c>
      <c r="AD172" s="165">
        <f t="shared" si="27"/>
        <v>0</v>
      </c>
      <c r="AE172" s="177">
        <f t="shared" si="28"/>
        <v>0</v>
      </c>
    </row>
    <row r="173" spans="2:31" x14ac:dyDescent="0.25">
      <c r="B173" s="162">
        <f t="shared" si="29"/>
        <v>46916</v>
      </c>
      <c r="C173" s="163">
        <f>COUNTIFS(' CADASTRO'!$S:$S,'acab equip'!$C$3,' CADASTRO'!$R:$R,'acab equip'!B173)</f>
        <v>0</v>
      </c>
      <c r="D173" s="163">
        <f>COUNTIFS(' CADASTRO'!$S:$S,'acab equip'!$D$3,' CADASTRO'!$R:$R,'acab equip'!B173)</f>
        <v>0</v>
      </c>
      <c r="E173" s="163">
        <f>COUNTIFS(' CADASTRO'!$R$746:$R$893,'acab equip'!B173,' CADASTRO'!$S$746:$S$893,'acab equip'!$D$3)+COUNTIFS(' CADASTRO'!$R$746:$R$893,'acab equip'!B173,' CADASTRO'!$S$746:$S$893,'acab equip'!$C$3)</f>
        <v>0</v>
      </c>
      <c r="F173" s="162">
        <f t="shared" si="30"/>
        <v>46917</v>
      </c>
      <c r="G173" s="163">
        <f>COUNTIFS(' CADASTRO'!$S:$S,'acab equip'!$C$3,' CADASTRO'!$R:$R,'acab equip'!F173)</f>
        <v>0</v>
      </c>
      <c r="H173" s="163">
        <f>COUNTIFS(' CADASTRO'!$S:$S,'acab equip'!$D$3,' CADASTRO'!$R:$R,'acab equip'!F173)</f>
        <v>0</v>
      </c>
      <c r="I173" s="163">
        <f>COUNTIFS(' CADASTRO'!$R$746:$R$893,'acab equip'!F173,' CADASTRO'!$S$746:$S$893,'acab equip'!$H$3)+COUNTIFS(' CADASTRO'!$R$746:$R$893,'acab equip'!F173,' CADASTRO'!$S$746:$S$893,'acab equip'!$G$3)</f>
        <v>0</v>
      </c>
      <c r="J173" s="162">
        <f t="shared" si="31"/>
        <v>46918</v>
      </c>
      <c r="K173" s="163">
        <f>COUNTIFS(' CADASTRO'!$S:$S,'acab equip'!$C$3,' CADASTRO'!$R:$R,'acab equip'!J173)</f>
        <v>0</v>
      </c>
      <c r="L173" s="163">
        <f>COUNTIFS(' CADASTRO'!$S:$S,'acab equip'!$D$3,' CADASTRO'!$R:$R,'acab equip'!J173)</f>
        <v>0</v>
      </c>
      <c r="M173" s="163">
        <f>COUNTIFS(' CADASTRO'!$R$746:$R$893,'acab equip'!J173,' CADASTRO'!$S$746:$S$893,'acab equip'!$L$3)+COUNTIFS(' CADASTRO'!$R$746:$R$893,'acab equip'!J173,' CADASTRO'!$S$746:$S$893,'acab equip'!$K$3)</f>
        <v>0</v>
      </c>
      <c r="N173" s="162">
        <f t="shared" si="32"/>
        <v>46919</v>
      </c>
      <c r="O173" s="163">
        <f>COUNTIFS(' CADASTRO'!$S:$S,'acab equip'!$C$3,' CADASTRO'!$R:$R,'acab equip'!N173)</f>
        <v>0</v>
      </c>
      <c r="P173" s="163">
        <f>COUNTIFS(' CADASTRO'!$S:$S,'acab equip'!$D$3,' CADASTRO'!$R:$R,'acab equip'!N173)</f>
        <v>0</v>
      </c>
      <c r="Q173" s="163">
        <f>COUNTIFS(' CADASTRO'!$R$746:$R$893,'acab equip'!N173,' CADASTRO'!$S$746:$S$893,'acab equip'!$P$3)+COUNTIFS(' CADASTRO'!$R$746:$R$893,'acab equip'!N173,' CADASTRO'!$S$746:$S$893,'acab equip'!$O$3)</f>
        <v>0</v>
      </c>
      <c r="R173" s="162">
        <f t="shared" si="33"/>
        <v>46920</v>
      </c>
      <c r="S173" s="163">
        <f>COUNTIFS(' CADASTRO'!$S:$S,'acab equip'!$C$3,' CADASTRO'!$R:$R,'acab equip'!R173)</f>
        <v>0</v>
      </c>
      <c r="T173" s="163">
        <f>COUNTIFS(' CADASTRO'!$S:$S,'acab equip'!$D$3,' CADASTRO'!$R:$R,'acab equip'!R173)</f>
        <v>0</v>
      </c>
      <c r="U173" s="163">
        <f>COUNTIFS(' CADASTRO'!$R$746:$R$893,'acab equip'!R173,' CADASTRO'!$S$746:$S$893,'acab equip'!$T$3)+COUNTIFS(' CADASTRO'!$R$746:$R$893,'acab equip'!R173,' CADASTRO'!$S$746:$S$893,'acab equip'!$S$3)</f>
        <v>0</v>
      </c>
      <c r="V173" s="162">
        <f t="shared" si="34"/>
        <v>46921</v>
      </c>
      <c r="W173" s="163">
        <f>COUNTIFS(' CADASTRO'!$S:$S,'acab equip'!$C$3,' CADASTRO'!$R:$R,'acab equip'!V173)</f>
        <v>0</v>
      </c>
      <c r="X173" s="163">
        <f>COUNTIFS(' CADASTRO'!$S:$S,'acab equip'!$D$3,' CADASTRO'!$R:$R,'acab equip'!V173)</f>
        <v>0</v>
      </c>
      <c r="Y173" s="163">
        <f>COUNTIFS(' CADASTRO'!$R$746:$R$893,'acab equip'!V173,' CADASTRO'!$S$746:$S$893,'acab equip'!$X$3)+COUNTIFS(' CADASTRO'!$R$746:$R$893,'acab equip'!V173,' CADASTRO'!$S$746:$S$893,'acab equip'!$W$3)</f>
        <v>0</v>
      </c>
      <c r="Z173" s="162">
        <f t="shared" si="35"/>
        <v>46922</v>
      </c>
      <c r="AB173" s="165">
        <f t="shared" si="25"/>
        <v>0</v>
      </c>
      <c r="AC173" s="165">
        <f t="shared" si="26"/>
        <v>0</v>
      </c>
      <c r="AD173" s="165">
        <f t="shared" si="27"/>
        <v>0</v>
      </c>
      <c r="AE173" s="177">
        <f t="shared" si="28"/>
        <v>0</v>
      </c>
    </row>
    <row r="174" spans="2:31" x14ac:dyDescent="0.25">
      <c r="B174" s="162">
        <f t="shared" si="29"/>
        <v>46923</v>
      </c>
      <c r="C174" s="163">
        <f>COUNTIFS(' CADASTRO'!$S:$S,'acab equip'!$C$3,' CADASTRO'!$R:$R,'acab equip'!B174)</f>
        <v>0</v>
      </c>
      <c r="D174" s="163">
        <f>COUNTIFS(' CADASTRO'!$S:$S,'acab equip'!$D$3,' CADASTRO'!$R:$R,'acab equip'!B174)</f>
        <v>0</v>
      </c>
      <c r="E174" s="163">
        <f>COUNTIFS(' CADASTRO'!$R$746:$R$893,'acab equip'!B174,' CADASTRO'!$S$746:$S$893,'acab equip'!$D$3)+COUNTIFS(' CADASTRO'!$R$746:$R$893,'acab equip'!B174,' CADASTRO'!$S$746:$S$893,'acab equip'!$C$3)</f>
        <v>0</v>
      </c>
      <c r="F174" s="162">
        <f t="shared" si="30"/>
        <v>46924</v>
      </c>
      <c r="G174" s="163">
        <f>COUNTIFS(' CADASTRO'!$S:$S,'acab equip'!$C$3,' CADASTRO'!$R:$R,'acab equip'!F174)</f>
        <v>0</v>
      </c>
      <c r="H174" s="163">
        <f>COUNTIFS(' CADASTRO'!$S:$S,'acab equip'!$D$3,' CADASTRO'!$R:$R,'acab equip'!F174)</f>
        <v>0</v>
      </c>
      <c r="I174" s="163">
        <f>COUNTIFS(' CADASTRO'!$R$746:$R$893,'acab equip'!F174,' CADASTRO'!$S$746:$S$893,'acab equip'!$H$3)+COUNTIFS(' CADASTRO'!$R$746:$R$893,'acab equip'!F174,' CADASTRO'!$S$746:$S$893,'acab equip'!$G$3)</f>
        <v>0</v>
      </c>
      <c r="J174" s="162">
        <f t="shared" si="31"/>
        <v>46925</v>
      </c>
      <c r="K174" s="163">
        <f>COUNTIFS(' CADASTRO'!$S:$S,'acab equip'!$C$3,' CADASTRO'!$R:$R,'acab equip'!J174)</f>
        <v>0</v>
      </c>
      <c r="L174" s="163">
        <f>COUNTIFS(' CADASTRO'!$S:$S,'acab equip'!$D$3,' CADASTRO'!$R:$R,'acab equip'!J174)</f>
        <v>0</v>
      </c>
      <c r="M174" s="163">
        <f>COUNTIFS(' CADASTRO'!$R$746:$R$893,'acab equip'!J174,' CADASTRO'!$S$746:$S$893,'acab equip'!$L$3)+COUNTIFS(' CADASTRO'!$R$746:$R$893,'acab equip'!J174,' CADASTRO'!$S$746:$S$893,'acab equip'!$K$3)</f>
        <v>0</v>
      </c>
      <c r="N174" s="162">
        <f t="shared" si="32"/>
        <v>46926</v>
      </c>
      <c r="O174" s="163">
        <f>COUNTIFS(' CADASTRO'!$S:$S,'acab equip'!$C$3,' CADASTRO'!$R:$R,'acab equip'!N174)</f>
        <v>0</v>
      </c>
      <c r="P174" s="163">
        <f>COUNTIFS(' CADASTRO'!$S:$S,'acab equip'!$D$3,' CADASTRO'!$R:$R,'acab equip'!N174)</f>
        <v>0</v>
      </c>
      <c r="Q174" s="163">
        <f>COUNTIFS(' CADASTRO'!$R$746:$R$893,'acab equip'!N174,' CADASTRO'!$S$746:$S$893,'acab equip'!$P$3)+COUNTIFS(' CADASTRO'!$R$746:$R$893,'acab equip'!N174,' CADASTRO'!$S$746:$S$893,'acab equip'!$O$3)</f>
        <v>0</v>
      </c>
      <c r="R174" s="162">
        <f t="shared" si="33"/>
        <v>46927</v>
      </c>
      <c r="S174" s="163">
        <f>COUNTIFS(' CADASTRO'!$S:$S,'acab equip'!$C$3,' CADASTRO'!$R:$R,'acab equip'!R174)</f>
        <v>0</v>
      </c>
      <c r="T174" s="163">
        <f>COUNTIFS(' CADASTRO'!$S:$S,'acab equip'!$D$3,' CADASTRO'!$R:$R,'acab equip'!R174)</f>
        <v>0</v>
      </c>
      <c r="U174" s="163">
        <f>COUNTIFS(' CADASTRO'!$R$746:$R$893,'acab equip'!R174,' CADASTRO'!$S$746:$S$893,'acab equip'!$T$3)+COUNTIFS(' CADASTRO'!$R$746:$R$893,'acab equip'!R174,' CADASTRO'!$S$746:$S$893,'acab equip'!$S$3)</f>
        <v>0</v>
      </c>
      <c r="V174" s="162">
        <f t="shared" si="34"/>
        <v>46928</v>
      </c>
      <c r="W174" s="163">
        <f>COUNTIFS(' CADASTRO'!$S:$S,'acab equip'!$C$3,' CADASTRO'!$R:$R,'acab equip'!V174)</f>
        <v>0</v>
      </c>
      <c r="X174" s="163">
        <f>COUNTIFS(' CADASTRO'!$S:$S,'acab equip'!$D$3,' CADASTRO'!$R:$R,'acab equip'!V174)</f>
        <v>0</v>
      </c>
      <c r="Y174" s="163">
        <f>COUNTIFS(' CADASTRO'!$R$746:$R$893,'acab equip'!V174,' CADASTRO'!$S$746:$S$893,'acab equip'!$X$3)+COUNTIFS(' CADASTRO'!$R$746:$R$893,'acab equip'!V174,' CADASTRO'!$S$746:$S$893,'acab equip'!$W$3)</f>
        <v>0</v>
      </c>
      <c r="Z174" s="162">
        <f t="shared" si="35"/>
        <v>46929</v>
      </c>
      <c r="AB174" s="165">
        <f t="shared" si="25"/>
        <v>0</v>
      </c>
      <c r="AC174" s="165">
        <f t="shared" si="26"/>
        <v>0</v>
      </c>
      <c r="AD174" s="165">
        <f t="shared" si="27"/>
        <v>0</v>
      </c>
      <c r="AE174" s="177">
        <f t="shared" si="28"/>
        <v>0</v>
      </c>
    </row>
    <row r="175" spans="2:31" x14ac:dyDescent="0.25">
      <c r="B175" s="162">
        <f t="shared" si="29"/>
        <v>46930</v>
      </c>
      <c r="C175" s="163">
        <f>COUNTIFS(' CADASTRO'!$S:$S,'acab equip'!$C$3,' CADASTRO'!$R:$R,'acab equip'!B175)</f>
        <v>0</v>
      </c>
      <c r="D175" s="163">
        <f>COUNTIFS(' CADASTRO'!$S:$S,'acab equip'!$D$3,' CADASTRO'!$R:$R,'acab equip'!B175)</f>
        <v>0</v>
      </c>
      <c r="E175" s="163">
        <f>COUNTIFS(' CADASTRO'!$R$746:$R$893,'acab equip'!B175,' CADASTRO'!$S$746:$S$893,'acab equip'!$D$3)+COUNTIFS(' CADASTRO'!$R$746:$R$893,'acab equip'!B175,' CADASTRO'!$S$746:$S$893,'acab equip'!$C$3)</f>
        <v>0</v>
      </c>
      <c r="F175" s="162">
        <f t="shared" si="30"/>
        <v>46931</v>
      </c>
      <c r="G175" s="163">
        <f>COUNTIFS(' CADASTRO'!$S:$S,'acab equip'!$C$3,' CADASTRO'!$R:$R,'acab equip'!F175)</f>
        <v>0</v>
      </c>
      <c r="H175" s="163">
        <f>COUNTIFS(' CADASTRO'!$S:$S,'acab equip'!$D$3,' CADASTRO'!$R:$R,'acab equip'!F175)</f>
        <v>0</v>
      </c>
      <c r="I175" s="163">
        <f>COUNTIFS(' CADASTRO'!$R$746:$R$893,'acab equip'!F175,' CADASTRO'!$S$746:$S$893,'acab equip'!$H$3)+COUNTIFS(' CADASTRO'!$R$746:$R$893,'acab equip'!F175,' CADASTRO'!$S$746:$S$893,'acab equip'!$G$3)</f>
        <v>0</v>
      </c>
      <c r="J175" s="162">
        <f t="shared" si="31"/>
        <v>46932</v>
      </c>
      <c r="K175" s="163">
        <f>COUNTIFS(' CADASTRO'!$S:$S,'acab equip'!$C$3,' CADASTRO'!$R:$R,'acab equip'!J175)</f>
        <v>0</v>
      </c>
      <c r="L175" s="163">
        <f>COUNTIFS(' CADASTRO'!$S:$S,'acab equip'!$D$3,' CADASTRO'!$R:$R,'acab equip'!J175)</f>
        <v>0</v>
      </c>
      <c r="M175" s="163">
        <f>COUNTIFS(' CADASTRO'!$R$746:$R$893,'acab equip'!J175,' CADASTRO'!$S$746:$S$893,'acab equip'!$L$3)+COUNTIFS(' CADASTRO'!$R$746:$R$893,'acab equip'!J175,' CADASTRO'!$S$746:$S$893,'acab equip'!$K$3)</f>
        <v>0</v>
      </c>
      <c r="N175" s="162">
        <f t="shared" si="32"/>
        <v>46933</v>
      </c>
      <c r="O175" s="163">
        <f>COUNTIFS(' CADASTRO'!$S:$S,'acab equip'!$C$3,' CADASTRO'!$R:$R,'acab equip'!N175)</f>
        <v>0</v>
      </c>
      <c r="P175" s="163">
        <f>COUNTIFS(' CADASTRO'!$S:$S,'acab equip'!$D$3,' CADASTRO'!$R:$R,'acab equip'!N175)</f>
        <v>0</v>
      </c>
      <c r="Q175" s="163">
        <f>COUNTIFS(' CADASTRO'!$R$746:$R$893,'acab equip'!N175,' CADASTRO'!$S$746:$S$893,'acab equip'!$P$3)+COUNTIFS(' CADASTRO'!$R$746:$R$893,'acab equip'!N175,' CADASTRO'!$S$746:$S$893,'acab equip'!$O$3)</f>
        <v>0</v>
      </c>
      <c r="R175" s="162">
        <f t="shared" si="33"/>
        <v>46934</v>
      </c>
      <c r="S175" s="163">
        <f>COUNTIFS(' CADASTRO'!$S:$S,'acab equip'!$C$3,' CADASTRO'!$R:$R,'acab equip'!R175)</f>
        <v>0</v>
      </c>
      <c r="T175" s="163">
        <f>COUNTIFS(' CADASTRO'!$S:$S,'acab equip'!$D$3,' CADASTRO'!$R:$R,'acab equip'!R175)</f>
        <v>0</v>
      </c>
      <c r="U175" s="163">
        <f>COUNTIFS(' CADASTRO'!$R$746:$R$893,'acab equip'!R175,' CADASTRO'!$S$746:$S$893,'acab equip'!$T$3)+COUNTIFS(' CADASTRO'!$R$746:$R$893,'acab equip'!R175,' CADASTRO'!$S$746:$S$893,'acab equip'!$S$3)</f>
        <v>0</v>
      </c>
      <c r="V175" s="162">
        <f t="shared" si="34"/>
        <v>46935</v>
      </c>
      <c r="W175" s="163">
        <f>COUNTIFS(' CADASTRO'!$S:$S,'acab equip'!$C$3,' CADASTRO'!$R:$R,'acab equip'!V175)</f>
        <v>0</v>
      </c>
      <c r="X175" s="163">
        <f>COUNTIFS(' CADASTRO'!$S:$S,'acab equip'!$D$3,' CADASTRO'!$R:$R,'acab equip'!V175)</f>
        <v>0</v>
      </c>
      <c r="Y175" s="163">
        <f>COUNTIFS(' CADASTRO'!$R$746:$R$893,'acab equip'!V175,' CADASTRO'!$S$746:$S$893,'acab equip'!$X$3)+COUNTIFS(' CADASTRO'!$R$746:$R$893,'acab equip'!V175,' CADASTRO'!$S$746:$S$893,'acab equip'!$W$3)</f>
        <v>0</v>
      </c>
      <c r="Z175" s="162">
        <f t="shared" si="35"/>
        <v>46936</v>
      </c>
      <c r="AB175" s="165">
        <f t="shared" si="25"/>
        <v>0</v>
      </c>
      <c r="AC175" s="165">
        <f t="shared" si="26"/>
        <v>0</v>
      </c>
      <c r="AD175" s="165">
        <f t="shared" si="27"/>
        <v>0</v>
      </c>
      <c r="AE175" s="177">
        <f t="shared" si="28"/>
        <v>0</v>
      </c>
    </row>
    <row r="176" spans="2:31" x14ac:dyDescent="0.25">
      <c r="B176" s="162">
        <f t="shared" si="29"/>
        <v>46937</v>
      </c>
      <c r="C176" s="163">
        <f>COUNTIFS(' CADASTRO'!$S:$S,'acab equip'!$C$3,' CADASTRO'!$R:$R,'acab equip'!B176)</f>
        <v>0</v>
      </c>
      <c r="D176" s="163">
        <f>COUNTIFS(' CADASTRO'!$S:$S,'acab equip'!$D$3,' CADASTRO'!$R:$R,'acab equip'!B176)</f>
        <v>0</v>
      </c>
      <c r="E176" s="163">
        <f>COUNTIFS(' CADASTRO'!$R$746:$R$893,'acab equip'!B176,' CADASTRO'!$S$746:$S$893,'acab equip'!$D$3)+COUNTIFS(' CADASTRO'!$R$746:$R$893,'acab equip'!B176,' CADASTRO'!$S$746:$S$893,'acab equip'!$C$3)</f>
        <v>0</v>
      </c>
      <c r="F176" s="162">
        <f t="shared" si="30"/>
        <v>46938</v>
      </c>
      <c r="G176" s="163">
        <f>COUNTIFS(' CADASTRO'!$S:$S,'acab equip'!$C$3,' CADASTRO'!$R:$R,'acab equip'!F176)</f>
        <v>0</v>
      </c>
      <c r="H176" s="163">
        <f>COUNTIFS(' CADASTRO'!$S:$S,'acab equip'!$D$3,' CADASTRO'!$R:$R,'acab equip'!F176)</f>
        <v>0</v>
      </c>
      <c r="I176" s="163">
        <f>COUNTIFS(' CADASTRO'!$R$746:$R$893,'acab equip'!F176,' CADASTRO'!$S$746:$S$893,'acab equip'!$H$3)+COUNTIFS(' CADASTRO'!$R$746:$R$893,'acab equip'!F176,' CADASTRO'!$S$746:$S$893,'acab equip'!$G$3)</f>
        <v>0</v>
      </c>
      <c r="J176" s="162">
        <f t="shared" si="31"/>
        <v>46939</v>
      </c>
      <c r="K176" s="163">
        <f>COUNTIFS(' CADASTRO'!$S:$S,'acab equip'!$C$3,' CADASTRO'!$R:$R,'acab equip'!J176)</f>
        <v>0</v>
      </c>
      <c r="L176" s="163">
        <f>COUNTIFS(' CADASTRO'!$S:$S,'acab equip'!$D$3,' CADASTRO'!$R:$R,'acab equip'!J176)</f>
        <v>0</v>
      </c>
      <c r="M176" s="163">
        <f>COUNTIFS(' CADASTRO'!$R$746:$R$893,'acab equip'!J176,' CADASTRO'!$S$746:$S$893,'acab equip'!$L$3)+COUNTIFS(' CADASTRO'!$R$746:$R$893,'acab equip'!J176,' CADASTRO'!$S$746:$S$893,'acab equip'!$K$3)</f>
        <v>0</v>
      </c>
      <c r="N176" s="162">
        <f t="shared" si="32"/>
        <v>46940</v>
      </c>
      <c r="O176" s="163">
        <f>COUNTIFS(' CADASTRO'!$S:$S,'acab equip'!$C$3,' CADASTRO'!$R:$R,'acab equip'!N176)</f>
        <v>0</v>
      </c>
      <c r="P176" s="163">
        <f>COUNTIFS(' CADASTRO'!$S:$S,'acab equip'!$D$3,' CADASTRO'!$R:$R,'acab equip'!N176)</f>
        <v>0</v>
      </c>
      <c r="Q176" s="163">
        <f>COUNTIFS(' CADASTRO'!$R$746:$R$893,'acab equip'!N176,' CADASTRO'!$S$746:$S$893,'acab equip'!$P$3)+COUNTIFS(' CADASTRO'!$R$746:$R$893,'acab equip'!N176,' CADASTRO'!$S$746:$S$893,'acab equip'!$O$3)</f>
        <v>0</v>
      </c>
      <c r="R176" s="162">
        <f t="shared" si="33"/>
        <v>46941</v>
      </c>
      <c r="S176" s="163">
        <f>COUNTIFS(' CADASTRO'!$S:$S,'acab equip'!$C$3,' CADASTRO'!$R:$R,'acab equip'!R176)</f>
        <v>0</v>
      </c>
      <c r="T176" s="163">
        <f>COUNTIFS(' CADASTRO'!$S:$S,'acab equip'!$D$3,' CADASTRO'!$R:$R,'acab equip'!R176)</f>
        <v>0</v>
      </c>
      <c r="U176" s="163">
        <f>COUNTIFS(' CADASTRO'!$R$746:$R$893,'acab equip'!R176,' CADASTRO'!$S$746:$S$893,'acab equip'!$T$3)+COUNTIFS(' CADASTRO'!$R$746:$R$893,'acab equip'!R176,' CADASTRO'!$S$746:$S$893,'acab equip'!$S$3)</f>
        <v>0</v>
      </c>
      <c r="V176" s="162">
        <f t="shared" si="34"/>
        <v>46942</v>
      </c>
      <c r="W176" s="163">
        <f>COUNTIFS(' CADASTRO'!$S:$S,'acab equip'!$C$3,' CADASTRO'!$R:$R,'acab equip'!V176)</f>
        <v>0</v>
      </c>
      <c r="X176" s="163">
        <f>COUNTIFS(' CADASTRO'!$S:$S,'acab equip'!$D$3,' CADASTRO'!$R:$R,'acab equip'!V176)</f>
        <v>0</v>
      </c>
      <c r="Y176" s="163">
        <f>COUNTIFS(' CADASTRO'!$R$746:$R$893,'acab equip'!V176,' CADASTRO'!$S$746:$S$893,'acab equip'!$X$3)+COUNTIFS(' CADASTRO'!$R$746:$R$893,'acab equip'!V176,' CADASTRO'!$S$746:$S$893,'acab equip'!$W$3)</f>
        <v>0</v>
      </c>
      <c r="Z176" s="162">
        <f t="shared" si="35"/>
        <v>46943</v>
      </c>
      <c r="AB176" s="165">
        <f t="shared" si="25"/>
        <v>0</v>
      </c>
      <c r="AC176" s="165">
        <f t="shared" si="26"/>
        <v>0</v>
      </c>
      <c r="AD176" s="165">
        <f t="shared" si="27"/>
        <v>0</v>
      </c>
      <c r="AE176" s="177">
        <f t="shared" si="28"/>
        <v>0</v>
      </c>
    </row>
    <row r="177" spans="2:31" x14ac:dyDescent="0.25">
      <c r="B177" s="162">
        <f t="shared" si="29"/>
        <v>46944</v>
      </c>
      <c r="C177" s="163">
        <f>COUNTIFS(' CADASTRO'!$S:$S,'acab equip'!$C$3,' CADASTRO'!$R:$R,'acab equip'!B177)</f>
        <v>0</v>
      </c>
      <c r="D177" s="163">
        <f>COUNTIFS(' CADASTRO'!$S:$S,'acab equip'!$D$3,' CADASTRO'!$R:$R,'acab equip'!B177)</f>
        <v>0</v>
      </c>
      <c r="E177" s="163">
        <f>COUNTIFS(' CADASTRO'!$R$746:$R$893,'acab equip'!B177,' CADASTRO'!$S$746:$S$893,'acab equip'!$D$3)+COUNTIFS(' CADASTRO'!$R$746:$R$893,'acab equip'!B177,' CADASTRO'!$S$746:$S$893,'acab equip'!$C$3)</f>
        <v>0</v>
      </c>
      <c r="F177" s="162">
        <f t="shared" si="30"/>
        <v>46945</v>
      </c>
      <c r="G177" s="163">
        <f>COUNTIFS(' CADASTRO'!$S:$S,'acab equip'!$C$3,' CADASTRO'!$R:$R,'acab equip'!F177)</f>
        <v>0</v>
      </c>
      <c r="H177" s="163">
        <f>COUNTIFS(' CADASTRO'!$S:$S,'acab equip'!$D$3,' CADASTRO'!$R:$R,'acab equip'!F177)</f>
        <v>0</v>
      </c>
      <c r="I177" s="163">
        <f>COUNTIFS(' CADASTRO'!$R$746:$R$893,'acab equip'!F177,' CADASTRO'!$S$746:$S$893,'acab equip'!$H$3)+COUNTIFS(' CADASTRO'!$R$746:$R$893,'acab equip'!F177,' CADASTRO'!$S$746:$S$893,'acab equip'!$G$3)</f>
        <v>0</v>
      </c>
      <c r="J177" s="162">
        <f t="shared" si="31"/>
        <v>46946</v>
      </c>
      <c r="K177" s="163">
        <f>COUNTIFS(' CADASTRO'!$S:$S,'acab equip'!$C$3,' CADASTRO'!$R:$R,'acab equip'!J177)</f>
        <v>0</v>
      </c>
      <c r="L177" s="163">
        <f>COUNTIFS(' CADASTRO'!$S:$S,'acab equip'!$D$3,' CADASTRO'!$R:$R,'acab equip'!J177)</f>
        <v>0</v>
      </c>
      <c r="M177" s="163">
        <f>COUNTIFS(' CADASTRO'!$R$746:$R$893,'acab equip'!J177,' CADASTRO'!$S$746:$S$893,'acab equip'!$L$3)+COUNTIFS(' CADASTRO'!$R$746:$R$893,'acab equip'!J177,' CADASTRO'!$S$746:$S$893,'acab equip'!$K$3)</f>
        <v>0</v>
      </c>
      <c r="N177" s="162">
        <f t="shared" si="32"/>
        <v>46947</v>
      </c>
      <c r="O177" s="163">
        <f>COUNTIFS(' CADASTRO'!$S:$S,'acab equip'!$C$3,' CADASTRO'!$R:$R,'acab equip'!N177)</f>
        <v>0</v>
      </c>
      <c r="P177" s="163">
        <f>COUNTIFS(' CADASTRO'!$S:$S,'acab equip'!$D$3,' CADASTRO'!$R:$R,'acab equip'!N177)</f>
        <v>0</v>
      </c>
      <c r="Q177" s="163">
        <f>COUNTIFS(' CADASTRO'!$R$746:$R$893,'acab equip'!N177,' CADASTRO'!$S$746:$S$893,'acab equip'!$P$3)+COUNTIFS(' CADASTRO'!$R$746:$R$893,'acab equip'!N177,' CADASTRO'!$S$746:$S$893,'acab equip'!$O$3)</f>
        <v>0</v>
      </c>
      <c r="R177" s="162">
        <f t="shared" si="33"/>
        <v>46948</v>
      </c>
      <c r="S177" s="163">
        <f>COUNTIFS(' CADASTRO'!$S:$S,'acab equip'!$C$3,' CADASTRO'!$R:$R,'acab equip'!R177)</f>
        <v>0</v>
      </c>
      <c r="T177" s="163">
        <f>COUNTIFS(' CADASTRO'!$S:$S,'acab equip'!$D$3,' CADASTRO'!$R:$R,'acab equip'!R177)</f>
        <v>0</v>
      </c>
      <c r="U177" s="163">
        <f>COUNTIFS(' CADASTRO'!$R$746:$R$893,'acab equip'!R177,' CADASTRO'!$S$746:$S$893,'acab equip'!$T$3)+COUNTIFS(' CADASTRO'!$R$746:$R$893,'acab equip'!R177,' CADASTRO'!$S$746:$S$893,'acab equip'!$S$3)</f>
        <v>0</v>
      </c>
      <c r="V177" s="162">
        <f t="shared" si="34"/>
        <v>46949</v>
      </c>
      <c r="W177" s="163">
        <f>COUNTIFS(' CADASTRO'!$S:$S,'acab equip'!$C$3,' CADASTRO'!$R:$R,'acab equip'!V177)</f>
        <v>0</v>
      </c>
      <c r="X177" s="163">
        <f>COUNTIFS(' CADASTRO'!$S:$S,'acab equip'!$D$3,' CADASTRO'!$R:$R,'acab equip'!V177)</f>
        <v>0</v>
      </c>
      <c r="Y177" s="163">
        <f>COUNTIFS(' CADASTRO'!$R$746:$R$893,'acab equip'!V177,' CADASTRO'!$S$746:$S$893,'acab equip'!$X$3)+COUNTIFS(' CADASTRO'!$R$746:$R$893,'acab equip'!V177,' CADASTRO'!$S$746:$S$893,'acab equip'!$W$3)</f>
        <v>0</v>
      </c>
      <c r="Z177" s="162">
        <f t="shared" si="35"/>
        <v>46950</v>
      </c>
      <c r="AB177" s="165">
        <f t="shared" si="25"/>
        <v>0</v>
      </c>
      <c r="AC177" s="165">
        <f t="shared" si="26"/>
        <v>0</v>
      </c>
      <c r="AD177" s="165">
        <f t="shared" si="27"/>
        <v>0</v>
      </c>
      <c r="AE177" s="177">
        <f t="shared" si="28"/>
        <v>0</v>
      </c>
    </row>
    <row r="178" spans="2:31" x14ac:dyDescent="0.25">
      <c r="B178" s="162">
        <f t="shared" si="29"/>
        <v>46951</v>
      </c>
      <c r="C178" s="163">
        <f>COUNTIFS(' CADASTRO'!$S:$S,'acab equip'!$C$3,' CADASTRO'!$R:$R,'acab equip'!B178)</f>
        <v>0</v>
      </c>
      <c r="D178" s="163">
        <f>COUNTIFS(' CADASTRO'!$S:$S,'acab equip'!$D$3,' CADASTRO'!$R:$R,'acab equip'!B178)</f>
        <v>0</v>
      </c>
      <c r="E178" s="163">
        <f>COUNTIFS(' CADASTRO'!$R$746:$R$893,'acab equip'!B178,' CADASTRO'!$S$746:$S$893,'acab equip'!$D$3)+COUNTIFS(' CADASTRO'!$R$746:$R$893,'acab equip'!B178,' CADASTRO'!$S$746:$S$893,'acab equip'!$C$3)</f>
        <v>0</v>
      </c>
      <c r="F178" s="162">
        <f t="shared" si="30"/>
        <v>46952</v>
      </c>
      <c r="G178" s="163">
        <f>COUNTIFS(' CADASTRO'!$S:$S,'acab equip'!$C$3,' CADASTRO'!$R:$R,'acab equip'!F178)</f>
        <v>0</v>
      </c>
      <c r="H178" s="163">
        <f>COUNTIFS(' CADASTRO'!$S:$S,'acab equip'!$D$3,' CADASTRO'!$R:$R,'acab equip'!F178)</f>
        <v>0</v>
      </c>
      <c r="I178" s="163">
        <f>COUNTIFS(' CADASTRO'!$R$746:$R$893,'acab equip'!F178,' CADASTRO'!$S$746:$S$893,'acab equip'!$H$3)+COUNTIFS(' CADASTRO'!$R$746:$R$893,'acab equip'!F178,' CADASTRO'!$S$746:$S$893,'acab equip'!$G$3)</f>
        <v>0</v>
      </c>
      <c r="J178" s="162">
        <f t="shared" si="31"/>
        <v>46953</v>
      </c>
      <c r="K178" s="163">
        <f>COUNTIFS(' CADASTRO'!$S:$S,'acab equip'!$C$3,' CADASTRO'!$R:$R,'acab equip'!J178)</f>
        <v>0</v>
      </c>
      <c r="L178" s="163">
        <f>COUNTIFS(' CADASTRO'!$S:$S,'acab equip'!$D$3,' CADASTRO'!$R:$R,'acab equip'!J178)</f>
        <v>0</v>
      </c>
      <c r="M178" s="163">
        <f>COUNTIFS(' CADASTRO'!$R$746:$R$893,'acab equip'!J178,' CADASTRO'!$S$746:$S$893,'acab equip'!$L$3)+COUNTIFS(' CADASTRO'!$R$746:$R$893,'acab equip'!J178,' CADASTRO'!$S$746:$S$893,'acab equip'!$K$3)</f>
        <v>0</v>
      </c>
      <c r="N178" s="162">
        <f t="shared" si="32"/>
        <v>46954</v>
      </c>
      <c r="O178" s="163">
        <f>COUNTIFS(' CADASTRO'!$S:$S,'acab equip'!$C$3,' CADASTRO'!$R:$R,'acab equip'!N178)</f>
        <v>0</v>
      </c>
      <c r="P178" s="163">
        <f>COUNTIFS(' CADASTRO'!$S:$S,'acab equip'!$D$3,' CADASTRO'!$R:$R,'acab equip'!N178)</f>
        <v>0</v>
      </c>
      <c r="Q178" s="163">
        <f>COUNTIFS(' CADASTRO'!$R$746:$R$893,'acab equip'!N178,' CADASTRO'!$S$746:$S$893,'acab equip'!$P$3)+COUNTIFS(' CADASTRO'!$R$746:$R$893,'acab equip'!N178,' CADASTRO'!$S$746:$S$893,'acab equip'!$O$3)</f>
        <v>0</v>
      </c>
      <c r="R178" s="162">
        <f t="shared" si="33"/>
        <v>46955</v>
      </c>
      <c r="S178" s="163">
        <f>COUNTIFS(' CADASTRO'!$S:$S,'acab equip'!$C$3,' CADASTRO'!$R:$R,'acab equip'!R178)</f>
        <v>0</v>
      </c>
      <c r="T178" s="163">
        <f>COUNTIFS(' CADASTRO'!$S:$S,'acab equip'!$D$3,' CADASTRO'!$R:$R,'acab equip'!R178)</f>
        <v>0</v>
      </c>
      <c r="U178" s="163">
        <f>COUNTIFS(' CADASTRO'!$R$746:$R$893,'acab equip'!R178,' CADASTRO'!$S$746:$S$893,'acab equip'!$T$3)+COUNTIFS(' CADASTRO'!$R$746:$R$893,'acab equip'!R178,' CADASTRO'!$S$746:$S$893,'acab equip'!$S$3)</f>
        <v>0</v>
      </c>
      <c r="V178" s="162">
        <f t="shared" si="34"/>
        <v>46956</v>
      </c>
      <c r="W178" s="163">
        <f>COUNTIFS(' CADASTRO'!$S:$S,'acab equip'!$C$3,' CADASTRO'!$R:$R,'acab equip'!V178)</f>
        <v>0</v>
      </c>
      <c r="X178" s="163">
        <f>COUNTIFS(' CADASTRO'!$S:$S,'acab equip'!$D$3,' CADASTRO'!$R:$R,'acab equip'!V178)</f>
        <v>0</v>
      </c>
      <c r="Y178" s="163">
        <f>COUNTIFS(' CADASTRO'!$R$746:$R$893,'acab equip'!V178,' CADASTRO'!$S$746:$S$893,'acab equip'!$X$3)+COUNTIFS(' CADASTRO'!$R$746:$R$893,'acab equip'!V178,' CADASTRO'!$S$746:$S$893,'acab equip'!$W$3)</f>
        <v>0</v>
      </c>
      <c r="Z178" s="162">
        <f t="shared" si="35"/>
        <v>46957</v>
      </c>
      <c r="AB178" s="165">
        <f t="shared" si="25"/>
        <v>0</v>
      </c>
      <c r="AC178" s="165">
        <f t="shared" si="26"/>
        <v>0</v>
      </c>
      <c r="AD178" s="165">
        <f t="shared" si="27"/>
        <v>0</v>
      </c>
      <c r="AE178" s="177">
        <f t="shared" si="28"/>
        <v>0</v>
      </c>
    </row>
    <row r="179" spans="2:31" x14ac:dyDescent="0.25">
      <c r="B179" s="162">
        <f t="shared" si="29"/>
        <v>46958</v>
      </c>
      <c r="C179" s="163">
        <f>COUNTIFS(' CADASTRO'!$S:$S,'acab equip'!$C$3,' CADASTRO'!$R:$R,'acab equip'!B179)</f>
        <v>0</v>
      </c>
      <c r="D179" s="163">
        <f>COUNTIFS(' CADASTRO'!$S:$S,'acab equip'!$D$3,' CADASTRO'!$R:$R,'acab equip'!B179)</f>
        <v>0</v>
      </c>
      <c r="E179" s="163">
        <f>COUNTIFS(' CADASTRO'!$R$746:$R$893,'acab equip'!B179,' CADASTRO'!$S$746:$S$893,'acab equip'!$D$3)+COUNTIFS(' CADASTRO'!$R$746:$R$893,'acab equip'!B179,' CADASTRO'!$S$746:$S$893,'acab equip'!$C$3)</f>
        <v>0</v>
      </c>
      <c r="F179" s="162">
        <f t="shared" si="30"/>
        <v>46959</v>
      </c>
      <c r="G179" s="163">
        <f>COUNTIFS(' CADASTRO'!$S:$S,'acab equip'!$C$3,' CADASTRO'!$R:$R,'acab equip'!F179)</f>
        <v>0</v>
      </c>
      <c r="H179" s="163">
        <f>COUNTIFS(' CADASTRO'!$S:$S,'acab equip'!$D$3,' CADASTRO'!$R:$R,'acab equip'!F179)</f>
        <v>0</v>
      </c>
      <c r="I179" s="163">
        <f>COUNTIFS(' CADASTRO'!$R$746:$R$893,'acab equip'!F179,' CADASTRO'!$S$746:$S$893,'acab equip'!$H$3)+COUNTIFS(' CADASTRO'!$R$746:$R$893,'acab equip'!F179,' CADASTRO'!$S$746:$S$893,'acab equip'!$G$3)</f>
        <v>0</v>
      </c>
      <c r="J179" s="162">
        <f t="shared" si="31"/>
        <v>46960</v>
      </c>
      <c r="K179" s="163">
        <f>COUNTIFS(' CADASTRO'!$S:$S,'acab equip'!$C$3,' CADASTRO'!$R:$R,'acab equip'!J179)</f>
        <v>0</v>
      </c>
      <c r="L179" s="163">
        <f>COUNTIFS(' CADASTRO'!$S:$S,'acab equip'!$D$3,' CADASTRO'!$R:$R,'acab equip'!J179)</f>
        <v>0</v>
      </c>
      <c r="M179" s="163">
        <f>COUNTIFS(' CADASTRO'!$R$746:$R$893,'acab equip'!J179,' CADASTRO'!$S$746:$S$893,'acab equip'!$L$3)+COUNTIFS(' CADASTRO'!$R$746:$R$893,'acab equip'!J179,' CADASTRO'!$S$746:$S$893,'acab equip'!$K$3)</f>
        <v>0</v>
      </c>
      <c r="N179" s="162">
        <f t="shared" si="32"/>
        <v>46961</v>
      </c>
      <c r="O179" s="163">
        <f>COUNTIFS(' CADASTRO'!$S:$S,'acab equip'!$C$3,' CADASTRO'!$R:$R,'acab equip'!N179)</f>
        <v>0</v>
      </c>
      <c r="P179" s="163">
        <f>COUNTIFS(' CADASTRO'!$S:$S,'acab equip'!$D$3,' CADASTRO'!$R:$R,'acab equip'!N179)</f>
        <v>0</v>
      </c>
      <c r="Q179" s="163">
        <f>COUNTIFS(' CADASTRO'!$R$746:$R$893,'acab equip'!N179,' CADASTRO'!$S$746:$S$893,'acab equip'!$P$3)+COUNTIFS(' CADASTRO'!$R$746:$R$893,'acab equip'!N179,' CADASTRO'!$S$746:$S$893,'acab equip'!$O$3)</f>
        <v>0</v>
      </c>
      <c r="R179" s="162">
        <f t="shared" si="33"/>
        <v>46962</v>
      </c>
      <c r="S179" s="163">
        <f>COUNTIFS(' CADASTRO'!$S:$S,'acab equip'!$C$3,' CADASTRO'!$R:$R,'acab equip'!R179)</f>
        <v>0</v>
      </c>
      <c r="T179" s="163">
        <f>COUNTIFS(' CADASTRO'!$S:$S,'acab equip'!$D$3,' CADASTRO'!$R:$R,'acab equip'!R179)</f>
        <v>0</v>
      </c>
      <c r="U179" s="163">
        <f>COUNTIFS(' CADASTRO'!$R$746:$R$893,'acab equip'!R179,' CADASTRO'!$S$746:$S$893,'acab equip'!$T$3)+COUNTIFS(' CADASTRO'!$R$746:$R$893,'acab equip'!R179,' CADASTRO'!$S$746:$S$893,'acab equip'!$S$3)</f>
        <v>0</v>
      </c>
      <c r="V179" s="162">
        <f t="shared" si="34"/>
        <v>46963</v>
      </c>
      <c r="W179" s="163">
        <f>COUNTIFS(' CADASTRO'!$S:$S,'acab equip'!$C$3,' CADASTRO'!$R:$R,'acab equip'!V179)</f>
        <v>0</v>
      </c>
      <c r="X179" s="163">
        <f>COUNTIFS(' CADASTRO'!$S:$S,'acab equip'!$D$3,' CADASTRO'!$R:$R,'acab equip'!V179)</f>
        <v>0</v>
      </c>
      <c r="Y179" s="163">
        <f>COUNTIFS(' CADASTRO'!$R$746:$R$893,'acab equip'!V179,' CADASTRO'!$S$746:$S$893,'acab equip'!$X$3)+COUNTIFS(' CADASTRO'!$R$746:$R$893,'acab equip'!V179,' CADASTRO'!$S$746:$S$893,'acab equip'!$W$3)</f>
        <v>0</v>
      </c>
      <c r="Z179" s="162">
        <f t="shared" si="35"/>
        <v>46964</v>
      </c>
      <c r="AB179" s="165">
        <f t="shared" si="25"/>
        <v>0</v>
      </c>
      <c r="AC179" s="165">
        <f t="shared" si="26"/>
        <v>0</v>
      </c>
      <c r="AD179" s="165">
        <f t="shared" si="27"/>
        <v>0</v>
      </c>
      <c r="AE179" s="177">
        <f t="shared" si="28"/>
        <v>0</v>
      </c>
    </row>
    <row r="180" spans="2:31" x14ac:dyDescent="0.25">
      <c r="B180" s="162">
        <f t="shared" si="29"/>
        <v>46965</v>
      </c>
      <c r="C180" s="163">
        <f>COUNTIFS(' CADASTRO'!$S:$S,'acab equip'!$C$3,' CADASTRO'!$R:$R,'acab equip'!B180)</f>
        <v>0</v>
      </c>
      <c r="D180" s="163">
        <f>COUNTIFS(' CADASTRO'!$S:$S,'acab equip'!$D$3,' CADASTRO'!$R:$R,'acab equip'!B180)</f>
        <v>0</v>
      </c>
      <c r="E180" s="163">
        <f>COUNTIFS(' CADASTRO'!$R$746:$R$893,'acab equip'!B180,' CADASTRO'!$S$746:$S$893,'acab equip'!$D$3)+COUNTIFS(' CADASTRO'!$R$746:$R$893,'acab equip'!B180,' CADASTRO'!$S$746:$S$893,'acab equip'!$C$3)</f>
        <v>0</v>
      </c>
      <c r="F180" s="162">
        <f t="shared" si="30"/>
        <v>46966</v>
      </c>
      <c r="G180" s="163">
        <f>COUNTIFS(' CADASTRO'!$S:$S,'acab equip'!$C$3,' CADASTRO'!$R:$R,'acab equip'!F180)</f>
        <v>0</v>
      </c>
      <c r="H180" s="163">
        <f>COUNTIFS(' CADASTRO'!$S:$S,'acab equip'!$D$3,' CADASTRO'!$R:$R,'acab equip'!F180)</f>
        <v>0</v>
      </c>
      <c r="I180" s="163">
        <f>COUNTIFS(' CADASTRO'!$R$746:$R$893,'acab equip'!F180,' CADASTRO'!$S$746:$S$893,'acab equip'!$H$3)+COUNTIFS(' CADASTRO'!$R$746:$R$893,'acab equip'!F180,' CADASTRO'!$S$746:$S$893,'acab equip'!$G$3)</f>
        <v>0</v>
      </c>
      <c r="J180" s="162">
        <f t="shared" si="31"/>
        <v>46967</v>
      </c>
      <c r="K180" s="163">
        <f>COUNTIFS(' CADASTRO'!$S:$S,'acab equip'!$C$3,' CADASTRO'!$R:$R,'acab equip'!J180)</f>
        <v>0</v>
      </c>
      <c r="L180" s="163">
        <f>COUNTIFS(' CADASTRO'!$S:$S,'acab equip'!$D$3,' CADASTRO'!$R:$R,'acab equip'!J180)</f>
        <v>0</v>
      </c>
      <c r="M180" s="163">
        <f>COUNTIFS(' CADASTRO'!$R$746:$R$893,'acab equip'!J180,' CADASTRO'!$S$746:$S$893,'acab equip'!$L$3)+COUNTIFS(' CADASTRO'!$R$746:$R$893,'acab equip'!J180,' CADASTRO'!$S$746:$S$893,'acab equip'!$K$3)</f>
        <v>0</v>
      </c>
      <c r="N180" s="162">
        <f t="shared" si="32"/>
        <v>46968</v>
      </c>
      <c r="O180" s="163">
        <f>COUNTIFS(' CADASTRO'!$S:$S,'acab equip'!$C$3,' CADASTRO'!$R:$R,'acab equip'!N180)</f>
        <v>0</v>
      </c>
      <c r="P180" s="163">
        <f>COUNTIFS(' CADASTRO'!$S:$S,'acab equip'!$D$3,' CADASTRO'!$R:$R,'acab equip'!N180)</f>
        <v>0</v>
      </c>
      <c r="Q180" s="163">
        <f>COUNTIFS(' CADASTRO'!$R$746:$R$893,'acab equip'!N180,' CADASTRO'!$S$746:$S$893,'acab equip'!$P$3)+COUNTIFS(' CADASTRO'!$R$746:$R$893,'acab equip'!N180,' CADASTRO'!$S$746:$S$893,'acab equip'!$O$3)</f>
        <v>0</v>
      </c>
      <c r="R180" s="162">
        <f t="shared" si="33"/>
        <v>46969</v>
      </c>
      <c r="S180" s="163">
        <f>COUNTIFS(' CADASTRO'!$S:$S,'acab equip'!$C$3,' CADASTRO'!$R:$R,'acab equip'!R180)</f>
        <v>0</v>
      </c>
      <c r="T180" s="163">
        <f>COUNTIFS(' CADASTRO'!$S:$S,'acab equip'!$D$3,' CADASTRO'!$R:$R,'acab equip'!R180)</f>
        <v>0</v>
      </c>
      <c r="U180" s="163">
        <f>COUNTIFS(' CADASTRO'!$R$746:$R$893,'acab equip'!R180,' CADASTRO'!$S$746:$S$893,'acab equip'!$T$3)+COUNTIFS(' CADASTRO'!$R$746:$R$893,'acab equip'!R180,' CADASTRO'!$S$746:$S$893,'acab equip'!$S$3)</f>
        <v>0</v>
      </c>
      <c r="V180" s="162">
        <f t="shared" si="34"/>
        <v>46970</v>
      </c>
      <c r="W180" s="163">
        <f>COUNTIFS(' CADASTRO'!$S:$S,'acab equip'!$C$3,' CADASTRO'!$R:$R,'acab equip'!V180)</f>
        <v>0</v>
      </c>
      <c r="X180" s="163">
        <f>COUNTIFS(' CADASTRO'!$S:$S,'acab equip'!$D$3,' CADASTRO'!$R:$R,'acab equip'!V180)</f>
        <v>0</v>
      </c>
      <c r="Y180" s="163">
        <f>COUNTIFS(' CADASTRO'!$R$746:$R$893,'acab equip'!V180,' CADASTRO'!$S$746:$S$893,'acab equip'!$X$3)+COUNTIFS(' CADASTRO'!$R$746:$R$893,'acab equip'!V180,' CADASTRO'!$S$746:$S$893,'acab equip'!$W$3)</f>
        <v>0</v>
      </c>
      <c r="Z180" s="162">
        <f t="shared" si="35"/>
        <v>46971</v>
      </c>
      <c r="AB180" s="165">
        <f t="shared" si="25"/>
        <v>0</v>
      </c>
      <c r="AC180" s="165">
        <f t="shared" si="26"/>
        <v>0</v>
      </c>
      <c r="AD180" s="165">
        <f t="shared" si="27"/>
        <v>0</v>
      </c>
      <c r="AE180" s="177">
        <f t="shared" si="28"/>
        <v>0</v>
      </c>
    </row>
    <row r="181" spans="2:31" x14ac:dyDescent="0.25">
      <c r="B181" s="162">
        <f t="shared" si="29"/>
        <v>46972</v>
      </c>
      <c r="C181" s="163">
        <f>COUNTIFS(' CADASTRO'!$S:$S,'acab equip'!$C$3,' CADASTRO'!$R:$R,'acab equip'!B181)</f>
        <v>0</v>
      </c>
      <c r="D181" s="163">
        <f>COUNTIFS(' CADASTRO'!$S:$S,'acab equip'!$D$3,' CADASTRO'!$R:$R,'acab equip'!B181)</f>
        <v>0</v>
      </c>
      <c r="E181" s="163">
        <f>COUNTIFS(' CADASTRO'!$R$746:$R$893,'acab equip'!B181,' CADASTRO'!$S$746:$S$893,'acab equip'!$D$3)+COUNTIFS(' CADASTRO'!$R$746:$R$893,'acab equip'!B181,' CADASTRO'!$S$746:$S$893,'acab equip'!$C$3)</f>
        <v>0</v>
      </c>
      <c r="F181" s="162">
        <f t="shared" si="30"/>
        <v>46973</v>
      </c>
      <c r="G181" s="163">
        <f>COUNTIFS(' CADASTRO'!$S:$S,'acab equip'!$C$3,' CADASTRO'!$R:$R,'acab equip'!F181)</f>
        <v>0</v>
      </c>
      <c r="H181" s="163">
        <f>COUNTIFS(' CADASTRO'!$S:$S,'acab equip'!$D$3,' CADASTRO'!$R:$R,'acab equip'!F181)</f>
        <v>0</v>
      </c>
      <c r="I181" s="163">
        <f>COUNTIFS(' CADASTRO'!$R$746:$R$893,'acab equip'!F181,' CADASTRO'!$S$746:$S$893,'acab equip'!$H$3)+COUNTIFS(' CADASTRO'!$R$746:$R$893,'acab equip'!F181,' CADASTRO'!$S$746:$S$893,'acab equip'!$G$3)</f>
        <v>0</v>
      </c>
      <c r="J181" s="162">
        <f t="shared" si="31"/>
        <v>46974</v>
      </c>
      <c r="K181" s="163">
        <f>COUNTIFS(' CADASTRO'!$S:$S,'acab equip'!$C$3,' CADASTRO'!$R:$R,'acab equip'!J181)</f>
        <v>0</v>
      </c>
      <c r="L181" s="163">
        <f>COUNTIFS(' CADASTRO'!$S:$S,'acab equip'!$D$3,' CADASTRO'!$R:$R,'acab equip'!J181)</f>
        <v>0</v>
      </c>
      <c r="M181" s="163">
        <f>COUNTIFS(' CADASTRO'!$R$746:$R$893,'acab equip'!J181,' CADASTRO'!$S$746:$S$893,'acab equip'!$L$3)+COUNTIFS(' CADASTRO'!$R$746:$R$893,'acab equip'!J181,' CADASTRO'!$S$746:$S$893,'acab equip'!$K$3)</f>
        <v>0</v>
      </c>
      <c r="N181" s="162">
        <f t="shared" si="32"/>
        <v>46975</v>
      </c>
      <c r="O181" s="163">
        <f>COUNTIFS(' CADASTRO'!$S:$S,'acab equip'!$C$3,' CADASTRO'!$R:$R,'acab equip'!N181)</f>
        <v>0</v>
      </c>
      <c r="P181" s="163">
        <f>COUNTIFS(' CADASTRO'!$S:$S,'acab equip'!$D$3,' CADASTRO'!$R:$R,'acab equip'!N181)</f>
        <v>0</v>
      </c>
      <c r="Q181" s="163">
        <f>COUNTIFS(' CADASTRO'!$R$746:$R$893,'acab equip'!N181,' CADASTRO'!$S$746:$S$893,'acab equip'!$P$3)+COUNTIFS(' CADASTRO'!$R$746:$R$893,'acab equip'!N181,' CADASTRO'!$S$746:$S$893,'acab equip'!$O$3)</f>
        <v>0</v>
      </c>
      <c r="R181" s="162">
        <f t="shared" si="33"/>
        <v>46976</v>
      </c>
      <c r="S181" s="163">
        <f>COUNTIFS(' CADASTRO'!$S:$S,'acab equip'!$C$3,' CADASTRO'!$R:$R,'acab equip'!R181)</f>
        <v>0</v>
      </c>
      <c r="T181" s="163">
        <f>COUNTIFS(' CADASTRO'!$S:$S,'acab equip'!$D$3,' CADASTRO'!$R:$R,'acab equip'!R181)</f>
        <v>0</v>
      </c>
      <c r="U181" s="163">
        <f>COUNTIFS(' CADASTRO'!$R$746:$R$893,'acab equip'!R181,' CADASTRO'!$S$746:$S$893,'acab equip'!$T$3)+COUNTIFS(' CADASTRO'!$R$746:$R$893,'acab equip'!R181,' CADASTRO'!$S$746:$S$893,'acab equip'!$S$3)</f>
        <v>0</v>
      </c>
      <c r="V181" s="162">
        <f t="shared" si="34"/>
        <v>46977</v>
      </c>
      <c r="W181" s="163">
        <f>COUNTIFS(' CADASTRO'!$S:$S,'acab equip'!$C$3,' CADASTRO'!$R:$R,'acab equip'!V181)</f>
        <v>0</v>
      </c>
      <c r="X181" s="163">
        <f>COUNTIFS(' CADASTRO'!$S:$S,'acab equip'!$D$3,' CADASTRO'!$R:$R,'acab equip'!V181)</f>
        <v>0</v>
      </c>
      <c r="Y181" s="163">
        <f>COUNTIFS(' CADASTRO'!$R$746:$R$893,'acab equip'!V181,' CADASTRO'!$S$746:$S$893,'acab equip'!$X$3)+COUNTIFS(' CADASTRO'!$R$746:$R$893,'acab equip'!V181,' CADASTRO'!$S$746:$S$893,'acab equip'!$W$3)</f>
        <v>0</v>
      </c>
      <c r="Z181" s="162">
        <f t="shared" si="35"/>
        <v>46978</v>
      </c>
      <c r="AB181" s="165">
        <f t="shared" si="25"/>
        <v>0</v>
      </c>
      <c r="AC181" s="165">
        <f t="shared" si="26"/>
        <v>0</v>
      </c>
      <c r="AD181" s="165">
        <f t="shared" si="27"/>
        <v>0</v>
      </c>
      <c r="AE181" s="177">
        <f t="shared" si="28"/>
        <v>0</v>
      </c>
    </row>
    <row r="182" spans="2:31" x14ac:dyDescent="0.25">
      <c r="B182" s="162">
        <f t="shared" si="29"/>
        <v>46979</v>
      </c>
      <c r="C182" s="163">
        <f>COUNTIFS(' CADASTRO'!$S:$S,'acab equip'!$C$3,' CADASTRO'!$R:$R,'acab equip'!B182)</f>
        <v>0</v>
      </c>
      <c r="D182" s="163">
        <f>COUNTIFS(' CADASTRO'!$S:$S,'acab equip'!$D$3,' CADASTRO'!$R:$R,'acab equip'!B182)</f>
        <v>0</v>
      </c>
      <c r="E182" s="163">
        <f>COUNTIFS(' CADASTRO'!$R$746:$R$893,'acab equip'!B182,' CADASTRO'!$S$746:$S$893,'acab equip'!$D$3)+COUNTIFS(' CADASTRO'!$R$746:$R$893,'acab equip'!B182,' CADASTRO'!$S$746:$S$893,'acab equip'!$C$3)</f>
        <v>0</v>
      </c>
      <c r="F182" s="162">
        <f t="shared" si="30"/>
        <v>46980</v>
      </c>
      <c r="G182" s="163">
        <f>COUNTIFS(' CADASTRO'!$S:$S,'acab equip'!$C$3,' CADASTRO'!$R:$R,'acab equip'!F182)</f>
        <v>0</v>
      </c>
      <c r="H182" s="163">
        <f>COUNTIFS(' CADASTRO'!$S:$S,'acab equip'!$D$3,' CADASTRO'!$R:$R,'acab equip'!F182)</f>
        <v>0</v>
      </c>
      <c r="I182" s="163">
        <f>COUNTIFS(' CADASTRO'!$R$746:$R$893,'acab equip'!F182,' CADASTRO'!$S$746:$S$893,'acab equip'!$H$3)+COUNTIFS(' CADASTRO'!$R$746:$R$893,'acab equip'!F182,' CADASTRO'!$S$746:$S$893,'acab equip'!$G$3)</f>
        <v>0</v>
      </c>
      <c r="J182" s="162">
        <f t="shared" si="31"/>
        <v>46981</v>
      </c>
      <c r="K182" s="163">
        <f>COUNTIFS(' CADASTRO'!$S:$S,'acab equip'!$C$3,' CADASTRO'!$R:$R,'acab equip'!J182)</f>
        <v>0</v>
      </c>
      <c r="L182" s="163">
        <f>COUNTIFS(' CADASTRO'!$S:$S,'acab equip'!$D$3,' CADASTRO'!$R:$R,'acab equip'!J182)</f>
        <v>0</v>
      </c>
      <c r="M182" s="163">
        <f>COUNTIFS(' CADASTRO'!$R$746:$R$893,'acab equip'!J182,' CADASTRO'!$S$746:$S$893,'acab equip'!$L$3)+COUNTIFS(' CADASTRO'!$R$746:$R$893,'acab equip'!J182,' CADASTRO'!$S$746:$S$893,'acab equip'!$K$3)</f>
        <v>0</v>
      </c>
      <c r="N182" s="162">
        <f t="shared" si="32"/>
        <v>46982</v>
      </c>
      <c r="O182" s="163">
        <f>COUNTIFS(' CADASTRO'!$S:$S,'acab equip'!$C$3,' CADASTRO'!$R:$R,'acab equip'!N182)</f>
        <v>0</v>
      </c>
      <c r="P182" s="163">
        <f>COUNTIFS(' CADASTRO'!$S:$S,'acab equip'!$D$3,' CADASTRO'!$R:$R,'acab equip'!N182)</f>
        <v>0</v>
      </c>
      <c r="Q182" s="163">
        <f>COUNTIFS(' CADASTRO'!$R$746:$R$893,'acab equip'!N182,' CADASTRO'!$S$746:$S$893,'acab equip'!$P$3)+COUNTIFS(' CADASTRO'!$R$746:$R$893,'acab equip'!N182,' CADASTRO'!$S$746:$S$893,'acab equip'!$O$3)</f>
        <v>0</v>
      </c>
      <c r="R182" s="162">
        <f t="shared" si="33"/>
        <v>46983</v>
      </c>
      <c r="S182" s="163">
        <f>COUNTIFS(' CADASTRO'!$S:$S,'acab equip'!$C$3,' CADASTRO'!$R:$R,'acab equip'!R182)</f>
        <v>0</v>
      </c>
      <c r="T182" s="163">
        <f>COUNTIFS(' CADASTRO'!$S:$S,'acab equip'!$D$3,' CADASTRO'!$R:$R,'acab equip'!R182)</f>
        <v>0</v>
      </c>
      <c r="U182" s="163">
        <f>COUNTIFS(' CADASTRO'!$R$746:$R$893,'acab equip'!R182,' CADASTRO'!$S$746:$S$893,'acab equip'!$T$3)+COUNTIFS(' CADASTRO'!$R$746:$R$893,'acab equip'!R182,' CADASTRO'!$S$746:$S$893,'acab equip'!$S$3)</f>
        <v>0</v>
      </c>
      <c r="V182" s="162">
        <f t="shared" si="34"/>
        <v>46984</v>
      </c>
      <c r="W182" s="163">
        <f>COUNTIFS(' CADASTRO'!$S:$S,'acab equip'!$C$3,' CADASTRO'!$R:$R,'acab equip'!V182)</f>
        <v>0</v>
      </c>
      <c r="X182" s="163">
        <f>COUNTIFS(' CADASTRO'!$S:$S,'acab equip'!$D$3,' CADASTRO'!$R:$R,'acab equip'!V182)</f>
        <v>0</v>
      </c>
      <c r="Y182" s="163">
        <f>COUNTIFS(' CADASTRO'!$R$746:$R$893,'acab equip'!V182,' CADASTRO'!$S$746:$S$893,'acab equip'!$X$3)+COUNTIFS(' CADASTRO'!$R$746:$R$893,'acab equip'!V182,' CADASTRO'!$S$746:$S$893,'acab equip'!$W$3)</f>
        <v>0</v>
      </c>
      <c r="Z182" s="162">
        <f t="shared" si="35"/>
        <v>46985</v>
      </c>
      <c r="AB182" s="165">
        <f t="shared" si="25"/>
        <v>0</v>
      </c>
      <c r="AC182" s="165">
        <f t="shared" si="26"/>
        <v>0</v>
      </c>
      <c r="AD182" s="165">
        <f t="shared" si="27"/>
        <v>0</v>
      </c>
      <c r="AE182" s="177">
        <f t="shared" si="28"/>
        <v>0</v>
      </c>
    </row>
    <row r="183" spans="2:31" x14ac:dyDescent="0.25">
      <c r="B183" s="162">
        <f t="shared" si="29"/>
        <v>46986</v>
      </c>
      <c r="C183" s="163">
        <f>COUNTIFS(' CADASTRO'!$S:$S,'acab equip'!$C$3,' CADASTRO'!$R:$R,'acab equip'!B183)</f>
        <v>0</v>
      </c>
      <c r="D183" s="163">
        <f>COUNTIFS(' CADASTRO'!$S:$S,'acab equip'!$D$3,' CADASTRO'!$R:$R,'acab equip'!B183)</f>
        <v>0</v>
      </c>
      <c r="E183" s="163">
        <f>COUNTIFS(' CADASTRO'!$R$746:$R$893,'acab equip'!B183,' CADASTRO'!$S$746:$S$893,'acab equip'!$D$3)+COUNTIFS(' CADASTRO'!$R$746:$R$893,'acab equip'!B183,' CADASTRO'!$S$746:$S$893,'acab equip'!$C$3)</f>
        <v>0</v>
      </c>
      <c r="F183" s="162">
        <f t="shared" si="30"/>
        <v>46987</v>
      </c>
      <c r="G183" s="163">
        <f>COUNTIFS(' CADASTRO'!$S:$S,'acab equip'!$C$3,' CADASTRO'!$R:$R,'acab equip'!F183)</f>
        <v>0</v>
      </c>
      <c r="H183" s="163">
        <f>COUNTIFS(' CADASTRO'!$S:$S,'acab equip'!$D$3,' CADASTRO'!$R:$R,'acab equip'!F183)</f>
        <v>0</v>
      </c>
      <c r="I183" s="163">
        <f>COUNTIFS(' CADASTRO'!$R$746:$R$893,'acab equip'!F183,' CADASTRO'!$S$746:$S$893,'acab equip'!$H$3)+COUNTIFS(' CADASTRO'!$R$746:$R$893,'acab equip'!F183,' CADASTRO'!$S$746:$S$893,'acab equip'!$G$3)</f>
        <v>0</v>
      </c>
      <c r="J183" s="162">
        <f t="shared" si="31"/>
        <v>46988</v>
      </c>
      <c r="K183" s="163">
        <f>COUNTIFS(' CADASTRO'!$S:$S,'acab equip'!$C$3,' CADASTRO'!$R:$R,'acab equip'!J183)</f>
        <v>0</v>
      </c>
      <c r="L183" s="163">
        <f>COUNTIFS(' CADASTRO'!$S:$S,'acab equip'!$D$3,' CADASTRO'!$R:$R,'acab equip'!J183)</f>
        <v>0</v>
      </c>
      <c r="M183" s="163">
        <f>COUNTIFS(' CADASTRO'!$R$746:$R$893,'acab equip'!J183,' CADASTRO'!$S$746:$S$893,'acab equip'!$L$3)+COUNTIFS(' CADASTRO'!$R$746:$R$893,'acab equip'!J183,' CADASTRO'!$S$746:$S$893,'acab equip'!$K$3)</f>
        <v>0</v>
      </c>
      <c r="N183" s="162">
        <f t="shared" si="32"/>
        <v>46989</v>
      </c>
      <c r="O183" s="163">
        <f>COUNTIFS(' CADASTRO'!$S:$S,'acab equip'!$C$3,' CADASTRO'!$R:$R,'acab equip'!N183)</f>
        <v>0</v>
      </c>
      <c r="P183" s="163">
        <f>COUNTIFS(' CADASTRO'!$S:$S,'acab equip'!$D$3,' CADASTRO'!$R:$R,'acab equip'!N183)</f>
        <v>0</v>
      </c>
      <c r="Q183" s="163">
        <f>COUNTIFS(' CADASTRO'!$R$746:$R$893,'acab equip'!N183,' CADASTRO'!$S$746:$S$893,'acab equip'!$P$3)+COUNTIFS(' CADASTRO'!$R$746:$R$893,'acab equip'!N183,' CADASTRO'!$S$746:$S$893,'acab equip'!$O$3)</f>
        <v>0</v>
      </c>
      <c r="R183" s="162">
        <f t="shared" si="33"/>
        <v>46990</v>
      </c>
      <c r="S183" s="163">
        <f>COUNTIFS(' CADASTRO'!$S:$S,'acab equip'!$C$3,' CADASTRO'!$R:$R,'acab equip'!R183)</f>
        <v>0</v>
      </c>
      <c r="T183" s="163">
        <f>COUNTIFS(' CADASTRO'!$S:$S,'acab equip'!$D$3,' CADASTRO'!$R:$R,'acab equip'!R183)</f>
        <v>0</v>
      </c>
      <c r="U183" s="163">
        <f>COUNTIFS(' CADASTRO'!$R$746:$R$893,'acab equip'!R183,' CADASTRO'!$S$746:$S$893,'acab equip'!$T$3)+COUNTIFS(' CADASTRO'!$R$746:$R$893,'acab equip'!R183,' CADASTRO'!$S$746:$S$893,'acab equip'!$S$3)</f>
        <v>0</v>
      </c>
      <c r="V183" s="162">
        <f t="shared" si="34"/>
        <v>46991</v>
      </c>
      <c r="W183" s="163">
        <f>COUNTIFS(' CADASTRO'!$S:$S,'acab equip'!$C$3,' CADASTRO'!$R:$R,'acab equip'!V183)</f>
        <v>0</v>
      </c>
      <c r="X183" s="163">
        <f>COUNTIFS(' CADASTRO'!$S:$S,'acab equip'!$D$3,' CADASTRO'!$R:$R,'acab equip'!V183)</f>
        <v>0</v>
      </c>
      <c r="Y183" s="163">
        <f>COUNTIFS(' CADASTRO'!$R$746:$R$893,'acab equip'!V183,' CADASTRO'!$S$746:$S$893,'acab equip'!$X$3)+COUNTIFS(' CADASTRO'!$R$746:$R$893,'acab equip'!V183,' CADASTRO'!$S$746:$S$893,'acab equip'!$W$3)</f>
        <v>0</v>
      </c>
      <c r="Z183" s="162">
        <f t="shared" si="35"/>
        <v>46992</v>
      </c>
      <c r="AB183" s="165">
        <f t="shared" si="25"/>
        <v>0</v>
      </c>
      <c r="AC183" s="165">
        <f t="shared" si="26"/>
        <v>0</v>
      </c>
      <c r="AD183" s="165">
        <f t="shared" si="27"/>
        <v>0</v>
      </c>
      <c r="AE183" s="177">
        <f t="shared" si="28"/>
        <v>0</v>
      </c>
    </row>
    <row r="184" spans="2:31" x14ac:dyDescent="0.25">
      <c r="B184" s="162">
        <f t="shared" si="29"/>
        <v>46993</v>
      </c>
      <c r="C184" s="163">
        <f>COUNTIFS(' CADASTRO'!$S:$S,'acab equip'!$C$3,' CADASTRO'!$R:$R,'acab equip'!B184)</f>
        <v>0</v>
      </c>
      <c r="D184" s="163">
        <f>COUNTIFS(' CADASTRO'!$S:$S,'acab equip'!$D$3,' CADASTRO'!$R:$R,'acab equip'!B184)</f>
        <v>0</v>
      </c>
      <c r="E184" s="163">
        <f>COUNTIFS(' CADASTRO'!$R$746:$R$893,'acab equip'!B184,' CADASTRO'!$S$746:$S$893,'acab equip'!$D$3)+COUNTIFS(' CADASTRO'!$R$746:$R$893,'acab equip'!B184,' CADASTRO'!$S$746:$S$893,'acab equip'!$C$3)</f>
        <v>0</v>
      </c>
      <c r="F184" s="162">
        <f t="shared" si="30"/>
        <v>46994</v>
      </c>
      <c r="G184" s="163">
        <f>COUNTIFS(' CADASTRO'!$S:$S,'acab equip'!$C$3,' CADASTRO'!$R:$R,'acab equip'!F184)</f>
        <v>0</v>
      </c>
      <c r="H184" s="163">
        <f>COUNTIFS(' CADASTRO'!$S:$S,'acab equip'!$D$3,' CADASTRO'!$R:$R,'acab equip'!F184)</f>
        <v>0</v>
      </c>
      <c r="I184" s="163">
        <f>COUNTIFS(' CADASTRO'!$R$746:$R$893,'acab equip'!F184,' CADASTRO'!$S$746:$S$893,'acab equip'!$H$3)+COUNTIFS(' CADASTRO'!$R$746:$R$893,'acab equip'!F184,' CADASTRO'!$S$746:$S$893,'acab equip'!$G$3)</f>
        <v>0</v>
      </c>
      <c r="J184" s="162">
        <f t="shared" si="31"/>
        <v>46995</v>
      </c>
      <c r="K184" s="163">
        <f>COUNTIFS(' CADASTRO'!$S:$S,'acab equip'!$C$3,' CADASTRO'!$R:$R,'acab equip'!J184)</f>
        <v>0</v>
      </c>
      <c r="L184" s="163">
        <f>COUNTIFS(' CADASTRO'!$S:$S,'acab equip'!$D$3,' CADASTRO'!$R:$R,'acab equip'!J184)</f>
        <v>0</v>
      </c>
      <c r="M184" s="163">
        <f>COUNTIFS(' CADASTRO'!$R$746:$R$893,'acab equip'!J184,' CADASTRO'!$S$746:$S$893,'acab equip'!$L$3)+COUNTIFS(' CADASTRO'!$R$746:$R$893,'acab equip'!J184,' CADASTRO'!$S$746:$S$893,'acab equip'!$K$3)</f>
        <v>0</v>
      </c>
      <c r="N184" s="162">
        <f t="shared" si="32"/>
        <v>46996</v>
      </c>
      <c r="O184" s="163">
        <f>COUNTIFS(' CADASTRO'!$S:$S,'acab equip'!$C$3,' CADASTRO'!$R:$R,'acab equip'!N184)</f>
        <v>0</v>
      </c>
      <c r="P184" s="163">
        <f>COUNTIFS(' CADASTRO'!$S:$S,'acab equip'!$D$3,' CADASTRO'!$R:$R,'acab equip'!N184)</f>
        <v>0</v>
      </c>
      <c r="Q184" s="163">
        <f>COUNTIFS(' CADASTRO'!$R$746:$R$893,'acab equip'!N184,' CADASTRO'!$S$746:$S$893,'acab equip'!$P$3)+COUNTIFS(' CADASTRO'!$R$746:$R$893,'acab equip'!N184,' CADASTRO'!$S$746:$S$893,'acab equip'!$O$3)</f>
        <v>0</v>
      </c>
      <c r="R184" s="162">
        <f t="shared" si="33"/>
        <v>46997</v>
      </c>
      <c r="S184" s="163">
        <f>COUNTIFS(' CADASTRO'!$S:$S,'acab equip'!$C$3,' CADASTRO'!$R:$R,'acab equip'!R184)</f>
        <v>0</v>
      </c>
      <c r="T184" s="163">
        <f>COUNTIFS(' CADASTRO'!$S:$S,'acab equip'!$D$3,' CADASTRO'!$R:$R,'acab equip'!R184)</f>
        <v>0</v>
      </c>
      <c r="U184" s="163">
        <f>COUNTIFS(' CADASTRO'!$R$746:$R$893,'acab equip'!R184,' CADASTRO'!$S$746:$S$893,'acab equip'!$T$3)+COUNTIFS(' CADASTRO'!$R$746:$R$893,'acab equip'!R184,' CADASTRO'!$S$746:$S$893,'acab equip'!$S$3)</f>
        <v>0</v>
      </c>
      <c r="V184" s="162">
        <f t="shared" si="34"/>
        <v>46998</v>
      </c>
      <c r="W184" s="163">
        <f>COUNTIFS(' CADASTRO'!$S:$S,'acab equip'!$C$3,' CADASTRO'!$R:$R,'acab equip'!V184)</f>
        <v>0</v>
      </c>
      <c r="X184" s="163">
        <f>COUNTIFS(' CADASTRO'!$S:$S,'acab equip'!$D$3,' CADASTRO'!$R:$R,'acab equip'!V184)</f>
        <v>0</v>
      </c>
      <c r="Y184" s="163">
        <f>COUNTIFS(' CADASTRO'!$R$746:$R$893,'acab equip'!V184,' CADASTRO'!$S$746:$S$893,'acab equip'!$X$3)+COUNTIFS(' CADASTRO'!$R$746:$R$893,'acab equip'!V184,' CADASTRO'!$S$746:$S$893,'acab equip'!$W$3)</f>
        <v>0</v>
      </c>
      <c r="Z184" s="162">
        <f t="shared" si="35"/>
        <v>46999</v>
      </c>
      <c r="AB184" s="165">
        <f t="shared" si="25"/>
        <v>0</v>
      </c>
      <c r="AC184" s="165">
        <f t="shared" si="26"/>
        <v>0</v>
      </c>
      <c r="AD184" s="165">
        <f t="shared" si="27"/>
        <v>0</v>
      </c>
      <c r="AE184" s="177">
        <f t="shared" si="28"/>
        <v>0</v>
      </c>
    </row>
    <row r="185" spans="2:31" x14ac:dyDescent="0.25">
      <c r="B185" s="162">
        <f t="shared" si="29"/>
        <v>47000</v>
      </c>
      <c r="C185" s="163">
        <f>COUNTIFS(' CADASTRO'!$S:$S,'acab equip'!$C$3,' CADASTRO'!$R:$R,'acab equip'!B185)</f>
        <v>0</v>
      </c>
      <c r="D185" s="163">
        <f>COUNTIFS(' CADASTRO'!$S:$S,'acab equip'!$D$3,' CADASTRO'!$R:$R,'acab equip'!B185)</f>
        <v>0</v>
      </c>
      <c r="E185" s="163">
        <f>COUNTIFS(' CADASTRO'!$R$746:$R$893,'acab equip'!B185,' CADASTRO'!$S$746:$S$893,'acab equip'!$D$3)+COUNTIFS(' CADASTRO'!$R$746:$R$893,'acab equip'!B185,' CADASTRO'!$S$746:$S$893,'acab equip'!$C$3)</f>
        <v>0</v>
      </c>
      <c r="F185" s="162">
        <f t="shared" si="30"/>
        <v>47001</v>
      </c>
      <c r="G185" s="163">
        <f>COUNTIFS(' CADASTRO'!$S:$S,'acab equip'!$C$3,' CADASTRO'!$R:$R,'acab equip'!F185)</f>
        <v>0</v>
      </c>
      <c r="H185" s="163">
        <f>COUNTIFS(' CADASTRO'!$S:$S,'acab equip'!$D$3,' CADASTRO'!$R:$R,'acab equip'!F185)</f>
        <v>0</v>
      </c>
      <c r="I185" s="163">
        <f>COUNTIFS(' CADASTRO'!$R$746:$R$893,'acab equip'!F185,' CADASTRO'!$S$746:$S$893,'acab equip'!$H$3)+COUNTIFS(' CADASTRO'!$R$746:$R$893,'acab equip'!F185,' CADASTRO'!$S$746:$S$893,'acab equip'!$G$3)</f>
        <v>0</v>
      </c>
      <c r="J185" s="162">
        <f t="shared" si="31"/>
        <v>47002</v>
      </c>
      <c r="K185" s="163">
        <f>COUNTIFS(' CADASTRO'!$S:$S,'acab equip'!$C$3,' CADASTRO'!$R:$R,'acab equip'!J185)</f>
        <v>0</v>
      </c>
      <c r="L185" s="163">
        <f>COUNTIFS(' CADASTRO'!$S:$S,'acab equip'!$D$3,' CADASTRO'!$R:$R,'acab equip'!J185)</f>
        <v>0</v>
      </c>
      <c r="M185" s="163">
        <f>COUNTIFS(' CADASTRO'!$R$746:$R$893,'acab equip'!J185,' CADASTRO'!$S$746:$S$893,'acab equip'!$L$3)+COUNTIFS(' CADASTRO'!$R$746:$R$893,'acab equip'!J185,' CADASTRO'!$S$746:$S$893,'acab equip'!$K$3)</f>
        <v>0</v>
      </c>
      <c r="N185" s="162">
        <f t="shared" si="32"/>
        <v>47003</v>
      </c>
      <c r="O185" s="163">
        <f>COUNTIFS(' CADASTRO'!$S:$S,'acab equip'!$C$3,' CADASTRO'!$R:$R,'acab equip'!N185)</f>
        <v>0</v>
      </c>
      <c r="P185" s="163">
        <f>COUNTIFS(' CADASTRO'!$S:$S,'acab equip'!$D$3,' CADASTRO'!$R:$R,'acab equip'!N185)</f>
        <v>0</v>
      </c>
      <c r="Q185" s="163">
        <f>COUNTIFS(' CADASTRO'!$R$746:$R$893,'acab equip'!N185,' CADASTRO'!$S$746:$S$893,'acab equip'!$P$3)+COUNTIFS(' CADASTRO'!$R$746:$R$893,'acab equip'!N185,' CADASTRO'!$S$746:$S$893,'acab equip'!$O$3)</f>
        <v>0</v>
      </c>
      <c r="R185" s="162">
        <f t="shared" si="33"/>
        <v>47004</v>
      </c>
      <c r="S185" s="163">
        <f>COUNTIFS(' CADASTRO'!$S:$S,'acab equip'!$C$3,' CADASTRO'!$R:$R,'acab equip'!R185)</f>
        <v>0</v>
      </c>
      <c r="T185" s="163">
        <f>COUNTIFS(' CADASTRO'!$S:$S,'acab equip'!$D$3,' CADASTRO'!$R:$R,'acab equip'!R185)</f>
        <v>0</v>
      </c>
      <c r="U185" s="163">
        <f>COUNTIFS(' CADASTRO'!$R$746:$R$893,'acab equip'!R185,' CADASTRO'!$S$746:$S$893,'acab equip'!$T$3)+COUNTIFS(' CADASTRO'!$R$746:$R$893,'acab equip'!R185,' CADASTRO'!$S$746:$S$893,'acab equip'!$S$3)</f>
        <v>0</v>
      </c>
      <c r="V185" s="162">
        <f t="shared" si="34"/>
        <v>47005</v>
      </c>
      <c r="W185" s="163">
        <f>COUNTIFS(' CADASTRO'!$S:$S,'acab equip'!$C$3,' CADASTRO'!$R:$R,'acab equip'!V185)</f>
        <v>0</v>
      </c>
      <c r="X185" s="163">
        <f>COUNTIFS(' CADASTRO'!$S:$S,'acab equip'!$D$3,' CADASTRO'!$R:$R,'acab equip'!V185)</f>
        <v>0</v>
      </c>
      <c r="Y185" s="163">
        <f>COUNTIFS(' CADASTRO'!$R$746:$R$893,'acab equip'!V185,' CADASTRO'!$S$746:$S$893,'acab equip'!$X$3)+COUNTIFS(' CADASTRO'!$R$746:$R$893,'acab equip'!V185,' CADASTRO'!$S$746:$S$893,'acab equip'!$W$3)</f>
        <v>0</v>
      </c>
      <c r="Z185" s="162">
        <f t="shared" si="35"/>
        <v>47006</v>
      </c>
      <c r="AB185" s="165">
        <f t="shared" si="25"/>
        <v>0</v>
      </c>
      <c r="AC185" s="165">
        <f t="shared" si="26"/>
        <v>0</v>
      </c>
      <c r="AD185" s="165">
        <f t="shared" si="27"/>
        <v>0</v>
      </c>
      <c r="AE185" s="177">
        <f t="shared" si="28"/>
        <v>0</v>
      </c>
    </row>
    <row r="186" spans="2:31" x14ac:dyDescent="0.25">
      <c r="B186" s="162">
        <f t="shared" si="29"/>
        <v>47007</v>
      </c>
      <c r="C186" s="163">
        <f>COUNTIFS(' CADASTRO'!$S:$S,'acab equip'!$C$3,' CADASTRO'!$R:$R,'acab equip'!B186)</f>
        <v>0</v>
      </c>
      <c r="D186" s="163">
        <f>COUNTIFS(' CADASTRO'!$S:$S,'acab equip'!$D$3,' CADASTRO'!$R:$R,'acab equip'!B186)</f>
        <v>0</v>
      </c>
      <c r="E186" s="163">
        <f>COUNTIFS(' CADASTRO'!$R$746:$R$893,'acab equip'!B186,' CADASTRO'!$S$746:$S$893,'acab equip'!$D$3)+COUNTIFS(' CADASTRO'!$R$746:$R$893,'acab equip'!B186,' CADASTRO'!$S$746:$S$893,'acab equip'!$C$3)</f>
        <v>0</v>
      </c>
      <c r="F186" s="162">
        <f t="shared" si="30"/>
        <v>47008</v>
      </c>
      <c r="G186" s="163">
        <f>COUNTIFS(' CADASTRO'!$S:$S,'acab equip'!$C$3,' CADASTRO'!$R:$R,'acab equip'!F186)</f>
        <v>0</v>
      </c>
      <c r="H186" s="163">
        <f>COUNTIFS(' CADASTRO'!$S:$S,'acab equip'!$D$3,' CADASTRO'!$R:$R,'acab equip'!F186)</f>
        <v>0</v>
      </c>
      <c r="I186" s="163">
        <f>COUNTIFS(' CADASTRO'!$R$746:$R$893,'acab equip'!F186,' CADASTRO'!$S$746:$S$893,'acab equip'!$H$3)+COUNTIFS(' CADASTRO'!$R$746:$R$893,'acab equip'!F186,' CADASTRO'!$S$746:$S$893,'acab equip'!$G$3)</f>
        <v>0</v>
      </c>
      <c r="J186" s="162">
        <f t="shared" si="31"/>
        <v>47009</v>
      </c>
      <c r="K186" s="163">
        <f>COUNTIFS(' CADASTRO'!$S:$S,'acab equip'!$C$3,' CADASTRO'!$R:$R,'acab equip'!J186)</f>
        <v>0</v>
      </c>
      <c r="L186" s="163">
        <f>COUNTIFS(' CADASTRO'!$S:$S,'acab equip'!$D$3,' CADASTRO'!$R:$R,'acab equip'!J186)</f>
        <v>0</v>
      </c>
      <c r="M186" s="163">
        <f>COUNTIFS(' CADASTRO'!$R$746:$R$893,'acab equip'!J186,' CADASTRO'!$S$746:$S$893,'acab equip'!$L$3)+COUNTIFS(' CADASTRO'!$R$746:$R$893,'acab equip'!J186,' CADASTRO'!$S$746:$S$893,'acab equip'!$K$3)</f>
        <v>0</v>
      </c>
      <c r="N186" s="162">
        <f t="shared" si="32"/>
        <v>47010</v>
      </c>
      <c r="O186" s="163">
        <f>COUNTIFS(' CADASTRO'!$S:$S,'acab equip'!$C$3,' CADASTRO'!$R:$R,'acab equip'!N186)</f>
        <v>0</v>
      </c>
      <c r="P186" s="163">
        <f>COUNTIFS(' CADASTRO'!$S:$S,'acab equip'!$D$3,' CADASTRO'!$R:$R,'acab equip'!N186)</f>
        <v>0</v>
      </c>
      <c r="Q186" s="163">
        <f>COUNTIFS(' CADASTRO'!$R$746:$R$893,'acab equip'!N186,' CADASTRO'!$S$746:$S$893,'acab equip'!$P$3)+COUNTIFS(' CADASTRO'!$R$746:$R$893,'acab equip'!N186,' CADASTRO'!$S$746:$S$893,'acab equip'!$O$3)</f>
        <v>0</v>
      </c>
      <c r="R186" s="162">
        <f t="shared" si="33"/>
        <v>47011</v>
      </c>
      <c r="S186" s="163">
        <f>COUNTIFS(' CADASTRO'!$S:$S,'acab equip'!$C$3,' CADASTRO'!$R:$R,'acab equip'!R186)</f>
        <v>0</v>
      </c>
      <c r="T186" s="163">
        <f>COUNTIFS(' CADASTRO'!$S:$S,'acab equip'!$D$3,' CADASTRO'!$R:$R,'acab equip'!R186)</f>
        <v>0</v>
      </c>
      <c r="U186" s="163">
        <f>COUNTIFS(' CADASTRO'!$R$746:$R$893,'acab equip'!R186,' CADASTRO'!$S$746:$S$893,'acab equip'!$T$3)+COUNTIFS(' CADASTRO'!$R$746:$R$893,'acab equip'!R186,' CADASTRO'!$S$746:$S$893,'acab equip'!$S$3)</f>
        <v>0</v>
      </c>
      <c r="V186" s="162">
        <f t="shared" si="34"/>
        <v>47012</v>
      </c>
      <c r="W186" s="163">
        <f>COUNTIFS(' CADASTRO'!$S:$S,'acab equip'!$C$3,' CADASTRO'!$R:$R,'acab equip'!V186)</f>
        <v>0</v>
      </c>
      <c r="X186" s="163">
        <f>COUNTIFS(' CADASTRO'!$S:$S,'acab equip'!$D$3,' CADASTRO'!$R:$R,'acab equip'!V186)</f>
        <v>0</v>
      </c>
      <c r="Y186" s="163">
        <f>COUNTIFS(' CADASTRO'!$R$746:$R$893,'acab equip'!V186,' CADASTRO'!$S$746:$S$893,'acab equip'!$X$3)+COUNTIFS(' CADASTRO'!$R$746:$R$893,'acab equip'!V186,' CADASTRO'!$S$746:$S$893,'acab equip'!$W$3)</f>
        <v>0</v>
      </c>
      <c r="Z186" s="162">
        <f t="shared" si="35"/>
        <v>47013</v>
      </c>
      <c r="AB186" s="165">
        <f t="shared" si="25"/>
        <v>0</v>
      </c>
      <c r="AC186" s="165">
        <f t="shared" si="26"/>
        <v>0</v>
      </c>
      <c r="AD186" s="165">
        <f t="shared" si="27"/>
        <v>0</v>
      </c>
      <c r="AE186" s="177">
        <f t="shared" si="28"/>
        <v>0</v>
      </c>
    </row>
    <row r="187" spans="2:31" x14ac:dyDescent="0.25">
      <c r="B187" s="162">
        <f t="shared" si="29"/>
        <v>47014</v>
      </c>
      <c r="C187" s="163">
        <f>COUNTIFS(' CADASTRO'!$S:$S,'acab equip'!$C$3,' CADASTRO'!$R:$R,'acab equip'!B187)</f>
        <v>0</v>
      </c>
      <c r="D187" s="163">
        <f>COUNTIFS(' CADASTRO'!$S:$S,'acab equip'!$D$3,' CADASTRO'!$R:$R,'acab equip'!B187)</f>
        <v>0</v>
      </c>
      <c r="E187" s="163">
        <f>COUNTIFS(' CADASTRO'!$R$746:$R$893,'acab equip'!B187,' CADASTRO'!$S$746:$S$893,'acab equip'!$D$3)+COUNTIFS(' CADASTRO'!$R$746:$R$893,'acab equip'!B187,' CADASTRO'!$S$746:$S$893,'acab equip'!$C$3)</f>
        <v>0</v>
      </c>
      <c r="F187" s="162">
        <f t="shared" si="30"/>
        <v>47015</v>
      </c>
      <c r="G187" s="163">
        <f>COUNTIFS(' CADASTRO'!$S:$S,'acab equip'!$C$3,' CADASTRO'!$R:$R,'acab equip'!F187)</f>
        <v>0</v>
      </c>
      <c r="H187" s="163">
        <f>COUNTIFS(' CADASTRO'!$S:$S,'acab equip'!$D$3,' CADASTRO'!$R:$R,'acab equip'!F187)</f>
        <v>0</v>
      </c>
      <c r="I187" s="163">
        <f>COUNTIFS(' CADASTRO'!$R$746:$R$893,'acab equip'!F187,' CADASTRO'!$S$746:$S$893,'acab equip'!$H$3)+COUNTIFS(' CADASTRO'!$R$746:$R$893,'acab equip'!F187,' CADASTRO'!$S$746:$S$893,'acab equip'!$G$3)</f>
        <v>0</v>
      </c>
      <c r="J187" s="162">
        <f t="shared" si="31"/>
        <v>47016</v>
      </c>
      <c r="K187" s="163">
        <f>COUNTIFS(' CADASTRO'!$S:$S,'acab equip'!$C$3,' CADASTRO'!$R:$R,'acab equip'!J187)</f>
        <v>0</v>
      </c>
      <c r="L187" s="163">
        <f>COUNTIFS(' CADASTRO'!$S:$S,'acab equip'!$D$3,' CADASTRO'!$R:$R,'acab equip'!J187)</f>
        <v>0</v>
      </c>
      <c r="M187" s="163">
        <f>COUNTIFS(' CADASTRO'!$R$746:$R$893,'acab equip'!J187,' CADASTRO'!$S$746:$S$893,'acab equip'!$L$3)+COUNTIFS(' CADASTRO'!$R$746:$R$893,'acab equip'!J187,' CADASTRO'!$S$746:$S$893,'acab equip'!$K$3)</f>
        <v>0</v>
      </c>
      <c r="N187" s="162">
        <f t="shared" si="32"/>
        <v>47017</v>
      </c>
      <c r="O187" s="163">
        <f>COUNTIFS(' CADASTRO'!$S:$S,'acab equip'!$C$3,' CADASTRO'!$R:$R,'acab equip'!N187)</f>
        <v>0</v>
      </c>
      <c r="P187" s="163">
        <f>COUNTIFS(' CADASTRO'!$S:$S,'acab equip'!$D$3,' CADASTRO'!$R:$R,'acab equip'!N187)</f>
        <v>0</v>
      </c>
      <c r="Q187" s="163">
        <f>COUNTIFS(' CADASTRO'!$R$746:$R$893,'acab equip'!N187,' CADASTRO'!$S$746:$S$893,'acab equip'!$P$3)+COUNTIFS(' CADASTRO'!$R$746:$R$893,'acab equip'!N187,' CADASTRO'!$S$746:$S$893,'acab equip'!$O$3)</f>
        <v>0</v>
      </c>
      <c r="R187" s="162">
        <f t="shared" si="33"/>
        <v>47018</v>
      </c>
      <c r="S187" s="163">
        <f>COUNTIFS(' CADASTRO'!$S:$S,'acab equip'!$C$3,' CADASTRO'!$R:$R,'acab equip'!R187)</f>
        <v>0</v>
      </c>
      <c r="T187" s="163">
        <f>COUNTIFS(' CADASTRO'!$S:$S,'acab equip'!$D$3,' CADASTRO'!$R:$R,'acab equip'!R187)</f>
        <v>0</v>
      </c>
      <c r="U187" s="163">
        <f>COUNTIFS(' CADASTRO'!$R$746:$R$893,'acab equip'!R187,' CADASTRO'!$S$746:$S$893,'acab equip'!$T$3)+COUNTIFS(' CADASTRO'!$R$746:$R$893,'acab equip'!R187,' CADASTRO'!$S$746:$S$893,'acab equip'!$S$3)</f>
        <v>0</v>
      </c>
      <c r="V187" s="162">
        <f t="shared" si="34"/>
        <v>47019</v>
      </c>
      <c r="W187" s="163">
        <f>COUNTIFS(' CADASTRO'!$S:$S,'acab equip'!$C$3,' CADASTRO'!$R:$R,'acab equip'!V187)</f>
        <v>0</v>
      </c>
      <c r="X187" s="163">
        <f>COUNTIFS(' CADASTRO'!$S:$S,'acab equip'!$D$3,' CADASTRO'!$R:$R,'acab equip'!V187)</f>
        <v>0</v>
      </c>
      <c r="Y187" s="163">
        <f>COUNTIFS(' CADASTRO'!$R$746:$R$893,'acab equip'!V187,' CADASTRO'!$S$746:$S$893,'acab equip'!$X$3)+COUNTIFS(' CADASTRO'!$R$746:$R$893,'acab equip'!V187,' CADASTRO'!$S$746:$S$893,'acab equip'!$W$3)</f>
        <v>0</v>
      </c>
      <c r="Z187" s="162">
        <f t="shared" si="35"/>
        <v>47020</v>
      </c>
      <c r="AB187" s="165">
        <f t="shared" si="25"/>
        <v>0</v>
      </c>
      <c r="AC187" s="165">
        <f t="shared" si="26"/>
        <v>0</v>
      </c>
      <c r="AD187" s="165">
        <f t="shared" si="27"/>
        <v>0</v>
      </c>
      <c r="AE187" s="177">
        <f t="shared" si="28"/>
        <v>0</v>
      </c>
    </row>
    <row r="188" spans="2:31" x14ac:dyDescent="0.25">
      <c r="B188" s="162">
        <f t="shared" si="29"/>
        <v>47021</v>
      </c>
      <c r="C188" s="163">
        <f>COUNTIFS(' CADASTRO'!$S:$S,'acab equip'!$C$3,' CADASTRO'!$R:$R,'acab equip'!B188)</f>
        <v>0</v>
      </c>
      <c r="D188" s="163">
        <f>COUNTIFS(' CADASTRO'!$S:$S,'acab equip'!$D$3,' CADASTRO'!$R:$R,'acab equip'!B188)</f>
        <v>0</v>
      </c>
      <c r="E188" s="163">
        <f>COUNTIFS(' CADASTRO'!$R$746:$R$893,'acab equip'!B188,' CADASTRO'!$S$746:$S$893,'acab equip'!$D$3)+COUNTIFS(' CADASTRO'!$R$746:$R$893,'acab equip'!B188,' CADASTRO'!$S$746:$S$893,'acab equip'!$C$3)</f>
        <v>0</v>
      </c>
      <c r="F188" s="162">
        <f t="shared" si="30"/>
        <v>47022</v>
      </c>
      <c r="G188" s="163">
        <f>COUNTIFS(' CADASTRO'!$S:$S,'acab equip'!$C$3,' CADASTRO'!$R:$R,'acab equip'!F188)</f>
        <v>0</v>
      </c>
      <c r="H188" s="163">
        <f>COUNTIFS(' CADASTRO'!$S:$S,'acab equip'!$D$3,' CADASTRO'!$R:$R,'acab equip'!F188)</f>
        <v>0</v>
      </c>
      <c r="I188" s="163">
        <f>COUNTIFS(' CADASTRO'!$R$746:$R$893,'acab equip'!F188,' CADASTRO'!$S$746:$S$893,'acab equip'!$H$3)+COUNTIFS(' CADASTRO'!$R$746:$R$893,'acab equip'!F188,' CADASTRO'!$S$746:$S$893,'acab equip'!$G$3)</f>
        <v>0</v>
      </c>
      <c r="J188" s="162">
        <f t="shared" si="31"/>
        <v>47023</v>
      </c>
      <c r="K188" s="163">
        <f>COUNTIFS(' CADASTRO'!$S:$S,'acab equip'!$C$3,' CADASTRO'!$R:$R,'acab equip'!J188)</f>
        <v>0</v>
      </c>
      <c r="L188" s="163">
        <f>COUNTIFS(' CADASTRO'!$S:$S,'acab equip'!$D$3,' CADASTRO'!$R:$R,'acab equip'!J188)</f>
        <v>0</v>
      </c>
      <c r="M188" s="163">
        <f>COUNTIFS(' CADASTRO'!$R$746:$R$893,'acab equip'!J188,' CADASTRO'!$S$746:$S$893,'acab equip'!$L$3)+COUNTIFS(' CADASTRO'!$R$746:$R$893,'acab equip'!J188,' CADASTRO'!$S$746:$S$893,'acab equip'!$K$3)</f>
        <v>0</v>
      </c>
      <c r="N188" s="162">
        <f t="shared" si="32"/>
        <v>47024</v>
      </c>
      <c r="O188" s="163">
        <f>COUNTIFS(' CADASTRO'!$S:$S,'acab equip'!$C$3,' CADASTRO'!$R:$R,'acab equip'!N188)</f>
        <v>0</v>
      </c>
      <c r="P188" s="163">
        <f>COUNTIFS(' CADASTRO'!$S:$S,'acab equip'!$D$3,' CADASTRO'!$R:$R,'acab equip'!N188)</f>
        <v>0</v>
      </c>
      <c r="Q188" s="163">
        <f>COUNTIFS(' CADASTRO'!$R$746:$R$893,'acab equip'!N188,' CADASTRO'!$S$746:$S$893,'acab equip'!$P$3)+COUNTIFS(' CADASTRO'!$R$746:$R$893,'acab equip'!N188,' CADASTRO'!$S$746:$S$893,'acab equip'!$O$3)</f>
        <v>0</v>
      </c>
      <c r="R188" s="162">
        <f t="shared" si="33"/>
        <v>47025</v>
      </c>
      <c r="S188" s="163">
        <f>COUNTIFS(' CADASTRO'!$S:$S,'acab equip'!$C$3,' CADASTRO'!$R:$R,'acab equip'!R188)</f>
        <v>0</v>
      </c>
      <c r="T188" s="163">
        <f>COUNTIFS(' CADASTRO'!$S:$S,'acab equip'!$D$3,' CADASTRO'!$R:$R,'acab equip'!R188)</f>
        <v>0</v>
      </c>
      <c r="U188" s="163">
        <f>COUNTIFS(' CADASTRO'!$R$746:$R$893,'acab equip'!R188,' CADASTRO'!$S$746:$S$893,'acab equip'!$T$3)+COUNTIFS(' CADASTRO'!$R$746:$R$893,'acab equip'!R188,' CADASTRO'!$S$746:$S$893,'acab equip'!$S$3)</f>
        <v>0</v>
      </c>
      <c r="V188" s="162">
        <f t="shared" si="34"/>
        <v>47026</v>
      </c>
      <c r="W188" s="163">
        <f>COUNTIFS(' CADASTRO'!$S:$S,'acab equip'!$C$3,' CADASTRO'!$R:$R,'acab equip'!V188)</f>
        <v>0</v>
      </c>
      <c r="X188" s="163">
        <f>COUNTIFS(' CADASTRO'!$S:$S,'acab equip'!$D$3,' CADASTRO'!$R:$R,'acab equip'!V188)</f>
        <v>0</v>
      </c>
      <c r="Y188" s="163">
        <f>COUNTIFS(' CADASTRO'!$R$746:$R$893,'acab equip'!V188,' CADASTRO'!$S$746:$S$893,'acab equip'!$X$3)+COUNTIFS(' CADASTRO'!$R$746:$R$893,'acab equip'!V188,' CADASTRO'!$S$746:$S$893,'acab equip'!$W$3)</f>
        <v>0</v>
      </c>
      <c r="Z188" s="162">
        <f t="shared" si="35"/>
        <v>47027</v>
      </c>
      <c r="AB188" s="165">
        <f t="shared" si="25"/>
        <v>0</v>
      </c>
      <c r="AC188" s="165">
        <f t="shared" si="26"/>
        <v>0</v>
      </c>
      <c r="AD188" s="165">
        <f t="shared" si="27"/>
        <v>0</v>
      </c>
      <c r="AE188" s="177">
        <f t="shared" si="28"/>
        <v>0</v>
      </c>
    </row>
    <row r="189" spans="2:31" x14ac:dyDescent="0.25">
      <c r="B189" s="162">
        <f t="shared" si="29"/>
        <v>47028</v>
      </c>
      <c r="C189" s="163">
        <f>COUNTIFS(' CADASTRO'!$S:$S,'acab equip'!$C$3,' CADASTRO'!$R:$R,'acab equip'!B189)</f>
        <v>0</v>
      </c>
      <c r="D189" s="163">
        <f>COUNTIFS(' CADASTRO'!$S:$S,'acab equip'!$D$3,' CADASTRO'!$R:$R,'acab equip'!B189)</f>
        <v>0</v>
      </c>
      <c r="E189" s="163">
        <f>COUNTIFS(' CADASTRO'!$R$746:$R$893,'acab equip'!B189,' CADASTRO'!$S$746:$S$893,'acab equip'!$D$3)+COUNTIFS(' CADASTRO'!$R$746:$R$893,'acab equip'!B189,' CADASTRO'!$S$746:$S$893,'acab equip'!$C$3)</f>
        <v>0</v>
      </c>
      <c r="F189" s="162">
        <f t="shared" si="30"/>
        <v>47029</v>
      </c>
      <c r="G189" s="163">
        <f>COUNTIFS(' CADASTRO'!$S:$S,'acab equip'!$C$3,' CADASTRO'!$R:$R,'acab equip'!F189)</f>
        <v>0</v>
      </c>
      <c r="H189" s="163">
        <f>COUNTIFS(' CADASTRO'!$S:$S,'acab equip'!$D$3,' CADASTRO'!$R:$R,'acab equip'!F189)</f>
        <v>0</v>
      </c>
      <c r="I189" s="163">
        <f>COUNTIFS(' CADASTRO'!$R$746:$R$893,'acab equip'!F189,' CADASTRO'!$S$746:$S$893,'acab equip'!$H$3)+COUNTIFS(' CADASTRO'!$R$746:$R$893,'acab equip'!F189,' CADASTRO'!$S$746:$S$893,'acab equip'!$G$3)</f>
        <v>0</v>
      </c>
      <c r="J189" s="162">
        <f t="shared" si="31"/>
        <v>47030</v>
      </c>
      <c r="K189" s="163">
        <f>COUNTIFS(' CADASTRO'!$S:$S,'acab equip'!$C$3,' CADASTRO'!$R:$R,'acab equip'!J189)</f>
        <v>0</v>
      </c>
      <c r="L189" s="163">
        <f>COUNTIFS(' CADASTRO'!$S:$S,'acab equip'!$D$3,' CADASTRO'!$R:$R,'acab equip'!J189)</f>
        <v>0</v>
      </c>
      <c r="M189" s="163">
        <f>COUNTIFS(' CADASTRO'!$R$746:$R$893,'acab equip'!J189,' CADASTRO'!$S$746:$S$893,'acab equip'!$L$3)+COUNTIFS(' CADASTRO'!$R$746:$R$893,'acab equip'!J189,' CADASTRO'!$S$746:$S$893,'acab equip'!$K$3)</f>
        <v>0</v>
      </c>
      <c r="N189" s="162">
        <f t="shared" si="32"/>
        <v>47031</v>
      </c>
      <c r="O189" s="163">
        <f>COUNTIFS(' CADASTRO'!$S:$S,'acab equip'!$C$3,' CADASTRO'!$R:$R,'acab equip'!N189)</f>
        <v>0</v>
      </c>
      <c r="P189" s="163">
        <f>COUNTIFS(' CADASTRO'!$S:$S,'acab equip'!$D$3,' CADASTRO'!$R:$R,'acab equip'!N189)</f>
        <v>0</v>
      </c>
      <c r="Q189" s="163">
        <f>COUNTIFS(' CADASTRO'!$R$746:$R$893,'acab equip'!N189,' CADASTRO'!$S$746:$S$893,'acab equip'!$P$3)+COUNTIFS(' CADASTRO'!$R$746:$R$893,'acab equip'!N189,' CADASTRO'!$S$746:$S$893,'acab equip'!$O$3)</f>
        <v>0</v>
      </c>
      <c r="R189" s="162">
        <f t="shared" si="33"/>
        <v>47032</v>
      </c>
      <c r="S189" s="163">
        <f>COUNTIFS(' CADASTRO'!$S:$S,'acab equip'!$C$3,' CADASTRO'!$R:$R,'acab equip'!R189)</f>
        <v>0</v>
      </c>
      <c r="T189" s="163">
        <f>COUNTIFS(' CADASTRO'!$S:$S,'acab equip'!$D$3,' CADASTRO'!$R:$R,'acab equip'!R189)</f>
        <v>0</v>
      </c>
      <c r="U189" s="163">
        <f>COUNTIFS(' CADASTRO'!$R$746:$R$893,'acab equip'!R189,' CADASTRO'!$S$746:$S$893,'acab equip'!$T$3)+COUNTIFS(' CADASTRO'!$R$746:$R$893,'acab equip'!R189,' CADASTRO'!$S$746:$S$893,'acab equip'!$S$3)</f>
        <v>0</v>
      </c>
      <c r="V189" s="162">
        <f t="shared" si="34"/>
        <v>47033</v>
      </c>
      <c r="W189" s="163">
        <f>COUNTIFS(' CADASTRO'!$S:$S,'acab equip'!$C$3,' CADASTRO'!$R:$R,'acab equip'!V189)</f>
        <v>0</v>
      </c>
      <c r="X189" s="163">
        <f>COUNTIFS(' CADASTRO'!$S:$S,'acab equip'!$D$3,' CADASTRO'!$R:$R,'acab equip'!V189)</f>
        <v>0</v>
      </c>
      <c r="Y189" s="163">
        <f>COUNTIFS(' CADASTRO'!$R$746:$R$893,'acab equip'!V189,' CADASTRO'!$S$746:$S$893,'acab equip'!$X$3)+COUNTIFS(' CADASTRO'!$R$746:$R$893,'acab equip'!V189,' CADASTRO'!$S$746:$S$893,'acab equip'!$W$3)</f>
        <v>0</v>
      </c>
      <c r="Z189" s="162">
        <f t="shared" si="35"/>
        <v>47034</v>
      </c>
      <c r="AB189" s="165">
        <f t="shared" si="25"/>
        <v>0</v>
      </c>
      <c r="AC189" s="165">
        <f t="shared" si="26"/>
        <v>0</v>
      </c>
      <c r="AD189" s="165">
        <f t="shared" si="27"/>
        <v>0</v>
      </c>
      <c r="AE189" s="177">
        <f t="shared" si="28"/>
        <v>0</v>
      </c>
    </row>
    <row r="190" spans="2:31" x14ac:dyDescent="0.25">
      <c r="B190" s="162">
        <f t="shared" si="29"/>
        <v>47035</v>
      </c>
      <c r="C190" s="163">
        <f>COUNTIFS(' CADASTRO'!$S:$S,'acab equip'!$C$3,' CADASTRO'!$R:$R,'acab equip'!B190)</f>
        <v>0</v>
      </c>
      <c r="D190" s="163">
        <f>COUNTIFS(' CADASTRO'!$S:$S,'acab equip'!$D$3,' CADASTRO'!$R:$R,'acab equip'!B190)</f>
        <v>0</v>
      </c>
      <c r="E190" s="163">
        <f>COUNTIFS(' CADASTRO'!$R$746:$R$893,'acab equip'!B190,' CADASTRO'!$S$746:$S$893,'acab equip'!$D$3)+COUNTIFS(' CADASTRO'!$R$746:$R$893,'acab equip'!B190,' CADASTRO'!$S$746:$S$893,'acab equip'!$C$3)</f>
        <v>0</v>
      </c>
      <c r="F190" s="162">
        <f t="shared" si="30"/>
        <v>47036</v>
      </c>
      <c r="G190" s="163">
        <f>COUNTIFS(' CADASTRO'!$S:$S,'acab equip'!$C$3,' CADASTRO'!$R:$R,'acab equip'!F190)</f>
        <v>0</v>
      </c>
      <c r="H190" s="163">
        <f>COUNTIFS(' CADASTRO'!$S:$S,'acab equip'!$D$3,' CADASTRO'!$R:$R,'acab equip'!F190)</f>
        <v>0</v>
      </c>
      <c r="I190" s="163">
        <f>COUNTIFS(' CADASTRO'!$R$746:$R$893,'acab equip'!F190,' CADASTRO'!$S$746:$S$893,'acab equip'!$H$3)+COUNTIFS(' CADASTRO'!$R$746:$R$893,'acab equip'!F190,' CADASTRO'!$S$746:$S$893,'acab equip'!$G$3)</f>
        <v>0</v>
      </c>
      <c r="J190" s="162">
        <f t="shared" si="31"/>
        <v>47037</v>
      </c>
      <c r="K190" s="163">
        <f>COUNTIFS(' CADASTRO'!$S:$S,'acab equip'!$C$3,' CADASTRO'!$R:$R,'acab equip'!J190)</f>
        <v>0</v>
      </c>
      <c r="L190" s="163">
        <f>COUNTIFS(' CADASTRO'!$S:$S,'acab equip'!$D$3,' CADASTRO'!$R:$R,'acab equip'!J190)</f>
        <v>0</v>
      </c>
      <c r="M190" s="163">
        <f>COUNTIFS(' CADASTRO'!$R$746:$R$893,'acab equip'!J190,' CADASTRO'!$S$746:$S$893,'acab equip'!$L$3)+COUNTIFS(' CADASTRO'!$R$746:$R$893,'acab equip'!J190,' CADASTRO'!$S$746:$S$893,'acab equip'!$K$3)</f>
        <v>0</v>
      </c>
      <c r="N190" s="162">
        <f t="shared" si="32"/>
        <v>47038</v>
      </c>
      <c r="O190" s="163">
        <f>COUNTIFS(' CADASTRO'!$S:$S,'acab equip'!$C$3,' CADASTRO'!$R:$R,'acab equip'!N190)</f>
        <v>0</v>
      </c>
      <c r="P190" s="163">
        <f>COUNTIFS(' CADASTRO'!$S:$S,'acab equip'!$D$3,' CADASTRO'!$R:$R,'acab equip'!N190)</f>
        <v>0</v>
      </c>
      <c r="Q190" s="163">
        <f>COUNTIFS(' CADASTRO'!$R$746:$R$893,'acab equip'!N190,' CADASTRO'!$S$746:$S$893,'acab equip'!$P$3)+COUNTIFS(' CADASTRO'!$R$746:$R$893,'acab equip'!N190,' CADASTRO'!$S$746:$S$893,'acab equip'!$O$3)</f>
        <v>0</v>
      </c>
      <c r="R190" s="162">
        <f t="shared" si="33"/>
        <v>47039</v>
      </c>
      <c r="S190" s="163">
        <f>COUNTIFS(' CADASTRO'!$S:$S,'acab equip'!$C$3,' CADASTRO'!$R:$R,'acab equip'!R190)</f>
        <v>0</v>
      </c>
      <c r="T190" s="163">
        <f>COUNTIFS(' CADASTRO'!$S:$S,'acab equip'!$D$3,' CADASTRO'!$R:$R,'acab equip'!R190)</f>
        <v>0</v>
      </c>
      <c r="U190" s="163">
        <f>COUNTIFS(' CADASTRO'!$R$746:$R$893,'acab equip'!R190,' CADASTRO'!$S$746:$S$893,'acab equip'!$T$3)+COUNTIFS(' CADASTRO'!$R$746:$R$893,'acab equip'!R190,' CADASTRO'!$S$746:$S$893,'acab equip'!$S$3)</f>
        <v>0</v>
      </c>
      <c r="V190" s="162">
        <f t="shared" si="34"/>
        <v>47040</v>
      </c>
      <c r="W190" s="163">
        <f>COUNTIFS(' CADASTRO'!$S:$S,'acab equip'!$C$3,' CADASTRO'!$R:$R,'acab equip'!V190)</f>
        <v>0</v>
      </c>
      <c r="X190" s="163">
        <f>COUNTIFS(' CADASTRO'!$S:$S,'acab equip'!$D$3,' CADASTRO'!$R:$R,'acab equip'!V190)</f>
        <v>0</v>
      </c>
      <c r="Y190" s="163">
        <f>COUNTIFS(' CADASTRO'!$R$746:$R$893,'acab equip'!V190,' CADASTRO'!$S$746:$S$893,'acab equip'!$X$3)+COUNTIFS(' CADASTRO'!$R$746:$R$893,'acab equip'!V190,' CADASTRO'!$S$746:$S$893,'acab equip'!$W$3)</f>
        <v>0</v>
      </c>
      <c r="Z190" s="162">
        <f t="shared" si="35"/>
        <v>47041</v>
      </c>
      <c r="AB190" s="165">
        <f t="shared" si="25"/>
        <v>0</v>
      </c>
      <c r="AC190" s="165">
        <f t="shared" si="26"/>
        <v>0</v>
      </c>
      <c r="AD190" s="165">
        <f t="shared" si="27"/>
        <v>0</v>
      </c>
      <c r="AE190" s="177">
        <f t="shared" si="28"/>
        <v>0</v>
      </c>
    </row>
    <row r="191" spans="2:31" x14ac:dyDescent="0.25">
      <c r="B191" s="162">
        <f t="shared" si="29"/>
        <v>47042</v>
      </c>
      <c r="C191" s="163">
        <f>COUNTIFS(' CADASTRO'!$S:$S,'acab equip'!$C$3,' CADASTRO'!$R:$R,'acab equip'!B191)</f>
        <v>0</v>
      </c>
      <c r="D191" s="163">
        <f>COUNTIFS(' CADASTRO'!$S:$S,'acab equip'!$D$3,' CADASTRO'!$R:$R,'acab equip'!B191)</f>
        <v>0</v>
      </c>
      <c r="E191" s="163">
        <f>COUNTIFS(' CADASTRO'!$R$746:$R$893,'acab equip'!B191,' CADASTRO'!$S$746:$S$893,'acab equip'!$D$3)+COUNTIFS(' CADASTRO'!$R$746:$R$893,'acab equip'!B191,' CADASTRO'!$S$746:$S$893,'acab equip'!$C$3)</f>
        <v>0</v>
      </c>
      <c r="F191" s="162">
        <f t="shared" si="30"/>
        <v>47043</v>
      </c>
      <c r="G191" s="163">
        <f>COUNTIFS(' CADASTRO'!$S:$S,'acab equip'!$C$3,' CADASTRO'!$R:$R,'acab equip'!F191)</f>
        <v>0</v>
      </c>
      <c r="H191" s="163">
        <f>COUNTIFS(' CADASTRO'!$S:$S,'acab equip'!$D$3,' CADASTRO'!$R:$R,'acab equip'!F191)</f>
        <v>0</v>
      </c>
      <c r="I191" s="163">
        <f>COUNTIFS(' CADASTRO'!$R$746:$R$893,'acab equip'!F191,' CADASTRO'!$S$746:$S$893,'acab equip'!$H$3)+COUNTIFS(' CADASTRO'!$R$746:$R$893,'acab equip'!F191,' CADASTRO'!$S$746:$S$893,'acab equip'!$G$3)</f>
        <v>0</v>
      </c>
      <c r="J191" s="162">
        <f t="shared" si="31"/>
        <v>47044</v>
      </c>
      <c r="K191" s="163">
        <f>COUNTIFS(' CADASTRO'!$S:$S,'acab equip'!$C$3,' CADASTRO'!$R:$R,'acab equip'!J191)</f>
        <v>0</v>
      </c>
      <c r="L191" s="163">
        <f>COUNTIFS(' CADASTRO'!$S:$S,'acab equip'!$D$3,' CADASTRO'!$R:$R,'acab equip'!J191)</f>
        <v>0</v>
      </c>
      <c r="M191" s="163">
        <f>COUNTIFS(' CADASTRO'!$R$746:$R$893,'acab equip'!J191,' CADASTRO'!$S$746:$S$893,'acab equip'!$L$3)+COUNTIFS(' CADASTRO'!$R$746:$R$893,'acab equip'!J191,' CADASTRO'!$S$746:$S$893,'acab equip'!$K$3)</f>
        <v>0</v>
      </c>
      <c r="N191" s="162">
        <f t="shared" si="32"/>
        <v>47045</v>
      </c>
      <c r="O191" s="163">
        <f>COUNTIFS(' CADASTRO'!$S:$S,'acab equip'!$C$3,' CADASTRO'!$R:$R,'acab equip'!N191)</f>
        <v>0</v>
      </c>
      <c r="P191" s="163">
        <f>COUNTIFS(' CADASTRO'!$S:$S,'acab equip'!$D$3,' CADASTRO'!$R:$R,'acab equip'!N191)</f>
        <v>0</v>
      </c>
      <c r="Q191" s="163">
        <f>COUNTIFS(' CADASTRO'!$R$746:$R$893,'acab equip'!N191,' CADASTRO'!$S$746:$S$893,'acab equip'!$P$3)+COUNTIFS(' CADASTRO'!$R$746:$R$893,'acab equip'!N191,' CADASTRO'!$S$746:$S$893,'acab equip'!$O$3)</f>
        <v>0</v>
      </c>
      <c r="R191" s="162">
        <f t="shared" si="33"/>
        <v>47046</v>
      </c>
      <c r="S191" s="163">
        <f>COUNTIFS(' CADASTRO'!$S:$S,'acab equip'!$C$3,' CADASTRO'!$R:$R,'acab equip'!R191)</f>
        <v>0</v>
      </c>
      <c r="T191" s="163">
        <f>COUNTIFS(' CADASTRO'!$S:$S,'acab equip'!$D$3,' CADASTRO'!$R:$R,'acab equip'!R191)</f>
        <v>0</v>
      </c>
      <c r="U191" s="163">
        <f>COUNTIFS(' CADASTRO'!$R$746:$R$893,'acab equip'!R191,' CADASTRO'!$S$746:$S$893,'acab equip'!$T$3)+COUNTIFS(' CADASTRO'!$R$746:$R$893,'acab equip'!R191,' CADASTRO'!$S$746:$S$893,'acab equip'!$S$3)</f>
        <v>0</v>
      </c>
      <c r="V191" s="162">
        <f t="shared" si="34"/>
        <v>47047</v>
      </c>
      <c r="W191" s="163">
        <f>COUNTIFS(' CADASTRO'!$S:$S,'acab equip'!$C$3,' CADASTRO'!$R:$R,'acab equip'!V191)</f>
        <v>0</v>
      </c>
      <c r="X191" s="163">
        <f>COUNTIFS(' CADASTRO'!$S:$S,'acab equip'!$D$3,' CADASTRO'!$R:$R,'acab equip'!V191)</f>
        <v>0</v>
      </c>
      <c r="Y191" s="163">
        <f>COUNTIFS(' CADASTRO'!$R$746:$R$893,'acab equip'!V191,' CADASTRO'!$S$746:$S$893,'acab equip'!$X$3)+COUNTIFS(' CADASTRO'!$R$746:$R$893,'acab equip'!V191,' CADASTRO'!$S$746:$S$893,'acab equip'!$W$3)</f>
        <v>0</v>
      </c>
      <c r="Z191" s="162">
        <f t="shared" si="35"/>
        <v>47048</v>
      </c>
      <c r="AB191" s="165">
        <f t="shared" si="25"/>
        <v>0</v>
      </c>
      <c r="AC191" s="165">
        <f t="shared" si="26"/>
        <v>0</v>
      </c>
      <c r="AD191" s="165">
        <f t="shared" si="27"/>
        <v>0</v>
      </c>
      <c r="AE191" s="177">
        <f t="shared" si="28"/>
        <v>0</v>
      </c>
    </row>
    <row r="192" spans="2:31" x14ac:dyDescent="0.25">
      <c r="B192" s="162">
        <f t="shared" si="29"/>
        <v>47049</v>
      </c>
      <c r="C192" s="163">
        <f>COUNTIFS(' CADASTRO'!$S:$S,'acab equip'!$C$3,' CADASTRO'!$R:$R,'acab equip'!B192)</f>
        <v>0</v>
      </c>
      <c r="D192" s="163">
        <f>COUNTIFS(' CADASTRO'!$S:$S,'acab equip'!$D$3,' CADASTRO'!$R:$R,'acab equip'!B192)</f>
        <v>0</v>
      </c>
      <c r="E192" s="163">
        <f>COUNTIFS(' CADASTRO'!$R$746:$R$893,'acab equip'!B192,' CADASTRO'!$S$746:$S$893,'acab equip'!$D$3)+COUNTIFS(' CADASTRO'!$R$746:$R$893,'acab equip'!B192,' CADASTRO'!$S$746:$S$893,'acab equip'!$C$3)</f>
        <v>0</v>
      </c>
      <c r="F192" s="162">
        <f t="shared" si="30"/>
        <v>47050</v>
      </c>
      <c r="G192" s="163">
        <f>COUNTIFS(' CADASTRO'!$S:$S,'acab equip'!$C$3,' CADASTRO'!$R:$R,'acab equip'!F192)</f>
        <v>0</v>
      </c>
      <c r="H192" s="163">
        <f>COUNTIFS(' CADASTRO'!$S:$S,'acab equip'!$D$3,' CADASTRO'!$R:$R,'acab equip'!F192)</f>
        <v>0</v>
      </c>
      <c r="I192" s="163">
        <f>COUNTIFS(' CADASTRO'!$R$746:$R$893,'acab equip'!F192,' CADASTRO'!$S$746:$S$893,'acab equip'!$H$3)+COUNTIFS(' CADASTRO'!$R$746:$R$893,'acab equip'!F192,' CADASTRO'!$S$746:$S$893,'acab equip'!$G$3)</f>
        <v>0</v>
      </c>
      <c r="J192" s="162">
        <f t="shared" si="31"/>
        <v>47051</v>
      </c>
      <c r="K192" s="163">
        <f>COUNTIFS(' CADASTRO'!$S:$S,'acab equip'!$C$3,' CADASTRO'!$R:$R,'acab equip'!J192)</f>
        <v>0</v>
      </c>
      <c r="L192" s="163">
        <f>COUNTIFS(' CADASTRO'!$S:$S,'acab equip'!$D$3,' CADASTRO'!$R:$R,'acab equip'!J192)</f>
        <v>0</v>
      </c>
      <c r="M192" s="163">
        <f>COUNTIFS(' CADASTRO'!$R$746:$R$893,'acab equip'!J192,' CADASTRO'!$S$746:$S$893,'acab equip'!$L$3)+COUNTIFS(' CADASTRO'!$R$746:$R$893,'acab equip'!J192,' CADASTRO'!$S$746:$S$893,'acab equip'!$K$3)</f>
        <v>0</v>
      </c>
      <c r="N192" s="162">
        <f t="shared" si="32"/>
        <v>47052</v>
      </c>
      <c r="O192" s="163">
        <f>COUNTIFS(' CADASTRO'!$S:$S,'acab equip'!$C$3,' CADASTRO'!$R:$R,'acab equip'!N192)</f>
        <v>0</v>
      </c>
      <c r="P192" s="163">
        <f>COUNTIFS(' CADASTRO'!$S:$S,'acab equip'!$D$3,' CADASTRO'!$R:$R,'acab equip'!N192)</f>
        <v>0</v>
      </c>
      <c r="Q192" s="163">
        <f>COUNTIFS(' CADASTRO'!$R$746:$R$893,'acab equip'!N192,' CADASTRO'!$S$746:$S$893,'acab equip'!$P$3)+COUNTIFS(' CADASTRO'!$R$746:$R$893,'acab equip'!N192,' CADASTRO'!$S$746:$S$893,'acab equip'!$O$3)</f>
        <v>0</v>
      </c>
      <c r="R192" s="162">
        <f t="shared" si="33"/>
        <v>47053</v>
      </c>
      <c r="S192" s="163">
        <f>COUNTIFS(' CADASTRO'!$S:$S,'acab equip'!$C$3,' CADASTRO'!$R:$R,'acab equip'!R192)</f>
        <v>0</v>
      </c>
      <c r="T192" s="163">
        <f>COUNTIFS(' CADASTRO'!$S:$S,'acab equip'!$D$3,' CADASTRO'!$R:$R,'acab equip'!R192)</f>
        <v>0</v>
      </c>
      <c r="U192" s="163">
        <f>COUNTIFS(' CADASTRO'!$R$746:$R$893,'acab equip'!R192,' CADASTRO'!$S$746:$S$893,'acab equip'!$T$3)+COUNTIFS(' CADASTRO'!$R$746:$R$893,'acab equip'!R192,' CADASTRO'!$S$746:$S$893,'acab equip'!$S$3)</f>
        <v>0</v>
      </c>
      <c r="V192" s="162">
        <f t="shared" si="34"/>
        <v>47054</v>
      </c>
      <c r="W192" s="163">
        <f>COUNTIFS(' CADASTRO'!$S:$S,'acab equip'!$C$3,' CADASTRO'!$R:$R,'acab equip'!V192)</f>
        <v>0</v>
      </c>
      <c r="X192" s="163">
        <f>COUNTIFS(' CADASTRO'!$S:$S,'acab equip'!$D$3,' CADASTRO'!$R:$R,'acab equip'!V192)</f>
        <v>0</v>
      </c>
      <c r="Y192" s="163">
        <f>COUNTIFS(' CADASTRO'!$R$746:$R$893,'acab equip'!V192,' CADASTRO'!$S$746:$S$893,'acab equip'!$X$3)+COUNTIFS(' CADASTRO'!$R$746:$R$893,'acab equip'!V192,' CADASTRO'!$S$746:$S$893,'acab equip'!$W$3)</f>
        <v>0</v>
      </c>
      <c r="Z192" s="162">
        <f t="shared" si="35"/>
        <v>47055</v>
      </c>
      <c r="AB192" s="165">
        <f t="shared" si="25"/>
        <v>0</v>
      </c>
      <c r="AC192" s="165">
        <f t="shared" si="26"/>
        <v>0</v>
      </c>
      <c r="AD192" s="165">
        <f t="shared" si="27"/>
        <v>0</v>
      </c>
      <c r="AE192" s="177">
        <f t="shared" si="28"/>
        <v>0</v>
      </c>
    </row>
    <row r="193" spans="2:31" x14ac:dyDescent="0.25">
      <c r="B193" s="162">
        <f t="shared" si="29"/>
        <v>47056</v>
      </c>
      <c r="C193" s="163">
        <f>COUNTIFS(' CADASTRO'!$S:$S,'acab equip'!$C$3,' CADASTRO'!$R:$R,'acab equip'!B193)</f>
        <v>0</v>
      </c>
      <c r="D193" s="163">
        <f>COUNTIFS(' CADASTRO'!$S:$S,'acab equip'!$D$3,' CADASTRO'!$R:$R,'acab equip'!B193)</f>
        <v>0</v>
      </c>
      <c r="E193" s="163">
        <f>COUNTIFS(' CADASTRO'!$R$746:$R$893,'acab equip'!B193,' CADASTRO'!$S$746:$S$893,'acab equip'!$D$3)+COUNTIFS(' CADASTRO'!$R$746:$R$893,'acab equip'!B193,' CADASTRO'!$S$746:$S$893,'acab equip'!$C$3)</f>
        <v>0</v>
      </c>
      <c r="F193" s="162">
        <f t="shared" si="30"/>
        <v>47057</v>
      </c>
      <c r="G193" s="163">
        <f>COUNTIFS(' CADASTRO'!$S:$S,'acab equip'!$C$3,' CADASTRO'!$R:$R,'acab equip'!F193)</f>
        <v>0</v>
      </c>
      <c r="H193" s="163">
        <f>COUNTIFS(' CADASTRO'!$S:$S,'acab equip'!$D$3,' CADASTRO'!$R:$R,'acab equip'!F193)</f>
        <v>0</v>
      </c>
      <c r="I193" s="163">
        <f>COUNTIFS(' CADASTRO'!$R$746:$R$893,'acab equip'!F193,' CADASTRO'!$S$746:$S$893,'acab equip'!$H$3)+COUNTIFS(' CADASTRO'!$R$746:$R$893,'acab equip'!F193,' CADASTRO'!$S$746:$S$893,'acab equip'!$G$3)</f>
        <v>0</v>
      </c>
      <c r="J193" s="162">
        <f t="shared" si="31"/>
        <v>47058</v>
      </c>
      <c r="K193" s="163">
        <f>COUNTIFS(' CADASTRO'!$S:$S,'acab equip'!$C$3,' CADASTRO'!$R:$R,'acab equip'!J193)</f>
        <v>0</v>
      </c>
      <c r="L193" s="163">
        <f>COUNTIFS(' CADASTRO'!$S:$S,'acab equip'!$D$3,' CADASTRO'!$R:$R,'acab equip'!J193)</f>
        <v>0</v>
      </c>
      <c r="M193" s="163">
        <f>COUNTIFS(' CADASTRO'!$R$746:$R$893,'acab equip'!J193,' CADASTRO'!$S$746:$S$893,'acab equip'!$L$3)+COUNTIFS(' CADASTRO'!$R$746:$R$893,'acab equip'!J193,' CADASTRO'!$S$746:$S$893,'acab equip'!$K$3)</f>
        <v>0</v>
      </c>
      <c r="N193" s="162">
        <f t="shared" si="32"/>
        <v>47059</v>
      </c>
      <c r="O193" s="163">
        <f>COUNTIFS(' CADASTRO'!$S:$S,'acab equip'!$C$3,' CADASTRO'!$R:$R,'acab equip'!N193)</f>
        <v>0</v>
      </c>
      <c r="P193" s="163">
        <f>COUNTIFS(' CADASTRO'!$S:$S,'acab equip'!$D$3,' CADASTRO'!$R:$R,'acab equip'!N193)</f>
        <v>0</v>
      </c>
      <c r="Q193" s="163">
        <f>COUNTIFS(' CADASTRO'!$R$746:$R$893,'acab equip'!N193,' CADASTRO'!$S$746:$S$893,'acab equip'!$P$3)+COUNTIFS(' CADASTRO'!$R$746:$R$893,'acab equip'!N193,' CADASTRO'!$S$746:$S$893,'acab equip'!$O$3)</f>
        <v>0</v>
      </c>
      <c r="R193" s="162">
        <f t="shared" si="33"/>
        <v>47060</v>
      </c>
      <c r="S193" s="163">
        <f>COUNTIFS(' CADASTRO'!$S:$S,'acab equip'!$C$3,' CADASTRO'!$R:$R,'acab equip'!R193)</f>
        <v>0</v>
      </c>
      <c r="T193" s="163">
        <f>COUNTIFS(' CADASTRO'!$S:$S,'acab equip'!$D$3,' CADASTRO'!$R:$R,'acab equip'!R193)</f>
        <v>0</v>
      </c>
      <c r="U193" s="163">
        <f>COUNTIFS(' CADASTRO'!$R$746:$R$893,'acab equip'!R193,' CADASTRO'!$S$746:$S$893,'acab equip'!$T$3)+COUNTIFS(' CADASTRO'!$R$746:$R$893,'acab equip'!R193,' CADASTRO'!$S$746:$S$893,'acab equip'!$S$3)</f>
        <v>0</v>
      </c>
      <c r="V193" s="162">
        <f t="shared" si="34"/>
        <v>47061</v>
      </c>
      <c r="W193" s="163">
        <f>COUNTIFS(' CADASTRO'!$S:$S,'acab equip'!$C$3,' CADASTRO'!$R:$R,'acab equip'!V193)</f>
        <v>0</v>
      </c>
      <c r="X193" s="163">
        <f>COUNTIFS(' CADASTRO'!$S:$S,'acab equip'!$D$3,' CADASTRO'!$R:$R,'acab equip'!V193)</f>
        <v>0</v>
      </c>
      <c r="Y193" s="163">
        <f>COUNTIFS(' CADASTRO'!$R$746:$R$893,'acab equip'!V193,' CADASTRO'!$S$746:$S$893,'acab equip'!$X$3)+COUNTIFS(' CADASTRO'!$R$746:$R$893,'acab equip'!V193,' CADASTRO'!$S$746:$S$893,'acab equip'!$W$3)</f>
        <v>0</v>
      </c>
      <c r="Z193" s="162">
        <f t="shared" si="35"/>
        <v>47062</v>
      </c>
      <c r="AB193" s="165">
        <f t="shared" si="25"/>
        <v>0</v>
      </c>
      <c r="AC193" s="165">
        <f t="shared" si="26"/>
        <v>0</v>
      </c>
      <c r="AD193" s="165">
        <f t="shared" si="27"/>
        <v>0</v>
      </c>
      <c r="AE193" s="177">
        <f t="shared" si="28"/>
        <v>0</v>
      </c>
    </row>
    <row r="194" spans="2:31" x14ac:dyDescent="0.25">
      <c r="B194" s="162">
        <f t="shared" si="29"/>
        <v>47063</v>
      </c>
      <c r="C194" s="163">
        <f>COUNTIFS(' CADASTRO'!$S:$S,'acab equip'!$C$3,' CADASTRO'!$R:$R,'acab equip'!B194)</f>
        <v>0</v>
      </c>
      <c r="D194" s="163">
        <f>COUNTIFS(' CADASTRO'!$S:$S,'acab equip'!$D$3,' CADASTRO'!$R:$R,'acab equip'!B194)</f>
        <v>0</v>
      </c>
      <c r="E194" s="163">
        <f>COUNTIFS(' CADASTRO'!$R$746:$R$893,'acab equip'!B194,' CADASTRO'!$S$746:$S$893,'acab equip'!$D$3)+COUNTIFS(' CADASTRO'!$R$746:$R$893,'acab equip'!B194,' CADASTRO'!$S$746:$S$893,'acab equip'!$C$3)</f>
        <v>0</v>
      </c>
      <c r="F194" s="162">
        <f t="shared" si="30"/>
        <v>47064</v>
      </c>
      <c r="G194" s="163">
        <f>COUNTIFS(' CADASTRO'!$S:$S,'acab equip'!$C$3,' CADASTRO'!$R:$R,'acab equip'!F194)</f>
        <v>0</v>
      </c>
      <c r="H194" s="163">
        <f>COUNTIFS(' CADASTRO'!$S:$S,'acab equip'!$D$3,' CADASTRO'!$R:$R,'acab equip'!F194)</f>
        <v>0</v>
      </c>
      <c r="I194" s="163">
        <f>COUNTIFS(' CADASTRO'!$R$746:$R$893,'acab equip'!F194,' CADASTRO'!$S$746:$S$893,'acab equip'!$H$3)+COUNTIFS(' CADASTRO'!$R$746:$R$893,'acab equip'!F194,' CADASTRO'!$S$746:$S$893,'acab equip'!$G$3)</f>
        <v>0</v>
      </c>
      <c r="J194" s="162">
        <f t="shared" si="31"/>
        <v>47065</v>
      </c>
      <c r="K194" s="163">
        <f>COUNTIFS(' CADASTRO'!$S:$S,'acab equip'!$C$3,' CADASTRO'!$R:$R,'acab equip'!J194)</f>
        <v>0</v>
      </c>
      <c r="L194" s="163">
        <f>COUNTIFS(' CADASTRO'!$S:$S,'acab equip'!$D$3,' CADASTRO'!$R:$R,'acab equip'!J194)</f>
        <v>0</v>
      </c>
      <c r="M194" s="163">
        <f>COUNTIFS(' CADASTRO'!$R$746:$R$893,'acab equip'!J194,' CADASTRO'!$S$746:$S$893,'acab equip'!$L$3)+COUNTIFS(' CADASTRO'!$R$746:$R$893,'acab equip'!J194,' CADASTRO'!$S$746:$S$893,'acab equip'!$K$3)</f>
        <v>0</v>
      </c>
      <c r="N194" s="162">
        <f t="shared" si="32"/>
        <v>47066</v>
      </c>
      <c r="O194" s="163">
        <f>COUNTIFS(' CADASTRO'!$S:$S,'acab equip'!$C$3,' CADASTRO'!$R:$R,'acab equip'!N194)</f>
        <v>0</v>
      </c>
      <c r="P194" s="163">
        <f>COUNTIFS(' CADASTRO'!$S:$S,'acab equip'!$D$3,' CADASTRO'!$R:$R,'acab equip'!N194)</f>
        <v>0</v>
      </c>
      <c r="Q194" s="163">
        <f>COUNTIFS(' CADASTRO'!$R$746:$R$893,'acab equip'!N194,' CADASTRO'!$S$746:$S$893,'acab equip'!$P$3)+COUNTIFS(' CADASTRO'!$R$746:$R$893,'acab equip'!N194,' CADASTRO'!$S$746:$S$893,'acab equip'!$O$3)</f>
        <v>0</v>
      </c>
      <c r="R194" s="162">
        <f t="shared" si="33"/>
        <v>47067</v>
      </c>
      <c r="S194" s="163">
        <f>COUNTIFS(' CADASTRO'!$S:$S,'acab equip'!$C$3,' CADASTRO'!$R:$R,'acab equip'!R194)</f>
        <v>0</v>
      </c>
      <c r="T194" s="163">
        <f>COUNTIFS(' CADASTRO'!$S:$S,'acab equip'!$D$3,' CADASTRO'!$R:$R,'acab equip'!R194)</f>
        <v>0</v>
      </c>
      <c r="U194" s="163">
        <f>COUNTIFS(' CADASTRO'!$R$746:$R$893,'acab equip'!R194,' CADASTRO'!$S$746:$S$893,'acab equip'!$T$3)+COUNTIFS(' CADASTRO'!$R$746:$R$893,'acab equip'!R194,' CADASTRO'!$S$746:$S$893,'acab equip'!$S$3)</f>
        <v>0</v>
      </c>
      <c r="V194" s="162">
        <f t="shared" si="34"/>
        <v>47068</v>
      </c>
      <c r="W194" s="163">
        <f>COUNTIFS(' CADASTRO'!$S:$S,'acab equip'!$C$3,' CADASTRO'!$R:$R,'acab equip'!V194)</f>
        <v>0</v>
      </c>
      <c r="X194" s="163">
        <f>COUNTIFS(' CADASTRO'!$S:$S,'acab equip'!$D$3,' CADASTRO'!$R:$R,'acab equip'!V194)</f>
        <v>0</v>
      </c>
      <c r="Y194" s="163">
        <f>COUNTIFS(' CADASTRO'!$R$746:$R$893,'acab equip'!V194,' CADASTRO'!$S$746:$S$893,'acab equip'!$X$3)+COUNTIFS(' CADASTRO'!$R$746:$R$893,'acab equip'!V194,' CADASTRO'!$S$746:$S$893,'acab equip'!$W$3)</f>
        <v>0</v>
      </c>
      <c r="Z194" s="162">
        <f t="shared" si="35"/>
        <v>47069</v>
      </c>
      <c r="AB194" s="165">
        <f t="shared" si="25"/>
        <v>0</v>
      </c>
      <c r="AC194" s="165">
        <f t="shared" si="26"/>
        <v>0</v>
      </c>
      <c r="AD194" s="165">
        <f t="shared" si="27"/>
        <v>0</v>
      </c>
      <c r="AE194" s="177">
        <f t="shared" si="28"/>
        <v>0</v>
      </c>
    </row>
    <row r="195" spans="2:31" x14ac:dyDescent="0.25">
      <c r="B195" s="162">
        <f t="shared" si="29"/>
        <v>47070</v>
      </c>
      <c r="C195" s="163">
        <f>COUNTIFS(' CADASTRO'!$S:$S,'acab equip'!$C$3,' CADASTRO'!$R:$R,'acab equip'!B195)</f>
        <v>0</v>
      </c>
      <c r="D195" s="163">
        <f>COUNTIFS(' CADASTRO'!$S:$S,'acab equip'!$D$3,' CADASTRO'!$R:$R,'acab equip'!B195)</f>
        <v>0</v>
      </c>
      <c r="E195" s="163">
        <f>COUNTIFS(' CADASTRO'!$R$746:$R$893,'acab equip'!B195,' CADASTRO'!$S$746:$S$893,'acab equip'!$D$3)+COUNTIFS(' CADASTRO'!$R$746:$R$893,'acab equip'!B195,' CADASTRO'!$S$746:$S$893,'acab equip'!$C$3)</f>
        <v>0</v>
      </c>
      <c r="F195" s="162">
        <f t="shared" si="30"/>
        <v>47071</v>
      </c>
      <c r="G195" s="163">
        <f>COUNTIFS(' CADASTRO'!$S:$S,'acab equip'!$C$3,' CADASTRO'!$R:$R,'acab equip'!F195)</f>
        <v>0</v>
      </c>
      <c r="H195" s="163">
        <f>COUNTIFS(' CADASTRO'!$S:$S,'acab equip'!$D$3,' CADASTRO'!$R:$R,'acab equip'!F195)</f>
        <v>0</v>
      </c>
      <c r="I195" s="163">
        <f>COUNTIFS(' CADASTRO'!$R$746:$R$893,'acab equip'!F195,' CADASTRO'!$S$746:$S$893,'acab equip'!$H$3)+COUNTIFS(' CADASTRO'!$R$746:$R$893,'acab equip'!F195,' CADASTRO'!$S$746:$S$893,'acab equip'!$G$3)</f>
        <v>0</v>
      </c>
      <c r="J195" s="162">
        <f t="shared" si="31"/>
        <v>47072</v>
      </c>
      <c r="K195" s="163">
        <f>COUNTIFS(' CADASTRO'!$S:$S,'acab equip'!$C$3,' CADASTRO'!$R:$R,'acab equip'!J195)</f>
        <v>0</v>
      </c>
      <c r="L195" s="163">
        <f>COUNTIFS(' CADASTRO'!$S:$S,'acab equip'!$D$3,' CADASTRO'!$R:$R,'acab equip'!J195)</f>
        <v>0</v>
      </c>
      <c r="M195" s="163">
        <f>COUNTIFS(' CADASTRO'!$R$746:$R$893,'acab equip'!J195,' CADASTRO'!$S$746:$S$893,'acab equip'!$L$3)+COUNTIFS(' CADASTRO'!$R$746:$R$893,'acab equip'!J195,' CADASTRO'!$S$746:$S$893,'acab equip'!$K$3)</f>
        <v>0</v>
      </c>
      <c r="N195" s="162">
        <f t="shared" si="32"/>
        <v>47073</v>
      </c>
      <c r="O195" s="163">
        <f>COUNTIFS(' CADASTRO'!$S:$S,'acab equip'!$C$3,' CADASTRO'!$R:$R,'acab equip'!N195)</f>
        <v>0</v>
      </c>
      <c r="P195" s="163">
        <f>COUNTIFS(' CADASTRO'!$S:$S,'acab equip'!$D$3,' CADASTRO'!$R:$R,'acab equip'!N195)</f>
        <v>0</v>
      </c>
      <c r="Q195" s="163">
        <f>COUNTIFS(' CADASTRO'!$R$746:$R$893,'acab equip'!N195,' CADASTRO'!$S$746:$S$893,'acab equip'!$P$3)+COUNTIFS(' CADASTRO'!$R$746:$R$893,'acab equip'!N195,' CADASTRO'!$S$746:$S$893,'acab equip'!$O$3)</f>
        <v>0</v>
      </c>
      <c r="R195" s="162">
        <f t="shared" si="33"/>
        <v>47074</v>
      </c>
      <c r="S195" s="163">
        <f>COUNTIFS(' CADASTRO'!$S:$S,'acab equip'!$C$3,' CADASTRO'!$R:$R,'acab equip'!R195)</f>
        <v>0</v>
      </c>
      <c r="T195" s="163">
        <f>COUNTIFS(' CADASTRO'!$S:$S,'acab equip'!$D$3,' CADASTRO'!$R:$R,'acab equip'!R195)</f>
        <v>0</v>
      </c>
      <c r="U195" s="163">
        <f>COUNTIFS(' CADASTRO'!$R$746:$R$893,'acab equip'!R195,' CADASTRO'!$S$746:$S$893,'acab equip'!$T$3)+COUNTIFS(' CADASTRO'!$R$746:$R$893,'acab equip'!R195,' CADASTRO'!$S$746:$S$893,'acab equip'!$S$3)</f>
        <v>0</v>
      </c>
      <c r="V195" s="162">
        <f t="shared" si="34"/>
        <v>47075</v>
      </c>
      <c r="W195" s="163">
        <f>COUNTIFS(' CADASTRO'!$S:$S,'acab equip'!$C$3,' CADASTRO'!$R:$R,'acab equip'!V195)</f>
        <v>0</v>
      </c>
      <c r="X195" s="163">
        <f>COUNTIFS(' CADASTRO'!$S:$S,'acab equip'!$D$3,' CADASTRO'!$R:$R,'acab equip'!V195)</f>
        <v>0</v>
      </c>
      <c r="Y195" s="163">
        <f>COUNTIFS(' CADASTRO'!$R$746:$R$893,'acab equip'!V195,' CADASTRO'!$S$746:$S$893,'acab equip'!$X$3)+COUNTIFS(' CADASTRO'!$R$746:$R$893,'acab equip'!V195,' CADASTRO'!$S$746:$S$893,'acab equip'!$W$3)</f>
        <v>0</v>
      </c>
      <c r="Z195" s="162">
        <f t="shared" si="35"/>
        <v>47076</v>
      </c>
      <c r="AB195" s="165">
        <f t="shared" si="25"/>
        <v>0</v>
      </c>
      <c r="AC195" s="165">
        <f t="shared" si="26"/>
        <v>0</v>
      </c>
      <c r="AD195" s="165">
        <f t="shared" si="27"/>
        <v>0</v>
      </c>
      <c r="AE195" s="177">
        <f t="shared" si="28"/>
        <v>0</v>
      </c>
    </row>
    <row r="196" spans="2:31" x14ac:dyDescent="0.25">
      <c r="B196" s="162">
        <f t="shared" si="29"/>
        <v>47077</v>
      </c>
      <c r="C196" s="163">
        <f>COUNTIFS(' CADASTRO'!$S:$S,'acab equip'!$C$3,' CADASTRO'!$R:$R,'acab equip'!B196)</f>
        <v>0</v>
      </c>
      <c r="D196" s="163">
        <f>COUNTIFS(' CADASTRO'!$S:$S,'acab equip'!$D$3,' CADASTRO'!$R:$R,'acab equip'!B196)</f>
        <v>0</v>
      </c>
      <c r="E196" s="163">
        <f>COUNTIFS(' CADASTRO'!$R$746:$R$893,'acab equip'!B196,' CADASTRO'!$S$746:$S$893,'acab equip'!$D$3)+COUNTIFS(' CADASTRO'!$R$746:$R$893,'acab equip'!B196,' CADASTRO'!$S$746:$S$893,'acab equip'!$C$3)</f>
        <v>0</v>
      </c>
      <c r="F196" s="162">
        <f t="shared" si="30"/>
        <v>47078</v>
      </c>
      <c r="G196" s="163">
        <f>COUNTIFS(' CADASTRO'!$S:$S,'acab equip'!$C$3,' CADASTRO'!$R:$R,'acab equip'!F196)</f>
        <v>0</v>
      </c>
      <c r="H196" s="163">
        <f>COUNTIFS(' CADASTRO'!$S:$S,'acab equip'!$D$3,' CADASTRO'!$R:$R,'acab equip'!F196)</f>
        <v>0</v>
      </c>
      <c r="I196" s="163">
        <f>COUNTIFS(' CADASTRO'!$R$746:$R$893,'acab equip'!F196,' CADASTRO'!$S$746:$S$893,'acab equip'!$H$3)+COUNTIFS(' CADASTRO'!$R$746:$R$893,'acab equip'!F196,' CADASTRO'!$S$746:$S$893,'acab equip'!$G$3)</f>
        <v>0</v>
      </c>
      <c r="J196" s="162">
        <f t="shared" si="31"/>
        <v>47079</v>
      </c>
      <c r="K196" s="163">
        <f>COUNTIFS(' CADASTRO'!$S:$S,'acab equip'!$C$3,' CADASTRO'!$R:$R,'acab equip'!J196)</f>
        <v>0</v>
      </c>
      <c r="L196" s="163">
        <f>COUNTIFS(' CADASTRO'!$S:$S,'acab equip'!$D$3,' CADASTRO'!$R:$R,'acab equip'!J196)</f>
        <v>0</v>
      </c>
      <c r="M196" s="163">
        <f>COUNTIFS(' CADASTRO'!$R$746:$R$893,'acab equip'!J196,' CADASTRO'!$S$746:$S$893,'acab equip'!$L$3)+COUNTIFS(' CADASTRO'!$R$746:$R$893,'acab equip'!J196,' CADASTRO'!$S$746:$S$893,'acab equip'!$K$3)</f>
        <v>0</v>
      </c>
      <c r="N196" s="162">
        <f t="shared" si="32"/>
        <v>47080</v>
      </c>
      <c r="O196" s="163">
        <f>COUNTIFS(' CADASTRO'!$S:$S,'acab equip'!$C$3,' CADASTRO'!$R:$R,'acab equip'!N196)</f>
        <v>0</v>
      </c>
      <c r="P196" s="163">
        <f>COUNTIFS(' CADASTRO'!$S:$S,'acab equip'!$D$3,' CADASTRO'!$R:$R,'acab equip'!N196)</f>
        <v>0</v>
      </c>
      <c r="Q196" s="163">
        <f>COUNTIFS(' CADASTRO'!$R$746:$R$893,'acab equip'!N196,' CADASTRO'!$S$746:$S$893,'acab equip'!$P$3)+COUNTIFS(' CADASTRO'!$R$746:$R$893,'acab equip'!N196,' CADASTRO'!$S$746:$S$893,'acab equip'!$O$3)</f>
        <v>0</v>
      </c>
      <c r="R196" s="162">
        <f t="shared" si="33"/>
        <v>47081</v>
      </c>
      <c r="S196" s="163">
        <f>COUNTIFS(' CADASTRO'!$S:$S,'acab equip'!$C$3,' CADASTRO'!$R:$R,'acab equip'!R196)</f>
        <v>0</v>
      </c>
      <c r="T196" s="163">
        <f>COUNTIFS(' CADASTRO'!$S:$S,'acab equip'!$D$3,' CADASTRO'!$R:$R,'acab equip'!R196)</f>
        <v>0</v>
      </c>
      <c r="U196" s="163">
        <f>COUNTIFS(' CADASTRO'!$R$746:$R$893,'acab equip'!R196,' CADASTRO'!$S$746:$S$893,'acab equip'!$T$3)+COUNTIFS(' CADASTRO'!$R$746:$R$893,'acab equip'!R196,' CADASTRO'!$S$746:$S$893,'acab equip'!$S$3)</f>
        <v>0</v>
      </c>
      <c r="V196" s="162">
        <f t="shared" si="34"/>
        <v>47082</v>
      </c>
      <c r="W196" s="163">
        <f>COUNTIFS(' CADASTRO'!$S:$S,'acab equip'!$C$3,' CADASTRO'!$R:$R,'acab equip'!V196)</f>
        <v>0</v>
      </c>
      <c r="X196" s="163">
        <f>COUNTIFS(' CADASTRO'!$S:$S,'acab equip'!$D$3,' CADASTRO'!$R:$R,'acab equip'!V196)</f>
        <v>0</v>
      </c>
      <c r="Y196" s="163">
        <f>COUNTIFS(' CADASTRO'!$R$746:$R$893,'acab equip'!V196,' CADASTRO'!$S$746:$S$893,'acab equip'!$X$3)+COUNTIFS(' CADASTRO'!$R$746:$R$893,'acab equip'!V196,' CADASTRO'!$S$746:$S$893,'acab equip'!$W$3)</f>
        <v>0</v>
      </c>
      <c r="Z196" s="162">
        <f t="shared" si="35"/>
        <v>47083</v>
      </c>
      <c r="AB196" s="165">
        <f t="shared" ref="AB196:AB259" si="36">C196+G196+K196+O196+S196+W196</f>
        <v>0</v>
      </c>
      <c r="AC196" s="165">
        <f t="shared" si="26"/>
        <v>0</v>
      </c>
      <c r="AD196" s="165">
        <f t="shared" si="27"/>
        <v>0</v>
      </c>
      <c r="AE196" s="177">
        <f t="shared" si="28"/>
        <v>0</v>
      </c>
    </row>
    <row r="197" spans="2:31" x14ac:dyDescent="0.25">
      <c r="B197" s="162">
        <f t="shared" si="29"/>
        <v>47084</v>
      </c>
      <c r="C197" s="163">
        <f>COUNTIFS(' CADASTRO'!$S:$S,'acab equip'!$C$3,' CADASTRO'!$R:$R,'acab equip'!B197)</f>
        <v>0</v>
      </c>
      <c r="D197" s="163">
        <f>COUNTIFS(' CADASTRO'!$S:$S,'acab equip'!$D$3,' CADASTRO'!$R:$R,'acab equip'!B197)</f>
        <v>0</v>
      </c>
      <c r="E197" s="163">
        <f>COUNTIFS(' CADASTRO'!$R$746:$R$893,'acab equip'!B197,' CADASTRO'!$S$746:$S$893,'acab equip'!$D$3)+COUNTIFS(' CADASTRO'!$R$746:$R$893,'acab equip'!B197,' CADASTRO'!$S$746:$S$893,'acab equip'!$C$3)</f>
        <v>0</v>
      </c>
      <c r="F197" s="162">
        <f t="shared" si="30"/>
        <v>47085</v>
      </c>
      <c r="G197" s="163">
        <f>COUNTIFS(' CADASTRO'!$S:$S,'acab equip'!$C$3,' CADASTRO'!$R:$R,'acab equip'!F197)</f>
        <v>0</v>
      </c>
      <c r="H197" s="163">
        <f>COUNTIFS(' CADASTRO'!$S:$S,'acab equip'!$D$3,' CADASTRO'!$R:$R,'acab equip'!F197)</f>
        <v>0</v>
      </c>
      <c r="I197" s="163">
        <f>COUNTIFS(' CADASTRO'!$R$746:$R$893,'acab equip'!F197,' CADASTRO'!$S$746:$S$893,'acab equip'!$H$3)+COUNTIFS(' CADASTRO'!$R$746:$R$893,'acab equip'!F197,' CADASTRO'!$S$746:$S$893,'acab equip'!$G$3)</f>
        <v>0</v>
      </c>
      <c r="J197" s="162">
        <f t="shared" si="31"/>
        <v>47086</v>
      </c>
      <c r="K197" s="163">
        <f>COUNTIFS(' CADASTRO'!$S:$S,'acab equip'!$C$3,' CADASTRO'!$R:$R,'acab equip'!J197)</f>
        <v>0</v>
      </c>
      <c r="L197" s="163">
        <f>COUNTIFS(' CADASTRO'!$S:$S,'acab equip'!$D$3,' CADASTRO'!$R:$R,'acab equip'!J197)</f>
        <v>0</v>
      </c>
      <c r="M197" s="163">
        <f>COUNTIFS(' CADASTRO'!$R$746:$R$893,'acab equip'!J197,' CADASTRO'!$S$746:$S$893,'acab equip'!$L$3)+COUNTIFS(' CADASTRO'!$R$746:$R$893,'acab equip'!J197,' CADASTRO'!$S$746:$S$893,'acab equip'!$K$3)</f>
        <v>0</v>
      </c>
      <c r="N197" s="162">
        <f t="shared" si="32"/>
        <v>47087</v>
      </c>
      <c r="O197" s="163">
        <f>COUNTIFS(' CADASTRO'!$S:$S,'acab equip'!$C$3,' CADASTRO'!$R:$R,'acab equip'!N197)</f>
        <v>0</v>
      </c>
      <c r="P197" s="163">
        <f>COUNTIFS(' CADASTRO'!$S:$S,'acab equip'!$D$3,' CADASTRO'!$R:$R,'acab equip'!N197)</f>
        <v>0</v>
      </c>
      <c r="Q197" s="163">
        <f>COUNTIFS(' CADASTRO'!$R$746:$R$893,'acab equip'!N197,' CADASTRO'!$S$746:$S$893,'acab equip'!$P$3)+COUNTIFS(' CADASTRO'!$R$746:$R$893,'acab equip'!N197,' CADASTRO'!$S$746:$S$893,'acab equip'!$O$3)</f>
        <v>0</v>
      </c>
      <c r="R197" s="162">
        <f t="shared" si="33"/>
        <v>47088</v>
      </c>
      <c r="S197" s="163">
        <f>COUNTIFS(' CADASTRO'!$S:$S,'acab equip'!$C$3,' CADASTRO'!$R:$R,'acab equip'!R197)</f>
        <v>0</v>
      </c>
      <c r="T197" s="163">
        <f>COUNTIFS(' CADASTRO'!$S:$S,'acab equip'!$D$3,' CADASTRO'!$R:$R,'acab equip'!R197)</f>
        <v>0</v>
      </c>
      <c r="U197" s="163">
        <f>COUNTIFS(' CADASTRO'!$R$746:$R$893,'acab equip'!R197,' CADASTRO'!$S$746:$S$893,'acab equip'!$T$3)+COUNTIFS(' CADASTRO'!$R$746:$R$893,'acab equip'!R197,' CADASTRO'!$S$746:$S$893,'acab equip'!$S$3)</f>
        <v>0</v>
      </c>
      <c r="V197" s="162">
        <f t="shared" si="34"/>
        <v>47089</v>
      </c>
      <c r="W197" s="163">
        <f>COUNTIFS(' CADASTRO'!$S:$S,'acab equip'!$C$3,' CADASTRO'!$R:$R,'acab equip'!V197)</f>
        <v>0</v>
      </c>
      <c r="X197" s="163">
        <f>COUNTIFS(' CADASTRO'!$S:$S,'acab equip'!$D$3,' CADASTRO'!$R:$R,'acab equip'!V197)</f>
        <v>0</v>
      </c>
      <c r="Y197" s="163">
        <f>COUNTIFS(' CADASTRO'!$R$746:$R$893,'acab equip'!V197,' CADASTRO'!$S$746:$S$893,'acab equip'!$X$3)+COUNTIFS(' CADASTRO'!$R$746:$R$893,'acab equip'!V197,' CADASTRO'!$S$746:$S$893,'acab equip'!$W$3)</f>
        <v>0</v>
      </c>
      <c r="Z197" s="162">
        <f t="shared" si="35"/>
        <v>47090</v>
      </c>
      <c r="AB197" s="165">
        <f t="shared" si="36"/>
        <v>0</v>
      </c>
      <c r="AC197" s="165">
        <f t="shared" ref="AC197:AC260" si="37">D197+H197+L197+P197+T197+X197-AD197</f>
        <v>0</v>
      </c>
      <c r="AD197" s="165">
        <f t="shared" ref="AD197:AD260" si="38">M197+Q197+U197+Y197+I197+E197</f>
        <v>0</v>
      </c>
      <c r="AE197" s="177">
        <f t="shared" ref="AE197:AE260" si="39">AB197+AC197+AD197</f>
        <v>0</v>
      </c>
    </row>
    <row r="198" spans="2:31" x14ac:dyDescent="0.25">
      <c r="B198" s="162">
        <f t="shared" ref="B198:B261" si="40">Z197+1</f>
        <v>47091</v>
      </c>
      <c r="C198" s="163">
        <f>COUNTIFS(' CADASTRO'!$S:$S,'acab equip'!$C$3,' CADASTRO'!$R:$R,'acab equip'!B198)</f>
        <v>0</v>
      </c>
      <c r="D198" s="163">
        <f>COUNTIFS(' CADASTRO'!$S:$S,'acab equip'!$D$3,' CADASTRO'!$R:$R,'acab equip'!B198)</f>
        <v>0</v>
      </c>
      <c r="E198" s="163">
        <f>COUNTIFS(' CADASTRO'!$R$746:$R$893,'acab equip'!B198,' CADASTRO'!$S$746:$S$893,'acab equip'!$D$3)+COUNTIFS(' CADASTRO'!$R$746:$R$893,'acab equip'!B198,' CADASTRO'!$S$746:$S$893,'acab equip'!$C$3)</f>
        <v>0</v>
      </c>
      <c r="F198" s="162">
        <f t="shared" ref="F198:F261" si="41">B198+1</f>
        <v>47092</v>
      </c>
      <c r="G198" s="163">
        <f>COUNTIFS(' CADASTRO'!$S:$S,'acab equip'!$C$3,' CADASTRO'!$R:$R,'acab equip'!F198)</f>
        <v>0</v>
      </c>
      <c r="H198" s="163">
        <f>COUNTIFS(' CADASTRO'!$S:$S,'acab equip'!$D$3,' CADASTRO'!$R:$R,'acab equip'!F198)</f>
        <v>0</v>
      </c>
      <c r="I198" s="163">
        <f>COUNTIFS(' CADASTRO'!$R$746:$R$893,'acab equip'!F198,' CADASTRO'!$S$746:$S$893,'acab equip'!$H$3)+COUNTIFS(' CADASTRO'!$R$746:$R$893,'acab equip'!F198,' CADASTRO'!$S$746:$S$893,'acab equip'!$G$3)</f>
        <v>0</v>
      </c>
      <c r="J198" s="162">
        <f t="shared" ref="J198:J261" si="42">F198+1</f>
        <v>47093</v>
      </c>
      <c r="K198" s="163">
        <f>COUNTIFS(' CADASTRO'!$S:$S,'acab equip'!$C$3,' CADASTRO'!$R:$R,'acab equip'!J198)</f>
        <v>0</v>
      </c>
      <c r="L198" s="163">
        <f>COUNTIFS(' CADASTRO'!$S:$S,'acab equip'!$D$3,' CADASTRO'!$R:$R,'acab equip'!J198)</f>
        <v>0</v>
      </c>
      <c r="M198" s="163">
        <f>COUNTIFS(' CADASTRO'!$R$746:$R$893,'acab equip'!J198,' CADASTRO'!$S$746:$S$893,'acab equip'!$L$3)+COUNTIFS(' CADASTRO'!$R$746:$R$893,'acab equip'!J198,' CADASTRO'!$S$746:$S$893,'acab equip'!$K$3)</f>
        <v>0</v>
      </c>
      <c r="N198" s="162">
        <f t="shared" ref="N198:N261" si="43">J198+1</f>
        <v>47094</v>
      </c>
      <c r="O198" s="163">
        <f>COUNTIFS(' CADASTRO'!$S:$S,'acab equip'!$C$3,' CADASTRO'!$R:$R,'acab equip'!N198)</f>
        <v>0</v>
      </c>
      <c r="P198" s="163">
        <f>COUNTIFS(' CADASTRO'!$S:$S,'acab equip'!$D$3,' CADASTRO'!$R:$R,'acab equip'!N198)</f>
        <v>0</v>
      </c>
      <c r="Q198" s="163">
        <f>COUNTIFS(' CADASTRO'!$R$746:$R$893,'acab equip'!N198,' CADASTRO'!$S$746:$S$893,'acab equip'!$P$3)+COUNTIFS(' CADASTRO'!$R$746:$R$893,'acab equip'!N198,' CADASTRO'!$S$746:$S$893,'acab equip'!$O$3)</f>
        <v>0</v>
      </c>
      <c r="R198" s="162">
        <f t="shared" ref="R198:R261" si="44">N198+1</f>
        <v>47095</v>
      </c>
      <c r="S198" s="163">
        <f>COUNTIFS(' CADASTRO'!$S:$S,'acab equip'!$C$3,' CADASTRO'!$R:$R,'acab equip'!R198)</f>
        <v>0</v>
      </c>
      <c r="T198" s="163">
        <f>COUNTIFS(' CADASTRO'!$S:$S,'acab equip'!$D$3,' CADASTRO'!$R:$R,'acab equip'!R198)</f>
        <v>0</v>
      </c>
      <c r="U198" s="163">
        <f>COUNTIFS(' CADASTRO'!$R$746:$R$893,'acab equip'!R198,' CADASTRO'!$S$746:$S$893,'acab equip'!$T$3)+COUNTIFS(' CADASTRO'!$R$746:$R$893,'acab equip'!R198,' CADASTRO'!$S$746:$S$893,'acab equip'!$S$3)</f>
        <v>0</v>
      </c>
      <c r="V198" s="162">
        <f t="shared" ref="V198:V261" si="45">R198+1</f>
        <v>47096</v>
      </c>
      <c r="W198" s="163">
        <f>COUNTIFS(' CADASTRO'!$S:$S,'acab equip'!$C$3,' CADASTRO'!$R:$R,'acab equip'!V198)</f>
        <v>0</v>
      </c>
      <c r="X198" s="163">
        <f>COUNTIFS(' CADASTRO'!$S:$S,'acab equip'!$D$3,' CADASTRO'!$R:$R,'acab equip'!V198)</f>
        <v>0</v>
      </c>
      <c r="Y198" s="163">
        <f>COUNTIFS(' CADASTRO'!$R$746:$R$893,'acab equip'!V198,' CADASTRO'!$S$746:$S$893,'acab equip'!$X$3)+COUNTIFS(' CADASTRO'!$R$746:$R$893,'acab equip'!V198,' CADASTRO'!$S$746:$S$893,'acab equip'!$W$3)</f>
        <v>0</v>
      </c>
      <c r="Z198" s="162">
        <f t="shared" ref="Z198:Z261" si="46">V198+1</f>
        <v>47097</v>
      </c>
      <c r="AB198" s="165">
        <f t="shared" si="36"/>
        <v>0</v>
      </c>
      <c r="AC198" s="165">
        <f t="shared" si="37"/>
        <v>0</v>
      </c>
      <c r="AD198" s="165">
        <f t="shared" si="38"/>
        <v>0</v>
      </c>
      <c r="AE198" s="177">
        <f t="shared" si="39"/>
        <v>0</v>
      </c>
    </row>
    <row r="199" spans="2:31" x14ac:dyDescent="0.25">
      <c r="B199" s="162">
        <f t="shared" si="40"/>
        <v>47098</v>
      </c>
      <c r="C199" s="163">
        <f>COUNTIFS(' CADASTRO'!$S:$S,'acab equip'!$C$3,' CADASTRO'!$R:$R,'acab equip'!B199)</f>
        <v>0</v>
      </c>
      <c r="D199" s="163">
        <f>COUNTIFS(' CADASTRO'!$S:$S,'acab equip'!$D$3,' CADASTRO'!$R:$R,'acab equip'!B199)</f>
        <v>0</v>
      </c>
      <c r="E199" s="163">
        <f>COUNTIFS(' CADASTRO'!$R$746:$R$893,'acab equip'!B199,' CADASTRO'!$S$746:$S$893,'acab equip'!$D$3)+COUNTIFS(' CADASTRO'!$R$746:$R$893,'acab equip'!B199,' CADASTRO'!$S$746:$S$893,'acab equip'!$C$3)</f>
        <v>0</v>
      </c>
      <c r="F199" s="162">
        <f t="shared" si="41"/>
        <v>47099</v>
      </c>
      <c r="G199" s="163">
        <f>COUNTIFS(' CADASTRO'!$S:$S,'acab equip'!$C$3,' CADASTRO'!$R:$R,'acab equip'!F199)</f>
        <v>0</v>
      </c>
      <c r="H199" s="163">
        <f>COUNTIFS(' CADASTRO'!$S:$S,'acab equip'!$D$3,' CADASTRO'!$R:$R,'acab equip'!F199)</f>
        <v>0</v>
      </c>
      <c r="I199" s="163">
        <f>COUNTIFS(' CADASTRO'!$R$746:$R$893,'acab equip'!F199,' CADASTRO'!$S$746:$S$893,'acab equip'!$H$3)+COUNTIFS(' CADASTRO'!$R$746:$R$893,'acab equip'!F199,' CADASTRO'!$S$746:$S$893,'acab equip'!$G$3)</f>
        <v>0</v>
      </c>
      <c r="J199" s="162">
        <f t="shared" si="42"/>
        <v>47100</v>
      </c>
      <c r="K199" s="163">
        <f>COUNTIFS(' CADASTRO'!$S:$S,'acab equip'!$C$3,' CADASTRO'!$R:$R,'acab equip'!J199)</f>
        <v>0</v>
      </c>
      <c r="L199" s="163">
        <f>COUNTIFS(' CADASTRO'!$S:$S,'acab equip'!$D$3,' CADASTRO'!$R:$R,'acab equip'!J199)</f>
        <v>0</v>
      </c>
      <c r="M199" s="163">
        <f>COUNTIFS(' CADASTRO'!$R$746:$R$893,'acab equip'!J199,' CADASTRO'!$S$746:$S$893,'acab equip'!$L$3)+COUNTIFS(' CADASTRO'!$R$746:$R$893,'acab equip'!J199,' CADASTRO'!$S$746:$S$893,'acab equip'!$K$3)</f>
        <v>0</v>
      </c>
      <c r="N199" s="162">
        <f t="shared" si="43"/>
        <v>47101</v>
      </c>
      <c r="O199" s="163">
        <f>COUNTIFS(' CADASTRO'!$S:$S,'acab equip'!$C$3,' CADASTRO'!$R:$R,'acab equip'!N199)</f>
        <v>0</v>
      </c>
      <c r="P199" s="163">
        <f>COUNTIFS(' CADASTRO'!$S:$S,'acab equip'!$D$3,' CADASTRO'!$R:$R,'acab equip'!N199)</f>
        <v>0</v>
      </c>
      <c r="Q199" s="163">
        <f>COUNTIFS(' CADASTRO'!$R$746:$R$893,'acab equip'!N199,' CADASTRO'!$S$746:$S$893,'acab equip'!$P$3)+COUNTIFS(' CADASTRO'!$R$746:$R$893,'acab equip'!N199,' CADASTRO'!$S$746:$S$893,'acab equip'!$O$3)</f>
        <v>0</v>
      </c>
      <c r="R199" s="162">
        <f t="shared" si="44"/>
        <v>47102</v>
      </c>
      <c r="S199" s="163">
        <f>COUNTIFS(' CADASTRO'!$S:$S,'acab equip'!$C$3,' CADASTRO'!$R:$R,'acab equip'!R199)</f>
        <v>0</v>
      </c>
      <c r="T199" s="163">
        <f>COUNTIFS(' CADASTRO'!$S:$S,'acab equip'!$D$3,' CADASTRO'!$R:$R,'acab equip'!R199)</f>
        <v>0</v>
      </c>
      <c r="U199" s="163">
        <f>COUNTIFS(' CADASTRO'!$R$746:$R$893,'acab equip'!R199,' CADASTRO'!$S$746:$S$893,'acab equip'!$T$3)+COUNTIFS(' CADASTRO'!$R$746:$R$893,'acab equip'!R199,' CADASTRO'!$S$746:$S$893,'acab equip'!$S$3)</f>
        <v>0</v>
      </c>
      <c r="V199" s="162">
        <f t="shared" si="45"/>
        <v>47103</v>
      </c>
      <c r="W199" s="163">
        <f>COUNTIFS(' CADASTRO'!$S:$S,'acab equip'!$C$3,' CADASTRO'!$R:$R,'acab equip'!V199)</f>
        <v>0</v>
      </c>
      <c r="X199" s="163">
        <f>COUNTIFS(' CADASTRO'!$S:$S,'acab equip'!$D$3,' CADASTRO'!$R:$R,'acab equip'!V199)</f>
        <v>0</v>
      </c>
      <c r="Y199" s="163">
        <f>COUNTIFS(' CADASTRO'!$R$746:$R$893,'acab equip'!V199,' CADASTRO'!$S$746:$S$893,'acab equip'!$X$3)+COUNTIFS(' CADASTRO'!$R$746:$R$893,'acab equip'!V199,' CADASTRO'!$S$746:$S$893,'acab equip'!$W$3)</f>
        <v>0</v>
      </c>
      <c r="Z199" s="162">
        <f t="shared" si="46"/>
        <v>47104</v>
      </c>
      <c r="AB199" s="165">
        <f t="shared" si="36"/>
        <v>0</v>
      </c>
      <c r="AC199" s="165">
        <f t="shared" si="37"/>
        <v>0</v>
      </c>
      <c r="AD199" s="165">
        <f t="shared" si="38"/>
        <v>0</v>
      </c>
      <c r="AE199" s="177">
        <f t="shared" si="39"/>
        <v>0</v>
      </c>
    </row>
    <row r="200" spans="2:31" x14ac:dyDescent="0.25">
      <c r="B200" s="162">
        <f t="shared" si="40"/>
        <v>47105</v>
      </c>
      <c r="C200" s="163">
        <f>COUNTIFS(' CADASTRO'!$S:$S,'acab equip'!$C$3,' CADASTRO'!$R:$R,'acab equip'!B200)</f>
        <v>0</v>
      </c>
      <c r="D200" s="163">
        <f>COUNTIFS(' CADASTRO'!$S:$S,'acab equip'!$D$3,' CADASTRO'!$R:$R,'acab equip'!B200)</f>
        <v>0</v>
      </c>
      <c r="E200" s="163">
        <f>COUNTIFS(' CADASTRO'!$R$746:$R$893,'acab equip'!B200,' CADASTRO'!$S$746:$S$893,'acab equip'!$D$3)+COUNTIFS(' CADASTRO'!$R$746:$R$893,'acab equip'!B200,' CADASTRO'!$S$746:$S$893,'acab equip'!$C$3)</f>
        <v>0</v>
      </c>
      <c r="F200" s="162">
        <f t="shared" si="41"/>
        <v>47106</v>
      </c>
      <c r="G200" s="163">
        <f>COUNTIFS(' CADASTRO'!$S:$S,'acab equip'!$C$3,' CADASTRO'!$R:$R,'acab equip'!F200)</f>
        <v>0</v>
      </c>
      <c r="H200" s="163">
        <f>COUNTIFS(' CADASTRO'!$S:$S,'acab equip'!$D$3,' CADASTRO'!$R:$R,'acab equip'!F200)</f>
        <v>0</v>
      </c>
      <c r="I200" s="163">
        <f>COUNTIFS(' CADASTRO'!$R$746:$R$893,'acab equip'!F200,' CADASTRO'!$S$746:$S$893,'acab equip'!$H$3)+COUNTIFS(' CADASTRO'!$R$746:$R$893,'acab equip'!F200,' CADASTRO'!$S$746:$S$893,'acab equip'!$G$3)</f>
        <v>0</v>
      </c>
      <c r="J200" s="162">
        <f t="shared" si="42"/>
        <v>47107</v>
      </c>
      <c r="K200" s="163">
        <f>COUNTIFS(' CADASTRO'!$S:$S,'acab equip'!$C$3,' CADASTRO'!$R:$R,'acab equip'!J200)</f>
        <v>0</v>
      </c>
      <c r="L200" s="163">
        <f>COUNTIFS(' CADASTRO'!$S:$S,'acab equip'!$D$3,' CADASTRO'!$R:$R,'acab equip'!J200)</f>
        <v>0</v>
      </c>
      <c r="M200" s="163">
        <f>COUNTIFS(' CADASTRO'!$R$746:$R$893,'acab equip'!J200,' CADASTRO'!$S$746:$S$893,'acab equip'!$L$3)+COUNTIFS(' CADASTRO'!$R$746:$R$893,'acab equip'!J200,' CADASTRO'!$S$746:$S$893,'acab equip'!$K$3)</f>
        <v>0</v>
      </c>
      <c r="N200" s="162">
        <f t="shared" si="43"/>
        <v>47108</v>
      </c>
      <c r="O200" s="163">
        <f>COUNTIFS(' CADASTRO'!$S:$S,'acab equip'!$C$3,' CADASTRO'!$R:$R,'acab equip'!N200)</f>
        <v>0</v>
      </c>
      <c r="P200" s="163">
        <f>COUNTIFS(' CADASTRO'!$S:$S,'acab equip'!$D$3,' CADASTRO'!$R:$R,'acab equip'!N200)</f>
        <v>0</v>
      </c>
      <c r="Q200" s="163">
        <f>COUNTIFS(' CADASTRO'!$R$746:$R$893,'acab equip'!N200,' CADASTRO'!$S$746:$S$893,'acab equip'!$P$3)+COUNTIFS(' CADASTRO'!$R$746:$R$893,'acab equip'!N200,' CADASTRO'!$S$746:$S$893,'acab equip'!$O$3)</f>
        <v>0</v>
      </c>
      <c r="R200" s="162">
        <f t="shared" si="44"/>
        <v>47109</v>
      </c>
      <c r="S200" s="163">
        <f>COUNTIFS(' CADASTRO'!$S:$S,'acab equip'!$C$3,' CADASTRO'!$R:$R,'acab equip'!R200)</f>
        <v>0</v>
      </c>
      <c r="T200" s="163">
        <f>COUNTIFS(' CADASTRO'!$S:$S,'acab equip'!$D$3,' CADASTRO'!$R:$R,'acab equip'!R200)</f>
        <v>0</v>
      </c>
      <c r="U200" s="163">
        <f>COUNTIFS(' CADASTRO'!$R$746:$R$893,'acab equip'!R200,' CADASTRO'!$S$746:$S$893,'acab equip'!$T$3)+COUNTIFS(' CADASTRO'!$R$746:$R$893,'acab equip'!R200,' CADASTRO'!$S$746:$S$893,'acab equip'!$S$3)</f>
        <v>0</v>
      </c>
      <c r="V200" s="162">
        <f t="shared" si="45"/>
        <v>47110</v>
      </c>
      <c r="W200" s="163">
        <f>COUNTIFS(' CADASTRO'!$S:$S,'acab equip'!$C$3,' CADASTRO'!$R:$R,'acab equip'!V200)</f>
        <v>0</v>
      </c>
      <c r="X200" s="163">
        <f>COUNTIFS(' CADASTRO'!$S:$S,'acab equip'!$D$3,' CADASTRO'!$R:$R,'acab equip'!V200)</f>
        <v>0</v>
      </c>
      <c r="Y200" s="163">
        <f>COUNTIFS(' CADASTRO'!$R$746:$R$893,'acab equip'!V200,' CADASTRO'!$S$746:$S$893,'acab equip'!$X$3)+COUNTIFS(' CADASTRO'!$R$746:$R$893,'acab equip'!V200,' CADASTRO'!$S$746:$S$893,'acab equip'!$W$3)</f>
        <v>0</v>
      </c>
      <c r="Z200" s="162">
        <f t="shared" si="46"/>
        <v>47111</v>
      </c>
      <c r="AB200" s="165">
        <f t="shared" si="36"/>
        <v>0</v>
      </c>
      <c r="AC200" s="165">
        <f t="shared" si="37"/>
        <v>0</v>
      </c>
      <c r="AD200" s="165">
        <f t="shared" si="38"/>
        <v>0</v>
      </c>
      <c r="AE200" s="177">
        <f t="shared" si="39"/>
        <v>0</v>
      </c>
    </row>
    <row r="201" spans="2:31" x14ac:dyDescent="0.25">
      <c r="B201" s="162">
        <f t="shared" si="40"/>
        <v>47112</v>
      </c>
      <c r="C201" s="163">
        <f>COUNTIFS(' CADASTRO'!$S:$S,'acab equip'!$C$3,' CADASTRO'!$R:$R,'acab equip'!B201)</f>
        <v>0</v>
      </c>
      <c r="D201" s="163">
        <f>COUNTIFS(' CADASTRO'!$S:$S,'acab equip'!$D$3,' CADASTRO'!$R:$R,'acab equip'!B201)</f>
        <v>0</v>
      </c>
      <c r="E201" s="163">
        <f>COUNTIFS(' CADASTRO'!$R$746:$R$893,'acab equip'!B201,' CADASTRO'!$S$746:$S$893,'acab equip'!$D$3)+COUNTIFS(' CADASTRO'!$R$746:$R$893,'acab equip'!B201,' CADASTRO'!$S$746:$S$893,'acab equip'!$C$3)</f>
        <v>0</v>
      </c>
      <c r="F201" s="162">
        <f t="shared" si="41"/>
        <v>47113</v>
      </c>
      <c r="G201" s="163">
        <f>COUNTIFS(' CADASTRO'!$S:$S,'acab equip'!$C$3,' CADASTRO'!$R:$R,'acab equip'!F201)</f>
        <v>0</v>
      </c>
      <c r="H201" s="163">
        <f>COUNTIFS(' CADASTRO'!$S:$S,'acab equip'!$D$3,' CADASTRO'!$R:$R,'acab equip'!F201)</f>
        <v>0</v>
      </c>
      <c r="I201" s="163">
        <f>COUNTIFS(' CADASTRO'!$R$746:$R$893,'acab equip'!F201,' CADASTRO'!$S$746:$S$893,'acab equip'!$H$3)+COUNTIFS(' CADASTRO'!$R$746:$R$893,'acab equip'!F201,' CADASTRO'!$S$746:$S$893,'acab equip'!$G$3)</f>
        <v>0</v>
      </c>
      <c r="J201" s="162">
        <f t="shared" si="42"/>
        <v>47114</v>
      </c>
      <c r="K201" s="163">
        <f>COUNTIFS(' CADASTRO'!$S:$S,'acab equip'!$C$3,' CADASTRO'!$R:$R,'acab equip'!J201)</f>
        <v>0</v>
      </c>
      <c r="L201" s="163">
        <f>COUNTIFS(' CADASTRO'!$S:$S,'acab equip'!$D$3,' CADASTRO'!$R:$R,'acab equip'!J201)</f>
        <v>0</v>
      </c>
      <c r="M201" s="163">
        <f>COUNTIFS(' CADASTRO'!$R$746:$R$893,'acab equip'!J201,' CADASTRO'!$S$746:$S$893,'acab equip'!$L$3)+COUNTIFS(' CADASTRO'!$R$746:$R$893,'acab equip'!J201,' CADASTRO'!$S$746:$S$893,'acab equip'!$K$3)</f>
        <v>0</v>
      </c>
      <c r="N201" s="162">
        <f t="shared" si="43"/>
        <v>47115</v>
      </c>
      <c r="O201" s="163">
        <f>COUNTIFS(' CADASTRO'!$S:$S,'acab equip'!$C$3,' CADASTRO'!$R:$R,'acab equip'!N201)</f>
        <v>0</v>
      </c>
      <c r="P201" s="163">
        <f>COUNTIFS(' CADASTRO'!$S:$S,'acab equip'!$D$3,' CADASTRO'!$R:$R,'acab equip'!N201)</f>
        <v>0</v>
      </c>
      <c r="Q201" s="163">
        <f>COUNTIFS(' CADASTRO'!$R$746:$R$893,'acab equip'!N201,' CADASTRO'!$S$746:$S$893,'acab equip'!$P$3)+COUNTIFS(' CADASTRO'!$R$746:$R$893,'acab equip'!N201,' CADASTRO'!$S$746:$S$893,'acab equip'!$O$3)</f>
        <v>0</v>
      </c>
      <c r="R201" s="162">
        <f t="shared" si="44"/>
        <v>47116</v>
      </c>
      <c r="S201" s="163">
        <f>COUNTIFS(' CADASTRO'!$S:$S,'acab equip'!$C$3,' CADASTRO'!$R:$R,'acab equip'!R201)</f>
        <v>0</v>
      </c>
      <c r="T201" s="163">
        <f>COUNTIFS(' CADASTRO'!$S:$S,'acab equip'!$D$3,' CADASTRO'!$R:$R,'acab equip'!R201)</f>
        <v>0</v>
      </c>
      <c r="U201" s="163">
        <f>COUNTIFS(' CADASTRO'!$R$746:$R$893,'acab equip'!R201,' CADASTRO'!$S$746:$S$893,'acab equip'!$T$3)+COUNTIFS(' CADASTRO'!$R$746:$R$893,'acab equip'!R201,' CADASTRO'!$S$746:$S$893,'acab equip'!$S$3)</f>
        <v>0</v>
      </c>
      <c r="V201" s="162">
        <f t="shared" si="45"/>
        <v>47117</v>
      </c>
      <c r="W201" s="163">
        <f>COUNTIFS(' CADASTRO'!$S:$S,'acab equip'!$C$3,' CADASTRO'!$R:$R,'acab equip'!V201)</f>
        <v>0</v>
      </c>
      <c r="X201" s="163">
        <f>COUNTIFS(' CADASTRO'!$S:$S,'acab equip'!$D$3,' CADASTRO'!$R:$R,'acab equip'!V201)</f>
        <v>0</v>
      </c>
      <c r="Y201" s="163">
        <f>COUNTIFS(' CADASTRO'!$R$746:$R$893,'acab equip'!V201,' CADASTRO'!$S$746:$S$893,'acab equip'!$X$3)+COUNTIFS(' CADASTRO'!$R$746:$R$893,'acab equip'!V201,' CADASTRO'!$S$746:$S$893,'acab equip'!$W$3)</f>
        <v>0</v>
      </c>
      <c r="Z201" s="162">
        <f t="shared" si="46"/>
        <v>47118</v>
      </c>
      <c r="AB201" s="165">
        <f t="shared" si="36"/>
        <v>0</v>
      </c>
      <c r="AC201" s="165">
        <f t="shared" si="37"/>
        <v>0</v>
      </c>
      <c r="AD201" s="165">
        <f t="shared" si="38"/>
        <v>0</v>
      </c>
      <c r="AE201" s="177">
        <f t="shared" si="39"/>
        <v>0</v>
      </c>
    </row>
    <row r="202" spans="2:31" x14ac:dyDescent="0.25">
      <c r="B202" s="162">
        <f t="shared" si="40"/>
        <v>47119</v>
      </c>
      <c r="C202" s="163">
        <f>COUNTIFS(' CADASTRO'!$S:$S,'acab equip'!$C$3,' CADASTRO'!$R:$R,'acab equip'!B202)</f>
        <v>0</v>
      </c>
      <c r="D202" s="163">
        <f>COUNTIFS(' CADASTRO'!$S:$S,'acab equip'!$D$3,' CADASTRO'!$R:$R,'acab equip'!B202)</f>
        <v>0</v>
      </c>
      <c r="E202" s="163">
        <f>COUNTIFS(' CADASTRO'!$R$746:$R$893,'acab equip'!B202,' CADASTRO'!$S$746:$S$893,'acab equip'!$D$3)+COUNTIFS(' CADASTRO'!$R$746:$R$893,'acab equip'!B202,' CADASTRO'!$S$746:$S$893,'acab equip'!$C$3)</f>
        <v>0</v>
      </c>
      <c r="F202" s="162">
        <f t="shared" si="41"/>
        <v>47120</v>
      </c>
      <c r="G202" s="163">
        <f>COUNTIFS(' CADASTRO'!$S:$S,'acab equip'!$C$3,' CADASTRO'!$R:$R,'acab equip'!F202)</f>
        <v>0</v>
      </c>
      <c r="H202" s="163">
        <f>COUNTIFS(' CADASTRO'!$S:$S,'acab equip'!$D$3,' CADASTRO'!$R:$R,'acab equip'!F202)</f>
        <v>0</v>
      </c>
      <c r="I202" s="163">
        <f>COUNTIFS(' CADASTRO'!$R$746:$R$893,'acab equip'!F202,' CADASTRO'!$S$746:$S$893,'acab equip'!$H$3)+COUNTIFS(' CADASTRO'!$R$746:$R$893,'acab equip'!F202,' CADASTRO'!$S$746:$S$893,'acab equip'!$G$3)</f>
        <v>0</v>
      </c>
      <c r="J202" s="162">
        <f t="shared" si="42"/>
        <v>47121</v>
      </c>
      <c r="K202" s="163">
        <f>COUNTIFS(' CADASTRO'!$S:$S,'acab equip'!$C$3,' CADASTRO'!$R:$R,'acab equip'!J202)</f>
        <v>0</v>
      </c>
      <c r="L202" s="163">
        <f>COUNTIFS(' CADASTRO'!$S:$S,'acab equip'!$D$3,' CADASTRO'!$R:$R,'acab equip'!J202)</f>
        <v>0</v>
      </c>
      <c r="M202" s="163">
        <f>COUNTIFS(' CADASTRO'!$R$746:$R$893,'acab equip'!J202,' CADASTRO'!$S$746:$S$893,'acab equip'!$L$3)+COUNTIFS(' CADASTRO'!$R$746:$R$893,'acab equip'!J202,' CADASTRO'!$S$746:$S$893,'acab equip'!$K$3)</f>
        <v>0</v>
      </c>
      <c r="N202" s="162">
        <f t="shared" si="43"/>
        <v>47122</v>
      </c>
      <c r="O202" s="163">
        <f>COUNTIFS(' CADASTRO'!$S:$S,'acab equip'!$C$3,' CADASTRO'!$R:$R,'acab equip'!N202)</f>
        <v>0</v>
      </c>
      <c r="P202" s="163">
        <f>COUNTIFS(' CADASTRO'!$S:$S,'acab equip'!$D$3,' CADASTRO'!$R:$R,'acab equip'!N202)</f>
        <v>0</v>
      </c>
      <c r="Q202" s="163">
        <f>COUNTIFS(' CADASTRO'!$R$746:$R$893,'acab equip'!N202,' CADASTRO'!$S$746:$S$893,'acab equip'!$P$3)+COUNTIFS(' CADASTRO'!$R$746:$R$893,'acab equip'!N202,' CADASTRO'!$S$746:$S$893,'acab equip'!$O$3)</f>
        <v>0</v>
      </c>
      <c r="R202" s="162">
        <f t="shared" si="44"/>
        <v>47123</v>
      </c>
      <c r="S202" s="163">
        <f>COUNTIFS(' CADASTRO'!$S:$S,'acab equip'!$C$3,' CADASTRO'!$R:$R,'acab equip'!R202)</f>
        <v>0</v>
      </c>
      <c r="T202" s="163">
        <f>COUNTIFS(' CADASTRO'!$S:$S,'acab equip'!$D$3,' CADASTRO'!$R:$R,'acab equip'!R202)</f>
        <v>0</v>
      </c>
      <c r="U202" s="163">
        <f>COUNTIFS(' CADASTRO'!$R$746:$R$893,'acab equip'!R202,' CADASTRO'!$S$746:$S$893,'acab equip'!$T$3)+COUNTIFS(' CADASTRO'!$R$746:$R$893,'acab equip'!R202,' CADASTRO'!$S$746:$S$893,'acab equip'!$S$3)</f>
        <v>0</v>
      </c>
      <c r="V202" s="162">
        <f t="shared" si="45"/>
        <v>47124</v>
      </c>
      <c r="W202" s="163">
        <f>COUNTIFS(' CADASTRO'!$S:$S,'acab equip'!$C$3,' CADASTRO'!$R:$R,'acab equip'!V202)</f>
        <v>0</v>
      </c>
      <c r="X202" s="163">
        <f>COUNTIFS(' CADASTRO'!$S:$S,'acab equip'!$D$3,' CADASTRO'!$R:$R,'acab equip'!V202)</f>
        <v>0</v>
      </c>
      <c r="Y202" s="163">
        <f>COUNTIFS(' CADASTRO'!$R$746:$R$893,'acab equip'!V202,' CADASTRO'!$S$746:$S$893,'acab equip'!$X$3)+COUNTIFS(' CADASTRO'!$R$746:$R$893,'acab equip'!V202,' CADASTRO'!$S$746:$S$893,'acab equip'!$W$3)</f>
        <v>0</v>
      </c>
      <c r="Z202" s="162">
        <f t="shared" si="46"/>
        <v>47125</v>
      </c>
      <c r="AB202" s="165">
        <f t="shared" si="36"/>
        <v>0</v>
      </c>
      <c r="AC202" s="165">
        <f t="shared" si="37"/>
        <v>0</v>
      </c>
      <c r="AD202" s="165">
        <f t="shared" si="38"/>
        <v>0</v>
      </c>
      <c r="AE202" s="177">
        <f t="shared" si="39"/>
        <v>0</v>
      </c>
    </row>
    <row r="203" spans="2:31" x14ac:dyDescent="0.25">
      <c r="B203" s="162">
        <f t="shared" si="40"/>
        <v>47126</v>
      </c>
      <c r="C203" s="163">
        <f>COUNTIFS(' CADASTRO'!$S:$S,'acab equip'!$C$3,' CADASTRO'!$R:$R,'acab equip'!B203)</f>
        <v>0</v>
      </c>
      <c r="D203" s="163">
        <f>COUNTIFS(' CADASTRO'!$S:$S,'acab equip'!$D$3,' CADASTRO'!$R:$R,'acab equip'!B203)</f>
        <v>0</v>
      </c>
      <c r="E203" s="163">
        <f>COUNTIFS(' CADASTRO'!$R$746:$R$893,'acab equip'!B203,' CADASTRO'!$S$746:$S$893,'acab equip'!$D$3)+COUNTIFS(' CADASTRO'!$R$746:$R$893,'acab equip'!B203,' CADASTRO'!$S$746:$S$893,'acab equip'!$C$3)</f>
        <v>0</v>
      </c>
      <c r="F203" s="162">
        <f t="shared" si="41"/>
        <v>47127</v>
      </c>
      <c r="G203" s="163">
        <f>COUNTIFS(' CADASTRO'!$S:$S,'acab equip'!$C$3,' CADASTRO'!$R:$R,'acab equip'!F203)</f>
        <v>0</v>
      </c>
      <c r="H203" s="163">
        <f>COUNTIFS(' CADASTRO'!$S:$S,'acab equip'!$D$3,' CADASTRO'!$R:$R,'acab equip'!F203)</f>
        <v>0</v>
      </c>
      <c r="I203" s="163">
        <f>COUNTIFS(' CADASTRO'!$R$746:$R$893,'acab equip'!F203,' CADASTRO'!$S$746:$S$893,'acab equip'!$H$3)+COUNTIFS(' CADASTRO'!$R$746:$R$893,'acab equip'!F203,' CADASTRO'!$S$746:$S$893,'acab equip'!$G$3)</f>
        <v>0</v>
      </c>
      <c r="J203" s="162">
        <f t="shared" si="42"/>
        <v>47128</v>
      </c>
      <c r="K203" s="163">
        <f>COUNTIFS(' CADASTRO'!$S:$S,'acab equip'!$C$3,' CADASTRO'!$R:$R,'acab equip'!J203)</f>
        <v>0</v>
      </c>
      <c r="L203" s="163">
        <f>COUNTIFS(' CADASTRO'!$S:$S,'acab equip'!$D$3,' CADASTRO'!$R:$R,'acab equip'!J203)</f>
        <v>0</v>
      </c>
      <c r="M203" s="163">
        <f>COUNTIFS(' CADASTRO'!$R$746:$R$893,'acab equip'!J203,' CADASTRO'!$S$746:$S$893,'acab equip'!$L$3)+COUNTIFS(' CADASTRO'!$R$746:$R$893,'acab equip'!J203,' CADASTRO'!$S$746:$S$893,'acab equip'!$K$3)</f>
        <v>0</v>
      </c>
      <c r="N203" s="162">
        <f t="shared" si="43"/>
        <v>47129</v>
      </c>
      <c r="O203" s="163">
        <f>COUNTIFS(' CADASTRO'!$S:$S,'acab equip'!$C$3,' CADASTRO'!$R:$R,'acab equip'!N203)</f>
        <v>0</v>
      </c>
      <c r="P203" s="163">
        <f>COUNTIFS(' CADASTRO'!$S:$S,'acab equip'!$D$3,' CADASTRO'!$R:$R,'acab equip'!N203)</f>
        <v>0</v>
      </c>
      <c r="Q203" s="163">
        <f>COUNTIFS(' CADASTRO'!$R$746:$R$893,'acab equip'!N203,' CADASTRO'!$S$746:$S$893,'acab equip'!$P$3)+COUNTIFS(' CADASTRO'!$R$746:$R$893,'acab equip'!N203,' CADASTRO'!$S$746:$S$893,'acab equip'!$O$3)</f>
        <v>0</v>
      </c>
      <c r="R203" s="162">
        <f t="shared" si="44"/>
        <v>47130</v>
      </c>
      <c r="S203" s="163">
        <f>COUNTIFS(' CADASTRO'!$S:$S,'acab equip'!$C$3,' CADASTRO'!$R:$R,'acab equip'!R203)</f>
        <v>0</v>
      </c>
      <c r="T203" s="163">
        <f>COUNTIFS(' CADASTRO'!$S:$S,'acab equip'!$D$3,' CADASTRO'!$R:$R,'acab equip'!R203)</f>
        <v>0</v>
      </c>
      <c r="U203" s="163">
        <f>COUNTIFS(' CADASTRO'!$R$746:$R$893,'acab equip'!R203,' CADASTRO'!$S$746:$S$893,'acab equip'!$T$3)+COUNTIFS(' CADASTRO'!$R$746:$R$893,'acab equip'!R203,' CADASTRO'!$S$746:$S$893,'acab equip'!$S$3)</f>
        <v>0</v>
      </c>
      <c r="V203" s="162">
        <f t="shared" si="45"/>
        <v>47131</v>
      </c>
      <c r="W203" s="163">
        <f>COUNTIFS(' CADASTRO'!$S:$S,'acab equip'!$C$3,' CADASTRO'!$R:$R,'acab equip'!V203)</f>
        <v>0</v>
      </c>
      <c r="X203" s="163">
        <f>COUNTIFS(' CADASTRO'!$S:$S,'acab equip'!$D$3,' CADASTRO'!$R:$R,'acab equip'!V203)</f>
        <v>0</v>
      </c>
      <c r="Y203" s="163">
        <f>COUNTIFS(' CADASTRO'!$R$746:$R$893,'acab equip'!V203,' CADASTRO'!$S$746:$S$893,'acab equip'!$X$3)+COUNTIFS(' CADASTRO'!$R$746:$R$893,'acab equip'!V203,' CADASTRO'!$S$746:$S$893,'acab equip'!$W$3)</f>
        <v>0</v>
      </c>
      <c r="Z203" s="162">
        <f t="shared" si="46"/>
        <v>47132</v>
      </c>
      <c r="AB203" s="165">
        <f t="shared" si="36"/>
        <v>0</v>
      </c>
      <c r="AC203" s="165">
        <f t="shared" si="37"/>
        <v>0</v>
      </c>
      <c r="AD203" s="165">
        <f t="shared" si="38"/>
        <v>0</v>
      </c>
      <c r="AE203" s="177">
        <f t="shared" si="39"/>
        <v>0</v>
      </c>
    </row>
    <row r="204" spans="2:31" x14ac:dyDescent="0.25">
      <c r="B204" s="162">
        <f t="shared" si="40"/>
        <v>47133</v>
      </c>
      <c r="C204" s="163">
        <f>COUNTIFS(' CADASTRO'!$S:$S,'acab equip'!$C$3,' CADASTRO'!$R:$R,'acab equip'!B204)</f>
        <v>0</v>
      </c>
      <c r="D204" s="163">
        <f>COUNTIFS(' CADASTRO'!$S:$S,'acab equip'!$D$3,' CADASTRO'!$R:$R,'acab equip'!B204)</f>
        <v>0</v>
      </c>
      <c r="E204" s="163">
        <f>COUNTIFS(' CADASTRO'!$R$746:$R$893,'acab equip'!B204,' CADASTRO'!$S$746:$S$893,'acab equip'!$D$3)+COUNTIFS(' CADASTRO'!$R$746:$R$893,'acab equip'!B204,' CADASTRO'!$S$746:$S$893,'acab equip'!$C$3)</f>
        <v>0</v>
      </c>
      <c r="F204" s="162">
        <f t="shared" si="41"/>
        <v>47134</v>
      </c>
      <c r="G204" s="163">
        <f>COUNTIFS(' CADASTRO'!$S:$S,'acab equip'!$C$3,' CADASTRO'!$R:$R,'acab equip'!F204)</f>
        <v>0</v>
      </c>
      <c r="H204" s="163">
        <f>COUNTIFS(' CADASTRO'!$S:$S,'acab equip'!$D$3,' CADASTRO'!$R:$R,'acab equip'!F204)</f>
        <v>0</v>
      </c>
      <c r="I204" s="163">
        <f>COUNTIFS(' CADASTRO'!$R$746:$R$893,'acab equip'!F204,' CADASTRO'!$S$746:$S$893,'acab equip'!$H$3)+COUNTIFS(' CADASTRO'!$R$746:$R$893,'acab equip'!F204,' CADASTRO'!$S$746:$S$893,'acab equip'!$G$3)</f>
        <v>0</v>
      </c>
      <c r="J204" s="162">
        <f t="shared" si="42"/>
        <v>47135</v>
      </c>
      <c r="K204" s="163">
        <f>COUNTIFS(' CADASTRO'!$S:$S,'acab equip'!$C$3,' CADASTRO'!$R:$R,'acab equip'!J204)</f>
        <v>0</v>
      </c>
      <c r="L204" s="163">
        <f>COUNTIFS(' CADASTRO'!$S:$S,'acab equip'!$D$3,' CADASTRO'!$R:$R,'acab equip'!J204)</f>
        <v>0</v>
      </c>
      <c r="M204" s="163">
        <f>COUNTIFS(' CADASTRO'!$R$746:$R$893,'acab equip'!J204,' CADASTRO'!$S$746:$S$893,'acab equip'!$L$3)+COUNTIFS(' CADASTRO'!$R$746:$R$893,'acab equip'!J204,' CADASTRO'!$S$746:$S$893,'acab equip'!$K$3)</f>
        <v>0</v>
      </c>
      <c r="N204" s="162">
        <f t="shared" si="43"/>
        <v>47136</v>
      </c>
      <c r="O204" s="163">
        <f>COUNTIFS(' CADASTRO'!$S:$S,'acab equip'!$C$3,' CADASTRO'!$R:$R,'acab equip'!N204)</f>
        <v>0</v>
      </c>
      <c r="P204" s="163">
        <f>COUNTIFS(' CADASTRO'!$S:$S,'acab equip'!$D$3,' CADASTRO'!$R:$R,'acab equip'!N204)</f>
        <v>0</v>
      </c>
      <c r="Q204" s="163">
        <f>COUNTIFS(' CADASTRO'!$R$746:$R$893,'acab equip'!N204,' CADASTRO'!$S$746:$S$893,'acab equip'!$P$3)+COUNTIFS(' CADASTRO'!$R$746:$R$893,'acab equip'!N204,' CADASTRO'!$S$746:$S$893,'acab equip'!$O$3)</f>
        <v>0</v>
      </c>
      <c r="R204" s="162">
        <f t="shared" si="44"/>
        <v>47137</v>
      </c>
      <c r="S204" s="163">
        <f>COUNTIFS(' CADASTRO'!$S:$S,'acab equip'!$C$3,' CADASTRO'!$R:$R,'acab equip'!R204)</f>
        <v>0</v>
      </c>
      <c r="T204" s="163">
        <f>COUNTIFS(' CADASTRO'!$S:$S,'acab equip'!$D$3,' CADASTRO'!$R:$R,'acab equip'!R204)</f>
        <v>0</v>
      </c>
      <c r="U204" s="163">
        <f>COUNTIFS(' CADASTRO'!$R$746:$R$893,'acab equip'!R204,' CADASTRO'!$S$746:$S$893,'acab equip'!$T$3)+COUNTIFS(' CADASTRO'!$R$746:$R$893,'acab equip'!R204,' CADASTRO'!$S$746:$S$893,'acab equip'!$S$3)</f>
        <v>0</v>
      </c>
      <c r="V204" s="162">
        <f t="shared" si="45"/>
        <v>47138</v>
      </c>
      <c r="W204" s="163">
        <f>COUNTIFS(' CADASTRO'!$S:$S,'acab equip'!$C$3,' CADASTRO'!$R:$R,'acab equip'!V204)</f>
        <v>0</v>
      </c>
      <c r="X204" s="163">
        <f>COUNTIFS(' CADASTRO'!$S:$S,'acab equip'!$D$3,' CADASTRO'!$R:$R,'acab equip'!V204)</f>
        <v>0</v>
      </c>
      <c r="Y204" s="163">
        <f>COUNTIFS(' CADASTRO'!$R$746:$R$893,'acab equip'!V204,' CADASTRO'!$S$746:$S$893,'acab equip'!$X$3)+COUNTIFS(' CADASTRO'!$R$746:$R$893,'acab equip'!V204,' CADASTRO'!$S$746:$S$893,'acab equip'!$W$3)</f>
        <v>0</v>
      </c>
      <c r="Z204" s="162">
        <f t="shared" si="46"/>
        <v>47139</v>
      </c>
      <c r="AB204" s="165">
        <f t="shared" si="36"/>
        <v>0</v>
      </c>
      <c r="AC204" s="165">
        <f t="shared" si="37"/>
        <v>0</v>
      </c>
      <c r="AD204" s="165">
        <f t="shared" si="38"/>
        <v>0</v>
      </c>
      <c r="AE204" s="177">
        <f t="shared" si="39"/>
        <v>0</v>
      </c>
    </row>
    <row r="205" spans="2:31" x14ac:dyDescent="0.25">
      <c r="B205" s="162">
        <f t="shared" si="40"/>
        <v>47140</v>
      </c>
      <c r="C205" s="163">
        <f>COUNTIFS(' CADASTRO'!$S:$S,'acab equip'!$C$3,' CADASTRO'!$R:$R,'acab equip'!B205)</f>
        <v>0</v>
      </c>
      <c r="D205" s="163">
        <f>COUNTIFS(' CADASTRO'!$S:$S,'acab equip'!$D$3,' CADASTRO'!$R:$R,'acab equip'!B205)</f>
        <v>0</v>
      </c>
      <c r="E205" s="163">
        <f>COUNTIFS(' CADASTRO'!$R$746:$R$893,'acab equip'!B205,' CADASTRO'!$S$746:$S$893,'acab equip'!$D$3)+COUNTIFS(' CADASTRO'!$R$746:$R$893,'acab equip'!B205,' CADASTRO'!$S$746:$S$893,'acab equip'!$C$3)</f>
        <v>0</v>
      </c>
      <c r="F205" s="162">
        <f t="shared" si="41"/>
        <v>47141</v>
      </c>
      <c r="G205" s="163">
        <f>COUNTIFS(' CADASTRO'!$S:$S,'acab equip'!$C$3,' CADASTRO'!$R:$R,'acab equip'!F205)</f>
        <v>0</v>
      </c>
      <c r="H205" s="163">
        <f>COUNTIFS(' CADASTRO'!$S:$S,'acab equip'!$D$3,' CADASTRO'!$R:$R,'acab equip'!F205)</f>
        <v>0</v>
      </c>
      <c r="I205" s="163">
        <f>COUNTIFS(' CADASTRO'!$R$746:$R$893,'acab equip'!F205,' CADASTRO'!$S$746:$S$893,'acab equip'!$H$3)+COUNTIFS(' CADASTRO'!$R$746:$R$893,'acab equip'!F205,' CADASTRO'!$S$746:$S$893,'acab equip'!$G$3)</f>
        <v>0</v>
      </c>
      <c r="J205" s="162">
        <f t="shared" si="42"/>
        <v>47142</v>
      </c>
      <c r="K205" s="163">
        <f>COUNTIFS(' CADASTRO'!$S:$S,'acab equip'!$C$3,' CADASTRO'!$R:$R,'acab equip'!J205)</f>
        <v>0</v>
      </c>
      <c r="L205" s="163">
        <f>COUNTIFS(' CADASTRO'!$S:$S,'acab equip'!$D$3,' CADASTRO'!$R:$R,'acab equip'!J205)</f>
        <v>0</v>
      </c>
      <c r="M205" s="163">
        <f>COUNTIFS(' CADASTRO'!$R$746:$R$893,'acab equip'!J205,' CADASTRO'!$S$746:$S$893,'acab equip'!$L$3)+COUNTIFS(' CADASTRO'!$R$746:$R$893,'acab equip'!J205,' CADASTRO'!$S$746:$S$893,'acab equip'!$K$3)</f>
        <v>0</v>
      </c>
      <c r="N205" s="162">
        <f t="shared" si="43"/>
        <v>47143</v>
      </c>
      <c r="O205" s="163">
        <f>COUNTIFS(' CADASTRO'!$S:$S,'acab equip'!$C$3,' CADASTRO'!$R:$R,'acab equip'!N205)</f>
        <v>0</v>
      </c>
      <c r="P205" s="163">
        <f>COUNTIFS(' CADASTRO'!$S:$S,'acab equip'!$D$3,' CADASTRO'!$R:$R,'acab equip'!N205)</f>
        <v>0</v>
      </c>
      <c r="Q205" s="163">
        <f>COUNTIFS(' CADASTRO'!$R$746:$R$893,'acab equip'!N205,' CADASTRO'!$S$746:$S$893,'acab equip'!$P$3)+COUNTIFS(' CADASTRO'!$R$746:$R$893,'acab equip'!N205,' CADASTRO'!$S$746:$S$893,'acab equip'!$O$3)</f>
        <v>0</v>
      </c>
      <c r="R205" s="162">
        <f t="shared" si="44"/>
        <v>47144</v>
      </c>
      <c r="S205" s="163">
        <f>COUNTIFS(' CADASTRO'!$S:$S,'acab equip'!$C$3,' CADASTRO'!$R:$R,'acab equip'!R205)</f>
        <v>0</v>
      </c>
      <c r="T205" s="163">
        <f>COUNTIFS(' CADASTRO'!$S:$S,'acab equip'!$D$3,' CADASTRO'!$R:$R,'acab equip'!R205)</f>
        <v>0</v>
      </c>
      <c r="U205" s="163">
        <f>COUNTIFS(' CADASTRO'!$R$746:$R$893,'acab equip'!R205,' CADASTRO'!$S$746:$S$893,'acab equip'!$T$3)+COUNTIFS(' CADASTRO'!$R$746:$R$893,'acab equip'!R205,' CADASTRO'!$S$746:$S$893,'acab equip'!$S$3)</f>
        <v>0</v>
      </c>
      <c r="V205" s="162">
        <f t="shared" si="45"/>
        <v>47145</v>
      </c>
      <c r="W205" s="163">
        <f>COUNTIFS(' CADASTRO'!$S:$S,'acab equip'!$C$3,' CADASTRO'!$R:$R,'acab equip'!V205)</f>
        <v>0</v>
      </c>
      <c r="X205" s="163">
        <f>COUNTIFS(' CADASTRO'!$S:$S,'acab equip'!$D$3,' CADASTRO'!$R:$R,'acab equip'!V205)</f>
        <v>0</v>
      </c>
      <c r="Y205" s="163">
        <f>COUNTIFS(' CADASTRO'!$R$746:$R$893,'acab equip'!V205,' CADASTRO'!$S$746:$S$893,'acab equip'!$X$3)+COUNTIFS(' CADASTRO'!$R$746:$R$893,'acab equip'!V205,' CADASTRO'!$S$746:$S$893,'acab equip'!$W$3)</f>
        <v>0</v>
      </c>
      <c r="Z205" s="162">
        <f t="shared" si="46"/>
        <v>47146</v>
      </c>
      <c r="AB205" s="165">
        <f t="shared" si="36"/>
        <v>0</v>
      </c>
      <c r="AC205" s="165">
        <f t="shared" si="37"/>
        <v>0</v>
      </c>
      <c r="AD205" s="165">
        <f t="shared" si="38"/>
        <v>0</v>
      </c>
      <c r="AE205" s="177">
        <f t="shared" si="39"/>
        <v>0</v>
      </c>
    </row>
    <row r="206" spans="2:31" x14ac:dyDescent="0.25">
      <c r="B206" s="162">
        <f t="shared" si="40"/>
        <v>47147</v>
      </c>
      <c r="C206" s="163">
        <f>COUNTIFS(' CADASTRO'!$S:$S,'acab equip'!$C$3,' CADASTRO'!$R:$R,'acab equip'!B206)</f>
        <v>0</v>
      </c>
      <c r="D206" s="163">
        <f>COUNTIFS(' CADASTRO'!$S:$S,'acab equip'!$D$3,' CADASTRO'!$R:$R,'acab equip'!B206)</f>
        <v>0</v>
      </c>
      <c r="E206" s="163">
        <f>COUNTIFS(' CADASTRO'!$R$746:$R$893,'acab equip'!B206,' CADASTRO'!$S$746:$S$893,'acab equip'!$D$3)+COUNTIFS(' CADASTRO'!$R$746:$R$893,'acab equip'!B206,' CADASTRO'!$S$746:$S$893,'acab equip'!$C$3)</f>
        <v>0</v>
      </c>
      <c r="F206" s="162">
        <f t="shared" si="41"/>
        <v>47148</v>
      </c>
      <c r="G206" s="163">
        <f>COUNTIFS(' CADASTRO'!$S:$S,'acab equip'!$C$3,' CADASTRO'!$R:$R,'acab equip'!F206)</f>
        <v>0</v>
      </c>
      <c r="H206" s="163">
        <f>COUNTIFS(' CADASTRO'!$S:$S,'acab equip'!$D$3,' CADASTRO'!$R:$R,'acab equip'!F206)</f>
        <v>0</v>
      </c>
      <c r="I206" s="163">
        <f>COUNTIFS(' CADASTRO'!$R$746:$R$893,'acab equip'!F206,' CADASTRO'!$S$746:$S$893,'acab equip'!$H$3)+COUNTIFS(' CADASTRO'!$R$746:$R$893,'acab equip'!F206,' CADASTRO'!$S$746:$S$893,'acab equip'!$G$3)</f>
        <v>0</v>
      </c>
      <c r="J206" s="162">
        <f t="shared" si="42"/>
        <v>47149</v>
      </c>
      <c r="K206" s="163">
        <f>COUNTIFS(' CADASTRO'!$S:$S,'acab equip'!$C$3,' CADASTRO'!$R:$R,'acab equip'!J206)</f>
        <v>0</v>
      </c>
      <c r="L206" s="163">
        <f>COUNTIFS(' CADASTRO'!$S:$S,'acab equip'!$D$3,' CADASTRO'!$R:$R,'acab equip'!J206)</f>
        <v>0</v>
      </c>
      <c r="M206" s="163">
        <f>COUNTIFS(' CADASTRO'!$R$746:$R$893,'acab equip'!J206,' CADASTRO'!$S$746:$S$893,'acab equip'!$L$3)+COUNTIFS(' CADASTRO'!$R$746:$R$893,'acab equip'!J206,' CADASTRO'!$S$746:$S$893,'acab equip'!$K$3)</f>
        <v>0</v>
      </c>
      <c r="N206" s="162">
        <f t="shared" si="43"/>
        <v>47150</v>
      </c>
      <c r="O206" s="163">
        <f>COUNTIFS(' CADASTRO'!$S:$S,'acab equip'!$C$3,' CADASTRO'!$R:$R,'acab equip'!N206)</f>
        <v>0</v>
      </c>
      <c r="P206" s="163">
        <f>COUNTIFS(' CADASTRO'!$S:$S,'acab equip'!$D$3,' CADASTRO'!$R:$R,'acab equip'!N206)</f>
        <v>0</v>
      </c>
      <c r="Q206" s="163">
        <f>COUNTIFS(' CADASTRO'!$R$746:$R$893,'acab equip'!N206,' CADASTRO'!$S$746:$S$893,'acab equip'!$P$3)+COUNTIFS(' CADASTRO'!$R$746:$R$893,'acab equip'!N206,' CADASTRO'!$S$746:$S$893,'acab equip'!$O$3)</f>
        <v>0</v>
      </c>
      <c r="R206" s="162">
        <f t="shared" si="44"/>
        <v>47151</v>
      </c>
      <c r="S206" s="163">
        <f>COUNTIFS(' CADASTRO'!$S:$S,'acab equip'!$C$3,' CADASTRO'!$R:$R,'acab equip'!R206)</f>
        <v>0</v>
      </c>
      <c r="T206" s="163">
        <f>COUNTIFS(' CADASTRO'!$S:$S,'acab equip'!$D$3,' CADASTRO'!$R:$R,'acab equip'!R206)</f>
        <v>0</v>
      </c>
      <c r="U206" s="163">
        <f>COUNTIFS(' CADASTRO'!$R$746:$R$893,'acab equip'!R206,' CADASTRO'!$S$746:$S$893,'acab equip'!$T$3)+COUNTIFS(' CADASTRO'!$R$746:$R$893,'acab equip'!R206,' CADASTRO'!$S$746:$S$893,'acab equip'!$S$3)</f>
        <v>0</v>
      </c>
      <c r="V206" s="162">
        <f t="shared" si="45"/>
        <v>47152</v>
      </c>
      <c r="W206" s="163">
        <f>COUNTIFS(' CADASTRO'!$S:$S,'acab equip'!$C$3,' CADASTRO'!$R:$R,'acab equip'!V206)</f>
        <v>0</v>
      </c>
      <c r="X206" s="163">
        <f>COUNTIFS(' CADASTRO'!$S:$S,'acab equip'!$D$3,' CADASTRO'!$R:$R,'acab equip'!V206)</f>
        <v>0</v>
      </c>
      <c r="Y206" s="163">
        <f>COUNTIFS(' CADASTRO'!$R$746:$R$893,'acab equip'!V206,' CADASTRO'!$S$746:$S$893,'acab equip'!$X$3)+COUNTIFS(' CADASTRO'!$R$746:$R$893,'acab equip'!V206,' CADASTRO'!$S$746:$S$893,'acab equip'!$W$3)</f>
        <v>0</v>
      </c>
      <c r="Z206" s="162">
        <f t="shared" si="46"/>
        <v>47153</v>
      </c>
      <c r="AB206" s="165">
        <f t="shared" si="36"/>
        <v>0</v>
      </c>
      <c r="AC206" s="165">
        <f t="shared" si="37"/>
        <v>0</v>
      </c>
      <c r="AD206" s="165">
        <f t="shared" si="38"/>
        <v>0</v>
      </c>
      <c r="AE206" s="177">
        <f t="shared" si="39"/>
        <v>0</v>
      </c>
    </row>
    <row r="207" spans="2:31" x14ac:dyDescent="0.25">
      <c r="B207" s="162">
        <f t="shared" si="40"/>
        <v>47154</v>
      </c>
      <c r="C207" s="163">
        <f>COUNTIFS(' CADASTRO'!$S:$S,'acab equip'!$C$3,' CADASTRO'!$R:$R,'acab equip'!B207)</f>
        <v>0</v>
      </c>
      <c r="D207" s="163">
        <f>COUNTIFS(' CADASTRO'!$S:$S,'acab equip'!$D$3,' CADASTRO'!$R:$R,'acab equip'!B207)</f>
        <v>0</v>
      </c>
      <c r="E207" s="163">
        <f>COUNTIFS(' CADASTRO'!$R$746:$R$893,'acab equip'!B207,' CADASTRO'!$S$746:$S$893,'acab equip'!$D$3)+COUNTIFS(' CADASTRO'!$R$746:$R$893,'acab equip'!B207,' CADASTRO'!$S$746:$S$893,'acab equip'!$C$3)</f>
        <v>0</v>
      </c>
      <c r="F207" s="162">
        <f t="shared" si="41"/>
        <v>47155</v>
      </c>
      <c r="G207" s="163">
        <f>COUNTIFS(' CADASTRO'!$S:$S,'acab equip'!$C$3,' CADASTRO'!$R:$R,'acab equip'!F207)</f>
        <v>0</v>
      </c>
      <c r="H207" s="163">
        <f>COUNTIFS(' CADASTRO'!$S:$S,'acab equip'!$D$3,' CADASTRO'!$R:$R,'acab equip'!F207)</f>
        <v>0</v>
      </c>
      <c r="I207" s="163">
        <f>COUNTIFS(' CADASTRO'!$R$746:$R$893,'acab equip'!F207,' CADASTRO'!$S$746:$S$893,'acab equip'!$H$3)+COUNTIFS(' CADASTRO'!$R$746:$R$893,'acab equip'!F207,' CADASTRO'!$S$746:$S$893,'acab equip'!$G$3)</f>
        <v>0</v>
      </c>
      <c r="J207" s="162">
        <f t="shared" si="42"/>
        <v>47156</v>
      </c>
      <c r="K207" s="163">
        <f>COUNTIFS(' CADASTRO'!$S:$S,'acab equip'!$C$3,' CADASTRO'!$R:$R,'acab equip'!J207)</f>
        <v>0</v>
      </c>
      <c r="L207" s="163">
        <f>COUNTIFS(' CADASTRO'!$S:$S,'acab equip'!$D$3,' CADASTRO'!$R:$R,'acab equip'!J207)</f>
        <v>0</v>
      </c>
      <c r="M207" s="163">
        <f>COUNTIFS(' CADASTRO'!$R$746:$R$893,'acab equip'!J207,' CADASTRO'!$S$746:$S$893,'acab equip'!$L$3)+COUNTIFS(' CADASTRO'!$R$746:$R$893,'acab equip'!J207,' CADASTRO'!$S$746:$S$893,'acab equip'!$K$3)</f>
        <v>0</v>
      </c>
      <c r="N207" s="162">
        <f t="shared" si="43"/>
        <v>47157</v>
      </c>
      <c r="O207" s="163">
        <f>COUNTIFS(' CADASTRO'!$S:$S,'acab equip'!$C$3,' CADASTRO'!$R:$R,'acab equip'!N207)</f>
        <v>0</v>
      </c>
      <c r="P207" s="163">
        <f>COUNTIFS(' CADASTRO'!$S:$S,'acab equip'!$D$3,' CADASTRO'!$R:$R,'acab equip'!N207)</f>
        <v>0</v>
      </c>
      <c r="Q207" s="163">
        <f>COUNTIFS(' CADASTRO'!$R$746:$R$893,'acab equip'!N207,' CADASTRO'!$S$746:$S$893,'acab equip'!$P$3)+COUNTIFS(' CADASTRO'!$R$746:$R$893,'acab equip'!N207,' CADASTRO'!$S$746:$S$893,'acab equip'!$O$3)</f>
        <v>0</v>
      </c>
      <c r="R207" s="162">
        <f t="shared" si="44"/>
        <v>47158</v>
      </c>
      <c r="S207" s="163">
        <f>COUNTIFS(' CADASTRO'!$S:$S,'acab equip'!$C$3,' CADASTRO'!$R:$R,'acab equip'!R207)</f>
        <v>0</v>
      </c>
      <c r="T207" s="163">
        <f>COUNTIFS(' CADASTRO'!$S:$S,'acab equip'!$D$3,' CADASTRO'!$R:$R,'acab equip'!R207)</f>
        <v>0</v>
      </c>
      <c r="U207" s="163">
        <f>COUNTIFS(' CADASTRO'!$R$746:$R$893,'acab equip'!R207,' CADASTRO'!$S$746:$S$893,'acab equip'!$T$3)+COUNTIFS(' CADASTRO'!$R$746:$R$893,'acab equip'!R207,' CADASTRO'!$S$746:$S$893,'acab equip'!$S$3)</f>
        <v>0</v>
      </c>
      <c r="V207" s="162">
        <f t="shared" si="45"/>
        <v>47159</v>
      </c>
      <c r="W207" s="163">
        <f>COUNTIFS(' CADASTRO'!$S:$S,'acab equip'!$C$3,' CADASTRO'!$R:$R,'acab equip'!V207)</f>
        <v>0</v>
      </c>
      <c r="X207" s="163">
        <f>COUNTIFS(' CADASTRO'!$S:$S,'acab equip'!$D$3,' CADASTRO'!$R:$R,'acab equip'!V207)</f>
        <v>0</v>
      </c>
      <c r="Y207" s="163">
        <f>COUNTIFS(' CADASTRO'!$R$746:$R$893,'acab equip'!V207,' CADASTRO'!$S$746:$S$893,'acab equip'!$X$3)+COUNTIFS(' CADASTRO'!$R$746:$R$893,'acab equip'!V207,' CADASTRO'!$S$746:$S$893,'acab equip'!$W$3)</f>
        <v>0</v>
      </c>
      <c r="Z207" s="162">
        <f t="shared" si="46"/>
        <v>47160</v>
      </c>
      <c r="AB207" s="165">
        <f t="shared" si="36"/>
        <v>0</v>
      </c>
      <c r="AC207" s="165">
        <f t="shared" si="37"/>
        <v>0</v>
      </c>
      <c r="AD207" s="165">
        <f t="shared" si="38"/>
        <v>0</v>
      </c>
      <c r="AE207" s="177">
        <f t="shared" si="39"/>
        <v>0</v>
      </c>
    </row>
    <row r="208" spans="2:31" x14ac:dyDescent="0.25">
      <c r="B208" s="162">
        <f t="shared" si="40"/>
        <v>47161</v>
      </c>
      <c r="C208" s="163">
        <f>COUNTIFS(' CADASTRO'!$S:$S,'acab equip'!$C$3,' CADASTRO'!$R:$R,'acab equip'!B208)</f>
        <v>0</v>
      </c>
      <c r="D208" s="163">
        <f>COUNTIFS(' CADASTRO'!$S:$S,'acab equip'!$D$3,' CADASTRO'!$R:$R,'acab equip'!B208)</f>
        <v>0</v>
      </c>
      <c r="E208" s="163">
        <f>COUNTIFS(' CADASTRO'!$R$746:$R$893,'acab equip'!B208,' CADASTRO'!$S$746:$S$893,'acab equip'!$D$3)+COUNTIFS(' CADASTRO'!$R$746:$R$893,'acab equip'!B208,' CADASTRO'!$S$746:$S$893,'acab equip'!$C$3)</f>
        <v>0</v>
      </c>
      <c r="F208" s="162">
        <f t="shared" si="41"/>
        <v>47162</v>
      </c>
      <c r="G208" s="163">
        <f>COUNTIFS(' CADASTRO'!$S:$S,'acab equip'!$C$3,' CADASTRO'!$R:$R,'acab equip'!F208)</f>
        <v>0</v>
      </c>
      <c r="H208" s="163">
        <f>COUNTIFS(' CADASTRO'!$S:$S,'acab equip'!$D$3,' CADASTRO'!$R:$R,'acab equip'!F208)</f>
        <v>0</v>
      </c>
      <c r="I208" s="163">
        <f>COUNTIFS(' CADASTRO'!$R$746:$R$893,'acab equip'!F208,' CADASTRO'!$S$746:$S$893,'acab equip'!$H$3)+COUNTIFS(' CADASTRO'!$R$746:$R$893,'acab equip'!F208,' CADASTRO'!$S$746:$S$893,'acab equip'!$G$3)</f>
        <v>0</v>
      </c>
      <c r="J208" s="162">
        <f t="shared" si="42"/>
        <v>47163</v>
      </c>
      <c r="K208" s="163">
        <f>COUNTIFS(' CADASTRO'!$S:$S,'acab equip'!$C$3,' CADASTRO'!$R:$R,'acab equip'!J208)</f>
        <v>0</v>
      </c>
      <c r="L208" s="163">
        <f>COUNTIFS(' CADASTRO'!$S:$S,'acab equip'!$D$3,' CADASTRO'!$R:$R,'acab equip'!J208)</f>
        <v>0</v>
      </c>
      <c r="M208" s="163">
        <f>COUNTIFS(' CADASTRO'!$R$746:$R$893,'acab equip'!J208,' CADASTRO'!$S$746:$S$893,'acab equip'!$L$3)+COUNTIFS(' CADASTRO'!$R$746:$R$893,'acab equip'!J208,' CADASTRO'!$S$746:$S$893,'acab equip'!$K$3)</f>
        <v>0</v>
      </c>
      <c r="N208" s="162">
        <f t="shared" si="43"/>
        <v>47164</v>
      </c>
      <c r="O208" s="163">
        <f>COUNTIFS(' CADASTRO'!$S:$S,'acab equip'!$C$3,' CADASTRO'!$R:$R,'acab equip'!N208)</f>
        <v>0</v>
      </c>
      <c r="P208" s="163">
        <f>COUNTIFS(' CADASTRO'!$S:$S,'acab equip'!$D$3,' CADASTRO'!$R:$R,'acab equip'!N208)</f>
        <v>0</v>
      </c>
      <c r="Q208" s="163">
        <f>COUNTIFS(' CADASTRO'!$R$746:$R$893,'acab equip'!N208,' CADASTRO'!$S$746:$S$893,'acab equip'!$P$3)+COUNTIFS(' CADASTRO'!$R$746:$R$893,'acab equip'!N208,' CADASTRO'!$S$746:$S$893,'acab equip'!$O$3)</f>
        <v>0</v>
      </c>
      <c r="R208" s="162">
        <f t="shared" si="44"/>
        <v>47165</v>
      </c>
      <c r="S208" s="163">
        <f>COUNTIFS(' CADASTRO'!$S:$S,'acab equip'!$C$3,' CADASTRO'!$R:$R,'acab equip'!R208)</f>
        <v>0</v>
      </c>
      <c r="T208" s="163">
        <f>COUNTIFS(' CADASTRO'!$S:$S,'acab equip'!$D$3,' CADASTRO'!$R:$R,'acab equip'!R208)</f>
        <v>0</v>
      </c>
      <c r="U208" s="163">
        <f>COUNTIFS(' CADASTRO'!$R$746:$R$893,'acab equip'!R208,' CADASTRO'!$S$746:$S$893,'acab equip'!$T$3)+COUNTIFS(' CADASTRO'!$R$746:$R$893,'acab equip'!R208,' CADASTRO'!$S$746:$S$893,'acab equip'!$S$3)</f>
        <v>0</v>
      </c>
      <c r="V208" s="162">
        <f t="shared" si="45"/>
        <v>47166</v>
      </c>
      <c r="W208" s="163">
        <f>COUNTIFS(' CADASTRO'!$S:$S,'acab equip'!$C$3,' CADASTRO'!$R:$R,'acab equip'!V208)</f>
        <v>0</v>
      </c>
      <c r="X208" s="163">
        <f>COUNTIFS(' CADASTRO'!$S:$S,'acab equip'!$D$3,' CADASTRO'!$R:$R,'acab equip'!V208)</f>
        <v>0</v>
      </c>
      <c r="Y208" s="163">
        <f>COUNTIFS(' CADASTRO'!$R$746:$R$893,'acab equip'!V208,' CADASTRO'!$S$746:$S$893,'acab equip'!$X$3)+COUNTIFS(' CADASTRO'!$R$746:$R$893,'acab equip'!V208,' CADASTRO'!$S$746:$S$893,'acab equip'!$W$3)</f>
        <v>0</v>
      </c>
      <c r="Z208" s="162">
        <f t="shared" si="46"/>
        <v>47167</v>
      </c>
      <c r="AB208" s="165">
        <f t="shared" si="36"/>
        <v>0</v>
      </c>
      <c r="AC208" s="165">
        <f t="shared" si="37"/>
        <v>0</v>
      </c>
      <c r="AD208" s="165">
        <f t="shared" si="38"/>
        <v>0</v>
      </c>
      <c r="AE208" s="177">
        <f t="shared" si="39"/>
        <v>0</v>
      </c>
    </row>
    <row r="209" spans="2:31" x14ac:dyDescent="0.25">
      <c r="B209" s="162">
        <f t="shared" si="40"/>
        <v>47168</v>
      </c>
      <c r="C209" s="163">
        <f>COUNTIFS(' CADASTRO'!$S:$S,'acab equip'!$C$3,' CADASTRO'!$R:$R,'acab equip'!B209)</f>
        <v>0</v>
      </c>
      <c r="D209" s="163">
        <f>COUNTIFS(' CADASTRO'!$S:$S,'acab equip'!$D$3,' CADASTRO'!$R:$R,'acab equip'!B209)</f>
        <v>0</v>
      </c>
      <c r="E209" s="163">
        <f>COUNTIFS(' CADASTRO'!$R$746:$R$893,'acab equip'!B209,' CADASTRO'!$S$746:$S$893,'acab equip'!$D$3)+COUNTIFS(' CADASTRO'!$R$746:$R$893,'acab equip'!B209,' CADASTRO'!$S$746:$S$893,'acab equip'!$C$3)</f>
        <v>0</v>
      </c>
      <c r="F209" s="162">
        <f t="shared" si="41"/>
        <v>47169</v>
      </c>
      <c r="G209" s="163">
        <f>COUNTIFS(' CADASTRO'!$S:$S,'acab equip'!$C$3,' CADASTRO'!$R:$R,'acab equip'!F209)</f>
        <v>0</v>
      </c>
      <c r="H209" s="163">
        <f>COUNTIFS(' CADASTRO'!$S:$S,'acab equip'!$D$3,' CADASTRO'!$R:$R,'acab equip'!F209)</f>
        <v>0</v>
      </c>
      <c r="I209" s="163">
        <f>COUNTIFS(' CADASTRO'!$R$746:$R$893,'acab equip'!F209,' CADASTRO'!$S$746:$S$893,'acab equip'!$H$3)+COUNTIFS(' CADASTRO'!$R$746:$R$893,'acab equip'!F209,' CADASTRO'!$S$746:$S$893,'acab equip'!$G$3)</f>
        <v>0</v>
      </c>
      <c r="J209" s="162">
        <f t="shared" si="42"/>
        <v>47170</v>
      </c>
      <c r="K209" s="163">
        <f>COUNTIFS(' CADASTRO'!$S:$S,'acab equip'!$C$3,' CADASTRO'!$R:$R,'acab equip'!J209)</f>
        <v>0</v>
      </c>
      <c r="L209" s="163">
        <f>COUNTIFS(' CADASTRO'!$S:$S,'acab equip'!$D$3,' CADASTRO'!$R:$R,'acab equip'!J209)</f>
        <v>0</v>
      </c>
      <c r="M209" s="163">
        <f>COUNTIFS(' CADASTRO'!$R$746:$R$893,'acab equip'!J209,' CADASTRO'!$S$746:$S$893,'acab equip'!$L$3)+COUNTIFS(' CADASTRO'!$R$746:$R$893,'acab equip'!J209,' CADASTRO'!$S$746:$S$893,'acab equip'!$K$3)</f>
        <v>0</v>
      </c>
      <c r="N209" s="162">
        <f t="shared" si="43"/>
        <v>47171</v>
      </c>
      <c r="O209" s="163">
        <f>COUNTIFS(' CADASTRO'!$S:$S,'acab equip'!$C$3,' CADASTRO'!$R:$R,'acab equip'!N209)</f>
        <v>0</v>
      </c>
      <c r="P209" s="163">
        <f>COUNTIFS(' CADASTRO'!$S:$S,'acab equip'!$D$3,' CADASTRO'!$R:$R,'acab equip'!N209)</f>
        <v>0</v>
      </c>
      <c r="Q209" s="163">
        <f>COUNTIFS(' CADASTRO'!$R$746:$R$893,'acab equip'!N209,' CADASTRO'!$S$746:$S$893,'acab equip'!$P$3)+COUNTIFS(' CADASTRO'!$R$746:$R$893,'acab equip'!N209,' CADASTRO'!$S$746:$S$893,'acab equip'!$O$3)</f>
        <v>0</v>
      </c>
      <c r="R209" s="162">
        <f t="shared" si="44"/>
        <v>47172</v>
      </c>
      <c r="S209" s="163">
        <f>COUNTIFS(' CADASTRO'!$S:$S,'acab equip'!$C$3,' CADASTRO'!$R:$R,'acab equip'!R209)</f>
        <v>0</v>
      </c>
      <c r="T209" s="163">
        <f>COUNTIFS(' CADASTRO'!$S:$S,'acab equip'!$D$3,' CADASTRO'!$R:$R,'acab equip'!R209)</f>
        <v>0</v>
      </c>
      <c r="U209" s="163">
        <f>COUNTIFS(' CADASTRO'!$R$746:$R$893,'acab equip'!R209,' CADASTRO'!$S$746:$S$893,'acab equip'!$T$3)+COUNTIFS(' CADASTRO'!$R$746:$R$893,'acab equip'!R209,' CADASTRO'!$S$746:$S$893,'acab equip'!$S$3)</f>
        <v>0</v>
      </c>
      <c r="V209" s="162">
        <f t="shared" si="45"/>
        <v>47173</v>
      </c>
      <c r="W209" s="163">
        <f>COUNTIFS(' CADASTRO'!$S:$S,'acab equip'!$C$3,' CADASTRO'!$R:$R,'acab equip'!V209)</f>
        <v>0</v>
      </c>
      <c r="X209" s="163">
        <f>COUNTIFS(' CADASTRO'!$S:$S,'acab equip'!$D$3,' CADASTRO'!$R:$R,'acab equip'!V209)</f>
        <v>0</v>
      </c>
      <c r="Y209" s="163">
        <f>COUNTIFS(' CADASTRO'!$R$746:$R$893,'acab equip'!V209,' CADASTRO'!$S$746:$S$893,'acab equip'!$X$3)+COUNTIFS(' CADASTRO'!$R$746:$R$893,'acab equip'!V209,' CADASTRO'!$S$746:$S$893,'acab equip'!$W$3)</f>
        <v>0</v>
      </c>
      <c r="Z209" s="162">
        <f t="shared" si="46"/>
        <v>47174</v>
      </c>
      <c r="AB209" s="165">
        <f t="shared" si="36"/>
        <v>0</v>
      </c>
      <c r="AC209" s="165">
        <f t="shared" si="37"/>
        <v>0</v>
      </c>
      <c r="AD209" s="165">
        <f t="shared" si="38"/>
        <v>0</v>
      </c>
      <c r="AE209" s="177">
        <f t="shared" si="39"/>
        <v>0</v>
      </c>
    </row>
    <row r="210" spans="2:31" x14ac:dyDescent="0.25">
      <c r="B210" s="162">
        <f t="shared" si="40"/>
        <v>47175</v>
      </c>
      <c r="C210" s="163">
        <f>COUNTIFS(' CADASTRO'!$S:$S,'acab equip'!$C$3,' CADASTRO'!$R:$R,'acab equip'!B210)</f>
        <v>0</v>
      </c>
      <c r="D210" s="163">
        <f>COUNTIFS(' CADASTRO'!$S:$S,'acab equip'!$D$3,' CADASTRO'!$R:$R,'acab equip'!B210)</f>
        <v>0</v>
      </c>
      <c r="E210" s="163">
        <f>COUNTIFS(' CADASTRO'!$R$746:$R$893,'acab equip'!B210,' CADASTRO'!$S$746:$S$893,'acab equip'!$D$3)+COUNTIFS(' CADASTRO'!$R$746:$R$893,'acab equip'!B210,' CADASTRO'!$S$746:$S$893,'acab equip'!$C$3)</f>
        <v>0</v>
      </c>
      <c r="F210" s="162">
        <f t="shared" si="41"/>
        <v>47176</v>
      </c>
      <c r="G210" s="163">
        <f>COUNTIFS(' CADASTRO'!$S:$S,'acab equip'!$C$3,' CADASTRO'!$R:$R,'acab equip'!F210)</f>
        <v>0</v>
      </c>
      <c r="H210" s="163">
        <f>COUNTIFS(' CADASTRO'!$S:$S,'acab equip'!$D$3,' CADASTRO'!$R:$R,'acab equip'!F210)</f>
        <v>0</v>
      </c>
      <c r="I210" s="163">
        <f>COUNTIFS(' CADASTRO'!$R$746:$R$893,'acab equip'!F210,' CADASTRO'!$S$746:$S$893,'acab equip'!$H$3)+COUNTIFS(' CADASTRO'!$R$746:$R$893,'acab equip'!F210,' CADASTRO'!$S$746:$S$893,'acab equip'!$G$3)</f>
        <v>0</v>
      </c>
      <c r="J210" s="162">
        <f t="shared" si="42"/>
        <v>47177</v>
      </c>
      <c r="K210" s="163">
        <f>COUNTIFS(' CADASTRO'!$S:$S,'acab equip'!$C$3,' CADASTRO'!$R:$R,'acab equip'!J210)</f>
        <v>0</v>
      </c>
      <c r="L210" s="163">
        <f>COUNTIFS(' CADASTRO'!$S:$S,'acab equip'!$D$3,' CADASTRO'!$R:$R,'acab equip'!J210)</f>
        <v>0</v>
      </c>
      <c r="M210" s="163">
        <f>COUNTIFS(' CADASTRO'!$R$746:$R$893,'acab equip'!J210,' CADASTRO'!$S$746:$S$893,'acab equip'!$L$3)+COUNTIFS(' CADASTRO'!$R$746:$R$893,'acab equip'!J210,' CADASTRO'!$S$746:$S$893,'acab equip'!$K$3)</f>
        <v>0</v>
      </c>
      <c r="N210" s="162">
        <f t="shared" si="43"/>
        <v>47178</v>
      </c>
      <c r="O210" s="163">
        <f>COUNTIFS(' CADASTRO'!$S:$S,'acab equip'!$C$3,' CADASTRO'!$R:$R,'acab equip'!N210)</f>
        <v>0</v>
      </c>
      <c r="P210" s="163">
        <f>COUNTIFS(' CADASTRO'!$S:$S,'acab equip'!$D$3,' CADASTRO'!$R:$R,'acab equip'!N210)</f>
        <v>0</v>
      </c>
      <c r="Q210" s="163">
        <f>COUNTIFS(' CADASTRO'!$R$746:$R$893,'acab equip'!N210,' CADASTRO'!$S$746:$S$893,'acab equip'!$P$3)+COUNTIFS(' CADASTRO'!$R$746:$R$893,'acab equip'!N210,' CADASTRO'!$S$746:$S$893,'acab equip'!$O$3)</f>
        <v>0</v>
      </c>
      <c r="R210" s="162">
        <f t="shared" si="44"/>
        <v>47179</v>
      </c>
      <c r="S210" s="163">
        <f>COUNTIFS(' CADASTRO'!$S:$S,'acab equip'!$C$3,' CADASTRO'!$R:$R,'acab equip'!R210)</f>
        <v>0</v>
      </c>
      <c r="T210" s="163">
        <f>COUNTIFS(' CADASTRO'!$S:$S,'acab equip'!$D$3,' CADASTRO'!$R:$R,'acab equip'!R210)</f>
        <v>0</v>
      </c>
      <c r="U210" s="163">
        <f>COUNTIFS(' CADASTRO'!$R$746:$R$893,'acab equip'!R210,' CADASTRO'!$S$746:$S$893,'acab equip'!$T$3)+COUNTIFS(' CADASTRO'!$R$746:$R$893,'acab equip'!R210,' CADASTRO'!$S$746:$S$893,'acab equip'!$S$3)</f>
        <v>0</v>
      </c>
      <c r="V210" s="162">
        <f t="shared" si="45"/>
        <v>47180</v>
      </c>
      <c r="W210" s="163">
        <f>COUNTIFS(' CADASTRO'!$S:$S,'acab equip'!$C$3,' CADASTRO'!$R:$R,'acab equip'!V210)</f>
        <v>0</v>
      </c>
      <c r="X210" s="163">
        <f>COUNTIFS(' CADASTRO'!$S:$S,'acab equip'!$D$3,' CADASTRO'!$R:$R,'acab equip'!V210)</f>
        <v>0</v>
      </c>
      <c r="Y210" s="163">
        <f>COUNTIFS(' CADASTRO'!$R$746:$R$893,'acab equip'!V210,' CADASTRO'!$S$746:$S$893,'acab equip'!$X$3)+COUNTIFS(' CADASTRO'!$R$746:$R$893,'acab equip'!V210,' CADASTRO'!$S$746:$S$893,'acab equip'!$W$3)</f>
        <v>0</v>
      </c>
      <c r="Z210" s="162">
        <f t="shared" si="46"/>
        <v>47181</v>
      </c>
      <c r="AB210" s="165">
        <f t="shared" si="36"/>
        <v>0</v>
      </c>
      <c r="AC210" s="165">
        <f t="shared" si="37"/>
        <v>0</v>
      </c>
      <c r="AD210" s="165">
        <f t="shared" si="38"/>
        <v>0</v>
      </c>
      <c r="AE210" s="177">
        <f t="shared" si="39"/>
        <v>0</v>
      </c>
    </row>
    <row r="211" spans="2:31" x14ac:dyDescent="0.25">
      <c r="B211" s="162">
        <f t="shared" si="40"/>
        <v>47182</v>
      </c>
      <c r="C211" s="163">
        <f>COUNTIFS(' CADASTRO'!$S:$S,'acab equip'!$C$3,' CADASTRO'!$R:$R,'acab equip'!B211)</f>
        <v>0</v>
      </c>
      <c r="D211" s="163">
        <f>COUNTIFS(' CADASTRO'!$S:$S,'acab equip'!$D$3,' CADASTRO'!$R:$R,'acab equip'!B211)</f>
        <v>0</v>
      </c>
      <c r="E211" s="163">
        <f>COUNTIFS(' CADASTRO'!$R$746:$R$893,'acab equip'!B211,' CADASTRO'!$S$746:$S$893,'acab equip'!$D$3)+COUNTIFS(' CADASTRO'!$R$746:$R$893,'acab equip'!B211,' CADASTRO'!$S$746:$S$893,'acab equip'!$C$3)</f>
        <v>0</v>
      </c>
      <c r="F211" s="162">
        <f t="shared" si="41"/>
        <v>47183</v>
      </c>
      <c r="G211" s="163">
        <f>COUNTIFS(' CADASTRO'!$S:$S,'acab equip'!$C$3,' CADASTRO'!$R:$R,'acab equip'!F211)</f>
        <v>0</v>
      </c>
      <c r="H211" s="163">
        <f>COUNTIFS(' CADASTRO'!$S:$S,'acab equip'!$D$3,' CADASTRO'!$R:$R,'acab equip'!F211)</f>
        <v>0</v>
      </c>
      <c r="I211" s="163">
        <f>COUNTIFS(' CADASTRO'!$R$746:$R$893,'acab equip'!F211,' CADASTRO'!$S$746:$S$893,'acab equip'!$H$3)+COUNTIFS(' CADASTRO'!$R$746:$R$893,'acab equip'!F211,' CADASTRO'!$S$746:$S$893,'acab equip'!$G$3)</f>
        <v>0</v>
      </c>
      <c r="J211" s="162">
        <f t="shared" si="42"/>
        <v>47184</v>
      </c>
      <c r="K211" s="163">
        <f>COUNTIFS(' CADASTRO'!$S:$S,'acab equip'!$C$3,' CADASTRO'!$R:$R,'acab equip'!J211)</f>
        <v>0</v>
      </c>
      <c r="L211" s="163">
        <f>COUNTIFS(' CADASTRO'!$S:$S,'acab equip'!$D$3,' CADASTRO'!$R:$R,'acab equip'!J211)</f>
        <v>0</v>
      </c>
      <c r="M211" s="163">
        <f>COUNTIFS(' CADASTRO'!$R$746:$R$893,'acab equip'!J211,' CADASTRO'!$S$746:$S$893,'acab equip'!$L$3)+COUNTIFS(' CADASTRO'!$R$746:$R$893,'acab equip'!J211,' CADASTRO'!$S$746:$S$893,'acab equip'!$K$3)</f>
        <v>0</v>
      </c>
      <c r="N211" s="162">
        <f t="shared" si="43"/>
        <v>47185</v>
      </c>
      <c r="O211" s="163">
        <f>COUNTIFS(' CADASTRO'!$S:$S,'acab equip'!$C$3,' CADASTRO'!$R:$R,'acab equip'!N211)</f>
        <v>0</v>
      </c>
      <c r="P211" s="163">
        <f>COUNTIFS(' CADASTRO'!$S:$S,'acab equip'!$D$3,' CADASTRO'!$R:$R,'acab equip'!N211)</f>
        <v>0</v>
      </c>
      <c r="Q211" s="163">
        <f>COUNTIFS(' CADASTRO'!$R$746:$R$893,'acab equip'!N211,' CADASTRO'!$S$746:$S$893,'acab equip'!$P$3)+COUNTIFS(' CADASTRO'!$R$746:$R$893,'acab equip'!N211,' CADASTRO'!$S$746:$S$893,'acab equip'!$O$3)</f>
        <v>0</v>
      </c>
      <c r="R211" s="162">
        <f t="shared" si="44"/>
        <v>47186</v>
      </c>
      <c r="S211" s="163">
        <f>COUNTIFS(' CADASTRO'!$S:$S,'acab equip'!$C$3,' CADASTRO'!$R:$R,'acab equip'!R211)</f>
        <v>0</v>
      </c>
      <c r="T211" s="163">
        <f>COUNTIFS(' CADASTRO'!$S:$S,'acab equip'!$D$3,' CADASTRO'!$R:$R,'acab equip'!R211)</f>
        <v>0</v>
      </c>
      <c r="U211" s="163">
        <f>COUNTIFS(' CADASTRO'!$R$746:$R$893,'acab equip'!R211,' CADASTRO'!$S$746:$S$893,'acab equip'!$T$3)+COUNTIFS(' CADASTRO'!$R$746:$R$893,'acab equip'!R211,' CADASTRO'!$S$746:$S$893,'acab equip'!$S$3)</f>
        <v>0</v>
      </c>
      <c r="V211" s="162">
        <f t="shared" si="45"/>
        <v>47187</v>
      </c>
      <c r="W211" s="163">
        <f>COUNTIFS(' CADASTRO'!$S:$S,'acab equip'!$C$3,' CADASTRO'!$R:$R,'acab equip'!V211)</f>
        <v>0</v>
      </c>
      <c r="X211" s="163">
        <f>COUNTIFS(' CADASTRO'!$S:$S,'acab equip'!$D$3,' CADASTRO'!$R:$R,'acab equip'!V211)</f>
        <v>0</v>
      </c>
      <c r="Y211" s="163">
        <f>COUNTIFS(' CADASTRO'!$R$746:$R$893,'acab equip'!V211,' CADASTRO'!$S$746:$S$893,'acab equip'!$X$3)+COUNTIFS(' CADASTRO'!$R$746:$R$893,'acab equip'!V211,' CADASTRO'!$S$746:$S$893,'acab equip'!$W$3)</f>
        <v>0</v>
      </c>
      <c r="Z211" s="162">
        <f t="shared" si="46"/>
        <v>47188</v>
      </c>
      <c r="AB211" s="165">
        <f t="shared" si="36"/>
        <v>0</v>
      </c>
      <c r="AC211" s="165">
        <f t="shared" si="37"/>
        <v>0</v>
      </c>
      <c r="AD211" s="165">
        <f t="shared" si="38"/>
        <v>0</v>
      </c>
      <c r="AE211" s="177">
        <f t="shared" si="39"/>
        <v>0</v>
      </c>
    </row>
    <row r="212" spans="2:31" x14ac:dyDescent="0.25">
      <c r="B212" s="162">
        <f t="shared" si="40"/>
        <v>47189</v>
      </c>
      <c r="C212" s="163">
        <f>COUNTIFS(' CADASTRO'!$S:$S,'acab equip'!$C$3,' CADASTRO'!$R:$R,'acab equip'!B212)</f>
        <v>0</v>
      </c>
      <c r="D212" s="163">
        <f>COUNTIFS(' CADASTRO'!$S:$S,'acab equip'!$D$3,' CADASTRO'!$R:$R,'acab equip'!B212)</f>
        <v>0</v>
      </c>
      <c r="E212" s="163"/>
      <c r="F212" s="162">
        <f t="shared" si="41"/>
        <v>47190</v>
      </c>
      <c r="G212" s="163">
        <f>COUNTIFS(' CADASTRO'!$S:$S,'acab equip'!$C$3,' CADASTRO'!$R:$R,'acab equip'!F212)</f>
        <v>0</v>
      </c>
      <c r="H212" s="163">
        <f>COUNTIFS(' CADASTRO'!$S:$S,'acab equip'!$D$3,' CADASTRO'!$R:$R,'acab equip'!F212)</f>
        <v>0</v>
      </c>
      <c r="I212" s="163">
        <f>COUNTIFS(' CADASTRO'!$R$746:$R$893,'acab equip'!F212,' CADASTRO'!$S$746:$S$893,'acab equip'!$H$3)+COUNTIFS(' CADASTRO'!$R$746:$R$893,'acab equip'!F212,' CADASTRO'!$S$746:$S$893,'acab equip'!$G$3)</f>
        <v>0</v>
      </c>
      <c r="J212" s="162">
        <f t="shared" si="42"/>
        <v>47191</v>
      </c>
      <c r="K212" s="163">
        <f>COUNTIFS(' CADASTRO'!$S:$S,'acab equip'!$C$3,' CADASTRO'!$R:$R,'acab equip'!J212)</f>
        <v>0</v>
      </c>
      <c r="L212" s="163">
        <f>COUNTIFS(' CADASTRO'!$S:$S,'acab equip'!$D$3,' CADASTRO'!$R:$R,'acab equip'!J212)</f>
        <v>0</v>
      </c>
      <c r="M212" s="163">
        <f>COUNTIFS(' CADASTRO'!$R$746:$R$893,'acab equip'!J212,' CADASTRO'!$S$746:$S$893,'acab equip'!$L$3)+COUNTIFS(' CADASTRO'!$R$746:$R$893,'acab equip'!J212,' CADASTRO'!$S$746:$S$893,'acab equip'!$K$3)</f>
        <v>0</v>
      </c>
      <c r="N212" s="162">
        <f t="shared" si="43"/>
        <v>47192</v>
      </c>
      <c r="O212" s="163">
        <f>COUNTIFS(' CADASTRO'!$S:$S,'acab equip'!$C$3,' CADASTRO'!$R:$R,'acab equip'!N212)</f>
        <v>0</v>
      </c>
      <c r="P212" s="163">
        <f>COUNTIFS(' CADASTRO'!$S:$S,'acab equip'!$D$3,' CADASTRO'!$R:$R,'acab equip'!N212)</f>
        <v>0</v>
      </c>
      <c r="Q212" s="163">
        <f>COUNTIFS(' CADASTRO'!$R$746:$R$893,'acab equip'!N212,' CADASTRO'!$S$746:$S$893,'acab equip'!$P$3)+COUNTIFS(' CADASTRO'!$R$746:$R$893,'acab equip'!N212,' CADASTRO'!$S$746:$S$893,'acab equip'!$O$3)</f>
        <v>0</v>
      </c>
      <c r="R212" s="162">
        <f t="shared" si="44"/>
        <v>47193</v>
      </c>
      <c r="S212" s="163">
        <f>COUNTIFS(' CADASTRO'!$S:$S,'acab equip'!$C$3,' CADASTRO'!$R:$R,'acab equip'!R212)</f>
        <v>0</v>
      </c>
      <c r="T212" s="163">
        <f>COUNTIFS(' CADASTRO'!$S:$S,'acab equip'!$D$3,' CADASTRO'!$R:$R,'acab equip'!R212)</f>
        <v>0</v>
      </c>
      <c r="U212" s="163">
        <f>COUNTIFS(' CADASTRO'!$R$746:$R$893,'acab equip'!R212,' CADASTRO'!$S$746:$S$893,'acab equip'!$T$3)+COUNTIFS(' CADASTRO'!$R$746:$R$893,'acab equip'!R212,' CADASTRO'!$S$746:$S$893,'acab equip'!$S$3)</f>
        <v>0</v>
      </c>
      <c r="V212" s="162">
        <f t="shared" si="45"/>
        <v>47194</v>
      </c>
      <c r="W212" s="163">
        <f>COUNTIFS(' CADASTRO'!$S:$S,'acab equip'!$C$3,' CADASTRO'!$R:$R,'acab equip'!V212)</f>
        <v>0</v>
      </c>
      <c r="X212" s="163">
        <f>COUNTIFS(' CADASTRO'!$S:$S,'acab equip'!$D$3,' CADASTRO'!$R:$R,'acab equip'!V212)</f>
        <v>0</v>
      </c>
      <c r="Y212" s="163">
        <f>COUNTIFS(' CADASTRO'!$R$746:$R$893,'acab equip'!V212,' CADASTRO'!$S$746:$S$893,'acab equip'!$X$3)+COUNTIFS(' CADASTRO'!$R$746:$R$893,'acab equip'!V212,' CADASTRO'!$S$746:$S$893,'acab equip'!$W$3)</f>
        <v>0</v>
      </c>
      <c r="Z212" s="162">
        <f t="shared" si="46"/>
        <v>47195</v>
      </c>
      <c r="AB212" s="165">
        <f t="shared" si="36"/>
        <v>0</v>
      </c>
      <c r="AC212" s="165">
        <f t="shared" si="37"/>
        <v>0</v>
      </c>
      <c r="AD212" s="165">
        <f t="shared" si="38"/>
        <v>0</v>
      </c>
      <c r="AE212" s="177">
        <f t="shared" si="39"/>
        <v>0</v>
      </c>
    </row>
    <row r="213" spans="2:31" x14ac:dyDescent="0.25">
      <c r="B213" s="162">
        <f t="shared" si="40"/>
        <v>47196</v>
      </c>
      <c r="C213" s="163">
        <f>COUNTIFS(' CADASTRO'!$S:$S,'acab equip'!$C$3,' CADASTRO'!$R:$R,'acab equip'!B213)</f>
        <v>0</v>
      </c>
      <c r="D213" s="163">
        <f>COUNTIFS(' CADASTRO'!$S:$S,'acab equip'!$D$3,' CADASTRO'!$R:$R,'acab equip'!B213)</f>
        <v>0</v>
      </c>
      <c r="E213" s="163"/>
      <c r="F213" s="162">
        <f t="shared" si="41"/>
        <v>47197</v>
      </c>
      <c r="G213" s="163">
        <f>COUNTIFS(' CADASTRO'!$S:$S,'acab equip'!$C$3,' CADASTRO'!$R:$R,'acab equip'!F213)</f>
        <v>0</v>
      </c>
      <c r="H213" s="163">
        <f>COUNTIFS(' CADASTRO'!$S:$S,'acab equip'!$D$3,' CADASTRO'!$R:$R,'acab equip'!F213)</f>
        <v>0</v>
      </c>
      <c r="I213" s="163">
        <f>COUNTIFS(' CADASTRO'!$R$746:$R$893,'acab equip'!F213,' CADASTRO'!$S$746:$S$893,'acab equip'!$H$3)+COUNTIFS(' CADASTRO'!$R$746:$R$893,'acab equip'!F213,' CADASTRO'!$S$746:$S$893,'acab equip'!$G$3)</f>
        <v>0</v>
      </c>
      <c r="J213" s="162">
        <f t="shared" si="42"/>
        <v>47198</v>
      </c>
      <c r="K213" s="163">
        <f>COUNTIFS(' CADASTRO'!$S:$S,'acab equip'!$C$3,' CADASTRO'!$R:$R,'acab equip'!J213)</f>
        <v>0</v>
      </c>
      <c r="L213" s="163">
        <f>COUNTIFS(' CADASTRO'!$S:$S,'acab equip'!$D$3,' CADASTRO'!$R:$R,'acab equip'!J213)</f>
        <v>0</v>
      </c>
      <c r="M213" s="163">
        <f>COUNTIFS(' CADASTRO'!$R$746:$R$893,'acab equip'!J213,' CADASTRO'!$S$746:$S$893,'acab equip'!$L$3)+COUNTIFS(' CADASTRO'!$R$746:$R$893,'acab equip'!J213,' CADASTRO'!$S$746:$S$893,'acab equip'!$K$3)</f>
        <v>0</v>
      </c>
      <c r="N213" s="162">
        <f t="shared" si="43"/>
        <v>47199</v>
      </c>
      <c r="O213" s="163">
        <f>COUNTIFS(' CADASTRO'!$S:$S,'acab equip'!$C$3,' CADASTRO'!$R:$R,'acab equip'!N213)</f>
        <v>0</v>
      </c>
      <c r="P213" s="163">
        <f>COUNTIFS(' CADASTRO'!$S:$S,'acab equip'!$D$3,' CADASTRO'!$R:$R,'acab equip'!N213)</f>
        <v>0</v>
      </c>
      <c r="Q213" s="163">
        <f>COUNTIFS(' CADASTRO'!$R$746:$R$893,'acab equip'!N213,' CADASTRO'!$S$746:$S$893,'acab equip'!$P$3)+COUNTIFS(' CADASTRO'!$R$746:$R$893,'acab equip'!N213,' CADASTRO'!$S$746:$S$893,'acab equip'!$O$3)</f>
        <v>0</v>
      </c>
      <c r="R213" s="162">
        <f t="shared" si="44"/>
        <v>47200</v>
      </c>
      <c r="S213" s="163">
        <f>COUNTIFS(' CADASTRO'!$S:$S,'acab equip'!$C$3,' CADASTRO'!$R:$R,'acab equip'!R213)</f>
        <v>0</v>
      </c>
      <c r="T213" s="163">
        <f>COUNTIFS(' CADASTRO'!$S:$S,'acab equip'!$D$3,' CADASTRO'!$R:$R,'acab equip'!R213)</f>
        <v>0</v>
      </c>
      <c r="U213" s="163">
        <f>COUNTIFS(' CADASTRO'!$R$746:$R$893,'acab equip'!R213,' CADASTRO'!$S$746:$S$893,'acab equip'!$T$3)+COUNTIFS(' CADASTRO'!$R$746:$R$893,'acab equip'!R213,' CADASTRO'!$S$746:$S$893,'acab equip'!$S$3)</f>
        <v>0</v>
      </c>
      <c r="V213" s="162">
        <f t="shared" si="45"/>
        <v>47201</v>
      </c>
      <c r="W213" s="163">
        <f>COUNTIFS(' CADASTRO'!$S:$S,'acab equip'!$C$3,' CADASTRO'!$R:$R,'acab equip'!V213)</f>
        <v>0</v>
      </c>
      <c r="X213" s="163">
        <f>COUNTIFS(' CADASTRO'!$S:$S,'acab equip'!$D$3,' CADASTRO'!$R:$R,'acab equip'!V213)</f>
        <v>0</v>
      </c>
      <c r="Y213" s="163">
        <f>COUNTIFS(' CADASTRO'!$R$746:$R$893,'acab equip'!V213,' CADASTRO'!$S$746:$S$893,'acab equip'!$X$3)+COUNTIFS(' CADASTRO'!$R$746:$R$893,'acab equip'!V213,' CADASTRO'!$S$746:$S$893,'acab equip'!$W$3)</f>
        <v>0</v>
      </c>
      <c r="Z213" s="162">
        <f t="shared" si="46"/>
        <v>47202</v>
      </c>
      <c r="AB213" s="165">
        <f t="shared" si="36"/>
        <v>0</v>
      </c>
      <c r="AC213" s="165">
        <f t="shared" si="37"/>
        <v>0</v>
      </c>
      <c r="AD213" s="165">
        <f t="shared" si="38"/>
        <v>0</v>
      </c>
      <c r="AE213" s="177">
        <f t="shared" si="39"/>
        <v>0</v>
      </c>
    </row>
    <row r="214" spans="2:31" x14ac:dyDescent="0.25">
      <c r="B214" s="162">
        <f t="shared" si="40"/>
        <v>47203</v>
      </c>
      <c r="C214" s="163">
        <f>COUNTIFS(' CADASTRO'!$S:$S,'acab equip'!$C$3,' CADASTRO'!$R:$R,'acab equip'!B214)</f>
        <v>0</v>
      </c>
      <c r="D214" s="163">
        <f>COUNTIFS(' CADASTRO'!$S:$S,'acab equip'!$D$3,' CADASTRO'!$R:$R,'acab equip'!B214)</f>
        <v>0</v>
      </c>
      <c r="E214" s="163"/>
      <c r="F214" s="162">
        <f t="shared" si="41"/>
        <v>47204</v>
      </c>
      <c r="G214" s="163">
        <f>COUNTIFS(' CADASTRO'!$S:$S,'acab equip'!$C$3,' CADASTRO'!$R:$R,'acab equip'!F214)</f>
        <v>0</v>
      </c>
      <c r="H214" s="163">
        <f>COUNTIFS(' CADASTRO'!$S:$S,'acab equip'!$D$3,' CADASTRO'!$R:$R,'acab equip'!F214)</f>
        <v>0</v>
      </c>
      <c r="I214" s="163">
        <f>COUNTIFS(' CADASTRO'!$R$746:$R$893,'acab equip'!F214,' CADASTRO'!$S$746:$S$893,'acab equip'!$H$3)+COUNTIFS(' CADASTRO'!$R$746:$R$893,'acab equip'!F214,' CADASTRO'!$S$746:$S$893,'acab equip'!$G$3)</f>
        <v>0</v>
      </c>
      <c r="J214" s="162">
        <f t="shared" si="42"/>
        <v>47205</v>
      </c>
      <c r="K214" s="163">
        <f>COUNTIFS(' CADASTRO'!$S:$S,'acab equip'!$C$3,' CADASTRO'!$R:$R,'acab equip'!J214)</f>
        <v>0</v>
      </c>
      <c r="L214" s="163">
        <f>COUNTIFS(' CADASTRO'!$S:$S,'acab equip'!$D$3,' CADASTRO'!$R:$R,'acab equip'!J214)</f>
        <v>0</v>
      </c>
      <c r="M214" s="163">
        <f>COUNTIFS(' CADASTRO'!$R$746:$R$893,'acab equip'!J214,' CADASTRO'!$S$746:$S$893,'acab equip'!$L$3)+COUNTIFS(' CADASTRO'!$R$746:$R$893,'acab equip'!J214,' CADASTRO'!$S$746:$S$893,'acab equip'!$K$3)</f>
        <v>0</v>
      </c>
      <c r="N214" s="162">
        <f t="shared" si="43"/>
        <v>47206</v>
      </c>
      <c r="O214" s="163">
        <f>COUNTIFS(' CADASTRO'!$S:$S,'acab equip'!$C$3,' CADASTRO'!$R:$R,'acab equip'!N214)</f>
        <v>0</v>
      </c>
      <c r="P214" s="163">
        <f>COUNTIFS(' CADASTRO'!$S:$S,'acab equip'!$D$3,' CADASTRO'!$R:$R,'acab equip'!N214)</f>
        <v>0</v>
      </c>
      <c r="Q214" s="163">
        <f>COUNTIFS(' CADASTRO'!$R$746:$R$893,'acab equip'!N214,' CADASTRO'!$S$746:$S$893,'acab equip'!$P$3)+COUNTIFS(' CADASTRO'!$R$746:$R$893,'acab equip'!N214,' CADASTRO'!$S$746:$S$893,'acab equip'!$O$3)</f>
        <v>0</v>
      </c>
      <c r="R214" s="162">
        <f t="shared" si="44"/>
        <v>47207</v>
      </c>
      <c r="S214" s="163">
        <f>COUNTIFS(' CADASTRO'!$S:$S,'acab equip'!$C$3,' CADASTRO'!$R:$R,'acab equip'!R214)</f>
        <v>0</v>
      </c>
      <c r="T214" s="163">
        <f>COUNTIFS(' CADASTRO'!$S:$S,'acab equip'!$D$3,' CADASTRO'!$R:$R,'acab equip'!R214)</f>
        <v>0</v>
      </c>
      <c r="U214" s="163">
        <f>COUNTIFS(' CADASTRO'!$R$746:$R$893,'acab equip'!R214,' CADASTRO'!$S$746:$S$893,'acab equip'!$T$3)+COUNTIFS(' CADASTRO'!$R$746:$R$893,'acab equip'!R214,' CADASTRO'!$S$746:$S$893,'acab equip'!$S$3)</f>
        <v>0</v>
      </c>
      <c r="V214" s="162">
        <f t="shared" si="45"/>
        <v>47208</v>
      </c>
      <c r="W214" s="163">
        <f>COUNTIFS(' CADASTRO'!$S:$S,'acab equip'!$C$3,' CADASTRO'!$R:$R,'acab equip'!V214)</f>
        <v>0</v>
      </c>
      <c r="X214" s="163">
        <f>COUNTIFS(' CADASTRO'!$S:$S,'acab equip'!$D$3,' CADASTRO'!$R:$R,'acab equip'!V214)</f>
        <v>0</v>
      </c>
      <c r="Y214" s="163">
        <f>COUNTIFS(' CADASTRO'!$R$746:$R$893,'acab equip'!V214,' CADASTRO'!$S$746:$S$893,'acab equip'!$X$3)+COUNTIFS(' CADASTRO'!$R$746:$R$893,'acab equip'!V214,' CADASTRO'!$S$746:$S$893,'acab equip'!$W$3)</f>
        <v>0</v>
      </c>
      <c r="Z214" s="162">
        <f t="shared" si="46"/>
        <v>47209</v>
      </c>
      <c r="AB214" s="165">
        <f t="shared" si="36"/>
        <v>0</v>
      </c>
      <c r="AC214" s="165">
        <f t="shared" si="37"/>
        <v>0</v>
      </c>
      <c r="AD214" s="165">
        <f t="shared" si="38"/>
        <v>0</v>
      </c>
      <c r="AE214" s="177">
        <f t="shared" si="39"/>
        <v>0</v>
      </c>
    </row>
    <row r="215" spans="2:31" x14ac:dyDescent="0.25">
      <c r="B215" s="162">
        <f t="shared" si="40"/>
        <v>47210</v>
      </c>
      <c r="C215" s="163">
        <f>COUNTIFS(' CADASTRO'!$S:$S,'acab equip'!$C$3,' CADASTRO'!$R:$R,'acab equip'!B215)</f>
        <v>0</v>
      </c>
      <c r="D215" s="163">
        <f>COUNTIFS(' CADASTRO'!$S:$S,'acab equip'!$D$3,' CADASTRO'!$R:$R,'acab equip'!B215)</f>
        <v>0</v>
      </c>
      <c r="E215" s="163"/>
      <c r="F215" s="162">
        <f t="shared" si="41"/>
        <v>47211</v>
      </c>
      <c r="G215" s="163">
        <f>COUNTIFS(' CADASTRO'!$S:$S,'acab equip'!$C$3,' CADASTRO'!$R:$R,'acab equip'!F215)</f>
        <v>0</v>
      </c>
      <c r="H215" s="163">
        <f>COUNTIFS(' CADASTRO'!$S:$S,'acab equip'!$D$3,' CADASTRO'!$R:$R,'acab equip'!F215)</f>
        <v>0</v>
      </c>
      <c r="I215" s="163">
        <f>COUNTIFS(' CADASTRO'!$R$746:$R$893,'acab equip'!F215,' CADASTRO'!$S$746:$S$893,'acab equip'!$H$3)+COUNTIFS(' CADASTRO'!$R$746:$R$893,'acab equip'!F215,' CADASTRO'!$S$746:$S$893,'acab equip'!$G$3)</f>
        <v>0</v>
      </c>
      <c r="J215" s="162">
        <f t="shared" si="42"/>
        <v>47212</v>
      </c>
      <c r="K215" s="163">
        <f>COUNTIFS(' CADASTRO'!$S:$S,'acab equip'!$C$3,' CADASTRO'!$R:$R,'acab equip'!J215)</f>
        <v>0</v>
      </c>
      <c r="L215" s="163">
        <f>COUNTIFS(' CADASTRO'!$S:$S,'acab equip'!$D$3,' CADASTRO'!$R:$R,'acab equip'!J215)</f>
        <v>0</v>
      </c>
      <c r="M215" s="163">
        <f>COUNTIFS(' CADASTRO'!$R$746:$R$893,'acab equip'!J215,' CADASTRO'!$S$746:$S$893,'acab equip'!$L$3)+COUNTIFS(' CADASTRO'!$R$746:$R$893,'acab equip'!J215,' CADASTRO'!$S$746:$S$893,'acab equip'!$K$3)</f>
        <v>0</v>
      </c>
      <c r="N215" s="162">
        <f t="shared" si="43"/>
        <v>47213</v>
      </c>
      <c r="O215" s="163">
        <f>COUNTIFS(' CADASTRO'!$S:$S,'acab equip'!$C$3,' CADASTRO'!$R:$R,'acab equip'!N215)</f>
        <v>0</v>
      </c>
      <c r="P215" s="163">
        <f>COUNTIFS(' CADASTRO'!$S:$S,'acab equip'!$D$3,' CADASTRO'!$R:$R,'acab equip'!N215)</f>
        <v>0</v>
      </c>
      <c r="Q215" s="163">
        <f>COUNTIFS(' CADASTRO'!$R$746:$R$893,'acab equip'!N215,' CADASTRO'!$S$746:$S$893,'acab equip'!$P$3)+COUNTIFS(' CADASTRO'!$R$746:$R$893,'acab equip'!N215,' CADASTRO'!$S$746:$S$893,'acab equip'!$O$3)</f>
        <v>0</v>
      </c>
      <c r="R215" s="162">
        <f t="shared" si="44"/>
        <v>47214</v>
      </c>
      <c r="S215" s="163">
        <f>COUNTIFS(' CADASTRO'!$S:$S,'acab equip'!$C$3,' CADASTRO'!$R:$R,'acab equip'!R215)</f>
        <v>0</v>
      </c>
      <c r="T215" s="163">
        <f>COUNTIFS(' CADASTRO'!$S:$S,'acab equip'!$D$3,' CADASTRO'!$R:$R,'acab equip'!R215)</f>
        <v>0</v>
      </c>
      <c r="U215" s="163">
        <f>COUNTIFS(' CADASTRO'!$R$746:$R$893,'acab equip'!R215,' CADASTRO'!$S$746:$S$893,'acab equip'!$T$3)+COUNTIFS(' CADASTRO'!$R$746:$R$893,'acab equip'!R215,' CADASTRO'!$S$746:$S$893,'acab equip'!$S$3)</f>
        <v>0</v>
      </c>
      <c r="V215" s="162">
        <f t="shared" si="45"/>
        <v>47215</v>
      </c>
      <c r="W215" s="163">
        <f>COUNTIFS(' CADASTRO'!$S:$S,'acab equip'!$C$3,' CADASTRO'!$R:$R,'acab equip'!V215)</f>
        <v>0</v>
      </c>
      <c r="X215" s="163">
        <f>COUNTIFS(' CADASTRO'!$S:$S,'acab equip'!$D$3,' CADASTRO'!$R:$R,'acab equip'!V215)</f>
        <v>0</v>
      </c>
      <c r="Y215" s="163">
        <f>COUNTIFS(' CADASTRO'!$R$746:$R$893,'acab equip'!V215,' CADASTRO'!$S$746:$S$893,'acab equip'!$X$3)+COUNTIFS(' CADASTRO'!$R$746:$R$893,'acab equip'!V215,' CADASTRO'!$S$746:$S$893,'acab equip'!$W$3)</f>
        <v>0</v>
      </c>
      <c r="Z215" s="162">
        <f t="shared" si="46"/>
        <v>47216</v>
      </c>
      <c r="AB215" s="165">
        <f t="shared" si="36"/>
        <v>0</v>
      </c>
      <c r="AC215" s="165">
        <f t="shared" si="37"/>
        <v>0</v>
      </c>
      <c r="AD215" s="165">
        <f t="shared" si="38"/>
        <v>0</v>
      </c>
      <c r="AE215" s="177">
        <f t="shared" si="39"/>
        <v>0</v>
      </c>
    </row>
    <row r="216" spans="2:31" x14ac:dyDescent="0.25">
      <c r="B216" s="162">
        <f t="shared" si="40"/>
        <v>47217</v>
      </c>
      <c r="C216" s="163">
        <f>COUNTIFS(' CADASTRO'!$S:$S,'acab equip'!$C$3,' CADASTRO'!$R:$R,'acab equip'!B216)</f>
        <v>0</v>
      </c>
      <c r="D216" s="163">
        <f>COUNTIFS(' CADASTRO'!$S:$S,'acab equip'!$D$3,' CADASTRO'!$R:$R,'acab equip'!B216)</f>
        <v>0</v>
      </c>
      <c r="E216" s="163"/>
      <c r="F216" s="162">
        <f t="shared" si="41"/>
        <v>47218</v>
      </c>
      <c r="G216" s="163">
        <f>COUNTIFS(' CADASTRO'!$S:$S,'acab equip'!$C$3,' CADASTRO'!$R:$R,'acab equip'!F216)</f>
        <v>0</v>
      </c>
      <c r="H216" s="163">
        <f>COUNTIFS(' CADASTRO'!$S:$S,'acab equip'!$D$3,' CADASTRO'!$R:$R,'acab equip'!F216)</f>
        <v>0</v>
      </c>
      <c r="I216" s="163">
        <f>COUNTIFS(' CADASTRO'!$R$746:$R$893,'acab equip'!F216,' CADASTRO'!$S$746:$S$893,'acab equip'!$H$3)+COUNTIFS(' CADASTRO'!$R$746:$R$893,'acab equip'!F216,' CADASTRO'!$S$746:$S$893,'acab equip'!$G$3)</f>
        <v>0</v>
      </c>
      <c r="J216" s="162">
        <f t="shared" si="42"/>
        <v>47219</v>
      </c>
      <c r="K216" s="163">
        <f>COUNTIFS(' CADASTRO'!$S:$S,'acab equip'!$C$3,' CADASTRO'!$R:$R,'acab equip'!J216)</f>
        <v>0</v>
      </c>
      <c r="L216" s="163">
        <f>COUNTIFS(' CADASTRO'!$S:$S,'acab equip'!$D$3,' CADASTRO'!$R:$R,'acab equip'!J216)</f>
        <v>0</v>
      </c>
      <c r="M216" s="163">
        <f>COUNTIFS(' CADASTRO'!$R$746:$R$893,'acab equip'!J216,' CADASTRO'!$S$746:$S$893,'acab equip'!$L$3)+COUNTIFS(' CADASTRO'!$R$746:$R$893,'acab equip'!J216,' CADASTRO'!$S$746:$S$893,'acab equip'!$K$3)</f>
        <v>0</v>
      </c>
      <c r="N216" s="162">
        <f t="shared" si="43"/>
        <v>47220</v>
      </c>
      <c r="O216" s="163">
        <f>COUNTIFS(' CADASTRO'!$S:$S,'acab equip'!$C$3,' CADASTRO'!$R:$R,'acab equip'!N216)</f>
        <v>0</v>
      </c>
      <c r="P216" s="163">
        <f>COUNTIFS(' CADASTRO'!$S:$S,'acab equip'!$D$3,' CADASTRO'!$R:$R,'acab equip'!N216)</f>
        <v>0</v>
      </c>
      <c r="Q216" s="163">
        <f>COUNTIFS(' CADASTRO'!$R$746:$R$893,'acab equip'!N216,' CADASTRO'!$S$746:$S$893,'acab equip'!$P$3)+COUNTIFS(' CADASTRO'!$R$746:$R$893,'acab equip'!N216,' CADASTRO'!$S$746:$S$893,'acab equip'!$O$3)</f>
        <v>0</v>
      </c>
      <c r="R216" s="162">
        <f t="shared" si="44"/>
        <v>47221</v>
      </c>
      <c r="S216" s="163">
        <f>COUNTIFS(' CADASTRO'!$S:$S,'acab equip'!$C$3,' CADASTRO'!$R:$R,'acab equip'!R216)</f>
        <v>0</v>
      </c>
      <c r="T216" s="163">
        <f>COUNTIFS(' CADASTRO'!$S:$S,'acab equip'!$D$3,' CADASTRO'!$R:$R,'acab equip'!R216)</f>
        <v>0</v>
      </c>
      <c r="U216" s="163">
        <f>COUNTIFS(' CADASTRO'!$R$746:$R$893,'acab equip'!R216,' CADASTRO'!$S$746:$S$893,'acab equip'!$T$3)+COUNTIFS(' CADASTRO'!$R$746:$R$893,'acab equip'!R216,' CADASTRO'!$S$746:$S$893,'acab equip'!$S$3)</f>
        <v>0</v>
      </c>
      <c r="V216" s="162">
        <f t="shared" si="45"/>
        <v>47222</v>
      </c>
      <c r="W216" s="163">
        <f>COUNTIFS(' CADASTRO'!$S:$S,'acab equip'!$C$3,' CADASTRO'!$R:$R,'acab equip'!V216)</f>
        <v>0</v>
      </c>
      <c r="X216" s="163">
        <f>COUNTIFS(' CADASTRO'!$S:$S,'acab equip'!$D$3,' CADASTRO'!$R:$R,'acab equip'!V216)</f>
        <v>0</v>
      </c>
      <c r="Y216" s="163">
        <f>COUNTIFS(' CADASTRO'!$R$746:$R$893,'acab equip'!V216,' CADASTRO'!$S$746:$S$893,'acab equip'!$X$3)+COUNTIFS(' CADASTRO'!$R$746:$R$893,'acab equip'!V216,' CADASTRO'!$S$746:$S$893,'acab equip'!$W$3)</f>
        <v>0</v>
      </c>
      <c r="Z216" s="162">
        <f t="shared" si="46"/>
        <v>47223</v>
      </c>
      <c r="AB216" s="165">
        <f t="shared" si="36"/>
        <v>0</v>
      </c>
      <c r="AC216" s="165">
        <f t="shared" si="37"/>
        <v>0</v>
      </c>
      <c r="AD216" s="165">
        <f t="shared" si="38"/>
        <v>0</v>
      </c>
      <c r="AE216" s="177">
        <f t="shared" si="39"/>
        <v>0</v>
      </c>
    </row>
    <row r="217" spans="2:31" x14ac:dyDescent="0.25">
      <c r="B217" s="162">
        <f t="shared" si="40"/>
        <v>47224</v>
      </c>
      <c r="C217" s="163">
        <f>COUNTIFS(' CADASTRO'!$S:$S,'acab equip'!$C$3,' CADASTRO'!$R:$R,'acab equip'!B217)</f>
        <v>0</v>
      </c>
      <c r="D217" s="163">
        <f>COUNTIFS(' CADASTRO'!$S:$S,'acab equip'!$D$3,' CADASTRO'!$R:$R,'acab equip'!B217)</f>
        <v>0</v>
      </c>
      <c r="E217" s="163"/>
      <c r="F217" s="162">
        <f t="shared" si="41"/>
        <v>47225</v>
      </c>
      <c r="G217" s="163">
        <f>COUNTIFS(' CADASTRO'!$S:$S,'acab equip'!$C$3,' CADASTRO'!$R:$R,'acab equip'!F217)</f>
        <v>0</v>
      </c>
      <c r="H217" s="163">
        <f>COUNTIFS(' CADASTRO'!$S:$S,'acab equip'!$D$3,' CADASTRO'!$R:$R,'acab equip'!F217)</f>
        <v>0</v>
      </c>
      <c r="I217" s="163">
        <f>COUNTIFS(' CADASTRO'!$R$746:$R$893,'acab equip'!F217,' CADASTRO'!$S$746:$S$893,'acab equip'!$H$3)+COUNTIFS(' CADASTRO'!$R$746:$R$893,'acab equip'!F217,' CADASTRO'!$S$746:$S$893,'acab equip'!$G$3)</f>
        <v>0</v>
      </c>
      <c r="J217" s="162">
        <f t="shared" si="42"/>
        <v>47226</v>
      </c>
      <c r="K217" s="163">
        <f>COUNTIFS(' CADASTRO'!$S:$S,'acab equip'!$C$3,' CADASTRO'!$R:$R,'acab equip'!J217)</f>
        <v>0</v>
      </c>
      <c r="L217" s="163">
        <f>COUNTIFS(' CADASTRO'!$S:$S,'acab equip'!$D$3,' CADASTRO'!$R:$R,'acab equip'!J217)</f>
        <v>0</v>
      </c>
      <c r="M217" s="163">
        <f>COUNTIFS(' CADASTRO'!$R$746:$R$893,'acab equip'!J217,' CADASTRO'!$S$746:$S$893,'acab equip'!$L$3)+COUNTIFS(' CADASTRO'!$R$746:$R$893,'acab equip'!J217,' CADASTRO'!$S$746:$S$893,'acab equip'!$K$3)</f>
        <v>0</v>
      </c>
      <c r="N217" s="162">
        <f t="shared" si="43"/>
        <v>47227</v>
      </c>
      <c r="O217" s="163">
        <f>COUNTIFS(' CADASTRO'!$S:$S,'acab equip'!$C$3,' CADASTRO'!$R:$R,'acab equip'!N217)</f>
        <v>0</v>
      </c>
      <c r="P217" s="163">
        <f>COUNTIFS(' CADASTRO'!$S:$S,'acab equip'!$D$3,' CADASTRO'!$R:$R,'acab equip'!N217)</f>
        <v>0</v>
      </c>
      <c r="Q217" s="163">
        <f>COUNTIFS(' CADASTRO'!$R$746:$R$893,'acab equip'!N217,' CADASTRO'!$S$746:$S$893,'acab equip'!$P$3)+COUNTIFS(' CADASTRO'!$R$746:$R$893,'acab equip'!N217,' CADASTRO'!$S$746:$S$893,'acab equip'!$O$3)</f>
        <v>0</v>
      </c>
      <c r="R217" s="162">
        <f t="shared" si="44"/>
        <v>47228</v>
      </c>
      <c r="S217" s="163">
        <f>COUNTIFS(' CADASTRO'!$S:$S,'acab equip'!$C$3,' CADASTRO'!$R:$R,'acab equip'!R217)</f>
        <v>0</v>
      </c>
      <c r="T217" s="163">
        <f>COUNTIFS(' CADASTRO'!$S:$S,'acab equip'!$D$3,' CADASTRO'!$R:$R,'acab equip'!R217)</f>
        <v>0</v>
      </c>
      <c r="U217" s="163">
        <f>COUNTIFS(' CADASTRO'!$R$746:$R$893,'acab equip'!R217,' CADASTRO'!$S$746:$S$893,'acab equip'!$T$3)+COUNTIFS(' CADASTRO'!$R$746:$R$893,'acab equip'!R217,' CADASTRO'!$S$746:$S$893,'acab equip'!$S$3)</f>
        <v>0</v>
      </c>
      <c r="V217" s="162">
        <f t="shared" si="45"/>
        <v>47229</v>
      </c>
      <c r="W217" s="163">
        <f>COUNTIFS(' CADASTRO'!$S:$S,'acab equip'!$C$3,' CADASTRO'!$R:$R,'acab equip'!V217)</f>
        <v>0</v>
      </c>
      <c r="X217" s="163">
        <f>COUNTIFS(' CADASTRO'!$S:$S,'acab equip'!$D$3,' CADASTRO'!$R:$R,'acab equip'!V217)</f>
        <v>0</v>
      </c>
      <c r="Y217" s="163">
        <f>COUNTIFS(' CADASTRO'!$R$746:$R$893,'acab equip'!V217,' CADASTRO'!$S$746:$S$893,'acab equip'!$X$3)+COUNTIFS(' CADASTRO'!$R$746:$R$893,'acab equip'!V217,' CADASTRO'!$S$746:$S$893,'acab equip'!$W$3)</f>
        <v>0</v>
      </c>
      <c r="Z217" s="162">
        <f t="shared" si="46"/>
        <v>47230</v>
      </c>
      <c r="AB217" s="165">
        <f t="shared" si="36"/>
        <v>0</v>
      </c>
      <c r="AC217" s="165">
        <f t="shared" si="37"/>
        <v>0</v>
      </c>
      <c r="AD217" s="165">
        <f t="shared" si="38"/>
        <v>0</v>
      </c>
      <c r="AE217" s="177">
        <f t="shared" si="39"/>
        <v>0</v>
      </c>
    </row>
    <row r="218" spans="2:31" x14ac:dyDescent="0.25">
      <c r="B218" s="162">
        <f t="shared" si="40"/>
        <v>47231</v>
      </c>
      <c r="C218" s="163">
        <f>COUNTIFS(' CADASTRO'!$S:$S,'acab equip'!$C$3,' CADASTRO'!$R:$R,'acab equip'!B218)</f>
        <v>0</v>
      </c>
      <c r="D218" s="163">
        <f>COUNTIFS(' CADASTRO'!$S:$S,'acab equip'!$D$3,' CADASTRO'!$R:$R,'acab equip'!B218)</f>
        <v>0</v>
      </c>
      <c r="E218" s="163"/>
      <c r="F218" s="162">
        <f t="shared" si="41"/>
        <v>47232</v>
      </c>
      <c r="G218" s="163">
        <f>COUNTIFS(' CADASTRO'!$S:$S,'acab equip'!$C$3,' CADASTRO'!$R:$R,'acab equip'!F218)</f>
        <v>0</v>
      </c>
      <c r="H218" s="163">
        <f>COUNTIFS(' CADASTRO'!$S:$S,'acab equip'!$D$3,' CADASTRO'!$R:$R,'acab equip'!F218)</f>
        <v>0</v>
      </c>
      <c r="I218" s="163">
        <f>COUNTIFS(' CADASTRO'!$R$746:$R$893,'acab equip'!F218,' CADASTRO'!$S$746:$S$893,'acab equip'!$H$3)+COUNTIFS(' CADASTRO'!$R$746:$R$893,'acab equip'!F218,' CADASTRO'!$S$746:$S$893,'acab equip'!$G$3)</f>
        <v>0</v>
      </c>
      <c r="J218" s="162">
        <f t="shared" si="42"/>
        <v>47233</v>
      </c>
      <c r="K218" s="163">
        <f>COUNTIFS(' CADASTRO'!$S:$S,'acab equip'!$C$3,' CADASTRO'!$R:$R,'acab equip'!J218)</f>
        <v>0</v>
      </c>
      <c r="L218" s="163">
        <f>COUNTIFS(' CADASTRO'!$S:$S,'acab equip'!$D$3,' CADASTRO'!$R:$R,'acab equip'!J218)</f>
        <v>0</v>
      </c>
      <c r="M218" s="163">
        <f>COUNTIFS(' CADASTRO'!$R$746:$R$893,'acab equip'!J218,' CADASTRO'!$S$746:$S$893,'acab equip'!$L$3)+COUNTIFS(' CADASTRO'!$R$746:$R$893,'acab equip'!J218,' CADASTRO'!$S$746:$S$893,'acab equip'!$K$3)</f>
        <v>0</v>
      </c>
      <c r="N218" s="162">
        <f t="shared" si="43"/>
        <v>47234</v>
      </c>
      <c r="O218" s="163">
        <f>COUNTIFS(' CADASTRO'!$S:$S,'acab equip'!$C$3,' CADASTRO'!$R:$R,'acab equip'!N218)</f>
        <v>0</v>
      </c>
      <c r="P218" s="163">
        <f>COUNTIFS(' CADASTRO'!$S:$S,'acab equip'!$D$3,' CADASTRO'!$R:$R,'acab equip'!N218)</f>
        <v>0</v>
      </c>
      <c r="Q218" s="163">
        <f>COUNTIFS(' CADASTRO'!$R$746:$R$893,'acab equip'!N218,' CADASTRO'!$S$746:$S$893,'acab equip'!$P$3)+COUNTIFS(' CADASTRO'!$R$746:$R$893,'acab equip'!N218,' CADASTRO'!$S$746:$S$893,'acab equip'!$O$3)</f>
        <v>0</v>
      </c>
      <c r="R218" s="162">
        <f t="shared" si="44"/>
        <v>47235</v>
      </c>
      <c r="S218" s="163">
        <f>COUNTIFS(' CADASTRO'!$S:$S,'acab equip'!$C$3,' CADASTRO'!$R:$R,'acab equip'!R218)</f>
        <v>0</v>
      </c>
      <c r="T218" s="163">
        <f>COUNTIFS(' CADASTRO'!$S:$S,'acab equip'!$D$3,' CADASTRO'!$R:$R,'acab equip'!R218)</f>
        <v>0</v>
      </c>
      <c r="U218" s="163">
        <f>COUNTIFS(' CADASTRO'!$R$746:$R$893,'acab equip'!R218,' CADASTRO'!$S$746:$S$893,'acab equip'!$T$3)+COUNTIFS(' CADASTRO'!$R$746:$R$893,'acab equip'!R218,' CADASTRO'!$S$746:$S$893,'acab equip'!$S$3)</f>
        <v>0</v>
      </c>
      <c r="V218" s="162">
        <f t="shared" si="45"/>
        <v>47236</v>
      </c>
      <c r="W218" s="163">
        <f>COUNTIFS(' CADASTRO'!$S:$S,'acab equip'!$C$3,' CADASTRO'!$R:$R,'acab equip'!V218)</f>
        <v>0</v>
      </c>
      <c r="X218" s="163">
        <f>COUNTIFS(' CADASTRO'!$S:$S,'acab equip'!$D$3,' CADASTRO'!$R:$R,'acab equip'!V218)</f>
        <v>0</v>
      </c>
      <c r="Y218" s="163">
        <f>COUNTIFS(' CADASTRO'!$R$746:$R$893,'acab equip'!V218,' CADASTRO'!$S$746:$S$893,'acab equip'!$X$3)+COUNTIFS(' CADASTRO'!$R$746:$R$893,'acab equip'!V218,' CADASTRO'!$S$746:$S$893,'acab equip'!$W$3)</f>
        <v>0</v>
      </c>
      <c r="Z218" s="162">
        <f t="shared" si="46"/>
        <v>47237</v>
      </c>
      <c r="AB218" s="165">
        <f t="shared" si="36"/>
        <v>0</v>
      </c>
      <c r="AC218" s="165">
        <f t="shared" si="37"/>
        <v>0</v>
      </c>
      <c r="AD218" s="165">
        <f t="shared" si="38"/>
        <v>0</v>
      </c>
      <c r="AE218" s="177">
        <f t="shared" si="39"/>
        <v>0</v>
      </c>
    </row>
    <row r="219" spans="2:31" x14ac:dyDescent="0.25">
      <c r="B219" s="162">
        <f t="shared" si="40"/>
        <v>47238</v>
      </c>
      <c r="C219" s="163">
        <f>COUNTIFS(' CADASTRO'!$S:$S,'acab equip'!$C$3,' CADASTRO'!$R:$R,'acab equip'!B219)</f>
        <v>0</v>
      </c>
      <c r="D219" s="163">
        <f>COUNTIFS(' CADASTRO'!$S:$S,'acab equip'!$D$3,' CADASTRO'!$R:$R,'acab equip'!B219)</f>
        <v>0</v>
      </c>
      <c r="E219" s="163"/>
      <c r="F219" s="162">
        <f t="shared" si="41"/>
        <v>47239</v>
      </c>
      <c r="G219" s="163">
        <f>COUNTIFS(' CADASTRO'!$S:$S,'acab equip'!$C$3,' CADASTRO'!$R:$R,'acab equip'!F219)</f>
        <v>0</v>
      </c>
      <c r="H219" s="163">
        <f>COUNTIFS(' CADASTRO'!$S:$S,'acab equip'!$D$3,' CADASTRO'!$R:$R,'acab equip'!F219)</f>
        <v>0</v>
      </c>
      <c r="I219" s="163">
        <f>COUNTIFS(' CADASTRO'!$R$746:$R$893,'acab equip'!F219,' CADASTRO'!$S$746:$S$893,'acab equip'!$H$3)+COUNTIFS(' CADASTRO'!$R$746:$R$893,'acab equip'!F219,' CADASTRO'!$S$746:$S$893,'acab equip'!$G$3)</f>
        <v>0</v>
      </c>
      <c r="J219" s="162">
        <f t="shared" si="42"/>
        <v>47240</v>
      </c>
      <c r="K219" s="163">
        <f>COUNTIFS(' CADASTRO'!$S:$S,'acab equip'!$C$3,' CADASTRO'!$R:$R,'acab equip'!J219)</f>
        <v>0</v>
      </c>
      <c r="L219" s="163">
        <f>COUNTIFS(' CADASTRO'!$S:$S,'acab equip'!$D$3,' CADASTRO'!$R:$R,'acab equip'!J219)</f>
        <v>0</v>
      </c>
      <c r="M219" s="163">
        <f>COUNTIFS(' CADASTRO'!$R$746:$R$893,'acab equip'!J219,' CADASTRO'!$S$746:$S$893,'acab equip'!$L$3)+COUNTIFS(' CADASTRO'!$R$746:$R$893,'acab equip'!J219,' CADASTRO'!$S$746:$S$893,'acab equip'!$K$3)</f>
        <v>0</v>
      </c>
      <c r="N219" s="162">
        <f t="shared" si="43"/>
        <v>47241</v>
      </c>
      <c r="O219" s="163">
        <f>COUNTIFS(' CADASTRO'!$S:$S,'acab equip'!$C$3,' CADASTRO'!$R:$R,'acab equip'!N219)</f>
        <v>0</v>
      </c>
      <c r="P219" s="163">
        <f>COUNTIFS(' CADASTRO'!$S:$S,'acab equip'!$D$3,' CADASTRO'!$R:$R,'acab equip'!N219)</f>
        <v>0</v>
      </c>
      <c r="Q219" s="163">
        <f>COUNTIFS(' CADASTRO'!$R$746:$R$893,'acab equip'!N219,' CADASTRO'!$S$746:$S$893,'acab equip'!$P$3)+COUNTIFS(' CADASTRO'!$R$746:$R$893,'acab equip'!N219,' CADASTRO'!$S$746:$S$893,'acab equip'!$O$3)</f>
        <v>0</v>
      </c>
      <c r="R219" s="162">
        <f t="shared" si="44"/>
        <v>47242</v>
      </c>
      <c r="S219" s="163">
        <f>COUNTIFS(' CADASTRO'!$S:$S,'acab equip'!$C$3,' CADASTRO'!$R:$R,'acab equip'!R219)</f>
        <v>0</v>
      </c>
      <c r="T219" s="163">
        <f>COUNTIFS(' CADASTRO'!$S:$S,'acab equip'!$D$3,' CADASTRO'!$R:$R,'acab equip'!R219)</f>
        <v>0</v>
      </c>
      <c r="U219" s="163">
        <f>COUNTIFS(' CADASTRO'!$R$746:$R$893,'acab equip'!R219,' CADASTRO'!$S$746:$S$893,'acab equip'!$T$3)+COUNTIFS(' CADASTRO'!$R$746:$R$893,'acab equip'!R219,' CADASTRO'!$S$746:$S$893,'acab equip'!$S$3)</f>
        <v>0</v>
      </c>
      <c r="V219" s="162">
        <f t="shared" si="45"/>
        <v>47243</v>
      </c>
      <c r="W219" s="163">
        <f>COUNTIFS(' CADASTRO'!$S:$S,'acab equip'!$C$3,' CADASTRO'!$R:$R,'acab equip'!V219)</f>
        <v>0</v>
      </c>
      <c r="X219" s="163">
        <f>COUNTIFS(' CADASTRO'!$S:$S,'acab equip'!$D$3,' CADASTRO'!$R:$R,'acab equip'!V219)</f>
        <v>0</v>
      </c>
      <c r="Y219" s="163">
        <f>COUNTIFS(' CADASTRO'!$R$746:$R$893,'acab equip'!V219,' CADASTRO'!$S$746:$S$893,'acab equip'!$X$3)+COUNTIFS(' CADASTRO'!$R$746:$R$893,'acab equip'!V219,' CADASTRO'!$S$746:$S$893,'acab equip'!$W$3)</f>
        <v>0</v>
      </c>
      <c r="Z219" s="162">
        <f t="shared" si="46"/>
        <v>47244</v>
      </c>
      <c r="AB219" s="165">
        <f t="shared" si="36"/>
        <v>0</v>
      </c>
      <c r="AC219" s="165">
        <f t="shared" si="37"/>
        <v>0</v>
      </c>
      <c r="AD219" s="165">
        <f t="shared" si="38"/>
        <v>0</v>
      </c>
      <c r="AE219" s="177">
        <f t="shared" si="39"/>
        <v>0</v>
      </c>
    </row>
    <row r="220" spans="2:31" x14ac:dyDescent="0.25">
      <c r="B220" s="162">
        <f t="shared" si="40"/>
        <v>47245</v>
      </c>
      <c r="C220" s="163">
        <f>COUNTIFS(' CADASTRO'!$S:$S,'acab equip'!$C$3,' CADASTRO'!$R:$R,'acab equip'!B220)</f>
        <v>0</v>
      </c>
      <c r="D220" s="163">
        <f>COUNTIFS(' CADASTRO'!$S:$S,'acab equip'!$D$3,' CADASTRO'!$R:$R,'acab equip'!B220)</f>
        <v>0</v>
      </c>
      <c r="E220" s="163"/>
      <c r="F220" s="162">
        <f t="shared" si="41"/>
        <v>47246</v>
      </c>
      <c r="G220" s="163">
        <f>COUNTIFS(' CADASTRO'!$S:$S,'acab equip'!$C$3,' CADASTRO'!$R:$R,'acab equip'!F220)</f>
        <v>0</v>
      </c>
      <c r="H220" s="163">
        <f>COUNTIFS(' CADASTRO'!$S:$S,'acab equip'!$D$3,' CADASTRO'!$R:$R,'acab equip'!F220)</f>
        <v>0</v>
      </c>
      <c r="I220" s="163">
        <f>COUNTIFS(' CADASTRO'!$R$746:$R$893,'acab equip'!F220,' CADASTRO'!$S$746:$S$893,'acab equip'!$H$3)+COUNTIFS(' CADASTRO'!$R$746:$R$893,'acab equip'!F220,' CADASTRO'!$S$746:$S$893,'acab equip'!$G$3)</f>
        <v>0</v>
      </c>
      <c r="J220" s="162">
        <f t="shared" si="42"/>
        <v>47247</v>
      </c>
      <c r="K220" s="163">
        <f>COUNTIFS(' CADASTRO'!$S:$S,'acab equip'!$C$3,' CADASTRO'!$R:$R,'acab equip'!J220)</f>
        <v>0</v>
      </c>
      <c r="L220" s="163">
        <f>COUNTIFS(' CADASTRO'!$S:$S,'acab equip'!$D$3,' CADASTRO'!$R:$R,'acab equip'!J220)</f>
        <v>0</v>
      </c>
      <c r="M220" s="163">
        <f>COUNTIFS(' CADASTRO'!$R$746:$R$893,'acab equip'!J220,' CADASTRO'!$S$746:$S$893,'acab equip'!$L$3)+COUNTIFS(' CADASTRO'!$R$746:$R$893,'acab equip'!J220,' CADASTRO'!$S$746:$S$893,'acab equip'!$K$3)</f>
        <v>0</v>
      </c>
      <c r="N220" s="162">
        <f t="shared" si="43"/>
        <v>47248</v>
      </c>
      <c r="O220" s="163">
        <f>COUNTIFS(' CADASTRO'!$S:$S,'acab equip'!$C$3,' CADASTRO'!$R:$R,'acab equip'!N220)</f>
        <v>0</v>
      </c>
      <c r="P220" s="163">
        <f>COUNTIFS(' CADASTRO'!$S:$S,'acab equip'!$D$3,' CADASTRO'!$R:$R,'acab equip'!N220)</f>
        <v>0</v>
      </c>
      <c r="Q220" s="163">
        <f>COUNTIFS(' CADASTRO'!$R$746:$R$893,'acab equip'!N220,' CADASTRO'!$S$746:$S$893,'acab equip'!$P$3)+COUNTIFS(' CADASTRO'!$R$746:$R$893,'acab equip'!N220,' CADASTRO'!$S$746:$S$893,'acab equip'!$O$3)</f>
        <v>0</v>
      </c>
      <c r="R220" s="162">
        <f t="shared" si="44"/>
        <v>47249</v>
      </c>
      <c r="S220" s="163">
        <f>COUNTIFS(' CADASTRO'!$S:$S,'acab equip'!$C$3,' CADASTRO'!$R:$R,'acab equip'!R220)</f>
        <v>0</v>
      </c>
      <c r="T220" s="163">
        <f>COUNTIFS(' CADASTRO'!$S:$S,'acab equip'!$D$3,' CADASTRO'!$R:$R,'acab equip'!R220)</f>
        <v>0</v>
      </c>
      <c r="U220" s="163">
        <f>COUNTIFS(' CADASTRO'!$R$746:$R$893,'acab equip'!R220,' CADASTRO'!$S$746:$S$893,'acab equip'!$T$3)+COUNTIFS(' CADASTRO'!$R$746:$R$893,'acab equip'!R220,' CADASTRO'!$S$746:$S$893,'acab equip'!$S$3)</f>
        <v>0</v>
      </c>
      <c r="V220" s="162">
        <f t="shared" si="45"/>
        <v>47250</v>
      </c>
      <c r="W220" s="163">
        <f>COUNTIFS(' CADASTRO'!$S:$S,'acab equip'!$C$3,' CADASTRO'!$R:$R,'acab equip'!V220)</f>
        <v>0</v>
      </c>
      <c r="X220" s="163">
        <f>COUNTIFS(' CADASTRO'!$S:$S,'acab equip'!$D$3,' CADASTRO'!$R:$R,'acab equip'!V220)</f>
        <v>0</v>
      </c>
      <c r="Y220" s="163">
        <f>COUNTIFS(' CADASTRO'!$R$746:$R$893,'acab equip'!V220,' CADASTRO'!$S$746:$S$893,'acab equip'!$X$3)+COUNTIFS(' CADASTRO'!$R$746:$R$893,'acab equip'!V220,' CADASTRO'!$S$746:$S$893,'acab equip'!$W$3)</f>
        <v>0</v>
      </c>
      <c r="Z220" s="162">
        <f t="shared" si="46"/>
        <v>47251</v>
      </c>
      <c r="AB220" s="165">
        <f t="shared" si="36"/>
        <v>0</v>
      </c>
      <c r="AC220" s="165">
        <f t="shared" si="37"/>
        <v>0</v>
      </c>
      <c r="AD220" s="165">
        <f t="shared" si="38"/>
        <v>0</v>
      </c>
      <c r="AE220" s="177">
        <f t="shared" si="39"/>
        <v>0</v>
      </c>
    </row>
    <row r="221" spans="2:31" x14ac:dyDescent="0.25">
      <c r="B221" s="162">
        <f t="shared" si="40"/>
        <v>47252</v>
      </c>
      <c r="C221" s="163">
        <f>COUNTIFS(' CADASTRO'!$S:$S,'acab equip'!$C$3,' CADASTRO'!$R:$R,'acab equip'!B221)</f>
        <v>0</v>
      </c>
      <c r="D221" s="163">
        <f>COUNTIFS(' CADASTRO'!$S:$S,'acab equip'!$D$3,' CADASTRO'!$R:$R,'acab equip'!B221)</f>
        <v>0</v>
      </c>
      <c r="E221" s="163"/>
      <c r="F221" s="162">
        <f t="shared" si="41"/>
        <v>47253</v>
      </c>
      <c r="G221" s="163">
        <f>COUNTIFS(' CADASTRO'!$S:$S,'acab equip'!$C$3,' CADASTRO'!$R:$R,'acab equip'!F221)</f>
        <v>0</v>
      </c>
      <c r="H221" s="163">
        <f>COUNTIFS(' CADASTRO'!$S:$S,'acab equip'!$D$3,' CADASTRO'!$R:$R,'acab equip'!F221)</f>
        <v>0</v>
      </c>
      <c r="I221" s="163">
        <f>COUNTIFS(' CADASTRO'!$R$746:$R$893,'acab equip'!F221,' CADASTRO'!$S$746:$S$893,'acab equip'!$H$3)+COUNTIFS(' CADASTRO'!$R$746:$R$893,'acab equip'!F221,' CADASTRO'!$S$746:$S$893,'acab equip'!$G$3)</f>
        <v>0</v>
      </c>
      <c r="J221" s="162">
        <f t="shared" si="42"/>
        <v>47254</v>
      </c>
      <c r="K221" s="163">
        <f>COUNTIFS(' CADASTRO'!$S:$S,'acab equip'!$C$3,' CADASTRO'!$R:$R,'acab equip'!J221)</f>
        <v>0</v>
      </c>
      <c r="L221" s="163">
        <f>COUNTIFS(' CADASTRO'!$S:$S,'acab equip'!$D$3,' CADASTRO'!$R:$R,'acab equip'!J221)</f>
        <v>0</v>
      </c>
      <c r="M221" s="163">
        <f>COUNTIFS(' CADASTRO'!$R$746:$R$893,'acab equip'!J221,' CADASTRO'!$S$746:$S$893,'acab equip'!$L$3)+COUNTIFS(' CADASTRO'!$R$746:$R$893,'acab equip'!J221,' CADASTRO'!$S$746:$S$893,'acab equip'!$K$3)</f>
        <v>0</v>
      </c>
      <c r="N221" s="162">
        <f t="shared" si="43"/>
        <v>47255</v>
      </c>
      <c r="O221" s="163">
        <f>COUNTIFS(' CADASTRO'!$S:$S,'acab equip'!$C$3,' CADASTRO'!$R:$R,'acab equip'!N221)</f>
        <v>0</v>
      </c>
      <c r="P221" s="163">
        <f>COUNTIFS(' CADASTRO'!$S:$S,'acab equip'!$D$3,' CADASTRO'!$R:$R,'acab equip'!N221)</f>
        <v>0</v>
      </c>
      <c r="Q221" s="163">
        <f>COUNTIFS(' CADASTRO'!$R$746:$R$893,'acab equip'!N221,' CADASTRO'!$S$746:$S$893,'acab equip'!$P$3)+COUNTIFS(' CADASTRO'!$R$746:$R$893,'acab equip'!N221,' CADASTRO'!$S$746:$S$893,'acab equip'!$O$3)</f>
        <v>0</v>
      </c>
      <c r="R221" s="162">
        <f t="shared" si="44"/>
        <v>47256</v>
      </c>
      <c r="S221" s="163">
        <f>COUNTIFS(' CADASTRO'!$S:$S,'acab equip'!$C$3,' CADASTRO'!$R:$R,'acab equip'!R221)</f>
        <v>0</v>
      </c>
      <c r="T221" s="163">
        <f>COUNTIFS(' CADASTRO'!$S:$S,'acab equip'!$D$3,' CADASTRO'!$R:$R,'acab equip'!R221)</f>
        <v>0</v>
      </c>
      <c r="U221" s="163">
        <f>COUNTIFS(' CADASTRO'!$R$746:$R$893,'acab equip'!R221,' CADASTRO'!$S$746:$S$893,'acab equip'!$T$3)+COUNTIFS(' CADASTRO'!$R$746:$R$893,'acab equip'!R221,' CADASTRO'!$S$746:$S$893,'acab equip'!$S$3)</f>
        <v>0</v>
      </c>
      <c r="V221" s="162">
        <f t="shared" si="45"/>
        <v>47257</v>
      </c>
      <c r="W221" s="163">
        <f>COUNTIFS(' CADASTRO'!$S:$S,'acab equip'!$C$3,' CADASTRO'!$R:$R,'acab equip'!V221)</f>
        <v>0</v>
      </c>
      <c r="X221" s="163">
        <f>COUNTIFS(' CADASTRO'!$S:$S,'acab equip'!$D$3,' CADASTRO'!$R:$R,'acab equip'!V221)</f>
        <v>0</v>
      </c>
      <c r="Y221" s="163">
        <f>COUNTIFS(' CADASTRO'!$R$746:$R$893,'acab equip'!V221,' CADASTRO'!$S$746:$S$893,'acab equip'!$X$3)+COUNTIFS(' CADASTRO'!$R$746:$R$893,'acab equip'!V221,' CADASTRO'!$S$746:$S$893,'acab equip'!$W$3)</f>
        <v>0</v>
      </c>
      <c r="Z221" s="162">
        <f t="shared" si="46"/>
        <v>47258</v>
      </c>
      <c r="AB221" s="165">
        <f t="shared" si="36"/>
        <v>0</v>
      </c>
      <c r="AC221" s="165">
        <f t="shared" si="37"/>
        <v>0</v>
      </c>
      <c r="AD221" s="165">
        <f t="shared" si="38"/>
        <v>0</v>
      </c>
      <c r="AE221" s="177">
        <f t="shared" si="39"/>
        <v>0</v>
      </c>
    </row>
    <row r="222" spans="2:31" x14ac:dyDescent="0.25">
      <c r="B222" s="162">
        <f t="shared" si="40"/>
        <v>47259</v>
      </c>
      <c r="C222" s="163">
        <f>COUNTIFS(' CADASTRO'!$S:$S,'acab equip'!$C$3,' CADASTRO'!$R:$R,'acab equip'!B222)</f>
        <v>0</v>
      </c>
      <c r="D222" s="163">
        <f>COUNTIFS(' CADASTRO'!$S:$S,'acab equip'!$D$3,' CADASTRO'!$R:$R,'acab equip'!B222)</f>
        <v>0</v>
      </c>
      <c r="E222" s="163"/>
      <c r="F222" s="162">
        <f t="shared" si="41"/>
        <v>47260</v>
      </c>
      <c r="G222" s="163">
        <f>COUNTIFS(' CADASTRO'!$S:$S,'acab equip'!$C$3,' CADASTRO'!$R:$R,'acab equip'!F222)</f>
        <v>0</v>
      </c>
      <c r="H222" s="163">
        <f>COUNTIFS(' CADASTRO'!$S:$S,'acab equip'!$D$3,' CADASTRO'!$R:$R,'acab equip'!F222)</f>
        <v>0</v>
      </c>
      <c r="I222" s="163">
        <f>COUNTIFS(' CADASTRO'!$R$746:$R$893,'acab equip'!F222,' CADASTRO'!$S$746:$S$893,'acab equip'!$H$3)+COUNTIFS(' CADASTRO'!$R$746:$R$893,'acab equip'!F222,' CADASTRO'!$S$746:$S$893,'acab equip'!$G$3)</f>
        <v>0</v>
      </c>
      <c r="J222" s="162">
        <f t="shared" si="42"/>
        <v>47261</v>
      </c>
      <c r="K222" s="163">
        <f>COUNTIFS(' CADASTRO'!$S:$S,'acab equip'!$C$3,' CADASTRO'!$R:$R,'acab equip'!J222)</f>
        <v>0</v>
      </c>
      <c r="L222" s="163">
        <f>COUNTIFS(' CADASTRO'!$S:$S,'acab equip'!$D$3,' CADASTRO'!$R:$R,'acab equip'!J222)</f>
        <v>0</v>
      </c>
      <c r="M222" s="163">
        <f>COUNTIFS(' CADASTRO'!$R$746:$R$893,'acab equip'!J222,' CADASTRO'!$S$746:$S$893,'acab equip'!$L$3)+COUNTIFS(' CADASTRO'!$R$746:$R$893,'acab equip'!J222,' CADASTRO'!$S$746:$S$893,'acab equip'!$K$3)</f>
        <v>0</v>
      </c>
      <c r="N222" s="162">
        <f t="shared" si="43"/>
        <v>47262</v>
      </c>
      <c r="O222" s="163">
        <f>COUNTIFS(' CADASTRO'!$S:$S,'acab equip'!$C$3,' CADASTRO'!$R:$R,'acab equip'!N222)</f>
        <v>0</v>
      </c>
      <c r="P222" s="163">
        <f>COUNTIFS(' CADASTRO'!$S:$S,'acab equip'!$D$3,' CADASTRO'!$R:$R,'acab equip'!N222)</f>
        <v>0</v>
      </c>
      <c r="Q222" s="163">
        <f>COUNTIFS(' CADASTRO'!$R$746:$R$893,'acab equip'!N222,' CADASTRO'!$S$746:$S$893,'acab equip'!$P$3)+COUNTIFS(' CADASTRO'!$R$746:$R$893,'acab equip'!N222,' CADASTRO'!$S$746:$S$893,'acab equip'!$O$3)</f>
        <v>0</v>
      </c>
      <c r="R222" s="162">
        <f t="shared" si="44"/>
        <v>47263</v>
      </c>
      <c r="S222" s="163">
        <f>COUNTIFS(' CADASTRO'!$S:$S,'acab equip'!$C$3,' CADASTRO'!$R:$R,'acab equip'!R222)</f>
        <v>0</v>
      </c>
      <c r="T222" s="163">
        <f>COUNTIFS(' CADASTRO'!$S:$S,'acab equip'!$D$3,' CADASTRO'!$R:$R,'acab equip'!R222)</f>
        <v>0</v>
      </c>
      <c r="U222" s="163">
        <f>COUNTIFS(' CADASTRO'!$R$746:$R$893,'acab equip'!R222,' CADASTRO'!$S$746:$S$893,'acab equip'!$T$3)+COUNTIFS(' CADASTRO'!$R$746:$R$893,'acab equip'!R222,' CADASTRO'!$S$746:$S$893,'acab equip'!$S$3)</f>
        <v>0</v>
      </c>
      <c r="V222" s="162">
        <f t="shared" si="45"/>
        <v>47264</v>
      </c>
      <c r="W222" s="163">
        <f>COUNTIFS(' CADASTRO'!$S:$S,'acab equip'!$C$3,' CADASTRO'!$R:$R,'acab equip'!V222)</f>
        <v>0</v>
      </c>
      <c r="X222" s="163">
        <f>COUNTIFS(' CADASTRO'!$S:$S,'acab equip'!$D$3,' CADASTRO'!$R:$R,'acab equip'!V222)</f>
        <v>0</v>
      </c>
      <c r="Y222" s="163">
        <f>COUNTIFS(' CADASTRO'!$R$746:$R$893,'acab equip'!V222,' CADASTRO'!$S$746:$S$893,'acab equip'!$X$3)+COUNTIFS(' CADASTRO'!$R$746:$R$893,'acab equip'!V222,' CADASTRO'!$S$746:$S$893,'acab equip'!$W$3)</f>
        <v>0</v>
      </c>
      <c r="Z222" s="162">
        <f t="shared" si="46"/>
        <v>47265</v>
      </c>
      <c r="AB222" s="165">
        <f t="shared" si="36"/>
        <v>0</v>
      </c>
      <c r="AC222" s="165">
        <f t="shared" si="37"/>
        <v>0</v>
      </c>
      <c r="AD222" s="165">
        <f t="shared" si="38"/>
        <v>0</v>
      </c>
      <c r="AE222" s="177">
        <f t="shared" si="39"/>
        <v>0</v>
      </c>
    </row>
    <row r="223" spans="2:31" x14ac:dyDescent="0.25">
      <c r="B223" s="162">
        <f t="shared" si="40"/>
        <v>47266</v>
      </c>
      <c r="C223" s="163">
        <f>COUNTIFS(' CADASTRO'!$S:$S,'acab equip'!$C$3,' CADASTRO'!$R:$R,'acab equip'!B223)</f>
        <v>0</v>
      </c>
      <c r="D223" s="163">
        <f>COUNTIFS(' CADASTRO'!$S:$S,'acab equip'!$D$3,' CADASTRO'!$R:$R,'acab equip'!B223)</f>
        <v>0</v>
      </c>
      <c r="E223" s="163"/>
      <c r="F223" s="162">
        <f t="shared" si="41"/>
        <v>47267</v>
      </c>
      <c r="G223" s="163">
        <f>COUNTIFS(' CADASTRO'!$S:$S,'acab equip'!$C$3,' CADASTRO'!$R:$R,'acab equip'!F223)</f>
        <v>0</v>
      </c>
      <c r="H223" s="163">
        <f>COUNTIFS(' CADASTRO'!$S:$S,'acab equip'!$D$3,' CADASTRO'!$R:$R,'acab equip'!F223)</f>
        <v>0</v>
      </c>
      <c r="I223" s="163">
        <f>COUNTIFS(' CADASTRO'!$R$746:$R$893,'acab equip'!F223,' CADASTRO'!$S$746:$S$893,'acab equip'!$H$3)+COUNTIFS(' CADASTRO'!$R$746:$R$893,'acab equip'!F223,' CADASTRO'!$S$746:$S$893,'acab equip'!$G$3)</f>
        <v>0</v>
      </c>
      <c r="J223" s="162">
        <f t="shared" si="42"/>
        <v>47268</v>
      </c>
      <c r="K223" s="163">
        <f>COUNTIFS(' CADASTRO'!$S:$S,'acab equip'!$C$3,' CADASTRO'!$R:$R,'acab equip'!J223)</f>
        <v>0</v>
      </c>
      <c r="L223" s="163">
        <f>COUNTIFS(' CADASTRO'!$S:$S,'acab equip'!$D$3,' CADASTRO'!$R:$R,'acab equip'!J223)</f>
        <v>0</v>
      </c>
      <c r="M223" s="163">
        <f>COUNTIFS(' CADASTRO'!$R$746:$R$893,'acab equip'!J223,' CADASTRO'!$S$746:$S$893,'acab equip'!$L$3)+COUNTIFS(' CADASTRO'!$R$746:$R$893,'acab equip'!J223,' CADASTRO'!$S$746:$S$893,'acab equip'!$K$3)</f>
        <v>0</v>
      </c>
      <c r="N223" s="162">
        <f t="shared" si="43"/>
        <v>47269</v>
      </c>
      <c r="O223" s="163">
        <f>COUNTIFS(' CADASTRO'!$S:$S,'acab equip'!$C$3,' CADASTRO'!$R:$R,'acab equip'!N223)</f>
        <v>0</v>
      </c>
      <c r="P223" s="163">
        <f>COUNTIFS(' CADASTRO'!$S:$S,'acab equip'!$D$3,' CADASTRO'!$R:$R,'acab equip'!N223)</f>
        <v>0</v>
      </c>
      <c r="Q223" s="163">
        <f>COUNTIFS(' CADASTRO'!$R$746:$R$893,'acab equip'!N223,' CADASTRO'!$S$746:$S$893,'acab equip'!$P$3)+COUNTIFS(' CADASTRO'!$R$746:$R$893,'acab equip'!N223,' CADASTRO'!$S$746:$S$893,'acab equip'!$O$3)</f>
        <v>0</v>
      </c>
      <c r="R223" s="162">
        <f t="shared" si="44"/>
        <v>47270</v>
      </c>
      <c r="S223" s="163">
        <f>COUNTIFS(' CADASTRO'!$S:$S,'acab equip'!$C$3,' CADASTRO'!$R:$R,'acab equip'!R223)</f>
        <v>0</v>
      </c>
      <c r="T223" s="163">
        <f>COUNTIFS(' CADASTRO'!$S:$S,'acab equip'!$D$3,' CADASTRO'!$R:$R,'acab equip'!R223)</f>
        <v>0</v>
      </c>
      <c r="U223" s="163">
        <f>COUNTIFS(' CADASTRO'!$R$746:$R$893,'acab equip'!R223,' CADASTRO'!$S$746:$S$893,'acab equip'!$T$3)+COUNTIFS(' CADASTRO'!$R$746:$R$893,'acab equip'!R223,' CADASTRO'!$S$746:$S$893,'acab equip'!$S$3)</f>
        <v>0</v>
      </c>
      <c r="V223" s="162">
        <f t="shared" si="45"/>
        <v>47271</v>
      </c>
      <c r="W223" s="163">
        <f>COUNTIFS(' CADASTRO'!$S:$S,'acab equip'!$C$3,' CADASTRO'!$R:$R,'acab equip'!V223)</f>
        <v>0</v>
      </c>
      <c r="X223" s="163">
        <f>COUNTIFS(' CADASTRO'!$S:$S,'acab equip'!$D$3,' CADASTRO'!$R:$R,'acab equip'!V223)</f>
        <v>0</v>
      </c>
      <c r="Y223" s="163">
        <f>COUNTIFS(' CADASTRO'!$R$746:$R$893,'acab equip'!V223,' CADASTRO'!$S$746:$S$893,'acab equip'!$X$3)+COUNTIFS(' CADASTRO'!$R$746:$R$893,'acab equip'!V223,' CADASTRO'!$S$746:$S$893,'acab equip'!$W$3)</f>
        <v>0</v>
      </c>
      <c r="Z223" s="162">
        <f t="shared" si="46"/>
        <v>47272</v>
      </c>
      <c r="AB223" s="165">
        <f t="shared" si="36"/>
        <v>0</v>
      </c>
      <c r="AC223" s="165">
        <f t="shared" si="37"/>
        <v>0</v>
      </c>
      <c r="AD223" s="165">
        <f t="shared" si="38"/>
        <v>0</v>
      </c>
      <c r="AE223" s="177">
        <f t="shared" si="39"/>
        <v>0</v>
      </c>
    </row>
    <row r="224" spans="2:31" x14ac:dyDescent="0.25">
      <c r="B224" s="162">
        <f t="shared" si="40"/>
        <v>47273</v>
      </c>
      <c r="C224" s="163">
        <f>COUNTIFS(' CADASTRO'!$S:$S,'acab equip'!$C$3,' CADASTRO'!$R:$R,'acab equip'!B224)</f>
        <v>0</v>
      </c>
      <c r="D224" s="163">
        <f>COUNTIFS(' CADASTRO'!$S:$S,'acab equip'!$D$3,' CADASTRO'!$R:$R,'acab equip'!B224)</f>
        <v>0</v>
      </c>
      <c r="E224" s="163"/>
      <c r="F224" s="162">
        <f t="shared" si="41"/>
        <v>47274</v>
      </c>
      <c r="G224" s="163">
        <f>COUNTIFS(' CADASTRO'!$S:$S,'acab equip'!$C$3,' CADASTRO'!$R:$R,'acab equip'!F224)</f>
        <v>0</v>
      </c>
      <c r="H224" s="163">
        <f>COUNTIFS(' CADASTRO'!$S:$S,'acab equip'!$D$3,' CADASTRO'!$R:$R,'acab equip'!F224)</f>
        <v>0</v>
      </c>
      <c r="I224" s="163">
        <f>COUNTIFS(' CADASTRO'!$R$746:$R$893,'acab equip'!F224,' CADASTRO'!$S$746:$S$893,'acab equip'!$H$3)+COUNTIFS(' CADASTRO'!$R$746:$R$893,'acab equip'!F224,' CADASTRO'!$S$746:$S$893,'acab equip'!$G$3)</f>
        <v>0</v>
      </c>
      <c r="J224" s="162">
        <f t="shared" si="42"/>
        <v>47275</v>
      </c>
      <c r="K224" s="163">
        <f>COUNTIFS(' CADASTRO'!$S:$S,'acab equip'!$C$3,' CADASTRO'!$R:$R,'acab equip'!J224)</f>
        <v>0</v>
      </c>
      <c r="L224" s="163">
        <f>COUNTIFS(' CADASTRO'!$S:$S,'acab equip'!$D$3,' CADASTRO'!$R:$R,'acab equip'!J224)</f>
        <v>0</v>
      </c>
      <c r="M224" s="163">
        <f>COUNTIFS(' CADASTRO'!$R$746:$R$893,'acab equip'!J224,' CADASTRO'!$S$746:$S$893,'acab equip'!$L$3)+COUNTIFS(' CADASTRO'!$R$746:$R$893,'acab equip'!J224,' CADASTRO'!$S$746:$S$893,'acab equip'!$K$3)</f>
        <v>0</v>
      </c>
      <c r="N224" s="162">
        <f t="shared" si="43"/>
        <v>47276</v>
      </c>
      <c r="O224" s="163">
        <f>COUNTIFS(' CADASTRO'!$S:$S,'acab equip'!$C$3,' CADASTRO'!$R:$R,'acab equip'!N224)</f>
        <v>0</v>
      </c>
      <c r="P224" s="163">
        <f>COUNTIFS(' CADASTRO'!$S:$S,'acab equip'!$D$3,' CADASTRO'!$R:$R,'acab equip'!N224)</f>
        <v>0</v>
      </c>
      <c r="Q224" s="163">
        <f>COUNTIFS(' CADASTRO'!$R$746:$R$893,'acab equip'!N224,' CADASTRO'!$S$746:$S$893,'acab equip'!$P$3)+COUNTIFS(' CADASTRO'!$R$746:$R$893,'acab equip'!N224,' CADASTRO'!$S$746:$S$893,'acab equip'!$O$3)</f>
        <v>0</v>
      </c>
      <c r="R224" s="162">
        <f t="shared" si="44"/>
        <v>47277</v>
      </c>
      <c r="S224" s="163">
        <f>COUNTIFS(' CADASTRO'!$S:$S,'acab equip'!$C$3,' CADASTRO'!$R:$R,'acab equip'!R224)</f>
        <v>0</v>
      </c>
      <c r="T224" s="163">
        <f>COUNTIFS(' CADASTRO'!$S:$S,'acab equip'!$D$3,' CADASTRO'!$R:$R,'acab equip'!R224)</f>
        <v>0</v>
      </c>
      <c r="U224" s="163">
        <f>COUNTIFS(' CADASTRO'!$R$746:$R$893,'acab equip'!R224,' CADASTRO'!$S$746:$S$893,'acab equip'!$T$3)+COUNTIFS(' CADASTRO'!$R$746:$R$893,'acab equip'!R224,' CADASTRO'!$S$746:$S$893,'acab equip'!$S$3)</f>
        <v>0</v>
      </c>
      <c r="V224" s="162">
        <f t="shared" si="45"/>
        <v>47278</v>
      </c>
      <c r="W224" s="163">
        <f>COUNTIFS(' CADASTRO'!$S:$S,'acab equip'!$C$3,' CADASTRO'!$R:$R,'acab equip'!V224)</f>
        <v>0</v>
      </c>
      <c r="X224" s="163">
        <f>COUNTIFS(' CADASTRO'!$S:$S,'acab equip'!$D$3,' CADASTRO'!$R:$R,'acab equip'!V224)</f>
        <v>0</v>
      </c>
      <c r="Y224" s="163">
        <f>COUNTIFS(' CADASTRO'!$R$746:$R$893,'acab equip'!V224,' CADASTRO'!$S$746:$S$893,'acab equip'!$X$3)+COUNTIFS(' CADASTRO'!$R$746:$R$893,'acab equip'!V224,' CADASTRO'!$S$746:$S$893,'acab equip'!$W$3)</f>
        <v>0</v>
      </c>
      <c r="Z224" s="162">
        <f t="shared" si="46"/>
        <v>47279</v>
      </c>
      <c r="AB224" s="165">
        <f t="shared" si="36"/>
        <v>0</v>
      </c>
      <c r="AC224" s="165">
        <f t="shared" si="37"/>
        <v>0</v>
      </c>
      <c r="AD224" s="165">
        <f t="shared" si="38"/>
        <v>0</v>
      </c>
      <c r="AE224" s="177">
        <f t="shared" si="39"/>
        <v>0</v>
      </c>
    </row>
    <row r="225" spans="2:31" x14ac:dyDescent="0.25">
      <c r="B225" s="162">
        <f t="shared" si="40"/>
        <v>47280</v>
      </c>
      <c r="C225" s="163">
        <f>COUNTIFS(' CADASTRO'!$S:$S,'acab equip'!$C$3,' CADASTRO'!$R:$R,'acab equip'!B225)</f>
        <v>0</v>
      </c>
      <c r="D225" s="163">
        <f>COUNTIFS(' CADASTRO'!$S:$S,'acab equip'!$D$3,' CADASTRO'!$R:$R,'acab equip'!B225)</f>
        <v>0</v>
      </c>
      <c r="E225" s="163"/>
      <c r="F225" s="162">
        <f t="shared" si="41"/>
        <v>47281</v>
      </c>
      <c r="G225" s="163">
        <f>COUNTIFS(' CADASTRO'!$S:$S,'acab equip'!$C$3,' CADASTRO'!$R:$R,'acab equip'!F225)</f>
        <v>0</v>
      </c>
      <c r="H225" s="163">
        <f>COUNTIFS(' CADASTRO'!$S:$S,'acab equip'!$D$3,' CADASTRO'!$R:$R,'acab equip'!F225)</f>
        <v>0</v>
      </c>
      <c r="I225" s="163">
        <f>COUNTIFS(' CADASTRO'!$R$746:$R$893,'acab equip'!F225,' CADASTRO'!$S$746:$S$893,'acab equip'!$H$3)+COUNTIFS(' CADASTRO'!$R$746:$R$893,'acab equip'!F225,' CADASTRO'!$S$746:$S$893,'acab equip'!$G$3)</f>
        <v>0</v>
      </c>
      <c r="J225" s="162">
        <f t="shared" si="42"/>
        <v>47282</v>
      </c>
      <c r="K225" s="163">
        <f>COUNTIFS(' CADASTRO'!$S:$S,'acab equip'!$C$3,' CADASTRO'!$R:$R,'acab equip'!J225)</f>
        <v>0</v>
      </c>
      <c r="L225" s="163">
        <f>COUNTIFS(' CADASTRO'!$S:$S,'acab equip'!$D$3,' CADASTRO'!$R:$R,'acab equip'!J225)</f>
        <v>0</v>
      </c>
      <c r="M225" s="163">
        <f>COUNTIFS(' CADASTRO'!$R$746:$R$893,'acab equip'!J225,' CADASTRO'!$S$746:$S$893,'acab equip'!$L$3)+COUNTIFS(' CADASTRO'!$R$746:$R$893,'acab equip'!J225,' CADASTRO'!$S$746:$S$893,'acab equip'!$K$3)</f>
        <v>0</v>
      </c>
      <c r="N225" s="162">
        <f t="shared" si="43"/>
        <v>47283</v>
      </c>
      <c r="O225" s="163">
        <f>COUNTIFS(' CADASTRO'!$S:$S,'acab equip'!$C$3,' CADASTRO'!$R:$R,'acab equip'!N225)</f>
        <v>0</v>
      </c>
      <c r="P225" s="163">
        <f>COUNTIFS(' CADASTRO'!$S:$S,'acab equip'!$D$3,' CADASTRO'!$R:$R,'acab equip'!N225)</f>
        <v>0</v>
      </c>
      <c r="Q225" s="163">
        <f>COUNTIFS(' CADASTRO'!$R$746:$R$893,'acab equip'!N225,' CADASTRO'!$S$746:$S$893,'acab equip'!$P$3)+COUNTIFS(' CADASTRO'!$R$746:$R$893,'acab equip'!N225,' CADASTRO'!$S$746:$S$893,'acab equip'!$O$3)</f>
        <v>0</v>
      </c>
      <c r="R225" s="162">
        <f t="shared" si="44"/>
        <v>47284</v>
      </c>
      <c r="S225" s="163">
        <f>COUNTIFS(' CADASTRO'!$S:$S,'acab equip'!$C$3,' CADASTRO'!$R:$R,'acab equip'!R225)</f>
        <v>0</v>
      </c>
      <c r="T225" s="163">
        <f>COUNTIFS(' CADASTRO'!$S:$S,'acab equip'!$D$3,' CADASTRO'!$R:$R,'acab equip'!R225)</f>
        <v>0</v>
      </c>
      <c r="U225" s="163">
        <f>COUNTIFS(' CADASTRO'!$R$746:$R$893,'acab equip'!R225,' CADASTRO'!$S$746:$S$893,'acab equip'!$T$3)+COUNTIFS(' CADASTRO'!$R$746:$R$893,'acab equip'!R225,' CADASTRO'!$S$746:$S$893,'acab equip'!$S$3)</f>
        <v>0</v>
      </c>
      <c r="V225" s="162">
        <f t="shared" si="45"/>
        <v>47285</v>
      </c>
      <c r="W225" s="163">
        <f>COUNTIFS(' CADASTRO'!$S:$S,'acab equip'!$C$3,' CADASTRO'!$R:$R,'acab equip'!V225)</f>
        <v>0</v>
      </c>
      <c r="X225" s="163">
        <f>COUNTIFS(' CADASTRO'!$S:$S,'acab equip'!$D$3,' CADASTRO'!$R:$R,'acab equip'!V225)</f>
        <v>0</v>
      </c>
      <c r="Y225" s="163">
        <f>COUNTIFS(' CADASTRO'!$R$746:$R$893,'acab equip'!V225,' CADASTRO'!$S$746:$S$893,'acab equip'!$X$3)+COUNTIFS(' CADASTRO'!$R$746:$R$893,'acab equip'!V225,' CADASTRO'!$S$746:$S$893,'acab equip'!$W$3)</f>
        <v>0</v>
      </c>
      <c r="Z225" s="162">
        <f t="shared" si="46"/>
        <v>47286</v>
      </c>
      <c r="AB225" s="165">
        <f t="shared" si="36"/>
        <v>0</v>
      </c>
      <c r="AC225" s="165">
        <f t="shared" si="37"/>
        <v>0</v>
      </c>
      <c r="AD225" s="165">
        <f t="shared" si="38"/>
        <v>0</v>
      </c>
      <c r="AE225" s="177">
        <f t="shared" si="39"/>
        <v>0</v>
      </c>
    </row>
    <row r="226" spans="2:31" x14ac:dyDescent="0.25">
      <c r="B226" s="162">
        <f t="shared" si="40"/>
        <v>47287</v>
      </c>
      <c r="C226" s="163">
        <f>COUNTIFS(' CADASTRO'!$S:$S,'acab equip'!$C$3,' CADASTRO'!$R:$R,'acab equip'!B226)</f>
        <v>0</v>
      </c>
      <c r="D226" s="163">
        <f>COUNTIFS(' CADASTRO'!$S:$S,'acab equip'!$D$3,' CADASTRO'!$R:$R,'acab equip'!B226)</f>
        <v>0</v>
      </c>
      <c r="E226" s="163"/>
      <c r="F226" s="162">
        <f t="shared" si="41"/>
        <v>47288</v>
      </c>
      <c r="G226" s="163">
        <f>COUNTIFS(' CADASTRO'!$S:$S,'acab equip'!$C$3,' CADASTRO'!$R:$R,'acab equip'!F226)</f>
        <v>0</v>
      </c>
      <c r="H226" s="163">
        <f>COUNTIFS(' CADASTRO'!$S:$S,'acab equip'!$D$3,' CADASTRO'!$R:$R,'acab equip'!F226)</f>
        <v>0</v>
      </c>
      <c r="I226" s="163">
        <f>COUNTIFS(' CADASTRO'!$R$746:$R$893,'acab equip'!F226,' CADASTRO'!$S$746:$S$893,'acab equip'!$H$3)+COUNTIFS(' CADASTRO'!$R$746:$R$893,'acab equip'!F226,' CADASTRO'!$S$746:$S$893,'acab equip'!$G$3)</f>
        <v>0</v>
      </c>
      <c r="J226" s="162">
        <f t="shared" si="42"/>
        <v>47289</v>
      </c>
      <c r="K226" s="163">
        <f>COUNTIFS(' CADASTRO'!$S:$S,'acab equip'!$C$3,' CADASTRO'!$R:$R,'acab equip'!J226)</f>
        <v>0</v>
      </c>
      <c r="L226" s="163">
        <f>COUNTIFS(' CADASTRO'!$S:$S,'acab equip'!$D$3,' CADASTRO'!$R:$R,'acab equip'!J226)</f>
        <v>0</v>
      </c>
      <c r="M226" s="163">
        <f>COUNTIFS(' CADASTRO'!$R$746:$R$893,'acab equip'!J226,' CADASTRO'!$S$746:$S$893,'acab equip'!$L$3)+COUNTIFS(' CADASTRO'!$R$746:$R$893,'acab equip'!J226,' CADASTRO'!$S$746:$S$893,'acab equip'!$K$3)</f>
        <v>0</v>
      </c>
      <c r="N226" s="162">
        <f t="shared" si="43"/>
        <v>47290</v>
      </c>
      <c r="O226" s="163">
        <f>COUNTIFS(' CADASTRO'!$S:$S,'acab equip'!$C$3,' CADASTRO'!$R:$R,'acab equip'!N226)</f>
        <v>0</v>
      </c>
      <c r="P226" s="163">
        <f>COUNTIFS(' CADASTRO'!$S:$S,'acab equip'!$D$3,' CADASTRO'!$R:$R,'acab equip'!N226)</f>
        <v>0</v>
      </c>
      <c r="Q226" s="163">
        <f>COUNTIFS(' CADASTRO'!$R$746:$R$893,'acab equip'!N226,' CADASTRO'!$S$746:$S$893,'acab equip'!$P$3)+COUNTIFS(' CADASTRO'!$R$746:$R$893,'acab equip'!N226,' CADASTRO'!$S$746:$S$893,'acab equip'!$O$3)</f>
        <v>0</v>
      </c>
      <c r="R226" s="162">
        <f t="shared" si="44"/>
        <v>47291</v>
      </c>
      <c r="S226" s="163">
        <f>COUNTIFS(' CADASTRO'!$S:$S,'acab equip'!$C$3,' CADASTRO'!$R:$R,'acab equip'!R226)</f>
        <v>0</v>
      </c>
      <c r="T226" s="163">
        <f>COUNTIFS(' CADASTRO'!$S:$S,'acab equip'!$D$3,' CADASTRO'!$R:$R,'acab equip'!R226)</f>
        <v>0</v>
      </c>
      <c r="U226" s="163">
        <f>COUNTIFS(' CADASTRO'!$R$746:$R$893,'acab equip'!R226,' CADASTRO'!$S$746:$S$893,'acab equip'!$T$3)+COUNTIFS(' CADASTRO'!$R$746:$R$893,'acab equip'!R226,' CADASTRO'!$S$746:$S$893,'acab equip'!$S$3)</f>
        <v>0</v>
      </c>
      <c r="V226" s="162">
        <f t="shared" si="45"/>
        <v>47292</v>
      </c>
      <c r="W226" s="163">
        <f>COUNTIFS(' CADASTRO'!$S:$S,'acab equip'!$C$3,' CADASTRO'!$R:$R,'acab equip'!V226)</f>
        <v>0</v>
      </c>
      <c r="X226" s="163">
        <f>COUNTIFS(' CADASTRO'!$S:$S,'acab equip'!$D$3,' CADASTRO'!$R:$R,'acab equip'!V226)</f>
        <v>0</v>
      </c>
      <c r="Y226" s="163">
        <f>COUNTIFS(' CADASTRO'!$R$746:$R$893,'acab equip'!V226,' CADASTRO'!$S$746:$S$893,'acab equip'!$X$3)+COUNTIFS(' CADASTRO'!$R$746:$R$893,'acab equip'!V226,' CADASTRO'!$S$746:$S$893,'acab equip'!$W$3)</f>
        <v>0</v>
      </c>
      <c r="Z226" s="162">
        <f t="shared" si="46"/>
        <v>47293</v>
      </c>
      <c r="AB226" s="165">
        <f t="shared" si="36"/>
        <v>0</v>
      </c>
      <c r="AC226" s="165">
        <f t="shared" si="37"/>
        <v>0</v>
      </c>
      <c r="AD226" s="165">
        <f t="shared" si="38"/>
        <v>0</v>
      </c>
      <c r="AE226" s="177">
        <f t="shared" si="39"/>
        <v>0</v>
      </c>
    </row>
    <row r="227" spans="2:31" x14ac:dyDescent="0.25">
      <c r="B227" s="162">
        <f t="shared" si="40"/>
        <v>47294</v>
      </c>
      <c r="C227" s="163">
        <f>COUNTIFS(' CADASTRO'!$S:$S,'acab equip'!$C$3,' CADASTRO'!$R:$R,'acab equip'!B227)</f>
        <v>0</v>
      </c>
      <c r="D227" s="163">
        <f>COUNTIFS(' CADASTRO'!$S:$S,'acab equip'!$D$3,' CADASTRO'!$R:$R,'acab equip'!B227)</f>
        <v>0</v>
      </c>
      <c r="E227" s="163"/>
      <c r="F227" s="162">
        <f t="shared" si="41"/>
        <v>47295</v>
      </c>
      <c r="G227" s="163">
        <f>COUNTIFS(' CADASTRO'!$S:$S,'acab equip'!$C$3,' CADASTRO'!$R:$R,'acab equip'!F227)</f>
        <v>0</v>
      </c>
      <c r="H227" s="163">
        <f>COUNTIFS(' CADASTRO'!$S:$S,'acab equip'!$D$3,' CADASTRO'!$R:$R,'acab equip'!F227)</f>
        <v>0</v>
      </c>
      <c r="I227" s="163">
        <f>COUNTIFS(' CADASTRO'!$R$746:$R$893,'acab equip'!F227,' CADASTRO'!$S$746:$S$893,'acab equip'!$H$3)+COUNTIFS(' CADASTRO'!$R$746:$R$893,'acab equip'!F227,' CADASTRO'!$S$746:$S$893,'acab equip'!$G$3)</f>
        <v>0</v>
      </c>
      <c r="J227" s="162">
        <f t="shared" si="42"/>
        <v>47296</v>
      </c>
      <c r="K227" s="163">
        <f>COUNTIFS(' CADASTRO'!$S:$S,'acab equip'!$C$3,' CADASTRO'!$R:$R,'acab equip'!J227)</f>
        <v>0</v>
      </c>
      <c r="L227" s="163">
        <f>COUNTIFS(' CADASTRO'!$S:$S,'acab equip'!$D$3,' CADASTRO'!$R:$R,'acab equip'!J227)</f>
        <v>0</v>
      </c>
      <c r="M227" s="163">
        <f>COUNTIFS(' CADASTRO'!$R$746:$R$893,'acab equip'!J227,' CADASTRO'!$S$746:$S$893,'acab equip'!$L$3)+COUNTIFS(' CADASTRO'!$R$746:$R$893,'acab equip'!J227,' CADASTRO'!$S$746:$S$893,'acab equip'!$K$3)</f>
        <v>0</v>
      </c>
      <c r="N227" s="162">
        <f t="shared" si="43"/>
        <v>47297</v>
      </c>
      <c r="O227" s="163">
        <f>COUNTIFS(' CADASTRO'!$S:$S,'acab equip'!$C$3,' CADASTRO'!$R:$R,'acab equip'!N227)</f>
        <v>0</v>
      </c>
      <c r="P227" s="163">
        <f>COUNTIFS(' CADASTRO'!$S:$S,'acab equip'!$D$3,' CADASTRO'!$R:$R,'acab equip'!N227)</f>
        <v>0</v>
      </c>
      <c r="Q227" s="163">
        <f>COUNTIFS(' CADASTRO'!$R$746:$R$893,'acab equip'!N227,' CADASTRO'!$S$746:$S$893,'acab equip'!$P$3)+COUNTIFS(' CADASTRO'!$R$746:$R$893,'acab equip'!N227,' CADASTRO'!$S$746:$S$893,'acab equip'!$O$3)</f>
        <v>0</v>
      </c>
      <c r="R227" s="162">
        <f t="shared" si="44"/>
        <v>47298</v>
      </c>
      <c r="S227" s="163">
        <f>COUNTIFS(' CADASTRO'!$S:$S,'acab equip'!$C$3,' CADASTRO'!$R:$R,'acab equip'!R227)</f>
        <v>0</v>
      </c>
      <c r="T227" s="163">
        <f>COUNTIFS(' CADASTRO'!$S:$S,'acab equip'!$D$3,' CADASTRO'!$R:$R,'acab equip'!R227)</f>
        <v>0</v>
      </c>
      <c r="U227" s="163">
        <f>COUNTIFS(' CADASTRO'!$R$746:$R$893,'acab equip'!R227,' CADASTRO'!$S$746:$S$893,'acab equip'!$T$3)+COUNTIFS(' CADASTRO'!$R$746:$R$893,'acab equip'!R227,' CADASTRO'!$S$746:$S$893,'acab equip'!$S$3)</f>
        <v>0</v>
      </c>
      <c r="V227" s="162">
        <f t="shared" si="45"/>
        <v>47299</v>
      </c>
      <c r="W227" s="163">
        <f>COUNTIFS(' CADASTRO'!$S:$S,'acab equip'!$C$3,' CADASTRO'!$R:$R,'acab equip'!V227)</f>
        <v>0</v>
      </c>
      <c r="X227" s="163">
        <f>COUNTIFS(' CADASTRO'!$S:$S,'acab equip'!$D$3,' CADASTRO'!$R:$R,'acab equip'!V227)</f>
        <v>0</v>
      </c>
      <c r="Y227" s="163">
        <f>COUNTIFS(' CADASTRO'!$R$746:$R$893,'acab equip'!V227,' CADASTRO'!$S$746:$S$893,'acab equip'!$X$3)+COUNTIFS(' CADASTRO'!$R$746:$R$893,'acab equip'!V227,' CADASTRO'!$S$746:$S$893,'acab equip'!$W$3)</f>
        <v>0</v>
      </c>
      <c r="Z227" s="162">
        <f t="shared" si="46"/>
        <v>47300</v>
      </c>
      <c r="AB227" s="165">
        <f t="shared" si="36"/>
        <v>0</v>
      </c>
      <c r="AC227" s="165">
        <f t="shared" si="37"/>
        <v>0</v>
      </c>
      <c r="AD227" s="165">
        <f t="shared" si="38"/>
        <v>0</v>
      </c>
      <c r="AE227" s="177">
        <f t="shared" si="39"/>
        <v>0</v>
      </c>
    </row>
    <row r="228" spans="2:31" x14ac:dyDescent="0.25">
      <c r="B228" s="162">
        <f t="shared" si="40"/>
        <v>47301</v>
      </c>
      <c r="C228" s="163">
        <f>COUNTIFS(' CADASTRO'!$S:$S,'acab equip'!$C$3,' CADASTRO'!$R:$R,'acab equip'!B228)</f>
        <v>0</v>
      </c>
      <c r="D228" s="163">
        <f>COUNTIFS(' CADASTRO'!$S:$S,'acab equip'!$D$3,' CADASTRO'!$R:$R,'acab equip'!B228)</f>
        <v>0</v>
      </c>
      <c r="E228" s="163"/>
      <c r="F228" s="162">
        <f t="shared" si="41"/>
        <v>47302</v>
      </c>
      <c r="G228" s="163">
        <f>COUNTIFS(' CADASTRO'!$S:$S,'acab equip'!$C$3,' CADASTRO'!$R:$R,'acab equip'!F228)</f>
        <v>0</v>
      </c>
      <c r="H228" s="163">
        <f>COUNTIFS(' CADASTRO'!$S:$S,'acab equip'!$D$3,' CADASTRO'!$R:$R,'acab equip'!F228)</f>
        <v>0</v>
      </c>
      <c r="I228" s="163">
        <f>COUNTIFS(' CADASTRO'!$R$746:$R$893,'acab equip'!F228,' CADASTRO'!$S$746:$S$893,'acab equip'!$H$3)+COUNTIFS(' CADASTRO'!$R$746:$R$893,'acab equip'!F228,' CADASTRO'!$S$746:$S$893,'acab equip'!$G$3)</f>
        <v>0</v>
      </c>
      <c r="J228" s="162">
        <f t="shared" si="42"/>
        <v>47303</v>
      </c>
      <c r="K228" s="163">
        <f>COUNTIFS(' CADASTRO'!$S:$S,'acab equip'!$C$3,' CADASTRO'!$R:$R,'acab equip'!J228)</f>
        <v>0</v>
      </c>
      <c r="L228" s="163">
        <f>COUNTIFS(' CADASTRO'!$S:$S,'acab equip'!$D$3,' CADASTRO'!$R:$R,'acab equip'!J228)</f>
        <v>0</v>
      </c>
      <c r="M228" s="163">
        <f>COUNTIFS(' CADASTRO'!$R$746:$R$893,'acab equip'!J228,' CADASTRO'!$S$746:$S$893,'acab equip'!$L$3)+COUNTIFS(' CADASTRO'!$R$746:$R$893,'acab equip'!J228,' CADASTRO'!$S$746:$S$893,'acab equip'!$K$3)</f>
        <v>0</v>
      </c>
      <c r="N228" s="162">
        <f t="shared" si="43"/>
        <v>47304</v>
      </c>
      <c r="O228" s="163">
        <f>COUNTIFS(' CADASTRO'!$S:$S,'acab equip'!$C$3,' CADASTRO'!$R:$R,'acab equip'!N228)</f>
        <v>0</v>
      </c>
      <c r="P228" s="163">
        <f>COUNTIFS(' CADASTRO'!$S:$S,'acab equip'!$D$3,' CADASTRO'!$R:$R,'acab equip'!N228)</f>
        <v>0</v>
      </c>
      <c r="Q228" s="163">
        <f>COUNTIFS(' CADASTRO'!$R$746:$R$893,'acab equip'!N228,' CADASTRO'!$S$746:$S$893,'acab equip'!$P$3)+COUNTIFS(' CADASTRO'!$R$746:$R$893,'acab equip'!N228,' CADASTRO'!$S$746:$S$893,'acab equip'!$O$3)</f>
        <v>0</v>
      </c>
      <c r="R228" s="162">
        <f t="shared" si="44"/>
        <v>47305</v>
      </c>
      <c r="S228" s="163">
        <f>COUNTIFS(' CADASTRO'!$S:$S,'acab equip'!$C$3,' CADASTRO'!$R:$R,'acab equip'!R228)</f>
        <v>0</v>
      </c>
      <c r="T228" s="163">
        <f>COUNTIFS(' CADASTRO'!$S:$S,'acab equip'!$D$3,' CADASTRO'!$R:$R,'acab equip'!R228)</f>
        <v>0</v>
      </c>
      <c r="U228" s="163">
        <f>COUNTIFS(' CADASTRO'!$R$746:$R$893,'acab equip'!R228,' CADASTRO'!$S$746:$S$893,'acab equip'!$T$3)+COUNTIFS(' CADASTRO'!$R$746:$R$893,'acab equip'!R228,' CADASTRO'!$S$746:$S$893,'acab equip'!$S$3)</f>
        <v>0</v>
      </c>
      <c r="V228" s="162">
        <f t="shared" si="45"/>
        <v>47306</v>
      </c>
      <c r="W228" s="163">
        <f>COUNTIFS(' CADASTRO'!$S:$S,'acab equip'!$C$3,' CADASTRO'!$R:$R,'acab equip'!V228)</f>
        <v>0</v>
      </c>
      <c r="X228" s="163">
        <f>COUNTIFS(' CADASTRO'!$S:$S,'acab equip'!$D$3,' CADASTRO'!$R:$R,'acab equip'!V228)</f>
        <v>0</v>
      </c>
      <c r="Y228" s="163">
        <f>COUNTIFS(' CADASTRO'!$R$746:$R$893,'acab equip'!V228,' CADASTRO'!$S$746:$S$893,'acab equip'!$X$3)+COUNTIFS(' CADASTRO'!$R$746:$R$893,'acab equip'!V228,' CADASTRO'!$S$746:$S$893,'acab equip'!$W$3)</f>
        <v>0</v>
      </c>
      <c r="Z228" s="162">
        <f t="shared" si="46"/>
        <v>47307</v>
      </c>
      <c r="AB228" s="165">
        <f t="shared" si="36"/>
        <v>0</v>
      </c>
      <c r="AC228" s="165">
        <f t="shared" si="37"/>
        <v>0</v>
      </c>
      <c r="AD228" s="165">
        <f t="shared" si="38"/>
        <v>0</v>
      </c>
      <c r="AE228" s="177">
        <f t="shared" si="39"/>
        <v>0</v>
      </c>
    </row>
    <row r="229" spans="2:31" x14ac:dyDescent="0.25">
      <c r="B229" s="162">
        <f t="shared" si="40"/>
        <v>47308</v>
      </c>
      <c r="C229" s="163">
        <f>COUNTIFS(' CADASTRO'!$S:$S,'acab equip'!$C$3,' CADASTRO'!$R:$R,'acab equip'!B229)</f>
        <v>0</v>
      </c>
      <c r="D229" s="163">
        <f>COUNTIFS(' CADASTRO'!$S:$S,'acab equip'!$D$3,' CADASTRO'!$R:$R,'acab equip'!B229)</f>
        <v>0</v>
      </c>
      <c r="E229" s="163"/>
      <c r="F229" s="162">
        <f t="shared" si="41"/>
        <v>47309</v>
      </c>
      <c r="G229" s="163">
        <f>COUNTIFS(' CADASTRO'!$S:$S,'acab equip'!$C$3,' CADASTRO'!$R:$R,'acab equip'!F229)</f>
        <v>0</v>
      </c>
      <c r="H229" s="163">
        <f>COUNTIFS(' CADASTRO'!$S:$S,'acab equip'!$D$3,' CADASTRO'!$R:$R,'acab equip'!F229)</f>
        <v>0</v>
      </c>
      <c r="I229" s="163">
        <f>COUNTIFS(' CADASTRO'!$R$746:$R$893,'acab equip'!F229,' CADASTRO'!$S$746:$S$893,'acab equip'!$H$3)+COUNTIFS(' CADASTRO'!$R$746:$R$893,'acab equip'!F229,' CADASTRO'!$S$746:$S$893,'acab equip'!$G$3)</f>
        <v>0</v>
      </c>
      <c r="J229" s="162">
        <f t="shared" si="42"/>
        <v>47310</v>
      </c>
      <c r="K229" s="163">
        <f>COUNTIFS(' CADASTRO'!$S:$S,'acab equip'!$C$3,' CADASTRO'!$R:$R,'acab equip'!J229)</f>
        <v>0</v>
      </c>
      <c r="L229" s="163">
        <f>COUNTIFS(' CADASTRO'!$S:$S,'acab equip'!$D$3,' CADASTRO'!$R:$R,'acab equip'!J229)</f>
        <v>0</v>
      </c>
      <c r="M229" s="163">
        <f>COUNTIFS(' CADASTRO'!$R$746:$R$893,'acab equip'!J229,' CADASTRO'!$S$746:$S$893,'acab equip'!$L$3)+COUNTIFS(' CADASTRO'!$R$746:$R$893,'acab equip'!J229,' CADASTRO'!$S$746:$S$893,'acab equip'!$K$3)</f>
        <v>0</v>
      </c>
      <c r="N229" s="162">
        <f t="shared" si="43"/>
        <v>47311</v>
      </c>
      <c r="O229" s="163">
        <f>COUNTIFS(' CADASTRO'!$S:$S,'acab equip'!$C$3,' CADASTRO'!$R:$R,'acab equip'!N229)</f>
        <v>0</v>
      </c>
      <c r="P229" s="163">
        <f>COUNTIFS(' CADASTRO'!$S:$S,'acab equip'!$D$3,' CADASTRO'!$R:$R,'acab equip'!N229)</f>
        <v>0</v>
      </c>
      <c r="Q229" s="163">
        <f>COUNTIFS(' CADASTRO'!$R$746:$R$893,'acab equip'!N229,' CADASTRO'!$S$746:$S$893,'acab equip'!$P$3)+COUNTIFS(' CADASTRO'!$R$746:$R$893,'acab equip'!N229,' CADASTRO'!$S$746:$S$893,'acab equip'!$O$3)</f>
        <v>0</v>
      </c>
      <c r="R229" s="162">
        <f t="shared" si="44"/>
        <v>47312</v>
      </c>
      <c r="S229" s="163">
        <f>COUNTIFS(' CADASTRO'!$S:$S,'acab equip'!$C$3,' CADASTRO'!$R:$R,'acab equip'!R229)</f>
        <v>0</v>
      </c>
      <c r="T229" s="163">
        <f>COUNTIFS(' CADASTRO'!$S:$S,'acab equip'!$D$3,' CADASTRO'!$R:$R,'acab equip'!R229)</f>
        <v>0</v>
      </c>
      <c r="U229" s="163">
        <f>COUNTIFS(' CADASTRO'!$R$746:$R$893,'acab equip'!R229,' CADASTRO'!$S$746:$S$893,'acab equip'!$T$3)+COUNTIFS(' CADASTRO'!$R$746:$R$893,'acab equip'!R229,' CADASTRO'!$S$746:$S$893,'acab equip'!$S$3)</f>
        <v>0</v>
      </c>
      <c r="V229" s="162">
        <f t="shared" si="45"/>
        <v>47313</v>
      </c>
      <c r="W229" s="163">
        <f>COUNTIFS(' CADASTRO'!$S:$S,'acab equip'!$C$3,' CADASTRO'!$R:$R,'acab equip'!V229)</f>
        <v>0</v>
      </c>
      <c r="X229" s="163">
        <f>COUNTIFS(' CADASTRO'!$S:$S,'acab equip'!$D$3,' CADASTRO'!$R:$R,'acab equip'!V229)</f>
        <v>0</v>
      </c>
      <c r="Y229" s="163">
        <f>COUNTIFS(' CADASTRO'!$R$746:$R$893,'acab equip'!V229,' CADASTRO'!$S$746:$S$893,'acab equip'!$X$3)+COUNTIFS(' CADASTRO'!$R$746:$R$893,'acab equip'!V229,' CADASTRO'!$S$746:$S$893,'acab equip'!$W$3)</f>
        <v>0</v>
      </c>
      <c r="Z229" s="162">
        <f t="shared" si="46"/>
        <v>47314</v>
      </c>
      <c r="AB229" s="165">
        <f t="shared" si="36"/>
        <v>0</v>
      </c>
      <c r="AC229" s="165">
        <f t="shared" si="37"/>
        <v>0</v>
      </c>
      <c r="AD229" s="165">
        <f t="shared" si="38"/>
        <v>0</v>
      </c>
      <c r="AE229" s="177">
        <f t="shared" si="39"/>
        <v>0</v>
      </c>
    </row>
    <row r="230" spans="2:31" x14ac:dyDescent="0.25">
      <c r="B230" s="162">
        <f t="shared" si="40"/>
        <v>47315</v>
      </c>
      <c r="C230" s="163">
        <f>COUNTIFS(' CADASTRO'!$S:$S,'acab equip'!$C$3,' CADASTRO'!$R:$R,'acab equip'!B230)</f>
        <v>0</v>
      </c>
      <c r="D230" s="163">
        <f>COUNTIFS(' CADASTRO'!$S:$S,'acab equip'!$D$3,' CADASTRO'!$R:$R,'acab equip'!B230)</f>
        <v>0</v>
      </c>
      <c r="E230" s="163"/>
      <c r="F230" s="162">
        <f t="shared" si="41"/>
        <v>47316</v>
      </c>
      <c r="G230" s="163">
        <f>COUNTIFS(' CADASTRO'!$S:$S,'acab equip'!$C$3,' CADASTRO'!$R:$R,'acab equip'!F230)</f>
        <v>0</v>
      </c>
      <c r="H230" s="163">
        <f>COUNTIFS(' CADASTRO'!$S:$S,'acab equip'!$D$3,' CADASTRO'!$R:$R,'acab equip'!F230)</f>
        <v>0</v>
      </c>
      <c r="I230" s="163">
        <f>COUNTIFS(' CADASTRO'!$R$746:$R$893,'acab equip'!F230,' CADASTRO'!$S$746:$S$893,'acab equip'!$H$3)+COUNTIFS(' CADASTRO'!$R$746:$R$893,'acab equip'!F230,' CADASTRO'!$S$746:$S$893,'acab equip'!$G$3)</f>
        <v>0</v>
      </c>
      <c r="J230" s="162">
        <f t="shared" si="42"/>
        <v>47317</v>
      </c>
      <c r="K230" s="163">
        <f>COUNTIFS(' CADASTRO'!$S:$S,'acab equip'!$C$3,' CADASTRO'!$R:$R,'acab equip'!J230)</f>
        <v>0</v>
      </c>
      <c r="L230" s="163">
        <f>COUNTIFS(' CADASTRO'!$S:$S,'acab equip'!$D$3,' CADASTRO'!$R:$R,'acab equip'!J230)</f>
        <v>0</v>
      </c>
      <c r="M230" s="163">
        <f>COUNTIFS(' CADASTRO'!$R$746:$R$893,'acab equip'!J230,' CADASTRO'!$S$746:$S$893,'acab equip'!$L$3)+COUNTIFS(' CADASTRO'!$R$746:$R$893,'acab equip'!J230,' CADASTRO'!$S$746:$S$893,'acab equip'!$K$3)</f>
        <v>0</v>
      </c>
      <c r="N230" s="162">
        <f t="shared" si="43"/>
        <v>47318</v>
      </c>
      <c r="O230" s="163">
        <f>COUNTIFS(' CADASTRO'!$S:$S,'acab equip'!$C$3,' CADASTRO'!$R:$R,'acab equip'!N230)</f>
        <v>0</v>
      </c>
      <c r="P230" s="163">
        <f>COUNTIFS(' CADASTRO'!$S:$S,'acab equip'!$D$3,' CADASTRO'!$R:$R,'acab equip'!N230)</f>
        <v>0</v>
      </c>
      <c r="Q230" s="163">
        <f>COUNTIFS(' CADASTRO'!$R$746:$R$893,'acab equip'!N230,' CADASTRO'!$S$746:$S$893,'acab equip'!$P$3)+COUNTIFS(' CADASTRO'!$R$746:$R$893,'acab equip'!N230,' CADASTRO'!$S$746:$S$893,'acab equip'!$O$3)</f>
        <v>0</v>
      </c>
      <c r="R230" s="162">
        <f t="shared" si="44"/>
        <v>47319</v>
      </c>
      <c r="S230" s="163">
        <f>COUNTIFS(' CADASTRO'!$S:$S,'acab equip'!$C$3,' CADASTRO'!$R:$R,'acab equip'!R230)</f>
        <v>0</v>
      </c>
      <c r="T230" s="163">
        <f>COUNTIFS(' CADASTRO'!$S:$S,'acab equip'!$D$3,' CADASTRO'!$R:$R,'acab equip'!R230)</f>
        <v>0</v>
      </c>
      <c r="U230" s="163">
        <f>COUNTIFS(' CADASTRO'!$R$746:$R$893,'acab equip'!R230,' CADASTRO'!$S$746:$S$893,'acab equip'!$T$3)+COUNTIFS(' CADASTRO'!$R$746:$R$893,'acab equip'!R230,' CADASTRO'!$S$746:$S$893,'acab equip'!$S$3)</f>
        <v>0</v>
      </c>
      <c r="V230" s="162">
        <f t="shared" si="45"/>
        <v>47320</v>
      </c>
      <c r="W230" s="163">
        <f>COUNTIFS(' CADASTRO'!$S:$S,'acab equip'!$C$3,' CADASTRO'!$R:$R,'acab equip'!V230)</f>
        <v>0</v>
      </c>
      <c r="X230" s="163">
        <f>COUNTIFS(' CADASTRO'!$S:$S,'acab equip'!$D$3,' CADASTRO'!$R:$R,'acab equip'!V230)</f>
        <v>0</v>
      </c>
      <c r="Y230" s="163">
        <f>COUNTIFS(' CADASTRO'!$R$746:$R$893,'acab equip'!V230,' CADASTRO'!$S$746:$S$893,'acab equip'!$X$3)+COUNTIFS(' CADASTRO'!$R$746:$R$893,'acab equip'!V230,' CADASTRO'!$S$746:$S$893,'acab equip'!$W$3)</f>
        <v>0</v>
      </c>
      <c r="Z230" s="162">
        <f t="shared" si="46"/>
        <v>47321</v>
      </c>
      <c r="AB230" s="165">
        <f t="shared" si="36"/>
        <v>0</v>
      </c>
      <c r="AC230" s="165">
        <f t="shared" si="37"/>
        <v>0</v>
      </c>
      <c r="AD230" s="165">
        <f t="shared" si="38"/>
        <v>0</v>
      </c>
      <c r="AE230" s="177">
        <f t="shared" si="39"/>
        <v>0</v>
      </c>
    </row>
    <row r="231" spans="2:31" x14ac:dyDescent="0.25">
      <c r="B231" s="162">
        <f t="shared" si="40"/>
        <v>47322</v>
      </c>
      <c r="C231" s="163">
        <f>COUNTIFS(' CADASTRO'!$S:$S,'acab equip'!$C$3,' CADASTRO'!$R:$R,'acab equip'!B231)</f>
        <v>0</v>
      </c>
      <c r="D231" s="163">
        <f>COUNTIFS(' CADASTRO'!$S:$S,'acab equip'!$D$3,' CADASTRO'!$R:$R,'acab equip'!B231)</f>
        <v>0</v>
      </c>
      <c r="E231" s="163"/>
      <c r="F231" s="162">
        <f t="shared" si="41"/>
        <v>47323</v>
      </c>
      <c r="G231" s="163">
        <f>COUNTIFS(' CADASTRO'!$S:$S,'acab equip'!$C$3,' CADASTRO'!$R:$R,'acab equip'!F231)</f>
        <v>0</v>
      </c>
      <c r="H231" s="163">
        <f>COUNTIFS(' CADASTRO'!$S:$S,'acab equip'!$D$3,' CADASTRO'!$R:$R,'acab equip'!F231)</f>
        <v>0</v>
      </c>
      <c r="I231" s="163">
        <f>COUNTIFS(' CADASTRO'!$R$746:$R$893,'acab equip'!F231,' CADASTRO'!$S$746:$S$893,'acab equip'!$H$3)+COUNTIFS(' CADASTRO'!$R$746:$R$893,'acab equip'!F231,' CADASTRO'!$S$746:$S$893,'acab equip'!$G$3)</f>
        <v>0</v>
      </c>
      <c r="J231" s="162">
        <f t="shared" si="42"/>
        <v>47324</v>
      </c>
      <c r="K231" s="163">
        <f>COUNTIFS(' CADASTRO'!$S:$S,'acab equip'!$C$3,' CADASTRO'!$R:$R,'acab equip'!J231)</f>
        <v>0</v>
      </c>
      <c r="L231" s="163">
        <f>COUNTIFS(' CADASTRO'!$S:$S,'acab equip'!$D$3,' CADASTRO'!$R:$R,'acab equip'!J231)</f>
        <v>0</v>
      </c>
      <c r="M231" s="163">
        <f>COUNTIFS(' CADASTRO'!$R$746:$R$893,'acab equip'!J231,' CADASTRO'!$S$746:$S$893,'acab equip'!$L$3)+COUNTIFS(' CADASTRO'!$R$746:$R$893,'acab equip'!J231,' CADASTRO'!$S$746:$S$893,'acab equip'!$K$3)</f>
        <v>0</v>
      </c>
      <c r="N231" s="162">
        <f t="shared" si="43"/>
        <v>47325</v>
      </c>
      <c r="O231" s="163">
        <f>COUNTIFS(' CADASTRO'!$S:$S,'acab equip'!$C$3,' CADASTRO'!$R:$R,'acab equip'!N231)</f>
        <v>0</v>
      </c>
      <c r="P231" s="163">
        <f>COUNTIFS(' CADASTRO'!$S:$S,'acab equip'!$D$3,' CADASTRO'!$R:$R,'acab equip'!N231)</f>
        <v>0</v>
      </c>
      <c r="Q231" s="163">
        <f>COUNTIFS(' CADASTRO'!$R$746:$R$893,'acab equip'!N231,' CADASTRO'!$S$746:$S$893,'acab equip'!$P$3)+COUNTIFS(' CADASTRO'!$R$746:$R$893,'acab equip'!N231,' CADASTRO'!$S$746:$S$893,'acab equip'!$O$3)</f>
        <v>0</v>
      </c>
      <c r="R231" s="162">
        <f t="shared" si="44"/>
        <v>47326</v>
      </c>
      <c r="S231" s="163">
        <f>COUNTIFS(' CADASTRO'!$S:$S,'acab equip'!$C$3,' CADASTRO'!$R:$R,'acab equip'!R231)</f>
        <v>0</v>
      </c>
      <c r="T231" s="163">
        <f>COUNTIFS(' CADASTRO'!$S:$S,'acab equip'!$D$3,' CADASTRO'!$R:$R,'acab equip'!R231)</f>
        <v>0</v>
      </c>
      <c r="U231" s="163">
        <f>COUNTIFS(' CADASTRO'!$R$746:$R$893,'acab equip'!R231,' CADASTRO'!$S$746:$S$893,'acab equip'!$T$3)+COUNTIFS(' CADASTRO'!$R$746:$R$893,'acab equip'!R231,' CADASTRO'!$S$746:$S$893,'acab equip'!$S$3)</f>
        <v>0</v>
      </c>
      <c r="V231" s="162">
        <f t="shared" si="45"/>
        <v>47327</v>
      </c>
      <c r="W231" s="163">
        <f>COUNTIFS(' CADASTRO'!$S:$S,'acab equip'!$C$3,' CADASTRO'!$R:$R,'acab equip'!V231)</f>
        <v>0</v>
      </c>
      <c r="X231" s="163">
        <f>COUNTIFS(' CADASTRO'!$S:$S,'acab equip'!$D$3,' CADASTRO'!$R:$R,'acab equip'!V231)</f>
        <v>0</v>
      </c>
      <c r="Y231" s="163">
        <f>COUNTIFS(' CADASTRO'!$R$746:$R$893,'acab equip'!V231,' CADASTRO'!$S$746:$S$893,'acab equip'!$X$3)+COUNTIFS(' CADASTRO'!$R$746:$R$893,'acab equip'!V231,' CADASTRO'!$S$746:$S$893,'acab equip'!$W$3)</f>
        <v>0</v>
      </c>
      <c r="Z231" s="162">
        <f t="shared" si="46"/>
        <v>47328</v>
      </c>
      <c r="AB231" s="165">
        <f t="shared" si="36"/>
        <v>0</v>
      </c>
      <c r="AC231" s="165">
        <f t="shared" si="37"/>
        <v>0</v>
      </c>
      <c r="AD231" s="165">
        <f t="shared" si="38"/>
        <v>0</v>
      </c>
      <c r="AE231" s="177">
        <f t="shared" si="39"/>
        <v>0</v>
      </c>
    </row>
    <row r="232" spans="2:31" x14ac:dyDescent="0.25">
      <c r="B232" s="162">
        <f t="shared" si="40"/>
        <v>47329</v>
      </c>
      <c r="C232" s="163">
        <f>COUNTIFS(' CADASTRO'!$S:$S,'acab equip'!$C$3,' CADASTRO'!$R:$R,'acab equip'!B232)</f>
        <v>0</v>
      </c>
      <c r="D232" s="163">
        <f>COUNTIFS(' CADASTRO'!$S:$S,'acab equip'!$D$3,' CADASTRO'!$R:$R,'acab equip'!B232)</f>
        <v>0</v>
      </c>
      <c r="E232" s="163"/>
      <c r="F232" s="162">
        <f t="shared" si="41"/>
        <v>47330</v>
      </c>
      <c r="G232" s="163">
        <f>COUNTIFS(' CADASTRO'!$S:$S,'acab equip'!$C$3,' CADASTRO'!$R:$R,'acab equip'!F232)</f>
        <v>0</v>
      </c>
      <c r="H232" s="163">
        <f>COUNTIFS(' CADASTRO'!$S:$S,'acab equip'!$D$3,' CADASTRO'!$R:$R,'acab equip'!F232)</f>
        <v>0</v>
      </c>
      <c r="I232" s="163">
        <f>COUNTIFS(' CADASTRO'!$R$746:$R$893,'acab equip'!F232,' CADASTRO'!$S$746:$S$893,'acab equip'!$H$3)+COUNTIFS(' CADASTRO'!$R$746:$R$893,'acab equip'!F232,' CADASTRO'!$S$746:$S$893,'acab equip'!$G$3)</f>
        <v>0</v>
      </c>
      <c r="J232" s="162">
        <f t="shared" si="42"/>
        <v>47331</v>
      </c>
      <c r="K232" s="163">
        <f>COUNTIFS(' CADASTRO'!$S:$S,'acab equip'!$C$3,' CADASTRO'!$R:$R,'acab equip'!J232)</f>
        <v>0</v>
      </c>
      <c r="L232" s="163">
        <f>COUNTIFS(' CADASTRO'!$S:$S,'acab equip'!$D$3,' CADASTRO'!$R:$R,'acab equip'!J232)</f>
        <v>0</v>
      </c>
      <c r="M232" s="163">
        <f>COUNTIFS(' CADASTRO'!$R$746:$R$893,'acab equip'!J232,' CADASTRO'!$S$746:$S$893,'acab equip'!$L$3)+COUNTIFS(' CADASTRO'!$R$746:$R$893,'acab equip'!J232,' CADASTRO'!$S$746:$S$893,'acab equip'!$K$3)</f>
        <v>0</v>
      </c>
      <c r="N232" s="162">
        <f t="shared" si="43"/>
        <v>47332</v>
      </c>
      <c r="O232" s="163">
        <f>COUNTIFS(' CADASTRO'!$S:$S,'acab equip'!$C$3,' CADASTRO'!$R:$R,'acab equip'!N232)</f>
        <v>0</v>
      </c>
      <c r="P232" s="163">
        <f>COUNTIFS(' CADASTRO'!$S:$S,'acab equip'!$D$3,' CADASTRO'!$R:$R,'acab equip'!N232)</f>
        <v>0</v>
      </c>
      <c r="Q232" s="163">
        <f>COUNTIFS(' CADASTRO'!$R$746:$R$893,'acab equip'!N232,' CADASTRO'!$S$746:$S$893,'acab equip'!$P$3)+COUNTIFS(' CADASTRO'!$R$746:$R$893,'acab equip'!N232,' CADASTRO'!$S$746:$S$893,'acab equip'!$O$3)</f>
        <v>0</v>
      </c>
      <c r="R232" s="162">
        <f t="shared" si="44"/>
        <v>47333</v>
      </c>
      <c r="S232" s="163">
        <f>COUNTIFS(' CADASTRO'!$S:$S,'acab equip'!$C$3,' CADASTRO'!$R:$R,'acab equip'!R232)</f>
        <v>0</v>
      </c>
      <c r="T232" s="163">
        <f>COUNTIFS(' CADASTRO'!$S:$S,'acab equip'!$D$3,' CADASTRO'!$R:$R,'acab equip'!R232)</f>
        <v>0</v>
      </c>
      <c r="U232" s="163">
        <f>COUNTIFS(' CADASTRO'!$R$746:$R$893,'acab equip'!R232,' CADASTRO'!$S$746:$S$893,'acab equip'!$T$3)+COUNTIFS(' CADASTRO'!$R$746:$R$893,'acab equip'!R232,' CADASTRO'!$S$746:$S$893,'acab equip'!$S$3)</f>
        <v>0</v>
      </c>
      <c r="V232" s="162">
        <f t="shared" si="45"/>
        <v>47334</v>
      </c>
      <c r="W232" s="163">
        <f>COUNTIFS(' CADASTRO'!$S:$S,'acab equip'!$C$3,' CADASTRO'!$R:$R,'acab equip'!V232)</f>
        <v>0</v>
      </c>
      <c r="X232" s="163">
        <f>COUNTIFS(' CADASTRO'!$S:$S,'acab equip'!$D$3,' CADASTRO'!$R:$R,'acab equip'!V232)</f>
        <v>0</v>
      </c>
      <c r="Y232" s="163">
        <f>COUNTIFS(' CADASTRO'!$R$746:$R$893,'acab equip'!V232,' CADASTRO'!$S$746:$S$893,'acab equip'!$X$3)+COUNTIFS(' CADASTRO'!$R$746:$R$893,'acab equip'!V232,' CADASTRO'!$S$746:$S$893,'acab equip'!$W$3)</f>
        <v>0</v>
      </c>
      <c r="Z232" s="162">
        <f t="shared" si="46"/>
        <v>47335</v>
      </c>
      <c r="AB232" s="165">
        <f t="shared" si="36"/>
        <v>0</v>
      </c>
      <c r="AC232" s="165">
        <f t="shared" si="37"/>
        <v>0</v>
      </c>
      <c r="AD232" s="165">
        <f t="shared" si="38"/>
        <v>0</v>
      </c>
      <c r="AE232" s="177">
        <f t="shared" si="39"/>
        <v>0</v>
      </c>
    </row>
    <row r="233" spans="2:31" x14ac:dyDescent="0.25">
      <c r="B233" s="162">
        <f t="shared" si="40"/>
        <v>47336</v>
      </c>
      <c r="C233" s="163">
        <f>COUNTIFS(' CADASTRO'!$S:$S,'acab equip'!$C$3,' CADASTRO'!$R:$R,'acab equip'!B233)</f>
        <v>0</v>
      </c>
      <c r="D233" s="163">
        <f>COUNTIFS(' CADASTRO'!$S:$S,'acab equip'!$D$3,' CADASTRO'!$R:$R,'acab equip'!B233)</f>
        <v>0</v>
      </c>
      <c r="E233" s="163"/>
      <c r="F233" s="162">
        <f t="shared" si="41"/>
        <v>47337</v>
      </c>
      <c r="G233" s="163">
        <f>COUNTIFS(' CADASTRO'!$S:$S,'acab equip'!$C$3,' CADASTRO'!$R:$R,'acab equip'!F233)</f>
        <v>0</v>
      </c>
      <c r="H233" s="163">
        <f>COUNTIFS(' CADASTRO'!$S:$S,'acab equip'!$D$3,' CADASTRO'!$R:$R,'acab equip'!F233)</f>
        <v>0</v>
      </c>
      <c r="I233" s="163">
        <f>COUNTIFS(' CADASTRO'!$R$746:$R$893,'acab equip'!F233,' CADASTRO'!$S$746:$S$893,'acab equip'!$H$3)+COUNTIFS(' CADASTRO'!$R$746:$R$893,'acab equip'!F233,' CADASTRO'!$S$746:$S$893,'acab equip'!$G$3)</f>
        <v>0</v>
      </c>
      <c r="J233" s="162">
        <f t="shared" si="42"/>
        <v>47338</v>
      </c>
      <c r="K233" s="163">
        <f>COUNTIFS(' CADASTRO'!$S:$S,'acab equip'!$C$3,' CADASTRO'!$R:$R,'acab equip'!J233)</f>
        <v>0</v>
      </c>
      <c r="L233" s="163">
        <f>COUNTIFS(' CADASTRO'!$S:$S,'acab equip'!$D$3,' CADASTRO'!$R:$R,'acab equip'!J233)</f>
        <v>0</v>
      </c>
      <c r="M233" s="163">
        <f>COUNTIFS(' CADASTRO'!$R$746:$R$893,'acab equip'!J233,' CADASTRO'!$S$746:$S$893,'acab equip'!$L$3)+COUNTIFS(' CADASTRO'!$R$746:$R$893,'acab equip'!J233,' CADASTRO'!$S$746:$S$893,'acab equip'!$K$3)</f>
        <v>0</v>
      </c>
      <c r="N233" s="162">
        <f t="shared" si="43"/>
        <v>47339</v>
      </c>
      <c r="O233" s="163">
        <f>COUNTIFS(' CADASTRO'!$S:$S,'acab equip'!$C$3,' CADASTRO'!$R:$R,'acab equip'!N233)</f>
        <v>0</v>
      </c>
      <c r="P233" s="163">
        <f>COUNTIFS(' CADASTRO'!$S:$S,'acab equip'!$D$3,' CADASTRO'!$R:$R,'acab equip'!N233)</f>
        <v>0</v>
      </c>
      <c r="Q233" s="163">
        <f>COUNTIFS(' CADASTRO'!$R$746:$R$893,'acab equip'!N233,' CADASTRO'!$S$746:$S$893,'acab equip'!$P$3)+COUNTIFS(' CADASTRO'!$R$746:$R$893,'acab equip'!N233,' CADASTRO'!$S$746:$S$893,'acab equip'!$O$3)</f>
        <v>0</v>
      </c>
      <c r="R233" s="162">
        <f t="shared" si="44"/>
        <v>47340</v>
      </c>
      <c r="S233" s="163">
        <f>COUNTIFS(' CADASTRO'!$S:$S,'acab equip'!$C$3,' CADASTRO'!$R:$R,'acab equip'!R233)</f>
        <v>0</v>
      </c>
      <c r="T233" s="163">
        <f>COUNTIFS(' CADASTRO'!$S:$S,'acab equip'!$D$3,' CADASTRO'!$R:$R,'acab equip'!R233)</f>
        <v>0</v>
      </c>
      <c r="U233" s="163">
        <f>COUNTIFS(' CADASTRO'!$R$746:$R$893,'acab equip'!R233,' CADASTRO'!$S$746:$S$893,'acab equip'!$T$3)+COUNTIFS(' CADASTRO'!$R$746:$R$893,'acab equip'!R233,' CADASTRO'!$S$746:$S$893,'acab equip'!$S$3)</f>
        <v>0</v>
      </c>
      <c r="V233" s="162">
        <f t="shared" si="45"/>
        <v>47341</v>
      </c>
      <c r="W233" s="163">
        <f>COUNTIFS(' CADASTRO'!$S:$S,'acab equip'!$C$3,' CADASTRO'!$R:$R,'acab equip'!V233)</f>
        <v>0</v>
      </c>
      <c r="X233" s="163">
        <f>COUNTIFS(' CADASTRO'!$S:$S,'acab equip'!$D$3,' CADASTRO'!$R:$R,'acab equip'!V233)</f>
        <v>0</v>
      </c>
      <c r="Y233" s="163">
        <f>COUNTIFS(' CADASTRO'!$R$746:$R$893,'acab equip'!V233,' CADASTRO'!$S$746:$S$893,'acab equip'!$X$3)+COUNTIFS(' CADASTRO'!$R$746:$R$893,'acab equip'!V233,' CADASTRO'!$S$746:$S$893,'acab equip'!$W$3)</f>
        <v>0</v>
      </c>
      <c r="Z233" s="162">
        <f t="shared" si="46"/>
        <v>47342</v>
      </c>
      <c r="AB233" s="165">
        <f t="shared" si="36"/>
        <v>0</v>
      </c>
      <c r="AC233" s="165">
        <f t="shared" si="37"/>
        <v>0</v>
      </c>
      <c r="AD233" s="165">
        <f t="shared" si="38"/>
        <v>0</v>
      </c>
      <c r="AE233" s="177">
        <f t="shared" si="39"/>
        <v>0</v>
      </c>
    </row>
    <row r="234" spans="2:31" x14ac:dyDescent="0.25">
      <c r="B234" s="162">
        <f t="shared" si="40"/>
        <v>47343</v>
      </c>
      <c r="C234" s="163">
        <f>COUNTIFS(' CADASTRO'!$S:$S,'acab equip'!$C$3,' CADASTRO'!$R:$R,'acab equip'!B234)</f>
        <v>0</v>
      </c>
      <c r="D234" s="163">
        <f>COUNTIFS(' CADASTRO'!$S:$S,'acab equip'!$D$3,' CADASTRO'!$R:$R,'acab equip'!B234)</f>
        <v>0</v>
      </c>
      <c r="E234" s="163"/>
      <c r="F234" s="162">
        <f t="shared" si="41"/>
        <v>47344</v>
      </c>
      <c r="G234" s="163">
        <f>COUNTIFS(' CADASTRO'!$S:$S,'acab equip'!$C$3,' CADASTRO'!$R:$R,'acab equip'!F234)</f>
        <v>0</v>
      </c>
      <c r="H234" s="163">
        <f>COUNTIFS(' CADASTRO'!$S:$S,'acab equip'!$D$3,' CADASTRO'!$R:$R,'acab equip'!F234)</f>
        <v>0</v>
      </c>
      <c r="I234" s="163">
        <f>COUNTIFS(' CADASTRO'!$R$746:$R$893,'acab equip'!F234,' CADASTRO'!$S$746:$S$893,'acab equip'!$H$3)+COUNTIFS(' CADASTRO'!$R$746:$R$893,'acab equip'!F234,' CADASTRO'!$S$746:$S$893,'acab equip'!$G$3)</f>
        <v>0</v>
      </c>
      <c r="J234" s="162">
        <f t="shared" si="42"/>
        <v>47345</v>
      </c>
      <c r="K234" s="163">
        <f>COUNTIFS(' CADASTRO'!$S:$S,'acab equip'!$C$3,' CADASTRO'!$R:$R,'acab equip'!J234)</f>
        <v>0</v>
      </c>
      <c r="L234" s="163">
        <f>COUNTIFS(' CADASTRO'!$S:$S,'acab equip'!$D$3,' CADASTRO'!$R:$R,'acab equip'!J234)</f>
        <v>0</v>
      </c>
      <c r="M234" s="163">
        <f>COUNTIFS(' CADASTRO'!$R$746:$R$893,'acab equip'!J234,' CADASTRO'!$S$746:$S$893,'acab equip'!$L$3)+COUNTIFS(' CADASTRO'!$R$746:$R$893,'acab equip'!J234,' CADASTRO'!$S$746:$S$893,'acab equip'!$K$3)</f>
        <v>0</v>
      </c>
      <c r="N234" s="162">
        <f t="shared" si="43"/>
        <v>47346</v>
      </c>
      <c r="O234" s="163">
        <f>COUNTIFS(' CADASTRO'!$S:$S,'acab equip'!$C$3,' CADASTRO'!$R:$R,'acab equip'!N234)</f>
        <v>0</v>
      </c>
      <c r="P234" s="163">
        <f>COUNTIFS(' CADASTRO'!$S:$S,'acab equip'!$D$3,' CADASTRO'!$R:$R,'acab equip'!N234)</f>
        <v>0</v>
      </c>
      <c r="Q234" s="163">
        <f>COUNTIFS(' CADASTRO'!$R$746:$R$893,'acab equip'!N234,' CADASTRO'!$S$746:$S$893,'acab equip'!$P$3)+COUNTIFS(' CADASTRO'!$R$746:$R$893,'acab equip'!N234,' CADASTRO'!$S$746:$S$893,'acab equip'!$O$3)</f>
        <v>0</v>
      </c>
      <c r="R234" s="162">
        <f t="shared" si="44"/>
        <v>47347</v>
      </c>
      <c r="S234" s="163">
        <f>COUNTIFS(' CADASTRO'!$S:$S,'acab equip'!$C$3,' CADASTRO'!$R:$R,'acab equip'!R234)</f>
        <v>0</v>
      </c>
      <c r="T234" s="163">
        <f>COUNTIFS(' CADASTRO'!$S:$S,'acab equip'!$D$3,' CADASTRO'!$R:$R,'acab equip'!R234)</f>
        <v>0</v>
      </c>
      <c r="U234" s="163">
        <f>COUNTIFS(' CADASTRO'!$R$746:$R$893,'acab equip'!R234,' CADASTRO'!$S$746:$S$893,'acab equip'!$T$3)+COUNTIFS(' CADASTRO'!$R$746:$R$893,'acab equip'!R234,' CADASTRO'!$S$746:$S$893,'acab equip'!$S$3)</f>
        <v>0</v>
      </c>
      <c r="V234" s="162">
        <f t="shared" si="45"/>
        <v>47348</v>
      </c>
      <c r="W234" s="163">
        <f>COUNTIFS(' CADASTRO'!$S:$S,'acab equip'!$C$3,' CADASTRO'!$R:$R,'acab equip'!V234)</f>
        <v>0</v>
      </c>
      <c r="X234" s="163">
        <f>COUNTIFS(' CADASTRO'!$S:$S,'acab equip'!$D$3,' CADASTRO'!$R:$R,'acab equip'!V234)</f>
        <v>0</v>
      </c>
      <c r="Y234" s="163">
        <f>COUNTIFS(' CADASTRO'!$R$746:$R$893,'acab equip'!V234,' CADASTRO'!$S$746:$S$893,'acab equip'!$X$3)+COUNTIFS(' CADASTRO'!$R$746:$R$893,'acab equip'!V234,' CADASTRO'!$S$746:$S$893,'acab equip'!$W$3)</f>
        <v>0</v>
      </c>
      <c r="Z234" s="162">
        <f t="shared" si="46"/>
        <v>47349</v>
      </c>
      <c r="AB234" s="165">
        <f t="shared" si="36"/>
        <v>0</v>
      </c>
      <c r="AC234" s="165">
        <f t="shared" si="37"/>
        <v>0</v>
      </c>
      <c r="AD234" s="165">
        <f t="shared" si="38"/>
        <v>0</v>
      </c>
      <c r="AE234" s="177">
        <f t="shared" si="39"/>
        <v>0</v>
      </c>
    </row>
    <row r="235" spans="2:31" x14ac:dyDescent="0.25">
      <c r="B235" s="162">
        <f t="shared" si="40"/>
        <v>47350</v>
      </c>
      <c r="C235" s="163">
        <f>COUNTIFS(' CADASTRO'!$S:$S,'acab equip'!$C$3,' CADASTRO'!$R:$R,'acab equip'!B235)</f>
        <v>0</v>
      </c>
      <c r="D235" s="163">
        <f>COUNTIFS(' CADASTRO'!$S:$S,'acab equip'!$D$3,' CADASTRO'!$R:$R,'acab equip'!B235)</f>
        <v>0</v>
      </c>
      <c r="E235" s="163"/>
      <c r="F235" s="162">
        <f t="shared" si="41"/>
        <v>47351</v>
      </c>
      <c r="G235" s="163">
        <f>COUNTIFS(' CADASTRO'!$S:$S,'acab equip'!$C$3,' CADASTRO'!$R:$R,'acab equip'!F235)</f>
        <v>0</v>
      </c>
      <c r="H235" s="163">
        <f>COUNTIFS(' CADASTRO'!$S:$S,'acab equip'!$D$3,' CADASTRO'!$R:$R,'acab equip'!F235)</f>
        <v>0</v>
      </c>
      <c r="I235" s="163">
        <f>COUNTIFS(' CADASTRO'!$R$746:$R$893,'acab equip'!F235,' CADASTRO'!$S$746:$S$893,'acab equip'!$H$3)+COUNTIFS(' CADASTRO'!$R$746:$R$893,'acab equip'!F235,' CADASTRO'!$S$746:$S$893,'acab equip'!$G$3)</f>
        <v>0</v>
      </c>
      <c r="J235" s="162">
        <f t="shared" si="42"/>
        <v>47352</v>
      </c>
      <c r="K235" s="163">
        <f>COUNTIFS(' CADASTRO'!$S:$S,'acab equip'!$C$3,' CADASTRO'!$R:$R,'acab equip'!J235)</f>
        <v>0</v>
      </c>
      <c r="L235" s="163">
        <f>COUNTIFS(' CADASTRO'!$S:$S,'acab equip'!$D$3,' CADASTRO'!$R:$R,'acab equip'!J235)</f>
        <v>0</v>
      </c>
      <c r="M235" s="163">
        <f>COUNTIFS(' CADASTRO'!$R$746:$R$893,'acab equip'!J235,' CADASTRO'!$S$746:$S$893,'acab equip'!$L$3)+COUNTIFS(' CADASTRO'!$R$746:$R$893,'acab equip'!J235,' CADASTRO'!$S$746:$S$893,'acab equip'!$K$3)</f>
        <v>0</v>
      </c>
      <c r="N235" s="162">
        <f t="shared" si="43"/>
        <v>47353</v>
      </c>
      <c r="O235" s="163">
        <f>COUNTIFS(' CADASTRO'!$S:$S,'acab equip'!$C$3,' CADASTRO'!$R:$R,'acab equip'!N235)</f>
        <v>0</v>
      </c>
      <c r="P235" s="163">
        <f>COUNTIFS(' CADASTRO'!$S:$S,'acab equip'!$D$3,' CADASTRO'!$R:$R,'acab equip'!N235)</f>
        <v>0</v>
      </c>
      <c r="Q235" s="163">
        <f>COUNTIFS(' CADASTRO'!$R$746:$R$893,'acab equip'!N235,' CADASTRO'!$S$746:$S$893,'acab equip'!$P$3)+COUNTIFS(' CADASTRO'!$R$746:$R$893,'acab equip'!N235,' CADASTRO'!$S$746:$S$893,'acab equip'!$O$3)</f>
        <v>0</v>
      </c>
      <c r="R235" s="162">
        <f t="shared" si="44"/>
        <v>47354</v>
      </c>
      <c r="S235" s="163">
        <f>COUNTIFS(' CADASTRO'!$S:$S,'acab equip'!$C$3,' CADASTRO'!$R:$R,'acab equip'!R235)</f>
        <v>0</v>
      </c>
      <c r="T235" s="163">
        <f>COUNTIFS(' CADASTRO'!$S:$S,'acab equip'!$D$3,' CADASTRO'!$R:$R,'acab equip'!R235)</f>
        <v>0</v>
      </c>
      <c r="U235" s="163">
        <f>COUNTIFS(' CADASTRO'!$R$746:$R$893,'acab equip'!R235,' CADASTRO'!$S$746:$S$893,'acab equip'!$T$3)+COUNTIFS(' CADASTRO'!$R$746:$R$893,'acab equip'!R235,' CADASTRO'!$S$746:$S$893,'acab equip'!$S$3)</f>
        <v>0</v>
      </c>
      <c r="V235" s="162">
        <f t="shared" si="45"/>
        <v>47355</v>
      </c>
      <c r="W235" s="163">
        <f>COUNTIFS(' CADASTRO'!$S:$S,'acab equip'!$C$3,' CADASTRO'!$R:$R,'acab equip'!V235)</f>
        <v>0</v>
      </c>
      <c r="X235" s="163">
        <f>COUNTIFS(' CADASTRO'!$S:$S,'acab equip'!$D$3,' CADASTRO'!$R:$R,'acab equip'!V235)</f>
        <v>0</v>
      </c>
      <c r="Y235" s="163">
        <f>COUNTIFS(' CADASTRO'!$R$746:$R$893,'acab equip'!V235,' CADASTRO'!$S$746:$S$893,'acab equip'!$X$3)+COUNTIFS(' CADASTRO'!$R$746:$R$893,'acab equip'!V235,' CADASTRO'!$S$746:$S$893,'acab equip'!$W$3)</f>
        <v>0</v>
      </c>
      <c r="Z235" s="162">
        <f t="shared" si="46"/>
        <v>47356</v>
      </c>
      <c r="AB235" s="165">
        <f t="shared" si="36"/>
        <v>0</v>
      </c>
      <c r="AC235" s="165">
        <f t="shared" si="37"/>
        <v>0</v>
      </c>
      <c r="AD235" s="165">
        <f t="shared" si="38"/>
        <v>0</v>
      </c>
      <c r="AE235" s="177">
        <f t="shared" si="39"/>
        <v>0</v>
      </c>
    </row>
    <row r="236" spans="2:31" x14ac:dyDescent="0.25">
      <c r="B236" s="162">
        <f t="shared" si="40"/>
        <v>47357</v>
      </c>
      <c r="C236" s="163">
        <f>COUNTIFS(' CADASTRO'!$S:$S,'acab equip'!$C$3,' CADASTRO'!$R:$R,'acab equip'!B236)</f>
        <v>0</v>
      </c>
      <c r="D236" s="163">
        <f>COUNTIFS(' CADASTRO'!$S:$S,'acab equip'!$D$3,' CADASTRO'!$R:$R,'acab equip'!B236)</f>
        <v>0</v>
      </c>
      <c r="E236" s="163"/>
      <c r="F236" s="162">
        <f t="shared" si="41"/>
        <v>47358</v>
      </c>
      <c r="G236" s="163">
        <f>COUNTIFS(' CADASTRO'!$S:$S,'acab equip'!$C$3,' CADASTRO'!$R:$R,'acab equip'!F236)</f>
        <v>0</v>
      </c>
      <c r="H236" s="163">
        <f>COUNTIFS(' CADASTRO'!$S:$S,'acab equip'!$D$3,' CADASTRO'!$R:$R,'acab equip'!F236)</f>
        <v>0</v>
      </c>
      <c r="I236" s="163">
        <f>COUNTIFS(' CADASTRO'!$R$746:$R$893,'acab equip'!F236,' CADASTRO'!$S$746:$S$893,'acab equip'!$H$3)+COUNTIFS(' CADASTRO'!$R$746:$R$893,'acab equip'!F236,' CADASTRO'!$S$746:$S$893,'acab equip'!$G$3)</f>
        <v>0</v>
      </c>
      <c r="J236" s="162">
        <f t="shared" si="42"/>
        <v>47359</v>
      </c>
      <c r="K236" s="163">
        <f>COUNTIFS(' CADASTRO'!$S:$S,'acab equip'!$C$3,' CADASTRO'!$R:$R,'acab equip'!J236)</f>
        <v>0</v>
      </c>
      <c r="L236" s="163">
        <f>COUNTIFS(' CADASTRO'!$S:$S,'acab equip'!$D$3,' CADASTRO'!$R:$R,'acab equip'!J236)</f>
        <v>0</v>
      </c>
      <c r="M236" s="163">
        <f>COUNTIFS(' CADASTRO'!$R$746:$R$893,'acab equip'!J236,' CADASTRO'!$S$746:$S$893,'acab equip'!$L$3)+COUNTIFS(' CADASTRO'!$R$746:$R$893,'acab equip'!J236,' CADASTRO'!$S$746:$S$893,'acab equip'!$K$3)</f>
        <v>0</v>
      </c>
      <c r="N236" s="162">
        <f t="shared" si="43"/>
        <v>47360</v>
      </c>
      <c r="O236" s="163">
        <f>COUNTIFS(' CADASTRO'!$S:$S,'acab equip'!$C$3,' CADASTRO'!$R:$R,'acab equip'!N236)</f>
        <v>0</v>
      </c>
      <c r="P236" s="163">
        <f>COUNTIFS(' CADASTRO'!$S:$S,'acab equip'!$D$3,' CADASTRO'!$R:$R,'acab equip'!N236)</f>
        <v>0</v>
      </c>
      <c r="Q236" s="163">
        <f>COUNTIFS(' CADASTRO'!$R$746:$R$893,'acab equip'!N236,' CADASTRO'!$S$746:$S$893,'acab equip'!$P$3)+COUNTIFS(' CADASTRO'!$R$746:$R$893,'acab equip'!N236,' CADASTRO'!$S$746:$S$893,'acab equip'!$O$3)</f>
        <v>0</v>
      </c>
      <c r="R236" s="162">
        <f t="shared" si="44"/>
        <v>47361</v>
      </c>
      <c r="S236" s="163">
        <f>COUNTIFS(' CADASTRO'!$S:$S,'acab equip'!$C$3,' CADASTRO'!$R:$R,'acab equip'!R236)</f>
        <v>0</v>
      </c>
      <c r="T236" s="163">
        <f>COUNTIFS(' CADASTRO'!$S:$S,'acab equip'!$D$3,' CADASTRO'!$R:$R,'acab equip'!R236)</f>
        <v>0</v>
      </c>
      <c r="U236" s="163">
        <f>COUNTIFS(' CADASTRO'!$R$746:$R$893,'acab equip'!R236,' CADASTRO'!$S$746:$S$893,'acab equip'!$T$3)+COUNTIFS(' CADASTRO'!$R$746:$R$893,'acab equip'!R236,' CADASTRO'!$S$746:$S$893,'acab equip'!$S$3)</f>
        <v>0</v>
      </c>
      <c r="V236" s="162">
        <f t="shared" si="45"/>
        <v>47362</v>
      </c>
      <c r="W236" s="163">
        <f>COUNTIFS(' CADASTRO'!$S:$S,'acab equip'!$C$3,' CADASTRO'!$R:$R,'acab equip'!V236)</f>
        <v>0</v>
      </c>
      <c r="X236" s="163">
        <f>COUNTIFS(' CADASTRO'!$S:$S,'acab equip'!$D$3,' CADASTRO'!$R:$R,'acab equip'!V236)</f>
        <v>0</v>
      </c>
      <c r="Y236" s="163">
        <f>COUNTIFS(' CADASTRO'!$R$746:$R$893,'acab equip'!V236,' CADASTRO'!$S$746:$S$893,'acab equip'!$X$3)+COUNTIFS(' CADASTRO'!$R$746:$R$893,'acab equip'!V236,' CADASTRO'!$S$746:$S$893,'acab equip'!$W$3)</f>
        <v>0</v>
      </c>
      <c r="Z236" s="162">
        <f t="shared" si="46"/>
        <v>47363</v>
      </c>
      <c r="AB236" s="165">
        <f t="shared" si="36"/>
        <v>0</v>
      </c>
      <c r="AC236" s="165">
        <f t="shared" si="37"/>
        <v>0</v>
      </c>
      <c r="AD236" s="165">
        <f t="shared" si="38"/>
        <v>0</v>
      </c>
      <c r="AE236" s="177">
        <f t="shared" si="39"/>
        <v>0</v>
      </c>
    </row>
    <row r="237" spans="2:31" x14ac:dyDescent="0.25">
      <c r="B237" s="162">
        <f t="shared" si="40"/>
        <v>47364</v>
      </c>
      <c r="C237" s="163">
        <f>COUNTIFS(' CADASTRO'!$S:$S,'acab equip'!$C$3,' CADASTRO'!$R:$R,'acab equip'!B237)</f>
        <v>0</v>
      </c>
      <c r="D237" s="163">
        <f>COUNTIFS(' CADASTRO'!$S:$S,'acab equip'!$D$3,' CADASTRO'!$R:$R,'acab equip'!B237)</f>
        <v>0</v>
      </c>
      <c r="E237" s="163"/>
      <c r="F237" s="162">
        <f t="shared" si="41"/>
        <v>47365</v>
      </c>
      <c r="G237" s="163">
        <f>COUNTIFS(' CADASTRO'!$S:$S,'acab equip'!$C$3,' CADASTRO'!$R:$R,'acab equip'!F237)</f>
        <v>0</v>
      </c>
      <c r="H237" s="163">
        <f>COUNTIFS(' CADASTRO'!$S:$S,'acab equip'!$D$3,' CADASTRO'!$R:$R,'acab equip'!F237)</f>
        <v>0</v>
      </c>
      <c r="I237" s="163">
        <f>COUNTIFS(' CADASTRO'!$R$746:$R$893,'acab equip'!F237,' CADASTRO'!$S$746:$S$893,'acab equip'!$H$3)+COUNTIFS(' CADASTRO'!$R$746:$R$893,'acab equip'!F237,' CADASTRO'!$S$746:$S$893,'acab equip'!$G$3)</f>
        <v>0</v>
      </c>
      <c r="J237" s="162">
        <f t="shared" si="42"/>
        <v>47366</v>
      </c>
      <c r="K237" s="163">
        <f>COUNTIFS(' CADASTRO'!$S:$S,'acab equip'!$C$3,' CADASTRO'!$R:$R,'acab equip'!J237)</f>
        <v>0</v>
      </c>
      <c r="L237" s="163">
        <f>COUNTIFS(' CADASTRO'!$S:$S,'acab equip'!$D$3,' CADASTRO'!$R:$R,'acab equip'!J237)</f>
        <v>0</v>
      </c>
      <c r="M237" s="163">
        <f>COUNTIFS(' CADASTRO'!$R$746:$R$893,'acab equip'!J237,' CADASTRO'!$S$746:$S$893,'acab equip'!$L$3)+COUNTIFS(' CADASTRO'!$R$746:$R$893,'acab equip'!J237,' CADASTRO'!$S$746:$S$893,'acab equip'!$K$3)</f>
        <v>0</v>
      </c>
      <c r="N237" s="162">
        <f t="shared" si="43"/>
        <v>47367</v>
      </c>
      <c r="O237" s="163">
        <f>COUNTIFS(' CADASTRO'!$S:$S,'acab equip'!$C$3,' CADASTRO'!$R:$R,'acab equip'!N237)</f>
        <v>0</v>
      </c>
      <c r="P237" s="163">
        <f>COUNTIFS(' CADASTRO'!$S:$S,'acab equip'!$D$3,' CADASTRO'!$R:$R,'acab equip'!N237)</f>
        <v>0</v>
      </c>
      <c r="Q237" s="163">
        <f>COUNTIFS(' CADASTRO'!$R$746:$R$893,'acab equip'!N237,' CADASTRO'!$S$746:$S$893,'acab equip'!$P$3)+COUNTIFS(' CADASTRO'!$R$746:$R$893,'acab equip'!N237,' CADASTRO'!$S$746:$S$893,'acab equip'!$O$3)</f>
        <v>0</v>
      </c>
      <c r="R237" s="162">
        <f t="shared" si="44"/>
        <v>47368</v>
      </c>
      <c r="S237" s="163">
        <f>COUNTIFS(' CADASTRO'!$S:$S,'acab equip'!$C$3,' CADASTRO'!$R:$R,'acab equip'!R237)</f>
        <v>0</v>
      </c>
      <c r="T237" s="163">
        <f>COUNTIFS(' CADASTRO'!$S:$S,'acab equip'!$D$3,' CADASTRO'!$R:$R,'acab equip'!R237)</f>
        <v>0</v>
      </c>
      <c r="U237" s="163">
        <f>COUNTIFS(' CADASTRO'!$R$746:$R$893,'acab equip'!R237,' CADASTRO'!$S$746:$S$893,'acab equip'!$T$3)+COUNTIFS(' CADASTRO'!$R$746:$R$893,'acab equip'!R237,' CADASTRO'!$S$746:$S$893,'acab equip'!$S$3)</f>
        <v>0</v>
      </c>
      <c r="V237" s="162">
        <f t="shared" si="45"/>
        <v>47369</v>
      </c>
      <c r="W237" s="163">
        <f>COUNTIFS(' CADASTRO'!$S:$S,'acab equip'!$C$3,' CADASTRO'!$R:$R,'acab equip'!V237)</f>
        <v>0</v>
      </c>
      <c r="X237" s="163">
        <f>COUNTIFS(' CADASTRO'!$S:$S,'acab equip'!$D$3,' CADASTRO'!$R:$R,'acab equip'!V237)</f>
        <v>0</v>
      </c>
      <c r="Y237" s="163">
        <f>COUNTIFS(' CADASTRO'!$R$746:$R$893,'acab equip'!V237,' CADASTRO'!$S$746:$S$893,'acab equip'!$X$3)+COUNTIFS(' CADASTRO'!$R$746:$R$893,'acab equip'!V237,' CADASTRO'!$S$746:$S$893,'acab equip'!$W$3)</f>
        <v>0</v>
      </c>
      <c r="Z237" s="162">
        <f t="shared" si="46"/>
        <v>47370</v>
      </c>
      <c r="AB237" s="165">
        <f t="shared" si="36"/>
        <v>0</v>
      </c>
      <c r="AC237" s="165">
        <f t="shared" si="37"/>
        <v>0</v>
      </c>
      <c r="AD237" s="165">
        <f t="shared" si="38"/>
        <v>0</v>
      </c>
      <c r="AE237" s="177">
        <f t="shared" si="39"/>
        <v>0</v>
      </c>
    </row>
    <row r="238" spans="2:31" x14ac:dyDescent="0.25">
      <c r="B238" s="162">
        <f t="shared" si="40"/>
        <v>47371</v>
      </c>
      <c r="C238" s="163">
        <f>COUNTIFS(' CADASTRO'!$S:$S,'acab equip'!$C$3,' CADASTRO'!$R:$R,'acab equip'!B238)</f>
        <v>0</v>
      </c>
      <c r="D238" s="163">
        <f>COUNTIFS(' CADASTRO'!$S:$S,'acab equip'!$D$3,' CADASTRO'!$R:$R,'acab equip'!B238)</f>
        <v>0</v>
      </c>
      <c r="E238" s="163"/>
      <c r="F238" s="162">
        <f t="shared" si="41"/>
        <v>47372</v>
      </c>
      <c r="G238" s="163">
        <f>COUNTIFS(' CADASTRO'!$S:$S,'acab equip'!$C$3,' CADASTRO'!$R:$R,'acab equip'!F238)</f>
        <v>0</v>
      </c>
      <c r="H238" s="163">
        <f>COUNTIFS(' CADASTRO'!$S:$S,'acab equip'!$D$3,' CADASTRO'!$R:$R,'acab equip'!F238)</f>
        <v>0</v>
      </c>
      <c r="I238" s="163">
        <f>COUNTIFS(' CADASTRO'!$R$746:$R$893,'acab equip'!F238,' CADASTRO'!$S$746:$S$893,'acab equip'!$H$3)+COUNTIFS(' CADASTRO'!$R$746:$R$893,'acab equip'!F238,' CADASTRO'!$S$746:$S$893,'acab equip'!$G$3)</f>
        <v>0</v>
      </c>
      <c r="J238" s="162">
        <f t="shared" si="42"/>
        <v>47373</v>
      </c>
      <c r="K238" s="163">
        <f>COUNTIFS(' CADASTRO'!$S:$S,'acab equip'!$C$3,' CADASTRO'!$R:$R,'acab equip'!J238)</f>
        <v>0</v>
      </c>
      <c r="L238" s="163">
        <f>COUNTIFS(' CADASTRO'!$S:$S,'acab equip'!$D$3,' CADASTRO'!$R:$R,'acab equip'!J238)</f>
        <v>0</v>
      </c>
      <c r="M238" s="163">
        <f>COUNTIFS(' CADASTRO'!$R$746:$R$893,'acab equip'!J238,' CADASTRO'!$S$746:$S$893,'acab equip'!$L$3)+COUNTIFS(' CADASTRO'!$R$746:$R$893,'acab equip'!J238,' CADASTRO'!$S$746:$S$893,'acab equip'!$K$3)</f>
        <v>0</v>
      </c>
      <c r="N238" s="162">
        <f t="shared" si="43"/>
        <v>47374</v>
      </c>
      <c r="O238" s="163">
        <f>COUNTIFS(' CADASTRO'!$S:$S,'acab equip'!$C$3,' CADASTRO'!$R:$R,'acab equip'!N238)</f>
        <v>0</v>
      </c>
      <c r="P238" s="163">
        <f>COUNTIFS(' CADASTRO'!$S:$S,'acab equip'!$D$3,' CADASTRO'!$R:$R,'acab equip'!N238)</f>
        <v>0</v>
      </c>
      <c r="Q238" s="163">
        <f>COUNTIFS(' CADASTRO'!$R$746:$R$893,'acab equip'!N238,' CADASTRO'!$S$746:$S$893,'acab equip'!$P$3)+COUNTIFS(' CADASTRO'!$R$746:$R$893,'acab equip'!N238,' CADASTRO'!$S$746:$S$893,'acab equip'!$O$3)</f>
        <v>0</v>
      </c>
      <c r="R238" s="162">
        <f t="shared" si="44"/>
        <v>47375</v>
      </c>
      <c r="S238" s="163">
        <f>COUNTIFS(' CADASTRO'!$S:$S,'acab equip'!$C$3,' CADASTRO'!$R:$R,'acab equip'!R238)</f>
        <v>0</v>
      </c>
      <c r="T238" s="163">
        <f>COUNTIFS(' CADASTRO'!$S:$S,'acab equip'!$D$3,' CADASTRO'!$R:$R,'acab equip'!R238)</f>
        <v>0</v>
      </c>
      <c r="U238" s="163">
        <f>COUNTIFS(' CADASTRO'!$R$746:$R$893,'acab equip'!R238,' CADASTRO'!$S$746:$S$893,'acab equip'!$T$3)+COUNTIFS(' CADASTRO'!$R$746:$R$893,'acab equip'!R238,' CADASTRO'!$S$746:$S$893,'acab equip'!$S$3)</f>
        <v>0</v>
      </c>
      <c r="V238" s="162">
        <f t="shared" si="45"/>
        <v>47376</v>
      </c>
      <c r="W238" s="163">
        <f>COUNTIFS(' CADASTRO'!$S:$S,'acab equip'!$C$3,' CADASTRO'!$R:$R,'acab equip'!V238)</f>
        <v>0</v>
      </c>
      <c r="X238" s="163">
        <f>COUNTIFS(' CADASTRO'!$S:$S,'acab equip'!$D$3,' CADASTRO'!$R:$R,'acab equip'!V238)</f>
        <v>0</v>
      </c>
      <c r="Y238" s="163">
        <f>COUNTIFS(' CADASTRO'!$R$746:$R$893,'acab equip'!V238,' CADASTRO'!$S$746:$S$893,'acab equip'!$X$3)+COUNTIFS(' CADASTRO'!$R$746:$R$893,'acab equip'!V238,' CADASTRO'!$S$746:$S$893,'acab equip'!$W$3)</f>
        <v>0</v>
      </c>
      <c r="Z238" s="162">
        <f t="shared" si="46"/>
        <v>47377</v>
      </c>
      <c r="AB238" s="165">
        <f t="shared" si="36"/>
        <v>0</v>
      </c>
      <c r="AC238" s="165">
        <f t="shared" si="37"/>
        <v>0</v>
      </c>
      <c r="AD238" s="165">
        <f t="shared" si="38"/>
        <v>0</v>
      </c>
      <c r="AE238" s="177">
        <f t="shared" si="39"/>
        <v>0</v>
      </c>
    </row>
    <row r="239" spans="2:31" x14ac:dyDescent="0.25">
      <c r="B239" s="162">
        <f t="shared" si="40"/>
        <v>47378</v>
      </c>
      <c r="C239" s="163">
        <f>COUNTIFS(' CADASTRO'!$S:$S,'acab equip'!$C$3,' CADASTRO'!$R:$R,'acab equip'!B239)</f>
        <v>0</v>
      </c>
      <c r="D239" s="163">
        <f>COUNTIFS(' CADASTRO'!$S:$S,'acab equip'!$D$3,' CADASTRO'!$R:$R,'acab equip'!B239)</f>
        <v>0</v>
      </c>
      <c r="E239" s="163"/>
      <c r="F239" s="162">
        <f t="shared" si="41"/>
        <v>47379</v>
      </c>
      <c r="G239" s="163">
        <f>COUNTIFS(' CADASTRO'!$S:$S,'acab equip'!$C$3,' CADASTRO'!$R:$R,'acab equip'!F239)</f>
        <v>0</v>
      </c>
      <c r="H239" s="163">
        <f>COUNTIFS(' CADASTRO'!$S:$S,'acab equip'!$D$3,' CADASTRO'!$R:$R,'acab equip'!F239)</f>
        <v>0</v>
      </c>
      <c r="I239" s="163">
        <f>COUNTIFS(' CADASTRO'!$R$746:$R$893,'acab equip'!F239,' CADASTRO'!$S$746:$S$893,'acab equip'!$H$3)+COUNTIFS(' CADASTRO'!$R$746:$R$893,'acab equip'!F239,' CADASTRO'!$S$746:$S$893,'acab equip'!$G$3)</f>
        <v>0</v>
      </c>
      <c r="J239" s="162">
        <f t="shared" si="42"/>
        <v>47380</v>
      </c>
      <c r="K239" s="163">
        <f>COUNTIFS(' CADASTRO'!$S:$S,'acab equip'!$C$3,' CADASTRO'!$R:$R,'acab equip'!J239)</f>
        <v>0</v>
      </c>
      <c r="L239" s="163">
        <f>COUNTIFS(' CADASTRO'!$S:$S,'acab equip'!$D$3,' CADASTRO'!$R:$R,'acab equip'!J239)</f>
        <v>0</v>
      </c>
      <c r="M239" s="163">
        <f>COUNTIFS(' CADASTRO'!$R$746:$R$893,'acab equip'!J239,' CADASTRO'!$S$746:$S$893,'acab equip'!$L$3)+COUNTIFS(' CADASTRO'!$R$746:$R$893,'acab equip'!J239,' CADASTRO'!$S$746:$S$893,'acab equip'!$K$3)</f>
        <v>0</v>
      </c>
      <c r="N239" s="162">
        <f t="shared" si="43"/>
        <v>47381</v>
      </c>
      <c r="O239" s="163">
        <f>COUNTIFS(' CADASTRO'!$S:$S,'acab equip'!$C$3,' CADASTRO'!$R:$R,'acab equip'!N239)</f>
        <v>0</v>
      </c>
      <c r="P239" s="163">
        <f>COUNTIFS(' CADASTRO'!$S:$S,'acab equip'!$D$3,' CADASTRO'!$R:$R,'acab equip'!N239)</f>
        <v>0</v>
      </c>
      <c r="Q239" s="163">
        <f>COUNTIFS(' CADASTRO'!$R$746:$R$893,'acab equip'!N239,' CADASTRO'!$S$746:$S$893,'acab equip'!$P$3)+COUNTIFS(' CADASTRO'!$R$746:$R$893,'acab equip'!N239,' CADASTRO'!$S$746:$S$893,'acab equip'!$O$3)</f>
        <v>0</v>
      </c>
      <c r="R239" s="162">
        <f t="shared" si="44"/>
        <v>47382</v>
      </c>
      <c r="S239" s="163">
        <f>COUNTIFS(' CADASTRO'!$S:$S,'acab equip'!$C$3,' CADASTRO'!$R:$R,'acab equip'!R239)</f>
        <v>0</v>
      </c>
      <c r="T239" s="163">
        <f>COUNTIFS(' CADASTRO'!$S:$S,'acab equip'!$D$3,' CADASTRO'!$R:$R,'acab equip'!R239)</f>
        <v>0</v>
      </c>
      <c r="U239" s="163">
        <f>COUNTIFS(' CADASTRO'!$R$746:$R$893,'acab equip'!R239,' CADASTRO'!$S$746:$S$893,'acab equip'!$T$3)+COUNTIFS(' CADASTRO'!$R$746:$R$893,'acab equip'!R239,' CADASTRO'!$S$746:$S$893,'acab equip'!$S$3)</f>
        <v>0</v>
      </c>
      <c r="V239" s="162">
        <f t="shared" si="45"/>
        <v>47383</v>
      </c>
      <c r="W239" s="163">
        <f>COUNTIFS(' CADASTRO'!$S:$S,'acab equip'!$C$3,' CADASTRO'!$R:$R,'acab equip'!V239)</f>
        <v>0</v>
      </c>
      <c r="X239" s="163">
        <f>COUNTIFS(' CADASTRO'!$S:$S,'acab equip'!$D$3,' CADASTRO'!$R:$R,'acab equip'!V239)</f>
        <v>0</v>
      </c>
      <c r="Y239" s="163">
        <f>COUNTIFS(' CADASTRO'!$R$746:$R$893,'acab equip'!V239,' CADASTRO'!$S$746:$S$893,'acab equip'!$X$3)+COUNTIFS(' CADASTRO'!$R$746:$R$893,'acab equip'!V239,' CADASTRO'!$S$746:$S$893,'acab equip'!$W$3)</f>
        <v>0</v>
      </c>
      <c r="Z239" s="162">
        <f t="shared" si="46"/>
        <v>47384</v>
      </c>
      <c r="AB239" s="165">
        <f t="shared" si="36"/>
        <v>0</v>
      </c>
      <c r="AC239" s="165">
        <f t="shared" si="37"/>
        <v>0</v>
      </c>
      <c r="AD239" s="165">
        <f t="shared" si="38"/>
        <v>0</v>
      </c>
      <c r="AE239" s="177">
        <f t="shared" si="39"/>
        <v>0</v>
      </c>
    </row>
    <row r="240" spans="2:31" x14ac:dyDescent="0.25">
      <c r="B240" s="162">
        <f t="shared" si="40"/>
        <v>47385</v>
      </c>
      <c r="C240" s="163">
        <f>COUNTIFS(' CADASTRO'!$S:$S,'acab equip'!$C$3,' CADASTRO'!$R:$R,'acab equip'!B240)</f>
        <v>0</v>
      </c>
      <c r="D240" s="163">
        <f>COUNTIFS(' CADASTRO'!$S:$S,'acab equip'!$D$3,' CADASTRO'!$R:$R,'acab equip'!B240)</f>
        <v>0</v>
      </c>
      <c r="E240" s="163"/>
      <c r="F240" s="162">
        <f t="shared" si="41"/>
        <v>47386</v>
      </c>
      <c r="G240" s="163">
        <f>COUNTIFS(' CADASTRO'!$S:$S,'acab equip'!$C$3,' CADASTRO'!$R:$R,'acab equip'!F240)</f>
        <v>0</v>
      </c>
      <c r="H240" s="163">
        <f>COUNTIFS(' CADASTRO'!$S:$S,'acab equip'!$D$3,' CADASTRO'!$R:$R,'acab equip'!F240)</f>
        <v>0</v>
      </c>
      <c r="I240" s="163">
        <f>COUNTIFS(' CADASTRO'!$R$746:$R$893,'acab equip'!F240,' CADASTRO'!$S$746:$S$893,'acab equip'!$H$3)+COUNTIFS(' CADASTRO'!$R$746:$R$893,'acab equip'!F240,' CADASTRO'!$S$746:$S$893,'acab equip'!$G$3)</f>
        <v>0</v>
      </c>
      <c r="J240" s="162">
        <f t="shared" si="42"/>
        <v>47387</v>
      </c>
      <c r="K240" s="163">
        <f>COUNTIFS(' CADASTRO'!$S:$S,'acab equip'!$C$3,' CADASTRO'!$R:$R,'acab equip'!J240)</f>
        <v>0</v>
      </c>
      <c r="L240" s="163">
        <f>COUNTIFS(' CADASTRO'!$S:$S,'acab equip'!$D$3,' CADASTRO'!$R:$R,'acab equip'!J240)</f>
        <v>0</v>
      </c>
      <c r="M240" s="163">
        <f>COUNTIFS(' CADASTRO'!$R$746:$R$893,'acab equip'!J240,' CADASTRO'!$S$746:$S$893,'acab equip'!$L$3)+COUNTIFS(' CADASTRO'!$R$746:$R$893,'acab equip'!J240,' CADASTRO'!$S$746:$S$893,'acab equip'!$K$3)</f>
        <v>0</v>
      </c>
      <c r="N240" s="162">
        <f t="shared" si="43"/>
        <v>47388</v>
      </c>
      <c r="O240" s="163">
        <f>COUNTIFS(' CADASTRO'!$S:$S,'acab equip'!$C$3,' CADASTRO'!$R:$R,'acab equip'!N240)</f>
        <v>0</v>
      </c>
      <c r="P240" s="163">
        <f>COUNTIFS(' CADASTRO'!$S:$S,'acab equip'!$D$3,' CADASTRO'!$R:$R,'acab equip'!N240)</f>
        <v>0</v>
      </c>
      <c r="Q240" s="163">
        <f>COUNTIFS(' CADASTRO'!$R$746:$R$893,'acab equip'!N240,' CADASTRO'!$S$746:$S$893,'acab equip'!$P$3)+COUNTIFS(' CADASTRO'!$R$746:$R$893,'acab equip'!N240,' CADASTRO'!$S$746:$S$893,'acab equip'!$O$3)</f>
        <v>0</v>
      </c>
      <c r="R240" s="162">
        <f t="shared" si="44"/>
        <v>47389</v>
      </c>
      <c r="S240" s="163">
        <f>COUNTIFS(' CADASTRO'!$S:$S,'acab equip'!$C$3,' CADASTRO'!$R:$R,'acab equip'!R240)</f>
        <v>0</v>
      </c>
      <c r="T240" s="163">
        <f>COUNTIFS(' CADASTRO'!$S:$S,'acab equip'!$D$3,' CADASTRO'!$R:$R,'acab equip'!R240)</f>
        <v>0</v>
      </c>
      <c r="U240" s="163">
        <f>COUNTIFS(' CADASTRO'!$R$746:$R$893,'acab equip'!R240,' CADASTRO'!$S$746:$S$893,'acab equip'!$T$3)+COUNTIFS(' CADASTRO'!$R$746:$R$893,'acab equip'!R240,' CADASTRO'!$S$746:$S$893,'acab equip'!$S$3)</f>
        <v>0</v>
      </c>
      <c r="V240" s="162">
        <f t="shared" si="45"/>
        <v>47390</v>
      </c>
      <c r="W240" s="163">
        <f>COUNTIFS(' CADASTRO'!$S:$S,'acab equip'!$C$3,' CADASTRO'!$R:$R,'acab equip'!V240)</f>
        <v>0</v>
      </c>
      <c r="X240" s="163">
        <f>COUNTIFS(' CADASTRO'!$S:$S,'acab equip'!$D$3,' CADASTRO'!$R:$R,'acab equip'!V240)</f>
        <v>0</v>
      </c>
      <c r="Y240" s="163">
        <f>COUNTIFS(' CADASTRO'!$R$746:$R$893,'acab equip'!V240,' CADASTRO'!$S$746:$S$893,'acab equip'!$X$3)+COUNTIFS(' CADASTRO'!$R$746:$R$893,'acab equip'!V240,' CADASTRO'!$S$746:$S$893,'acab equip'!$W$3)</f>
        <v>0</v>
      </c>
      <c r="Z240" s="162">
        <f t="shared" si="46"/>
        <v>47391</v>
      </c>
      <c r="AB240" s="165">
        <f t="shared" si="36"/>
        <v>0</v>
      </c>
      <c r="AC240" s="165">
        <f t="shared" si="37"/>
        <v>0</v>
      </c>
      <c r="AD240" s="165">
        <f t="shared" si="38"/>
        <v>0</v>
      </c>
      <c r="AE240" s="177">
        <f t="shared" si="39"/>
        <v>0</v>
      </c>
    </row>
    <row r="241" spans="2:31" x14ac:dyDescent="0.25">
      <c r="B241" s="162">
        <f t="shared" si="40"/>
        <v>47392</v>
      </c>
      <c r="C241" s="163">
        <f>COUNTIFS(' CADASTRO'!$S:$S,'acab equip'!$C$3,' CADASTRO'!$R:$R,'acab equip'!B241)</f>
        <v>0</v>
      </c>
      <c r="D241" s="163">
        <f>COUNTIFS(' CADASTRO'!$S:$S,'acab equip'!$D$3,' CADASTRO'!$R:$R,'acab equip'!B241)</f>
        <v>0</v>
      </c>
      <c r="E241" s="163"/>
      <c r="F241" s="162">
        <f t="shared" si="41"/>
        <v>47393</v>
      </c>
      <c r="G241" s="163">
        <f>COUNTIFS(' CADASTRO'!$S:$S,'acab equip'!$C$3,' CADASTRO'!$R:$R,'acab equip'!F241)</f>
        <v>0</v>
      </c>
      <c r="H241" s="163">
        <f>COUNTIFS(' CADASTRO'!$S:$S,'acab equip'!$D$3,' CADASTRO'!$R:$R,'acab equip'!F241)</f>
        <v>0</v>
      </c>
      <c r="I241" s="163">
        <f>COUNTIFS(' CADASTRO'!$R$746:$R$893,'acab equip'!F241,' CADASTRO'!$S$746:$S$893,'acab equip'!$H$3)+COUNTIFS(' CADASTRO'!$R$746:$R$893,'acab equip'!F241,' CADASTRO'!$S$746:$S$893,'acab equip'!$G$3)</f>
        <v>0</v>
      </c>
      <c r="J241" s="162">
        <f t="shared" si="42"/>
        <v>47394</v>
      </c>
      <c r="K241" s="163">
        <f>COUNTIFS(' CADASTRO'!$S:$S,'acab equip'!$C$3,' CADASTRO'!$R:$R,'acab equip'!J241)</f>
        <v>0</v>
      </c>
      <c r="L241" s="163">
        <f>COUNTIFS(' CADASTRO'!$S:$S,'acab equip'!$D$3,' CADASTRO'!$R:$R,'acab equip'!J241)</f>
        <v>0</v>
      </c>
      <c r="M241" s="163">
        <f>COUNTIFS(' CADASTRO'!$R$746:$R$893,'acab equip'!J241,' CADASTRO'!$S$746:$S$893,'acab equip'!$L$3)+COUNTIFS(' CADASTRO'!$R$746:$R$893,'acab equip'!J241,' CADASTRO'!$S$746:$S$893,'acab equip'!$K$3)</f>
        <v>0</v>
      </c>
      <c r="N241" s="162">
        <f t="shared" si="43"/>
        <v>47395</v>
      </c>
      <c r="O241" s="163">
        <f>COUNTIFS(' CADASTRO'!$S:$S,'acab equip'!$C$3,' CADASTRO'!$R:$R,'acab equip'!N241)</f>
        <v>0</v>
      </c>
      <c r="P241" s="163">
        <f>COUNTIFS(' CADASTRO'!$S:$S,'acab equip'!$D$3,' CADASTRO'!$R:$R,'acab equip'!N241)</f>
        <v>0</v>
      </c>
      <c r="Q241" s="163">
        <f>COUNTIFS(' CADASTRO'!$R$746:$R$893,'acab equip'!N241,' CADASTRO'!$S$746:$S$893,'acab equip'!$P$3)+COUNTIFS(' CADASTRO'!$R$746:$R$893,'acab equip'!N241,' CADASTRO'!$S$746:$S$893,'acab equip'!$O$3)</f>
        <v>0</v>
      </c>
      <c r="R241" s="162">
        <f t="shared" si="44"/>
        <v>47396</v>
      </c>
      <c r="S241" s="163">
        <f>COUNTIFS(' CADASTRO'!$S:$S,'acab equip'!$C$3,' CADASTRO'!$R:$R,'acab equip'!R241)</f>
        <v>0</v>
      </c>
      <c r="T241" s="163">
        <f>COUNTIFS(' CADASTRO'!$S:$S,'acab equip'!$D$3,' CADASTRO'!$R:$R,'acab equip'!R241)</f>
        <v>0</v>
      </c>
      <c r="U241" s="163">
        <f>COUNTIFS(' CADASTRO'!$R$746:$R$893,'acab equip'!R241,' CADASTRO'!$S$746:$S$893,'acab equip'!$T$3)+COUNTIFS(' CADASTRO'!$R$746:$R$893,'acab equip'!R241,' CADASTRO'!$S$746:$S$893,'acab equip'!$S$3)</f>
        <v>0</v>
      </c>
      <c r="V241" s="162">
        <f t="shared" si="45"/>
        <v>47397</v>
      </c>
      <c r="W241" s="163">
        <f>COUNTIFS(' CADASTRO'!$S:$S,'acab equip'!$C$3,' CADASTRO'!$R:$R,'acab equip'!V241)</f>
        <v>0</v>
      </c>
      <c r="X241" s="163">
        <f>COUNTIFS(' CADASTRO'!$S:$S,'acab equip'!$D$3,' CADASTRO'!$R:$R,'acab equip'!V241)</f>
        <v>0</v>
      </c>
      <c r="Y241" s="163">
        <f>COUNTIFS(' CADASTRO'!$R$746:$R$893,'acab equip'!V241,' CADASTRO'!$S$746:$S$893,'acab equip'!$X$3)+COUNTIFS(' CADASTRO'!$R$746:$R$893,'acab equip'!V241,' CADASTRO'!$S$746:$S$893,'acab equip'!$W$3)</f>
        <v>0</v>
      </c>
      <c r="Z241" s="162">
        <f t="shared" si="46"/>
        <v>47398</v>
      </c>
      <c r="AB241" s="165">
        <f t="shared" si="36"/>
        <v>0</v>
      </c>
      <c r="AC241" s="165">
        <f t="shared" si="37"/>
        <v>0</v>
      </c>
      <c r="AD241" s="165">
        <f t="shared" si="38"/>
        <v>0</v>
      </c>
      <c r="AE241" s="177">
        <f t="shared" si="39"/>
        <v>0</v>
      </c>
    </row>
    <row r="242" spans="2:31" x14ac:dyDescent="0.25">
      <c r="B242" s="162">
        <f t="shared" si="40"/>
        <v>47399</v>
      </c>
      <c r="C242" s="163">
        <f>COUNTIFS(' CADASTRO'!$S:$S,'acab equip'!$C$3,' CADASTRO'!$R:$R,'acab equip'!B242)</f>
        <v>0</v>
      </c>
      <c r="D242" s="163">
        <f>COUNTIFS(' CADASTRO'!$S:$S,'acab equip'!$D$3,' CADASTRO'!$R:$R,'acab equip'!B242)</f>
        <v>0</v>
      </c>
      <c r="E242" s="163"/>
      <c r="F242" s="162">
        <f t="shared" si="41"/>
        <v>47400</v>
      </c>
      <c r="G242" s="163">
        <f>COUNTIFS(' CADASTRO'!$S:$S,'acab equip'!$C$3,' CADASTRO'!$R:$R,'acab equip'!F242)</f>
        <v>0</v>
      </c>
      <c r="H242" s="163">
        <f>COUNTIFS(' CADASTRO'!$S:$S,'acab equip'!$D$3,' CADASTRO'!$R:$R,'acab equip'!F242)</f>
        <v>0</v>
      </c>
      <c r="I242" s="163">
        <f>COUNTIFS(' CADASTRO'!$R$746:$R$893,'acab equip'!F242,' CADASTRO'!$S$746:$S$893,'acab equip'!$H$3)+COUNTIFS(' CADASTRO'!$R$746:$R$893,'acab equip'!F242,' CADASTRO'!$S$746:$S$893,'acab equip'!$G$3)</f>
        <v>0</v>
      </c>
      <c r="J242" s="162">
        <f t="shared" si="42"/>
        <v>47401</v>
      </c>
      <c r="K242" s="163">
        <f>COUNTIFS(' CADASTRO'!$S:$S,'acab equip'!$C$3,' CADASTRO'!$R:$R,'acab equip'!J242)</f>
        <v>0</v>
      </c>
      <c r="L242" s="163">
        <f>COUNTIFS(' CADASTRO'!$S:$S,'acab equip'!$D$3,' CADASTRO'!$R:$R,'acab equip'!J242)</f>
        <v>0</v>
      </c>
      <c r="M242" s="163">
        <f>COUNTIFS(' CADASTRO'!$R$746:$R$893,'acab equip'!J242,' CADASTRO'!$S$746:$S$893,'acab equip'!$L$3)+COUNTIFS(' CADASTRO'!$R$746:$R$893,'acab equip'!J242,' CADASTRO'!$S$746:$S$893,'acab equip'!$K$3)</f>
        <v>0</v>
      </c>
      <c r="N242" s="162">
        <f t="shared" si="43"/>
        <v>47402</v>
      </c>
      <c r="O242" s="163">
        <f>COUNTIFS(' CADASTRO'!$S:$S,'acab equip'!$C$3,' CADASTRO'!$R:$R,'acab equip'!N242)</f>
        <v>0</v>
      </c>
      <c r="P242" s="163">
        <f>COUNTIFS(' CADASTRO'!$S:$S,'acab equip'!$D$3,' CADASTRO'!$R:$R,'acab equip'!N242)</f>
        <v>0</v>
      </c>
      <c r="Q242" s="163">
        <f>COUNTIFS(' CADASTRO'!$R$746:$R$893,'acab equip'!N242,' CADASTRO'!$S$746:$S$893,'acab equip'!$P$3)+COUNTIFS(' CADASTRO'!$R$746:$R$893,'acab equip'!N242,' CADASTRO'!$S$746:$S$893,'acab equip'!$O$3)</f>
        <v>0</v>
      </c>
      <c r="R242" s="162">
        <f t="shared" si="44"/>
        <v>47403</v>
      </c>
      <c r="S242" s="163">
        <f>COUNTIFS(' CADASTRO'!$S:$S,'acab equip'!$C$3,' CADASTRO'!$R:$R,'acab equip'!R242)</f>
        <v>0</v>
      </c>
      <c r="T242" s="163">
        <f>COUNTIFS(' CADASTRO'!$S:$S,'acab equip'!$D$3,' CADASTRO'!$R:$R,'acab equip'!R242)</f>
        <v>0</v>
      </c>
      <c r="U242" s="163">
        <f>COUNTIFS(' CADASTRO'!$R$746:$R$893,'acab equip'!R242,' CADASTRO'!$S$746:$S$893,'acab equip'!$T$3)+COUNTIFS(' CADASTRO'!$R$746:$R$893,'acab equip'!R242,' CADASTRO'!$S$746:$S$893,'acab equip'!$S$3)</f>
        <v>0</v>
      </c>
      <c r="V242" s="162">
        <f t="shared" si="45"/>
        <v>47404</v>
      </c>
      <c r="W242" s="163">
        <f>COUNTIFS(' CADASTRO'!$S:$S,'acab equip'!$C$3,' CADASTRO'!$R:$R,'acab equip'!V242)</f>
        <v>0</v>
      </c>
      <c r="X242" s="163">
        <f>COUNTIFS(' CADASTRO'!$S:$S,'acab equip'!$D$3,' CADASTRO'!$R:$R,'acab equip'!V242)</f>
        <v>0</v>
      </c>
      <c r="Y242" s="163">
        <f>COUNTIFS(' CADASTRO'!$R$746:$R$893,'acab equip'!V242,' CADASTRO'!$S$746:$S$893,'acab equip'!$X$3)+COUNTIFS(' CADASTRO'!$R$746:$R$893,'acab equip'!V242,' CADASTRO'!$S$746:$S$893,'acab equip'!$W$3)</f>
        <v>0</v>
      </c>
      <c r="Z242" s="162">
        <f t="shared" si="46"/>
        <v>47405</v>
      </c>
      <c r="AB242" s="165">
        <f t="shared" si="36"/>
        <v>0</v>
      </c>
      <c r="AC242" s="165">
        <f t="shared" si="37"/>
        <v>0</v>
      </c>
      <c r="AD242" s="165">
        <f t="shared" si="38"/>
        <v>0</v>
      </c>
      <c r="AE242" s="177">
        <f t="shared" si="39"/>
        <v>0</v>
      </c>
    </row>
    <row r="243" spans="2:31" x14ac:dyDescent="0.25">
      <c r="B243" s="162">
        <f t="shared" si="40"/>
        <v>47406</v>
      </c>
      <c r="C243" s="163">
        <f>COUNTIFS(' CADASTRO'!$S:$S,'acab equip'!$C$3,' CADASTRO'!$R:$R,'acab equip'!B243)</f>
        <v>0</v>
      </c>
      <c r="D243" s="163">
        <f>COUNTIFS(' CADASTRO'!$S:$S,'acab equip'!$D$3,' CADASTRO'!$R:$R,'acab equip'!B243)</f>
        <v>0</v>
      </c>
      <c r="E243" s="163"/>
      <c r="F243" s="162">
        <f t="shared" si="41"/>
        <v>47407</v>
      </c>
      <c r="G243" s="163">
        <f>COUNTIFS(' CADASTRO'!$S:$S,'acab equip'!$C$3,' CADASTRO'!$R:$R,'acab equip'!F243)</f>
        <v>0</v>
      </c>
      <c r="H243" s="163">
        <f>COUNTIFS(' CADASTRO'!$S:$S,'acab equip'!$D$3,' CADASTRO'!$R:$R,'acab equip'!F243)</f>
        <v>0</v>
      </c>
      <c r="I243" s="163">
        <f>COUNTIFS(' CADASTRO'!$R$746:$R$893,'acab equip'!F243,' CADASTRO'!$S$746:$S$893,'acab equip'!$H$3)+COUNTIFS(' CADASTRO'!$R$746:$R$893,'acab equip'!F243,' CADASTRO'!$S$746:$S$893,'acab equip'!$G$3)</f>
        <v>0</v>
      </c>
      <c r="J243" s="162">
        <f t="shared" si="42"/>
        <v>47408</v>
      </c>
      <c r="K243" s="163">
        <f>COUNTIFS(' CADASTRO'!$S:$S,'acab equip'!$C$3,' CADASTRO'!$R:$R,'acab equip'!J243)</f>
        <v>0</v>
      </c>
      <c r="L243" s="163">
        <f>COUNTIFS(' CADASTRO'!$S:$S,'acab equip'!$D$3,' CADASTRO'!$R:$R,'acab equip'!J243)</f>
        <v>0</v>
      </c>
      <c r="M243" s="163">
        <f>COUNTIFS(' CADASTRO'!$R$746:$R$893,'acab equip'!J243,' CADASTRO'!$S$746:$S$893,'acab equip'!$L$3)+COUNTIFS(' CADASTRO'!$R$746:$R$893,'acab equip'!J243,' CADASTRO'!$S$746:$S$893,'acab equip'!$K$3)</f>
        <v>0</v>
      </c>
      <c r="N243" s="162">
        <f t="shared" si="43"/>
        <v>47409</v>
      </c>
      <c r="O243" s="163">
        <f>COUNTIFS(' CADASTRO'!$S:$S,'acab equip'!$C$3,' CADASTRO'!$R:$R,'acab equip'!N243)</f>
        <v>0</v>
      </c>
      <c r="P243" s="163">
        <f>COUNTIFS(' CADASTRO'!$S:$S,'acab equip'!$D$3,' CADASTRO'!$R:$R,'acab equip'!N243)</f>
        <v>0</v>
      </c>
      <c r="Q243" s="163">
        <f>COUNTIFS(' CADASTRO'!$R$746:$R$893,'acab equip'!N243,' CADASTRO'!$S$746:$S$893,'acab equip'!$P$3)+COUNTIFS(' CADASTRO'!$R$746:$R$893,'acab equip'!N243,' CADASTRO'!$S$746:$S$893,'acab equip'!$O$3)</f>
        <v>0</v>
      </c>
      <c r="R243" s="162">
        <f t="shared" si="44"/>
        <v>47410</v>
      </c>
      <c r="S243" s="163">
        <f>COUNTIFS(' CADASTRO'!$S:$S,'acab equip'!$C$3,' CADASTRO'!$R:$R,'acab equip'!R243)</f>
        <v>0</v>
      </c>
      <c r="T243" s="163">
        <f>COUNTIFS(' CADASTRO'!$S:$S,'acab equip'!$D$3,' CADASTRO'!$R:$R,'acab equip'!R243)</f>
        <v>0</v>
      </c>
      <c r="U243" s="163">
        <f>COUNTIFS(' CADASTRO'!$R$746:$R$893,'acab equip'!R243,' CADASTRO'!$S$746:$S$893,'acab equip'!$T$3)+COUNTIFS(' CADASTRO'!$R$746:$R$893,'acab equip'!R243,' CADASTRO'!$S$746:$S$893,'acab equip'!$S$3)</f>
        <v>0</v>
      </c>
      <c r="V243" s="162">
        <f t="shared" si="45"/>
        <v>47411</v>
      </c>
      <c r="W243" s="163">
        <f>COUNTIFS(' CADASTRO'!$S:$S,'acab equip'!$C$3,' CADASTRO'!$R:$R,'acab equip'!V243)</f>
        <v>0</v>
      </c>
      <c r="X243" s="163">
        <f>COUNTIFS(' CADASTRO'!$S:$S,'acab equip'!$D$3,' CADASTRO'!$R:$R,'acab equip'!V243)</f>
        <v>0</v>
      </c>
      <c r="Y243" s="163">
        <f>COUNTIFS(' CADASTRO'!$R$746:$R$893,'acab equip'!V243,' CADASTRO'!$S$746:$S$893,'acab equip'!$X$3)+COUNTIFS(' CADASTRO'!$R$746:$R$893,'acab equip'!V243,' CADASTRO'!$S$746:$S$893,'acab equip'!$W$3)</f>
        <v>0</v>
      </c>
      <c r="Z243" s="162">
        <f t="shared" si="46"/>
        <v>47412</v>
      </c>
      <c r="AB243" s="165">
        <f t="shared" si="36"/>
        <v>0</v>
      </c>
      <c r="AC243" s="165">
        <f t="shared" si="37"/>
        <v>0</v>
      </c>
      <c r="AD243" s="165">
        <f t="shared" si="38"/>
        <v>0</v>
      </c>
      <c r="AE243" s="177">
        <f t="shared" si="39"/>
        <v>0</v>
      </c>
    </row>
    <row r="244" spans="2:31" x14ac:dyDescent="0.25">
      <c r="B244" s="162">
        <f t="shared" si="40"/>
        <v>47413</v>
      </c>
      <c r="C244" s="163">
        <f>COUNTIFS(' CADASTRO'!$S:$S,'acab equip'!$C$3,' CADASTRO'!$R:$R,'acab equip'!B244)</f>
        <v>0</v>
      </c>
      <c r="D244" s="163">
        <f>COUNTIFS(' CADASTRO'!$S:$S,'acab equip'!$D$3,' CADASTRO'!$R:$R,'acab equip'!B244)</f>
        <v>0</v>
      </c>
      <c r="E244" s="163"/>
      <c r="F244" s="162">
        <f t="shared" si="41"/>
        <v>47414</v>
      </c>
      <c r="G244" s="163">
        <f>COUNTIFS(' CADASTRO'!$S:$S,'acab equip'!$C$3,' CADASTRO'!$R:$R,'acab equip'!F244)</f>
        <v>0</v>
      </c>
      <c r="H244" s="163">
        <f>COUNTIFS(' CADASTRO'!$S:$S,'acab equip'!$D$3,' CADASTRO'!$R:$R,'acab equip'!F244)</f>
        <v>0</v>
      </c>
      <c r="I244" s="163">
        <f>COUNTIFS(' CADASTRO'!$R$746:$R$893,'acab equip'!F244,' CADASTRO'!$S$746:$S$893,'acab equip'!$H$3)+COUNTIFS(' CADASTRO'!$R$746:$R$893,'acab equip'!F244,' CADASTRO'!$S$746:$S$893,'acab equip'!$G$3)</f>
        <v>0</v>
      </c>
      <c r="J244" s="162">
        <f t="shared" si="42"/>
        <v>47415</v>
      </c>
      <c r="K244" s="163">
        <f>COUNTIFS(' CADASTRO'!$S:$S,'acab equip'!$C$3,' CADASTRO'!$R:$R,'acab equip'!J244)</f>
        <v>0</v>
      </c>
      <c r="L244" s="163">
        <f>COUNTIFS(' CADASTRO'!$S:$S,'acab equip'!$D$3,' CADASTRO'!$R:$R,'acab equip'!J244)</f>
        <v>0</v>
      </c>
      <c r="M244" s="163">
        <f>COUNTIFS(' CADASTRO'!$R$746:$R$893,'acab equip'!J244,' CADASTRO'!$S$746:$S$893,'acab equip'!$L$3)+COUNTIFS(' CADASTRO'!$R$746:$R$893,'acab equip'!J244,' CADASTRO'!$S$746:$S$893,'acab equip'!$K$3)</f>
        <v>0</v>
      </c>
      <c r="N244" s="162">
        <f t="shared" si="43"/>
        <v>47416</v>
      </c>
      <c r="O244" s="163">
        <f>COUNTIFS(' CADASTRO'!$S:$S,'acab equip'!$C$3,' CADASTRO'!$R:$R,'acab equip'!N244)</f>
        <v>0</v>
      </c>
      <c r="P244" s="163">
        <f>COUNTIFS(' CADASTRO'!$S:$S,'acab equip'!$D$3,' CADASTRO'!$R:$R,'acab equip'!N244)</f>
        <v>0</v>
      </c>
      <c r="Q244" s="163">
        <f>COUNTIFS(' CADASTRO'!$R$746:$R$893,'acab equip'!N244,' CADASTRO'!$S$746:$S$893,'acab equip'!$P$3)+COUNTIFS(' CADASTRO'!$R$746:$R$893,'acab equip'!N244,' CADASTRO'!$S$746:$S$893,'acab equip'!$O$3)</f>
        <v>0</v>
      </c>
      <c r="R244" s="162">
        <f t="shared" si="44"/>
        <v>47417</v>
      </c>
      <c r="S244" s="163">
        <f>COUNTIFS(' CADASTRO'!$S:$S,'acab equip'!$C$3,' CADASTRO'!$R:$R,'acab equip'!R244)</f>
        <v>0</v>
      </c>
      <c r="T244" s="163">
        <f>COUNTIFS(' CADASTRO'!$S:$S,'acab equip'!$D$3,' CADASTRO'!$R:$R,'acab equip'!R244)</f>
        <v>0</v>
      </c>
      <c r="U244" s="163">
        <f>COUNTIFS(' CADASTRO'!$R$746:$R$893,'acab equip'!R244,' CADASTRO'!$S$746:$S$893,'acab equip'!$T$3)+COUNTIFS(' CADASTRO'!$R$746:$R$893,'acab equip'!R244,' CADASTRO'!$S$746:$S$893,'acab equip'!$S$3)</f>
        <v>0</v>
      </c>
      <c r="V244" s="162">
        <f t="shared" si="45"/>
        <v>47418</v>
      </c>
      <c r="W244" s="163">
        <f>COUNTIFS(' CADASTRO'!$S:$S,'acab equip'!$C$3,' CADASTRO'!$R:$R,'acab equip'!V244)</f>
        <v>0</v>
      </c>
      <c r="X244" s="163">
        <f>COUNTIFS(' CADASTRO'!$S:$S,'acab equip'!$D$3,' CADASTRO'!$R:$R,'acab equip'!V244)</f>
        <v>0</v>
      </c>
      <c r="Y244" s="163">
        <f>COUNTIFS(' CADASTRO'!$R$746:$R$893,'acab equip'!V244,' CADASTRO'!$S$746:$S$893,'acab equip'!$X$3)+COUNTIFS(' CADASTRO'!$R$746:$R$893,'acab equip'!V244,' CADASTRO'!$S$746:$S$893,'acab equip'!$W$3)</f>
        <v>0</v>
      </c>
      <c r="Z244" s="162">
        <f t="shared" si="46"/>
        <v>47419</v>
      </c>
      <c r="AB244" s="165">
        <f t="shared" si="36"/>
        <v>0</v>
      </c>
      <c r="AC244" s="165">
        <f t="shared" si="37"/>
        <v>0</v>
      </c>
      <c r="AD244" s="165">
        <f t="shared" si="38"/>
        <v>0</v>
      </c>
      <c r="AE244" s="177">
        <f t="shared" si="39"/>
        <v>0</v>
      </c>
    </row>
    <row r="245" spans="2:31" x14ac:dyDescent="0.25">
      <c r="B245" s="162">
        <f t="shared" si="40"/>
        <v>47420</v>
      </c>
      <c r="C245" s="163">
        <f>COUNTIFS(' CADASTRO'!$S:$S,'acab equip'!$C$3,' CADASTRO'!$R:$R,'acab equip'!B245)</f>
        <v>0</v>
      </c>
      <c r="D245" s="163">
        <f>COUNTIFS(' CADASTRO'!$S:$S,'acab equip'!$D$3,' CADASTRO'!$R:$R,'acab equip'!B245)</f>
        <v>0</v>
      </c>
      <c r="E245" s="163"/>
      <c r="F245" s="162">
        <f t="shared" si="41"/>
        <v>47421</v>
      </c>
      <c r="G245" s="163">
        <f>COUNTIFS(' CADASTRO'!$S:$S,'acab equip'!$C$3,' CADASTRO'!$R:$R,'acab equip'!F245)</f>
        <v>0</v>
      </c>
      <c r="H245" s="163">
        <f>COUNTIFS(' CADASTRO'!$S:$S,'acab equip'!$D$3,' CADASTRO'!$R:$R,'acab equip'!F245)</f>
        <v>0</v>
      </c>
      <c r="I245" s="163">
        <f>COUNTIFS(' CADASTRO'!$R$746:$R$893,'acab equip'!F245,' CADASTRO'!$S$746:$S$893,'acab equip'!$H$3)+COUNTIFS(' CADASTRO'!$R$746:$R$893,'acab equip'!F245,' CADASTRO'!$S$746:$S$893,'acab equip'!$G$3)</f>
        <v>0</v>
      </c>
      <c r="J245" s="162">
        <f t="shared" si="42"/>
        <v>47422</v>
      </c>
      <c r="K245" s="163">
        <f>COUNTIFS(' CADASTRO'!$S:$S,'acab equip'!$C$3,' CADASTRO'!$R:$R,'acab equip'!J245)</f>
        <v>0</v>
      </c>
      <c r="L245" s="163">
        <f>COUNTIFS(' CADASTRO'!$S:$S,'acab equip'!$D$3,' CADASTRO'!$R:$R,'acab equip'!J245)</f>
        <v>0</v>
      </c>
      <c r="M245" s="163">
        <f>COUNTIFS(' CADASTRO'!$R$746:$R$893,'acab equip'!J245,' CADASTRO'!$S$746:$S$893,'acab equip'!$L$3)+COUNTIFS(' CADASTRO'!$R$746:$R$893,'acab equip'!J245,' CADASTRO'!$S$746:$S$893,'acab equip'!$K$3)</f>
        <v>0</v>
      </c>
      <c r="N245" s="162">
        <f t="shared" si="43"/>
        <v>47423</v>
      </c>
      <c r="O245" s="163">
        <f>COUNTIFS(' CADASTRO'!$S:$S,'acab equip'!$C$3,' CADASTRO'!$R:$R,'acab equip'!N245)</f>
        <v>0</v>
      </c>
      <c r="P245" s="163">
        <f>COUNTIFS(' CADASTRO'!$S:$S,'acab equip'!$D$3,' CADASTRO'!$R:$R,'acab equip'!N245)</f>
        <v>0</v>
      </c>
      <c r="Q245" s="163">
        <f>COUNTIFS(' CADASTRO'!$R$746:$R$893,'acab equip'!N245,' CADASTRO'!$S$746:$S$893,'acab equip'!$P$3)+COUNTIFS(' CADASTRO'!$R$746:$R$893,'acab equip'!N245,' CADASTRO'!$S$746:$S$893,'acab equip'!$O$3)</f>
        <v>0</v>
      </c>
      <c r="R245" s="162">
        <f t="shared" si="44"/>
        <v>47424</v>
      </c>
      <c r="S245" s="163">
        <f>COUNTIFS(' CADASTRO'!$S:$S,'acab equip'!$C$3,' CADASTRO'!$R:$R,'acab equip'!R245)</f>
        <v>0</v>
      </c>
      <c r="T245" s="163">
        <f>COUNTIFS(' CADASTRO'!$S:$S,'acab equip'!$D$3,' CADASTRO'!$R:$R,'acab equip'!R245)</f>
        <v>0</v>
      </c>
      <c r="U245" s="163">
        <f>COUNTIFS(' CADASTRO'!$R$746:$R$893,'acab equip'!R245,' CADASTRO'!$S$746:$S$893,'acab equip'!$T$3)+COUNTIFS(' CADASTRO'!$R$746:$R$893,'acab equip'!R245,' CADASTRO'!$S$746:$S$893,'acab equip'!$S$3)</f>
        <v>0</v>
      </c>
      <c r="V245" s="162">
        <f t="shared" si="45"/>
        <v>47425</v>
      </c>
      <c r="W245" s="163">
        <f>COUNTIFS(' CADASTRO'!$S:$S,'acab equip'!$C$3,' CADASTRO'!$R:$R,'acab equip'!V245)</f>
        <v>0</v>
      </c>
      <c r="X245" s="163">
        <f>COUNTIFS(' CADASTRO'!$S:$S,'acab equip'!$D$3,' CADASTRO'!$R:$R,'acab equip'!V245)</f>
        <v>0</v>
      </c>
      <c r="Y245" s="163">
        <f>COUNTIFS(' CADASTRO'!$R$746:$R$893,'acab equip'!V245,' CADASTRO'!$S$746:$S$893,'acab equip'!$X$3)+COUNTIFS(' CADASTRO'!$R$746:$R$893,'acab equip'!V245,' CADASTRO'!$S$746:$S$893,'acab equip'!$W$3)</f>
        <v>0</v>
      </c>
      <c r="Z245" s="162">
        <f t="shared" si="46"/>
        <v>47426</v>
      </c>
      <c r="AB245" s="165">
        <f t="shared" si="36"/>
        <v>0</v>
      </c>
      <c r="AC245" s="165">
        <f t="shared" si="37"/>
        <v>0</v>
      </c>
      <c r="AD245" s="165">
        <f t="shared" si="38"/>
        <v>0</v>
      </c>
      <c r="AE245" s="177">
        <f t="shared" si="39"/>
        <v>0</v>
      </c>
    </row>
    <row r="246" spans="2:31" x14ac:dyDescent="0.25">
      <c r="B246" s="162">
        <f t="shared" si="40"/>
        <v>47427</v>
      </c>
      <c r="C246" s="163">
        <f>COUNTIFS(' CADASTRO'!$S:$S,'acab equip'!$C$3,' CADASTRO'!$R:$R,'acab equip'!B246)</f>
        <v>0</v>
      </c>
      <c r="D246" s="163">
        <f>COUNTIFS(' CADASTRO'!$S:$S,'acab equip'!$D$3,' CADASTRO'!$R:$R,'acab equip'!B246)</f>
        <v>0</v>
      </c>
      <c r="E246" s="163"/>
      <c r="F246" s="162">
        <f t="shared" si="41"/>
        <v>47428</v>
      </c>
      <c r="G246" s="163">
        <f>COUNTIFS(' CADASTRO'!$S:$S,'acab equip'!$C$3,' CADASTRO'!$R:$R,'acab equip'!F246)</f>
        <v>0</v>
      </c>
      <c r="H246" s="163">
        <f>COUNTIFS(' CADASTRO'!$S:$S,'acab equip'!$D$3,' CADASTRO'!$R:$R,'acab equip'!F246)</f>
        <v>0</v>
      </c>
      <c r="I246" s="163">
        <f>COUNTIFS(' CADASTRO'!$R$746:$R$893,'acab equip'!F246,' CADASTRO'!$S$746:$S$893,'acab equip'!$H$3)+COUNTIFS(' CADASTRO'!$R$746:$R$893,'acab equip'!F246,' CADASTRO'!$S$746:$S$893,'acab equip'!$G$3)</f>
        <v>0</v>
      </c>
      <c r="J246" s="162">
        <f t="shared" si="42"/>
        <v>47429</v>
      </c>
      <c r="K246" s="163">
        <f>COUNTIFS(' CADASTRO'!$S:$S,'acab equip'!$C$3,' CADASTRO'!$R:$R,'acab equip'!J246)</f>
        <v>0</v>
      </c>
      <c r="L246" s="163">
        <f>COUNTIFS(' CADASTRO'!$S:$S,'acab equip'!$D$3,' CADASTRO'!$R:$R,'acab equip'!J246)</f>
        <v>0</v>
      </c>
      <c r="M246" s="163">
        <f>COUNTIFS(' CADASTRO'!$R$746:$R$893,'acab equip'!J246,' CADASTRO'!$S$746:$S$893,'acab equip'!$L$3)+COUNTIFS(' CADASTRO'!$R$746:$R$893,'acab equip'!J246,' CADASTRO'!$S$746:$S$893,'acab equip'!$K$3)</f>
        <v>0</v>
      </c>
      <c r="N246" s="162">
        <f t="shared" si="43"/>
        <v>47430</v>
      </c>
      <c r="O246" s="163">
        <f>COUNTIFS(' CADASTRO'!$S:$S,'acab equip'!$C$3,' CADASTRO'!$R:$R,'acab equip'!N246)</f>
        <v>0</v>
      </c>
      <c r="P246" s="163">
        <f>COUNTIFS(' CADASTRO'!$S:$S,'acab equip'!$D$3,' CADASTRO'!$R:$R,'acab equip'!N246)</f>
        <v>0</v>
      </c>
      <c r="Q246" s="163">
        <f>COUNTIFS(' CADASTRO'!$R$746:$R$893,'acab equip'!N246,' CADASTRO'!$S$746:$S$893,'acab equip'!$P$3)+COUNTIFS(' CADASTRO'!$R$746:$R$893,'acab equip'!N246,' CADASTRO'!$S$746:$S$893,'acab equip'!$O$3)</f>
        <v>0</v>
      </c>
      <c r="R246" s="162">
        <f t="shared" si="44"/>
        <v>47431</v>
      </c>
      <c r="S246" s="163">
        <f>COUNTIFS(' CADASTRO'!$S:$S,'acab equip'!$C$3,' CADASTRO'!$R:$R,'acab equip'!R246)</f>
        <v>0</v>
      </c>
      <c r="T246" s="163">
        <f>COUNTIFS(' CADASTRO'!$S:$S,'acab equip'!$D$3,' CADASTRO'!$R:$R,'acab equip'!R246)</f>
        <v>0</v>
      </c>
      <c r="U246" s="163">
        <f>COUNTIFS(' CADASTRO'!$R$746:$R$893,'acab equip'!R246,' CADASTRO'!$S$746:$S$893,'acab equip'!$T$3)+COUNTIFS(' CADASTRO'!$R$746:$R$893,'acab equip'!R246,' CADASTRO'!$S$746:$S$893,'acab equip'!$S$3)</f>
        <v>0</v>
      </c>
      <c r="V246" s="162">
        <f t="shared" si="45"/>
        <v>47432</v>
      </c>
      <c r="W246" s="163">
        <f>COUNTIFS(' CADASTRO'!$S:$S,'acab equip'!$C$3,' CADASTRO'!$R:$R,'acab equip'!V246)</f>
        <v>0</v>
      </c>
      <c r="X246" s="163">
        <f>COUNTIFS(' CADASTRO'!$S:$S,'acab equip'!$D$3,' CADASTRO'!$R:$R,'acab equip'!V246)</f>
        <v>0</v>
      </c>
      <c r="Y246" s="163">
        <f>COUNTIFS(' CADASTRO'!$R$746:$R$893,'acab equip'!V246,' CADASTRO'!$S$746:$S$893,'acab equip'!$X$3)+COUNTIFS(' CADASTRO'!$R$746:$R$893,'acab equip'!V246,' CADASTRO'!$S$746:$S$893,'acab equip'!$W$3)</f>
        <v>0</v>
      </c>
      <c r="Z246" s="162">
        <f t="shared" si="46"/>
        <v>47433</v>
      </c>
      <c r="AB246" s="165">
        <f t="shared" si="36"/>
        <v>0</v>
      </c>
      <c r="AC246" s="165">
        <f t="shared" si="37"/>
        <v>0</v>
      </c>
      <c r="AD246" s="165">
        <f t="shared" si="38"/>
        <v>0</v>
      </c>
      <c r="AE246" s="177">
        <f t="shared" si="39"/>
        <v>0</v>
      </c>
    </row>
    <row r="247" spans="2:31" x14ac:dyDescent="0.25">
      <c r="B247" s="162">
        <f t="shared" si="40"/>
        <v>47434</v>
      </c>
      <c r="C247" s="163">
        <f>COUNTIFS(' CADASTRO'!$S:$S,'acab equip'!$C$3,' CADASTRO'!$R:$R,'acab equip'!B247)</f>
        <v>0</v>
      </c>
      <c r="D247" s="163">
        <f>COUNTIFS(' CADASTRO'!$S:$S,'acab equip'!$D$3,' CADASTRO'!$R:$R,'acab equip'!B247)</f>
        <v>0</v>
      </c>
      <c r="E247" s="163"/>
      <c r="F247" s="162">
        <f t="shared" si="41"/>
        <v>47435</v>
      </c>
      <c r="G247" s="163">
        <f>COUNTIFS(' CADASTRO'!$S:$S,'acab equip'!$C$3,' CADASTRO'!$R:$R,'acab equip'!F247)</f>
        <v>0</v>
      </c>
      <c r="H247" s="163">
        <f>COUNTIFS(' CADASTRO'!$S:$S,'acab equip'!$D$3,' CADASTRO'!$R:$R,'acab equip'!F247)</f>
        <v>0</v>
      </c>
      <c r="I247" s="163">
        <f>COUNTIFS(' CADASTRO'!$R$746:$R$893,'acab equip'!F247,' CADASTRO'!$S$746:$S$893,'acab equip'!$H$3)+COUNTIFS(' CADASTRO'!$R$746:$R$893,'acab equip'!F247,' CADASTRO'!$S$746:$S$893,'acab equip'!$G$3)</f>
        <v>0</v>
      </c>
      <c r="J247" s="162">
        <f t="shared" si="42"/>
        <v>47436</v>
      </c>
      <c r="K247" s="163">
        <f>COUNTIFS(' CADASTRO'!$S:$S,'acab equip'!$C$3,' CADASTRO'!$R:$R,'acab equip'!J247)</f>
        <v>0</v>
      </c>
      <c r="L247" s="163">
        <f>COUNTIFS(' CADASTRO'!$S:$S,'acab equip'!$D$3,' CADASTRO'!$R:$R,'acab equip'!J247)</f>
        <v>0</v>
      </c>
      <c r="M247" s="163">
        <f>COUNTIFS(' CADASTRO'!$R$746:$R$893,'acab equip'!J247,' CADASTRO'!$S$746:$S$893,'acab equip'!$L$3)+COUNTIFS(' CADASTRO'!$R$746:$R$893,'acab equip'!J247,' CADASTRO'!$S$746:$S$893,'acab equip'!$K$3)</f>
        <v>0</v>
      </c>
      <c r="N247" s="162">
        <f t="shared" si="43"/>
        <v>47437</v>
      </c>
      <c r="O247" s="163">
        <f>COUNTIFS(' CADASTRO'!$S:$S,'acab equip'!$C$3,' CADASTRO'!$R:$R,'acab equip'!N247)</f>
        <v>0</v>
      </c>
      <c r="P247" s="163">
        <f>COUNTIFS(' CADASTRO'!$S:$S,'acab equip'!$D$3,' CADASTRO'!$R:$R,'acab equip'!N247)</f>
        <v>0</v>
      </c>
      <c r="Q247" s="163">
        <f>COUNTIFS(' CADASTRO'!$R$746:$R$893,'acab equip'!N247,' CADASTRO'!$S$746:$S$893,'acab equip'!$P$3)+COUNTIFS(' CADASTRO'!$R$746:$R$893,'acab equip'!N247,' CADASTRO'!$S$746:$S$893,'acab equip'!$O$3)</f>
        <v>0</v>
      </c>
      <c r="R247" s="162">
        <f t="shared" si="44"/>
        <v>47438</v>
      </c>
      <c r="S247" s="163">
        <f>COUNTIFS(' CADASTRO'!$S:$S,'acab equip'!$C$3,' CADASTRO'!$R:$R,'acab equip'!R247)</f>
        <v>0</v>
      </c>
      <c r="T247" s="163">
        <f>COUNTIFS(' CADASTRO'!$S:$S,'acab equip'!$D$3,' CADASTRO'!$R:$R,'acab equip'!R247)</f>
        <v>0</v>
      </c>
      <c r="U247" s="163">
        <f>COUNTIFS(' CADASTRO'!$R$746:$R$893,'acab equip'!R247,' CADASTRO'!$S$746:$S$893,'acab equip'!$T$3)+COUNTIFS(' CADASTRO'!$R$746:$R$893,'acab equip'!R247,' CADASTRO'!$S$746:$S$893,'acab equip'!$S$3)</f>
        <v>0</v>
      </c>
      <c r="V247" s="162">
        <f t="shared" si="45"/>
        <v>47439</v>
      </c>
      <c r="W247" s="163">
        <f>COUNTIFS(' CADASTRO'!$S:$S,'acab equip'!$C$3,' CADASTRO'!$R:$R,'acab equip'!V247)</f>
        <v>0</v>
      </c>
      <c r="X247" s="163">
        <f>COUNTIFS(' CADASTRO'!$S:$S,'acab equip'!$D$3,' CADASTRO'!$R:$R,'acab equip'!V247)</f>
        <v>0</v>
      </c>
      <c r="Y247" s="163">
        <f>COUNTIFS(' CADASTRO'!$R$746:$R$893,'acab equip'!V247,' CADASTRO'!$S$746:$S$893,'acab equip'!$X$3)+COUNTIFS(' CADASTRO'!$R$746:$R$893,'acab equip'!V247,' CADASTRO'!$S$746:$S$893,'acab equip'!$W$3)</f>
        <v>0</v>
      </c>
      <c r="Z247" s="162">
        <f t="shared" si="46"/>
        <v>47440</v>
      </c>
      <c r="AB247" s="165">
        <f t="shared" si="36"/>
        <v>0</v>
      </c>
      <c r="AC247" s="165">
        <f t="shared" si="37"/>
        <v>0</v>
      </c>
      <c r="AD247" s="165">
        <f t="shared" si="38"/>
        <v>0</v>
      </c>
      <c r="AE247" s="177">
        <f t="shared" si="39"/>
        <v>0</v>
      </c>
    </row>
    <row r="248" spans="2:31" x14ac:dyDescent="0.25">
      <c r="B248" s="162">
        <f t="shared" si="40"/>
        <v>47441</v>
      </c>
      <c r="C248" s="163">
        <f>COUNTIFS(' CADASTRO'!$S:$S,'acab equip'!$C$3,' CADASTRO'!$R:$R,'acab equip'!B248)</f>
        <v>0</v>
      </c>
      <c r="D248" s="163">
        <f>COUNTIFS(' CADASTRO'!$S:$S,'acab equip'!$D$3,' CADASTRO'!$R:$R,'acab equip'!B248)</f>
        <v>0</v>
      </c>
      <c r="E248" s="163"/>
      <c r="F248" s="162">
        <f t="shared" si="41"/>
        <v>47442</v>
      </c>
      <c r="G248" s="163">
        <f>COUNTIFS(' CADASTRO'!$S:$S,'acab equip'!$C$3,' CADASTRO'!$R:$R,'acab equip'!F248)</f>
        <v>0</v>
      </c>
      <c r="H248" s="163">
        <f>COUNTIFS(' CADASTRO'!$S:$S,'acab equip'!$D$3,' CADASTRO'!$R:$R,'acab equip'!F248)</f>
        <v>0</v>
      </c>
      <c r="I248" s="163">
        <f>COUNTIFS(' CADASTRO'!$R$746:$R$893,'acab equip'!F248,' CADASTRO'!$S$746:$S$893,'acab equip'!$H$3)+COUNTIFS(' CADASTRO'!$R$746:$R$893,'acab equip'!F248,' CADASTRO'!$S$746:$S$893,'acab equip'!$G$3)</f>
        <v>0</v>
      </c>
      <c r="J248" s="162">
        <f t="shared" si="42"/>
        <v>47443</v>
      </c>
      <c r="K248" s="163">
        <f>COUNTIFS(' CADASTRO'!$S:$S,'acab equip'!$C$3,' CADASTRO'!$R:$R,'acab equip'!J248)</f>
        <v>0</v>
      </c>
      <c r="L248" s="163">
        <f>COUNTIFS(' CADASTRO'!$S:$S,'acab equip'!$D$3,' CADASTRO'!$R:$R,'acab equip'!J248)</f>
        <v>0</v>
      </c>
      <c r="M248" s="163">
        <f>COUNTIFS(' CADASTRO'!$R$746:$R$893,'acab equip'!J248,' CADASTRO'!$S$746:$S$893,'acab equip'!$L$3)+COUNTIFS(' CADASTRO'!$R$746:$R$893,'acab equip'!J248,' CADASTRO'!$S$746:$S$893,'acab equip'!$K$3)</f>
        <v>0</v>
      </c>
      <c r="N248" s="162">
        <f t="shared" si="43"/>
        <v>47444</v>
      </c>
      <c r="O248" s="163">
        <f>COUNTIFS(' CADASTRO'!$S:$S,'acab equip'!$C$3,' CADASTRO'!$R:$R,'acab equip'!N248)</f>
        <v>0</v>
      </c>
      <c r="P248" s="163">
        <f>COUNTIFS(' CADASTRO'!$S:$S,'acab equip'!$D$3,' CADASTRO'!$R:$R,'acab equip'!N248)</f>
        <v>0</v>
      </c>
      <c r="Q248" s="163">
        <f>COUNTIFS(' CADASTRO'!$R$746:$R$893,'acab equip'!N248,' CADASTRO'!$S$746:$S$893,'acab equip'!$P$3)+COUNTIFS(' CADASTRO'!$R$746:$R$893,'acab equip'!N248,' CADASTRO'!$S$746:$S$893,'acab equip'!$O$3)</f>
        <v>0</v>
      </c>
      <c r="R248" s="162">
        <f t="shared" si="44"/>
        <v>47445</v>
      </c>
      <c r="S248" s="163">
        <f>COUNTIFS(' CADASTRO'!$S:$S,'acab equip'!$C$3,' CADASTRO'!$R:$R,'acab equip'!R248)</f>
        <v>0</v>
      </c>
      <c r="T248" s="163">
        <f>COUNTIFS(' CADASTRO'!$S:$S,'acab equip'!$D$3,' CADASTRO'!$R:$R,'acab equip'!R248)</f>
        <v>0</v>
      </c>
      <c r="U248" s="163">
        <f>COUNTIFS(' CADASTRO'!$R$746:$R$893,'acab equip'!R248,' CADASTRO'!$S$746:$S$893,'acab equip'!$T$3)+COUNTIFS(' CADASTRO'!$R$746:$R$893,'acab equip'!R248,' CADASTRO'!$S$746:$S$893,'acab equip'!$S$3)</f>
        <v>0</v>
      </c>
      <c r="V248" s="162">
        <f t="shared" si="45"/>
        <v>47446</v>
      </c>
      <c r="W248" s="163">
        <f>COUNTIFS(' CADASTRO'!$S:$S,'acab equip'!$C$3,' CADASTRO'!$R:$R,'acab equip'!V248)</f>
        <v>0</v>
      </c>
      <c r="X248" s="163">
        <f>COUNTIFS(' CADASTRO'!$S:$S,'acab equip'!$D$3,' CADASTRO'!$R:$R,'acab equip'!V248)</f>
        <v>0</v>
      </c>
      <c r="Y248" s="163">
        <f>COUNTIFS(' CADASTRO'!$R$746:$R$893,'acab equip'!V248,' CADASTRO'!$S$746:$S$893,'acab equip'!$X$3)+COUNTIFS(' CADASTRO'!$R$746:$R$893,'acab equip'!V248,' CADASTRO'!$S$746:$S$893,'acab equip'!$W$3)</f>
        <v>0</v>
      </c>
      <c r="Z248" s="162">
        <f t="shared" si="46"/>
        <v>47447</v>
      </c>
      <c r="AB248" s="165">
        <f t="shared" si="36"/>
        <v>0</v>
      </c>
      <c r="AC248" s="165">
        <f t="shared" si="37"/>
        <v>0</v>
      </c>
      <c r="AD248" s="165">
        <f t="shared" si="38"/>
        <v>0</v>
      </c>
      <c r="AE248" s="177">
        <f t="shared" si="39"/>
        <v>0</v>
      </c>
    </row>
    <row r="249" spans="2:31" x14ac:dyDescent="0.25">
      <c r="B249" s="162">
        <f t="shared" si="40"/>
        <v>47448</v>
      </c>
      <c r="C249" s="163">
        <f>COUNTIFS(' CADASTRO'!$S:$S,'acab equip'!$C$3,' CADASTRO'!$R:$R,'acab equip'!B249)</f>
        <v>0</v>
      </c>
      <c r="D249" s="163">
        <f>COUNTIFS(' CADASTRO'!$S:$S,'acab equip'!$D$3,' CADASTRO'!$R:$R,'acab equip'!B249)</f>
        <v>0</v>
      </c>
      <c r="E249" s="163"/>
      <c r="F249" s="162">
        <f t="shared" si="41"/>
        <v>47449</v>
      </c>
      <c r="G249" s="163">
        <f>COUNTIFS(' CADASTRO'!$S:$S,'acab equip'!$C$3,' CADASTRO'!$R:$R,'acab equip'!F249)</f>
        <v>0</v>
      </c>
      <c r="H249" s="163">
        <f>COUNTIFS(' CADASTRO'!$S:$S,'acab equip'!$D$3,' CADASTRO'!$R:$R,'acab equip'!F249)</f>
        <v>0</v>
      </c>
      <c r="I249" s="163">
        <f>COUNTIFS(' CADASTRO'!$R$746:$R$893,'acab equip'!F249,' CADASTRO'!$S$746:$S$893,'acab equip'!$H$3)+COUNTIFS(' CADASTRO'!$R$746:$R$893,'acab equip'!F249,' CADASTRO'!$S$746:$S$893,'acab equip'!$G$3)</f>
        <v>0</v>
      </c>
      <c r="J249" s="162">
        <f t="shared" si="42"/>
        <v>47450</v>
      </c>
      <c r="K249" s="163">
        <f>COUNTIFS(' CADASTRO'!$S:$S,'acab equip'!$C$3,' CADASTRO'!$R:$R,'acab equip'!J249)</f>
        <v>0</v>
      </c>
      <c r="L249" s="163">
        <f>COUNTIFS(' CADASTRO'!$S:$S,'acab equip'!$D$3,' CADASTRO'!$R:$R,'acab equip'!J249)</f>
        <v>0</v>
      </c>
      <c r="M249" s="163">
        <f>COUNTIFS(' CADASTRO'!$R$746:$R$893,'acab equip'!J249,' CADASTRO'!$S$746:$S$893,'acab equip'!$L$3)+COUNTIFS(' CADASTRO'!$R$746:$R$893,'acab equip'!J249,' CADASTRO'!$S$746:$S$893,'acab equip'!$K$3)</f>
        <v>0</v>
      </c>
      <c r="N249" s="162">
        <f t="shared" si="43"/>
        <v>47451</v>
      </c>
      <c r="O249" s="163">
        <f>COUNTIFS(' CADASTRO'!$S:$S,'acab equip'!$C$3,' CADASTRO'!$R:$R,'acab equip'!N249)</f>
        <v>0</v>
      </c>
      <c r="P249" s="163">
        <f>COUNTIFS(' CADASTRO'!$S:$S,'acab equip'!$D$3,' CADASTRO'!$R:$R,'acab equip'!N249)</f>
        <v>0</v>
      </c>
      <c r="Q249" s="163">
        <f>COUNTIFS(' CADASTRO'!$R$746:$R$893,'acab equip'!N249,' CADASTRO'!$S$746:$S$893,'acab equip'!$P$3)+COUNTIFS(' CADASTRO'!$R$746:$R$893,'acab equip'!N249,' CADASTRO'!$S$746:$S$893,'acab equip'!$O$3)</f>
        <v>0</v>
      </c>
      <c r="R249" s="162">
        <f t="shared" si="44"/>
        <v>47452</v>
      </c>
      <c r="S249" s="163">
        <f>COUNTIFS(' CADASTRO'!$S:$S,'acab equip'!$C$3,' CADASTRO'!$R:$R,'acab equip'!R249)</f>
        <v>0</v>
      </c>
      <c r="T249" s="163">
        <f>COUNTIFS(' CADASTRO'!$S:$S,'acab equip'!$D$3,' CADASTRO'!$R:$R,'acab equip'!R249)</f>
        <v>0</v>
      </c>
      <c r="U249" s="163">
        <f>COUNTIFS(' CADASTRO'!$R$746:$R$893,'acab equip'!R249,' CADASTRO'!$S$746:$S$893,'acab equip'!$T$3)+COUNTIFS(' CADASTRO'!$R$746:$R$893,'acab equip'!R249,' CADASTRO'!$S$746:$S$893,'acab equip'!$S$3)</f>
        <v>0</v>
      </c>
      <c r="V249" s="162">
        <f t="shared" si="45"/>
        <v>47453</v>
      </c>
      <c r="W249" s="163">
        <f>COUNTIFS(' CADASTRO'!$S:$S,'acab equip'!$C$3,' CADASTRO'!$R:$R,'acab equip'!V249)</f>
        <v>0</v>
      </c>
      <c r="X249" s="163">
        <f>COUNTIFS(' CADASTRO'!$S:$S,'acab equip'!$D$3,' CADASTRO'!$R:$R,'acab equip'!V249)</f>
        <v>0</v>
      </c>
      <c r="Y249" s="163">
        <f>COUNTIFS(' CADASTRO'!$R$746:$R$893,'acab equip'!V249,' CADASTRO'!$S$746:$S$893,'acab equip'!$X$3)+COUNTIFS(' CADASTRO'!$R$746:$R$893,'acab equip'!V249,' CADASTRO'!$S$746:$S$893,'acab equip'!$W$3)</f>
        <v>0</v>
      </c>
      <c r="Z249" s="162">
        <f t="shared" si="46"/>
        <v>47454</v>
      </c>
      <c r="AB249" s="165">
        <f t="shared" si="36"/>
        <v>0</v>
      </c>
      <c r="AC249" s="165">
        <f t="shared" si="37"/>
        <v>0</v>
      </c>
      <c r="AD249" s="165">
        <f t="shared" si="38"/>
        <v>0</v>
      </c>
      <c r="AE249" s="177">
        <f t="shared" si="39"/>
        <v>0</v>
      </c>
    </row>
    <row r="250" spans="2:31" x14ac:dyDescent="0.25">
      <c r="B250" s="162">
        <f t="shared" si="40"/>
        <v>47455</v>
      </c>
      <c r="C250" s="163">
        <f>COUNTIFS(' CADASTRO'!$S:$S,'acab equip'!$C$3,' CADASTRO'!$R:$R,'acab equip'!B250)</f>
        <v>0</v>
      </c>
      <c r="D250" s="163">
        <f>COUNTIFS(' CADASTRO'!$S:$S,'acab equip'!$D$3,' CADASTRO'!$R:$R,'acab equip'!B250)</f>
        <v>0</v>
      </c>
      <c r="E250" s="163"/>
      <c r="F250" s="162">
        <f t="shared" si="41"/>
        <v>47456</v>
      </c>
      <c r="G250" s="163">
        <f>COUNTIFS(' CADASTRO'!$S:$S,'acab equip'!$C$3,' CADASTRO'!$R:$R,'acab equip'!F250)</f>
        <v>0</v>
      </c>
      <c r="H250" s="163">
        <f>COUNTIFS(' CADASTRO'!$S:$S,'acab equip'!$D$3,' CADASTRO'!$R:$R,'acab equip'!F250)</f>
        <v>0</v>
      </c>
      <c r="I250" s="163">
        <f>COUNTIFS(' CADASTRO'!$R$746:$R$893,'acab equip'!F250,' CADASTRO'!$S$746:$S$893,'acab equip'!$H$3)+COUNTIFS(' CADASTRO'!$R$746:$R$893,'acab equip'!F250,' CADASTRO'!$S$746:$S$893,'acab equip'!$G$3)</f>
        <v>0</v>
      </c>
      <c r="J250" s="162">
        <f t="shared" si="42"/>
        <v>47457</v>
      </c>
      <c r="K250" s="163">
        <f>COUNTIFS(' CADASTRO'!$S:$S,'acab equip'!$C$3,' CADASTRO'!$R:$R,'acab equip'!J250)</f>
        <v>0</v>
      </c>
      <c r="L250" s="163">
        <f>COUNTIFS(' CADASTRO'!$S:$S,'acab equip'!$D$3,' CADASTRO'!$R:$R,'acab equip'!J250)</f>
        <v>0</v>
      </c>
      <c r="M250" s="163">
        <f>COUNTIFS(' CADASTRO'!$R$746:$R$893,'acab equip'!J250,' CADASTRO'!$S$746:$S$893,'acab equip'!$L$3)+COUNTIFS(' CADASTRO'!$R$746:$R$893,'acab equip'!J250,' CADASTRO'!$S$746:$S$893,'acab equip'!$K$3)</f>
        <v>0</v>
      </c>
      <c r="N250" s="162">
        <f t="shared" si="43"/>
        <v>47458</v>
      </c>
      <c r="O250" s="163">
        <f>COUNTIFS(' CADASTRO'!$S:$S,'acab equip'!$C$3,' CADASTRO'!$R:$R,'acab equip'!N250)</f>
        <v>0</v>
      </c>
      <c r="P250" s="163">
        <f>COUNTIFS(' CADASTRO'!$S:$S,'acab equip'!$D$3,' CADASTRO'!$R:$R,'acab equip'!N250)</f>
        <v>0</v>
      </c>
      <c r="Q250" s="163">
        <f>COUNTIFS(' CADASTRO'!$R$746:$R$893,'acab equip'!N250,' CADASTRO'!$S$746:$S$893,'acab equip'!$P$3)+COUNTIFS(' CADASTRO'!$R$746:$R$893,'acab equip'!N250,' CADASTRO'!$S$746:$S$893,'acab equip'!$O$3)</f>
        <v>0</v>
      </c>
      <c r="R250" s="162">
        <f t="shared" si="44"/>
        <v>47459</v>
      </c>
      <c r="S250" s="163">
        <f>COUNTIFS(' CADASTRO'!$S:$S,'acab equip'!$C$3,' CADASTRO'!$R:$R,'acab equip'!R250)</f>
        <v>0</v>
      </c>
      <c r="T250" s="163">
        <f>COUNTIFS(' CADASTRO'!$S:$S,'acab equip'!$D$3,' CADASTRO'!$R:$R,'acab equip'!R250)</f>
        <v>0</v>
      </c>
      <c r="U250" s="163">
        <f>COUNTIFS(' CADASTRO'!$R$746:$R$893,'acab equip'!R250,' CADASTRO'!$S$746:$S$893,'acab equip'!$T$3)+COUNTIFS(' CADASTRO'!$R$746:$R$893,'acab equip'!R250,' CADASTRO'!$S$746:$S$893,'acab equip'!$S$3)</f>
        <v>0</v>
      </c>
      <c r="V250" s="162">
        <f t="shared" si="45"/>
        <v>47460</v>
      </c>
      <c r="W250" s="163">
        <f>COUNTIFS(' CADASTRO'!$S:$S,'acab equip'!$C$3,' CADASTRO'!$R:$R,'acab equip'!V250)</f>
        <v>0</v>
      </c>
      <c r="X250" s="163">
        <f>COUNTIFS(' CADASTRO'!$S:$S,'acab equip'!$D$3,' CADASTRO'!$R:$R,'acab equip'!V250)</f>
        <v>0</v>
      </c>
      <c r="Y250" s="163">
        <f>COUNTIFS(' CADASTRO'!$R$746:$R$893,'acab equip'!V250,' CADASTRO'!$S$746:$S$893,'acab equip'!$X$3)+COUNTIFS(' CADASTRO'!$R$746:$R$893,'acab equip'!V250,' CADASTRO'!$S$746:$S$893,'acab equip'!$W$3)</f>
        <v>0</v>
      </c>
      <c r="Z250" s="162">
        <f t="shared" si="46"/>
        <v>47461</v>
      </c>
      <c r="AB250" s="165">
        <f t="shared" si="36"/>
        <v>0</v>
      </c>
      <c r="AC250" s="165">
        <f t="shared" si="37"/>
        <v>0</v>
      </c>
      <c r="AD250" s="165">
        <f t="shared" si="38"/>
        <v>0</v>
      </c>
      <c r="AE250" s="177">
        <f t="shared" si="39"/>
        <v>0</v>
      </c>
    </row>
    <row r="251" spans="2:31" x14ac:dyDescent="0.25">
      <c r="B251" s="162">
        <f t="shared" si="40"/>
        <v>47462</v>
      </c>
      <c r="C251" s="163">
        <f>COUNTIFS(' CADASTRO'!$S:$S,'acab equip'!$C$3,' CADASTRO'!$R:$R,'acab equip'!B251)</f>
        <v>0</v>
      </c>
      <c r="D251" s="163">
        <f>COUNTIFS(' CADASTRO'!$S:$S,'acab equip'!$D$3,' CADASTRO'!$R:$R,'acab equip'!B251)</f>
        <v>0</v>
      </c>
      <c r="E251" s="163"/>
      <c r="F251" s="162">
        <f t="shared" si="41"/>
        <v>47463</v>
      </c>
      <c r="G251" s="163">
        <f>COUNTIFS(' CADASTRO'!$S:$S,'acab equip'!$C$3,' CADASTRO'!$R:$R,'acab equip'!F251)</f>
        <v>0</v>
      </c>
      <c r="H251" s="163">
        <f>COUNTIFS(' CADASTRO'!$S:$S,'acab equip'!$D$3,' CADASTRO'!$R:$R,'acab equip'!F251)</f>
        <v>0</v>
      </c>
      <c r="I251" s="163">
        <f>COUNTIFS(' CADASTRO'!$R$746:$R$893,'acab equip'!F251,' CADASTRO'!$S$746:$S$893,'acab equip'!$H$3)+COUNTIFS(' CADASTRO'!$R$746:$R$893,'acab equip'!F251,' CADASTRO'!$S$746:$S$893,'acab equip'!$G$3)</f>
        <v>0</v>
      </c>
      <c r="J251" s="162">
        <f t="shared" si="42"/>
        <v>47464</v>
      </c>
      <c r="K251" s="163">
        <f>COUNTIFS(' CADASTRO'!$S:$S,'acab equip'!$C$3,' CADASTRO'!$R:$R,'acab equip'!J251)</f>
        <v>0</v>
      </c>
      <c r="L251" s="163">
        <f>COUNTIFS(' CADASTRO'!$S:$S,'acab equip'!$D$3,' CADASTRO'!$R:$R,'acab equip'!J251)</f>
        <v>0</v>
      </c>
      <c r="M251" s="163">
        <f>COUNTIFS(' CADASTRO'!$R$746:$R$893,'acab equip'!J251,' CADASTRO'!$S$746:$S$893,'acab equip'!$L$3)+COUNTIFS(' CADASTRO'!$R$746:$R$893,'acab equip'!J251,' CADASTRO'!$S$746:$S$893,'acab equip'!$K$3)</f>
        <v>0</v>
      </c>
      <c r="N251" s="162">
        <f t="shared" si="43"/>
        <v>47465</v>
      </c>
      <c r="O251" s="163">
        <f>COUNTIFS(' CADASTRO'!$S:$S,'acab equip'!$C$3,' CADASTRO'!$R:$R,'acab equip'!N251)</f>
        <v>0</v>
      </c>
      <c r="P251" s="163">
        <f>COUNTIFS(' CADASTRO'!$S:$S,'acab equip'!$D$3,' CADASTRO'!$R:$R,'acab equip'!N251)</f>
        <v>0</v>
      </c>
      <c r="Q251" s="163">
        <f>COUNTIFS(' CADASTRO'!$R$746:$R$893,'acab equip'!N251,' CADASTRO'!$S$746:$S$893,'acab equip'!$P$3)+COUNTIFS(' CADASTRO'!$R$746:$R$893,'acab equip'!N251,' CADASTRO'!$S$746:$S$893,'acab equip'!$O$3)</f>
        <v>0</v>
      </c>
      <c r="R251" s="162">
        <f t="shared" si="44"/>
        <v>47466</v>
      </c>
      <c r="S251" s="163">
        <f>COUNTIFS(' CADASTRO'!$S:$S,'acab equip'!$C$3,' CADASTRO'!$R:$R,'acab equip'!R251)</f>
        <v>0</v>
      </c>
      <c r="T251" s="163">
        <f>COUNTIFS(' CADASTRO'!$S:$S,'acab equip'!$D$3,' CADASTRO'!$R:$R,'acab equip'!R251)</f>
        <v>0</v>
      </c>
      <c r="U251" s="163">
        <f>COUNTIFS(' CADASTRO'!$R$746:$R$893,'acab equip'!R251,' CADASTRO'!$S$746:$S$893,'acab equip'!$T$3)+COUNTIFS(' CADASTRO'!$R$746:$R$893,'acab equip'!R251,' CADASTRO'!$S$746:$S$893,'acab equip'!$S$3)</f>
        <v>0</v>
      </c>
      <c r="V251" s="162">
        <f t="shared" si="45"/>
        <v>47467</v>
      </c>
      <c r="W251" s="163">
        <f>COUNTIFS(' CADASTRO'!$S:$S,'acab equip'!$C$3,' CADASTRO'!$R:$R,'acab equip'!V251)</f>
        <v>0</v>
      </c>
      <c r="X251" s="163">
        <f>COUNTIFS(' CADASTRO'!$S:$S,'acab equip'!$D$3,' CADASTRO'!$R:$R,'acab equip'!V251)</f>
        <v>0</v>
      </c>
      <c r="Y251" s="163">
        <f>COUNTIFS(' CADASTRO'!$R$746:$R$893,'acab equip'!V251,' CADASTRO'!$S$746:$S$893,'acab equip'!$X$3)+COUNTIFS(' CADASTRO'!$R$746:$R$893,'acab equip'!V251,' CADASTRO'!$S$746:$S$893,'acab equip'!$W$3)</f>
        <v>0</v>
      </c>
      <c r="Z251" s="162">
        <f t="shared" si="46"/>
        <v>47468</v>
      </c>
      <c r="AB251" s="165">
        <f t="shared" si="36"/>
        <v>0</v>
      </c>
      <c r="AC251" s="165">
        <f t="shared" si="37"/>
        <v>0</v>
      </c>
      <c r="AD251" s="165">
        <f t="shared" si="38"/>
        <v>0</v>
      </c>
      <c r="AE251" s="177">
        <f t="shared" si="39"/>
        <v>0</v>
      </c>
    </row>
    <row r="252" spans="2:31" x14ac:dyDescent="0.25">
      <c r="B252" s="162">
        <f t="shared" si="40"/>
        <v>47469</v>
      </c>
      <c r="C252" s="163">
        <f>COUNTIFS(' CADASTRO'!$S:$S,'acab equip'!$C$3,' CADASTRO'!$R:$R,'acab equip'!B252)</f>
        <v>0</v>
      </c>
      <c r="D252" s="163">
        <f>COUNTIFS(' CADASTRO'!$S:$S,'acab equip'!$D$3,' CADASTRO'!$R:$R,'acab equip'!B252)</f>
        <v>0</v>
      </c>
      <c r="E252" s="163"/>
      <c r="F252" s="162">
        <f t="shared" si="41"/>
        <v>47470</v>
      </c>
      <c r="G252" s="163">
        <f>COUNTIFS(' CADASTRO'!$S:$S,'acab equip'!$C$3,' CADASTRO'!$R:$R,'acab equip'!F252)</f>
        <v>0</v>
      </c>
      <c r="H252" s="163">
        <f>COUNTIFS(' CADASTRO'!$S:$S,'acab equip'!$D$3,' CADASTRO'!$R:$R,'acab equip'!F252)</f>
        <v>0</v>
      </c>
      <c r="I252" s="163">
        <f>COUNTIFS(' CADASTRO'!$R$746:$R$893,'acab equip'!F252,' CADASTRO'!$S$746:$S$893,'acab equip'!$H$3)+COUNTIFS(' CADASTRO'!$R$746:$R$893,'acab equip'!F252,' CADASTRO'!$S$746:$S$893,'acab equip'!$G$3)</f>
        <v>0</v>
      </c>
      <c r="J252" s="162">
        <f t="shared" si="42"/>
        <v>47471</v>
      </c>
      <c r="K252" s="163">
        <f>COUNTIFS(' CADASTRO'!$S:$S,'acab equip'!$C$3,' CADASTRO'!$R:$R,'acab equip'!J252)</f>
        <v>0</v>
      </c>
      <c r="L252" s="163">
        <f>COUNTIFS(' CADASTRO'!$S:$S,'acab equip'!$D$3,' CADASTRO'!$R:$R,'acab equip'!J252)</f>
        <v>0</v>
      </c>
      <c r="M252" s="163">
        <f>COUNTIFS(' CADASTRO'!$R$746:$R$893,'acab equip'!J252,' CADASTRO'!$S$746:$S$893,'acab equip'!$L$3)+COUNTIFS(' CADASTRO'!$R$746:$R$893,'acab equip'!J252,' CADASTRO'!$S$746:$S$893,'acab equip'!$K$3)</f>
        <v>0</v>
      </c>
      <c r="N252" s="162">
        <f t="shared" si="43"/>
        <v>47472</v>
      </c>
      <c r="O252" s="163">
        <f>COUNTIFS(' CADASTRO'!$S:$S,'acab equip'!$C$3,' CADASTRO'!$R:$R,'acab equip'!N252)</f>
        <v>0</v>
      </c>
      <c r="P252" s="163">
        <f>COUNTIFS(' CADASTRO'!$S:$S,'acab equip'!$D$3,' CADASTRO'!$R:$R,'acab equip'!N252)</f>
        <v>0</v>
      </c>
      <c r="Q252" s="163">
        <f>COUNTIFS(' CADASTRO'!$R$746:$R$893,'acab equip'!N252,' CADASTRO'!$S$746:$S$893,'acab equip'!$P$3)+COUNTIFS(' CADASTRO'!$R$746:$R$893,'acab equip'!N252,' CADASTRO'!$S$746:$S$893,'acab equip'!$O$3)</f>
        <v>0</v>
      </c>
      <c r="R252" s="162">
        <f t="shared" si="44"/>
        <v>47473</v>
      </c>
      <c r="S252" s="163">
        <f>COUNTIFS(' CADASTRO'!$S:$S,'acab equip'!$C$3,' CADASTRO'!$R:$R,'acab equip'!R252)</f>
        <v>0</v>
      </c>
      <c r="T252" s="163">
        <f>COUNTIFS(' CADASTRO'!$S:$S,'acab equip'!$D$3,' CADASTRO'!$R:$R,'acab equip'!R252)</f>
        <v>0</v>
      </c>
      <c r="U252" s="163">
        <f>COUNTIFS(' CADASTRO'!$R$746:$R$893,'acab equip'!R252,' CADASTRO'!$S$746:$S$893,'acab equip'!$T$3)+COUNTIFS(' CADASTRO'!$R$746:$R$893,'acab equip'!R252,' CADASTRO'!$S$746:$S$893,'acab equip'!$S$3)</f>
        <v>0</v>
      </c>
      <c r="V252" s="162">
        <f t="shared" si="45"/>
        <v>47474</v>
      </c>
      <c r="W252" s="163">
        <f>COUNTIFS(' CADASTRO'!$S:$S,'acab equip'!$C$3,' CADASTRO'!$R:$R,'acab equip'!V252)</f>
        <v>0</v>
      </c>
      <c r="X252" s="163">
        <f>COUNTIFS(' CADASTRO'!$S:$S,'acab equip'!$D$3,' CADASTRO'!$R:$R,'acab equip'!V252)</f>
        <v>0</v>
      </c>
      <c r="Y252" s="163">
        <f>COUNTIFS(' CADASTRO'!$R$746:$R$893,'acab equip'!V252,' CADASTRO'!$S$746:$S$893,'acab equip'!$X$3)+COUNTIFS(' CADASTRO'!$R$746:$R$893,'acab equip'!V252,' CADASTRO'!$S$746:$S$893,'acab equip'!$W$3)</f>
        <v>0</v>
      </c>
      <c r="Z252" s="162">
        <f t="shared" si="46"/>
        <v>47475</v>
      </c>
      <c r="AB252" s="165">
        <f t="shared" si="36"/>
        <v>0</v>
      </c>
      <c r="AC252" s="165">
        <f t="shared" si="37"/>
        <v>0</v>
      </c>
      <c r="AD252" s="165">
        <f t="shared" si="38"/>
        <v>0</v>
      </c>
      <c r="AE252" s="177">
        <f t="shared" si="39"/>
        <v>0</v>
      </c>
    </row>
    <row r="253" spans="2:31" x14ac:dyDescent="0.25">
      <c r="B253" s="162">
        <f t="shared" si="40"/>
        <v>47476</v>
      </c>
      <c r="C253" s="163">
        <f>COUNTIFS(' CADASTRO'!$S:$S,'acab equip'!$C$3,' CADASTRO'!$R:$R,'acab equip'!B253)</f>
        <v>0</v>
      </c>
      <c r="D253" s="163">
        <f>COUNTIFS(' CADASTRO'!$S:$S,'acab equip'!$D$3,' CADASTRO'!$R:$R,'acab equip'!B253)</f>
        <v>0</v>
      </c>
      <c r="E253" s="163"/>
      <c r="F253" s="162">
        <f t="shared" si="41"/>
        <v>47477</v>
      </c>
      <c r="G253" s="163">
        <f>COUNTIFS(' CADASTRO'!$S:$S,'acab equip'!$C$3,' CADASTRO'!$R:$R,'acab equip'!F253)</f>
        <v>0</v>
      </c>
      <c r="H253" s="163">
        <f>COUNTIFS(' CADASTRO'!$S:$S,'acab equip'!$D$3,' CADASTRO'!$R:$R,'acab equip'!F253)</f>
        <v>0</v>
      </c>
      <c r="I253" s="163">
        <f>COUNTIFS(' CADASTRO'!$R$746:$R$893,'acab equip'!F253,' CADASTRO'!$S$746:$S$893,'acab equip'!$H$3)+COUNTIFS(' CADASTRO'!$R$746:$R$893,'acab equip'!F253,' CADASTRO'!$S$746:$S$893,'acab equip'!$G$3)</f>
        <v>0</v>
      </c>
      <c r="J253" s="162">
        <f t="shared" si="42"/>
        <v>47478</v>
      </c>
      <c r="K253" s="163">
        <f>COUNTIFS(' CADASTRO'!$S:$S,'acab equip'!$C$3,' CADASTRO'!$R:$R,'acab equip'!J253)</f>
        <v>0</v>
      </c>
      <c r="L253" s="163">
        <f>COUNTIFS(' CADASTRO'!$S:$S,'acab equip'!$D$3,' CADASTRO'!$R:$R,'acab equip'!J253)</f>
        <v>0</v>
      </c>
      <c r="M253" s="163">
        <f>COUNTIFS(' CADASTRO'!$R$746:$R$893,'acab equip'!J253,' CADASTRO'!$S$746:$S$893,'acab equip'!$L$3)+COUNTIFS(' CADASTRO'!$R$746:$R$893,'acab equip'!J253,' CADASTRO'!$S$746:$S$893,'acab equip'!$K$3)</f>
        <v>0</v>
      </c>
      <c r="N253" s="162">
        <f t="shared" si="43"/>
        <v>47479</v>
      </c>
      <c r="O253" s="163">
        <f>COUNTIFS(' CADASTRO'!$S:$S,'acab equip'!$C$3,' CADASTRO'!$R:$R,'acab equip'!N253)</f>
        <v>0</v>
      </c>
      <c r="P253" s="163">
        <f>COUNTIFS(' CADASTRO'!$S:$S,'acab equip'!$D$3,' CADASTRO'!$R:$R,'acab equip'!N253)</f>
        <v>0</v>
      </c>
      <c r="Q253" s="163">
        <f>COUNTIFS(' CADASTRO'!$R$746:$R$893,'acab equip'!N253,' CADASTRO'!$S$746:$S$893,'acab equip'!$P$3)+COUNTIFS(' CADASTRO'!$R$746:$R$893,'acab equip'!N253,' CADASTRO'!$S$746:$S$893,'acab equip'!$O$3)</f>
        <v>0</v>
      </c>
      <c r="R253" s="162">
        <f t="shared" si="44"/>
        <v>47480</v>
      </c>
      <c r="S253" s="163">
        <f>COUNTIFS(' CADASTRO'!$S:$S,'acab equip'!$C$3,' CADASTRO'!$R:$R,'acab equip'!R253)</f>
        <v>0</v>
      </c>
      <c r="T253" s="163">
        <f>COUNTIFS(' CADASTRO'!$S:$S,'acab equip'!$D$3,' CADASTRO'!$R:$R,'acab equip'!R253)</f>
        <v>0</v>
      </c>
      <c r="U253" s="163">
        <f>COUNTIFS(' CADASTRO'!$R$746:$R$893,'acab equip'!R253,' CADASTRO'!$S$746:$S$893,'acab equip'!$T$3)+COUNTIFS(' CADASTRO'!$R$746:$R$893,'acab equip'!R253,' CADASTRO'!$S$746:$S$893,'acab equip'!$S$3)</f>
        <v>0</v>
      </c>
      <c r="V253" s="162">
        <f t="shared" si="45"/>
        <v>47481</v>
      </c>
      <c r="W253" s="163">
        <f>COUNTIFS(' CADASTRO'!$S:$S,'acab equip'!$C$3,' CADASTRO'!$R:$R,'acab equip'!V253)</f>
        <v>0</v>
      </c>
      <c r="X253" s="163">
        <f>COUNTIFS(' CADASTRO'!$S:$S,'acab equip'!$D$3,' CADASTRO'!$R:$R,'acab equip'!V253)</f>
        <v>0</v>
      </c>
      <c r="Y253" s="163">
        <f>COUNTIFS(' CADASTRO'!$R$746:$R$893,'acab equip'!V253,' CADASTRO'!$S$746:$S$893,'acab equip'!$X$3)+COUNTIFS(' CADASTRO'!$R$746:$R$893,'acab equip'!V253,' CADASTRO'!$S$746:$S$893,'acab equip'!$W$3)</f>
        <v>0</v>
      </c>
      <c r="Z253" s="162">
        <f t="shared" si="46"/>
        <v>47482</v>
      </c>
      <c r="AB253" s="165">
        <f t="shared" si="36"/>
        <v>0</v>
      </c>
      <c r="AC253" s="165">
        <f t="shared" si="37"/>
        <v>0</v>
      </c>
      <c r="AD253" s="165">
        <f t="shared" si="38"/>
        <v>0</v>
      </c>
      <c r="AE253" s="177">
        <f t="shared" si="39"/>
        <v>0</v>
      </c>
    </row>
    <row r="254" spans="2:31" x14ac:dyDescent="0.25">
      <c r="B254" s="162">
        <f t="shared" si="40"/>
        <v>47483</v>
      </c>
      <c r="C254" s="163">
        <f>COUNTIFS(' CADASTRO'!$S:$S,'acab equip'!$C$3,' CADASTRO'!$R:$R,'acab equip'!B254)</f>
        <v>0</v>
      </c>
      <c r="D254" s="163">
        <f>COUNTIFS(' CADASTRO'!$S:$S,'acab equip'!$D$3,' CADASTRO'!$R:$R,'acab equip'!B254)</f>
        <v>0</v>
      </c>
      <c r="E254" s="163"/>
      <c r="F254" s="162">
        <f t="shared" si="41"/>
        <v>47484</v>
      </c>
      <c r="G254" s="163">
        <f>COUNTIFS(' CADASTRO'!$S:$S,'acab equip'!$C$3,' CADASTRO'!$R:$R,'acab equip'!F254)</f>
        <v>0</v>
      </c>
      <c r="H254" s="163">
        <f>COUNTIFS(' CADASTRO'!$S:$S,'acab equip'!$D$3,' CADASTRO'!$R:$R,'acab equip'!F254)</f>
        <v>0</v>
      </c>
      <c r="I254" s="163">
        <f>COUNTIFS(' CADASTRO'!$R$746:$R$893,'acab equip'!F254,' CADASTRO'!$S$746:$S$893,'acab equip'!$H$3)+COUNTIFS(' CADASTRO'!$R$746:$R$893,'acab equip'!F254,' CADASTRO'!$S$746:$S$893,'acab equip'!$G$3)</f>
        <v>0</v>
      </c>
      <c r="J254" s="162">
        <f t="shared" si="42"/>
        <v>47485</v>
      </c>
      <c r="K254" s="163">
        <f>COUNTIFS(' CADASTRO'!$S:$S,'acab equip'!$C$3,' CADASTRO'!$R:$R,'acab equip'!J254)</f>
        <v>0</v>
      </c>
      <c r="L254" s="163">
        <f>COUNTIFS(' CADASTRO'!$S:$S,'acab equip'!$D$3,' CADASTRO'!$R:$R,'acab equip'!J254)</f>
        <v>0</v>
      </c>
      <c r="M254" s="163">
        <f>COUNTIFS(' CADASTRO'!$R$746:$R$893,'acab equip'!J254,' CADASTRO'!$S$746:$S$893,'acab equip'!$L$3)+COUNTIFS(' CADASTRO'!$R$746:$R$893,'acab equip'!J254,' CADASTRO'!$S$746:$S$893,'acab equip'!$K$3)</f>
        <v>0</v>
      </c>
      <c r="N254" s="162">
        <f t="shared" si="43"/>
        <v>47486</v>
      </c>
      <c r="O254" s="163">
        <f>COUNTIFS(' CADASTRO'!$S:$S,'acab equip'!$C$3,' CADASTRO'!$R:$R,'acab equip'!N254)</f>
        <v>0</v>
      </c>
      <c r="P254" s="163">
        <f>COUNTIFS(' CADASTRO'!$S:$S,'acab equip'!$D$3,' CADASTRO'!$R:$R,'acab equip'!N254)</f>
        <v>0</v>
      </c>
      <c r="Q254" s="163">
        <f>COUNTIFS(' CADASTRO'!$R$746:$R$893,'acab equip'!N254,' CADASTRO'!$S$746:$S$893,'acab equip'!$P$3)+COUNTIFS(' CADASTRO'!$R$746:$R$893,'acab equip'!N254,' CADASTRO'!$S$746:$S$893,'acab equip'!$O$3)</f>
        <v>0</v>
      </c>
      <c r="R254" s="162">
        <f t="shared" si="44"/>
        <v>47487</v>
      </c>
      <c r="S254" s="163">
        <f>COUNTIFS(' CADASTRO'!$S:$S,'acab equip'!$C$3,' CADASTRO'!$R:$R,'acab equip'!R254)</f>
        <v>0</v>
      </c>
      <c r="T254" s="163">
        <f>COUNTIFS(' CADASTRO'!$S:$S,'acab equip'!$D$3,' CADASTRO'!$R:$R,'acab equip'!R254)</f>
        <v>0</v>
      </c>
      <c r="U254" s="163">
        <f>COUNTIFS(' CADASTRO'!$R$746:$R$893,'acab equip'!R254,' CADASTRO'!$S$746:$S$893,'acab equip'!$T$3)+COUNTIFS(' CADASTRO'!$R$746:$R$893,'acab equip'!R254,' CADASTRO'!$S$746:$S$893,'acab equip'!$S$3)</f>
        <v>0</v>
      </c>
      <c r="V254" s="162">
        <f t="shared" si="45"/>
        <v>47488</v>
      </c>
      <c r="W254" s="163">
        <f>COUNTIFS(' CADASTRO'!$S:$S,'acab equip'!$C$3,' CADASTRO'!$R:$R,'acab equip'!V254)</f>
        <v>0</v>
      </c>
      <c r="X254" s="163">
        <f>COUNTIFS(' CADASTRO'!$S:$S,'acab equip'!$D$3,' CADASTRO'!$R:$R,'acab equip'!V254)</f>
        <v>0</v>
      </c>
      <c r="Y254" s="163">
        <f>COUNTIFS(' CADASTRO'!$R$746:$R$893,'acab equip'!V254,' CADASTRO'!$S$746:$S$893,'acab equip'!$X$3)+COUNTIFS(' CADASTRO'!$R$746:$R$893,'acab equip'!V254,' CADASTRO'!$S$746:$S$893,'acab equip'!$W$3)</f>
        <v>0</v>
      </c>
      <c r="Z254" s="162">
        <f t="shared" si="46"/>
        <v>47489</v>
      </c>
      <c r="AB254" s="165">
        <f t="shared" si="36"/>
        <v>0</v>
      </c>
      <c r="AC254" s="165">
        <f t="shared" si="37"/>
        <v>0</v>
      </c>
      <c r="AD254" s="165">
        <f t="shared" si="38"/>
        <v>0</v>
      </c>
      <c r="AE254" s="177">
        <f t="shared" si="39"/>
        <v>0</v>
      </c>
    </row>
    <row r="255" spans="2:31" x14ac:dyDescent="0.25">
      <c r="B255" s="162">
        <f t="shared" si="40"/>
        <v>47490</v>
      </c>
      <c r="C255" s="163">
        <f>COUNTIFS(' CADASTRO'!$S:$S,'acab equip'!$C$3,' CADASTRO'!$R:$R,'acab equip'!B255)</f>
        <v>0</v>
      </c>
      <c r="D255" s="163">
        <f>COUNTIFS(' CADASTRO'!$S:$S,'acab equip'!$D$3,' CADASTRO'!$R:$R,'acab equip'!B255)</f>
        <v>0</v>
      </c>
      <c r="E255" s="163"/>
      <c r="F255" s="162">
        <f t="shared" si="41"/>
        <v>47491</v>
      </c>
      <c r="G255" s="163">
        <f>COUNTIFS(' CADASTRO'!$S:$S,'acab equip'!$C$3,' CADASTRO'!$R:$R,'acab equip'!F255)</f>
        <v>0</v>
      </c>
      <c r="H255" s="163">
        <f>COUNTIFS(' CADASTRO'!$S:$S,'acab equip'!$D$3,' CADASTRO'!$R:$R,'acab equip'!F255)</f>
        <v>0</v>
      </c>
      <c r="I255" s="163">
        <f>COUNTIFS(' CADASTRO'!$R$746:$R$893,'acab equip'!F255,' CADASTRO'!$S$746:$S$893,'acab equip'!$H$3)+COUNTIFS(' CADASTRO'!$R$746:$R$893,'acab equip'!F255,' CADASTRO'!$S$746:$S$893,'acab equip'!$G$3)</f>
        <v>0</v>
      </c>
      <c r="J255" s="162">
        <f t="shared" si="42"/>
        <v>47492</v>
      </c>
      <c r="K255" s="163">
        <f>COUNTIFS(' CADASTRO'!$S:$S,'acab equip'!$C$3,' CADASTRO'!$R:$R,'acab equip'!J255)</f>
        <v>0</v>
      </c>
      <c r="L255" s="163">
        <f>COUNTIFS(' CADASTRO'!$S:$S,'acab equip'!$D$3,' CADASTRO'!$R:$R,'acab equip'!J255)</f>
        <v>0</v>
      </c>
      <c r="M255" s="163">
        <f>COUNTIFS(' CADASTRO'!$R$746:$R$893,'acab equip'!J255,' CADASTRO'!$S$746:$S$893,'acab equip'!$L$3)+COUNTIFS(' CADASTRO'!$R$746:$R$893,'acab equip'!J255,' CADASTRO'!$S$746:$S$893,'acab equip'!$K$3)</f>
        <v>0</v>
      </c>
      <c r="N255" s="162">
        <f t="shared" si="43"/>
        <v>47493</v>
      </c>
      <c r="O255" s="163">
        <f>COUNTIFS(' CADASTRO'!$S:$S,'acab equip'!$C$3,' CADASTRO'!$R:$R,'acab equip'!N255)</f>
        <v>0</v>
      </c>
      <c r="P255" s="163">
        <f>COUNTIFS(' CADASTRO'!$S:$S,'acab equip'!$D$3,' CADASTRO'!$R:$R,'acab equip'!N255)</f>
        <v>0</v>
      </c>
      <c r="Q255" s="163">
        <f>COUNTIFS(' CADASTRO'!$R$746:$R$893,'acab equip'!N255,' CADASTRO'!$S$746:$S$893,'acab equip'!$P$3)+COUNTIFS(' CADASTRO'!$R$746:$R$893,'acab equip'!N255,' CADASTRO'!$S$746:$S$893,'acab equip'!$O$3)</f>
        <v>0</v>
      </c>
      <c r="R255" s="162">
        <f t="shared" si="44"/>
        <v>47494</v>
      </c>
      <c r="S255" s="163">
        <f>COUNTIFS(' CADASTRO'!$S:$S,'acab equip'!$C$3,' CADASTRO'!$R:$R,'acab equip'!R255)</f>
        <v>0</v>
      </c>
      <c r="T255" s="163">
        <f>COUNTIFS(' CADASTRO'!$S:$S,'acab equip'!$D$3,' CADASTRO'!$R:$R,'acab equip'!R255)</f>
        <v>0</v>
      </c>
      <c r="U255" s="163">
        <f>COUNTIFS(' CADASTRO'!$R$746:$R$893,'acab equip'!R255,' CADASTRO'!$S$746:$S$893,'acab equip'!$T$3)+COUNTIFS(' CADASTRO'!$R$746:$R$893,'acab equip'!R255,' CADASTRO'!$S$746:$S$893,'acab equip'!$S$3)</f>
        <v>0</v>
      </c>
      <c r="V255" s="162">
        <f t="shared" si="45"/>
        <v>47495</v>
      </c>
      <c r="W255" s="163">
        <f>COUNTIFS(' CADASTRO'!$S:$S,'acab equip'!$C$3,' CADASTRO'!$R:$R,'acab equip'!V255)</f>
        <v>0</v>
      </c>
      <c r="X255" s="163">
        <f>COUNTIFS(' CADASTRO'!$S:$S,'acab equip'!$D$3,' CADASTRO'!$R:$R,'acab equip'!V255)</f>
        <v>0</v>
      </c>
      <c r="Y255" s="163">
        <f>COUNTIFS(' CADASTRO'!$R$746:$R$893,'acab equip'!V255,' CADASTRO'!$S$746:$S$893,'acab equip'!$X$3)+COUNTIFS(' CADASTRO'!$R$746:$R$893,'acab equip'!V255,' CADASTRO'!$S$746:$S$893,'acab equip'!$W$3)</f>
        <v>0</v>
      </c>
      <c r="Z255" s="162">
        <f t="shared" si="46"/>
        <v>47496</v>
      </c>
      <c r="AB255" s="165">
        <f t="shared" si="36"/>
        <v>0</v>
      </c>
      <c r="AC255" s="165">
        <f t="shared" si="37"/>
        <v>0</v>
      </c>
      <c r="AD255" s="165">
        <f t="shared" si="38"/>
        <v>0</v>
      </c>
      <c r="AE255" s="177">
        <f t="shared" si="39"/>
        <v>0</v>
      </c>
    </row>
    <row r="256" spans="2:31" x14ac:dyDescent="0.25">
      <c r="B256" s="162">
        <f t="shared" si="40"/>
        <v>47497</v>
      </c>
      <c r="C256" s="163">
        <f>COUNTIFS(' CADASTRO'!$S:$S,'acab equip'!$C$3,' CADASTRO'!$R:$R,'acab equip'!B256)</f>
        <v>0</v>
      </c>
      <c r="D256" s="163">
        <f>COUNTIFS(' CADASTRO'!$S:$S,'acab equip'!$D$3,' CADASTRO'!$R:$R,'acab equip'!B256)</f>
        <v>0</v>
      </c>
      <c r="E256" s="163"/>
      <c r="F256" s="162">
        <f t="shared" si="41"/>
        <v>47498</v>
      </c>
      <c r="G256" s="163">
        <f>COUNTIFS(' CADASTRO'!$S:$S,'acab equip'!$C$3,' CADASTRO'!$R:$R,'acab equip'!F256)</f>
        <v>0</v>
      </c>
      <c r="H256" s="163">
        <f>COUNTIFS(' CADASTRO'!$S:$S,'acab equip'!$D$3,' CADASTRO'!$R:$R,'acab equip'!F256)</f>
        <v>0</v>
      </c>
      <c r="I256" s="163">
        <f>COUNTIFS(' CADASTRO'!$R$746:$R$893,'acab equip'!F256,' CADASTRO'!$S$746:$S$893,'acab equip'!$H$3)+COUNTIFS(' CADASTRO'!$R$746:$R$893,'acab equip'!F256,' CADASTRO'!$S$746:$S$893,'acab equip'!$G$3)</f>
        <v>0</v>
      </c>
      <c r="J256" s="162">
        <f t="shared" si="42"/>
        <v>47499</v>
      </c>
      <c r="K256" s="163">
        <f>COUNTIFS(' CADASTRO'!$S:$S,'acab equip'!$C$3,' CADASTRO'!$R:$R,'acab equip'!J256)</f>
        <v>0</v>
      </c>
      <c r="L256" s="163">
        <f>COUNTIFS(' CADASTRO'!$S:$S,'acab equip'!$D$3,' CADASTRO'!$R:$R,'acab equip'!J256)</f>
        <v>0</v>
      </c>
      <c r="M256" s="163">
        <f>COUNTIFS(' CADASTRO'!$R$746:$R$893,'acab equip'!J256,' CADASTRO'!$S$746:$S$893,'acab equip'!$L$3)+COUNTIFS(' CADASTRO'!$R$746:$R$893,'acab equip'!J256,' CADASTRO'!$S$746:$S$893,'acab equip'!$K$3)</f>
        <v>0</v>
      </c>
      <c r="N256" s="162">
        <f t="shared" si="43"/>
        <v>47500</v>
      </c>
      <c r="O256" s="163">
        <f>COUNTIFS(' CADASTRO'!$S:$S,'acab equip'!$C$3,' CADASTRO'!$R:$R,'acab equip'!N256)</f>
        <v>0</v>
      </c>
      <c r="P256" s="163">
        <f>COUNTIFS(' CADASTRO'!$S:$S,'acab equip'!$D$3,' CADASTRO'!$R:$R,'acab equip'!N256)</f>
        <v>0</v>
      </c>
      <c r="Q256" s="163">
        <f>COUNTIFS(' CADASTRO'!$R$746:$R$893,'acab equip'!N256,' CADASTRO'!$S$746:$S$893,'acab equip'!$P$3)+COUNTIFS(' CADASTRO'!$R$746:$R$893,'acab equip'!N256,' CADASTRO'!$S$746:$S$893,'acab equip'!$O$3)</f>
        <v>0</v>
      </c>
      <c r="R256" s="162">
        <f t="shared" si="44"/>
        <v>47501</v>
      </c>
      <c r="S256" s="163">
        <f>COUNTIFS(' CADASTRO'!$S:$S,'acab equip'!$C$3,' CADASTRO'!$R:$R,'acab equip'!R256)</f>
        <v>0</v>
      </c>
      <c r="T256" s="163">
        <f>COUNTIFS(' CADASTRO'!$S:$S,'acab equip'!$D$3,' CADASTRO'!$R:$R,'acab equip'!R256)</f>
        <v>0</v>
      </c>
      <c r="U256" s="163">
        <f>COUNTIFS(' CADASTRO'!$R$746:$R$893,'acab equip'!R256,' CADASTRO'!$S$746:$S$893,'acab equip'!$T$3)+COUNTIFS(' CADASTRO'!$R$746:$R$893,'acab equip'!R256,' CADASTRO'!$S$746:$S$893,'acab equip'!$S$3)</f>
        <v>0</v>
      </c>
      <c r="V256" s="162">
        <f t="shared" si="45"/>
        <v>47502</v>
      </c>
      <c r="W256" s="163">
        <f>COUNTIFS(' CADASTRO'!$S:$S,'acab equip'!$C$3,' CADASTRO'!$R:$R,'acab equip'!V256)</f>
        <v>0</v>
      </c>
      <c r="X256" s="163">
        <f>COUNTIFS(' CADASTRO'!$S:$S,'acab equip'!$D$3,' CADASTRO'!$R:$R,'acab equip'!V256)</f>
        <v>0</v>
      </c>
      <c r="Y256" s="163">
        <f>COUNTIFS(' CADASTRO'!$R$746:$R$893,'acab equip'!V256,' CADASTRO'!$S$746:$S$893,'acab equip'!$X$3)+COUNTIFS(' CADASTRO'!$R$746:$R$893,'acab equip'!V256,' CADASTRO'!$S$746:$S$893,'acab equip'!$W$3)</f>
        <v>0</v>
      </c>
      <c r="Z256" s="162">
        <f t="shared" si="46"/>
        <v>47503</v>
      </c>
      <c r="AB256" s="165">
        <f t="shared" si="36"/>
        <v>0</v>
      </c>
      <c r="AC256" s="165">
        <f t="shared" si="37"/>
        <v>0</v>
      </c>
      <c r="AD256" s="165">
        <f t="shared" si="38"/>
        <v>0</v>
      </c>
      <c r="AE256" s="177">
        <f t="shared" si="39"/>
        <v>0</v>
      </c>
    </row>
    <row r="257" spans="2:31" x14ac:dyDescent="0.25">
      <c r="B257" s="162">
        <f t="shared" si="40"/>
        <v>47504</v>
      </c>
      <c r="C257" s="163">
        <f>COUNTIFS(' CADASTRO'!$S:$S,'acab equip'!$C$3,' CADASTRO'!$R:$R,'acab equip'!B257)</f>
        <v>0</v>
      </c>
      <c r="D257" s="163">
        <f>COUNTIFS(' CADASTRO'!$S:$S,'acab equip'!$D$3,' CADASTRO'!$R:$R,'acab equip'!B257)</f>
        <v>0</v>
      </c>
      <c r="E257" s="163"/>
      <c r="F257" s="162">
        <f t="shared" si="41"/>
        <v>47505</v>
      </c>
      <c r="G257" s="163">
        <f>COUNTIFS(' CADASTRO'!$S:$S,'acab equip'!$C$3,' CADASTRO'!$R:$R,'acab equip'!F257)</f>
        <v>0</v>
      </c>
      <c r="H257" s="163">
        <f>COUNTIFS(' CADASTRO'!$S:$S,'acab equip'!$D$3,' CADASTRO'!$R:$R,'acab equip'!F257)</f>
        <v>0</v>
      </c>
      <c r="I257" s="163">
        <f>COUNTIFS(' CADASTRO'!$R$746:$R$893,'acab equip'!F257,' CADASTRO'!$S$746:$S$893,'acab equip'!$H$3)+COUNTIFS(' CADASTRO'!$R$746:$R$893,'acab equip'!F257,' CADASTRO'!$S$746:$S$893,'acab equip'!$G$3)</f>
        <v>0</v>
      </c>
      <c r="J257" s="162">
        <f t="shared" si="42"/>
        <v>47506</v>
      </c>
      <c r="K257" s="163">
        <f>COUNTIFS(' CADASTRO'!$S:$S,'acab equip'!$C$3,' CADASTRO'!$R:$R,'acab equip'!J257)</f>
        <v>0</v>
      </c>
      <c r="L257" s="163">
        <f>COUNTIFS(' CADASTRO'!$S:$S,'acab equip'!$D$3,' CADASTRO'!$R:$R,'acab equip'!J257)</f>
        <v>0</v>
      </c>
      <c r="M257" s="163">
        <f>COUNTIFS(' CADASTRO'!$R$746:$R$893,'acab equip'!J257,' CADASTRO'!$S$746:$S$893,'acab equip'!$L$3)+COUNTIFS(' CADASTRO'!$R$746:$R$893,'acab equip'!J257,' CADASTRO'!$S$746:$S$893,'acab equip'!$K$3)</f>
        <v>0</v>
      </c>
      <c r="N257" s="162">
        <f t="shared" si="43"/>
        <v>47507</v>
      </c>
      <c r="O257" s="163">
        <f>COUNTIFS(' CADASTRO'!$S:$S,'acab equip'!$C$3,' CADASTRO'!$R:$R,'acab equip'!N257)</f>
        <v>0</v>
      </c>
      <c r="P257" s="163">
        <f>COUNTIFS(' CADASTRO'!$S:$S,'acab equip'!$D$3,' CADASTRO'!$R:$R,'acab equip'!N257)</f>
        <v>0</v>
      </c>
      <c r="Q257" s="163">
        <f>COUNTIFS(' CADASTRO'!$R$746:$R$893,'acab equip'!N257,' CADASTRO'!$S$746:$S$893,'acab equip'!$P$3)+COUNTIFS(' CADASTRO'!$R$746:$R$893,'acab equip'!N257,' CADASTRO'!$S$746:$S$893,'acab equip'!$O$3)</f>
        <v>0</v>
      </c>
      <c r="R257" s="162">
        <f t="shared" si="44"/>
        <v>47508</v>
      </c>
      <c r="S257" s="163">
        <f>COUNTIFS(' CADASTRO'!$S:$S,'acab equip'!$C$3,' CADASTRO'!$R:$R,'acab equip'!R257)</f>
        <v>0</v>
      </c>
      <c r="T257" s="163">
        <f>COUNTIFS(' CADASTRO'!$S:$S,'acab equip'!$D$3,' CADASTRO'!$R:$R,'acab equip'!R257)</f>
        <v>0</v>
      </c>
      <c r="U257" s="163">
        <f>COUNTIFS(' CADASTRO'!$R$746:$R$893,'acab equip'!R257,' CADASTRO'!$S$746:$S$893,'acab equip'!$T$3)+COUNTIFS(' CADASTRO'!$R$746:$R$893,'acab equip'!R257,' CADASTRO'!$S$746:$S$893,'acab equip'!$S$3)</f>
        <v>0</v>
      </c>
      <c r="V257" s="162">
        <f t="shared" si="45"/>
        <v>47509</v>
      </c>
      <c r="W257" s="163">
        <f>COUNTIFS(' CADASTRO'!$S:$S,'acab equip'!$C$3,' CADASTRO'!$R:$R,'acab equip'!V257)</f>
        <v>0</v>
      </c>
      <c r="X257" s="163">
        <f>COUNTIFS(' CADASTRO'!$S:$S,'acab equip'!$D$3,' CADASTRO'!$R:$R,'acab equip'!V257)</f>
        <v>0</v>
      </c>
      <c r="Y257" s="163">
        <f>COUNTIFS(' CADASTRO'!$R$746:$R$893,'acab equip'!V257,' CADASTRO'!$S$746:$S$893,'acab equip'!$X$3)+COUNTIFS(' CADASTRO'!$R$746:$R$893,'acab equip'!V257,' CADASTRO'!$S$746:$S$893,'acab equip'!$W$3)</f>
        <v>0</v>
      </c>
      <c r="Z257" s="162">
        <f t="shared" si="46"/>
        <v>47510</v>
      </c>
      <c r="AB257" s="165">
        <f t="shared" si="36"/>
        <v>0</v>
      </c>
      <c r="AC257" s="165">
        <f t="shared" si="37"/>
        <v>0</v>
      </c>
      <c r="AD257" s="165">
        <f t="shared" si="38"/>
        <v>0</v>
      </c>
      <c r="AE257" s="177">
        <f t="shared" si="39"/>
        <v>0</v>
      </c>
    </row>
    <row r="258" spans="2:31" x14ac:dyDescent="0.25">
      <c r="B258" s="162">
        <f t="shared" si="40"/>
        <v>47511</v>
      </c>
      <c r="C258" s="163">
        <f>COUNTIFS(' CADASTRO'!$S:$S,'acab equip'!$C$3,' CADASTRO'!$R:$R,'acab equip'!B258)</f>
        <v>0</v>
      </c>
      <c r="D258" s="163">
        <f>COUNTIFS(' CADASTRO'!$S:$S,'acab equip'!$D$3,' CADASTRO'!$R:$R,'acab equip'!B258)</f>
        <v>0</v>
      </c>
      <c r="E258" s="163"/>
      <c r="F258" s="162">
        <f t="shared" si="41"/>
        <v>47512</v>
      </c>
      <c r="G258" s="163">
        <f>COUNTIFS(' CADASTRO'!$S:$S,'acab equip'!$C$3,' CADASTRO'!$R:$R,'acab equip'!F258)</f>
        <v>0</v>
      </c>
      <c r="H258" s="163">
        <f>COUNTIFS(' CADASTRO'!$S:$S,'acab equip'!$D$3,' CADASTRO'!$R:$R,'acab equip'!F258)</f>
        <v>0</v>
      </c>
      <c r="I258" s="163"/>
      <c r="J258" s="162">
        <f t="shared" si="42"/>
        <v>47513</v>
      </c>
      <c r="K258" s="163">
        <f>COUNTIFS(' CADASTRO'!$S:$S,'acab equip'!$C$3,' CADASTRO'!$R:$R,'acab equip'!J258)</f>
        <v>0</v>
      </c>
      <c r="L258" s="163">
        <f>COUNTIFS(' CADASTRO'!$S:$S,'acab equip'!$D$3,' CADASTRO'!$R:$R,'acab equip'!J258)</f>
        <v>0</v>
      </c>
      <c r="M258" s="163">
        <f>COUNTIFS(' CADASTRO'!$R$746:$R$893,'acab equip'!J258,' CADASTRO'!$S$746:$S$893,'acab equip'!$L$3)+COUNTIFS(' CADASTRO'!$R$746:$R$893,'acab equip'!J258,' CADASTRO'!$S$746:$S$893,'acab equip'!$K$3)</f>
        <v>0</v>
      </c>
      <c r="N258" s="162">
        <f t="shared" si="43"/>
        <v>47514</v>
      </c>
      <c r="O258" s="163">
        <f>COUNTIFS(' CADASTRO'!$S:$S,'acab equip'!$C$3,' CADASTRO'!$R:$R,'acab equip'!N258)</f>
        <v>0</v>
      </c>
      <c r="P258" s="163">
        <f>COUNTIFS(' CADASTRO'!$S:$S,'acab equip'!$D$3,' CADASTRO'!$R:$R,'acab equip'!N258)</f>
        <v>0</v>
      </c>
      <c r="Q258" s="163">
        <f>COUNTIFS(' CADASTRO'!$R$746:$R$893,'acab equip'!N258,' CADASTRO'!$S$746:$S$893,'acab equip'!$P$3)+COUNTIFS(' CADASTRO'!$R$746:$R$893,'acab equip'!N258,' CADASTRO'!$S$746:$S$893,'acab equip'!$O$3)</f>
        <v>0</v>
      </c>
      <c r="R258" s="162">
        <f t="shared" si="44"/>
        <v>47515</v>
      </c>
      <c r="S258" s="163">
        <f>COUNTIFS(' CADASTRO'!$S:$S,'acab equip'!$C$3,' CADASTRO'!$R:$R,'acab equip'!R258)</f>
        <v>0</v>
      </c>
      <c r="T258" s="163">
        <f>COUNTIFS(' CADASTRO'!$S:$S,'acab equip'!$D$3,' CADASTRO'!$R:$R,'acab equip'!R258)</f>
        <v>0</v>
      </c>
      <c r="U258" s="163">
        <f>COUNTIFS(' CADASTRO'!$R$746:$R$893,'acab equip'!R258,' CADASTRO'!$S$746:$S$893,'acab equip'!$T$3)+COUNTIFS(' CADASTRO'!$R$746:$R$893,'acab equip'!R258,' CADASTRO'!$S$746:$S$893,'acab equip'!$S$3)</f>
        <v>0</v>
      </c>
      <c r="V258" s="162">
        <f t="shared" si="45"/>
        <v>47516</v>
      </c>
      <c r="W258" s="163">
        <f>COUNTIFS(' CADASTRO'!$S:$S,'acab equip'!$C$3,' CADASTRO'!$R:$R,'acab equip'!V258)</f>
        <v>0</v>
      </c>
      <c r="X258" s="163">
        <f>COUNTIFS(' CADASTRO'!$S:$S,'acab equip'!$D$3,' CADASTRO'!$R:$R,'acab equip'!V258)</f>
        <v>0</v>
      </c>
      <c r="Y258" s="163">
        <f>COUNTIFS(' CADASTRO'!$R$746:$R$893,'acab equip'!V258,' CADASTRO'!$S$746:$S$893,'acab equip'!$X$3)+COUNTIFS(' CADASTRO'!$R$746:$R$893,'acab equip'!V258,' CADASTRO'!$S$746:$S$893,'acab equip'!$W$3)</f>
        <v>0</v>
      </c>
      <c r="Z258" s="162">
        <f t="shared" si="46"/>
        <v>47517</v>
      </c>
      <c r="AB258" s="165">
        <f t="shared" si="36"/>
        <v>0</v>
      </c>
      <c r="AC258" s="165">
        <f t="shared" si="37"/>
        <v>0</v>
      </c>
      <c r="AD258" s="165">
        <f t="shared" si="38"/>
        <v>0</v>
      </c>
      <c r="AE258" s="177">
        <f t="shared" si="39"/>
        <v>0</v>
      </c>
    </row>
    <row r="259" spans="2:31" x14ac:dyDescent="0.25">
      <c r="B259" s="162">
        <f t="shared" si="40"/>
        <v>47518</v>
      </c>
      <c r="C259" s="163">
        <f>COUNTIFS(' CADASTRO'!$S:$S,'acab equip'!$C$3,' CADASTRO'!$R:$R,'acab equip'!B259)</f>
        <v>0</v>
      </c>
      <c r="D259" s="163">
        <f>COUNTIFS(' CADASTRO'!$S:$S,'acab equip'!$D$3,' CADASTRO'!$R:$R,'acab equip'!B259)</f>
        <v>0</v>
      </c>
      <c r="E259" s="163"/>
      <c r="F259" s="162">
        <f t="shared" si="41"/>
        <v>47519</v>
      </c>
      <c r="G259" s="163">
        <f>COUNTIFS(' CADASTRO'!$S:$S,'acab equip'!$C$3,' CADASTRO'!$R:$R,'acab equip'!F259)</f>
        <v>0</v>
      </c>
      <c r="H259" s="163">
        <f>COUNTIFS(' CADASTRO'!$S:$S,'acab equip'!$D$3,' CADASTRO'!$R:$R,'acab equip'!F259)</f>
        <v>0</v>
      </c>
      <c r="I259" s="163"/>
      <c r="J259" s="162">
        <f t="shared" si="42"/>
        <v>47520</v>
      </c>
      <c r="K259" s="163">
        <f>COUNTIFS(' CADASTRO'!$S:$S,'acab equip'!$C$3,' CADASTRO'!$R:$R,'acab equip'!J259)</f>
        <v>0</v>
      </c>
      <c r="L259" s="163">
        <f>COUNTIFS(' CADASTRO'!$S:$S,'acab equip'!$D$3,' CADASTRO'!$R:$R,'acab equip'!J259)</f>
        <v>0</v>
      </c>
      <c r="M259" s="163">
        <f>COUNTIFS(' CADASTRO'!$R$746:$R$893,'acab equip'!J259,' CADASTRO'!$S$746:$S$893,'acab equip'!$L$3)+COUNTIFS(' CADASTRO'!$R$746:$R$893,'acab equip'!J259,' CADASTRO'!$S$746:$S$893,'acab equip'!$K$3)</f>
        <v>0</v>
      </c>
      <c r="N259" s="162">
        <f t="shared" si="43"/>
        <v>47521</v>
      </c>
      <c r="O259" s="163">
        <f>COUNTIFS(' CADASTRO'!$S:$S,'acab equip'!$C$3,' CADASTRO'!$R:$R,'acab equip'!N259)</f>
        <v>0</v>
      </c>
      <c r="P259" s="163">
        <f>COUNTIFS(' CADASTRO'!$S:$S,'acab equip'!$D$3,' CADASTRO'!$R:$R,'acab equip'!N259)</f>
        <v>0</v>
      </c>
      <c r="Q259" s="163">
        <f>COUNTIFS(' CADASTRO'!$R$746:$R$893,'acab equip'!N259,' CADASTRO'!$S$746:$S$893,'acab equip'!$P$3)+COUNTIFS(' CADASTRO'!$R$746:$R$893,'acab equip'!N259,' CADASTRO'!$S$746:$S$893,'acab equip'!$O$3)</f>
        <v>0</v>
      </c>
      <c r="R259" s="162">
        <f t="shared" si="44"/>
        <v>47522</v>
      </c>
      <c r="S259" s="163">
        <f>COUNTIFS(' CADASTRO'!$S:$S,'acab equip'!$C$3,' CADASTRO'!$R:$R,'acab equip'!R259)</f>
        <v>0</v>
      </c>
      <c r="T259" s="163">
        <f>COUNTIFS(' CADASTRO'!$S:$S,'acab equip'!$D$3,' CADASTRO'!$R:$R,'acab equip'!R259)</f>
        <v>0</v>
      </c>
      <c r="U259" s="163">
        <f>COUNTIFS(' CADASTRO'!$R$746:$R$893,'acab equip'!R259,' CADASTRO'!$S$746:$S$893,'acab equip'!$T$3)+COUNTIFS(' CADASTRO'!$R$746:$R$893,'acab equip'!R259,' CADASTRO'!$S$746:$S$893,'acab equip'!$S$3)</f>
        <v>0</v>
      </c>
      <c r="V259" s="162">
        <f t="shared" si="45"/>
        <v>47523</v>
      </c>
      <c r="W259" s="163">
        <f>COUNTIFS(' CADASTRO'!$S:$S,'acab equip'!$C$3,' CADASTRO'!$R:$R,'acab equip'!V259)</f>
        <v>0</v>
      </c>
      <c r="X259" s="163">
        <f>COUNTIFS(' CADASTRO'!$S:$S,'acab equip'!$D$3,' CADASTRO'!$R:$R,'acab equip'!V259)</f>
        <v>0</v>
      </c>
      <c r="Y259" s="163">
        <f>COUNTIFS(' CADASTRO'!$R$746:$R$893,'acab equip'!V259,' CADASTRO'!$S$746:$S$893,'acab equip'!$X$3)+COUNTIFS(' CADASTRO'!$R$746:$R$893,'acab equip'!V259,' CADASTRO'!$S$746:$S$893,'acab equip'!$W$3)</f>
        <v>0</v>
      </c>
      <c r="Z259" s="162">
        <f t="shared" si="46"/>
        <v>47524</v>
      </c>
      <c r="AB259" s="165">
        <f t="shared" si="36"/>
        <v>0</v>
      </c>
      <c r="AC259" s="165">
        <f t="shared" si="37"/>
        <v>0</v>
      </c>
      <c r="AD259" s="165">
        <f t="shared" si="38"/>
        <v>0</v>
      </c>
      <c r="AE259" s="177">
        <f t="shared" si="39"/>
        <v>0</v>
      </c>
    </row>
    <row r="260" spans="2:31" x14ac:dyDescent="0.25">
      <c r="B260" s="162">
        <f t="shared" si="40"/>
        <v>47525</v>
      </c>
      <c r="C260" s="163">
        <f>COUNTIFS(' CADASTRO'!$S:$S,'acab equip'!$C$3,' CADASTRO'!$R:$R,'acab equip'!B260)</f>
        <v>0</v>
      </c>
      <c r="D260" s="163">
        <f>COUNTIFS(' CADASTRO'!$S:$S,'acab equip'!$D$3,' CADASTRO'!$R:$R,'acab equip'!B260)</f>
        <v>0</v>
      </c>
      <c r="E260" s="163"/>
      <c r="F260" s="162">
        <f t="shared" si="41"/>
        <v>47526</v>
      </c>
      <c r="G260" s="163">
        <f>COUNTIFS(' CADASTRO'!$S:$S,'acab equip'!$C$3,' CADASTRO'!$R:$R,'acab equip'!F260)</f>
        <v>0</v>
      </c>
      <c r="H260" s="163">
        <f>COUNTIFS(' CADASTRO'!$S:$S,'acab equip'!$D$3,' CADASTRO'!$R:$R,'acab equip'!F260)</f>
        <v>0</v>
      </c>
      <c r="I260" s="163"/>
      <c r="J260" s="162">
        <f t="shared" si="42"/>
        <v>47527</v>
      </c>
      <c r="K260" s="163">
        <f>COUNTIFS(' CADASTRO'!$S:$S,'acab equip'!$C$3,' CADASTRO'!$R:$R,'acab equip'!J260)</f>
        <v>0</v>
      </c>
      <c r="L260" s="163">
        <f>COUNTIFS(' CADASTRO'!$S:$S,'acab equip'!$D$3,' CADASTRO'!$R:$R,'acab equip'!J260)</f>
        <v>0</v>
      </c>
      <c r="M260" s="163">
        <f>COUNTIFS(' CADASTRO'!$R$746:$R$893,'acab equip'!J260,' CADASTRO'!$S$746:$S$893,'acab equip'!$L$3)+COUNTIFS(' CADASTRO'!$R$746:$R$893,'acab equip'!J260,' CADASTRO'!$S$746:$S$893,'acab equip'!$K$3)</f>
        <v>0</v>
      </c>
      <c r="N260" s="162">
        <f t="shared" si="43"/>
        <v>47528</v>
      </c>
      <c r="O260" s="163">
        <f>COUNTIFS(' CADASTRO'!$S:$S,'acab equip'!$C$3,' CADASTRO'!$R:$R,'acab equip'!N260)</f>
        <v>0</v>
      </c>
      <c r="P260" s="163">
        <f>COUNTIFS(' CADASTRO'!$S:$S,'acab equip'!$D$3,' CADASTRO'!$R:$R,'acab equip'!N260)</f>
        <v>0</v>
      </c>
      <c r="Q260" s="163">
        <f>COUNTIFS(' CADASTRO'!$R$746:$R$893,'acab equip'!N260,' CADASTRO'!$S$746:$S$893,'acab equip'!$P$3)+COUNTIFS(' CADASTRO'!$R$746:$R$893,'acab equip'!N260,' CADASTRO'!$S$746:$S$893,'acab equip'!$O$3)</f>
        <v>0</v>
      </c>
      <c r="R260" s="162">
        <f t="shared" si="44"/>
        <v>47529</v>
      </c>
      <c r="S260" s="163">
        <f>COUNTIFS(' CADASTRO'!$S:$S,'acab equip'!$C$3,' CADASTRO'!$R:$R,'acab equip'!R260)</f>
        <v>0</v>
      </c>
      <c r="T260" s="163">
        <f>COUNTIFS(' CADASTRO'!$S:$S,'acab equip'!$D$3,' CADASTRO'!$R:$R,'acab equip'!R260)</f>
        <v>0</v>
      </c>
      <c r="U260" s="163">
        <f>COUNTIFS(' CADASTRO'!$R$746:$R$893,'acab equip'!R260,' CADASTRO'!$S$746:$S$893,'acab equip'!$T$3)+COUNTIFS(' CADASTRO'!$R$746:$R$893,'acab equip'!R260,' CADASTRO'!$S$746:$S$893,'acab equip'!$S$3)</f>
        <v>0</v>
      </c>
      <c r="V260" s="162">
        <f t="shared" si="45"/>
        <v>47530</v>
      </c>
      <c r="W260" s="163">
        <f>COUNTIFS(' CADASTRO'!$S:$S,'acab equip'!$C$3,' CADASTRO'!$R:$R,'acab equip'!V260)</f>
        <v>0</v>
      </c>
      <c r="X260" s="163">
        <f>COUNTIFS(' CADASTRO'!$S:$S,'acab equip'!$D$3,' CADASTRO'!$R:$R,'acab equip'!V260)</f>
        <v>0</v>
      </c>
      <c r="Y260" s="163">
        <f>COUNTIFS(' CADASTRO'!$R$746:$R$893,'acab equip'!V260,' CADASTRO'!$S$746:$S$893,'acab equip'!$X$3)+COUNTIFS(' CADASTRO'!$R$746:$R$893,'acab equip'!V260,' CADASTRO'!$S$746:$S$893,'acab equip'!$W$3)</f>
        <v>0</v>
      </c>
      <c r="Z260" s="162">
        <f t="shared" si="46"/>
        <v>47531</v>
      </c>
      <c r="AB260" s="165">
        <f t="shared" ref="AB260:AB305" si="47">C260+G260+K260+O260+S260+W260</f>
        <v>0</v>
      </c>
      <c r="AC260" s="165">
        <f t="shared" si="37"/>
        <v>0</v>
      </c>
      <c r="AD260" s="165">
        <f t="shared" si="38"/>
        <v>0</v>
      </c>
      <c r="AE260" s="177">
        <f t="shared" si="39"/>
        <v>0</v>
      </c>
    </row>
    <row r="261" spans="2:31" x14ac:dyDescent="0.25">
      <c r="B261" s="162">
        <f t="shared" si="40"/>
        <v>47532</v>
      </c>
      <c r="C261" s="163">
        <f>COUNTIFS(' CADASTRO'!$S:$S,'acab equip'!$C$3,' CADASTRO'!$R:$R,'acab equip'!B261)</f>
        <v>0</v>
      </c>
      <c r="D261" s="163">
        <f>COUNTIFS(' CADASTRO'!$S:$S,'acab equip'!$D$3,' CADASTRO'!$R:$R,'acab equip'!B261)</f>
        <v>0</v>
      </c>
      <c r="E261" s="163"/>
      <c r="F261" s="162">
        <f t="shared" si="41"/>
        <v>47533</v>
      </c>
      <c r="G261" s="163">
        <f>COUNTIFS(' CADASTRO'!$S:$S,'acab equip'!$C$3,' CADASTRO'!$R:$R,'acab equip'!F261)</f>
        <v>0</v>
      </c>
      <c r="H261" s="163">
        <f>COUNTIFS(' CADASTRO'!$S:$S,'acab equip'!$D$3,' CADASTRO'!$R:$R,'acab equip'!F261)</f>
        <v>0</v>
      </c>
      <c r="I261" s="163"/>
      <c r="J261" s="162">
        <f t="shared" si="42"/>
        <v>47534</v>
      </c>
      <c r="K261" s="163">
        <f>COUNTIFS(' CADASTRO'!$S:$S,'acab equip'!$C$3,' CADASTRO'!$R:$R,'acab equip'!J261)</f>
        <v>0</v>
      </c>
      <c r="L261" s="163">
        <f>COUNTIFS(' CADASTRO'!$S:$S,'acab equip'!$D$3,' CADASTRO'!$R:$R,'acab equip'!J261)</f>
        <v>0</v>
      </c>
      <c r="M261" s="163">
        <f>COUNTIFS(' CADASTRO'!$R$746:$R$893,'acab equip'!J261,' CADASTRO'!$S$746:$S$893,'acab equip'!$L$3)+COUNTIFS(' CADASTRO'!$R$746:$R$893,'acab equip'!J261,' CADASTRO'!$S$746:$S$893,'acab equip'!$K$3)</f>
        <v>0</v>
      </c>
      <c r="N261" s="162">
        <f t="shared" si="43"/>
        <v>47535</v>
      </c>
      <c r="O261" s="163">
        <f>COUNTIFS(' CADASTRO'!$S:$S,'acab equip'!$C$3,' CADASTRO'!$R:$R,'acab equip'!N261)</f>
        <v>0</v>
      </c>
      <c r="P261" s="163">
        <f>COUNTIFS(' CADASTRO'!$S:$S,'acab equip'!$D$3,' CADASTRO'!$R:$R,'acab equip'!N261)</f>
        <v>0</v>
      </c>
      <c r="Q261" s="163">
        <f>COUNTIFS(' CADASTRO'!$R$746:$R$893,'acab equip'!N261,' CADASTRO'!$S$746:$S$893,'acab equip'!$P$3)+COUNTIFS(' CADASTRO'!$R$746:$R$893,'acab equip'!N261,' CADASTRO'!$S$746:$S$893,'acab equip'!$O$3)</f>
        <v>0</v>
      </c>
      <c r="R261" s="162">
        <f t="shared" si="44"/>
        <v>47536</v>
      </c>
      <c r="S261" s="163">
        <f>COUNTIFS(' CADASTRO'!$S:$S,'acab equip'!$C$3,' CADASTRO'!$R:$R,'acab equip'!R261)</f>
        <v>0</v>
      </c>
      <c r="T261" s="163">
        <f>COUNTIFS(' CADASTRO'!$S:$S,'acab equip'!$D$3,' CADASTRO'!$R:$R,'acab equip'!R261)</f>
        <v>0</v>
      </c>
      <c r="U261" s="163">
        <f>COUNTIFS(' CADASTRO'!$R$746:$R$893,'acab equip'!R261,' CADASTRO'!$S$746:$S$893,'acab equip'!$T$3)+COUNTIFS(' CADASTRO'!$R$746:$R$893,'acab equip'!R261,' CADASTRO'!$S$746:$S$893,'acab equip'!$S$3)</f>
        <v>0</v>
      </c>
      <c r="V261" s="162">
        <f t="shared" si="45"/>
        <v>47537</v>
      </c>
      <c r="W261" s="163">
        <f>COUNTIFS(' CADASTRO'!$S:$S,'acab equip'!$C$3,' CADASTRO'!$R:$R,'acab equip'!V261)</f>
        <v>0</v>
      </c>
      <c r="X261" s="163">
        <f>COUNTIFS(' CADASTRO'!$S:$S,'acab equip'!$D$3,' CADASTRO'!$R:$R,'acab equip'!V261)</f>
        <v>0</v>
      </c>
      <c r="Y261" s="163">
        <f>COUNTIFS(' CADASTRO'!$R$746:$R$893,'acab equip'!V261,' CADASTRO'!$S$746:$S$893,'acab equip'!$X$3)+COUNTIFS(' CADASTRO'!$R$746:$R$893,'acab equip'!V261,' CADASTRO'!$S$746:$S$893,'acab equip'!$W$3)</f>
        <v>0</v>
      </c>
      <c r="Z261" s="162">
        <f t="shared" si="46"/>
        <v>47538</v>
      </c>
      <c r="AB261" s="165">
        <f t="shared" si="47"/>
        <v>0</v>
      </c>
      <c r="AC261" s="165">
        <f t="shared" ref="AC261:AC305" si="48">D261+H261+L261+P261+T261+X261-AD261</f>
        <v>0</v>
      </c>
      <c r="AD261" s="165">
        <f t="shared" ref="AD261:AD305" si="49">M261+Q261+U261+Y261+I261+E261</f>
        <v>0</v>
      </c>
      <c r="AE261" s="177">
        <f t="shared" ref="AE261:AE305" si="50">AB261+AC261+AD261</f>
        <v>0</v>
      </c>
    </row>
    <row r="262" spans="2:31" x14ac:dyDescent="0.25">
      <c r="B262" s="162">
        <f t="shared" ref="B262:B305" si="51">Z261+1</f>
        <v>47539</v>
      </c>
      <c r="C262" s="163">
        <f>COUNTIFS(' CADASTRO'!$S:$S,'acab equip'!$C$3,' CADASTRO'!$R:$R,'acab equip'!B262)</f>
        <v>0</v>
      </c>
      <c r="D262" s="163">
        <f>COUNTIFS(' CADASTRO'!$S:$S,'acab equip'!$D$3,' CADASTRO'!$R:$R,'acab equip'!B262)</f>
        <v>0</v>
      </c>
      <c r="E262" s="163"/>
      <c r="F262" s="162">
        <f t="shared" ref="F262:F305" si="52">B262+1</f>
        <v>47540</v>
      </c>
      <c r="G262" s="163">
        <f>COUNTIFS(' CADASTRO'!$S:$S,'acab equip'!$C$3,' CADASTRO'!$R:$R,'acab equip'!F262)</f>
        <v>0</v>
      </c>
      <c r="H262" s="163">
        <f>COUNTIFS(' CADASTRO'!$S:$S,'acab equip'!$D$3,' CADASTRO'!$R:$R,'acab equip'!F262)</f>
        <v>0</v>
      </c>
      <c r="I262" s="163"/>
      <c r="J262" s="162">
        <f t="shared" ref="J262:J305" si="53">F262+1</f>
        <v>47541</v>
      </c>
      <c r="K262" s="163">
        <f>COUNTIFS(' CADASTRO'!$S:$S,'acab equip'!$C$3,' CADASTRO'!$R:$R,'acab equip'!J262)</f>
        <v>0</v>
      </c>
      <c r="L262" s="163">
        <f>COUNTIFS(' CADASTRO'!$S:$S,'acab equip'!$D$3,' CADASTRO'!$R:$R,'acab equip'!J262)</f>
        <v>0</v>
      </c>
      <c r="M262" s="163">
        <f>COUNTIFS(' CADASTRO'!$R$746:$R$893,'acab equip'!J262,' CADASTRO'!$S$746:$S$893,'acab equip'!$L$3)+COUNTIFS(' CADASTRO'!$R$746:$R$893,'acab equip'!J262,' CADASTRO'!$S$746:$S$893,'acab equip'!$K$3)</f>
        <v>0</v>
      </c>
      <c r="N262" s="162">
        <f t="shared" ref="N262:N305" si="54">J262+1</f>
        <v>47542</v>
      </c>
      <c r="O262" s="163">
        <f>COUNTIFS(' CADASTRO'!$S:$S,'acab equip'!$C$3,' CADASTRO'!$R:$R,'acab equip'!N262)</f>
        <v>0</v>
      </c>
      <c r="P262" s="163">
        <f>COUNTIFS(' CADASTRO'!$S:$S,'acab equip'!$D$3,' CADASTRO'!$R:$R,'acab equip'!N262)</f>
        <v>0</v>
      </c>
      <c r="Q262" s="163">
        <f>COUNTIFS(' CADASTRO'!$R$746:$R$893,'acab equip'!N262,' CADASTRO'!$S$746:$S$893,'acab equip'!$P$3)+COUNTIFS(' CADASTRO'!$R$746:$R$893,'acab equip'!N262,' CADASTRO'!$S$746:$S$893,'acab equip'!$O$3)</f>
        <v>0</v>
      </c>
      <c r="R262" s="162">
        <f t="shared" ref="R262:R305" si="55">N262+1</f>
        <v>47543</v>
      </c>
      <c r="S262" s="163">
        <f>COUNTIFS(' CADASTRO'!$S:$S,'acab equip'!$C$3,' CADASTRO'!$R:$R,'acab equip'!R262)</f>
        <v>0</v>
      </c>
      <c r="T262" s="163">
        <f>COUNTIFS(' CADASTRO'!$S:$S,'acab equip'!$D$3,' CADASTRO'!$R:$R,'acab equip'!R262)</f>
        <v>0</v>
      </c>
      <c r="U262" s="163">
        <f>COUNTIFS(' CADASTRO'!$R$746:$R$893,'acab equip'!R262,' CADASTRO'!$S$746:$S$893,'acab equip'!$T$3)+COUNTIFS(' CADASTRO'!$R$746:$R$893,'acab equip'!R262,' CADASTRO'!$S$746:$S$893,'acab equip'!$S$3)</f>
        <v>0</v>
      </c>
      <c r="V262" s="162">
        <f t="shared" ref="V262:V305" si="56">R262+1</f>
        <v>47544</v>
      </c>
      <c r="W262" s="163">
        <f>COUNTIFS(' CADASTRO'!$S:$S,'acab equip'!$C$3,' CADASTRO'!$R:$R,'acab equip'!V262)</f>
        <v>0</v>
      </c>
      <c r="X262" s="163">
        <f>COUNTIFS(' CADASTRO'!$S:$S,'acab equip'!$D$3,' CADASTRO'!$R:$R,'acab equip'!V262)</f>
        <v>0</v>
      </c>
      <c r="Y262" s="163">
        <f>COUNTIFS(' CADASTRO'!$R$746:$R$893,'acab equip'!V262,' CADASTRO'!$S$746:$S$893,'acab equip'!$X$3)+COUNTIFS(' CADASTRO'!$R$746:$R$893,'acab equip'!V262,' CADASTRO'!$S$746:$S$893,'acab equip'!$W$3)</f>
        <v>0</v>
      </c>
      <c r="Z262" s="162">
        <f t="shared" ref="Z262:Z305" si="57">V262+1</f>
        <v>47545</v>
      </c>
      <c r="AB262" s="165">
        <f t="shared" si="47"/>
        <v>0</v>
      </c>
      <c r="AC262" s="165">
        <f t="shared" si="48"/>
        <v>0</v>
      </c>
      <c r="AD262" s="165">
        <f t="shared" si="49"/>
        <v>0</v>
      </c>
      <c r="AE262" s="177">
        <f t="shared" si="50"/>
        <v>0</v>
      </c>
    </row>
    <row r="263" spans="2:31" x14ac:dyDescent="0.25">
      <c r="B263" s="162">
        <f t="shared" si="51"/>
        <v>47546</v>
      </c>
      <c r="C263" s="163">
        <f>COUNTIFS(' CADASTRO'!$S:$S,'acab equip'!$C$3,' CADASTRO'!$R:$R,'acab equip'!B263)</f>
        <v>0</v>
      </c>
      <c r="D263" s="163">
        <f>COUNTIFS(' CADASTRO'!$S:$S,'acab equip'!$D$3,' CADASTRO'!$R:$R,'acab equip'!B263)</f>
        <v>0</v>
      </c>
      <c r="E263" s="163"/>
      <c r="F263" s="162">
        <f t="shared" si="52"/>
        <v>47547</v>
      </c>
      <c r="G263" s="163">
        <f>COUNTIFS(' CADASTRO'!$S:$S,'acab equip'!$C$3,' CADASTRO'!$R:$R,'acab equip'!F263)</f>
        <v>0</v>
      </c>
      <c r="H263" s="163">
        <f>COUNTIFS(' CADASTRO'!$S:$S,'acab equip'!$D$3,' CADASTRO'!$R:$R,'acab equip'!F263)</f>
        <v>0</v>
      </c>
      <c r="I263" s="163"/>
      <c r="J263" s="162">
        <f t="shared" si="53"/>
        <v>47548</v>
      </c>
      <c r="K263" s="163">
        <f>COUNTIFS(' CADASTRO'!$S:$S,'acab equip'!$C$3,' CADASTRO'!$R:$R,'acab equip'!J263)</f>
        <v>0</v>
      </c>
      <c r="L263" s="163">
        <f>COUNTIFS(' CADASTRO'!$S:$S,'acab equip'!$D$3,' CADASTRO'!$R:$R,'acab equip'!J263)</f>
        <v>0</v>
      </c>
      <c r="M263" s="163">
        <f>COUNTIFS(' CADASTRO'!$R$746:$R$893,'acab equip'!J263,' CADASTRO'!$S$746:$S$893,'acab equip'!$L$3)+COUNTIFS(' CADASTRO'!$R$746:$R$893,'acab equip'!J263,' CADASTRO'!$S$746:$S$893,'acab equip'!$K$3)</f>
        <v>0</v>
      </c>
      <c r="N263" s="162">
        <f t="shared" si="54"/>
        <v>47549</v>
      </c>
      <c r="O263" s="163">
        <f>COUNTIFS(' CADASTRO'!$S:$S,'acab equip'!$C$3,' CADASTRO'!$R:$R,'acab equip'!N263)</f>
        <v>0</v>
      </c>
      <c r="P263" s="163">
        <f>COUNTIFS(' CADASTRO'!$S:$S,'acab equip'!$D$3,' CADASTRO'!$R:$R,'acab equip'!N263)</f>
        <v>0</v>
      </c>
      <c r="Q263" s="163">
        <f>COUNTIFS(' CADASTRO'!$R$746:$R$893,'acab equip'!N263,' CADASTRO'!$S$746:$S$893,'acab equip'!$P$3)+COUNTIFS(' CADASTRO'!$R$746:$R$893,'acab equip'!N263,' CADASTRO'!$S$746:$S$893,'acab equip'!$O$3)</f>
        <v>0</v>
      </c>
      <c r="R263" s="162">
        <f t="shared" si="55"/>
        <v>47550</v>
      </c>
      <c r="S263" s="163">
        <f>COUNTIFS(' CADASTRO'!$S:$S,'acab equip'!$C$3,' CADASTRO'!$R:$R,'acab equip'!R263)</f>
        <v>0</v>
      </c>
      <c r="T263" s="163">
        <f>COUNTIFS(' CADASTRO'!$S:$S,'acab equip'!$D$3,' CADASTRO'!$R:$R,'acab equip'!R263)</f>
        <v>0</v>
      </c>
      <c r="U263" s="163">
        <f>COUNTIFS(' CADASTRO'!$R$746:$R$893,'acab equip'!R263,' CADASTRO'!$S$746:$S$893,'acab equip'!$T$3)+COUNTIFS(' CADASTRO'!$R$746:$R$893,'acab equip'!R263,' CADASTRO'!$S$746:$S$893,'acab equip'!$S$3)</f>
        <v>0</v>
      </c>
      <c r="V263" s="162">
        <f t="shared" si="56"/>
        <v>47551</v>
      </c>
      <c r="W263" s="163">
        <f>COUNTIFS(' CADASTRO'!$S:$S,'acab equip'!$C$3,' CADASTRO'!$R:$R,'acab equip'!V263)</f>
        <v>0</v>
      </c>
      <c r="X263" s="163">
        <f>COUNTIFS(' CADASTRO'!$S:$S,'acab equip'!$D$3,' CADASTRO'!$R:$R,'acab equip'!V263)</f>
        <v>0</v>
      </c>
      <c r="Y263" s="163">
        <f>COUNTIFS(' CADASTRO'!$R$746:$R$893,'acab equip'!V263,' CADASTRO'!$S$746:$S$893,'acab equip'!$X$3)+COUNTIFS(' CADASTRO'!$R$746:$R$893,'acab equip'!V263,' CADASTRO'!$S$746:$S$893,'acab equip'!$W$3)</f>
        <v>0</v>
      </c>
      <c r="Z263" s="162">
        <f t="shared" si="57"/>
        <v>47552</v>
      </c>
      <c r="AB263" s="165">
        <f t="shared" si="47"/>
        <v>0</v>
      </c>
      <c r="AC263" s="165">
        <f t="shared" si="48"/>
        <v>0</v>
      </c>
      <c r="AD263" s="165">
        <f t="shared" si="49"/>
        <v>0</v>
      </c>
      <c r="AE263" s="177">
        <f t="shared" si="50"/>
        <v>0</v>
      </c>
    </row>
    <row r="264" spans="2:31" x14ac:dyDescent="0.25">
      <c r="B264" s="162">
        <f t="shared" si="51"/>
        <v>47553</v>
      </c>
      <c r="C264" s="163">
        <f>COUNTIFS(' CADASTRO'!$S:$S,'acab equip'!$C$3,' CADASTRO'!$R:$R,'acab equip'!B264)</f>
        <v>0</v>
      </c>
      <c r="D264" s="163">
        <f>COUNTIFS(' CADASTRO'!$S:$S,'acab equip'!$D$3,' CADASTRO'!$R:$R,'acab equip'!B264)</f>
        <v>0</v>
      </c>
      <c r="E264" s="163"/>
      <c r="F264" s="162">
        <f t="shared" si="52"/>
        <v>47554</v>
      </c>
      <c r="G264" s="163">
        <f>COUNTIFS(' CADASTRO'!$S:$S,'acab equip'!$C$3,' CADASTRO'!$R:$R,'acab equip'!F264)</f>
        <v>0</v>
      </c>
      <c r="H264" s="163">
        <f>COUNTIFS(' CADASTRO'!$S:$S,'acab equip'!$D$3,' CADASTRO'!$R:$R,'acab equip'!F264)</f>
        <v>0</v>
      </c>
      <c r="I264" s="163"/>
      <c r="J264" s="162">
        <f t="shared" si="53"/>
        <v>47555</v>
      </c>
      <c r="K264" s="163">
        <f>COUNTIFS(' CADASTRO'!$S:$S,'acab equip'!$C$3,' CADASTRO'!$R:$R,'acab equip'!J264)</f>
        <v>0</v>
      </c>
      <c r="L264" s="163">
        <f>COUNTIFS(' CADASTRO'!$S:$S,'acab equip'!$D$3,' CADASTRO'!$R:$R,'acab equip'!J264)</f>
        <v>0</v>
      </c>
      <c r="M264" s="163">
        <f>COUNTIFS(' CADASTRO'!$R$746:$R$893,'acab equip'!J264,' CADASTRO'!$S$746:$S$893,'acab equip'!$L$3)+COUNTIFS(' CADASTRO'!$R$746:$R$893,'acab equip'!J264,' CADASTRO'!$S$746:$S$893,'acab equip'!$K$3)</f>
        <v>0</v>
      </c>
      <c r="N264" s="162">
        <f t="shared" si="54"/>
        <v>47556</v>
      </c>
      <c r="O264" s="163">
        <f>COUNTIFS(' CADASTRO'!$S:$S,'acab equip'!$C$3,' CADASTRO'!$R:$R,'acab equip'!N264)</f>
        <v>0</v>
      </c>
      <c r="P264" s="163">
        <f>COUNTIFS(' CADASTRO'!$S:$S,'acab equip'!$D$3,' CADASTRO'!$R:$R,'acab equip'!N264)</f>
        <v>0</v>
      </c>
      <c r="Q264" s="163">
        <f>COUNTIFS(' CADASTRO'!$R$746:$R$893,'acab equip'!N264,' CADASTRO'!$S$746:$S$893,'acab equip'!$P$3)+COUNTIFS(' CADASTRO'!$R$746:$R$893,'acab equip'!N264,' CADASTRO'!$S$746:$S$893,'acab equip'!$O$3)</f>
        <v>0</v>
      </c>
      <c r="R264" s="162">
        <f t="shared" si="55"/>
        <v>47557</v>
      </c>
      <c r="S264" s="163">
        <f>COUNTIFS(' CADASTRO'!$S:$S,'acab equip'!$C$3,' CADASTRO'!$R:$R,'acab equip'!R264)</f>
        <v>0</v>
      </c>
      <c r="T264" s="163">
        <f>COUNTIFS(' CADASTRO'!$S:$S,'acab equip'!$D$3,' CADASTRO'!$R:$R,'acab equip'!R264)</f>
        <v>0</v>
      </c>
      <c r="U264" s="163">
        <f>COUNTIFS(' CADASTRO'!$R$746:$R$893,'acab equip'!R264,' CADASTRO'!$S$746:$S$893,'acab equip'!$T$3)+COUNTIFS(' CADASTRO'!$R$746:$R$893,'acab equip'!R264,' CADASTRO'!$S$746:$S$893,'acab equip'!$S$3)</f>
        <v>0</v>
      </c>
      <c r="V264" s="162">
        <f t="shared" si="56"/>
        <v>47558</v>
      </c>
      <c r="W264" s="163">
        <f>COUNTIFS(' CADASTRO'!$S:$S,'acab equip'!$C$3,' CADASTRO'!$R:$R,'acab equip'!V264)</f>
        <v>0</v>
      </c>
      <c r="X264" s="163">
        <f>COUNTIFS(' CADASTRO'!$S:$S,'acab equip'!$D$3,' CADASTRO'!$R:$R,'acab equip'!V264)</f>
        <v>0</v>
      </c>
      <c r="Y264" s="163">
        <f>COUNTIFS(' CADASTRO'!$R$746:$R$893,'acab equip'!V264,' CADASTRO'!$S$746:$S$893,'acab equip'!$X$3)+COUNTIFS(' CADASTRO'!$R$746:$R$893,'acab equip'!V264,' CADASTRO'!$S$746:$S$893,'acab equip'!$W$3)</f>
        <v>0</v>
      </c>
      <c r="Z264" s="162">
        <f t="shared" si="57"/>
        <v>47559</v>
      </c>
      <c r="AB264" s="165">
        <f t="shared" si="47"/>
        <v>0</v>
      </c>
      <c r="AC264" s="165">
        <f t="shared" si="48"/>
        <v>0</v>
      </c>
      <c r="AD264" s="165">
        <f t="shared" si="49"/>
        <v>0</v>
      </c>
      <c r="AE264" s="177">
        <f t="shared" si="50"/>
        <v>0</v>
      </c>
    </row>
    <row r="265" spans="2:31" x14ac:dyDescent="0.25">
      <c r="B265" s="162">
        <f t="shared" si="51"/>
        <v>47560</v>
      </c>
      <c r="C265" s="163">
        <f>COUNTIFS(' CADASTRO'!$S:$S,'acab equip'!$C$3,' CADASTRO'!$R:$R,'acab equip'!B265)</f>
        <v>0</v>
      </c>
      <c r="D265" s="163">
        <f>COUNTIFS(' CADASTRO'!$S:$S,'acab equip'!$D$3,' CADASTRO'!$R:$R,'acab equip'!B265)</f>
        <v>0</v>
      </c>
      <c r="E265" s="163"/>
      <c r="F265" s="162">
        <f t="shared" si="52"/>
        <v>47561</v>
      </c>
      <c r="G265" s="163">
        <f>COUNTIFS(' CADASTRO'!$S:$S,'acab equip'!$C$3,' CADASTRO'!$R:$R,'acab equip'!F265)</f>
        <v>0</v>
      </c>
      <c r="H265" s="163">
        <f>COUNTIFS(' CADASTRO'!$S:$S,'acab equip'!$D$3,' CADASTRO'!$R:$R,'acab equip'!F265)</f>
        <v>0</v>
      </c>
      <c r="I265" s="163"/>
      <c r="J265" s="162">
        <f t="shared" si="53"/>
        <v>47562</v>
      </c>
      <c r="K265" s="163">
        <f>COUNTIFS(' CADASTRO'!$S:$S,'acab equip'!$C$3,' CADASTRO'!$R:$R,'acab equip'!J265)</f>
        <v>0</v>
      </c>
      <c r="L265" s="163">
        <f>COUNTIFS(' CADASTRO'!$S:$S,'acab equip'!$D$3,' CADASTRO'!$R:$R,'acab equip'!J265)</f>
        <v>0</v>
      </c>
      <c r="M265" s="163">
        <f>COUNTIFS(' CADASTRO'!$R$746:$R$893,'acab equip'!J265,' CADASTRO'!$S$746:$S$893,'acab equip'!$L$3)+COUNTIFS(' CADASTRO'!$R$746:$R$893,'acab equip'!J265,' CADASTRO'!$S$746:$S$893,'acab equip'!$K$3)</f>
        <v>0</v>
      </c>
      <c r="N265" s="162">
        <f t="shared" si="54"/>
        <v>47563</v>
      </c>
      <c r="O265" s="163">
        <f>COUNTIFS(' CADASTRO'!$S:$S,'acab equip'!$C$3,' CADASTRO'!$R:$R,'acab equip'!N265)</f>
        <v>0</v>
      </c>
      <c r="P265" s="163">
        <f>COUNTIFS(' CADASTRO'!$S:$S,'acab equip'!$D$3,' CADASTRO'!$R:$R,'acab equip'!N265)</f>
        <v>0</v>
      </c>
      <c r="Q265" s="163">
        <f>COUNTIFS(' CADASTRO'!$R$746:$R$893,'acab equip'!N265,' CADASTRO'!$S$746:$S$893,'acab equip'!$P$3)+COUNTIFS(' CADASTRO'!$R$746:$R$893,'acab equip'!N265,' CADASTRO'!$S$746:$S$893,'acab equip'!$O$3)</f>
        <v>0</v>
      </c>
      <c r="R265" s="162">
        <f t="shared" si="55"/>
        <v>47564</v>
      </c>
      <c r="S265" s="163">
        <f>COUNTIFS(' CADASTRO'!$S:$S,'acab equip'!$C$3,' CADASTRO'!$R:$R,'acab equip'!R265)</f>
        <v>0</v>
      </c>
      <c r="T265" s="163">
        <f>COUNTIFS(' CADASTRO'!$S:$S,'acab equip'!$D$3,' CADASTRO'!$R:$R,'acab equip'!R265)</f>
        <v>0</v>
      </c>
      <c r="U265" s="163">
        <f>COUNTIFS(' CADASTRO'!$R$746:$R$893,'acab equip'!R265,' CADASTRO'!$S$746:$S$893,'acab equip'!$T$3)+COUNTIFS(' CADASTRO'!$R$746:$R$893,'acab equip'!R265,' CADASTRO'!$S$746:$S$893,'acab equip'!$S$3)</f>
        <v>0</v>
      </c>
      <c r="V265" s="162">
        <f t="shared" si="56"/>
        <v>47565</v>
      </c>
      <c r="W265" s="163">
        <f>COUNTIFS(' CADASTRO'!$S:$S,'acab equip'!$C$3,' CADASTRO'!$R:$R,'acab equip'!V265)</f>
        <v>0</v>
      </c>
      <c r="X265" s="163">
        <f>COUNTIFS(' CADASTRO'!$S:$S,'acab equip'!$D$3,' CADASTRO'!$R:$R,'acab equip'!V265)</f>
        <v>0</v>
      </c>
      <c r="Y265" s="163">
        <f>COUNTIFS(' CADASTRO'!$R$746:$R$893,'acab equip'!V265,' CADASTRO'!$S$746:$S$893,'acab equip'!$X$3)+COUNTIFS(' CADASTRO'!$R$746:$R$893,'acab equip'!V265,' CADASTRO'!$S$746:$S$893,'acab equip'!$W$3)</f>
        <v>0</v>
      </c>
      <c r="Z265" s="162">
        <f t="shared" si="57"/>
        <v>47566</v>
      </c>
      <c r="AB265" s="165">
        <f t="shared" si="47"/>
        <v>0</v>
      </c>
      <c r="AC265" s="165">
        <f t="shared" si="48"/>
        <v>0</v>
      </c>
      <c r="AD265" s="165">
        <f t="shared" si="49"/>
        <v>0</v>
      </c>
      <c r="AE265" s="177">
        <f t="shared" si="50"/>
        <v>0</v>
      </c>
    </row>
    <row r="266" spans="2:31" x14ac:dyDescent="0.25">
      <c r="B266" s="162">
        <f t="shared" si="51"/>
        <v>47567</v>
      </c>
      <c r="C266" s="163">
        <f>COUNTIFS(' CADASTRO'!$S:$S,'acab equip'!$C$3,' CADASTRO'!$R:$R,'acab equip'!B266)</f>
        <v>0</v>
      </c>
      <c r="D266" s="163">
        <f>COUNTIFS(' CADASTRO'!$S:$S,'acab equip'!$D$3,' CADASTRO'!$R:$R,'acab equip'!B266)</f>
        <v>0</v>
      </c>
      <c r="E266" s="163"/>
      <c r="F266" s="162">
        <f t="shared" si="52"/>
        <v>47568</v>
      </c>
      <c r="G266" s="163">
        <f>COUNTIFS(' CADASTRO'!$S:$S,'acab equip'!$C$3,' CADASTRO'!$R:$R,'acab equip'!F266)</f>
        <v>0</v>
      </c>
      <c r="H266" s="163">
        <f>COUNTIFS(' CADASTRO'!$S:$S,'acab equip'!$D$3,' CADASTRO'!$R:$R,'acab equip'!F266)</f>
        <v>0</v>
      </c>
      <c r="I266" s="163"/>
      <c r="J266" s="162">
        <f t="shared" si="53"/>
        <v>47569</v>
      </c>
      <c r="K266" s="163">
        <f>COUNTIFS(' CADASTRO'!$S:$S,'acab equip'!$C$3,' CADASTRO'!$R:$R,'acab equip'!J266)</f>
        <v>0</v>
      </c>
      <c r="L266" s="163">
        <f>COUNTIFS(' CADASTRO'!$S:$S,'acab equip'!$D$3,' CADASTRO'!$R:$R,'acab equip'!J266)</f>
        <v>0</v>
      </c>
      <c r="M266" s="163">
        <f>COUNTIFS(' CADASTRO'!$R$746:$R$893,'acab equip'!J266,' CADASTRO'!$S$746:$S$893,'acab equip'!$L$3)+COUNTIFS(' CADASTRO'!$R$746:$R$893,'acab equip'!J266,' CADASTRO'!$S$746:$S$893,'acab equip'!$K$3)</f>
        <v>0</v>
      </c>
      <c r="N266" s="162">
        <f t="shared" si="54"/>
        <v>47570</v>
      </c>
      <c r="O266" s="163">
        <f>COUNTIFS(' CADASTRO'!$S:$S,'acab equip'!$C$3,' CADASTRO'!$R:$R,'acab equip'!N266)</f>
        <v>0</v>
      </c>
      <c r="P266" s="163">
        <f>COUNTIFS(' CADASTRO'!$S:$S,'acab equip'!$D$3,' CADASTRO'!$R:$R,'acab equip'!N266)</f>
        <v>0</v>
      </c>
      <c r="Q266" s="163">
        <f>COUNTIFS(' CADASTRO'!$R$746:$R$893,'acab equip'!N266,' CADASTRO'!$S$746:$S$893,'acab equip'!$P$3)+COUNTIFS(' CADASTRO'!$R$746:$R$893,'acab equip'!N266,' CADASTRO'!$S$746:$S$893,'acab equip'!$O$3)</f>
        <v>0</v>
      </c>
      <c r="R266" s="162">
        <f t="shared" si="55"/>
        <v>47571</v>
      </c>
      <c r="S266" s="163">
        <f>COUNTIFS(' CADASTRO'!$S:$S,'acab equip'!$C$3,' CADASTRO'!$R:$R,'acab equip'!R266)</f>
        <v>0</v>
      </c>
      <c r="T266" s="163">
        <f>COUNTIFS(' CADASTRO'!$S:$S,'acab equip'!$D$3,' CADASTRO'!$R:$R,'acab equip'!R266)</f>
        <v>0</v>
      </c>
      <c r="U266" s="163">
        <f>COUNTIFS(' CADASTRO'!$R$746:$R$893,'acab equip'!R266,' CADASTRO'!$S$746:$S$893,'acab equip'!$T$3)+COUNTIFS(' CADASTRO'!$R$746:$R$893,'acab equip'!R266,' CADASTRO'!$S$746:$S$893,'acab equip'!$S$3)</f>
        <v>0</v>
      </c>
      <c r="V266" s="162">
        <f t="shared" si="56"/>
        <v>47572</v>
      </c>
      <c r="W266" s="163">
        <f>COUNTIFS(' CADASTRO'!$S:$S,'acab equip'!$C$3,' CADASTRO'!$R:$R,'acab equip'!V266)</f>
        <v>0</v>
      </c>
      <c r="X266" s="163">
        <f>COUNTIFS(' CADASTRO'!$S:$S,'acab equip'!$D$3,' CADASTRO'!$R:$R,'acab equip'!V266)</f>
        <v>0</v>
      </c>
      <c r="Y266" s="163">
        <f>COUNTIFS(' CADASTRO'!$R$746:$R$893,'acab equip'!V266,' CADASTRO'!$S$746:$S$893,'acab equip'!$X$3)+COUNTIFS(' CADASTRO'!$R$746:$R$893,'acab equip'!V266,' CADASTRO'!$S$746:$S$893,'acab equip'!$W$3)</f>
        <v>0</v>
      </c>
      <c r="Z266" s="162">
        <f t="shared" si="57"/>
        <v>47573</v>
      </c>
      <c r="AB266" s="165">
        <f t="shared" si="47"/>
        <v>0</v>
      </c>
      <c r="AC266" s="165">
        <f t="shared" si="48"/>
        <v>0</v>
      </c>
      <c r="AD266" s="165">
        <f t="shared" si="49"/>
        <v>0</v>
      </c>
      <c r="AE266" s="177">
        <f t="shared" si="50"/>
        <v>0</v>
      </c>
    </row>
    <row r="267" spans="2:31" x14ac:dyDescent="0.25">
      <c r="B267" s="162">
        <f t="shared" si="51"/>
        <v>47574</v>
      </c>
      <c r="C267" s="163">
        <f>COUNTIFS(' CADASTRO'!$S:$S,'acab equip'!$C$3,' CADASTRO'!$R:$R,'acab equip'!B267)</f>
        <v>0</v>
      </c>
      <c r="D267" s="163">
        <f>COUNTIFS(' CADASTRO'!$S:$S,'acab equip'!$D$3,' CADASTRO'!$R:$R,'acab equip'!B267)</f>
        <v>0</v>
      </c>
      <c r="E267" s="163"/>
      <c r="F267" s="162">
        <f t="shared" si="52"/>
        <v>47575</v>
      </c>
      <c r="G267" s="163">
        <f>COUNTIFS(' CADASTRO'!$S:$S,'acab equip'!$C$3,' CADASTRO'!$R:$R,'acab equip'!F267)</f>
        <v>0</v>
      </c>
      <c r="H267" s="163">
        <f>COUNTIFS(' CADASTRO'!$S:$S,'acab equip'!$D$3,' CADASTRO'!$R:$R,'acab equip'!F267)</f>
        <v>0</v>
      </c>
      <c r="I267" s="163"/>
      <c r="J267" s="162">
        <f t="shared" si="53"/>
        <v>47576</v>
      </c>
      <c r="K267" s="163">
        <f>COUNTIFS(' CADASTRO'!$S:$S,'acab equip'!$C$3,' CADASTRO'!$R:$R,'acab equip'!J267)</f>
        <v>0</v>
      </c>
      <c r="L267" s="163">
        <f>COUNTIFS(' CADASTRO'!$S:$S,'acab equip'!$D$3,' CADASTRO'!$R:$R,'acab equip'!J267)</f>
        <v>0</v>
      </c>
      <c r="M267" s="163">
        <f>COUNTIFS(' CADASTRO'!$R$746:$R$893,'acab equip'!J267,' CADASTRO'!$S$746:$S$893,'acab equip'!$L$3)+COUNTIFS(' CADASTRO'!$R$746:$R$893,'acab equip'!J267,' CADASTRO'!$S$746:$S$893,'acab equip'!$K$3)</f>
        <v>0</v>
      </c>
      <c r="N267" s="162">
        <f t="shared" si="54"/>
        <v>47577</v>
      </c>
      <c r="O267" s="163">
        <f>COUNTIFS(' CADASTRO'!$S:$S,'acab equip'!$C$3,' CADASTRO'!$R:$R,'acab equip'!N267)</f>
        <v>0</v>
      </c>
      <c r="P267" s="163">
        <f>COUNTIFS(' CADASTRO'!$S:$S,'acab equip'!$D$3,' CADASTRO'!$R:$R,'acab equip'!N267)</f>
        <v>0</v>
      </c>
      <c r="Q267" s="163">
        <f>COUNTIFS(' CADASTRO'!$R$746:$R$893,'acab equip'!N267,' CADASTRO'!$S$746:$S$893,'acab equip'!$P$3)+COUNTIFS(' CADASTRO'!$R$746:$R$893,'acab equip'!N267,' CADASTRO'!$S$746:$S$893,'acab equip'!$O$3)</f>
        <v>0</v>
      </c>
      <c r="R267" s="162">
        <f t="shared" si="55"/>
        <v>47578</v>
      </c>
      <c r="S267" s="163">
        <f>COUNTIFS(' CADASTRO'!$S:$S,'acab equip'!$C$3,' CADASTRO'!$R:$R,'acab equip'!R267)</f>
        <v>0</v>
      </c>
      <c r="T267" s="163">
        <f>COUNTIFS(' CADASTRO'!$S:$S,'acab equip'!$D$3,' CADASTRO'!$R:$R,'acab equip'!R267)</f>
        <v>0</v>
      </c>
      <c r="U267" s="163">
        <f>COUNTIFS(' CADASTRO'!$R$746:$R$893,'acab equip'!R267,' CADASTRO'!$S$746:$S$893,'acab equip'!$T$3)+COUNTIFS(' CADASTRO'!$R$746:$R$893,'acab equip'!R267,' CADASTRO'!$S$746:$S$893,'acab equip'!$S$3)</f>
        <v>0</v>
      </c>
      <c r="V267" s="162">
        <f t="shared" si="56"/>
        <v>47579</v>
      </c>
      <c r="W267" s="163">
        <f>COUNTIFS(' CADASTRO'!$S:$S,'acab equip'!$C$3,' CADASTRO'!$R:$R,'acab equip'!V267)</f>
        <v>0</v>
      </c>
      <c r="X267" s="163">
        <f>COUNTIFS(' CADASTRO'!$S:$S,'acab equip'!$D$3,' CADASTRO'!$R:$R,'acab equip'!V267)</f>
        <v>0</v>
      </c>
      <c r="Y267" s="163">
        <f>COUNTIFS(' CADASTRO'!$R$746:$R$893,'acab equip'!V267,' CADASTRO'!$S$746:$S$893,'acab equip'!$X$3)+COUNTIFS(' CADASTRO'!$R$746:$R$893,'acab equip'!V267,' CADASTRO'!$S$746:$S$893,'acab equip'!$W$3)</f>
        <v>0</v>
      </c>
      <c r="Z267" s="162">
        <f t="shared" si="57"/>
        <v>47580</v>
      </c>
      <c r="AB267" s="165">
        <f t="shared" si="47"/>
        <v>0</v>
      </c>
      <c r="AC267" s="165">
        <f t="shared" si="48"/>
        <v>0</v>
      </c>
      <c r="AD267" s="165">
        <f t="shared" si="49"/>
        <v>0</v>
      </c>
      <c r="AE267" s="177">
        <f t="shared" si="50"/>
        <v>0</v>
      </c>
    </row>
    <row r="268" spans="2:31" x14ac:dyDescent="0.25">
      <c r="B268" s="162">
        <f t="shared" si="51"/>
        <v>47581</v>
      </c>
      <c r="C268" s="163">
        <f>COUNTIFS(' CADASTRO'!$S:$S,'acab equip'!$C$3,' CADASTRO'!$R:$R,'acab equip'!B268)</f>
        <v>0</v>
      </c>
      <c r="D268" s="163">
        <f>COUNTIFS(' CADASTRO'!$S:$S,'acab equip'!$D$3,' CADASTRO'!$R:$R,'acab equip'!B268)</f>
        <v>0</v>
      </c>
      <c r="E268" s="163"/>
      <c r="F268" s="162">
        <f t="shared" si="52"/>
        <v>47582</v>
      </c>
      <c r="G268" s="163">
        <f>COUNTIFS(' CADASTRO'!$S:$S,'acab equip'!$C$3,' CADASTRO'!$R:$R,'acab equip'!F268)</f>
        <v>0</v>
      </c>
      <c r="H268" s="163">
        <f>COUNTIFS(' CADASTRO'!$S:$S,'acab equip'!$D$3,' CADASTRO'!$R:$R,'acab equip'!F268)</f>
        <v>0</v>
      </c>
      <c r="I268" s="163"/>
      <c r="J268" s="162">
        <f t="shared" si="53"/>
        <v>47583</v>
      </c>
      <c r="K268" s="163">
        <f>COUNTIFS(' CADASTRO'!$S:$S,'acab equip'!$C$3,' CADASTRO'!$R:$R,'acab equip'!J268)</f>
        <v>0</v>
      </c>
      <c r="L268" s="163">
        <f>COUNTIFS(' CADASTRO'!$S:$S,'acab equip'!$D$3,' CADASTRO'!$R:$R,'acab equip'!J268)</f>
        <v>0</v>
      </c>
      <c r="M268" s="163">
        <f>COUNTIFS(' CADASTRO'!$R$746:$R$893,'acab equip'!J268,' CADASTRO'!$S$746:$S$893,'acab equip'!$L$3)+COUNTIFS(' CADASTRO'!$R$746:$R$893,'acab equip'!J268,' CADASTRO'!$S$746:$S$893,'acab equip'!$K$3)</f>
        <v>0</v>
      </c>
      <c r="N268" s="162">
        <f t="shared" si="54"/>
        <v>47584</v>
      </c>
      <c r="O268" s="163">
        <f>COUNTIFS(' CADASTRO'!$S:$S,'acab equip'!$C$3,' CADASTRO'!$R:$R,'acab equip'!N268)</f>
        <v>0</v>
      </c>
      <c r="P268" s="163">
        <f>COUNTIFS(' CADASTRO'!$S:$S,'acab equip'!$D$3,' CADASTRO'!$R:$R,'acab equip'!N268)</f>
        <v>0</v>
      </c>
      <c r="Q268" s="163">
        <f>COUNTIFS(' CADASTRO'!$R$746:$R$893,'acab equip'!N268,' CADASTRO'!$S$746:$S$893,'acab equip'!$P$3)+COUNTIFS(' CADASTRO'!$R$746:$R$893,'acab equip'!N268,' CADASTRO'!$S$746:$S$893,'acab equip'!$O$3)</f>
        <v>0</v>
      </c>
      <c r="R268" s="162">
        <f t="shared" si="55"/>
        <v>47585</v>
      </c>
      <c r="S268" s="163">
        <f>COUNTIFS(' CADASTRO'!$S:$S,'acab equip'!$C$3,' CADASTRO'!$R:$R,'acab equip'!R268)</f>
        <v>0</v>
      </c>
      <c r="T268" s="163">
        <f>COUNTIFS(' CADASTRO'!$S:$S,'acab equip'!$D$3,' CADASTRO'!$R:$R,'acab equip'!R268)</f>
        <v>0</v>
      </c>
      <c r="U268" s="163">
        <f>COUNTIFS(' CADASTRO'!$R$746:$R$893,'acab equip'!R268,' CADASTRO'!$S$746:$S$893,'acab equip'!$T$3)+COUNTIFS(' CADASTRO'!$R$746:$R$893,'acab equip'!R268,' CADASTRO'!$S$746:$S$893,'acab equip'!$S$3)</f>
        <v>0</v>
      </c>
      <c r="V268" s="162">
        <f t="shared" si="56"/>
        <v>47586</v>
      </c>
      <c r="W268" s="163">
        <f>COUNTIFS(' CADASTRO'!$S:$S,'acab equip'!$C$3,' CADASTRO'!$R:$R,'acab equip'!V268)</f>
        <v>0</v>
      </c>
      <c r="X268" s="163">
        <f>COUNTIFS(' CADASTRO'!$S:$S,'acab equip'!$D$3,' CADASTRO'!$R:$R,'acab equip'!V268)</f>
        <v>0</v>
      </c>
      <c r="Y268" s="163">
        <f>COUNTIFS(' CADASTRO'!$R$746:$R$893,'acab equip'!V268,' CADASTRO'!$S$746:$S$893,'acab equip'!$X$3)+COUNTIFS(' CADASTRO'!$R$746:$R$893,'acab equip'!V268,' CADASTRO'!$S$746:$S$893,'acab equip'!$W$3)</f>
        <v>0</v>
      </c>
      <c r="Z268" s="162">
        <f t="shared" si="57"/>
        <v>47587</v>
      </c>
      <c r="AB268" s="165">
        <f t="shared" si="47"/>
        <v>0</v>
      </c>
      <c r="AC268" s="165">
        <f t="shared" si="48"/>
        <v>0</v>
      </c>
      <c r="AD268" s="165">
        <f t="shared" si="49"/>
        <v>0</v>
      </c>
      <c r="AE268" s="177">
        <f t="shared" si="50"/>
        <v>0</v>
      </c>
    </row>
    <row r="269" spans="2:31" x14ac:dyDescent="0.25">
      <c r="B269" s="162">
        <f t="shared" si="51"/>
        <v>47588</v>
      </c>
      <c r="C269" s="163">
        <f>COUNTIFS(' CADASTRO'!$S:$S,'acab equip'!$C$3,' CADASTRO'!$R:$R,'acab equip'!B269)</f>
        <v>0</v>
      </c>
      <c r="D269" s="163">
        <f>COUNTIFS(' CADASTRO'!$S:$S,'acab equip'!$D$3,' CADASTRO'!$R:$R,'acab equip'!B269)</f>
        <v>0</v>
      </c>
      <c r="E269" s="163"/>
      <c r="F269" s="162">
        <f t="shared" si="52"/>
        <v>47589</v>
      </c>
      <c r="G269" s="163">
        <f>COUNTIFS(' CADASTRO'!$S:$S,'acab equip'!$C$3,' CADASTRO'!$R:$R,'acab equip'!F269)</f>
        <v>0</v>
      </c>
      <c r="H269" s="163">
        <f>COUNTIFS(' CADASTRO'!$S:$S,'acab equip'!$D$3,' CADASTRO'!$R:$R,'acab equip'!F269)</f>
        <v>0</v>
      </c>
      <c r="I269" s="163"/>
      <c r="J269" s="162">
        <f t="shared" si="53"/>
        <v>47590</v>
      </c>
      <c r="K269" s="163">
        <f>COUNTIFS(' CADASTRO'!$S:$S,'acab equip'!$C$3,' CADASTRO'!$R:$R,'acab equip'!J269)</f>
        <v>0</v>
      </c>
      <c r="L269" s="163">
        <f>COUNTIFS(' CADASTRO'!$S:$S,'acab equip'!$D$3,' CADASTRO'!$R:$R,'acab equip'!J269)</f>
        <v>0</v>
      </c>
      <c r="M269" s="163">
        <f>COUNTIFS(' CADASTRO'!$R$746:$R$893,'acab equip'!J269,' CADASTRO'!$S$746:$S$893,'acab equip'!$L$3)+COUNTIFS(' CADASTRO'!$R$746:$R$893,'acab equip'!J269,' CADASTRO'!$S$746:$S$893,'acab equip'!$K$3)</f>
        <v>0</v>
      </c>
      <c r="N269" s="162">
        <f t="shared" si="54"/>
        <v>47591</v>
      </c>
      <c r="O269" s="163">
        <f>COUNTIFS(' CADASTRO'!$S:$S,'acab equip'!$C$3,' CADASTRO'!$R:$R,'acab equip'!N269)</f>
        <v>0</v>
      </c>
      <c r="P269" s="163">
        <f>COUNTIFS(' CADASTRO'!$S:$S,'acab equip'!$D$3,' CADASTRO'!$R:$R,'acab equip'!N269)</f>
        <v>0</v>
      </c>
      <c r="Q269" s="163">
        <f>COUNTIFS(' CADASTRO'!$R$746:$R$893,'acab equip'!N269,' CADASTRO'!$S$746:$S$893,'acab equip'!$P$3)+COUNTIFS(' CADASTRO'!$R$746:$R$893,'acab equip'!N269,' CADASTRO'!$S$746:$S$893,'acab equip'!$O$3)</f>
        <v>0</v>
      </c>
      <c r="R269" s="162">
        <f t="shared" si="55"/>
        <v>47592</v>
      </c>
      <c r="S269" s="163">
        <f>COUNTIFS(' CADASTRO'!$S:$S,'acab equip'!$C$3,' CADASTRO'!$R:$R,'acab equip'!R269)</f>
        <v>0</v>
      </c>
      <c r="T269" s="163">
        <f>COUNTIFS(' CADASTRO'!$S:$S,'acab equip'!$D$3,' CADASTRO'!$R:$R,'acab equip'!R269)</f>
        <v>0</v>
      </c>
      <c r="U269" s="163">
        <f>COUNTIFS(' CADASTRO'!$R$746:$R$893,'acab equip'!R269,' CADASTRO'!$S$746:$S$893,'acab equip'!$T$3)+COUNTIFS(' CADASTRO'!$R$746:$R$893,'acab equip'!R269,' CADASTRO'!$S$746:$S$893,'acab equip'!$S$3)</f>
        <v>0</v>
      </c>
      <c r="V269" s="162">
        <f t="shared" si="56"/>
        <v>47593</v>
      </c>
      <c r="W269" s="163">
        <f>COUNTIFS(' CADASTRO'!$S:$S,'acab equip'!$C$3,' CADASTRO'!$R:$R,'acab equip'!V269)</f>
        <v>0</v>
      </c>
      <c r="X269" s="163">
        <f>COUNTIFS(' CADASTRO'!$S:$S,'acab equip'!$D$3,' CADASTRO'!$R:$R,'acab equip'!V269)</f>
        <v>0</v>
      </c>
      <c r="Y269" s="163">
        <f>COUNTIFS(' CADASTRO'!$R$746:$R$893,'acab equip'!V269,' CADASTRO'!$S$746:$S$893,'acab equip'!$X$3)+COUNTIFS(' CADASTRO'!$R$746:$R$893,'acab equip'!V269,' CADASTRO'!$S$746:$S$893,'acab equip'!$W$3)</f>
        <v>0</v>
      </c>
      <c r="Z269" s="162">
        <f t="shared" si="57"/>
        <v>47594</v>
      </c>
      <c r="AB269" s="165">
        <f t="shared" si="47"/>
        <v>0</v>
      </c>
      <c r="AC269" s="165">
        <f t="shared" si="48"/>
        <v>0</v>
      </c>
      <c r="AD269" s="165">
        <f t="shared" si="49"/>
        <v>0</v>
      </c>
      <c r="AE269" s="177">
        <f t="shared" si="50"/>
        <v>0</v>
      </c>
    </row>
    <row r="270" spans="2:31" x14ac:dyDescent="0.25">
      <c r="B270" s="162">
        <f t="shared" si="51"/>
        <v>47595</v>
      </c>
      <c r="C270" s="163">
        <f>COUNTIFS(' CADASTRO'!$S:$S,'acab equip'!$C$3,' CADASTRO'!$R:$R,'acab equip'!B270)</f>
        <v>0</v>
      </c>
      <c r="D270" s="163">
        <f>COUNTIFS(' CADASTRO'!$S:$S,'acab equip'!$D$3,' CADASTRO'!$R:$R,'acab equip'!B270)</f>
        <v>0</v>
      </c>
      <c r="E270" s="163"/>
      <c r="F270" s="162">
        <f t="shared" si="52"/>
        <v>47596</v>
      </c>
      <c r="G270" s="163">
        <f>COUNTIFS(' CADASTRO'!$S:$S,'acab equip'!$C$3,' CADASTRO'!$R:$R,'acab equip'!F270)</f>
        <v>0</v>
      </c>
      <c r="H270" s="163">
        <f>COUNTIFS(' CADASTRO'!$S:$S,'acab equip'!$D$3,' CADASTRO'!$R:$R,'acab equip'!F270)</f>
        <v>0</v>
      </c>
      <c r="I270" s="163"/>
      <c r="J270" s="162">
        <f t="shared" si="53"/>
        <v>47597</v>
      </c>
      <c r="K270" s="163">
        <f>COUNTIFS(' CADASTRO'!$S:$S,'acab equip'!$C$3,' CADASTRO'!$R:$R,'acab equip'!J270)</f>
        <v>0</v>
      </c>
      <c r="L270" s="163">
        <f>COUNTIFS(' CADASTRO'!$S:$S,'acab equip'!$D$3,' CADASTRO'!$R:$R,'acab equip'!J270)</f>
        <v>0</v>
      </c>
      <c r="M270" s="163">
        <f>COUNTIFS(' CADASTRO'!$R$746:$R$893,'acab equip'!J270,' CADASTRO'!$S$746:$S$893,'acab equip'!$L$3)+COUNTIFS(' CADASTRO'!$R$746:$R$893,'acab equip'!J270,' CADASTRO'!$S$746:$S$893,'acab equip'!$K$3)</f>
        <v>0</v>
      </c>
      <c r="N270" s="162">
        <f t="shared" si="54"/>
        <v>47598</v>
      </c>
      <c r="O270" s="163">
        <f>COUNTIFS(' CADASTRO'!$S:$S,'acab equip'!$C$3,' CADASTRO'!$R:$R,'acab equip'!N270)</f>
        <v>0</v>
      </c>
      <c r="P270" s="163">
        <f>COUNTIFS(' CADASTRO'!$S:$S,'acab equip'!$D$3,' CADASTRO'!$R:$R,'acab equip'!N270)</f>
        <v>0</v>
      </c>
      <c r="Q270" s="163">
        <f>COUNTIFS(' CADASTRO'!$R$746:$R$893,'acab equip'!N270,' CADASTRO'!$S$746:$S$893,'acab equip'!$P$3)+COUNTIFS(' CADASTRO'!$R$746:$R$893,'acab equip'!N270,' CADASTRO'!$S$746:$S$893,'acab equip'!$O$3)</f>
        <v>0</v>
      </c>
      <c r="R270" s="162">
        <f t="shared" si="55"/>
        <v>47599</v>
      </c>
      <c r="S270" s="163">
        <f>COUNTIFS(' CADASTRO'!$S:$S,'acab equip'!$C$3,' CADASTRO'!$R:$R,'acab equip'!R270)</f>
        <v>0</v>
      </c>
      <c r="T270" s="163">
        <f>COUNTIFS(' CADASTRO'!$S:$S,'acab equip'!$D$3,' CADASTRO'!$R:$R,'acab equip'!R270)</f>
        <v>0</v>
      </c>
      <c r="U270" s="163">
        <f>COUNTIFS(' CADASTRO'!$R$746:$R$893,'acab equip'!R270,' CADASTRO'!$S$746:$S$893,'acab equip'!$T$3)+COUNTIFS(' CADASTRO'!$R$746:$R$893,'acab equip'!R270,' CADASTRO'!$S$746:$S$893,'acab equip'!$S$3)</f>
        <v>0</v>
      </c>
      <c r="V270" s="162">
        <f t="shared" si="56"/>
        <v>47600</v>
      </c>
      <c r="W270" s="163">
        <f>COUNTIFS(' CADASTRO'!$S:$S,'acab equip'!$C$3,' CADASTRO'!$R:$R,'acab equip'!V270)</f>
        <v>0</v>
      </c>
      <c r="X270" s="163">
        <f>COUNTIFS(' CADASTRO'!$S:$S,'acab equip'!$D$3,' CADASTRO'!$R:$R,'acab equip'!V270)</f>
        <v>0</v>
      </c>
      <c r="Y270" s="163">
        <f>COUNTIFS(' CADASTRO'!$R$746:$R$893,'acab equip'!V270,' CADASTRO'!$S$746:$S$893,'acab equip'!$X$3)+COUNTIFS(' CADASTRO'!$R$746:$R$893,'acab equip'!V270,' CADASTRO'!$S$746:$S$893,'acab equip'!$W$3)</f>
        <v>0</v>
      </c>
      <c r="Z270" s="162">
        <f t="shared" si="57"/>
        <v>47601</v>
      </c>
      <c r="AB270" s="165">
        <f t="shared" si="47"/>
        <v>0</v>
      </c>
      <c r="AC270" s="165">
        <f t="shared" si="48"/>
        <v>0</v>
      </c>
      <c r="AD270" s="165">
        <f t="shared" si="49"/>
        <v>0</v>
      </c>
      <c r="AE270" s="177">
        <f t="shared" si="50"/>
        <v>0</v>
      </c>
    </row>
    <row r="271" spans="2:31" x14ac:dyDescent="0.25">
      <c r="B271" s="162">
        <f t="shared" si="51"/>
        <v>47602</v>
      </c>
      <c r="C271" s="163">
        <f>COUNTIFS(' CADASTRO'!$S:$S,'acab equip'!$C$3,' CADASTRO'!$R:$R,'acab equip'!B271)</f>
        <v>0</v>
      </c>
      <c r="D271" s="163">
        <f>COUNTIFS(' CADASTRO'!$S:$S,'acab equip'!$D$3,' CADASTRO'!$R:$R,'acab equip'!B271)</f>
        <v>0</v>
      </c>
      <c r="E271" s="163"/>
      <c r="F271" s="162">
        <f t="shared" si="52"/>
        <v>47603</v>
      </c>
      <c r="G271" s="163">
        <f>COUNTIFS(' CADASTRO'!$S:$S,'acab equip'!$C$3,' CADASTRO'!$R:$R,'acab equip'!F271)</f>
        <v>0</v>
      </c>
      <c r="H271" s="163">
        <f>COUNTIFS(' CADASTRO'!$S:$S,'acab equip'!$D$3,' CADASTRO'!$R:$R,'acab equip'!F271)</f>
        <v>0</v>
      </c>
      <c r="I271" s="163"/>
      <c r="J271" s="162">
        <f t="shared" si="53"/>
        <v>47604</v>
      </c>
      <c r="K271" s="163">
        <f>COUNTIFS(' CADASTRO'!$S:$S,'acab equip'!$C$3,' CADASTRO'!$R:$R,'acab equip'!J271)</f>
        <v>0</v>
      </c>
      <c r="L271" s="163">
        <f>COUNTIFS(' CADASTRO'!$S:$S,'acab equip'!$D$3,' CADASTRO'!$R:$R,'acab equip'!J271)</f>
        <v>0</v>
      </c>
      <c r="M271" s="163">
        <f>COUNTIFS(' CADASTRO'!$R$746:$R$893,'acab equip'!J271,' CADASTRO'!$S$746:$S$893,'acab equip'!$L$3)+COUNTIFS(' CADASTRO'!$R$746:$R$893,'acab equip'!J271,' CADASTRO'!$S$746:$S$893,'acab equip'!$K$3)</f>
        <v>0</v>
      </c>
      <c r="N271" s="162">
        <f t="shared" si="54"/>
        <v>47605</v>
      </c>
      <c r="O271" s="163">
        <f>COUNTIFS(' CADASTRO'!$S:$S,'acab equip'!$C$3,' CADASTRO'!$R:$R,'acab equip'!N271)</f>
        <v>0</v>
      </c>
      <c r="P271" s="163">
        <f>COUNTIFS(' CADASTRO'!$S:$S,'acab equip'!$D$3,' CADASTRO'!$R:$R,'acab equip'!N271)</f>
        <v>0</v>
      </c>
      <c r="Q271" s="163">
        <f>COUNTIFS(' CADASTRO'!$R$746:$R$893,'acab equip'!N271,' CADASTRO'!$S$746:$S$893,'acab equip'!$P$3)+COUNTIFS(' CADASTRO'!$R$746:$R$893,'acab equip'!N271,' CADASTRO'!$S$746:$S$893,'acab equip'!$O$3)</f>
        <v>0</v>
      </c>
      <c r="R271" s="162">
        <f t="shared" si="55"/>
        <v>47606</v>
      </c>
      <c r="S271" s="163">
        <f>COUNTIFS(' CADASTRO'!$S:$S,'acab equip'!$C$3,' CADASTRO'!$R:$R,'acab equip'!R271)</f>
        <v>0</v>
      </c>
      <c r="T271" s="163">
        <f>COUNTIFS(' CADASTRO'!$S:$S,'acab equip'!$D$3,' CADASTRO'!$R:$R,'acab equip'!R271)</f>
        <v>0</v>
      </c>
      <c r="U271" s="163">
        <f>COUNTIFS(' CADASTRO'!$R$746:$R$893,'acab equip'!R271,' CADASTRO'!$S$746:$S$893,'acab equip'!$T$3)+COUNTIFS(' CADASTRO'!$R$746:$R$893,'acab equip'!R271,' CADASTRO'!$S$746:$S$893,'acab equip'!$S$3)</f>
        <v>0</v>
      </c>
      <c r="V271" s="162">
        <f t="shared" si="56"/>
        <v>47607</v>
      </c>
      <c r="W271" s="163">
        <f>COUNTIFS(' CADASTRO'!$S:$S,'acab equip'!$C$3,' CADASTRO'!$R:$R,'acab equip'!V271)</f>
        <v>0</v>
      </c>
      <c r="X271" s="163">
        <f>COUNTIFS(' CADASTRO'!$S:$S,'acab equip'!$D$3,' CADASTRO'!$R:$R,'acab equip'!V271)</f>
        <v>0</v>
      </c>
      <c r="Y271" s="163">
        <f>COUNTIFS(' CADASTRO'!$R$746:$R$893,'acab equip'!V271,' CADASTRO'!$S$746:$S$893,'acab equip'!$X$3)+COUNTIFS(' CADASTRO'!$R$746:$R$893,'acab equip'!V271,' CADASTRO'!$S$746:$S$893,'acab equip'!$W$3)</f>
        <v>0</v>
      </c>
      <c r="Z271" s="162">
        <f t="shared" si="57"/>
        <v>47608</v>
      </c>
      <c r="AB271" s="165">
        <f t="shared" si="47"/>
        <v>0</v>
      </c>
      <c r="AC271" s="165">
        <f t="shared" si="48"/>
        <v>0</v>
      </c>
      <c r="AD271" s="165">
        <f t="shared" si="49"/>
        <v>0</v>
      </c>
      <c r="AE271" s="177">
        <f t="shared" si="50"/>
        <v>0</v>
      </c>
    </row>
    <row r="272" spans="2:31" x14ac:dyDescent="0.25">
      <c r="B272" s="162">
        <f t="shared" si="51"/>
        <v>47609</v>
      </c>
      <c r="C272" s="163">
        <f>COUNTIFS(' CADASTRO'!$S:$S,'acab equip'!$C$3,' CADASTRO'!$R:$R,'acab equip'!B272)</f>
        <v>0</v>
      </c>
      <c r="D272" s="163">
        <f>COUNTIFS(' CADASTRO'!$S:$S,'acab equip'!$D$3,' CADASTRO'!$R:$R,'acab equip'!B272)</f>
        <v>0</v>
      </c>
      <c r="E272" s="163"/>
      <c r="F272" s="162">
        <f t="shared" si="52"/>
        <v>47610</v>
      </c>
      <c r="G272" s="163">
        <f>COUNTIFS(' CADASTRO'!$S:$S,'acab equip'!$C$3,' CADASTRO'!$R:$R,'acab equip'!F272)</f>
        <v>0</v>
      </c>
      <c r="H272" s="163">
        <f>COUNTIFS(' CADASTRO'!$S:$S,'acab equip'!$D$3,' CADASTRO'!$R:$R,'acab equip'!F272)</f>
        <v>0</v>
      </c>
      <c r="I272" s="163"/>
      <c r="J272" s="162">
        <f t="shared" si="53"/>
        <v>47611</v>
      </c>
      <c r="K272" s="163">
        <f>COUNTIFS(' CADASTRO'!$S:$S,'acab equip'!$C$3,' CADASTRO'!$R:$R,'acab equip'!J272)</f>
        <v>0</v>
      </c>
      <c r="L272" s="163">
        <f>COUNTIFS(' CADASTRO'!$S:$S,'acab equip'!$D$3,' CADASTRO'!$R:$R,'acab equip'!J272)</f>
        <v>0</v>
      </c>
      <c r="M272" s="163">
        <f>COUNTIFS(' CADASTRO'!$R$746:$R$893,'acab equip'!J272,' CADASTRO'!$S$746:$S$893,'acab equip'!$L$3)+COUNTIFS(' CADASTRO'!$R$746:$R$893,'acab equip'!J272,' CADASTRO'!$S$746:$S$893,'acab equip'!$K$3)</f>
        <v>0</v>
      </c>
      <c r="N272" s="162">
        <f t="shared" si="54"/>
        <v>47612</v>
      </c>
      <c r="O272" s="163">
        <f>COUNTIFS(' CADASTRO'!$S:$S,'acab equip'!$C$3,' CADASTRO'!$R:$R,'acab equip'!N272)</f>
        <v>0</v>
      </c>
      <c r="P272" s="163">
        <f>COUNTIFS(' CADASTRO'!$S:$S,'acab equip'!$D$3,' CADASTRO'!$R:$R,'acab equip'!N272)</f>
        <v>0</v>
      </c>
      <c r="Q272" s="163">
        <f>COUNTIFS(' CADASTRO'!$R$746:$R$893,'acab equip'!N272,' CADASTRO'!$S$746:$S$893,'acab equip'!$P$3)+COUNTIFS(' CADASTRO'!$R$746:$R$893,'acab equip'!N272,' CADASTRO'!$S$746:$S$893,'acab equip'!$O$3)</f>
        <v>0</v>
      </c>
      <c r="R272" s="162">
        <f t="shared" si="55"/>
        <v>47613</v>
      </c>
      <c r="S272" s="163">
        <f>COUNTIFS(' CADASTRO'!$S:$S,'acab equip'!$C$3,' CADASTRO'!$R:$R,'acab equip'!R272)</f>
        <v>0</v>
      </c>
      <c r="T272" s="163">
        <f>COUNTIFS(' CADASTRO'!$S:$S,'acab equip'!$D$3,' CADASTRO'!$R:$R,'acab equip'!R272)</f>
        <v>0</v>
      </c>
      <c r="U272" s="163">
        <f>COUNTIFS(' CADASTRO'!$R$746:$R$893,'acab equip'!R272,' CADASTRO'!$S$746:$S$893,'acab equip'!$T$3)+COUNTIFS(' CADASTRO'!$R$746:$R$893,'acab equip'!R272,' CADASTRO'!$S$746:$S$893,'acab equip'!$S$3)</f>
        <v>0</v>
      </c>
      <c r="V272" s="162">
        <f t="shared" si="56"/>
        <v>47614</v>
      </c>
      <c r="W272" s="163">
        <f>COUNTIFS(' CADASTRO'!$S:$S,'acab equip'!$C$3,' CADASTRO'!$R:$R,'acab equip'!V272)</f>
        <v>0</v>
      </c>
      <c r="X272" s="163">
        <f>COUNTIFS(' CADASTRO'!$S:$S,'acab equip'!$D$3,' CADASTRO'!$R:$R,'acab equip'!V272)</f>
        <v>0</v>
      </c>
      <c r="Y272" s="163">
        <f>COUNTIFS(' CADASTRO'!$R$746:$R$893,'acab equip'!V272,' CADASTRO'!$S$746:$S$893,'acab equip'!$X$3)+COUNTIFS(' CADASTRO'!$R$746:$R$893,'acab equip'!V272,' CADASTRO'!$S$746:$S$893,'acab equip'!$W$3)</f>
        <v>0</v>
      </c>
      <c r="Z272" s="162">
        <f t="shared" si="57"/>
        <v>47615</v>
      </c>
      <c r="AB272" s="165">
        <f t="shared" si="47"/>
        <v>0</v>
      </c>
      <c r="AC272" s="165">
        <f t="shared" si="48"/>
        <v>0</v>
      </c>
      <c r="AD272" s="165">
        <f t="shared" si="49"/>
        <v>0</v>
      </c>
      <c r="AE272" s="177">
        <f t="shared" si="50"/>
        <v>0</v>
      </c>
    </row>
    <row r="273" spans="2:31" x14ac:dyDescent="0.25">
      <c r="B273" s="162">
        <f t="shared" si="51"/>
        <v>47616</v>
      </c>
      <c r="C273" s="163">
        <f>COUNTIFS(' CADASTRO'!$S:$S,'acab equip'!$C$3,' CADASTRO'!$R:$R,'acab equip'!B273)</f>
        <v>0</v>
      </c>
      <c r="D273" s="163">
        <f>COUNTIFS(' CADASTRO'!$S:$S,'acab equip'!$D$3,' CADASTRO'!$R:$R,'acab equip'!B273)</f>
        <v>0</v>
      </c>
      <c r="E273" s="163"/>
      <c r="F273" s="162">
        <f t="shared" si="52"/>
        <v>47617</v>
      </c>
      <c r="G273" s="163">
        <f>COUNTIFS(' CADASTRO'!$S:$S,'acab equip'!$C$3,' CADASTRO'!$R:$R,'acab equip'!F273)</f>
        <v>0</v>
      </c>
      <c r="H273" s="163">
        <f>COUNTIFS(' CADASTRO'!$S:$S,'acab equip'!$D$3,' CADASTRO'!$R:$R,'acab equip'!F273)</f>
        <v>0</v>
      </c>
      <c r="I273" s="163"/>
      <c r="J273" s="162">
        <f t="shared" si="53"/>
        <v>47618</v>
      </c>
      <c r="K273" s="163">
        <f>COUNTIFS(' CADASTRO'!$S:$S,'acab equip'!$C$3,' CADASTRO'!$R:$R,'acab equip'!J273)</f>
        <v>0</v>
      </c>
      <c r="L273" s="163">
        <f>COUNTIFS(' CADASTRO'!$S:$S,'acab equip'!$D$3,' CADASTRO'!$R:$R,'acab equip'!J273)</f>
        <v>0</v>
      </c>
      <c r="M273" s="163">
        <f>COUNTIFS(' CADASTRO'!$R$746:$R$893,'acab equip'!J273,' CADASTRO'!$S$746:$S$893,'acab equip'!$L$3)+COUNTIFS(' CADASTRO'!$R$746:$R$893,'acab equip'!J273,' CADASTRO'!$S$746:$S$893,'acab equip'!$K$3)</f>
        <v>0</v>
      </c>
      <c r="N273" s="162">
        <f t="shared" si="54"/>
        <v>47619</v>
      </c>
      <c r="O273" s="163">
        <f>COUNTIFS(' CADASTRO'!$S:$S,'acab equip'!$C$3,' CADASTRO'!$R:$R,'acab equip'!N273)</f>
        <v>0</v>
      </c>
      <c r="P273" s="163">
        <f>COUNTIFS(' CADASTRO'!$S:$S,'acab equip'!$D$3,' CADASTRO'!$R:$R,'acab equip'!N273)</f>
        <v>0</v>
      </c>
      <c r="Q273" s="163">
        <f>COUNTIFS(' CADASTRO'!$R$746:$R$893,'acab equip'!N273,' CADASTRO'!$S$746:$S$893,'acab equip'!$P$3)+COUNTIFS(' CADASTRO'!$R$746:$R$893,'acab equip'!N273,' CADASTRO'!$S$746:$S$893,'acab equip'!$O$3)</f>
        <v>0</v>
      </c>
      <c r="R273" s="162">
        <f t="shared" si="55"/>
        <v>47620</v>
      </c>
      <c r="S273" s="163">
        <f>COUNTIFS(' CADASTRO'!$S:$S,'acab equip'!$C$3,' CADASTRO'!$R:$R,'acab equip'!R273)</f>
        <v>0</v>
      </c>
      <c r="T273" s="163">
        <f>COUNTIFS(' CADASTRO'!$S:$S,'acab equip'!$D$3,' CADASTRO'!$R:$R,'acab equip'!R273)</f>
        <v>0</v>
      </c>
      <c r="U273" s="163">
        <f>COUNTIFS(' CADASTRO'!$R$746:$R$893,'acab equip'!R273,' CADASTRO'!$S$746:$S$893,'acab equip'!$T$3)+COUNTIFS(' CADASTRO'!$R$746:$R$893,'acab equip'!R273,' CADASTRO'!$S$746:$S$893,'acab equip'!$S$3)</f>
        <v>0</v>
      </c>
      <c r="V273" s="162">
        <f t="shared" si="56"/>
        <v>47621</v>
      </c>
      <c r="W273" s="163">
        <f>COUNTIFS(' CADASTRO'!$S:$S,'acab equip'!$C$3,' CADASTRO'!$R:$R,'acab equip'!V273)</f>
        <v>0</v>
      </c>
      <c r="X273" s="163">
        <f>COUNTIFS(' CADASTRO'!$S:$S,'acab equip'!$D$3,' CADASTRO'!$R:$R,'acab equip'!V273)</f>
        <v>0</v>
      </c>
      <c r="Y273" s="163">
        <f>COUNTIFS(' CADASTRO'!$R$746:$R$893,'acab equip'!V273,' CADASTRO'!$S$746:$S$893,'acab equip'!$X$3)+COUNTIFS(' CADASTRO'!$R$746:$R$893,'acab equip'!V273,' CADASTRO'!$S$746:$S$893,'acab equip'!$W$3)</f>
        <v>0</v>
      </c>
      <c r="Z273" s="162">
        <f t="shared" si="57"/>
        <v>47622</v>
      </c>
      <c r="AB273" s="165">
        <f t="shared" si="47"/>
        <v>0</v>
      </c>
      <c r="AC273" s="165">
        <f t="shared" si="48"/>
        <v>0</v>
      </c>
      <c r="AD273" s="165">
        <f t="shared" si="49"/>
        <v>0</v>
      </c>
      <c r="AE273" s="177">
        <f t="shared" si="50"/>
        <v>0</v>
      </c>
    </row>
    <row r="274" spans="2:31" x14ac:dyDescent="0.25">
      <c r="B274" s="162">
        <f t="shared" si="51"/>
        <v>47623</v>
      </c>
      <c r="C274" s="163">
        <f>COUNTIFS(' CADASTRO'!$S:$S,'acab equip'!$C$3,' CADASTRO'!$R:$R,'acab equip'!B274)</f>
        <v>0</v>
      </c>
      <c r="D274" s="163">
        <f>COUNTIFS(' CADASTRO'!$S:$S,'acab equip'!$D$3,' CADASTRO'!$R:$R,'acab equip'!B274)</f>
        <v>0</v>
      </c>
      <c r="E274" s="163"/>
      <c r="F274" s="162">
        <f t="shared" si="52"/>
        <v>47624</v>
      </c>
      <c r="G274" s="163">
        <f>COUNTIFS(' CADASTRO'!$S:$S,'acab equip'!$C$3,' CADASTRO'!$R:$R,'acab equip'!F274)</f>
        <v>0</v>
      </c>
      <c r="H274" s="163">
        <f>COUNTIFS(' CADASTRO'!$S:$S,'acab equip'!$D$3,' CADASTRO'!$R:$R,'acab equip'!F274)</f>
        <v>0</v>
      </c>
      <c r="I274" s="163"/>
      <c r="J274" s="162">
        <f t="shared" si="53"/>
        <v>47625</v>
      </c>
      <c r="K274" s="163">
        <f>COUNTIFS(' CADASTRO'!$S:$S,'acab equip'!$C$3,' CADASTRO'!$R:$R,'acab equip'!J274)</f>
        <v>0</v>
      </c>
      <c r="L274" s="163">
        <f>COUNTIFS(' CADASTRO'!$S:$S,'acab equip'!$D$3,' CADASTRO'!$R:$R,'acab equip'!J274)</f>
        <v>0</v>
      </c>
      <c r="M274" s="163">
        <f>COUNTIFS(' CADASTRO'!$R$746:$R$893,'acab equip'!J274,' CADASTRO'!$S$746:$S$893,'acab equip'!$L$3)+COUNTIFS(' CADASTRO'!$R$746:$R$893,'acab equip'!J274,' CADASTRO'!$S$746:$S$893,'acab equip'!$K$3)</f>
        <v>0</v>
      </c>
      <c r="N274" s="162">
        <f t="shared" si="54"/>
        <v>47626</v>
      </c>
      <c r="O274" s="163">
        <f>COUNTIFS(' CADASTRO'!$S:$S,'acab equip'!$C$3,' CADASTRO'!$R:$R,'acab equip'!N274)</f>
        <v>0</v>
      </c>
      <c r="P274" s="163">
        <f>COUNTIFS(' CADASTRO'!$S:$S,'acab equip'!$D$3,' CADASTRO'!$R:$R,'acab equip'!N274)</f>
        <v>0</v>
      </c>
      <c r="Q274" s="163">
        <f>COUNTIFS(' CADASTRO'!$R$746:$R$893,'acab equip'!N274,' CADASTRO'!$S$746:$S$893,'acab equip'!$P$3)+COUNTIFS(' CADASTRO'!$R$746:$R$893,'acab equip'!N274,' CADASTRO'!$S$746:$S$893,'acab equip'!$O$3)</f>
        <v>0</v>
      </c>
      <c r="R274" s="162">
        <f t="shared" si="55"/>
        <v>47627</v>
      </c>
      <c r="S274" s="163">
        <f>COUNTIFS(' CADASTRO'!$S:$S,'acab equip'!$C$3,' CADASTRO'!$R:$R,'acab equip'!R274)</f>
        <v>0</v>
      </c>
      <c r="T274" s="163">
        <f>COUNTIFS(' CADASTRO'!$S:$S,'acab equip'!$D$3,' CADASTRO'!$R:$R,'acab equip'!R274)</f>
        <v>0</v>
      </c>
      <c r="U274" s="163">
        <f>COUNTIFS(' CADASTRO'!$R$746:$R$893,'acab equip'!R274,' CADASTRO'!$S$746:$S$893,'acab equip'!$T$3)+COUNTIFS(' CADASTRO'!$R$746:$R$893,'acab equip'!R274,' CADASTRO'!$S$746:$S$893,'acab equip'!$S$3)</f>
        <v>0</v>
      </c>
      <c r="V274" s="162">
        <f t="shared" si="56"/>
        <v>47628</v>
      </c>
      <c r="W274" s="163">
        <f>COUNTIFS(' CADASTRO'!$S:$S,'acab equip'!$C$3,' CADASTRO'!$R:$R,'acab equip'!V274)</f>
        <v>0</v>
      </c>
      <c r="X274" s="163">
        <f>COUNTIFS(' CADASTRO'!$S:$S,'acab equip'!$D$3,' CADASTRO'!$R:$R,'acab equip'!V274)</f>
        <v>0</v>
      </c>
      <c r="Y274" s="163">
        <f>COUNTIFS(' CADASTRO'!$R$746:$R$893,'acab equip'!V274,' CADASTRO'!$S$746:$S$893,'acab equip'!$X$3)+COUNTIFS(' CADASTRO'!$R$746:$R$893,'acab equip'!V274,' CADASTRO'!$S$746:$S$893,'acab equip'!$W$3)</f>
        <v>0</v>
      </c>
      <c r="Z274" s="162">
        <f t="shared" si="57"/>
        <v>47629</v>
      </c>
      <c r="AB274" s="165">
        <f t="shared" si="47"/>
        <v>0</v>
      </c>
      <c r="AC274" s="165">
        <f t="shared" si="48"/>
        <v>0</v>
      </c>
      <c r="AD274" s="165">
        <f t="shared" si="49"/>
        <v>0</v>
      </c>
      <c r="AE274" s="177">
        <f t="shared" si="50"/>
        <v>0</v>
      </c>
    </row>
    <row r="275" spans="2:31" x14ac:dyDescent="0.25">
      <c r="B275" s="162">
        <f t="shared" si="51"/>
        <v>47630</v>
      </c>
      <c r="C275" s="163">
        <f>COUNTIFS(' CADASTRO'!$S:$S,'acab equip'!$C$3,' CADASTRO'!$R:$R,'acab equip'!B275)</f>
        <v>0</v>
      </c>
      <c r="D275" s="163">
        <f>COUNTIFS(' CADASTRO'!$S:$S,'acab equip'!$D$3,' CADASTRO'!$R:$R,'acab equip'!B275)</f>
        <v>0</v>
      </c>
      <c r="E275" s="163"/>
      <c r="F275" s="162">
        <f t="shared" si="52"/>
        <v>47631</v>
      </c>
      <c r="G275" s="163">
        <f>COUNTIFS(' CADASTRO'!$S:$S,'acab equip'!$C$3,' CADASTRO'!$R:$R,'acab equip'!F275)</f>
        <v>0</v>
      </c>
      <c r="H275" s="163">
        <f>COUNTIFS(' CADASTRO'!$S:$S,'acab equip'!$D$3,' CADASTRO'!$R:$R,'acab equip'!F275)</f>
        <v>0</v>
      </c>
      <c r="I275" s="163"/>
      <c r="J275" s="162">
        <f t="shared" si="53"/>
        <v>47632</v>
      </c>
      <c r="K275" s="163">
        <f>COUNTIFS(' CADASTRO'!$S:$S,'acab equip'!$C$3,' CADASTRO'!$R:$R,'acab equip'!J275)</f>
        <v>0</v>
      </c>
      <c r="L275" s="163">
        <f>COUNTIFS(' CADASTRO'!$S:$S,'acab equip'!$D$3,' CADASTRO'!$R:$R,'acab equip'!J275)</f>
        <v>0</v>
      </c>
      <c r="M275" s="163">
        <f>COUNTIFS(' CADASTRO'!$R$746:$R$893,'acab equip'!J275,' CADASTRO'!$S$746:$S$893,'acab equip'!$L$3)+COUNTIFS(' CADASTRO'!$R$746:$R$893,'acab equip'!J275,' CADASTRO'!$S$746:$S$893,'acab equip'!$K$3)</f>
        <v>0</v>
      </c>
      <c r="N275" s="162">
        <f t="shared" si="54"/>
        <v>47633</v>
      </c>
      <c r="O275" s="163">
        <f>COUNTIFS(' CADASTRO'!$S:$S,'acab equip'!$C$3,' CADASTRO'!$R:$R,'acab equip'!N275)</f>
        <v>0</v>
      </c>
      <c r="P275" s="163">
        <f>COUNTIFS(' CADASTRO'!$S:$S,'acab equip'!$D$3,' CADASTRO'!$R:$R,'acab equip'!N275)</f>
        <v>0</v>
      </c>
      <c r="Q275" s="163">
        <f>COUNTIFS(' CADASTRO'!$R$746:$R$893,'acab equip'!N275,' CADASTRO'!$S$746:$S$893,'acab equip'!$P$3)+COUNTIFS(' CADASTRO'!$R$746:$R$893,'acab equip'!N275,' CADASTRO'!$S$746:$S$893,'acab equip'!$O$3)</f>
        <v>0</v>
      </c>
      <c r="R275" s="162">
        <f t="shared" si="55"/>
        <v>47634</v>
      </c>
      <c r="S275" s="163">
        <f>COUNTIFS(' CADASTRO'!$S:$S,'acab equip'!$C$3,' CADASTRO'!$R:$R,'acab equip'!R275)</f>
        <v>0</v>
      </c>
      <c r="T275" s="163">
        <f>COUNTIFS(' CADASTRO'!$S:$S,'acab equip'!$D$3,' CADASTRO'!$R:$R,'acab equip'!R275)</f>
        <v>0</v>
      </c>
      <c r="U275" s="163">
        <f>COUNTIFS(' CADASTRO'!$R$746:$R$893,'acab equip'!R275,' CADASTRO'!$S$746:$S$893,'acab equip'!$T$3)+COUNTIFS(' CADASTRO'!$R$746:$R$893,'acab equip'!R275,' CADASTRO'!$S$746:$S$893,'acab equip'!$S$3)</f>
        <v>0</v>
      </c>
      <c r="V275" s="162">
        <f t="shared" si="56"/>
        <v>47635</v>
      </c>
      <c r="W275" s="163">
        <f>COUNTIFS(' CADASTRO'!$S:$S,'acab equip'!$C$3,' CADASTRO'!$R:$R,'acab equip'!V275)</f>
        <v>0</v>
      </c>
      <c r="X275" s="163">
        <f>COUNTIFS(' CADASTRO'!$S:$S,'acab equip'!$D$3,' CADASTRO'!$R:$R,'acab equip'!V275)</f>
        <v>0</v>
      </c>
      <c r="Y275" s="163">
        <f>COUNTIFS(' CADASTRO'!$R$746:$R$893,'acab equip'!V275,' CADASTRO'!$S$746:$S$893,'acab equip'!$X$3)+COUNTIFS(' CADASTRO'!$R$746:$R$893,'acab equip'!V275,' CADASTRO'!$S$746:$S$893,'acab equip'!$W$3)</f>
        <v>0</v>
      </c>
      <c r="Z275" s="162">
        <f t="shared" si="57"/>
        <v>47636</v>
      </c>
      <c r="AB275" s="165">
        <f t="shared" si="47"/>
        <v>0</v>
      </c>
      <c r="AC275" s="165">
        <f t="shared" si="48"/>
        <v>0</v>
      </c>
      <c r="AD275" s="165">
        <f t="shared" si="49"/>
        <v>0</v>
      </c>
      <c r="AE275" s="177">
        <f t="shared" si="50"/>
        <v>0</v>
      </c>
    </row>
    <row r="276" spans="2:31" x14ac:dyDescent="0.25">
      <c r="B276" s="162">
        <f t="shared" si="51"/>
        <v>47637</v>
      </c>
      <c r="C276" s="163">
        <f>COUNTIFS(' CADASTRO'!$S:$S,'acab equip'!$C$3,' CADASTRO'!$R:$R,'acab equip'!B276)</f>
        <v>0</v>
      </c>
      <c r="D276" s="163">
        <f>COUNTIFS(' CADASTRO'!$S:$S,'acab equip'!$D$3,' CADASTRO'!$R:$R,'acab equip'!B276)</f>
        <v>0</v>
      </c>
      <c r="E276" s="163"/>
      <c r="F276" s="162">
        <f t="shared" si="52"/>
        <v>47638</v>
      </c>
      <c r="G276" s="163">
        <f>COUNTIFS(' CADASTRO'!$S:$S,'acab equip'!$C$3,' CADASTRO'!$R:$R,'acab equip'!F276)</f>
        <v>0</v>
      </c>
      <c r="H276" s="163">
        <f>COUNTIFS(' CADASTRO'!$S:$S,'acab equip'!$D$3,' CADASTRO'!$R:$R,'acab equip'!F276)</f>
        <v>0</v>
      </c>
      <c r="I276" s="163"/>
      <c r="J276" s="162">
        <f t="shared" si="53"/>
        <v>47639</v>
      </c>
      <c r="K276" s="163">
        <f>COUNTIFS(' CADASTRO'!$S:$S,'acab equip'!$C$3,' CADASTRO'!$R:$R,'acab equip'!J276)</f>
        <v>0</v>
      </c>
      <c r="L276" s="163">
        <f>COUNTIFS(' CADASTRO'!$S:$S,'acab equip'!$D$3,' CADASTRO'!$R:$R,'acab equip'!J276)</f>
        <v>0</v>
      </c>
      <c r="M276" s="163">
        <f>COUNTIFS(' CADASTRO'!$R$746:$R$893,'acab equip'!J276,' CADASTRO'!$S$746:$S$893,'acab equip'!$L$3)+COUNTIFS(' CADASTRO'!$R$746:$R$893,'acab equip'!J276,' CADASTRO'!$S$746:$S$893,'acab equip'!$K$3)</f>
        <v>0</v>
      </c>
      <c r="N276" s="162">
        <f t="shared" si="54"/>
        <v>47640</v>
      </c>
      <c r="O276" s="163">
        <f>COUNTIFS(' CADASTRO'!$S:$S,'acab equip'!$C$3,' CADASTRO'!$R:$R,'acab equip'!N276)</f>
        <v>0</v>
      </c>
      <c r="P276" s="163">
        <f>COUNTIFS(' CADASTRO'!$S:$S,'acab equip'!$D$3,' CADASTRO'!$R:$R,'acab equip'!N276)</f>
        <v>0</v>
      </c>
      <c r="Q276" s="163">
        <f>COUNTIFS(' CADASTRO'!$R$746:$R$893,'acab equip'!N276,' CADASTRO'!$S$746:$S$893,'acab equip'!$P$3)+COUNTIFS(' CADASTRO'!$R$746:$R$893,'acab equip'!N276,' CADASTRO'!$S$746:$S$893,'acab equip'!$O$3)</f>
        <v>0</v>
      </c>
      <c r="R276" s="162">
        <f t="shared" si="55"/>
        <v>47641</v>
      </c>
      <c r="S276" s="163">
        <f>COUNTIFS(' CADASTRO'!$S:$S,'acab equip'!$C$3,' CADASTRO'!$R:$R,'acab equip'!R276)</f>
        <v>0</v>
      </c>
      <c r="T276" s="163">
        <f>COUNTIFS(' CADASTRO'!$S:$S,'acab equip'!$D$3,' CADASTRO'!$R:$R,'acab equip'!R276)</f>
        <v>0</v>
      </c>
      <c r="U276" s="163">
        <f>COUNTIFS(' CADASTRO'!$R$746:$R$893,'acab equip'!R276,' CADASTRO'!$S$746:$S$893,'acab equip'!$T$3)+COUNTIFS(' CADASTRO'!$R$746:$R$893,'acab equip'!R276,' CADASTRO'!$S$746:$S$893,'acab equip'!$S$3)</f>
        <v>0</v>
      </c>
      <c r="V276" s="162">
        <f t="shared" si="56"/>
        <v>47642</v>
      </c>
      <c r="W276" s="163">
        <f>COUNTIFS(' CADASTRO'!$S:$S,'acab equip'!$C$3,' CADASTRO'!$R:$R,'acab equip'!V276)</f>
        <v>0</v>
      </c>
      <c r="X276" s="163">
        <f>COUNTIFS(' CADASTRO'!$S:$S,'acab equip'!$D$3,' CADASTRO'!$R:$R,'acab equip'!V276)</f>
        <v>0</v>
      </c>
      <c r="Y276" s="163">
        <f>COUNTIFS(' CADASTRO'!$R$746:$R$893,'acab equip'!V276,' CADASTRO'!$S$746:$S$893,'acab equip'!$X$3)+COUNTIFS(' CADASTRO'!$R$746:$R$893,'acab equip'!V276,' CADASTRO'!$S$746:$S$893,'acab equip'!$W$3)</f>
        <v>0</v>
      </c>
      <c r="Z276" s="162">
        <f t="shared" si="57"/>
        <v>47643</v>
      </c>
      <c r="AB276" s="165">
        <f t="shared" si="47"/>
        <v>0</v>
      </c>
      <c r="AC276" s="165">
        <f t="shared" si="48"/>
        <v>0</v>
      </c>
      <c r="AD276" s="165">
        <f t="shared" si="49"/>
        <v>0</v>
      </c>
      <c r="AE276" s="177">
        <f t="shared" si="50"/>
        <v>0</v>
      </c>
    </row>
    <row r="277" spans="2:31" x14ac:dyDescent="0.25">
      <c r="B277" s="162">
        <f t="shared" si="51"/>
        <v>47644</v>
      </c>
      <c r="C277" s="163">
        <f>COUNTIFS(' CADASTRO'!$S:$S,'acab equip'!$C$3,' CADASTRO'!$R:$R,'acab equip'!B277)</f>
        <v>0</v>
      </c>
      <c r="D277" s="163">
        <f>COUNTIFS(' CADASTRO'!$S:$S,'acab equip'!$D$3,' CADASTRO'!$R:$R,'acab equip'!B277)</f>
        <v>0</v>
      </c>
      <c r="E277" s="163"/>
      <c r="F277" s="162">
        <f t="shared" si="52"/>
        <v>47645</v>
      </c>
      <c r="G277" s="163">
        <f>COUNTIFS(' CADASTRO'!$S:$S,'acab equip'!$C$3,' CADASTRO'!$R:$R,'acab equip'!F277)</f>
        <v>0</v>
      </c>
      <c r="H277" s="163">
        <f>COUNTIFS(' CADASTRO'!$S:$S,'acab equip'!$D$3,' CADASTRO'!$R:$R,'acab equip'!F277)</f>
        <v>0</v>
      </c>
      <c r="I277" s="163"/>
      <c r="J277" s="162">
        <f t="shared" si="53"/>
        <v>47646</v>
      </c>
      <c r="K277" s="163">
        <f>COUNTIFS(' CADASTRO'!$S:$S,'acab equip'!$C$3,' CADASTRO'!$R:$R,'acab equip'!J277)</f>
        <v>0</v>
      </c>
      <c r="L277" s="163">
        <f>COUNTIFS(' CADASTRO'!$S:$S,'acab equip'!$D$3,' CADASTRO'!$R:$R,'acab equip'!J277)</f>
        <v>0</v>
      </c>
      <c r="M277" s="163">
        <f>COUNTIFS(' CADASTRO'!$R$746:$R$893,'acab equip'!J277,' CADASTRO'!$S$746:$S$893,'acab equip'!$L$3)+COUNTIFS(' CADASTRO'!$R$746:$R$893,'acab equip'!J277,' CADASTRO'!$S$746:$S$893,'acab equip'!$K$3)</f>
        <v>0</v>
      </c>
      <c r="N277" s="162">
        <f t="shared" si="54"/>
        <v>47647</v>
      </c>
      <c r="O277" s="163">
        <f>COUNTIFS(' CADASTRO'!$S:$S,'acab equip'!$C$3,' CADASTRO'!$R:$R,'acab equip'!N277)</f>
        <v>0</v>
      </c>
      <c r="P277" s="163">
        <f>COUNTIFS(' CADASTRO'!$S:$S,'acab equip'!$D$3,' CADASTRO'!$R:$R,'acab equip'!N277)</f>
        <v>0</v>
      </c>
      <c r="Q277" s="163">
        <f>COUNTIFS(' CADASTRO'!$R$746:$R$893,'acab equip'!N277,' CADASTRO'!$S$746:$S$893,'acab equip'!$P$3)+COUNTIFS(' CADASTRO'!$R$746:$R$893,'acab equip'!N277,' CADASTRO'!$S$746:$S$893,'acab equip'!$O$3)</f>
        <v>0</v>
      </c>
      <c r="R277" s="162">
        <f t="shared" si="55"/>
        <v>47648</v>
      </c>
      <c r="S277" s="163">
        <f>COUNTIFS(' CADASTRO'!$S:$S,'acab equip'!$C$3,' CADASTRO'!$R:$R,'acab equip'!R277)</f>
        <v>0</v>
      </c>
      <c r="T277" s="163">
        <f>COUNTIFS(' CADASTRO'!$S:$S,'acab equip'!$D$3,' CADASTRO'!$R:$R,'acab equip'!R277)</f>
        <v>0</v>
      </c>
      <c r="U277" s="163">
        <f>COUNTIFS(' CADASTRO'!$R$746:$R$893,'acab equip'!R277,' CADASTRO'!$S$746:$S$893,'acab equip'!$T$3)+COUNTIFS(' CADASTRO'!$R$746:$R$893,'acab equip'!R277,' CADASTRO'!$S$746:$S$893,'acab equip'!$S$3)</f>
        <v>0</v>
      </c>
      <c r="V277" s="162">
        <f t="shared" si="56"/>
        <v>47649</v>
      </c>
      <c r="W277" s="163">
        <f>COUNTIFS(' CADASTRO'!$S:$S,'acab equip'!$C$3,' CADASTRO'!$R:$R,'acab equip'!V277)</f>
        <v>0</v>
      </c>
      <c r="X277" s="163">
        <f>COUNTIFS(' CADASTRO'!$S:$S,'acab equip'!$D$3,' CADASTRO'!$R:$R,'acab equip'!V277)</f>
        <v>0</v>
      </c>
      <c r="Y277" s="163">
        <f>COUNTIFS(' CADASTRO'!$R$746:$R$893,'acab equip'!V277,' CADASTRO'!$S$746:$S$893,'acab equip'!$X$3)+COUNTIFS(' CADASTRO'!$R$746:$R$893,'acab equip'!V277,' CADASTRO'!$S$746:$S$893,'acab equip'!$W$3)</f>
        <v>0</v>
      </c>
      <c r="Z277" s="162">
        <f t="shared" si="57"/>
        <v>47650</v>
      </c>
      <c r="AB277" s="165">
        <f t="shared" si="47"/>
        <v>0</v>
      </c>
      <c r="AC277" s="165">
        <f t="shared" si="48"/>
        <v>0</v>
      </c>
      <c r="AD277" s="165">
        <f t="shared" si="49"/>
        <v>0</v>
      </c>
      <c r="AE277" s="177">
        <f t="shared" si="50"/>
        <v>0</v>
      </c>
    </row>
    <row r="278" spans="2:31" x14ac:dyDescent="0.25">
      <c r="B278" s="162">
        <f t="shared" si="51"/>
        <v>47651</v>
      </c>
      <c r="C278" s="163">
        <f>COUNTIFS(' CADASTRO'!$S:$S,'acab equip'!$C$3,' CADASTRO'!$R:$R,'acab equip'!B278)</f>
        <v>0</v>
      </c>
      <c r="D278" s="163">
        <f>COUNTIFS(' CADASTRO'!$S:$S,'acab equip'!$D$3,' CADASTRO'!$R:$R,'acab equip'!B278)</f>
        <v>0</v>
      </c>
      <c r="E278" s="163"/>
      <c r="F278" s="162">
        <f t="shared" si="52"/>
        <v>47652</v>
      </c>
      <c r="G278" s="163">
        <f>COUNTIFS(' CADASTRO'!$S:$S,'acab equip'!$C$3,' CADASTRO'!$R:$R,'acab equip'!F278)</f>
        <v>0</v>
      </c>
      <c r="H278" s="163">
        <f>COUNTIFS(' CADASTRO'!$S:$S,'acab equip'!$D$3,' CADASTRO'!$R:$R,'acab equip'!F278)</f>
        <v>0</v>
      </c>
      <c r="I278" s="163"/>
      <c r="J278" s="162">
        <f t="shared" si="53"/>
        <v>47653</v>
      </c>
      <c r="K278" s="163">
        <f>COUNTIFS(' CADASTRO'!$S:$S,'acab equip'!$C$3,' CADASTRO'!$R:$R,'acab equip'!J278)</f>
        <v>0</v>
      </c>
      <c r="L278" s="163">
        <f>COUNTIFS(' CADASTRO'!$S:$S,'acab equip'!$D$3,' CADASTRO'!$R:$R,'acab equip'!J278)</f>
        <v>0</v>
      </c>
      <c r="M278" s="163">
        <f>COUNTIFS(' CADASTRO'!$R$746:$R$893,'acab equip'!J278,' CADASTRO'!$S$746:$S$893,'acab equip'!$L$3)+COUNTIFS(' CADASTRO'!$R$746:$R$893,'acab equip'!J278,' CADASTRO'!$S$746:$S$893,'acab equip'!$K$3)</f>
        <v>0</v>
      </c>
      <c r="N278" s="162">
        <f t="shared" si="54"/>
        <v>47654</v>
      </c>
      <c r="O278" s="163">
        <f>COUNTIFS(' CADASTRO'!$S:$S,'acab equip'!$C$3,' CADASTRO'!$R:$R,'acab equip'!N278)</f>
        <v>0</v>
      </c>
      <c r="P278" s="163">
        <f>COUNTIFS(' CADASTRO'!$S:$S,'acab equip'!$D$3,' CADASTRO'!$R:$R,'acab equip'!N278)</f>
        <v>0</v>
      </c>
      <c r="Q278" s="163">
        <f>COUNTIFS(' CADASTRO'!$R$746:$R$893,'acab equip'!N278,' CADASTRO'!$S$746:$S$893,'acab equip'!$P$3)+COUNTIFS(' CADASTRO'!$R$746:$R$893,'acab equip'!N278,' CADASTRO'!$S$746:$S$893,'acab equip'!$O$3)</f>
        <v>0</v>
      </c>
      <c r="R278" s="162">
        <f t="shared" si="55"/>
        <v>47655</v>
      </c>
      <c r="S278" s="163">
        <f>COUNTIFS(' CADASTRO'!$S:$S,'acab equip'!$C$3,' CADASTRO'!$R:$R,'acab equip'!R278)</f>
        <v>0</v>
      </c>
      <c r="T278" s="163">
        <f>COUNTIFS(' CADASTRO'!$S:$S,'acab equip'!$D$3,' CADASTRO'!$R:$R,'acab equip'!R278)</f>
        <v>0</v>
      </c>
      <c r="U278" s="163">
        <f>COUNTIFS(' CADASTRO'!$R$746:$R$893,'acab equip'!R278,' CADASTRO'!$S$746:$S$893,'acab equip'!$T$3)+COUNTIFS(' CADASTRO'!$R$746:$R$893,'acab equip'!R278,' CADASTRO'!$S$746:$S$893,'acab equip'!$S$3)</f>
        <v>0</v>
      </c>
      <c r="V278" s="162">
        <f t="shared" si="56"/>
        <v>47656</v>
      </c>
      <c r="W278" s="163">
        <f>COUNTIFS(' CADASTRO'!$S:$S,'acab equip'!$C$3,' CADASTRO'!$R:$R,'acab equip'!V278)</f>
        <v>0</v>
      </c>
      <c r="X278" s="163">
        <f>COUNTIFS(' CADASTRO'!$S:$S,'acab equip'!$D$3,' CADASTRO'!$R:$R,'acab equip'!V278)</f>
        <v>0</v>
      </c>
      <c r="Y278" s="163">
        <f>COUNTIFS(' CADASTRO'!$R$746:$R$893,'acab equip'!V278,' CADASTRO'!$S$746:$S$893,'acab equip'!$X$3)+COUNTIFS(' CADASTRO'!$R$746:$R$893,'acab equip'!V278,' CADASTRO'!$S$746:$S$893,'acab equip'!$W$3)</f>
        <v>0</v>
      </c>
      <c r="Z278" s="162">
        <f t="shared" si="57"/>
        <v>47657</v>
      </c>
      <c r="AB278" s="165">
        <f t="shared" si="47"/>
        <v>0</v>
      </c>
      <c r="AC278" s="165">
        <f t="shared" si="48"/>
        <v>0</v>
      </c>
      <c r="AD278" s="165">
        <f t="shared" si="49"/>
        <v>0</v>
      </c>
      <c r="AE278" s="177">
        <f t="shared" si="50"/>
        <v>0</v>
      </c>
    </row>
    <row r="279" spans="2:31" x14ac:dyDescent="0.25">
      <c r="B279" s="162">
        <f t="shared" si="51"/>
        <v>47658</v>
      </c>
      <c r="C279" s="163">
        <f>COUNTIFS(' CADASTRO'!$S:$S,'acab equip'!$C$3,' CADASTRO'!$R:$R,'acab equip'!B279)</f>
        <v>0</v>
      </c>
      <c r="D279" s="163">
        <f>COUNTIFS(' CADASTRO'!$S:$S,'acab equip'!$D$3,' CADASTRO'!$R:$R,'acab equip'!B279)</f>
        <v>0</v>
      </c>
      <c r="E279" s="163"/>
      <c r="F279" s="162">
        <f t="shared" si="52"/>
        <v>47659</v>
      </c>
      <c r="G279" s="163">
        <f>COUNTIFS(' CADASTRO'!$S:$S,'acab equip'!$C$3,' CADASTRO'!$R:$R,'acab equip'!F279)</f>
        <v>0</v>
      </c>
      <c r="H279" s="163">
        <f>COUNTIFS(' CADASTRO'!$S:$S,'acab equip'!$D$3,' CADASTRO'!$R:$R,'acab equip'!F279)</f>
        <v>0</v>
      </c>
      <c r="I279" s="163"/>
      <c r="J279" s="162">
        <f t="shared" si="53"/>
        <v>47660</v>
      </c>
      <c r="K279" s="163">
        <f>COUNTIFS(' CADASTRO'!$S:$S,'acab equip'!$C$3,' CADASTRO'!$R:$R,'acab equip'!J279)</f>
        <v>0</v>
      </c>
      <c r="L279" s="163">
        <f>COUNTIFS(' CADASTRO'!$S:$S,'acab equip'!$D$3,' CADASTRO'!$R:$R,'acab equip'!J279)</f>
        <v>0</v>
      </c>
      <c r="M279" s="163">
        <f>COUNTIFS(' CADASTRO'!$R$746:$R$893,'acab equip'!J279,' CADASTRO'!$S$746:$S$893,'acab equip'!$L$3)+COUNTIFS(' CADASTRO'!$R$746:$R$893,'acab equip'!J279,' CADASTRO'!$S$746:$S$893,'acab equip'!$K$3)</f>
        <v>0</v>
      </c>
      <c r="N279" s="162">
        <f t="shared" si="54"/>
        <v>47661</v>
      </c>
      <c r="O279" s="163">
        <f>COUNTIFS(' CADASTRO'!$S:$S,'acab equip'!$C$3,' CADASTRO'!$R:$R,'acab equip'!N279)</f>
        <v>0</v>
      </c>
      <c r="P279" s="163">
        <f>COUNTIFS(' CADASTRO'!$S:$S,'acab equip'!$D$3,' CADASTRO'!$R:$R,'acab equip'!N279)</f>
        <v>0</v>
      </c>
      <c r="Q279" s="163">
        <f>COUNTIFS(' CADASTRO'!$R$746:$R$893,'acab equip'!N279,' CADASTRO'!$S$746:$S$893,'acab equip'!$P$3)+COUNTIFS(' CADASTRO'!$R$746:$R$893,'acab equip'!N279,' CADASTRO'!$S$746:$S$893,'acab equip'!$O$3)</f>
        <v>0</v>
      </c>
      <c r="R279" s="162">
        <f t="shared" si="55"/>
        <v>47662</v>
      </c>
      <c r="S279" s="163">
        <f>COUNTIFS(' CADASTRO'!$S:$S,'acab equip'!$C$3,' CADASTRO'!$R:$R,'acab equip'!R279)</f>
        <v>0</v>
      </c>
      <c r="T279" s="163">
        <f>COUNTIFS(' CADASTRO'!$S:$S,'acab equip'!$D$3,' CADASTRO'!$R:$R,'acab equip'!R279)</f>
        <v>0</v>
      </c>
      <c r="U279" s="163">
        <f>COUNTIFS(' CADASTRO'!$R$746:$R$893,'acab equip'!R279,' CADASTRO'!$S$746:$S$893,'acab equip'!$T$3)+COUNTIFS(' CADASTRO'!$R$746:$R$893,'acab equip'!R279,' CADASTRO'!$S$746:$S$893,'acab equip'!$S$3)</f>
        <v>0</v>
      </c>
      <c r="V279" s="162">
        <f t="shared" si="56"/>
        <v>47663</v>
      </c>
      <c r="W279" s="163">
        <f>COUNTIFS(' CADASTRO'!$S:$S,'acab equip'!$C$3,' CADASTRO'!$R:$R,'acab equip'!V279)</f>
        <v>0</v>
      </c>
      <c r="X279" s="163">
        <f>COUNTIFS(' CADASTRO'!$S:$S,'acab equip'!$D$3,' CADASTRO'!$R:$R,'acab equip'!V279)</f>
        <v>0</v>
      </c>
      <c r="Y279" s="163">
        <f>COUNTIFS(' CADASTRO'!$R$746:$R$893,'acab equip'!V279,' CADASTRO'!$S$746:$S$893,'acab equip'!$X$3)+COUNTIFS(' CADASTRO'!$R$746:$R$893,'acab equip'!V279,' CADASTRO'!$S$746:$S$893,'acab equip'!$W$3)</f>
        <v>0</v>
      </c>
      <c r="Z279" s="162">
        <f t="shared" si="57"/>
        <v>47664</v>
      </c>
      <c r="AB279" s="165">
        <f t="shared" si="47"/>
        <v>0</v>
      </c>
      <c r="AC279" s="165">
        <f t="shared" si="48"/>
        <v>0</v>
      </c>
      <c r="AD279" s="165">
        <f t="shared" si="49"/>
        <v>0</v>
      </c>
      <c r="AE279" s="177">
        <f t="shared" si="50"/>
        <v>0</v>
      </c>
    </row>
    <row r="280" spans="2:31" x14ac:dyDescent="0.25">
      <c r="B280" s="162">
        <f t="shared" si="51"/>
        <v>47665</v>
      </c>
      <c r="C280" s="163">
        <f>COUNTIFS(' CADASTRO'!$S:$S,'acab equip'!$C$3,' CADASTRO'!$R:$R,'acab equip'!B280)</f>
        <v>0</v>
      </c>
      <c r="D280" s="163">
        <f>COUNTIFS(' CADASTRO'!$S:$S,'acab equip'!$D$3,' CADASTRO'!$R:$R,'acab equip'!B280)</f>
        <v>0</v>
      </c>
      <c r="E280" s="163"/>
      <c r="F280" s="162">
        <f t="shared" si="52"/>
        <v>47666</v>
      </c>
      <c r="G280" s="163">
        <f>COUNTIFS(' CADASTRO'!$S:$S,'acab equip'!$C$3,' CADASTRO'!$R:$R,'acab equip'!F280)</f>
        <v>0</v>
      </c>
      <c r="H280" s="163">
        <f>COUNTIFS(' CADASTRO'!$S:$S,'acab equip'!$D$3,' CADASTRO'!$R:$R,'acab equip'!F280)</f>
        <v>0</v>
      </c>
      <c r="I280" s="163"/>
      <c r="J280" s="162">
        <f t="shared" si="53"/>
        <v>47667</v>
      </c>
      <c r="K280" s="163">
        <f>COUNTIFS(' CADASTRO'!$S:$S,'acab equip'!$C$3,' CADASTRO'!$R:$R,'acab equip'!J280)</f>
        <v>0</v>
      </c>
      <c r="L280" s="163">
        <f>COUNTIFS(' CADASTRO'!$S:$S,'acab equip'!$D$3,' CADASTRO'!$R:$R,'acab equip'!J280)</f>
        <v>0</v>
      </c>
      <c r="M280" s="163">
        <f>COUNTIFS(' CADASTRO'!$R$746:$R$893,'acab equip'!J280,' CADASTRO'!$S$746:$S$893,'acab equip'!$L$3)+COUNTIFS(' CADASTRO'!$R$746:$R$893,'acab equip'!J280,' CADASTRO'!$S$746:$S$893,'acab equip'!$K$3)</f>
        <v>0</v>
      </c>
      <c r="N280" s="162">
        <f t="shared" si="54"/>
        <v>47668</v>
      </c>
      <c r="O280" s="163">
        <f>COUNTIFS(' CADASTRO'!$S:$S,'acab equip'!$C$3,' CADASTRO'!$R:$R,'acab equip'!N280)</f>
        <v>0</v>
      </c>
      <c r="P280" s="163">
        <f>COUNTIFS(' CADASTRO'!$S:$S,'acab equip'!$D$3,' CADASTRO'!$R:$R,'acab equip'!N280)</f>
        <v>0</v>
      </c>
      <c r="Q280" s="163">
        <f>COUNTIFS(' CADASTRO'!$R$746:$R$893,'acab equip'!N280,' CADASTRO'!$S$746:$S$893,'acab equip'!$P$3)+COUNTIFS(' CADASTRO'!$R$746:$R$893,'acab equip'!N280,' CADASTRO'!$S$746:$S$893,'acab equip'!$O$3)</f>
        <v>0</v>
      </c>
      <c r="R280" s="162">
        <f t="shared" si="55"/>
        <v>47669</v>
      </c>
      <c r="S280" s="163">
        <f>COUNTIFS(' CADASTRO'!$S:$S,'acab equip'!$C$3,' CADASTRO'!$R:$R,'acab equip'!R280)</f>
        <v>0</v>
      </c>
      <c r="T280" s="163">
        <f>COUNTIFS(' CADASTRO'!$S:$S,'acab equip'!$D$3,' CADASTRO'!$R:$R,'acab equip'!R280)</f>
        <v>0</v>
      </c>
      <c r="U280" s="163">
        <f>COUNTIFS(' CADASTRO'!$R$746:$R$893,'acab equip'!R280,' CADASTRO'!$S$746:$S$893,'acab equip'!$T$3)+COUNTIFS(' CADASTRO'!$R$746:$R$893,'acab equip'!R280,' CADASTRO'!$S$746:$S$893,'acab equip'!$S$3)</f>
        <v>0</v>
      </c>
      <c r="V280" s="162">
        <f t="shared" si="56"/>
        <v>47670</v>
      </c>
      <c r="W280" s="163">
        <f>COUNTIFS(' CADASTRO'!$S:$S,'acab equip'!$C$3,' CADASTRO'!$R:$R,'acab equip'!V280)</f>
        <v>0</v>
      </c>
      <c r="X280" s="163">
        <f>COUNTIFS(' CADASTRO'!$S:$S,'acab equip'!$D$3,' CADASTRO'!$R:$R,'acab equip'!V280)</f>
        <v>0</v>
      </c>
      <c r="Y280" s="163">
        <f>COUNTIFS(' CADASTRO'!$R$746:$R$893,'acab equip'!V280,' CADASTRO'!$S$746:$S$893,'acab equip'!$X$3)+COUNTIFS(' CADASTRO'!$R$746:$R$893,'acab equip'!V280,' CADASTRO'!$S$746:$S$893,'acab equip'!$W$3)</f>
        <v>0</v>
      </c>
      <c r="Z280" s="162">
        <f t="shared" si="57"/>
        <v>47671</v>
      </c>
      <c r="AB280" s="165">
        <f t="shared" si="47"/>
        <v>0</v>
      </c>
      <c r="AC280" s="165">
        <f t="shared" si="48"/>
        <v>0</v>
      </c>
      <c r="AD280" s="165">
        <f t="shared" si="49"/>
        <v>0</v>
      </c>
      <c r="AE280" s="177">
        <f t="shared" si="50"/>
        <v>0</v>
      </c>
    </row>
    <row r="281" spans="2:31" x14ac:dyDescent="0.25">
      <c r="B281" s="162">
        <f t="shared" si="51"/>
        <v>47672</v>
      </c>
      <c r="C281" s="163">
        <f>COUNTIFS(' CADASTRO'!$S:$S,'acab equip'!$C$3,' CADASTRO'!$R:$R,'acab equip'!B281)</f>
        <v>0</v>
      </c>
      <c r="D281" s="163">
        <f>COUNTIFS(' CADASTRO'!$S:$S,'acab equip'!$D$3,' CADASTRO'!$R:$R,'acab equip'!B281)</f>
        <v>0</v>
      </c>
      <c r="E281" s="163"/>
      <c r="F281" s="162">
        <f t="shared" si="52"/>
        <v>47673</v>
      </c>
      <c r="G281" s="163">
        <f>COUNTIFS(' CADASTRO'!$S:$S,'acab equip'!$C$3,' CADASTRO'!$R:$R,'acab equip'!F281)</f>
        <v>0</v>
      </c>
      <c r="H281" s="163">
        <f>COUNTIFS(' CADASTRO'!$S:$S,'acab equip'!$D$3,' CADASTRO'!$R:$R,'acab equip'!F281)</f>
        <v>0</v>
      </c>
      <c r="I281" s="163"/>
      <c r="J281" s="162">
        <f t="shared" si="53"/>
        <v>47674</v>
      </c>
      <c r="K281" s="163">
        <f>COUNTIFS(' CADASTRO'!$S:$S,'acab equip'!$C$3,' CADASTRO'!$R:$R,'acab equip'!J281)</f>
        <v>0</v>
      </c>
      <c r="L281" s="163">
        <f>COUNTIFS(' CADASTRO'!$S:$S,'acab equip'!$D$3,' CADASTRO'!$R:$R,'acab equip'!J281)</f>
        <v>0</v>
      </c>
      <c r="M281" s="163">
        <f>COUNTIFS(' CADASTRO'!$R$746:$R$893,'acab equip'!J281,' CADASTRO'!$S$746:$S$893,'acab equip'!$L$3)+COUNTIFS(' CADASTRO'!$R$746:$R$893,'acab equip'!J281,' CADASTRO'!$S$746:$S$893,'acab equip'!$K$3)</f>
        <v>0</v>
      </c>
      <c r="N281" s="162">
        <f t="shared" si="54"/>
        <v>47675</v>
      </c>
      <c r="O281" s="163">
        <f>COUNTIFS(' CADASTRO'!$S:$S,'acab equip'!$C$3,' CADASTRO'!$R:$R,'acab equip'!N281)</f>
        <v>0</v>
      </c>
      <c r="P281" s="163">
        <f>COUNTIFS(' CADASTRO'!$S:$S,'acab equip'!$D$3,' CADASTRO'!$R:$R,'acab equip'!N281)</f>
        <v>0</v>
      </c>
      <c r="Q281" s="163">
        <f>COUNTIFS(' CADASTRO'!$R$746:$R$893,'acab equip'!N281,' CADASTRO'!$S$746:$S$893,'acab equip'!$P$3)+COUNTIFS(' CADASTRO'!$R$746:$R$893,'acab equip'!N281,' CADASTRO'!$S$746:$S$893,'acab equip'!$O$3)</f>
        <v>0</v>
      </c>
      <c r="R281" s="162">
        <f t="shared" si="55"/>
        <v>47676</v>
      </c>
      <c r="S281" s="163">
        <f>COUNTIFS(' CADASTRO'!$S:$S,'acab equip'!$C$3,' CADASTRO'!$R:$R,'acab equip'!R281)</f>
        <v>0</v>
      </c>
      <c r="T281" s="163">
        <f>COUNTIFS(' CADASTRO'!$S:$S,'acab equip'!$D$3,' CADASTRO'!$R:$R,'acab equip'!R281)</f>
        <v>0</v>
      </c>
      <c r="U281" s="163">
        <f>COUNTIFS(' CADASTRO'!$R$746:$R$893,'acab equip'!R281,' CADASTRO'!$S$746:$S$893,'acab equip'!$T$3)+COUNTIFS(' CADASTRO'!$R$746:$R$893,'acab equip'!R281,' CADASTRO'!$S$746:$S$893,'acab equip'!$S$3)</f>
        <v>0</v>
      </c>
      <c r="V281" s="162">
        <f t="shared" si="56"/>
        <v>47677</v>
      </c>
      <c r="W281" s="163">
        <f>COUNTIFS(' CADASTRO'!$S:$S,'acab equip'!$C$3,' CADASTRO'!$R:$R,'acab equip'!V281)</f>
        <v>0</v>
      </c>
      <c r="X281" s="163">
        <f>COUNTIFS(' CADASTRO'!$S:$S,'acab equip'!$D$3,' CADASTRO'!$R:$R,'acab equip'!V281)</f>
        <v>0</v>
      </c>
      <c r="Y281" s="163">
        <f>COUNTIFS(' CADASTRO'!$R$746:$R$893,'acab equip'!V281,' CADASTRO'!$S$746:$S$893,'acab equip'!$X$3)+COUNTIFS(' CADASTRO'!$R$746:$R$893,'acab equip'!V281,' CADASTRO'!$S$746:$S$893,'acab equip'!$W$3)</f>
        <v>0</v>
      </c>
      <c r="Z281" s="162">
        <f t="shared" si="57"/>
        <v>47678</v>
      </c>
      <c r="AB281" s="165">
        <f t="shared" si="47"/>
        <v>0</v>
      </c>
      <c r="AC281" s="165">
        <f t="shared" si="48"/>
        <v>0</v>
      </c>
      <c r="AD281" s="165">
        <f t="shared" si="49"/>
        <v>0</v>
      </c>
      <c r="AE281" s="177">
        <f t="shared" si="50"/>
        <v>0</v>
      </c>
    </row>
    <row r="282" spans="2:31" x14ac:dyDescent="0.25">
      <c r="B282" s="162">
        <f t="shared" si="51"/>
        <v>47679</v>
      </c>
      <c r="C282" s="163">
        <f>COUNTIFS(' CADASTRO'!$S:$S,'acab equip'!$C$3,' CADASTRO'!$R:$R,'acab equip'!B282)</f>
        <v>0</v>
      </c>
      <c r="D282" s="163">
        <f>COUNTIFS(' CADASTRO'!$S:$S,'acab equip'!$D$3,' CADASTRO'!$R:$R,'acab equip'!B282)</f>
        <v>0</v>
      </c>
      <c r="E282" s="163"/>
      <c r="F282" s="162">
        <f t="shared" si="52"/>
        <v>47680</v>
      </c>
      <c r="G282" s="163">
        <f>COUNTIFS(' CADASTRO'!$S:$S,'acab equip'!$C$3,' CADASTRO'!$R:$R,'acab equip'!F282)</f>
        <v>0</v>
      </c>
      <c r="H282" s="163">
        <f>COUNTIFS(' CADASTRO'!$S:$S,'acab equip'!$D$3,' CADASTRO'!$R:$R,'acab equip'!F282)</f>
        <v>0</v>
      </c>
      <c r="I282" s="163"/>
      <c r="J282" s="162">
        <f t="shared" si="53"/>
        <v>47681</v>
      </c>
      <c r="K282" s="163">
        <f>COUNTIFS(' CADASTRO'!$S:$S,'acab equip'!$C$3,' CADASTRO'!$R:$R,'acab equip'!J282)</f>
        <v>0</v>
      </c>
      <c r="L282" s="163">
        <f>COUNTIFS(' CADASTRO'!$S:$S,'acab equip'!$D$3,' CADASTRO'!$R:$R,'acab equip'!J282)</f>
        <v>0</v>
      </c>
      <c r="M282" s="163">
        <f>COUNTIFS(' CADASTRO'!$R$746:$R$893,'acab equip'!J282,' CADASTRO'!$S$746:$S$893,'acab equip'!$L$3)+COUNTIFS(' CADASTRO'!$R$746:$R$893,'acab equip'!J282,' CADASTRO'!$S$746:$S$893,'acab equip'!$K$3)</f>
        <v>0</v>
      </c>
      <c r="N282" s="162">
        <f t="shared" si="54"/>
        <v>47682</v>
      </c>
      <c r="O282" s="163">
        <f>COUNTIFS(' CADASTRO'!$S:$S,'acab equip'!$C$3,' CADASTRO'!$R:$R,'acab equip'!N282)</f>
        <v>0</v>
      </c>
      <c r="P282" s="163">
        <f>COUNTIFS(' CADASTRO'!$S:$S,'acab equip'!$D$3,' CADASTRO'!$R:$R,'acab equip'!N282)</f>
        <v>0</v>
      </c>
      <c r="Q282" s="163">
        <f>COUNTIFS(' CADASTRO'!$R$746:$R$893,'acab equip'!N282,' CADASTRO'!$S$746:$S$893,'acab equip'!$P$3)+COUNTIFS(' CADASTRO'!$R$746:$R$893,'acab equip'!N282,' CADASTRO'!$S$746:$S$893,'acab equip'!$O$3)</f>
        <v>0</v>
      </c>
      <c r="R282" s="162">
        <f t="shared" si="55"/>
        <v>47683</v>
      </c>
      <c r="S282" s="163">
        <f>COUNTIFS(' CADASTRO'!$S:$S,'acab equip'!$C$3,' CADASTRO'!$R:$R,'acab equip'!R282)</f>
        <v>0</v>
      </c>
      <c r="T282" s="163">
        <f>COUNTIFS(' CADASTRO'!$S:$S,'acab equip'!$D$3,' CADASTRO'!$R:$R,'acab equip'!R282)</f>
        <v>0</v>
      </c>
      <c r="U282" s="163">
        <f>COUNTIFS(' CADASTRO'!$R$746:$R$893,'acab equip'!R282,' CADASTRO'!$S$746:$S$893,'acab equip'!$T$3)+COUNTIFS(' CADASTRO'!$R$746:$R$893,'acab equip'!R282,' CADASTRO'!$S$746:$S$893,'acab equip'!$S$3)</f>
        <v>0</v>
      </c>
      <c r="V282" s="162">
        <f t="shared" si="56"/>
        <v>47684</v>
      </c>
      <c r="W282" s="163">
        <f>COUNTIFS(' CADASTRO'!$S:$S,'acab equip'!$C$3,' CADASTRO'!$R:$R,'acab equip'!V282)</f>
        <v>0</v>
      </c>
      <c r="X282" s="163">
        <f>COUNTIFS(' CADASTRO'!$S:$S,'acab equip'!$D$3,' CADASTRO'!$R:$R,'acab equip'!V282)</f>
        <v>0</v>
      </c>
      <c r="Y282" s="163">
        <f>COUNTIFS(' CADASTRO'!$R$746:$R$893,'acab equip'!V282,' CADASTRO'!$S$746:$S$893,'acab equip'!$X$3)+COUNTIFS(' CADASTRO'!$R$746:$R$893,'acab equip'!V282,' CADASTRO'!$S$746:$S$893,'acab equip'!$W$3)</f>
        <v>0</v>
      </c>
      <c r="Z282" s="162">
        <f t="shared" si="57"/>
        <v>47685</v>
      </c>
      <c r="AB282" s="165">
        <f t="shared" si="47"/>
        <v>0</v>
      </c>
      <c r="AC282" s="165">
        <f t="shared" si="48"/>
        <v>0</v>
      </c>
      <c r="AD282" s="165">
        <f t="shared" si="49"/>
        <v>0</v>
      </c>
      <c r="AE282" s="177">
        <f t="shared" si="50"/>
        <v>0</v>
      </c>
    </row>
    <row r="283" spans="2:31" x14ac:dyDescent="0.25">
      <c r="B283" s="162">
        <f t="shared" si="51"/>
        <v>47686</v>
      </c>
      <c r="C283" s="163">
        <f>COUNTIFS(' CADASTRO'!$S:$S,'acab equip'!$C$3,' CADASTRO'!$R:$R,'acab equip'!B283)</f>
        <v>0</v>
      </c>
      <c r="D283" s="163">
        <f>COUNTIFS(' CADASTRO'!$S:$S,'acab equip'!$D$3,' CADASTRO'!$R:$R,'acab equip'!B283)</f>
        <v>0</v>
      </c>
      <c r="E283" s="163"/>
      <c r="F283" s="162">
        <f t="shared" si="52"/>
        <v>47687</v>
      </c>
      <c r="G283" s="163">
        <f>COUNTIFS(' CADASTRO'!$S:$S,'acab equip'!$C$3,' CADASTRO'!$R:$R,'acab equip'!F283)</f>
        <v>0</v>
      </c>
      <c r="H283" s="163">
        <f>COUNTIFS(' CADASTRO'!$S:$S,'acab equip'!$D$3,' CADASTRO'!$R:$R,'acab equip'!F283)</f>
        <v>0</v>
      </c>
      <c r="I283" s="163"/>
      <c r="J283" s="162">
        <f t="shared" si="53"/>
        <v>47688</v>
      </c>
      <c r="K283" s="163">
        <f>COUNTIFS(' CADASTRO'!$S:$S,'acab equip'!$C$3,' CADASTRO'!$R:$R,'acab equip'!J283)</f>
        <v>0</v>
      </c>
      <c r="L283" s="163">
        <f>COUNTIFS(' CADASTRO'!$S:$S,'acab equip'!$D$3,' CADASTRO'!$R:$R,'acab equip'!J283)</f>
        <v>0</v>
      </c>
      <c r="M283" s="163">
        <f>COUNTIFS(' CADASTRO'!$R$746:$R$893,'acab equip'!J283,' CADASTRO'!$S$746:$S$893,'acab equip'!$L$3)+COUNTIFS(' CADASTRO'!$R$746:$R$893,'acab equip'!J283,' CADASTRO'!$S$746:$S$893,'acab equip'!$K$3)</f>
        <v>0</v>
      </c>
      <c r="N283" s="162">
        <f t="shared" si="54"/>
        <v>47689</v>
      </c>
      <c r="O283" s="163">
        <f>COUNTIFS(' CADASTRO'!$S:$S,'acab equip'!$C$3,' CADASTRO'!$R:$R,'acab equip'!N283)</f>
        <v>0</v>
      </c>
      <c r="P283" s="163">
        <f>COUNTIFS(' CADASTRO'!$S:$S,'acab equip'!$D$3,' CADASTRO'!$R:$R,'acab equip'!N283)</f>
        <v>0</v>
      </c>
      <c r="Q283" s="163">
        <f>COUNTIFS(' CADASTRO'!$R$746:$R$893,'acab equip'!N283,' CADASTRO'!$S$746:$S$893,'acab equip'!$P$3)+COUNTIFS(' CADASTRO'!$R$746:$R$893,'acab equip'!N283,' CADASTRO'!$S$746:$S$893,'acab equip'!$O$3)</f>
        <v>0</v>
      </c>
      <c r="R283" s="162">
        <f t="shared" si="55"/>
        <v>47690</v>
      </c>
      <c r="S283" s="163">
        <f>COUNTIFS(' CADASTRO'!$S:$S,'acab equip'!$C$3,' CADASTRO'!$R:$R,'acab equip'!R283)</f>
        <v>0</v>
      </c>
      <c r="T283" s="163">
        <f>COUNTIFS(' CADASTRO'!$S:$S,'acab equip'!$D$3,' CADASTRO'!$R:$R,'acab equip'!R283)</f>
        <v>0</v>
      </c>
      <c r="U283" s="163">
        <f>COUNTIFS(' CADASTRO'!$R$746:$R$893,'acab equip'!R283,' CADASTRO'!$S$746:$S$893,'acab equip'!$T$3)+COUNTIFS(' CADASTRO'!$R$746:$R$893,'acab equip'!R283,' CADASTRO'!$S$746:$S$893,'acab equip'!$S$3)</f>
        <v>0</v>
      </c>
      <c r="V283" s="162">
        <f t="shared" si="56"/>
        <v>47691</v>
      </c>
      <c r="W283" s="163">
        <f>COUNTIFS(' CADASTRO'!$S:$S,'acab equip'!$C$3,' CADASTRO'!$R:$R,'acab equip'!V283)</f>
        <v>0</v>
      </c>
      <c r="X283" s="163">
        <f>COUNTIFS(' CADASTRO'!$S:$S,'acab equip'!$D$3,' CADASTRO'!$R:$R,'acab equip'!V283)</f>
        <v>0</v>
      </c>
      <c r="Y283" s="163">
        <f>COUNTIFS(' CADASTRO'!$R$746:$R$893,'acab equip'!V283,' CADASTRO'!$S$746:$S$893,'acab equip'!$X$3)+COUNTIFS(' CADASTRO'!$R$746:$R$893,'acab equip'!V283,' CADASTRO'!$S$746:$S$893,'acab equip'!$W$3)</f>
        <v>0</v>
      </c>
      <c r="Z283" s="162">
        <f t="shared" si="57"/>
        <v>47692</v>
      </c>
      <c r="AB283" s="165">
        <f t="shared" si="47"/>
        <v>0</v>
      </c>
      <c r="AC283" s="165">
        <f t="shared" si="48"/>
        <v>0</v>
      </c>
      <c r="AD283" s="165">
        <f t="shared" si="49"/>
        <v>0</v>
      </c>
      <c r="AE283" s="177">
        <f t="shared" si="50"/>
        <v>0</v>
      </c>
    </row>
    <row r="284" spans="2:31" x14ac:dyDescent="0.25">
      <c r="B284" s="162">
        <f t="shared" si="51"/>
        <v>47693</v>
      </c>
      <c r="C284" s="163">
        <f>COUNTIFS(' CADASTRO'!$S:$S,'acab equip'!$C$3,' CADASTRO'!$R:$R,'acab equip'!B284)</f>
        <v>0</v>
      </c>
      <c r="D284" s="163">
        <f>COUNTIFS(' CADASTRO'!$S:$S,'acab equip'!$D$3,' CADASTRO'!$R:$R,'acab equip'!B284)</f>
        <v>0</v>
      </c>
      <c r="E284" s="163"/>
      <c r="F284" s="162">
        <f t="shared" si="52"/>
        <v>47694</v>
      </c>
      <c r="G284" s="163">
        <f>COUNTIFS(' CADASTRO'!$S:$S,'acab equip'!$C$3,' CADASTRO'!$R:$R,'acab equip'!F284)</f>
        <v>0</v>
      </c>
      <c r="H284" s="163">
        <f>COUNTIFS(' CADASTRO'!$S:$S,'acab equip'!$D$3,' CADASTRO'!$R:$R,'acab equip'!F284)</f>
        <v>0</v>
      </c>
      <c r="I284" s="163"/>
      <c r="J284" s="162">
        <f t="shared" si="53"/>
        <v>47695</v>
      </c>
      <c r="K284" s="163">
        <f>COUNTIFS(' CADASTRO'!$S:$S,'acab equip'!$C$3,' CADASTRO'!$R:$R,'acab equip'!J284)</f>
        <v>0</v>
      </c>
      <c r="L284" s="163">
        <f>COUNTIFS(' CADASTRO'!$S:$S,'acab equip'!$D$3,' CADASTRO'!$R:$R,'acab equip'!J284)</f>
        <v>0</v>
      </c>
      <c r="M284" s="163">
        <f>COUNTIFS(' CADASTRO'!$R$746:$R$893,'acab equip'!J284,' CADASTRO'!$S$746:$S$893,'acab equip'!$L$3)+COUNTIFS(' CADASTRO'!$R$746:$R$893,'acab equip'!J284,' CADASTRO'!$S$746:$S$893,'acab equip'!$K$3)</f>
        <v>0</v>
      </c>
      <c r="N284" s="162">
        <f t="shared" si="54"/>
        <v>47696</v>
      </c>
      <c r="O284" s="163">
        <f>COUNTIFS(' CADASTRO'!$S:$S,'acab equip'!$C$3,' CADASTRO'!$R:$R,'acab equip'!N284)</f>
        <v>0</v>
      </c>
      <c r="P284" s="163">
        <f>COUNTIFS(' CADASTRO'!$S:$S,'acab equip'!$D$3,' CADASTRO'!$R:$R,'acab equip'!N284)</f>
        <v>0</v>
      </c>
      <c r="Q284" s="163">
        <f>COUNTIFS(' CADASTRO'!$R$746:$R$893,'acab equip'!N284,' CADASTRO'!$S$746:$S$893,'acab equip'!$P$3)+COUNTIFS(' CADASTRO'!$R$746:$R$893,'acab equip'!N284,' CADASTRO'!$S$746:$S$893,'acab equip'!$O$3)</f>
        <v>0</v>
      </c>
      <c r="R284" s="162">
        <f t="shared" si="55"/>
        <v>47697</v>
      </c>
      <c r="S284" s="163">
        <f>COUNTIFS(' CADASTRO'!$S:$S,'acab equip'!$C$3,' CADASTRO'!$R:$R,'acab equip'!R284)</f>
        <v>0</v>
      </c>
      <c r="T284" s="163">
        <f>COUNTIFS(' CADASTRO'!$S:$S,'acab equip'!$D$3,' CADASTRO'!$R:$R,'acab equip'!R284)</f>
        <v>0</v>
      </c>
      <c r="U284" s="163">
        <f>COUNTIFS(' CADASTRO'!$R$746:$R$893,'acab equip'!R284,' CADASTRO'!$S$746:$S$893,'acab equip'!$T$3)+COUNTIFS(' CADASTRO'!$R$746:$R$893,'acab equip'!R284,' CADASTRO'!$S$746:$S$893,'acab equip'!$S$3)</f>
        <v>0</v>
      </c>
      <c r="V284" s="162">
        <f t="shared" si="56"/>
        <v>47698</v>
      </c>
      <c r="W284" s="163">
        <f>COUNTIFS(' CADASTRO'!$S:$S,'acab equip'!$C$3,' CADASTRO'!$R:$R,'acab equip'!V284)</f>
        <v>0</v>
      </c>
      <c r="X284" s="163">
        <f>COUNTIFS(' CADASTRO'!$S:$S,'acab equip'!$D$3,' CADASTRO'!$R:$R,'acab equip'!V284)</f>
        <v>0</v>
      </c>
      <c r="Y284" s="163">
        <f>COUNTIFS(' CADASTRO'!$R$746:$R$893,'acab equip'!V284,' CADASTRO'!$S$746:$S$893,'acab equip'!$X$3)+COUNTIFS(' CADASTRO'!$R$746:$R$893,'acab equip'!V284,' CADASTRO'!$S$746:$S$893,'acab equip'!$W$3)</f>
        <v>0</v>
      </c>
      <c r="Z284" s="162">
        <f t="shared" si="57"/>
        <v>47699</v>
      </c>
      <c r="AB284" s="165">
        <f t="shared" si="47"/>
        <v>0</v>
      </c>
      <c r="AC284" s="165">
        <f t="shared" si="48"/>
        <v>0</v>
      </c>
      <c r="AD284" s="165">
        <f t="shared" si="49"/>
        <v>0</v>
      </c>
      <c r="AE284" s="177">
        <f t="shared" si="50"/>
        <v>0</v>
      </c>
    </row>
    <row r="285" spans="2:31" x14ac:dyDescent="0.25">
      <c r="B285" s="162">
        <f t="shared" si="51"/>
        <v>47700</v>
      </c>
      <c r="C285" s="163">
        <f>COUNTIFS(' CADASTRO'!$S:$S,'acab equip'!$C$3,' CADASTRO'!$R:$R,'acab equip'!B285)</f>
        <v>0</v>
      </c>
      <c r="D285" s="163">
        <f>COUNTIFS(' CADASTRO'!$S:$S,'acab equip'!$D$3,' CADASTRO'!$R:$R,'acab equip'!B285)</f>
        <v>0</v>
      </c>
      <c r="E285" s="163"/>
      <c r="F285" s="162">
        <f t="shared" si="52"/>
        <v>47701</v>
      </c>
      <c r="G285" s="163">
        <f>COUNTIFS(' CADASTRO'!$S:$S,'acab equip'!$C$3,' CADASTRO'!$R:$R,'acab equip'!F285)</f>
        <v>0</v>
      </c>
      <c r="H285" s="163">
        <f>COUNTIFS(' CADASTRO'!$S:$S,'acab equip'!$D$3,' CADASTRO'!$R:$R,'acab equip'!F285)</f>
        <v>0</v>
      </c>
      <c r="I285" s="163"/>
      <c r="J285" s="162">
        <f t="shared" si="53"/>
        <v>47702</v>
      </c>
      <c r="K285" s="163">
        <f>COUNTIFS(' CADASTRO'!$S:$S,'acab equip'!$C$3,' CADASTRO'!$R:$R,'acab equip'!J285)</f>
        <v>0</v>
      </c>
      <c r="L285" s="163">
        <f>COUNTIFS(' CADASTRO'!$S:$S,'acab equip'!$D$3,' CADASTRO'!$R:$R,'acab equip'!J285)</f>
        <v>0</v>
      </c>
      <c r="M285" s="163">
        <f>COUNTIFS(' CADASTRO'!$R$746:$R$893,'acab equip'!J285,' CADASTRO'!$S$746:$S$893,'acab equip'!$L$3)+COUNTIFS(' CADASTRO'!$R$746:$R$893,'acab equip'!J285,' CADASTRO'!$S$746:$S$893,'acab equip'!$K$3)</f>
        <v>0</v>
      </c>
      <c r="N285" s="162">
        <f t="shared" si="54"/>
        <v>47703</v>
      </c>
      <c r="O285" s="163">
        <f>COUNTIFS(' CADASTRO'!$S:$S,'acab equip'!$C$3,' CADASTRO'!$R:$R,'acab equip'!N285)</f>
        <v>0</v>
      </c>
      <c r="P285" s="163">
        <f>COUNTIFS(' CADASTRO'!$S:$S,'acab equip'!$D$3,' CADASTRO'!$R:$R,'acab equip'!N285)</f>
        <v>0</v>
      </c>
      <c r="Q285" s="163">
        <f>COUNTIFS(' CADASTRO'!$R$746:$R$893,'acab equip'!N285,' CADASTRO'!$S$746:$S$893,'acab equip'!$P$3)+COUNTIFS(' CADASTRO'!$R$746:$R$893,'acab equip'!N285,' CADASTRO'!$S$746:$S$893,'acab equip'!$O$3)</f>
        <v>0</v>
      </c>
      <c r="R285" s="162">
        <f t="shared" si="55"/>
        <v>47704</v>
      </c>
      <c r="S285" s="163">
        <f>COUNTIFS(' CADASTRO'!$S:$S,'acab equip'!$C$3,' CADASTRO'!$R:$R,'acab equip'!R285)</f>
        <v>0</v>
      </c>
      <c r="T285" s="163">
        <f>COUNTIFS(' CADASTRO'!$S:$S,'acab equip'!$D$3,' CADASTRO'!$R:$R,'acab equip'!R285)</f>
        <v>0</v>
      </c>
      <c r="U285" s="163">
        <f>COUNTIFS(' CADASTRO'!$R$746:$R$893,'acab equip'!R285,' CADASTRO'!$S$746:$S$893,'acab equip'!$T$3)+COUNTIFS(' CADASTRO'!$R$746:$R$893,'acab equip'!R285,' CADASTRO'!$S$746:$S$893,'acab equip'!$S$3)</f>
        <v>0</v>
      </c>
      <c r="V285" s="162">
        <f t="shared" si="56"/>
        <v>47705</v>
      </c>
      <c r="W285" s="163">
        <f>COUNTIFS(' CADASTRO'!$S:$S,'acab equip'!$C$3,' CADASTRO'!$R:$R,'acab equip'!V285)</f>
        <v>0</v>
      </c>
      <c r="X285" s="163">
        <f>COUNTIFS(' CADASTRO'!$S:$S,'acab equip'!$D$3,' CADASTRO'!$R:$R,'acab equip'!V285)</f>
        <v>0</v>
      </c>
      <c r="Y285" s="163">
        <f>COUNTIFS(' CADASTRO'!$R$746:$R$893,'acab equip'!V285,' CADASTRO'!$S$746:$S$893,'acab equip'!$X$3)+COUNTIFS(' CADASTRO'!$R$746:$R$893,'acab equip'!V285,' CADASTRO'!$S$746:$S$893,'acab equip'!$W$3)</f>
        <v>0</v>
      </c>
      <c r="Z285" s="162">
        <f t="shared" si="57"/>
        <v>47706</v>
      </c>
      <c r="AB285" s="165">
        <f t="shared" si="47"/>
        <v>0</v>
      </c>
      <c r="AC285" s="165">
        <f t="shared" si="48"/>
        <v>0</v>
      </c>
      <c r="AD285" s="165">
        <f t="shared" si="49"/>
        <v>0</v>
      </c>
      <c r="AE285" s="177">
        <f t="shared" si="50"/>
        <v>0</v>
      </c>
    </row>
    <row r="286" spans="2:31" x14ac:dyDescent="0.25">
      <c r="B286" s="162">
        <f t="shared" si="51"/>
        <v>47707</v>
      </c>
      <c r="C286" s="163">
        <f>COUNTIFS(' CADASTRO'!$S:$S,'acab equip'!$C$3,' CADASTRO'!$R:$R,'acab equip'!B286)</f>
        <v>0</v>
      </c>
      <c r="D286" s="163">
        <f>COUNTIFS(' CADASTRO'!$S:$S,'acab equip'!$D$3,' CADASTRO'!$R:$R,'acab equip'!B286)</f>
        <v>0</v>
      </c>
      <c r="E286" s="163"/>
      <c r="F286" s="162">
        <f t="shared" si="52"/>
        <v>47708</v>
      </c>
      <c r="G286" s="163">
        <f>COUNTIFS(' CADASTRO'!$S:$S,'acab equip'!$C$3,' CADASTRO'!$R:$R,'acab equip'!F286)</f>
        <v>0</v>
      </c>
      <c r="H286" s="163">
        <f>COUNTIFS(' CADASTRO'!$S:$S,'acab equip'!$D$3,' CADASTRO'!$R:$R,'acab equip'!F286)</f>
        <v>0</v>
      </c>
      <c r="I286" s="163"/>
      <c r="J286" s="162">
        <f t="shared" si="53"/>
        <v>47709</v>
      </c>
      <c r="K286" s="163">
        <f>COUNTIFS(' CADASTRO'!$S:$S,'acab equip'!$C$3,' CADASTRO'!$R:$R,'acab equip'!J286)</f>
        <v>0</v>
      </c>
      <c r="L286" s="163">
        <f>COUNTIFS(' CADASTRO'!$S:$S,'acab equip'!$D$3,' CADASTRO'!$R:$R,'acab equip'!J286)</f>
        <v>0</v>
      </c>
      <c r="M286" s="163">
        <f>COUNTIFS(' CADASTRO'!$R$746:$R$893,'acab equip'!J286,' CADASTRO'!$S$746:$S$893,'acab equip'!$L$3)+COUNTIFS(' CADASTRO'!$R$746:$R$893,'acab equip'!J286,' CADASTRO'!$S$746:$S$893,'acab equip'!$K$3)</f>
        <v>0</v>
      </c>
      <c r="N286" s="162">
        <f t="shared" si="54"/>
        <v>47710</v>
      </c>
      <c r="O286" s="163">
        <f>COUNTIFS(' CADASTRO'!$S:$S,'acab equip'!$C$3,' CADASTRO'!$R:$R,'acab equip'!N286)</f>
        <v>0</v>
      </c>
      <c r="P286" s="163">
        <f>COUNTIFS(' CADASTRO'!$S:$S,'acab equip'!$D$3,' CADASTRO'!$R:$R,'acab equip'!N286)</f>
        <v>0</v>
      </c>
      <c r="Q286" s="163">
        <f>COUNTIFS(' CADASTRO'!$R$746:$R$893,'acab equip'!N286,' CADASTRO'!$S$746:$S$893,'acab equip'!$P$3)+COUNTIFS(' CADASTRO'!$R$746:$R$893,'acab equip'!N286,' CADASTRO'!$S$746:$S$893,'acab equip'!$O$3)</f>
        <v>0</v>
      </c>
      <c r="R286" s="162">
        <f t="shared" si="55"/>
        <v>47711</v>
      </c>
      <c r="S286" s="163">
        <f>COUNTIFS(' CADASTRO'!$S:$S,'acab equip'!$C$3,' CADASTRO'!$R:$R,'acab equip'!R286)</f>
        <v>0</v>
      </c>
      <c r="T286" s="163">
        <f>COUNTIFS(' CADASTRO'!$S:$S,'acab equip'!$D$3,' CADASTRO'!$R:$R,'acab equip'!R286)</f>
        <v>0</v>
      </c>
      <c r="U286" s="163">
        <f>COUNTIFS(' CADASTRO'!$R$746:$R$893,'acab equip'!R286,' CADASTRO'!$S$746:$S$893,'acab equip'!$T$3)+COUNTIFS(' CADASTRO'!$R$746:$R$893,'acab equip'!R286,' CADASTRO'!$S$746:$S$893,'acab equip'!$S$3)</f>
        <v>0</v>
      </c>
      <c r="V286" s="162">
        <f t="shared" si="56"/>
        <v>47712</v>
      </c>
      <c r="W286" s="163">
        <f>COUNTIFS(' CADASTRO'!$S:$S,'acab equip'!$C$3,' CADASTRO'!$R:$R,'acab equip'!V286)</f>
        <v>0</v>
      </c>
      <c r="X286" s="163">
        <f>COUNTIFS(' CADASTRO'!$S:$S,'acab equip'!$D$3,' CADASTRO'!$R:$R,'acab equip'!V286)</f>
        <v>0</v>
      </c>
      <c r="Y286" s="163">
        <f>COUNTIFS(' CADASTRO'!$R$746:$R$893,'acab equip'!V286,' CADASTRO'!$S$746:$S$893,'acab equip'!$X$3)+COUNTIFS(' CADASTRO'!$R$746:$R$893,'acab equip'!V286,' CADASTRO'!$S$746:$S$893,'acab equip'!$W$3)</f>
        <v>0</v>
      </c>
      <c r="Z286" s="162">
        <f t="shared" si="57"/>
        <v>47713</v>
      </c>
      <c r="AB286" s="165">
        <f t="shared" si="47"/>
        <v>0</v>
      </c>
      <c r="AC286" s="165">
        <f t="shared" si="48"/>
        <v>0</v>
      </c>
      <c r="AD286" s="165">
        <f t="shared" si="49"/>
        <v>0</v>
      </c>
      <c r="AE286" s="177">
        <f t="shared" si="50"/>
        <v>0</v>
      </c>
    </row>
    <row r="287" spans="2:31" x14ac:dyDescent="0.25">
      <c r="B287" s="162">
        <f t="shared" si="51"/>
        <v>47714</v>
      </c>
      <c r="C287" s="163">
        <f>COUNTIFS(' CADASTRO'!$S:$S,'acab equip'!$C$3,' CADASTRO'!$R:$R,'acab equip'!B287)</f>
        <v>0</v>
      </c>
      <c r="D287" s="163">
        <f>COUNTIFS(' CADASTRO'!$S:$S,'acab equip'!$D$3,' CADASTRO'!$R:$R,'acab equip'!B287)</f>
        <v>0</v>
      </c>
      <c r="E287" s="163"/>
      <c r="F287" s="162">
        <f t="shared" si="52"/>
        <v>47715</v>
      </c>
      <c r="G287" s="163">
        <f>COUNTIFS(' CADASTRO'!$S:$S,'acab equip'!$C$3,' CADASTRO'!$R:$R,'acab equip'!F287)</f>
        <v>0</v>
      </c>
      <c r="H287" s="163">
        <f>COUNTIFS(' CADASTRO'!$S:$S,'acab equip'!$D$3,' CADASTRO'!$R:$R,'acab equip'!F287)</f>
        <v>0</v>
      </c>
      <c r="I287" s="163"/>
      <c r="J287" s="162">
        <f t="shared" si="53"/>
        <v>47716</v>
      </c>
      <c r="K287" s="163">
        <f>COUNTIFS(' CADASTRO'!$S:$S,'acab equip'!$C$3,' CADASTRO'!$R:$R,'acab equip'!J287)</f>
        <v>0</v>
      </c>
      <c r="L287" s="163">
        <f>COUNTIFS(' CADASTRO'!$S:$S,'acab equip'!$D$3,' CADASTRO'!$R:$R,'acab equip'!J287)</f>
        <v>0</v>
      </c>
      <c r="M287" s="163">
        <f>COUNTIFS(' CADASTRO'!$R$746:$R$893,'acab equip'!J287,' CADASTRO'!$S$746:$S$893,'acab equip'!$L$3)+COUNTIFS(' CADASTRO'!$R$746:$R$893,'acab equip'!J287,' CADASTRO'!$S$746:$S$893,'acab equip'!$K$3)</f>
        <v>0</v>
      </c>
      <c r="N287" s="162">
        <f t="shared" si="54"/>
        <v>47717</v>
      </c>
      <c r="O287" s="163">
        <f>COUNTIFS(' CADASTRO'!$S:$S,'acab equip'!$C$3,' CADASTRO'!$R:$R,'acab equip'!N287)</f>
        <v>0</v>
      </c>
      <c r="P287" s="163">
        <f>COUNTIFS(' CADASTRO'!$S:$S,'acab equip'!$D$3,' CADASTRO'!$R:$R,'acab equip'!N287)</f>
        <v>0</v>
      </c>
      <c r="Q287" s="163">
        <f>COUNTIFS(' CADASTRO'!$R$746:$R$893,'acab equip'!N287,' CADASTRO'!$S$746:$S$893,'acab equip'!$P$3)+COUNTIFS(' CADASTRO'!$R$746:$R$893,'acab equip'!N287,' CADASTRO'!$S$746:$S$893,'acab equip'!$O$3)</f>
        <v>0</v>
      </c>
      <c r="R287" s="162">
        <f t="shared" si="55"/>
        <v>47718</v>
      </c>
      <c r="S287" s="163">
        <f>COUNTIFS(' CADASTRO'!$S:$S,'acab equip'!$C$3,' CADASTRO'!$R:$R,'acab equip'!R287)</f>
        <v>0</v>
      </c>
      <c r="T287" s="163">
        <f>COUNTIFS(' CADASTRO'!$S:$S,'acab equip'!$D$3,' CADASTRO'!$R:$R,'acab equip'!R287)</f>
        <v>0</v>
      </c>
      <c r="U287" s="163">
        <f>COUNTIFS(' CADASTRO'!$R$746:$R$893,'acab equip'!R287,' CADASTRO'!$S$746:$S$893,'acab equip'!$T$3)+COUNTIFS(' CADASTRO'!$R$746:$R$893,'acab equip'!R287,' CADASTRO'!$S$746:$S$893,'acab equip'!$S$3)</f>
        <v>0</v>
      </c>
      <c r="V287" s="162">
        <f t="shared" si="56"/>
        <v>47719</v>
      </c>
      <c r="W287" s="163">
        <f>COUNTIFS(' CADASTRO'!$S:$S,'acab equip'!$C$3,' CADASTRO'!$R:$R,'acab equip'!V287)</f>
        <v>0</v>
      </c>
      <c r="X287" s="163">
        <f>COUNTIFS(' CADASTRO'!$S:$S,'acab equip'!$D$3,' CADASTRO'!$R:$R,'acab equip'!V287)</f>
        <v>0</v>
      </c>
      <c r="Y287" s="163">
        <f>COUNTIFS(' CADASTRO'!$R$746:$R$893,'acab equip'!V287,' CADASTRO'!$S$746:$S$893,'acab equip'!$X$3)+COUNTIFS(' CADASTRO'!$R$746:$R$893,'acab equip'!V287,' CADASTRO'!$S$746:$S$893,'acab equip'!$W$3)</f>
        <v>0</v>
      </c>
      <c r="Z287" s="162">
        <f t="shared" si="57"/>
        <v>47720</v>
      </c>
      <c r="AB287" s="165">
        <f t="shared" si="47"/>
        <v>0</v>
      </c>
      <c r="AC287" s="165">
        <f t="shared" si="48"/>
        <v>0</v>
      </c>
      <c r="AD287" s="165">
        <f t="shared" si="49"/>
        <v>0</v>
      </c>
      <c r="AE287" s="177">
        <f t="shared" si="50"/>
        <v>0</v>
      </c>
    </row>
    <row r="288" spans="2:31" x14ac:dyDescent="0.25">
      <c r="B288" s="162">
        <f t="shared" si="51"/>
        <v>47721</v>
      </c>
      <c r="C288" s="163">
        <f>COUNTIFS(' CADASTRO'!$S:$S,'acab equip'!$C$3,' CADASTRO'!$R:$R,'acab equip'!B288)</f>
        <v>0</v>
      </c>
      <c r="D288" s="163">
        <f>COUNTIFS(' CADASTRO'!$S:$S,'acab equip'!$D$3,' CADASTRO'!$R:$R,'acab equip'!B288)</f>
        <v>0</v>
      </c>
      <c r="E288" s="163"/>
      <c r="F288" s="162">
        <f t="shared" si="52"/>
        <v>47722</v>
      </c>
      <c r="G288" s="163">
        <f>COUNTIFS(' CADASTRO'!$S:$S,'acab equip'!$C$3,' CADASTRO'!$R:$R,'acab equip'!F288)</f>
        <v>0</v>
      </c>
      <c r="H288" s="163">
        <f>COUNTIFS(' CADASTRO'!$S:$S,'acab equip'!$D$3,' CADASTRO'!$R:$R,'acab equip'!F288)</f>
        <v>0</v>
      </c>
      <c r="I288" s="163"/>
      <c r="J288" s="162">
        <f t="shared" si="53"/>
        <v>47723</v>
      </c>
      <c r="K288" s="163">
        <f>COUNTIFS(' CADASTRO'!$S:$S,'acab equip'!$C$3,' CADASTRO'!$R:$R,'acab equip'!J288)</f>
        <v>0</v>
      </c>
      <c r="L288" s="163">
        <f>COUNTIFS(' CADASTRO'!$S:$S,'acab equip'!$D$3,' CADASTRO'!$R:$R,'acab equip'!J288)</f>
        <v>0</v>
      </c>
      <c r="M288" s="163">
        <f>COUNTIFS(' CADASTRO'!$R$746:$R$893,'acab equip'!J288,' CADASTRO'!$S$746:$S$893,'acab equip'!$L$3)+COUNTIFS(' CADASTRO'!$R$746:$R$893,'acab equip'!J288,' CADASTRO'!$S$746:$S$893,'acab equip'!$K$3)</f>
        <v>0</v>
      </c>
      <c r="N288" s="162">
        <f t="shared" si="54"/>
        <v>47724</v>
      </c>
      <c r="O288" s="163">
        <f>COUNTIFS(' CADASTRO'!$S:$S,'acab equip'!$C$3,' CADASTRO'!$R:$R,'acab equip'!N288)</f>
        <v>0</v>
      </c>
      <c r="P288" s="163">
        <f>COUNTIFS(' CADASTRO'!$S:$S,'acab equip'!$D$3,' CADASTRO'!$R:$R,'acab equip'!N288)</f>
        <v>0</v>
      </c>
      <c r="Q288" s="163">
        <f>COUNTIFS(' CADASTRO'!$R$746:$R$893,'acab equip'!N288,' CADASTRO'!$S$746:$S$893,'acab equip'!$P$3)+COUNTIFS(' CADASTRO'!$R$746:$R$893,'acab equip'!N288,' CADASTRO'!$S$746:$S$893,'acab equip'!$O$3)</f>
        <v>0</v>
      </c>
      <c r="R288" s="162">
        <f t="shared" si="55"/>
        <v>47725</v>
      </c>
      <c r="S288" s="163">
        <f>COUNTIFS(' CADASTRO'!$S:$S,'acab equip'!$C$3,' CADASTRO'!$R:$R,'acab equip'!R288)</f>
        <v>0</v>
      </c>
      <c r="T288" s="163">
        <f>COUNTIFS(' CADASTRO'!$S:$S,'acab equip'!$D$3,' CADASTRO'!$R:$R,'acab equip'!R288)</f>
        <v>0</v>
      </c>
      <c r="U288" s="163">
        <f>COUNTIFS(' CADASTRO'!$R$746:$R$893,'acab equip'!R288,' CADASTRO'!$S$746:$S$893,'acab equip'!$T$3)+COUNTIFS(' CADASTRO'!$R$746:$R$893,'acab equip'!R288,' CADASTRO'!$S$746:$S$893,'acab equip'!$S$3)</f>
        <v>0</v>
      </c>
      <c r="V288" s="162">
        <f t="shared" si="56"/>
        <v>47726</v>
      </c>
      <c r="W288" s="163">
        <f>COUNTIFS(' CADASTRO'!$S:$S,'acab equip'!$C$3,' CADASTRO'!$R:$R,'acab equip'!V288)</f>
        <v>0</v>
      </c>
      <c r="X288" s="163">
        <f>COUNTIFS(' CADASTRO'!$S:$S,'acab equip'!$D$3,' CADASTRO'!$R:$R,'acab equip'!V288)</f>
        <v>0</v>
      </c>
      <c r="Y288" s="163">
        <f>COUNTIFS(' CADASTRO'!$R$746:$R$893,'acab equip'!V288,' CADASTRO'!$S$746:$S$893,'acab equip'!$X$3)+COUNTIFS(' CADASTRO'!$R$746:$R$893,'acab equip'!V288,' CADASTRO'!$S$746:$S$893,'acab equip'!$W$3)</f>
        <v>0</v>
      </c>
      <c r="Z288" s="162">
        <f t="shared" si="57"/>
        <v>47727</v>
      </c>
      <c r="AB288" s="165">
        <f t="shared" si="47"/>
        <v>0</v>
      </c>
      <c r="AC288" s="165">
        <f t="shared" si="48"/>
        <v>0</v>
      </c>
      <c r="AD288" s="165">
        <f t="shared" si="49"/>
        <v>0</v>
      </c>
      <c r="AE288" s="177">
        <f t="shared" si="50"/>
        <v>0</v>
      </c>
    </row>
    <row r="289" spans="2:31" x14ac:dyDescent="0.25">
      <c r="B289" s="162">
        <f t="shared" si="51"/>
        <v>47728</v>
      </c>
      <c r="C289" s="163">
        <f>COUNTIFS(' CADASTRO'!$S:$S,'acab equip'!$C$3,' CADASTRO'!$R:$R,'acab equip'!B289)</f>
        <v>0</v>
      </c>
      <c r="D289" s="163">
        <f>COUNTIFS(' CADASTRO'!$S:$S,'acab equip'!$D$3,' CADASTRO'!$R:$R,'acab equip'!B289)</f>
        <v>0</v>
      </c>
      <c r="E289" s="163"/>
      <c r="F289" s="162">
        <f t="shared" si="52"/>
        <v>47729</v>
      </c>
      <c r="G289" s="163">
        <f>COUNTIFS(' CADASTRO'!$S:$S,'acab equip'!$C$3,' CADASTRO'!$R:$R,'acab equip'!F289)</f>
        <v>0</v>
      </c>
      <c r="H289" s="163">
        <f>COUNTIFS(' CADASTRO'!$S:$S,'acab equip'!$D$3,' CADASTRO'!$R:$R,'acab equip'!F289)</f>
        <v>0</v>
      </c>
      <c r="I289" s="163"/>
      <c r="J289" s="162">
        <f t="shared" si="53"/>
        <v>47730</v>
      </c>
      <c r="K289" s="163">
        <f>COUNTIFS(' CADASTRO'!$S:$S,'acab equip'!$C$3,' CADASTRO'!$R:$R,'acab equip'!J289)</f>
        <v>0</v>
      </c>
      <c r="L289" s="163">
        <f>COUNTIFS(' CADASTRO'!$S:$S,'acab equip'!$D$3,' CADASTRO'!$R:$R,'acab equip'!J289)</f>
        <v>0</v>
      </c>
      <c r="M289" s="163">
        <f>COUNTIFS(' CADASTRO'!$R$746:$R$893,'acab equip'!J289,' CADASTRO'!$S$746:$S$893,'acab equip'!$L$3)+COUNTIFS(' CADASTRO'!$R$746:$R$893,'acab equip'!J289,' CADASTRO'!$S$746:$S$893,'acab equip'!$K$3)</f>
        <v>0</v>
      </c>
      <c r="N289" s="162">
        <f t="shared" si="54"/>
        <v>47731</v>
      </c>
      <c r="O289" s="163">
        <f>COUNTIFS(' CADASTRO'!$S:$S,'acab equip'!$C$3,' CADASTRO'!$R:$R,'acab equip'!N289)</f>
        <v>0</v>
      </c>
      <c r="P289" s="163">
        <f>COUNTIFS(' CADASTRO'!$S:$S,'acab equip'!$D$3,' CADASTRO'!$R:$R,'acab equip'!N289)</f>
        <v>0</v>
      </c>
      <c r="Q289" s="163">
        <f>COUNTIFS(' CADASTRO'!$R$746:$R$893,'acab equip'!N289,' CADASTRO'!$S$746:$S$893,'acab equip'!$P$3)+COUNTIFS(' CADASTRO'!$R$746:$R$893,'acab equip'!N289,' CADASTRO'!$S$746:$S$893,'acab equip'!$O$3)</f>
        <v>0</v>
      </c>
      <c r="R289" s="162">
        <f t="shared" si="55"/>
        <v>47732</v>
      </c>
      <c r="S289" s="163">
        <f>COUNTIFS(' CADASTRO'!$S:$S,'acab equip'!$C$3,' CADASTRO'!$R:$R,'acab equip'!R289)</f>
        <v>0</v>
      </c>
      <c r="T289" s="163">
        <f>COUNTIFS(' CADASTRO'!$S:$S,'acab equip'!$D$3,' CADASTRO'!$R:$R,'acab equip'!R289)</f>
        <v>0</v>
      </c>
      <c r="U289" s="163">
        <f>COUNTIFS(' CADASTRO'!$R$746:$R$893,'acab equip'!R289,' CADASTRO'!$S$746:$S$893,'acab equip'!$T$3)+COUNTIFS(' CADASTRO'!$R$746:$R$893,'acab equip'!R289,' CADASTRO'!$S$746:$S$893,'acab equip'!$S$3)</f>
        <v>0</v>
      </c>
      <c r="V289" s="162">
        <f t="shared" si="56"/>
        <v>47733</v>
      </c>
      <c r="W289" s="163">
        <f>COUNTIFS(' CADASTRO'!$S:$S,'acab equip'!$C$3,' CADASTRO'!$R:$R,'acab equip'!V289)</f>
        <v>0</v>
      </c>
      <c r="X289" s="163">
        <f>COUNTIFS(' CADASTRO'!$S:$S,'acab equip'!$D$3,' CADASTRO'!$R:$R,'acab equip'!V289)</f>
        <v>0</v>
      </c>
      <c r="Y289" s="163">
        <f>COUNTIFS(' CADASTRO'!$R$746:$R$893,'acab equip'!V289,' CADASTRO'!$S$746:$S$893,'acab equip'!$X$3)+COUNTIFS(' CADASTRO'!$R$746:$R$893,'acab equip'!V289,' CADASTRO'!$S$746:$S$893,'acab equip'!$W$3)</f>
        <v>0</v>
      </c>
      <c r="Z289" s="162">
        <f t="shared" si="57"/>
        <v>47734</v>
      </c>
      <c r="AB289" s="165">
        <f t="shared" si="47"/>
        <v>0</v>
      </c>
      <c r="AC289" s="165">
        <f t="shared" si="48"/>
        <v>0</v>
      </c>
      <c r="AD289" s="165">
        <f t="shared" si="49"/>
        <v>0</v>
      </c>
      <c r="AE289" s="177">
        <f t="shared" si="50"/>
        <v>0</v>
      </c>
    </row>
    <row r="290" spans="2:31" x14ac:dyDescent="0.25">
      <c r="B290" s="162">
        <f t="shared" si="51"/>
        <v>47735</v>
      </c>
      <c r="C290" s="163">
        <f>COUNTIFS(' CADASTRO'!$S:$S,'acab equip'!$C$3,' CADASTRO'!$R:$R,'acab equip'!B290)</f>
        <v>0</v>
      </c>
      <c r="D290" s="163">
        <f>COUNTIFS(' CADASTRO'!$S:$S,'acab equip'!$D$3,' CADASTRO'!$R:$R,'acab equip'!B290)</f>
        <v>0</v>
      </c>
      <c r="E290" s="163"/>
      <c r="F290" s="162">
        <f t="shared" si="52"/>
        <v>47736</v>
      </c>
      <c r="G290" s="163">
        <f>COUNTIFS(' CADASTRO'!$S:$S,'acab equip'!$C$3,' CADASTRO'!$R:$R,'acab equip'!F290)</f>
        <v>0</v>
      </c>
      <c r="H290" s="163">
        <f>COUNTIFS(' CADASTRO'!$S:$S,'acab equip'!$D$3,' CADASTRO'!$R:$R,'acab equip'!F290)</f>
        <v>0</v>
      </c>
      <c r="I290" s="163"/>
      <c r="J290" s="162">
        <f t="shared" si="53"/>
        <v>47737</v>
      </c>
      <c r="K290" s="163">
        <f>COUNTIFS(' CADASTRO'!$S:$S,'acab equip'!$C$3,' CADASTRO'!$R:$R,'acab equip'!J290)</f>
        <v>0</v>
      </c>
      <c r="L290" s="163">
        <f>COUNTIFS(' CADASTRO'!$S:$S,'acab equip'!$D$3,' CADASTRO'!$R:$R,'acab equip'!J290)</f>
        <v>0</v>
      </c>
      <c r="M290" s="163">
        <f>COUNTIFS(' CADASTRO'!$R$746:$R$893,'acab equip'!J290,' CADASTRO'!$S$746:$S$893,'acab equip'!$L$3)+COUNTIFS(' CADASTRO'!$R$746:$R$893,'acab equip'!J290,' CADASTRO'!$S$746:$S$893,'acab equip'!$K$3)</f>
        <v>0</v>
      </c>
      <c r="N290" s="162">
        <f t="shared" si="54"/>
        <v>47738</v>
      </c>
      <c r="O290" s="163">
        <f>COUNTIFS(' CADASTRO'!$S:$S,'acab equip'!$C$3,' CADASTRO'!$R:$R,'acab equip'!N290)</f>
        <v>0</v>
      </c>
      <c r="P290" s="163">
        <f>COUNTIFS(' CADASTRO'!$S:$S,'acab equip'!$D$3,' CADASTRO'!$R:$R,'acab equip'!N290)</f>
        <v>0</v>
      </c>
      <c r="Q290" s="163">
        <f>COUNTIFS(' CADASTRO'!$R$746:$R$893,'acab equip'!N290,' CADASTRO'!$S$746:$S$893,'acab equip'!$P$3)+COUNTIFS(' CADASTRO'!$R$746:$R$893,'acab equip'!N290,' CADASTRO'!$S$746:$S$893,'acab equip'!$O$3)</f>
        <v>0</v>
      </c>
      <c r="R290" s="162">
        <f t="shared" si="55"/>
        <v>47739</v>
      </c>
      <c r="S290" s="163">
        <f>COUNTIFS(' CADASTRO'!$S:$S,'acab equip'!$C$3,' CADASTRO'!$R:$R,'acab equip'!R290)</f>
        <v>0</v>
      </c>
      <c r="T290" s="163">
        <f>COUNTIFS(' CADASTRO'!$S:$S,'acab equip'!$D$3,' CADASTRO'!$R:$R,'acab equip'!R290)</f>
        <v>0</v>
      </c>
      <c r="U290" s="163">
        <f>COUNTIFS(' CADASTRO'!$R$746:$R$893,'acab equip'!R290,' CADASTRO'!$S$746:$S$893,'acab equip'!$T$3)+COUNTIFS(' CADASTRO'!$R$746:$R$893,'acab equip'!R290,' CADASTRO'!$S$746:$S$893,'acab equip'!$S$3)</f>
        <v>0</v>
      </c>
      <c r="V290" s="162">
        <f t="shared" si="56"/>
        <v>47740</v>
      </c>
      <c r="W290" s="163">
        <f>COUNTIFS(' CADASTRO'!$S:$S,'acab equip'!$C$3,' CADASTRO'!$R:$R,'acab equip'!V290)</f>
        <v>0</v>
      </c>
      <c r="X290" s="163">
        <f>COUNTIFS(' CADASTRO'!$S:$S,'acab equip'!$D$3,' CADASTRO'!$R:$R,'acab equip'!V290)</f>
        <v>0</v>
      </c>
      <c r="Y290" s="163">
        <f>COUNTIFS(' CADASTRO'!$R$746:$R$893,'acab equip'!V290,' CADASTRO'!$S$746:$S$893,'acab equip'!$X$3)+COUNTIFS(' CADASTRO'!$R$746:$R$893,'acab equip'!V290,' CADASTRO'!$S$746:$S$893,'acab equip'!$W$3)</f>
        <v>0</v>
      </c>
      <c r="Z290" s="162">
        <f t="shared" si="57"/>
        <v>47741</v>
      </c>
      <c r="AB290" s="165">
        <f t="shared" si="47"/>
        <v>0</v>
      </c>
      <c r="AC290" s="165">
        <f t="shared" si="48"/>
        <v>0</v>
      </c>
      <c r="AD290" s="165">
        <f t="shared" si="49"/>
        <v>0</v>
      </c>
      <c r="AE290" s="177">
        <f t="shared" si="50"/>
        <v>0</v>
      </c>
    </row>
    <row r="291" spans="2:31" x14ac:dyDescent="0.25">
      <c r="B291" s="162">
        <f t="shared" si="51"/>
        <v>47742</v>
      </c>
      <c r="C291" s="163">
        <f>COUNTIFS(' CADASTRO'!$S:$S,'acab equip'!$C$3,' CADASTRO'!$R:$R,'acab equip'!B291)</f>
        <v>0</v>
      </c>
      <c r="D291" s="163">
        <f>COUNTIFS(' CADASTRO'!$S:$S,'acab equip'!$D$3,' CADASTRO'!$R:$R,'acab equip'!B291)</f>
        <v>0</v>
      </c>
      <c r="E291" s="163"/>
      <c r="F291" s="162">
        <f t="shared" si="52"/>
        <v>47743</v>
      </c>
      <c r="G291" s="163">
        <f>COUNTIFS(' CADASTRO'!$S:$S,'acab equip'!$C$3,' CADASTRO'!$R:$R,'acab equip'!F291)</f>
        <v>0</v>
      </c>
      <c r="H291" s="163">
        <f>COUNTIFS(' CADASTRO'!$S:$S,'acab equip'!$D$3,' CADASTRO'!$R:$R,'acab equip'!F291)</f>
        <v>0</v>
      </c>
      <c r="I291" s="163"/>
      <c r="J291" s="162">
        <f t="shared" si="53"/>
        <v>47744</v>
      </c>
      <c r="K291" s="163">
        <f>COUNTIFS(' CADASTRO'!$S:$S,'acab equip'!$C$3,' CADASTRO'!$R:$R,'acab equip'!J291)</f>
        <v>0</v>
      </c>
      <c r="L291" s="163">
        <f>COUNTIFS(' CADASTRO'!$S:$S,'acab equip'!$D$3,' CADASTRO'!$R:$R,'acab equip'!J291)</f>
        <v>0</v>
      </c>
      <c r="M291" s="163">
        <f>COUNTIFS(' CADASTRO'!$R$746:$R$893,'acab equip'!J291,' CADASTRO'!$S$746:$S$893,'acab equip'!$L$3)+COUNTIFS(' CADASTRO'!$R$746:$R$893,'acab equip'!J291,' CADASTRO'!$S$746:$S$893,'acab equip'!$K$3)</f>
        <v>0</v>
      </c>
      <c r="N291" s="162">
        <f t="shared" si="54"/>
        <v>47745</v>
      </c>
      <c r="O291" s="163">
        <f>COUNTIFS(' CADASTRO'!$S:$S,'acab equip'!$C$3,' CADASTRO'!$R:$R,'acab equip'!N291)</f>
        <v>0</v>
      </c>
      <c r="P291" s="163">
        <f>COUNTIFS(' CADASTRO'!$S:$S,'acab equip'!$D$3,' CADASTRO'!$R:$R,'acab equip'!N291)</f>
        <v>0</v>
      </c>
      <c r="Q291" s="163">
        <f>COUNTIFS(' CADASTRO'!$R$746:$R$893,'acab equip'!N291,' CADASTRO'!$S$746:$S$893,'acab equip'!$P$3)+COUNTIFS(' CADASTRO'!$R$746:$R$893,'acab equip'!N291,' CADASTRO'!$S$746:$S$893,'acab equip'!$O$3)</f>
        <v>0</v>
      </c>
      <c r="R291" s="162">
        <f t="shared" si="55"/>
        <v>47746</v>
      </c>
      <c r="S291" s="163">
        <f>COUNTIFS(' CADASTRO'!$S:$S,'acab equip'!$C$3,' CADASTRO'!$R:$R,'acab equip'!R291)</f>
        <v>0</v>
      </c>
      <c r="T291" s="163">
        <f>COUNTIFS(' CADASTRO'!$S:$S,'acab equip'!$D$3,' CADASTRO'!$R:$R,'acab equip'!R291)</f>
        <v>0</v>
      </c>
      <c r="U291" s="163">
        <f>COUNTIFS(' CADASTRO'!$R$746:$R$893,'acab equip'!R291,' CADASTRO'!$S$746:$S$893,'acab equip'!$T$3)+COUNTIFS(' CADASTRO'!$R$746:$R$893,'acab equip'!R291,' CADASTRO'!$S$746:$S$893,'acab equip'!$S$3)</f>
        <v>0</v>
      </c>
      <c r="V291" s="162">
        <f t="shared" si="56"/>
        <v>47747</v>
      </c>
      <c r="W291" s="163">
        <f>COUNTIFS(' CADASTRO'!$S:$S,'acab equip'!$C$3,' CADASTRO'!$R:$R,'acab equip'!V291)</f>
        <v>0</v>
      </c>
      <c r="X291" s="163">
        <f>COUNTIFS(' CADASTRO'!$S:$S,'acab equip'!$D$3,' CADASTRO'!$R:$R,'acab equip'!V291)</f>
        <v>0</v>
      </c>
      <c r="Y291" s="163">
        <f>COUNTIFS(' CADASTRO'!$R$746:$R$893,'acab equip'!V291,' CADASTRO'!$S$746:$S$893,'acab equip'!$X$3)+COUNTIFS(' CADASTRO'!$R$746:$R$893,'acab equip'!V291,' CADASTRO'!$S$746:$S$893,'acab equip'!$W$3)</f>
        <v>0</v>
      </c>
      <c r="Z291" s="162">
        <f t="shared" si="57"/>
        <v>47748</v>
      </c>
      <c r="AB291" s="165">
        <f t="shared" si="47"/>
        <v>0</v>
      </c>
      <c r="AC291" s="165">
        <f t="shared" si="48"/>
        <v>0</v>
      </c>
      <c r="AD291" s="165">
        <f t="shared" si="49"/>
        <v>0</v>
      </c>
      <c r="AE291" s="177">
        <f t="shared" si="50"/>
        <v>0</v>
      </c>
    </row>
    <row r="292" spans="2:31" x14ac:dyDescent="0.25">
      <c r="B292" s="162">
        <f t="shared" si="51"/>
        <v>47749</v>
      </c>
      <c r="C292" s="163">
        <f>COUNTIFS(' CADASTRO'!$S:$S,'acab equip'!$C$3,' CADASTRO'!$R:$R,'acab equip'!B292)</f>
        <v>0</v>
      </c>
      <c r="D292" s="163">
        <f>COUNTIFS(' CADASTRO'!$S:$S,'acab equip'!$D$3,' CADASTRO'!$R:$R,'acab equip'!B292)</f>
        <v>0</v>
      </c>
      <c r="E292" s="163"/>
      <c r="F292" s="162">
        <f t="shared" si="52"/>
        <v>47750</v>
      </c>
      <c r="G292" s="163">
        <f>COUNTIFS(' CADASTRO'!$S:$S,'acab equip'!$C$3,' CADASTRO'!$R:$R,'acab equip'!F292)</f>
        <v>0</v>
      </c>
      <c r="H292" s="163">
        <f>COUNTIFS(' CADASTRO'!$S:$S,'acab equip'!$D$3,' CADASTRO'!$R:$R,'acab equip'!F292)</f>
        <v>0</v>
      </c>
      <c r="I292" s="163"/>
      <c r="J292" s="162">
        <f t="shared" si="53"/>
        <v>47751</v>
      </c>
      <c r="K292" s="163">
        <f>COUNTIFS(' CADASTRO'!$S:$S,'acab equip'!$C$3,' CADASTRO'!$R:$R,'acab equip'!J292)</f>
        <v>0</v>
      </c>
      <c r="L292" s="163">
        <f>COUNTIFS(' CADASTRO'!$S:$S,'acab equip'!$D$3,' CADASTRO'!$R:$R,'acab equip'!J292)</f>
        <v>0</v>
      </c>
      <c r="M292" s="163">
        <f>COUNTIFS(' CADASTRO'!$R$746:$R$893,'acab equip'!J292,' CADASTRO'!$S$746:$S$893,'acab equip'!$L$3)+COUNTIFS(' CADASTRO'!$R$746:$R$893,'acab equip'!J292,' CADASTRO'!$S$746:$S$893,'acab equip'!$K$3)</f>
        <v>0</v>
      </c>
      <c r="N292" s="162">
        <f t="shared" si="54"/>
        <v>47752</v>
      </c>
      <c r="O292" s="163">
        <f>COUNTIFS(' CADASTRO'!$S:$S,'acab equip'!$C$3,' CADASTRO'!$R:$R,'acab equip'!N292)</f>
        <v>0</v>
      </c>
      <c r="P292" s="163">
        <f>COUNTIFS(' CADASTRO'!$S:$S,'acab equip'!$D$3,' CADASTRO'!$R:$R,'acab equip'!N292)</f>
        <v>0</v>
      </c>
      <c r="Q292" s="163">
        <f>COUNTIFS(' CADASTRO'!$R$746:$R$893,'acab equip'!N292,' CADASTRO'!$S$746:$S$893,'acab equip'!$P$3)+COUNTIFS(' CADASTRO'!$R$746:$R$893,'acab equip'!N292,' CADASTRO'!$S$746:$S$893,'acab equip'!$O$3)</f>
        <v>0</v>
      </c>
      <c r="R292" s="162">
        <f t="shared" si="55"/>
        <v>47753</v>
      </c>
      <c r="S292" s="163">
        <f>COUNTIFS(' CADASTRO'!$S:$S,'acab equip'!$C$3,' CADASTRO'!$R:$R,'acab equip'!R292)</f>
        <v>0</v>
      </c>
      <c r="T292" s="163">
        <f>COUNTIFS(' CADASTRO'!$S:$S,'acab equip'!$D$3,' CADASTRO'!$R:$R,'acab equip'!R292)</f>
        <v>0</v>
      </c>
      <c r="U292" s="163">
        <f>COUNTIFS(' CADASTRO'!$R$746:$R$893,'acab equip'!R292,' CADASTRO'!$S$746:$S$893,'acab equip'!$T$3)+COUNTIFS(' CADASTRO'!$R$746:$R$893,'acab equip'!R292,' CADASTRO'!$S$746:$S$893,'acab equip'!$S$3)</f>
        <v>0</v>
      </c>
      <c r="V292" s="162">
        <f t="shared" si="56"/>
        <v>47754</v>
      </c>
      <c r="W292" s="163">
        <f>COUNTIFS(' CADASTRO'!$S:$S,'acab equip'!$C$3,' CADASTRO'!$R:$R,'acab equip'!V292)</f>
        <v>0</v>
      </c>
      <c r="X292" s="163">
        <f>COUNTIFS(' CADASTRO'!$S:$S,'acab equip'!$D$3,' CADASTRO'!$R:$R,'acab equip'!V292)</f>
        <v>0</v>
      </c>
      <c r="Y292" s="163">
        <f>COUNTIFS(' CADASTRO'!$R$746:$R$893,'acab equip'!V292,' CADASTRO'!$S$746:$S$893,'acab equip'!$X$3)+COUNTIFS(' CADASTRO'!$R$746:$R$893,'acab equip'!V292,' CADASTRO'!$S$746:$S$893,'acab equip'!$W$3)</f>
        <v>0</v>
      </c>
      <c r="Z292" s="162">
        <f t="shared" si="57"/>
        <v>47755</v>
      </c>
      <c r="AB292" s="165">
        <f t="shared" si="47"/>
        <v>0</v>
      </c>
      <c r="AC292" s="165">
        <f t="shared" si="48"/>
        <v>0</v>
      </c>
      <c r="AD292" s="165">
        <f t="shared" si="49"/>
        <v>0</v>
      </c>
      <c r="AE292" s="177">
        <f t="shared" si="50"/>
        <v>0</v>
      </c>
    </row>
    <row r="293" spans="2:31" x14ac:dyDescent="0.25">
      <c r="B293" s="162">
        <f t="shared" si="51"/>
        <v>47756</v>
      </c>
      <c r="C293" s="163">
        <f>COUNTIFS(' CADASTRO'!$S:$S,'acab equip'!$C$3,' CADASTRO'!$R:$R,'acab equip'!B293)</f>
        <v>0</v>
      </c>
      <c r="D293" s="163">
        <f>COUNTIFS(' CADASTRO'!$S:$S,'acab equip'!$D$3,' CADASTRO'!$R:$R,'acab equip'!B293)</f>
        <v>0</v>
      </c>
      <c r="E293" s="163"/>
      <c r="F293" s="162">
        <f t="shared" si="52"/>
        <v>47757</v>
      </c>
      <c r="G293" s="163">
        <f>COUNTIFS(' CADASTRO'!$S:$S,'acab equip'!$C$3,' CADASTRO'!$R:$R,'acab equip'!F293)</f>
        <v>0</v>
      </c>
      <c r="H293" s="163">
        <f>COUNTIFS(' CADASTRO'!$S:$S,'acab equip'!$D$3,' CADASTRO'!$R:$R,'acab equip'!F293)</f>
        <v>0</v>
      </c>
      <c r="I293" s="163"/>
      <c r="J293" s="162">
        <f t="shared" si="53"/>
        <v>47758</v>
      </c>
      <c r="K293" s="163">
        <f>COUNTIFS(' CADASTRO'!$S:$S,'acab equip'!$C$3,' CADASTRO'!$R:$R,'acab equip'!J293)</f>
        <v>0</v>
      </c>
      <c r="L293" s="163">
        <f>COUNTIFS(' CADASTRO'!$S:$S,'acab equip'!$D$3,' CADASTRO'!$R:$R,'acab equip'!J293)</f>
        <v>0</v>
      </c>
      <c r="M293" s="163">
        <f>COUNTIFS(' CADASTRO'!$R$746:$R$893,'acab equip'!J293,' CADASTRO'!$S$746:$S$893,'acab equip'!$L$3)+COUNTIFS(' CADASTRO'!$R$746:$R$893,'acab equip'!J293,' CADASTRO'!$S$746:$S$893,'acab equip'!$K$3)</f>
        <v>0</v>
      </c>
      <c r="N293" s="162">
        <f t="shared" si="54"/>
        <v>47759</v>
      </c>
      <c r="O293" s="163">
        <f>COUNTIFS(' CADASTRO'!$S:$S,'acab equip'!$C$3,' CADASTRO'!$R:$R,'acab equip'!N293)</f>
        <v>0</v>
      </c>
      <c r="P293" s="163">
        <f>COUNTIFS(' CADASTRO'!$S:$S,'acab equip'!$D$3,' CADASTRO'!$R:$R,'acab equip'!N293)</f>
        <v>0</v>
      </c>
      <c r="Q293" s="163">
        <f>COUNTIFS(' CADASTRO'!$R$746:$R$893,'acab equip'!N293,' CADASTRO'!$S$746:$S$893,'acab equip'!$P$3)+COUNTIFS(' CADASTRO'!$R$746:$R$893,'acab equip'!N293,' CADASTRO'!$S$746:$S$893,'acab equip'!$O$3)</f>
        <v>0</v>
      </c>
      <c r="R293" s="162">
        <f t="shared" si="55"/>
        <v>47760</v>
      </c>
      <c r="S293" s="163">
        <f>COUNTIFS(' CADASTRO'!$S:$S,'acab equip'!$C$3,' CADASTRO'!$R:$R,'acab equip'!R293)</f>
        <v>0</v>
      </c>
      <c r="T293" s="163">
        <f>COUNTIFS(' CADASTRO'!$S:$S,'acab equip'!$D$3,' CADASTRO'!$R:$R,'acab equip'!R293)</f>
        <v>0</v>
      </c>
      <c r="U293" s="163">
        <f>COUNTIFS(' CADASTRO'!$R$746:$R$893,'acab equip'!R293,' CADASTRO'!$S$746:$S$893,'acab equip'!$T$3)+COUNTIFS(' CADASTRO'!$R$746:$R$893,'acab equip'!R293,' CADASTRO'!$S$746:$S$893,'acab equip'!$S$3)</f>
        <v>0</v>
      </c>
      <c r="V293" s="162">
        <f t="shared" si="56"/>
        <v>47761</v>
      </c>
      <c r="W293" s="163">
        <f>COUNTIFS(' CADASTRO'!$S:$S,'acab equip'!$C$3,' CADASTRO'!$R:$R,'acab equip'!V293)</f>
        <v>0</v>
      </c>
      <c r="X293" s="163">
        <f>COUNTIFS(' CADASTRO'!$S:$S,'acab equip'!$D$3,' CADASTRO'!$R:$R,'acab equip'!V293)</f>
        <v>0</v>
      </c>
      <c r="Y293" s="163">
        <f>COUNTIFS(' CADASTRO'!$R$746:$R$893,'acab equip'!V293,' CADASTRO'!$S$746:$S$893,'acab equip'!$X$3)+COUNTIFS(' CADASTRO'!$R$746:$R$893,'acab equip'!V293,' CADASTRO'!$S$746:$S$893,'acab equip'!$W$3)</f>
        <v>0</v>
      </c>
      <c r="Z293" s="162">
        <f t="shared" si="57"/>
        <v>47762</v>
      </c>
      <c r="AB293" s="165">
        <f t="shared" si="47"/>
        <v>0</v>
      </c>
      <c r="AC293" s="165">
        <f t="shared" si="48"/>
        <v>0</v>
      </c>
      <c r="AD293" s="165">
        <f t="shared" si="49"/>
        <v>0</v>
      </c>
      <c r="AE293" s="177">
        <f t="shared" si="50"/>
        <v>0</v>
      </c>
    </row>
    <row r="294" spans="2:31" x14ac:dyDescent="0.25">
      <c r="B294" s="162">
        <f t="shared" si="51"/>
        <v>47763</v>
      </c>
      <c r="C294" s="163">
        <f>COUNTIFS(' CADASTRO'!$S:$S,'acab equip'!$C$3,' CADASTRO'!$R:$R,'acab equip'!B294)</f>
        <v>0</v>
      </c>
      <c r="D294" s="163">
        <f>COUNTIFS(' CADASTRO'!$S:$S,'acab equip'!$D$3,' CADASTRO'!$R:$R,'acab equip'!B294)</f>
        <v>0</v>
      </c>
      <c r="E294" s="163"/>
      <c r="F294" s="162">
        <f t="shared" si="52"/>
        <v>47764</v>
      </c>
      <c r="G294" s="163">
        <f>COUNTIFS(' CADASTRO'!$S:$S,'acab equip'!$C$3,' CADASTRO'!$R:$R,'acab equip'!F294)</f>
        <v>0</v>
      </c>
      <c r="H294" s="163">
        <f>COUNTIFS(' CADASTRO'!$S:$S,'acab equip'!$D$3,' CADASTRO'!$R:$R,'acab equip'!F294)</f>
        <v>0</v>
      </c>
      <c r="I294" s="163"/>
      <c r="J294" s="162">
        <f t="shared" si="53"/>
        <v>47765</v>
      </c>
      <c r="K294" s="163">
        <f>COUNTIFS(' CADASTRO'!$S:$S,'acab equip'!$C$3,' CADASTRO'!$R:$R,'acab equip'!J294)</f>
        <v>0</v>
      </c>
      <c r="L294" s="163">
        <f>COUNTIFS(' CADASTRO'!$S:$S,'acab equip'!$D$3,' CADASTRO'!$R:$R,'acab equip'!J294)</f>
        <v>0</v>
      </c>
      <c r="M294" s="163">
        <f>COUNTIFS(' CADASTRO'!$R$746:$R$893,'acab equip'!J294,' CADASTRO'!$S$746:$S$893,'acab equip'!$L$3)+COUNTIFS(' CADASTRO'!$R$746:$R$893,'acab equip'!J294,' CADASTRO'!$S$746:$S$893,'acab equip'!$K$3)</f>
        <v>0</v>
      </c>
      <c r="N294" s="162">
        <f t="shared" si="54"/>
        <v>47766</v>
      </c>
      <c r="O294" s="163">
        <f>COUNTIFS(' CADASTRO'!$S:$S,'acab equip'!$C$3,' CADASTRO'!$R:$R,'acab equip'!N294)</f>
        <v>0</v>
      </c>
      <c r="P294" s="163">
        <f>COUNTIFS(' CADASTRO'!$S:$S,'acab equip'!$D$3,' CADASTRO'!$R:$R,'acab equip'!N294)</f>
        <v>0</v>
      </c>
      <c r="Q294" s="163">
        <f>COUNTIFS(' CADASTRO'!$R$746:$R$893,'acab equip'!N294,' CADASTRO'!$S$746:$S$893,'acab equip'!$P$3)+COUNTIFS(' CADASTRO'!$R$746:$R$893,'acab equip'!N294,' CADASTRO'!$S$746:$S$893,'acab equip'!$O$3)</f>
        <v>0</v>
      </c>
      <c r="R294" s="162">
        <f t="shared" si="55"/>
        <v>47767</v>
      </c>
      <c r="S294" s="163">
        <f>COUNTIFS(' CADASTRO'!$S:$S,'acab equip'!$C$3,' CADASTRO'!$R:$R,'acab equip'!R294)</f>
        <v>0</v>
      </c>
      <c r="T294" s="163">
        <f>COUNTIFS(' CADASTRO'!$S:$S,'acab equip'!$D$3,' CADASTRO'!$R:$R,'acab equip'!R294)</f>
        <v>0</v>
      </c>
      <c r="U294" s="163">
        <f>COUNTIFS(' CADASTRO'!$R$746:$R$893,'acab equip'!R294,' CADASTRO'!$S$746:$S$893,'acab equip'!$T$3)+COUNTIFS(' CADASTRO'!$R$746:$R$893,'acab equip'!R294,' CADASTRO'!$S$746:$S$893,'acab equip'!$S$3)</f>
        <v>0</v>
      </c>
      <c r="V294" s="162">
        <f t="shared" si="56"/>
        <v>47768</v>
      </c>
      <c r="W294" s="163">
        <f>COUNTIFS(' CADASTRO'!$S:$S,'acab equip'!$C$3,' CADASTRO'!$R:$R,'acab equip'!V294)</f>
        <v>0</v>
      </c>
      <c r="X294" s="163">
        <f>COUNTIFS(' CADASTRO'!$S:$S,'acab equip'!$D$3,' CADASTRO'!$R:$R,'acab equip'!V294)</f>
        <v>0</v>
      </c>
      <c r="Y294" s="163">
        <f>COUNTIFS(' CADASTRO'!$R$746:$R$893,'acab equip'!V294,' CADASTRO'!$S$746:$S$893,'acab equip'!$X$3)+COUNTIFS(' CADASTRO'!$R$746:$R$893,'acab equip'!V294,' CADASTRO'!$S$746:$S$893,'acab equip'!$W$3)</f>
        <v>0</v>
      </c>
      <c r="Z294" s="162">
        <f t="shared" si="57"/>
        <v>47769</v>
      </c>
      <c r="AB294" s="165">
        <f t="shared" si="47"/>
        <v>0</v>
      </c>
      <c r="AC294" s="165">
        <f t="shared" si="48"/>
        <v>0</v>
      </c>
      <c r="AD294" s="165">
        <f t="shared" si="49"/>
        <v>0</v>
      </c>
      <c r="AE294" s="177">
        <f t="shared" si="50"/>
        <v>0</v>
      </c>
    </row>
    <row r="295" spans="2:31" x14ac:dyDescent="0.25">
      <c r="B295" s="162">
        <f t="shared" si="51"/>
        <v>47770</v>
      </c>
      <c r="C295" s="163">
        <f>COUNTIFS(' CADASTRO'!$S:$S,'acab equip'!$C$3,' CADASTRO'!$R:$R,'acab equip'!B295)</f>
        <v>0</v>
      </c>
      <c r="D295" s="163">
        <f>COUNTIFS(' CADASTRO'!$S:$S,'acab equip'!$D$3,' CADASTRO'!$R:$R,'acab equip'!B295)</f>
        <v>0</v>
      </c>
      <c r="E295" s="163"/>
      <c r="F295" s="162">
        <f t="shared" si="52"/>
        <v>47771</v>
      </c>
      <c r="G295" s="163">
        <f>COUNTIFS(' CADASTRO'!$S:$S,'acab equip'!$C$3,' CADASTRO'!$R:$R,'acab equip'!F295)</f>
        <v>0</v>
      </c>
      <c r="H295" s="163">
        <f>COUNTIFS(' CADASTRO'!$S:$S,'acab equip'!$D$3,' CADASTRO'!$R:$R,'acab equip'!F295)</f>
        <v>0</v>
      </c>
      <c r="I295" s="163"/>
      <c r="J295" s="162">
        <f t="shared" si="53"/>
        <v>47772</v>
      </c>
      <c r="K295" s="163">
        <f>COUNTIFS(' CADASTRO'!$S:$S,'acab equip'!$C$3,' CADASTRO'!$R:$R,'acab equip'!J295)</f>
        <v>0</v>
      </c>
      <c r="L295" s="163">
        <f>COUNTIFS(' CADASTRO'!$S:$S,'acab equip'!$D$3,' CADASTRO'!$R:$R,'acab equip'!J295)</f>
        <v>0</v>
      </c>
      <c r="M295" s="163">
        <f>COUNTIFS(' CADASTRO'!$R$746:$R$893,'acab equip'!J295,' CADASTRO'!$S$746:$S$893,'acab equip'!$L$3)+COUNTIFS(' CADASTRO'!$R$746:$R$893,'acab equip'!J295,' CADASTRO'!$S$746:$S$893,'acab equip'!$K$3)</f>
        <v>0</v>
      </c>
      <c r="N295" s="162">
        <f t="shared" si="54"/>
        <v>47773</v>
      </c>
      <c r="O295" s="163">
        <f>COUNTIFS(' CADASTRO'!$S:$S,'acab equip'!$C$3,' CADASTRO'!$R:$R,'acab equip'!N295)</f>
        <v>0</v>
      </c>
      <c r="P295" s="163">
        <f>COUNTIFS(' CADASTRO'!$S:$S,'acab equip'!$D$3,' CADASTRO'!$R:$R,'acab equip'!N295)</f>
        <v>0</v>
      </c>
      <c r="Q295" s="163">
        <f>COUNTIFS(' CADASTRO'!$R$746:$R$893,'acab equip'!N295,' CADASTRO'!$S$746:$S$893,'acab equip'!$P$3)+COUNTIFS(' CADASTRO'!$R$746:$R$893,'acab equip'!N295,' CADASTRO'!$S$746:$S$893,'acab equip'!$O$3)</f>
        <v>0</v>
      </c>
      <c r="R295" s="162">
        <f t="shared" si="55"/>
        <v>47774</v>
      </c>
      <c r="S295" s="163">
        <f>COUNTIFS(' CADASTRO'!$S:$S,'acab equip'!$C$3,' CADASTRO'!$R:$R,'acab equip'!R295)</f>
        <v>0</v>
      </c>
      <c r="T295" s="163">
        <f>COUNTIFS(' CADASTRO'!$S:$S,'acab equip'!$D$3,' CADASTRO'!$R:$R,'acab equip'!R295)</f>
        <v>0</v>
      </c>
      <c r="U295" s="163">
        <f>COUNTIFS(' CADASTRO'!$R$746:$R$893,'acab equip'!R295,' CADASTRO'!$S$746:$S$893,'acab equip'!$T$3)+COUNTIFS(' CADASTRO'!$R$746:$R$893,'acab equip'!R295,' CADASTRO'!$S$746:$S$893,'acab equip'!$S$3)</f>
        <v>0</v>
      </c>
      <c r="V295" s="162">
        <f t="shared" si="56"/>
        <v>47775</v>
      </c>
      <c r="W295" s="163">
        <f>COUNTIFS(' CADASTRO'!$S:$S,'acab equip'!$C$3,' CADASTRO'!$R:$R,'acab equip'!V295)</f>
        <v>0</v>
      </c>
      <c r="X295" s="163">
        <f>COUNTIFS(' CADASTRO'!$S:$S,'acab equip'!$D$3,' CADASTRO'!$R:$R,'acab equip'!V295)</f>
        <v>0</v>
      </c>
      <c r="Y295" s="163">
        <f>COUNTIFS(' CADASTRO'!$R$746:$R$893,'acab equip'!V295,' CADASTRO'!$S$746:$S$893,'acab equip'!$X$3)+COUNTIFS(' CADASTRO'!$R$746:$R$893,'acab equip'!V295,' CADASTRO'!$S$746:$S$893,'acab equip'!$W$3)</f>
        <v>0</v>
      </c>
      <c r="Z295" s="162">
        <f t="shared" si="57"/>
        <v>47776</v>
      </c>
      <c r="AB295" s="165">
        <f t="shared" si="47"/>
        <v>0</v>
      </c>
      <c r="AC295" s="165">
        <f t="shared" si="48"/>
        <v>0</v>
      </c>
      <c r="AD295" s="165">
        <f t="shared" si="49"/>
        <v>0</v>
      </c>
      <c r="AE295" s="177">
        <f t="shared" si="50"/>
        <v>0</v>
      </c>
    </row>
    <row r="296" spans="2:31" x14ac:dyDescent="0.25">
      <c r="B296" s="162">
        <f t="shared" si="51"/>
        <v>47777</v>
      </c>
      <c r="C296" s="163">
        <f>COUNTIFS(' CADASTRO'!$S:$S,'acab equip'!$C$3,' CADASTRO'!$R:$R,'acab equip'!B296)</f>
        <v>0</v>
      </c>
      <c r="D296" s="163">
        <f>COUNTIFS(' CADASTRO'!$S:$S,'acab equip'!$D$3,' CADASTRO'!$R:$R,'acab equip'!B296)</f>
        <v>0</v>
      </c>
      <c r="E296" s="163"/>
      <c r="F296" s="162">
        <f t="shared" si="52"/>
        <v>47778</v>
      </c>
      <c r="G296" s="163">
        <f>COUNTIFS(' CADASTRO'!$S:$S,'acab equip'!$C$3,' CADASTRO'!$R:$R,'acab equip'!F296)</f>
        <v>0</v>
      </c>
      <c r="H296" s="163">
        <f>COUNTIFS(' CADASTRO'!$S:$S,'acab equip'!$D$3,' CADASTRO'!$R:$R,'acab equip'!F296)</f>
        <v>0</v>
      </c>
      <c r="I296" s="163"/>
      <c r="J296" s="162">
        <f t="shared" si="53"/>
        <v>47779</v>
      </c>
      <c r="K296" s="163">
        <f>COUNTIFS(' CADASTRO'!$S:$S,'acab equip'!$C$3,' CADASTRO'!$R:$R,'acab equip'!J296)</f>
        <v>0</v>
      </c>
      <c r="L296" s="163">
        <f>COUNTIFS(' CADASTRO'!$S:$S,'acab equip'!$D$3,' CADASTRO'!$R:$R,'acab equip'!J296)</f>
        <v>0</v>
      </c>
      <c r="M296" s="163">
        <f>COUNTIFS(' CADASTRO'!$R$746:$R$893,'acab equip'!J296,' CADASTRO'!$S$746:$S$893,'acab equip'!$L$3)+COUNTIFS(' CADASTRO'!$R$746:$R$893,'acab equip'!J296,' CADASTRO'!$S$746:$S$893,'acab equip'!$K$3)</f>
        <v>0</v>
      </c>
      <c r="N296" s="162">
        <f t="shared" si="54"/>
        <v>47780</v>
      </c>
      <c r="O296" s="163">
        <f>COUNTIFS(' CADASTRO'!$S:$S,'acab equip'!$C$3,' CADASTRO'!$R:$R,'acab equip'!N296)</f>
        <v>0</v>
      </c>
      <c r="P296" s="163">
        <f>COUNTIFS(' CADASTRO'!$S:$S,'acab equip'!$D$3,' CADASTRO'!$R:$R,'acab equip'!N296)</f>
        <v>0</v>
      </c>
      <c r="Q296" s="163">
        <f>COUNTIFS(' CADASTRO'!$R$746:$R$893,'acab equip'!N296,' CADASTRO'!$S$746:$S$893,'acab equip'!$P$3)+COUNTIFS(' CADASTRO'!$R$746:$R$893,'acab equip'!N296,' CADASTRO'!$S$746:$S$893,'acab equip'!$O$3)</f>
        <v>0</v>
      </c>
      <c r="R296" s="162">
        <f t="shared" si="55"/>
        <v>47781</v>
      </c>
      <c r="S296" s="163">
        <f>COUNTIFS(' CADASTRO'!$S:$S,'acab equip'!$C$3,' CADASTRO'!$R:$R,'acab equip'!R296)</f>
        <v>0</v>
      </c>
      <c r="T296" s="163">
        <f>COUNTIFS(' CADASTRO'!$S:$S,'acab equip'!$D$3,' CADASTRO'!$R:$R,'acab equip'!R296)</f>
        <v>0</v>
      </c>
      <c r="U296" s="163">
        <f>COUNTIFS(' CADASTRO'!$R$746:$R$893,'acab equip'!R296,' CADASTRO'!$S$746:$S$893,'acab equip'!$T$3)+COUNTIFS(' CADASTRO'!$R$746:$R$893,'acab equip'!R296,' CADASTRO'!$S$746:$S$893,'acab equip'!$S$3)</f>
        <v>0</v>
      </c>
      <c r="V296" s="162">
        <f t="shared" si="56"/>
        <v>47782</v>
      </c>
      <c r="W296" s="163">
        <f>COUNTIFS(' CADASTRO'!$S:$S,'acab equip'!$C$3,' CADASTRO'!$R:$R,'acab equip'!V296)</f>
        <v>0</v>
      </c>
      <c r="X296" s="163">
        <f>COUNTIFS(' CADASTRO'!$S:$S,'acab equip'!$D$3,' CADASTRO'!$R:$R,'acab equip'!V296)</f>
        <v>0</v>
      </c>
      <c r="Y296" s="163">
        <f>COUNTIFS(' CADASTRO'!$R$746:$R$893,'acab equip'!V296,' CADASTRO'!$S$746:$S$893,'acab equip'!$X$3)+COUNTIFS(' CADASTRO'!$R$746:$R$893,'acab equip'!V296,' CADASTRO'!$S$746:$S$893,'acab equip'!$W$3)</f>
        <v>0</v>
      </c>
      <c r="Z296" s="162">
        <f t="shared" si="57"/>
        <v>47783</v>
      </c>
      <c r="AB296" s="165">
        <f t="shared" si="47"/>
        <v>0</v>
      </c>
      <c r="AC296" s="165">
        <f t="shared" si="48"/>
        <v>0</v>
      </c>
      <c r="AD296" s="165">
        <f t="shared" si="49"/>
        <v>0</v>
      </c>
      <c r="AE296" s="177">
        <f t="shared" si="50"/>
        <v>0</v>
      </c>
    </row>
    <row r="297" spans="2:31" x14ac:dyDescent="0.25">
      <c r="B297" s="162">
        <f t="shared" si="51"/>
        <v>47784</v>
      </c>
      <c r="C297" s="163">
        <f>COUNTIFS(' CADASTRO'!$S:$S,'acab equip'!$C$3,' CADASTRO'!$R:$R,'acab equip'!B297)</f>
        <v>0</v>
      </c>
      <c r="D297" s="163">
        <f>COUNTIFS(' CADASTRO'!$S:$S,'acab equip'!$D$3,' CADASTRO'!$R:$R,'acab equip'!B297)</f>
        <v>0</v>
      </c>
      <c r="E297" s="163"/>
      <c r="F297" s="162">
        <f t="shared" si="52"/>
        <v>47785</v>
      </c>
      <c r="G297" s="163">
        <f>COUNTIFS(' CADASTRO'!$S:$S,'acab equip'!$C$3,' CADASTRO'!$R:$R,'acab equip'!F297)</f>
        <v>0</v>
      </c>
      <c r="H297" s="163">
        <f>COUNTIFS(' CADASTRO'!$S:$S,'acab equip'!$D$3,' CADASTRO'!$R:$R,'acab equip'!F297)</f>
        <v>0</v>
      </c>
      <c r="I297" s="163"/>
      <c r="J297" s="162">
        <f t="shared" si="53"/>
        <v>47786</v>
      </c>
      <c r="K297" s="163">
        <f>COUNTIFS(' CADASTRO'!$S:$S,'acab equip'!$C$3,' CADASTRO'!$R:$R,'acab equip'!J297)</f>
        <v>0</v>
      </c>
      <c r="L297" s="163">
        <f>COUNTIFS(' CADASTRO'!$S:$S,'acab equip'!$D$3,' CADASTRO'!$R:$R,'acab equip'!J297)</f>
        <v>0</v>
      </c>
      <c r="M297" s="163">
        <f>COUNTIFS(' CADASTRO'!$R$746:$R$893,'acab equip'!J297,' CADASTRO'!$S$746:$S$893,'acab equip'!$L$3)+COUNTIFS(' CADASTRO'!$R$746:$R$893,'acab equip'!J297,' CADASTRO'!$S$746:$S$893,'acab equip'!$K$3)</f>
        <v>0</v>
      </c>
      <c r="N297" s="162">
        <f t="shared" si="54"/>
        <v>47787</v>
      </c>
      <c r="O297" s="163">
        <f>COUNTIFS(' CADASTRO'!$S:$S,'acab equip'!$C$3,' CADASTRO'!$R:$R,'acab equip'!N297)</f>
        <v>0</v>
      </c>
      <c r="P297" s="163">
        <f>COUNTIFS(' CADASTRO'!$S:$S,'acab equip'!$D$3,' CADASTRO'!$R:$R,'acab equip'!N297)</f>
        <v>0</v>
      </c>
      <c r="Q297" s="163">
        <f>COUNTIFS(' CADASTRO'!$R$746:$R$893,'acab equip'!N297,' CADASTRO'!$S$746:$S$893,'acab equip'!$P$3)+COUNTIFS(' CADASTRO'!$R$746:$R$893,'acab equip'!N297,' CADASTRO'!$S$746:$S$893,'acab equip'!$O$3)</f>
        <v>0</v>
      </c>
      <c r="R297" s="162">
        <f t="shared" si="55"/>
        <v>47788</v>
      </c>
      <c r="S297" s="163">
        <f>COUNTIFS(' CADASTRO'!$S:$S,'acab equip'!$C$3,' CADASTRO'!$R:$R,'acab equip'!R297)</f>
        <v>0</v>
      </c>
      <c r="T297" s="163">
        <f>COUNTIFS(' CADASTRO'!$S:$S,'acab equip'!$D$3,' CADASTRO'!$R:$R,'acab equip'!R297)</f>
        <v>0</v>
      </c>
      <c r="U297" s="163">
        <f>COUNTIFS(' CADASTRO'!$R$746:$R$893,'acab equip'!R297,' CADASTRO'!$S$746:$S$893,'acab equip'!$T$3)+COUNTIFS(' CADASTRO'!$R$746:$R$893,'acab equip'!R297,' CADASTRO'!$S$746:$S$893,'acab equip'!$S$3)</f>
        <v>0</v>
      </c>
      <c r="V297" s="162">
        <f t="shared" si="56"/>
        <v>47789</v>
      </c>
      <c r="W297" s="163">
        <f>COUNTIFS(' CADASTRO'!$S:$S,'acab equip'!$C$3,' CADASTRO'!$R:$R,'acab equip'!V297)</f>
        <v>0</v>
      </c>
      <c r="X297" s="163">
        <f>COUNTIFS(' CADASTRO'!$S:$S,'acab equip'!$D$3,' CADASTRO'!$R:$R,'acab equip'!V297)</f>
        <v>0</v>
      </c>
      <c r="Y297" s="163">
        <f>COUNTIFS(' CADASTRO'!$R$746:$R$893,'acab equip'!V297,' CADASTRO'!$S$746:$S$893,'acab equip'!$X$3)+COUNTIFS(' CADASTRO'!$R$746:$R$893,'acab equip'!V297,' CADASTRO'!$S$746:$S$893,'acab equip'!$W$3)</f>
        <v>0</v>
      </c>
      <c r="Z297" s="162">
        <f t="shared" si="57"/>
        <v>47790</v>
      </c>
      <c r="AB297" s="165">
        <f t="shared" si="47"/>
        <v>0</v>
      </c>
      <c r="AC297" s="165">
        <f t="shared" si="48"/>
        <v>0</v>
      </c>
      <c r="AD297" s="165">
        <f t="shared" si="49"/>
        <v>0</v>
      </c>
      <c r="AE297" s="177">
        <f t="shared" si="50"/>
        <v>0</v>
      </c>
    </row>
    <row r="298" spans="2:31" x14ac:dyDescent="0.25">
      <c r="B298" s="162">
        <f t="shared" si="51"/>
        <v>47791</v>
      </c>
      <c r="C298" s="163">
        <f>COUNTIFS(' CADASTRO'!$S:$S,'acab equip'!$C$3,' CADASTRO'!$R:$R,'acab equip'!B298)</f>
        <v>0</v>
      </c>
      <c r="D298" s="163">
        <f>COUNTIFS(' CADASTRO'!$S:$S,'acab equip'!$D$3,' CADASTRO'!$R:$R,'acab equip'!B298)</f>
        <v>0</v>
      </c>
      <c r="E298" s="163"/>
      <c r="F298" s="162">
        <f t="shared" si="52"/>
        <v>47792</v>
      </c>
      <c r="G298" s="163">
        <f>COUNTIFS(' CADASTRO'!$S:$S,'acab equip'!$C$3,' CADASTRO'!$R:$R,'acab equip'!F298)</f>
        <v>0</v>
      </c>
      <c r="H298" s="163">
        <f>COUNTIFS(' CADASTRO'!$S:$S,'acab equip'!$D$3,' CADASTRO'!$R:$R,'acab equip'!F298)</f>
        <v>0</v>
      </c>
      <c r="I298" s="163"/>
      <c r="J298" s="162">
        <f t="shared" si="53"/>
        <v>47793</v>
      </c>
      <c r="K298" s="163">
        <f>COUNTIFS(' CADASTRO'!$S:$S,'acab equip'!$C$3,' CADASTRO'!$R:$R,'acab equip'!J298)</f>
        <v>0</v>
      </c>
      <c r="L298" s="163">
        <f>COUNTIFS(' CADASTRO'!$S:$S,'acab equip'!$D$3,' CADASTRO'!$R:$R,'acab equip'!J298)</f>
        <v>0</v>
      </c>
      <c r="M298" s="163">
        <f>COUNTIFS(' CADASTRO'!$R$746:$R$893,'acab equip'!J298,' CADASTRO'!$S$746:$S$893,'acab equip'!$L$3)+COUNTIFS(' CADASTRO'!$R$746:$R$893,'acab equip'!J298,' CADASTRO'!$S$746:$S$893,'acab equip'!$K$3)</f>
        <v>0</v>
      </c>
      <c r="N298" s="162">
        <f t="shared" si="54"/>
        <v>47794</v>
      </c>
      <c r="O298" s="163">
        <f>COUNTIFS(' CADASTRO'!$S:$S,'acab equip'!$C$3,' CADASTRO'!$R:$R,'acab equip'!N298)</f>
        <v>0</v>
      </c>
      <c r="P298" s="163">
        <f>COUNTIFS(' CADASTRO'!$S:$S,'acab equip'!$D$3,' CADASTRO'!$R:$R,'acab equip'!N298)</f>
        <v>0</v>
      </c>
      <c r="Q298" s="163">
        <f>COUNTIFS(' CADASTRO'!$R$746:$R$893,'acab equip'!N298,' CADASTRO'!$S$746:$S$893,'acab equip'!$P$3)+COUNTIFS(' CADASTRO'!$R$746:$R$893,'acab equip'!N298,' CADASTRO'!$S$746:$S$893,'acab equip'!$O$3)</f>
        <v>0</v>
      </c>
      <c r="R298" s="162">
        <f t="shared" si="55"/>
        <v>47795</v>
      </c>
      <c r="S298" s="163">
        <f>COUNTIFS(' CADASTRO'!$S:$S,'acab equip'!$C$3,' CADASTRO'!$R:$R,'acab equip'!R298)</f>
        <v>0</v>
      </c>
      <c r="T298" s="163">
        <f>COUNTIFS(' CADASTRO'!$S:$S,'acab equip'!$D$3,' CADASTRO'!$R:$R,'acab equip'!R298)</f>
        <v>0</v>
      </c>
      <c r="U298" s="163">
        <f>COUNTIFS(' CADASTRO'!$R$746:$R$893,'acab equip'!R298,' CADASTRO'!$S$746:$S$893,'acab equip'!$T$3)+COUNTIFS(' CADASTRO'!$R$746:$R$893,'acab equip'!R298,' CADASTRO'!$S$746:$S$893,'acab equip'!$S$3)</f>
        <v>0</v>
      </c>
      <c r="V298" s="162">
        <f t="shared" si="56"/>
        <v>47796</v>
      </c>
      <c r="W298" s="163">
        <f>COUNTIFS(' CADASTRO'!$S:$S,'acab equip'!$C$3,' CADASTRO'!$R:$R,'acab equip'!V298)</f>
        <v>0</v>
      </c>
      <c r="X298" s="163">
        <f>COUNTIFS(' CADASTRO'!$S:$S,'acab equip'!$D$3,' CADASTRO'!$R:$R,'acab equip'!V298)</f>
        <v>0</v>
      </c>
      <c r="Y298" s="163">
        <f>COUNTIFS(' CADASTRO'!$R$746:$R$893,'acab equip'!V298,' CADASTRO'!$S$746:$S$893,'acab equip'!$X$3)+COUNTIFS(' CADASTRO'!$R$746:$R$893,'acab equip'!V298,' CADASTRO'!$S$746:$S$893,'acab equip'!$W$3)</f>
        <v>0</v>
      </c>
      <c r="Z298" s="162">
        <f t="shared" si="57"/>
        <v>47797</v>
      </c>
      <c r="AB298" s="165">
        <f t="shared" si="47"/>
        <v>0</v>
      </c>
      <c r="AC298" s="165">
        <f t="shared" si="48"/>
        <v>0</v>
      </c>
      <c r="AD298" s="165">
        <f t="shared" si="49"/>
        <v>0</v>
      </c>
      <c r="AE298" s="177">
        <f t="shared" si="50"/>
        <v>0</v>
      </c>
    </row>
    <row r="299" spans="2:31" x14ac:dyDescent="0.25">
      <c r="B299" s="162">
        <f t="shared" si="51"/>
        <v>47798</v>
      </c>
      <c r="C299" s="163">
        <f>COUNTIFS(' CADASTRO'!$S:$S,'acab equip'!$C$3,' CADASTRO'!$R:$R,'acab equip'!B299)</f>
        <v>0</v>
      </c>
      <c r="D299" s="163">
        <f>COUNTIFS(' CADASTRO'!$S:$S,'acab equip'!$D$3,' CADASTRO'!$R:$R,'acab equip'!B299)</f>
        <v>0</v>
      </c>
      <c r="E299" s="163"/>
      <c r="F299" s="162">
        <f t="shared" si="52"/>
        <v>47799</v>
      </c>
      <c r="G299" s="163">
        <f>COUNTIFS(' CADASTRO'!$S:$S,'acab equip'!$C$3,' CADASTRO'!$R:$R,'acab equip'!F299)</f>
        <v>0</v>
      </c>
      <c r="H299" s="163">
        <f>COUNTIFS(' CADASTRO'!$S:$S,'acab equip'!$D$3,' CADASTRO'!$R:$R,'acab equip'!F299)</f>
        <v>0</v>
      </c>
      <c r="I299" s="163"/>
      <c r="J299" s="162">
        <f t="shared" si="53"/>
        <v>47800</v>
      </c>
      <c r="K299" s="163">
        <f>COUNTIFS(' CADASTRO'!$S:$S,'acab equip'!$C$3,' CADASTRO'!$R:$R,'acab equip'!J299)</f>
        <v>0</v>
      </c>
      <c r="L299" s="163">
        <f>COUNTIFS(' CADASTRO'!$S:$S,'acab equip'!$D$3,' CADASTRO'!$R:$R,'acab equip'!J299)</f>
        <v>0</v>
      </c>
      <c r="M299" s="163">
        <f>COUNTIFS(' CADASTRO'!$R$746:$R$893,'acab equip'!J299,' CADASTRO'!$S$746:$S$893,'acab equip'!$L$3)+COUNTIFS(' CADASTRO'!$R$746:$R$893,'acab equip'!J299,' CADASTRO'!$S$746:$S$893,'acab equip'!$K$3)</f>
        <v>0</v>
      </c>
      <c r="N299" s="162">
        <f t="shared" si="54"/>
        <v>47801</v>
      </c>
      <c r="O299" s="163">
        <f>COUNTIFS(' CADASTRO'!$S:$S,'acab equip'!$C$3,' CADASTRO'!$R:$R,'acab equip'!N299)</f>
        <v>0</v>
      </c>
      <c r="P299" s="163">
        <f>COUNTIFS(' CADASTRO'!$S:$S,'acab equip'!$D$3,' CADASTRO'!$R:$R,'acab equip'!N299)</f>
        <v>0</v>
      </c>
      <c r="Q299" s="163">
        <f>COUNTIFS(' CADASTRO'!$R$746:$R$893,'acab equip'!N299,' CADASTRO'!$S$746:$S$893,'acab equip'!$P$3)+COUNTIFS(' CADASTRO'!$R$746:$R$893,'acab equip'!N299,' CADASTRO'!$S$746:$S$893,'acab equip'!$O$3)</f>
        <v>0</v>
      </c>
      <c r="R299" s="162">
        <f t="shared" si="55"/>
        <v>47802</v>
      </c>
      <c r="S299" s="163">
        <f>COUNTIFS(' CADASTRO'!$S:$S,'acab equip'!$C$3,' CADASTRO'!$R:$R,'acab equip'!R299)</f>
        <v>0</v>
      </c>
      <c r="T299" s="163">
        <f>COUNTIFS(' CADASTRO'!$S:$S,'acab equip'!$D$3,' CADASTRO'!$R:$R,'acab equip'!R299)</f>
        <v>0</v>
      </c>
      <c r="U299" s="163">
        <f>COUNTIFS(' CADASTRO'!$R$746:$R$893,'acab equip'!R299,' CADASTRO'!$S$746:$S$893,'acab equip'!$T$3)+COUNTIFS(' CADASTRO'!$R$746:$R$893,'acab equip'!R299,' CADASTRO'!$S$746:$S$893,'acab equip'!$S$3)</f>
        <v>0</v>
      </c>
      <c r="V299" s="162">
        <f t="shared" si="56"/>
        <v>47803</v>
      </c>
      <c r="W299" s="163">
        <f>COUNTIFS(' CADASTRO'!$S:$S,'acab equip'!$C$3,' CADASTRO'!$R:$R,'acab equip'!V299)</f>
        <v>0</v>
      </c>
      <c r="X299" s="163">
        <f>COUNTIFS(' CADASTRO'!$S:$S,'acab equip'!$D$3,' CADASTRO'!$R:$R,'acab equip'!V299)</f>
        <v>0</v>
      </c>
      <c r="Y299" s="163">
        <f>COUNTIFS(' CADASTRO'!$R$746:$R$893,'acab equip'!V299,' CADASTRO'!$S$746:$S$893,'acab equip'!$X$3)+COUNTIFS(' CADASTRO'!$R$746:$R$893,'acab equip'!V299,' CADASTRO'!$S$746:$S$893,'acab equip'!$W$3)</f>
        <v>0</v>
      </c>
      <c r="Z299" s="162">
        <f t="shared" si="57"/>
        <v>47804</v>
      </c>
      <c r="AB299" s="165">
        <f t="shared" si="47"/>
        <v>0</v>
      </c>
      <c r="AC299" s="165">
        <f t="shared" si="48"/>
        <v>0</v>
      </c>
      <c r="AD299" s="165">
        <f t="shared" si="49"/>
        <v>0</v>
      </c>
      <c r="AE299" s="177">
        <f t="shared" si="50"/>
        <v>0</v>
      </c>
    </row>
    <row r="300" spans="2:31" x14ac:dyDescent="0.25">
      <c r="B300" s="162">
        <f t="shared" si="51"/>
        <v>47805</v>
      </c>
      <c r="C300" s="163">
        <f>COUNTIFS(' CADASTRO'!$S:$S,'acab equip'!$C$3,' CADASTRO'!$R:$R,'acab equip'!B300)</f>
        <v>0</v>
      </c>
      <c r="D300" s="163">
        <f>COUNTIFS(' CADASTRO'!$S:$S,'acab equip'!$D$3,' CADASTRO'!$R:$R,'acab equip'!B300)</f>
        <v>0</v>
      </c>
      <c r="E300" s="163"/>
      <c r="F300" s="162">
        <f t="shared" si="52"/>
        <v>47806</v>
      </c>
      <c r="G300" s="163">
        <f>COUNTIFS(' CADASTRO'!$S:$S,'acab equip'!$C$3,' CADASTRO'!$R:$R,'acab equip'!F300)</f>
        <v>0</v>
      </c>
      <c r="H300" s="163">
        <f>COUNTIFS(' CADASTRO'!$S:$S,'acab equip'!$D$3,' CADASTRO'!$R:$R,'acab equip'!F300)</f>
        <v>0</v>
      </c>
      <c r="I300" s="163"/>
      <c r="J300" s="162">
        <f t="shared" si="53"/>
        <v>47807</v>
      </c>
      <c r="K300" s="163">
        <f>COUNTIFS(' CADASTRO'!$S:$S,'acab equip'!$C$3,' CADASTRO'!$R:$R,'acab equip'!J300)</f>
        <v>0</v>
      </c>
      <c r="L300" s="163">
        <f>COUNTIFS(' CADASTRO'!$S:$S,'acab equip'!$D$3,' CADASTRO'!$R:$R,'acab equip'!J300)</f>
        <v>0</v>
      </c>
      <c r="M300" s="163">
        <f>COUNTIFS(' CADASTRO'!$R$746:$R$893,'acab equip'!J300,' CADASTRO'!$S$746:$S$893,'acab equip'!$L$3)+COUNTIFS(' CADASTRO'!$R$746:$R$893,'acab equip'!J300,' CADASTRO'!$S$746:$S$893,'acab equip'!$K$3)</f>
        <v>0</v>
      </c>
      <c r="N300" s="162">
        <f t="shared" si="54"/>
        <v>47808</v>
      </c>
      <c r="O300" s="163">
        <f>COUNTIFS(' CADASTRO'!$S:$S,'acab equip'!$C$3,' CADASTRO'!$R:$R,'acab equip'!N300)</f>
        <v>0</v>
      </c>
      <c r="P300" s="163">
        <f>COUNTIFS(' CADASTRO'!$S:$S,'acab equip'!$D$3,' CADASTRO'!$R:$R,'acab equip'!N300)</f>
        <v>0</v>
      </c>
      <c r="Q300" s="163">
        <f>COUNTIFS(' CADASTRO'!$R$746:$R$893,'acab equip'!N300,' CADASTRO'!$S$746:$S$893,'acab equip'!$P$3)+COUNTIFS(' CADASTRO'!$R$746:$R$893,'acab equip'!N300,' CADASTRO'!$S$746:$S$893,'acab equip'!$O$3)</f>
        <v>0</v>
      </c>
      <c r="R300" s="162">
        <f t="shared" si="55"/>
        <v>47809</v>
      </c>
      <c r="S300" s="163">
        <f>COUNTIFS(' CADASTRO'!$S:$S,'acab equip'!$C$3,' CADASTRO'!$R:$R,'acab equip'!R300)</f>
        <v>0</v>
      </c>
      <c r="T300" s="163">
        <f>COUNTIFS(' CADASTRO'!$S:$S,'acab equip'!$D$3,' CADASTRO'!$R:$R,'acab equip'!R300)</f>
        <v>0</v>
      </c>
      <c r="U300" s="163">
        <f>COUNTIFS(' CADASTRO'!$R$746:$R$893,'acab equip'!R300,' CADASTRO'!$S$746:$S$893,'acab equip'!$T$3)+COUNTIFS(' CADASTRO'!$R$746:$R$893,'acab equip'!R300,' CADASTRO'!$S$746:$S$893,'acab equip'!$S$3)</f>
        <v>0</v>
      </c>
      <c r="V300" s="162">
        <f t="shared" si="56"/>
        <v>47810</v>
      </c>
      <c r="W300" s="163">
        <f>COUNTIFS(' CADASTRO'!$S:$S,'acab equip'!$C$3,' CADASTRO'!$R:$R,'acab equip'!V300)</f>
        <v>0</v>
      </c>
      <c r="X300" s="163">
        <f>COUNTIFS(' CADASTRO'!$S:$S,'acab equip'!$D$3,' CADASTRO'!$R:$R,'acab equip'!V300)</f>
        <v>0</v>
      </c>
      <c r="Y300" s="163">
        <f>COUNTIFS(' CADASTRO'!$R$746:$R$893,'acab equip'!V300,' CADASTRO'!$S$746:$S$893,'acab equip'!$X$3)+COUNTIFS(' CADASTRO'!$R$746:$R$893,'acab equip'!V300,' CADASTRO'!$S$746:$S$893,'acab equip'!$W$3)</f>
        <v>0</v>
      </c>
      <c r="Z300" s="162">
        <f t="shared" si="57"/>
        <v>47811</v>
      </c>
      <c r="AB300" s="165">
        <f t="shared" si="47"/>
        <v>0</v>
      </c>
      <c r="AC300" s="165">
        <f t="shared" si="48"/>
        <v>0</v>
      </c>
      <c r="AD300" s="165">
        <f t="shared" si="49"/>
        <v>0</v>
      </c>
      <c r="AE300" s="177">
        <f t="shared" si="50"/>
        <v>0</v>
      </c>
    </row>
    <row r="301" spans="2:31" x14ac:dyDescent="0.25">
      <c r="B301" s="162">
        <f t="shared" si="51"/>
        <v>47812</v>
      </c>
      <c r="C301" s="163">
        <f>COUNTIFS(' CADASTRO'!$S:$S,'acab equip'!$C$3,' CADASTRO'!$R:$R,'acab equip'!B301)</f>
        <v>0</v>
      </c>
      <c r="D301" s="163">
        <f>COUNTIFS(' CADASTRO'!$S:$S,'acab equip'!$D$3,' CADASTRO'!$R:$R,'acab equip'!B301)</f>
        <v>0</v>
      </c>
      <c r="E301" s="163"/>
      <c r="F301" s="162">
        <f t="shared" si="52"/>
        <v>47813</v>
      </c>
      <c r="G301" s="163">
        <f>COUNTIFS(' CADASTRO'!$S:$S,'acab equip'!$C$3,' CADASTRO'!$R:$R,'acab equip'!F301)</f>
        <v>0</v>
      </c>
      <c r="H301" s="163">
        <f>COUNTIFS(' CADASTRO'!$S:$S,'acab equip'!$D$3,' CADASTRO'!$R:$R,'acab equip'!F301)</f>
        <v>0</v>
      </c>
      <c r="I301" s="163"/>
      <c r="J301" s="162">
        <f t="shared" si="53"/>
        <v>47814</v>
      </c>
      <c r="K301" s="163">
        <f>COUNTIFS(' CADASTRO'!$S:$S,'acab equip'!$C$3,' CADASTRO'!$R:$R,'acab equip'!J301)</f>
        <v>0</v>
      </c>
      <c r="L301" s="163">
        <f>COUNTIFS(' CADASTRO'!$S:$S,'acab equip'!$D$3,' CADASTRO'!$R:$R,'acab equip'!J301)</f>
        <v>0</v>
      </c>
      <c r="M301" s="163">
        <f>COUNTIFS(' CADASTRO'!$R$746:$R$893,'acab equip'!J301,' CADASTRO'!$S$746:$S$893,'acab equip'!$L$3)+COUNTIFS(' CADASTRO'!$R$746:$R$893,'acab equip'!J301,' CADASTRO'!$S$746:$S$893,'acab equip'!$K$3)</f>
        <v>0</v>
      </c>
      <c r="N301" s="162">
        <f t="shared" si="54"/>
        <v>47815</v>
      </c>
      <c r="O301" s="163">
        <f>COUNTIFS(' CADASTRO'!$S:$S,'acab equip'!$C$3,' CADASTRO'!$R:$R,'acab equip'!N301)</f>
        <v>0</v>
      </c>
      <c r="P301" s="163">
        <f>COUNTIFS(' CADASTRO'!$S:$S,'acab equip'!$D$3,' CADASTRO'!$R:$R,'acab equip'!N301)</f>
        <v>0</v>
      </c>
      <c r="Q301" s="163">
        <f>COUNTIFS(' CADASTRO'!$R$746:$R$893,'acab equip'!N301,' CADASTRO'!$S$746:$S$893,'acab equip'!$P$3)+COUNTIFS(' CADASTRO'!$R$746:$R$893,'acab equip'!N301,' CADASTRO'!$S$746:$S$893,'acab equip'!$O$3)</f>
        <v>0</v>
      </c>
      <c r="R301" s="162">
        <f t="shared" si="55"/>
        <v>47816</v>
      </c>
      <c r="S301" s="163">
        <f>COUNTIFS(' CADASTRO'!$S:$S,'acab equip'!$C$3,' CADASTRO'!$R:$R,'acab equip'!R301)</f>
        <v>0</v>
      </c>
      <c r="T301" s="163">
        <f>COUNTIFS(' CADASTRO'!$S:$S,'acab equip'!$D$3,' CADASTRO'!$R:$R,'acab equip'!R301)</f>
        <v>0</v>
      </c>
      <c r="U301" s="163">
        <f>COUNTIFS(' CADASTRO'!$R$746:$R$893,'acab equip'!R301,' CADASTRO'!$S$746:$S$893,'acab equip'!$T$3)+COUNTIFS(' CADASTRO'!$R$746:$R$893,'acab equip'!R301,' CADASTRO'!$S$746:$S$893,'acab equip'!$S$3)</f>
        <v>0</v>
      </c>
      <c r="V301" s="162">
        <f t="shared" si="56"/>
        <v>47817</v>
      </c>
      <c r="W301" s="163">
        <f>COUNTIFS(' CADASTRO'!$S:$S,'acab equip'!$C$3,' CADASTRO'!$R:$R,'acab equip'!V301)</f>
        <v>0</v>
      </c>
      <c r="X301" s="163">
        <f>COUNTIFS(' CADASTRO'!$S:$S,'acab equip'!$D$3,' CADASTRO'!$R:$R,'acab equip'!V301)</f>
        <v>0</v>
      </c>
      <c r="Y301" s="163">
        <f>COUNTIFS(' CADASTRO'!$R$746:$R$893,'acab equip'!V301,' CADASTRO'!$S$746:$S$893,'acab equip'!$X$3)+COUNTIFS(' CADASTRO'!$R$746:$R$893,'acab equip'!V301,' CADASTRO'!$S$746:$S$893,'acab equip'!$W$3)</f>
        <v>0</v>
      </c>
      <c r="Z301" s="162">
        <f t="shared" si="57"/>
        <v>47818</v>
      </c>
      <c r="AB301" s="165">
        <f t="shared" si="47"/>
        <v>0</v>
      </c>
      <c r="AC301" s="165">
        <f t="shared" si="48"/>
        <v>0</v>
      </c>
      <c r="AD301" s="165">
        <f t="shared" si="49"/>
        <v>0</v>
      </c>
      <c r="AE301" s="177">
        <f t="shared" si="50"/>
        <v>0</v>
      </c>
    </row>
    <row r="302" spans="2:31" x14ac:dyDescent="0.25">
      <c r="B302" s="162">
        <f t="shared" si="51"/>
        <v>47819</v>
      </c>
      <c r="C302" s="163">
        <f>COUNTIFS(' CADASTRO'!$S:$S,'acab equip'!$C$3,' CADASTRO'!$R:$R,'acab equip'!B302)</f>
        <v>0</v>
      </c>
      <c r="D302" s="163">
        <f>COUNTIFS(' CADASTRO'!$S:$S,'acab equip'!$D$3,' CADASTRO'!$R:$R,'acab equip'!B302)</f>
        <v>0</v>
      </c>
      <c r="E302" s="163"/>
      <c r="F302" s="162">
        <f t="shared" si="52"/>
        <v>47820</v>
      </c>
      <c r="G302" s="163">
        <f>COUNTIFS(' CADASTRO'!$S:$S,'acab equip'!$C$3,' CADASTRO'!$R:$R,'acab equip'!F302)</f>
        <v>0</v>
      </c>
      <c r="H302" s="163">
        <f>COUNTIFS(' CADASTRO'!$S:$S,'acab equip'!$D$3,' CADASTRO'!$R:$R,'acab equip'!F302)</f>
        <v>0</v>
      </c>
      <c r="I302" s="163"/>
      <c r="J302" s="162">
        <f t="shared" si="53"/>
        <v>47821</v>
      </c>
      <c r="K302" s="163">
        <f>COUNTIFS(' CADASTRO'!$S:$S,'acab equip'!$C$3,' CADASTRO'!$R:$R,'acab equip'!J302)</f>
        <v>0</v>
      </c>
      <c r="L302" s="163">
        <f>COUNTIFS(' CADASTRO'!$S:$S,'acab equip'!$D$3,' CADASTRO'!$R:$R,'acab equip'!J302)</f>
        <v>0</v>
      </c>
      <c r="M302" s="163">
        <f>COUNTIFS(' CADASTRO'!$R$746:$R$893,'acab equip'!J302,' CADASTRO'!$S$746:$S$893,'acab equip'!$L$3)+COUNTIFS(' CADASTRO'!$R$746:$R$893,'acab equip'!J302,' CADASTRO'!$S$746:$S$893,'acab equip'!$K$3)</f>
        <v>0</v>
      </c>
      <c r="N302" s="162">
        <f t="shared" si="54"/>
        <v>47822</v>
      </c>
      <c r="O302" s="163">
        <f>COUNTIFS(' CADASTRO'!$S:$S,'acab equip'!$C$3,' CADASTRO'!$R:$R,'acab equip'!N302)</f>
        <v>0</v>
      </c>
      <c r="P302" s="163">
        <f>COUNTIFS(' CADASTRO'!$S:$S,'acab equip'!$D$3,' CADASTRO'!$R:$R,'acab equip'!N302)</f>
        <v>0</v>
      </c>
      <c r="Q302" s="163">
        <f>COUNTIFS(' CADASTRO'!$R$746:$R$893,'acab equip'!N302,' CADASTRO'!$S$746:$S$893,'acab equip'!$P$3)+COUNTIFS(' CADASTRO'!$R$746:$R$893,'acab equip'!N302,' CADASTRO'!$S$746:$S$893,'acab equip'!$O$3)</f>
        <v>0</v>
      </c>
      <c r="R302" s="162">
        <f t="shared" si="55"/>
        <v>47823</v>
      </c>
      <c r="S302" s="163">
        <f>COUNTIFS(' CADASTRO'!$S:$S,'acab equip'!$C$3,' CADASTRO'!$R:$R,'acab equip'!R302)</f>
        <v>0</v>
      </c>
      <c r="T302" s="163">
        <f>COUNTIFS(' CADASTRO'!$S:$S,'acab equip'!$D$3,' CADASTRO'!$R:$R,'acab equip'!R302)</f>
        <v>0</v>
      </c>
      <c r="U302" s="163">
        <f>COUNTIFS(' CADASTRO'!$R$746:$R$893,'acab equip'!R302,' CADASTRO'!$S$746:$S$893,'acab equip'!$T$3)+COUNTIFS(' CADASTRO'!$R$746:$R$893,'acab equip'!R302,' CADASTRO'!$S$746:$S$893,'acab equip'!$S$3)</f>
        <v>0</v>
      </c>
      <c r="V302" s="162">
        <f t="shared" si="56"/>
        <v>47824</v>
      </c>
      <c r="W302" s="163">
        <f>COUNTIFS(' CADASTRO'!$S:$S,'acab equip'!$C$3,' CADASTRO'!$R:$R,'acab equip'!V302)</f>
        <v>0</v>
      </c>
      <c r="X302" s="163">
        <f>COUNTIFS(' CADASTRO'!$S:$S,'acab equip'!$D$3,' CADASTRO'!$R:$R,'acab equip'!V302)</f>
        <v>0</v>
      </c>
      <c r="Y302" s="163">
        <f>COUNTIFS(' CADASTRO'!$R$746:$R$893,'acab equip'!V302,' CADASTRO'!$S$746:$S$893,'acab equip'!$X$3)+COUNTIFS(' CADASTRO'!$R$746:$R$893,'acab equip'!V302,' CADASTRO'!$S$746:$S$893,'acab equip'!$W$3)</f>
        <v>0</v>
      </c>
      <c r="Z302" s="162">
        <f t="shared" si="57"/>
        <v>47825</v>
      </c>
      <c r="AB302" s="165">
        <f t="shared" si="47"/>
        <v>0</v>
      </c>
      <c r="AC302" s="165">
        <f t="shared" si="48"/>
        <v>0</v>
      </c>
      <c r="AD302" s="165">
        <f t="shared" si="49"/>
        <v>0</v>
      </c>
      <c r="AE302" s="177">
        <f t="shared" si="50"/>
        <v>0</v>
      </c>
    </row>
    <row r="303" spans="2:31" x14ac:dyDescent="0.25">
      <c r="B303" s="162">
        <f t="shared" si="51"/>
        <v>47826</v>
      </c>
      <c r="C303" s="163">
        <f>COUNTIFS(' CADASTRO'!$S:$S,'acab equip'!$C$3,' CADASTRO'!$R:$R,'acab equip'!B303)</f>
        <v>0</v>
      </c>
      <c r="D303" s="163">
        <f>COUNTIFS(' CADASTRO'!$S:$S,'acab equip'!$D$3,' CADASTRO'!$R:$R,'acab equip'!B303)</f>
        <v>0</v>
      </c>
      <c r="E303" s="163"/>
      <c r="F303" s="162">
        <f t="shared" si="52"/>
        <v>47827</v>
      </c>
      <c r="G303" s="163">
        <f>COUNTIFS(' CADASTRO'!$S:$S,'acab equip'!$C$3,' CADASTRO'!$R:$R,'acab equip'!F303)</f>
        <v>0</v>
      </c>
      <c r="H303" s="163">
        <f>COUNTIFS(' CADASTRO'!$S:$S,'acab equip'!$D$3,' CADASTRO'!$R:$R,'acab equip'!F303)</f>
        <v>0</v>
      </c>
      <c r="I303" s="163"/>
      <c r="J303" s="162">
        <f t="shared" si="53"/>
        <v>47828</v>
      </c>
      <c r="K303" s="163">
        <f>COUNTIFS(' CADASTRO'!$S:$S,'acab equip'!$C$3,' CADASTRO'!$R:$R,'acab equip'!J303)</f>
        <v>0</v>
      </c>
      <c r="L303" s="163">
        <f>COUNTIFS(' CADASTRO'!$S:$S,'acab equip'!$D$3,' CADASTRO'!$R:$R,'acab equip'!J303)</f>
        <v>0</v>
      </c>
      <c r="M303" s="163">
        <f>COUNTIFS(' CADASTRO'!$R$746:$R$893,'acab equip'!J303,' CADASTRO'!$S$746:$S$893,'acab equip'!$L$3)+COUNTIFS(' CADASTRO'!$R$746:$R$893,'acab equip'!J303,' CADASTRO'!$S$746:$S$893,'acab equip'!$K$3)</f>
        <v>0</v>
      </c>
      <c r="N303" s="162">
        <f t="shared" si="54"/>
        <v>47829</v>
      </c>
      <c r="O303" s="163">
        <f>COUNTIFS(' CADASTRO'!$S:$S,'acab equip'!$C$3,' CADASTRO'!$R:$R,'acab equip'!N303)</f>
        <v>0</v>
      </c>
      <c r="P303" s="163">
        <f>COUNTIFS(' CADASTRO'!$S:$S,'acab equip'!$D$3,' CADASTRO'!$R:$R,'acab equip'!N303)</f>
        <v>0</v>
      </c>
      <c r="Q303" s="163">
        <f>COUNTIFS(' CADASTRO'!$R$746:$R$893,'acab equip'!N303,' CADASTRO'!$S$746:$S$893,'acab equip'!$P$3)+COUNTIFS(' CADASTRO'!$R$746:$R$893,'acab equip'!N303,' CADASTRO'!$S$746:$S$893,'acab equip'!$O$3)</f>
        <v>0</v>
      </c>
      <c r="R303" s="162">
        <f t="shared" si="55"/>
        <v>47830</v>
      </c>
      <c r="S303" s="163">
        <f>COUNTIFS(' CADASTRO'!$S:$S,'acab equip'!$C$3,' CADASTRO'!$R:$R,'acab equip'!R303)</f>
        <v>0</v>
      </c>
      <c r="T303" s="163">
        <f>COUNTIFS(' CADASTRO'!$S:$S,'acab equip'!$D$3,' CADASTRO'!$R:$R,'acab equip'!R303)</f>
        <v>0</v>
      </c>
      <c r="U303" s="163">
        <f>COUNTIFS(' CADASTRO'!$R$746:$R$893,'acab equip'!R303,' CADASTRO'!$S$746:$S$893,'acab equip'!$T$3)+COUNTIFS(' CADASTRO'!$R$746:$R$893,'acab equip'!R303,' CADASTRO'!$S$746:$S$893,'acab equip'!$S$3)</f>
        <v>0</v>
      </c>
      <c r="V303" s="162">
        <f t="shared" si="56"/>
        <v>47831</v>
      </c>
      <c r="W303" s="163">
        <f>COUNTIFS(' CADASTRO'!$S:$S,'acab equip'!$C$3,' CADASTRO'!$R:$R,'acab equip'!V303)</f>
        <v>0</v>
      </c>
      <c r="X303" s="163">
        <f>COUNTIFS(' CADASTRO'!$S:$S,'acab equip'!$D$3,' CADASTRO'!$R:$R,'acab equip'!V303)</f>
        <v>0</v>
      </c>
      <c r="Y303" s="163">
        <f>COUNTIFS(' CADASTRO'!$R$746:$R$893,'acab equip'!V303,' CADASTRO'!$S$746:$S$893,'acab equip'!$X$3)+COUNTIFS(' CADASTRO'!$R$746:$R$893,'acab equip'!V303,' CADASTRO'!$S$746:$S$893,'acab equip'!$W$3)</f>
        <v>0</v>
      </c>
      <c r="Z303" s="162">
        <f t="shared" si="57"/>
        <v>47832</v>
      </c>
      <c r="AB303" s="165">
        <f t="shared" si="47"/>
        <v>0</v>
      </c>
      <c r="AC303" s="165">
        <f t="shared" si="48"/>
        <v>0</v>
      </c>
      <c r="AD303" s="165">
        <f t="shared" si="49"/>
        <v>0</v>
      </c>
      <c r="AE303" s="177">
        <f t="shared" si="50"/>
        <v>0</v>
      </c>
    </row>
    <row r="304" spans="2:31" x14ac:dyDescent="0.25">
      <c r="B304" s="162">
        <f t="shared" si="51"/>
        <v>47833</v>
      </c>
      <c r="C304" s="163">
        <f>COUNTIFS(' CADASTRO'!$S:$S,'acab equip'!$C$3,' CADASTRO'!$R:$R,'acab equip'!B304)</f>
        <v>0</v>
      </c>
      <c r="D304" s="163">
        <f>COUNTIFS(' CADASTRO'!$S:$S,'acab equip'!$D$3,' CADASTRO'!$R:$R,'acab equip'!B304)</f>
        <v>0</v>
      </c>
      <c r="E304" s="163"/>
      <c r="F304" s="162">
        <f t="shared" si="52"/>
        <v>47834</v>
      </c>
      <c r="G304" s="163">
        <f>COUNTIFS(' CADASTRO'!$S:$S,'acab equip'!$C$3,' CADASTRO'!$R:$R,'acab equip'!F304)</f>
        <v>0</v>
      </c>
      <c r="H304" s="163">
        <f>COUNTIFS(' CADASTRO'!$S:$S,'acab equip'!$D$3,' CADASTRO'!$R:$R,'acab equip'!F304)</f>
        <v>0</v>
      </c>
      <c r="I304" s="163"/>
      <c r="J304" s="162">
        <f t="shared" si="53"/>
        <v>47835</v>
      </c>
      <c r="K304" s="163">
        <f>COUNTIFS(' CADASTRO'!$S:$S,'acab equip'!$C$3,' CADASTRO'!$R:$R,'acab equip'!J304)</f>
        <v>0</v>
      </c>
      <c r="L304" s="163">
        <f>COUNTIFS(' CADASTRO'!$S:$S,'acab equip'!$D$3,' CADASTRO'!$R:$R,'acab equip'!J304)</f>
        <v>0</v>
      </c>
      <c r="M304" s="163">
        <f>COUNTIFS(' CADASTRO'!$R$746:$R$893,'acab equip'!J304,' CADASTRO'!$S$746:$S$893,'acab equip'!$L$3)+COUNTIFS(' CADASTRO'!$R$746:$R$893,'acab equip'!J304,' CADASTRO'!$S$746:$S$893,'acab equip'!$K$3)</f>
        <v>0</v>
      </c>
      <c r="N304" s="162">
        <f t="shared" si="54"/>
        <v>47836</v>
      </c>
      <c r="O304" s="163">
        <f>COUNTIFS(' CADASTRO'!$S:$S,'acab equip'!$C$3,' CADASTRO'!$R:$R,'acab equip'!N304)</f>
        <v>0</v>
      </c>
      <c r="P304" s="163">
        <f>COUNTIFS(' CADASTRO'!$S:$S,'acab equip'!$D$3,' CADASTRO'!$R:$R,'acab equip'!N304)</f>
        <v>0</v>
      </c>
      <c r="Q304" s="163">
        <f>COUNTIFS(' CADASTRO'!$R$746:$R$893,'acab equip'!N304,' CADASTRO'!$S$746:$S$893,'acab equip'!$P$3)+COUNTIFS(' CADASTRO'!$R$746:$R$893,'acab equip'!N304,' CADASTRO'!$S$746:$S$893,'acab equip'!$O$3)</f>
        <v>0</v>
      </c>
      <c r="R304" s="162">
        <f t="shared" si="55"/>
        <v>47837</v>
      </c>
      <c r="S304" s="163">
        <f>COUNTIFS(' CADASTRO'!$S:$S,'acab equip'!$C$3,' CADASTRO'!$R:$R,'acab equip'!R304)</f>
        <v>0</v>
      </c>
      <c r="T304" s="163">
        <f>COUNTIFS(' CADASTRO'!$S:$S,'acab equip'!$D$3,' CADASTRO'!$R:$R,'acab equip'!R304)</f>
        <v>0</v>
      </c>
      <c r="U304" s="163">
        <f>COUNTIFS(' CADASTRO'!$R$746:$R$893,'acab equip'!R304,' CADASTRO'!$S$746:$S$893,'acab equip'!$T$3)+COUNTIFS(' CADASTRO'!$R$746:$R$893,'acab equip'!R304,' CADASTRO'!$S$746:$S$893,'acab equip'!$S$3)</f>
        <v>0</v>
      </c>
      <c r="V304" s="162">
        <f t="shared" si="56"/>
        <v>47838</v>
      </c>
      <c r="W304" s="163">
        <f>COUNTIFS(' CADASTRO'!$S:$S,'acab equip'!$C$3,' CADASTRO'!$R:$R,'acab equip'!V304)</f>
        <v>0</v>
      </c>
      <c r="X304" s="163">
        <f>COUNTIFS(' CADASTRO'!$S:$S,'acab equip'!$D$3,' CADASTRO'!$R:$R,'acab equip'!V304)</f>
        <v>0</v>
      </c>
      <c r="Y304" s="163">
        <f>COUNTIFS(' CADASTRO'!$R$746:$R$893,'acab equip'!V304,' CADASTRO'!$S$746:$S$893,'acab equip'!$X$3)+COUNTIFS(' CADASTRO'!$R$746:$R$893,'acab equip'!V304,' CADASTRO'!$S$746:$S$893,'acab equip'!$W$3)</f>
        <v>0</v>
      </c>
      <c r="Z304" s="162">
        <f t="shared" si="57"/>
        <v>47839</v>
      </c>
      <c r="AB304" s="165">
        <f t="shared" si="47"/>
        <v>0</v>
      </c>
      <c r="AC304" s="165">
        <f t="shared" si="48"/>
        <v>0</v>
      </c>
      <c r="AD304" s="165">
        <f t="shared" si="49"/>
        <v>0</v>
      </c>
      <c r="AE304" s="177">
        <f t="shared" si="50"/>
        <v>0</v>
      </c>
    </row>
    <row r="305" spans="2:31" x14ac:dyDescent="0.25">
      <c r="B305" s="162">
        <f t="shared" si="51"/>
        <v>47840</v>
      </c>
      <c r="C305" s="163">
        <f>COUNTIFS(' CADASTRO'!$S:$S,'acab equip'!$C$3,' CADASTRO'!$R:$R,'acab equip'!B305)</f>
        <v>0</v>
      </c>
      <c r="D305" s="163">
        <f>COUNTIFS(' CADASTRO'!$S:$S,'acab equip'!$D$3,' CADASTRO'!$R:$R,'acab equip'!B305)</f>
        <v>0</v>
      </c>
      <c r="E305" s="163"/>
      <c r="F305" s="162">
        <f t="shared" si="52"/>
        <v>47841</v>
      </c>
      <c r="G305" s="163">
        <f>COUNTIFS(' CADASTRO'!$S:$S,'acab equip'!$C$3,' CADASTRO'!$R:$R,'acab equip'!F305)</f>
        <v>0</v>
      </c>
      <c r="H305" s="163">
        <f>COUNTIFS(' CADASTRO'!$S:$S,'acab equip'!$D$3,' CADASTRO'!$R:$R,'acab equip'!F305)</f>
        <v>0</v>
      </c>
      <c r="I305" s="163"/>
      <c r="J305" s="162">
        <f t="shared" si="53"/>
        <v>47842</v>
      </c>
      <c r="K305" s="163">
        <f>COUNTIFS(' CADASTRO'!$S:$S,'acab equip'!$C$3,' CADASTRO'!$R:$R,'acab equip'!J305)</f>
        <v>0</v>
      </c>
      <c r="L305" s="163">
        <f>COUNTIFS(' CADASTRO'!$S:$S,'acab equip'!$D$3,' CADASTRO'!$R:$R,'acab equip'!J305)</f>
        <v>0</v>
      </c>
      <c r="M305" s="163">
        <f>COUNTIFS(' CADASTRO'!$R$746:$R$893,'acab equip'!J305,' CADASTRO'!$S$746:$S$893,'acab equip'!$L$3)+COUNTIFS(' CADASTRO'!$R$746:$R$893,'acab equip'!J305,' CADASTRO'!$S$746:$S$893,'acab equip'!$K$3)</f>
        <v>0</v>
      </c>
      <c r="N305" s="162">
        <f t="shared" si="54"/>
        <v>47843</v>
      </c>
      <c r="O305" s="163">
        <f>COUNTIFS(' CADASTRO'!$S:$S,'acab equip'!$C$3,' CADASTRO'!$R:$R,'acab equip'!N305)</f>
        <v>0</v>
      </c>
      <c r="P305" s="163">
        <f>COUNTIFS(' CADASTRO'!$S:$S,'acab equip'!$D$3,' CADASTRO'!$R:$R,'acab equip'!N305)</f>
        <v>0</v>
      </c>
      <c r="Q305" s="163">
        <f>COUNTIFS(' CADASTRO'!$R$746:$R$893,'acab equip'!N305,' CADASTRO'!$S$746:$S$893,'acab equip'!$P$3)+COUNTIFS(' CADASTRO'!$R$746:$R$893,'acab equip'!N305,' CADASTRO'!$S$746:$S$893,'acab equip'!$O$3)</f>
        <v>0</v>
      </c>
      <c r="R305" s="162">
        <f t="shared" si="55"/>
        <v>47844</v>
      </c>
      <c r="S305" s="163">
        <f>COUNTIFS(' CADASTRO'!$S:$S,'acab equip'!$C$3,' CADASTRO'!$R:$R,'acab equip'!R305)</f>
        <v>0</v>
      </c>
      <c r="T305" s="163">
        <f>COUNTIFS(' CADASTRO'!$S:$S,'acab equip'!$D$3,' CADASTRO'!$R:$R,'acab equip'!R305)</f>
        <v>0</v>
      </c>
      <c r="U305" s="163">
        <f>COUNTIFS(' CADASTRO'!$R$746:$R$893,'acab equip'!R305,' CADASTRO'!$S$746:$S$893,'acab equip'!$T$3)+COUNTIFS(' CADASTRO'!$R$746:$R$893,'acab equip'!R305,' CADASTRO'!$S$746:$S$893,'acab equip'!$S$3)</f>
        <v>0</v>
      </c>
      <c r="V305" s="162">
        <f t="shared" si="56"/>
        <v>47845</v>
      </c>
      <c r="W305" s="163">
        <f>COUNTIFS(' CADASTRO'!$S:$S,'acab equip'!$C$3,' CADASTRO'!$R:$R,'acab equip'!V305)</f>
        <v>0</v>
      </c>
      <c r="X305" s="163">
        <f>COUNTIFS(' CADASTRO'!$S:$S,'acab equip'!$D$3,' CADASTRO'!$R:$R,'acab equip'!V305)</f>
        <v>0</v>
      </c>
      <c r="Y305" s="163">
        <f>COUNTIFS(' CADASTRO'!$R$746:$R$893,'acab equip'!V305,' CADASTRO'!$S$746:$S$893,'acab equip'!$X$3)+COUNTIFS(' CADASTRO'!$R$746:$R$893,'acab equip'!V305,' CADASTRO'!$S$746:$S$893,'acab equip'!$W$3)</f>
        <v>0</v>
      </c>
      <c r="Z305" s="162">
        <f t="shared" si="57"/>
        <v>47846</v>
      </c>
      <c r="AB305" s="165">
        <f t="shared" si="47"/>
        <v>0</v>
      </c>
      <c r="AC305" s="165">
        <f t="shared" si="48"/>
        <v>0</v>
      </c>
      <c r="AD305" s="165">
        <f t="shared" si="49"/>
        <v>0</v>
      </c>
      <c r="AE305" s="177">
        <f t="shared" si="50"/>
        <v>0</v>
      </c>
    </row>
  </sheetData>
  <mergeCells count="5">
    <mergeCell ref="AB2:AD2"/>
    <mergeCell ref="AE1:AF2"/>
    <mergeCell ref="AG29:AH29"/>
    <mergeCell ref="AG2:AT2"/>
    <mergeCell ref="AG8:AT9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2AB9-855D-45F2-AFA8-58298EC37248}">
  <dimension ref="B2:L30"/>
  <sheetViews>
    <sheetView workbookViewId="0">
      <selection activeCell="C9" sqref="C9"/>
    </sheetView>
  </sheetViews>
  <sheetFormatPr defaultRowHeight="15" x14ac:dyDescent="0.25"/>
  <cols>
    <col min="2" max="2" width="11.5703125" style="14" customWidth="1"/>
    <col min="3" max="3" width="43.7109375" style="14" customWidth="1"/>
    <col min="4" max="12" width="8.85546875" style="14"/>
  </cols>
  <sheetData>
    <row r="2" spans="2:12" ht="38.25" x14ac:dyDescent="0.25">
      <c r="B2" s="78" t="s">
        <v>87</v>
      </c>
      <c r="C2" s="20" t="s">
        <v>117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55</v>
      </c>
      <c r="J2" s="15" t="s">
        <v>56</v>
      </c>
      <c r="K2" s="39" t="s">
        <v>57</v>
      </c>
    </row>
    <row r="3" spans="2:12" x14ac:dyDescent="0.25">
      <c r="B3" s="78" t="s">
        <v>88</v>
      </c>
      <c r="C3" s="20" t="s">
        <v>981</v>
      </c>
      <c r="E3" s="37"/>
      <c r="F3" s="38"/>
      <c r="G3" s="38"/>
      <c r="H3" s="38"/>
      <c r="I3" s="38"/>
      <c r="J3" s="38"/>
      <c r="K3" s="38"/>
    </row>
    <row r="4" spans="2:12" x14ac:dyDescent="0.25">
      <c r="B4" s="78" t="s">
        <v>89</v>
      </c>
      <c r="C4" s="20" t="s">
        <v>119</v>
      </c>
      <c r="E4" s="38"/>
      <c r="F4" s="38"/>
      <c r="G4" s="38"/>
      <c r="H4" s="38"/>
      <c r="I4" s="38"/>
      <c r="J4" s="38"/>
      <c r="K4" s="38"/>
      <c r="L4" s="95"/>
    </row>
    <row r="5" spans="2:12" x14ac:dyDescent="0.25">
      <c r="B5" s="78" t="s">
        <v>90</v>
      </c>
      <c r="C5" s="20" t="s">
        <v>120</v>
      </c>
      <c r="E5" s="38"/>
      <c r="F5" s="38"/>
      <c r="G5" s="38"/>
      <c r="H5" s="38"/>
      <c r="I5" s="38"/>
      <c r="J5" s="38"/>
      <c r="K5" s="38"/>
      <c r="L5" s="95"/>
    </row>
    <row r="6" spans="2:12" ht="15.75" x14ac:dyDescent="0.25">
      <c r="B6" s="79" t="s">
        <v>123</v>
      </c>
      <c r="C6" s="20" t="s">
        <v>126</v>
      </c>
      <c r="E6" s="38"/>
      <c r="F6" s="38"/>
      <c r="G6" s="38"/>
      <c r="H6" s="38"/>
      <c r="I6" s="38"/>
      <c r="J6" s="38"/>
      <c r="K6" s="38"/>
      <c r="L6" s="95"/>
    </row>
    <row r="7" spans="2:12" ht="15.75" x14ac:dyDescent="0.25">
      <c r="B7" s="79" t="s">
        <v>124</v>
      </c>
      <c r="C7" s="20" t="s">
        <v>126</v>
      </c>
      <c r="E7" s="38"/>
      <c r="F7" s="38"/>
      <c r="G7" s="38"/>
      <c r="H7" s="38"/>
      <c r="I7" s="38"/>
      <c r="J7" s="38"/>
      <c r="K7" s="38"/>
      <c r="L7" s="95"/>
    </row>
    <row r="8" spans="2:12" x14ac:dyDescent="0.25">
      <c r="B8" s="79" t="s">
        <v>60</v>
      </c>
      <c r="C8" s="20" t="s">
        <v>1202</v>
      </c>
      <c r="E8" s="38"/>
      <c r="F8" s="38"/>
      <c r="G8" s="38"/>
      <c r="H8" s="38"/>
      <c r="I8" s="38"/>
      <c r="J8" s="38"/>
      <c r="K8" s="38"/>
      <c r="L8" s="95"/>
    </row>
    <row r="9" spans="2:12" x14ac:dyDescent="0.25">
      <c r="B9" s="79" t="s">
        <v>61</v>
      </c>
      <c r="C9" s="20" t="s">
        <v>173</v>
      </c>
      <c r="E9" s="38"/>
      <c r="F9" s="38"/>
      <c r="G9" s="38"/>
      <c r="H9" s="38"/>
      <c r="I9" s="38"/>
      <c r="J9" s="38"/>
      <c r="K9" s="38"/>
      <c r="L9" s="95"/>
    </row>
    <row r="10" spans="2:12" x14ac:dyDescent="0.25">
      <c r="B10" s="79" t="s">
        <v>85</v>
      </c>
      <c r="C10" s="20" t="s">
        <v>174</v>
      </c>
      <c r="E10" s="38"/>
      <c r="F10" s="38"/>
      <c r="G10" s="38"/>
      <c r="H10" s="38"/>
      <c r="I10" s="38"/>
      <c r="J10" s="38"/>
      <c r="K10" s="38"/>
      <c r="L10" s="95"/>
    </row>
    <row r="11" spans="2:12" x14ac:dyDescent="0.25">
      <c r="B11" s="79" t="s">
        <v>175</v>
      </c>
      <c r="C11" s="20" t="s">
        <v>183</v>
      </c>
      <c r="E11" s="38"/>
      <c r="F11" s="38"/>
      <c r="G11" s="38"/>
      <c r="H11" s="38"/>
      <c r="I11" s="38"/>
      <c r="J11" s="38"/>
      <c r="K11" s="38"/>
      <c r="L11" s="95"/>
    </row>
    <row r="12" spans="2:12" x14ac:dyDescent="0.25">
      <c r="B12" s="80" t="s">
        <v>176</v>
      </c>
      <c r="C12" s="20" t="s">
        <v>177</v>
      </c>
      <c r="E12" s="38"/>
      <c r="F12" s="38"/>
      <c r="G12" s="38"/>
      <c r="H12" s="38"/>
      <c r="I12" s="38"/>
      <c r="J12" s="38"/>
      <c r="K12" s="38"/>
      <c r="L12" s="95"/>
    </row>
    <row r="13" spans="2:12" x14ac:dyDescent="0.25">
      <c r="B13" s="79" t="s">
        <v>172</v>
      </c>
      <c r="C13" s="20" t="s">
        <v>178</v>
      </c>
      <c r="E13" s="38"/>
      <c r="F13" s="38"/>
      <c r="G13" s="38"/>
      <c r="H13" s="38"/>
      <c r="I13" s="38"/>
      <c r="J13" s="38"/>
      <c r="K13" s="38"/>
      <c r="L13" s="95"/>
    </row>
    <row r="14" spans="2:12" x14ac:dyDescent="0.25">
      <c r="B14" s="79" t="s">
        <v>179</v>
      </c>
      <c r="C14" s="20" t="s">
        <v>180</v>
      </c>
      <c r="E14" s="38"/>
      <c r="F14" s="38"/>
      <c r="G14" s="38"/>
      <c r="H14" s="38"/>
      <c r="I14" s="38"/>
      <c r="J14" s="38"/>
      <c r="K14" s="38"/>
      <c r="L14" s="95"/>
    </row>
    <row r="15" spans="2:12" x14ac:dyDescent="0.25">
      <c r="B15" s="79" t="s">
        <v>181</v>
      </c>
      <c r="C15" s="20" t="s">
        <v>182</v>
      </c>
      <c r="E15" s="38"/>
      <c r="F15" s="38"/>
      <c r="G15" s="38"/>
      <c r="H15" s="38"/>
      <c r="I15" s="38"/>
      <c r="J15" s="38"/>
      <c r="K15" s="38"/>
    </row>
    <row r="16" spans="2:12" x14ac:dyDescent="0.25">
      <c r="B16" s="79"/>
      <c r="C16" s="20"/>
    </row>
    <row r="17" spans="2:3" x14ac:dyDescent="0.25">
      <c r="B17" s="79"/>
      <c r="C17" s="20"/>
    </row>
    <row r="18" spans="2:3" x14ac:dyDescent="0.25">
      <c r="B18" s="79"/>
      <c r="C18" s="20"/>
    </row>
    <row r="19" spans="2:3" x14ac:dyDescent="0.25">
      <c r="B19" s="79"/>
      <c r="C19" s="20"/>
    </row>
    <row r="20" spans="2:3" x14ac:dyDescent="0.25">
      <c r="B20" s="79"/>
      <c r="C20" s="20"/>
    </row>
    <row r="21" spans="2:3" x14ac:dyDescent="0.25">
      <c r="B21" s="79"/>
      <c r="C21" s="20"/>
    </row>
    <row r="22" spans="2:3" x14ac:dyDescent="0.25">
      <c r="B22" s="79"/>
      <c r="C22" s="20"/>
    </row>
    <row r="23" spans="2:3" x14ac:dyDescent="0.25">
      <c r="B23" s="79"/>
      <c r="C23" s="20"/>
    </row>
    <row r="24" spans="2:3" x14ac:dyDescent="0.25">
      <c r="B24" s="79"/>
      <c r="C24" s="20"/>
    </row>
    <row r="25" spans="2:3" x14ac:dyDescent="0.25">
      <c r="B25" s="79"/>
      <c r="C25" s="20"/>
    </row>
    <row r="26" spans="2:3" x14ac:dyDescent="0.25">
      <c r="B26" s="79"/>
      <c r="C26" s="20"/>
    </row>
    <row r="27" spans="2:3" x14ac:dyDescent="0.25">
      <c r="B27" s="79"/>
      <c r="C27" s="20"/>
    </row>
    <row r="28" spans="2:3" x14ac:dyDescent="0.25">
      <c r="B28" s="79"/>
      <c r="C28" s="20"/>
    </row>
    <row r="29" spans="2:3" x14ac:dyDescent="0.25">
      <c r="B29" s="79"/>
      <c r="C29" s="20"/>
    </row>
    <row r="30" spans="2:3" x14ac:dyDescent="0.25">
      <c r="B30" s="79"/>
      <c r="C30" s="20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F614-B06F-4BA3-ABA3-28EAFD550A6D}">
  <dimension ref="F1:AN42"/>
  <sheetViews>
    <sheetView view="pageBreakPreview" topLeftCell="G1" zoomScale="70" zoomScaleNormal="100" zoomScaleSheetLayoutView="70" workbookViewId="0">
      <selection activeCell="I1" sqref="I1"/>
    </sheetView>
  </sheetViews>
  <sheetFormatPr defaultRowHeight="15.75" x14ac:dyDescent="0.25"/>
  <cols>
    <col min="1" max="1" width="8.5703125" customWidth="1"/>
    <col min="4" max="4" width="8" customWidth="1"/>
    <col min="6" max="6" width="18.140625" customWidth="1"/>
    <col min="7" max="7" width="3.7109375" style="1" customWidth="1"/>
    <col min="8" max="8" width="12" style="2" customWidth="1"/>
    <col min="9" max="9" width="12.28515625" style="2" customWidth="1"/>
    <col min="10" max="10" width="32" style="2" customWidth="1"/>
    <col min="11" max="40" width="6.7109375" style="2" customWidth="1"/>
  </cols>
  <sheetData>
    <row r="1" spans="6:40" ht="28.9" customHeight="1" x14ac:dyDescent="0.25">
      <c r="F1" s="485" t="s">
        <v>8</v>
      </c>
      <c r="J1" s="6" t="s">
        <v>6</v>
      </c>
      <c r="K1" s="489">
        <v>323</v>
      </c>
      <c r="L1" s="489"/>
      <c r="M1" s="489">
        <v>324</v>
      </c>
      <c r="N1" s="489"/>
      <c r="O1" s="489">
        <v>325</v>
      </c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</row>
    <row r="2" spans="6:40" ht="25.15" customHeight="1" x14ac:dyDescent="0.25">
      <c r="F2" s="485"/>
      <c r="H2" s="7" t="s">
        <v>1</v>
      </c>
      <c r="I2" s="8">
        <f ca="1">TODAY()</f>
        <v>46007</v>
      </c>
      <c r="J2" s="6" t="s">
        <v>7</v>
      </c>
      <c r="K2" s="492" t="s">
        <v>24</v>
      </c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4"/>
    </row>
    <row r="3" spans="6:40" ht="28.15" customHeight="1" x14ac:dyDescent="0.25">
      <c r="F3" s="485"/>
      <c r="I3" s="4"/>
      <c r="J3" s="6" t="s">
        <v>5</v>
      </c>
      <c r="K3" s="446">
        <v>1</v>
      </c>
      <c r="L3" s="446"/>
      <c r="M3" s="446">
        <v>2</v>
      </c>
      <c r="N3" s="446"/>
      <c r="O3" s="446">
        <v>3</v>
      </c>
      <c r="P3" s="446"/>
      <c r="Q3" s="446">
        <v>4</v>
      </c>
      <c r="R3" s="446"/>
      <c r="S3" s="446">
        <v>5</v>
      </c>
      <c r="T3" s="446"/>
      <c r="U3" s="446">
        <v>6</v>
      </c>
      <c r="V3" s="446"/>
      <c r="W3" s="446">
        <v>7</v>
      </c>
      <c r="X3" s="446"/>
      <c r="Y3" s="446">
        <v>8</v>
      </c>
      <c r="Z3" s="446"/>
      <c r="AA3" s="446">
        <v>9</v>
      </c>
      <c r="AB3" s="446"/>
      <c r="AC3" s="446">
        <v>10</v>
      </c>
      <c r="AD3" s="446"/>
      <c r="AE3" s="446">
        <v>11</v>
      </c>
      <c r="AF3" s="446"/>
      <c r="AG3" s="446">
        <v>12</v>
      </c>
      <c r="AH3" s="446"/>
      <c r="AI3" s="446">
        <v>13</v>
      </c>
      <c r="AJ3" s="446"/>
      <c r="AK3" s="446">
        <v>14</v>
      </c>
      <c r="AL3" s="446"/>
      <c r="AM3" s="446">
        <v>15</v>
      </c>
      <c r="AN3" s="446"/>
    </row>
    <row r="4" spans="6:40" ht="22.9" customHeight="1" x14ac:dyDescent="0.25">
      <c r="F4" s="485"/>
      <c r="G4" s="497" t="s">
        <v>3</v>
      </c>
      <c r="H4" s="490" t="s">
        <v>4</v>
      </c>
      <c r="I4" s="490"/>
      <c r="J4" s="490"/>
      <c r="K4" s="490" t="s">
        <v>0</v>
      </c>
      <c r="L4" s="488" t="s">
        <v>2</v>
      </c>
      <c r="M4" s="490" t="s">
        <v>0</v>
      </c>
      <c r="N4" s="488" t="s">
        <v>2</v>
      </c>
      <c r="O4" s="490" t="s">
        <v>0</v>
      </c>
      <c r="P4" s="488" t="s">
        <v>2</v>
      </c>
      <c r="Q4" s="490" t="s">
        <v>0</v>
      </c>
      <c r="R4" s="488" t="s">
        <v>2</v>
      </c>
      <c r="S4" s="490" t="s">
        <v>0</v>
      </c>
      <c r="T4" s="488" t="s">
        <v>2</v>
      </c>
      <c r="U4" s="490" t="s">
        <v>0</v>
      </c>
      <c r="V4" s="488" t="s">
        <v>2</v>
      </c>
      <c r="W4" s="490" t="s">
        <v>0</v>
      </c>
      <c r="X4" s="488" t="s">
        <v>2</v>
      </c>
      <c r="Y4" s="490" t="s">
        <v>0</v>
      </c>
      <c r="Z4" s="488" t="s">
        <v>2</v>
      </c>
      <c r="AA4" s="490" t="s">
        <v>0</v>
      </c>
      <c r="AB4" s="488" t="s">
        <v>2</v>
      </c>
      <c r="AC4" s="490" t="s">
        <v>0</v>
      </c>
      <c r="AD4" s="488" t="s">
        <v>2</v>
      </c>
      <c r="AE4" s="490" t="s">
        <v>0</v>
      </c>
      <c r="AF4" s="488" t="s">
        <v>2</v>
      </c>
      <c r="AG4" s="490" t="s">
        <v>0</v>
      </c>
      <c r="AH4" s="488" t="s">
        <v>2</v>
      </c>
      <c r="AI4" s="490" t="s">
        <v>0</v>
      </c>
      <c r="AJ4" s="488" t="s">
        <v>2</v>
      </c>
      <c r="AK4" s="490" t="s">
        <v>0</v>
      </c>
      <c r="AL4" s="488" t="s">
        <v>2</v>
      </c>
      <c r="AM4" s="495" t="s">
        <v>0</v>
      </c>
      <c r="AN4" s="496" t="s">
        <v>2</v>
      </c>
    </row>
    <row r="5" spans="6:40" ht="20.45" customHeight="1" x14ac:dyDescent="0.25">
      <c r="F5" s="485"/>
      <c r="G5" s="497"/>
      <c r="H5" s="490"/>
      <c r="I5" s="490"/>
      <c r="J5" s="490"/>
      <c r="K5" s="490"/>
      <c r="L5" s="488"/>
      <c r="M5" s="490"/>
      <c r="N5" s="488"/>
      <c r="O5" s="490"/>
      <c r="P5" s="488"/>
      <c r="Q5" s="490"/>
      <c r="R5" s="488"/>
      <c r="S5" s="490"/>
      <c r="T5" s="488"/>
      <c r="U5" s="490"/>
      <c r="V5" s="488"/>
      <c r="W5" s="490"/>
      <c r="X5" s="488"/>
      <c r="Y5" s="490"/>
      <c r="Z5" s="488"/>
      <c r="AA5" s="490"/>
      <c r="AB5" s="488"/>
      <c r="AC5" s="490"/>
      <c r="AD5" s="488"/>
      <c r="AE5" s="490"/>
      <c r="AF5" s="488"/>
      <c r="AG5" s="490"/>
      <c r="AH5" s="488"/>
      <c r="AI5" s="490"/>
      <c r="AJ5" s="488"/>
      <c r="AK5" s="490"/>
      <c r="AL5" s="488"/>
      <c r="AM5" s="495"/>
      <c r="AN5" s="496"/>
    </row>
    <row r="6" spans="6:40" ht="30" customHeight="1" x14ac:dyDescent="0.3">
      <c r="F6" s="485"/>
      <c r="G6" s="5">
        <v>1</v>
      </c>
      <c r="H6" s="491" t="s">
        <v>10</v>
      </c>
      <c r="I6" s="491"/>
      <c r="J6" s="49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6:40" ht="30" customHeight="1" x14ac:dyDescent="0.3">
      <c r="F7" s="485"/>
      <c r="G7" s="5">
        <v>2</v>
      </c>
      <c r="H7" s="491" t="s">
        <v>11</v>
      </c>
      <c r="I7" s="491"/>
      <c r="J7" s="49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6:40" ht="30" customHeight="1" x14ac:dyDescent="0.3">
      <c r="F8" s="485"/>
      <c r="G8" s="5">
        <v>3</v>
      </c>
      <c r="H8" s="491" t="s">
        <v>12</v>
      </c>
      <c r="I8" s="491"/>
      <c r="J8" s="49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6:40" ht="30" customHeight="1" x14ac:dyDescent="0.3">
      <c r="F9" s="485"/>
      <c r="G9" s="5">
        <v>4</v>
      </c>
      <c r="H9" s="491" t="s">
        <v>13</v>
      </c>
      <c r="I9" s="491"/>
      <c r="J9" s="49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6:40" ht="30" customHeight="1" x14ac:dyDescent="0.3">
      <c r="F10" s="485"/>
      <c r="G10" s="5">
        <v>5</v>
      </c>
      <c r="H10" s="491" t="s">
        <v>14</v>
      </c>
      <c r="I10" s="491"/>
      <c r="J10" s="49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6:40" ht="30" customHeight="1" x14ac:dyDescent="0.3">
      <c r="F11" s="485"/>
      <c r="G11" s="5">
        <v>6</v>
      </c>
      <c r="H11" s="491" t="s">
        <v>25</v>
      </c>
      <c r="I11" s="491"/>
      <c r="J11" s="49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11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6:40" ht="30" customHeight="1" x14ac:dyDescent="0.3">
      <c r="F12" s="485"/>
      <c r="G12" s="5">
        <v>7</v>
      </c>
      <c r="H12" s="491" t="s">
        <v>15</v>
      </c>
      <c r="I12" s="491"/>
      <c r="J12" s="49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6:40" ht="30" customHeight="1" x14ac:dyDescent="0.3">
      <c r="F13" s="485"/>
      <c r="G13" s="5">
        <v>8</v>
      </c>
      <c r="H13" s="491" t="s">
        <v>16</v>
      </c>
      <c r="I13" s="491"/>
      <c r="J13" s="49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6:40" ht="30" customHeight="1" x14ac:dyDescent="0.3">
      <c r="F14" s="485"/>
      <c r="G14" s="5">
        <v>9</v>
      </c>
      <c r="H14" s="491" t="s">
        <v>17</v>
      </c>
      <c r="I14" s="491"/>
      <c r="J14" s="49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6:40" ht="30" customHeight="1" x14ac:dyDescent="0.3">
      <c r="F15" s="485"/>
      <c r="G15" s="5">
        <v>10</v>
      </c>
      <c r="H15" s="491" t="s">
        <v>18</v>
      </c>
      <c r="I15" s="491"/>
      <c r="J15" s="49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6:40" ht="30" customHeight="1" x14ac:dyDescent="0.3">
      <c r="F16" s="485"/>
      <c r="G16" s="5">
        <v>11</v>
      </c>
      <c r="H16" s="491" t="s">
        <v>19</v>
      </c>
      <c r="I16" s="491"/>
      <c r="J16" s="49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6:40" ht="30" customHeight="1" x14ac:dyDescent="0.3">
      <c r="F17" s="486" t="s">
        <v>9</v>
      </c>
      <c r="G17" s="5">
        <v>12</v>
      </c>
      <c r="H17" s="491" t="s">
        <v>20</v>
      </c>
      <c r="I17" s="491"/>
      <c r="J17" s="49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6:40" ht="30" customHeight="1" x14ac:dyDescent="0.3">
      <c r="F18" s="486"/>
      <c r="G18" s="5">
        <v>13</v>
      </c>
      <c r="H18" s="491" t="s">
        <v>21</v>
      </c>
      <c r="I18" s="491"/>
      <c r="J18" s="49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6:40" ht="30" customHeight="1" x14ac:dyDescent="0.3">
      <c r="F19" s="486"/>
      <c r="G19" s="5">
        <v>14</v>
      </c>
      <c r="H19" s="491" t="s">
        <v>22</v>
      </c>
      <c r="I19" s="491"/>
      <c r="J19" s="49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6:40" ht="25.15" customHeight="1" x14ac:dyDescent="0.25">
      <c r="F20" s="486"/>
      <c r="G20" s="5">
        <v>15</v>
      </c>
      <c r="H20" s="487" t="s">
        <v>23</v>
      </c>
      <c r="I20" s="487"/>
      <c r="J20" s="48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6:40" ht="25.15" customHeight="1" x14ac:dyDescent="0.25">
      <c r="F21" s="486"/>
      <c r="G21" s="5">
        <v>16</v>
      </c>
      <c r="H21" s="487"/>
      <c r="I21" s="487"/>
      <c r="J21" s="48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6:40" ht="25.15" customHeight="1" x14ac:dyDescent="0.25">
      <c r="F22" s="486"/>
      <c r="G22" s="5">
        <v>17</v>
      </c>
      <c r="H22" s="487"/>
      <c r="I22" s="487"/>
      <c r="J22" s="48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6:40" ht="25.15" customHeight="1" x14ac:dyDescent="0.25">
      <c r="F23" s="486"/>
      <c r="G23" s="495">
        <v>18</v>
      </c>
      <c r="H23" s="487"/>
      <c r="I23" s="487"/>
      <c r="J23" s="487"/>
      <c r="K23" s="3"/>
      <c r="L23" s="3"/>
      <c r="M23" s="3"/>
      <c r="N23" s="3"/>
      <c r="O23" s="3"/>
      <c r="P23" s="3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3"/>
      <c r="AN23" s="3"/>
    </row>
    <row r="24" spans="6:40" ht="25.15" customHeight="1" x14ac:dyDescent="0.25">
      <c r="F24" s="486"/>
      <c r="G24" s="495"/>
      <c r="H24" s="487"/>
      <c r="I24" s="487"/>
      <c r="J24" s="487"/>
      <c r="K24" s="3"/>
      <c r="L24" s="3"/>
      <c r="M24" s="3"/>
      <c r="N24" s="3"/>
      <c r="O24" s="3"/>
      <c r="P24" s="3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3"/>
      <c r="AN24" s="3"/>
    </row>
    <row r="25" spans="6:40" ht="25.15" customHeight="1" x14ac:dyDescent="0.25">
      <c r="F25" s="486"/>
      <c r="G25" s="5">
        <v>19</v>
      </c>
      <c r="H25" s="487"/>
      <c r="I25" s="487"/>
      <c r="J25" s="48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6:40" ht="25.15" customHeight="1" x14ac:dyDescent="0.25">
      <c r="F26" s="486"/>
      <c r="G26" s="5">
        <v>20</v>
      </c>
      <c r="H26" s="487"/>
      <c r="I26" s="487"/>
      <c r="J26" s="48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6:40" ht="25.15" customHeight="1" x14ac:dyDescent="0.25">
      <c r="F27" s="486"/>
      <c r="G27" s="5">
        <v>21</v>
      </c>
      <c r="H27" s="487"/>
      <c r="I27" s="487"/>
      <c r="J27" s="48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6:40" ht="25.15" customHeight="1" x14ac:dyDescent="0.25">
      <c r="F28" s="486"/>
      <c r="G28" s="5">
        <v>22</v>
      </c>
      <c r="H28" s="487"/>
      <c r="I28" s="487"/>
      <c r="J28" s="48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6:40" ht="25.15" customHeight="1" x14ac:dyDescent="0.25">
      <c r="F29" s="486"/>
      <c r="G29" s="5">
        <v>23</v>
      </c>
      <c r="H29" s="487"/>
      <c r="I29" s="487"/>
      <c r="J29" s="487"/>
      <c r="K29" s="3"/>
      <c r="L29" s="3"/>
      <c r="M29" s="3"/>
      <c r="N29" s="3"/>
      <c r="O29" s="3"/>
      <c r="P29" s="3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3"/>
      <c r="AN29" s="3"/>
    </row>
    <row r="30" spans="6:40" ht="25.15" customHeight="1" x14ac:dyDescent="0.25">
      <c r="F30" s="486"/>
      <c r="G30" s="5">
        <v>24</v>
      </c>
      <c r="H30" s="487"/>
      <c r="I30" s="487"/>
      <c r="J30" s="487"/>
      <c r="K30" s="3"/>
      <c r="L30" s="3"/>
      <c r="M30" s="3"/>
      <c r="N30" s="3"/>
      <c r="O30" s="3"/>
      <c r="P30" s="3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3"/>
      <c r="AN30" s="3"/>
    </row>
    <row r="31" spans="6:40" ht="25.15" customHeight="1" x14ac:dyDescent="0.25">
      <c r="F31" s="486"/>
      <c r="G31" s="5">
        <v>25</v>
      </c>
      <c r="H31" s="487"/>
      <c r="I31" s="487"/>
      <c r="J31" s="48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6:40" ht="25.15" customHeight="1" x14ac:dyDescent="0.25">
      <c r="F32" s="486"/>
      <c r="G32" s="5">
        <v>26</v>
      </c>
      <c r="H32" s="487"/>
      <c r="I32" s="487"/>
      <c r="J32" s="48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6:40" ht="25.15" customHeight="1" x14ac:dyDescent="0.25">
      <c r="F33" s="486"/>
      <c r="G33" s="5">
        <v>27</v>
      </c>
      <c r="H33" s="487"/>
      <c r="I33" s="487"/>
      <c r="J33" s="48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6:40" ht="25.15" customHeight="1" x14ac:dyDescent="0.25">
      <c r="F34" s="486"/>
      <c r="G34" s="5">
        <v>28</v>
      </c>
      <c r="H34" s="487"/>
      <c r="I34" s="487"/>
      <c r="J34" s="48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6:40" ht="23.45" customHeight="1" x14ac:dyDescent="0.25">
      <c r="F35" s="486"/>
      <c r="G35" s="5">
        <v>29</v>
      </c>
      <c r="H35" s="487"/>
      <c r="I35" s="487"/>
      <c r="J35" s="48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6:40" x14ac:dyDescent="0.25">
      <c r="F36" s="486"/>
      <c r="G36" s="5">
        <v>30</v>
      </c>
      <c r="H36" s="487"/>
      <c r="I36" s="487"/>
      <c r="J36" s="48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6:40" ht="27" customHeight="1" x14ac:dyDescent="0.25">
      <c r="F37" s="486"/>
      <c r="G37" s="5">
        <v>31</v>
      </c>
      <c r="H37" s="487"/>
      <c r="I37" s="487"/>
      <c r="J37" s="48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6:40" x14ac:dyDescent="0.25">
      <c r="F38" s="486"/>
      <c r="G38" s="5">
        <v>32</v>
      </c>
      <c r="H38" s="487"/>
      <c r="I38" s="487"/>
      <c r="J38" s="48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6:40" x14ac:dyDescent="0.25">
      <c r="F39" s="486"/>
      <c r="G39" s="5">
        <v>33</v>
      </c>
      <c r="H39" s="487"/>
      <c r="I39" s="487"/>
      <c r="J39" s="48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6:40" x14ac:dyDescent="0.25">
      <c r="F40" s="486"/>
      <c r="G40" s="5">
        <v>34</v>
      </c>
      <c r="H40" s="487"/>
      <c r="I40" s="487"/>
      <c r="J40" s="48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6:40" x14ac:dyDescent="0.25">
      <c r="F41" s="486"/>
      <c r="G41" s="5">
        <v>35</v>
      </c>
      <c r="H41" s="487"/>
      <c r="I41" s="487"/>
      <c r="J41" s="48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6:40" x14ac:dyDescent="0.25">
      <c r="F42" s="10"/>
      <c r="G42" s="5">
        <v>36</v>
      </c>
      <c r="H42" s="487"/>
      <c r="I42" s="487"/>
      <c r="J42" s="48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</sheetData>
  <mergeCells count="103">
    <mergeCell ref="AK1:AL1"/>
    <mergeCell ref="W1:X1"/>
    <mergeCell ref="AA4:AA5"/>
    <mergeCell ref="AM3:AN3"/>
    <mergeCell ref="S3:T3"/>
    <mergeCell ref="U3:V3"/>
    <mergeCell ref="AK3:AL3"/>
    <mergeCell ref="S4:S5"/>
    <mergeCell ref="T4:T5"/>
    <mergeCell ref="U4:U5"/>
    <mergeCell ref="AI1:AJ1"/>
    <mergeCell ref="AM1:AN1"/>
    <mergeCell ref="S1:T1"/>
    <mergeCell ref="U1:V1"/>
    <mergeCell ref="G4:G5"/>
    <mergeCell ref="H4:J5"/>
    <mergeCell ref="K4:K5"/>
    <mergeCell ref="L4:L5"/>
    <mergeCell ref="M4:M5"/>
    <mergeCell ref="N4:N5"/>
    <mergeCell ref="K1:L1"/>
    <mergeCell ref="M1:N1"/>
    <mergeCell ref="O1:P1"/>
    <mergeCell ref="G23:G24"/>
    <mergeCell ref="H17:J17"/>
    <mergeCell ref="H18:J18"/>
    <mergeCell ref="H19:J19"/>
    <mergeCell ref="H20:J20"/>
    <mergeCell ref="H21:J21"/>
    <mergeCell ref="H22:J22"/>
    <mergeCell ref="H11:J11"/>
    <mergeCell ref="H12:J12"/>
    <mergeCell ref="H13:J13"/>
    <mergeCell ref="H14:J14"/>
    <mergeCell ref="H15:J15"/>
    <mergeCell ref="H16:J16"/>
    <mergeCell ref="H39:J39"/>
    <mergeCell ref="H40:J40"/>
    <mergeCell ref="H41:J41"/>
    <mergeCell ref="H42:J42"/>
    <mergeCell ref="Q1:R1"/>
    <mergeCell ref="Q4:Q5"/>
    <mergeCell ref="R4:R5"/>
    <mergeCell ref="H32:J32"/>
    <mergeCell ref="H33:J33"/>
    <mergeCell ref="H34:J34"/>
    <mergeCell ref="H35:J35"/>
    <mergeCell ref="H36:J36"/>
    <mergeCell ref="H37:J37"/>
    <mergeCell ref="H31:J31"/>
    <mergeCell ref="H27:J27"/>
    <mergeCell ref="H28:J28"/>
    <mergeCell ref="H25:J25"/>
    <mergeCell ref="H26:J26"/>
    <mergeCell ref="O4:O5"/>
    <mergeCell ref="P4:P5"/>
    <mergeCell ref="Q3:R3"/>
    <mergeCell ref="H6:J6"/>
    <mergeCell ref="H7:J7"/>
    <mergeCell ref="H38:J38"/>
    <mergeCell ref="H8:J8"/>
    <mergeCell ref="H9:J9"/>
    <mergeCell ref="H10:J10"/>
    <mergeCell ref="K3:L3"/>
    <mergeCell ref="M3:N3"/>
    <mergeCell ref="O3:P3"/>
    <mergeCell ref="K2:AN2"/>
    <mergeCell ref="V4:V5"/>
    <mergeCell ref="AK4:AK5"/>
    <mergeCell ref="AL4:AL5"/>
    <mergeCell ref="AB4:AB5"/>
    <mergeCell ref="AG4:AG5"/>
    <mergeCell ref="AH4:AH5"/>
    <mergeCell ref="AI4:AI5"/>
    <mergeCell ref="Y4:Y5"/>
    <mergeCell ref="Z4:Z5"/>
    <mergeCell ref="AF4:AF5"/>
    <mergeCell ref="AM4:AM5"/>
    <mergeCell ref="AN4:AN5"/>
    <mergeCell ref="F1:F16"/>
    <mergeCell ref="F17:F41"/>
    <mergeCell ref="H23:J23"/>
    <mergeCell ref="H24:J24"/>
    <mergeCell ref="H29:J29"/>
    <mergeCell ref="H30:J30"/>
    <mergeCell ref="AJ4:AJ5"/>
    <mergeCell ref="AC1:AD1"/>
    <mergeCell ref="AE1:AF1"/>
    <mergeCell ref="AC3:AD3"/>
    <mergeCell ref="AE3:AF3"/>
    <mergeCell ref="AC4:AC5"/>
    <mergeCell ref="AD4:AD5"/>
    <mergeCell ref="AE4:AE5"/>
    <mergeCell ref="W3:X3"/>
    <mergeCell ref="Y3:Z3"/>
    <mergeCell ref="AA3:AB3"/>
    <mergeCell ref="AG3:AH3"/>
    <mergeCell ref="AI3:AJ3"/>
    <mergeCell ref="W4:W5"/>
    <mergeCell ref="X4:X5"/>
    <mergeCell ref="Y1:Z1"/>
    <mergeCell ref="AA1:AB1"/>
    <mergeCell ref="AG1:AH1"/>
  </mergeCells>
  <phoneticPr fontId="1" type="noConversion"/>
  <pageMargins left="0.51181102362204722" right="0.51181102362204722" top="0.78740157480314965" bottom="0.78740157480314965" header="0.31496062992125984" footer="0.31496062992125984"/>
  <pageSetup paperSize="9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c583f6d12674ae1edc69bc686666a066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34e355a2a8a4285c73523a208aba7276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e xmlns="4f78bd75-e5af-473e-a771-af58d935aeec" xsi:nil="true"/>
    <SharedWithUsers xmlns="2e1cb776-6995-4ef2-a2af-ac4d4b6f4925">
      <UserInfo>
        <DisplayName/>
        <AccountId xsi:nil="true"/>
        <AccountType/>
      </UserInfo>
    </SharedWithUsers>
    <lcf76f155ced4ddcb4097134ff3c332f xmlns="4f78bd75-e5af-473e-a771-af58d935aeec">
      <Terms xmlns="http://schemas.microsoft.com/office/infopath/2007/PartnerControls"/>
    </lcf76f155ced4ddcb4097134ff3c332f>
    <TaxCatchAll xmlns="2e1cb776-6995-4ef2-a2af-ac4d4b6f4925" xsi:nil="true"/>
  </documentManagement>
</p:properties>
</file>

<file path=customXml/itemProps1.xml><?xml version="1.0" encoding="utf-8"?>
<ds:datastoreItem xmlns:ds="http://schemas.openxmlformats.org/officeDocument/2006/customXml" ds:itemID="{2D08FE2E-26DD-4498-B68F-117CD7F5BA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C8F8C6-0D2E-4EAE-9F71-B64C062DE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EA18D2-9818-48FA-BD3F-4525F91881C2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8</vt:i4>
      </vt:variant>
    </vt:vector>
  </HeadingPairs>
  <TitlesOfParts>
    <vt:vector size="22" baseType="lpstr">
      <vt:lpstr>CAPA DAS OBRAS</vt:lpstr>
      <vt:lpstr> CADASTRO</vt:lpstr>
      <vt:lpstr>CALCULOS </vt:lpstr>
      <vt:lpstr>SC-10 PN1 AERADOR</vt:lpstr>
      <vt:lpstr>SC-10 PN1</vt:lpstr>
      <vt:lpstr>SC-10 PN2</vt:lpstr>
      <vt:lpstr>SC-10 PN2 PRIMARIO</vt:lpstr>
      <vt:lpstr>SC10(pf)</vt:lpstr>
      <vt:lpstr>equipe</vt:lpstr>
      <vt:lpstr>ACABAMENTO</vt:lpstr>
      <vt:lpstr>PRODUÇÃO SEMANA</vt:lpstr>
      <vt:lpstr>acab equip</vt:lpstr>
      <vt:lpstr>p1</vt:lpstr>
      <vt:lpstr>Vale - muro</vt:lpstr>
      <vt:lpstr>' CADASTRO'!Area_de_impressao</vt:lpstr>
      <vt:lpstr>equipe!Area_de_impressao</vt:lpstr>
      <vt:lpstr>'SC-10 PN1'!Area_de_impressao</vt:lpstr>
      <vt:lpstr>'SC-10 PN1 AERADOR'!Area_de_impressao</vt:lpstr>
      <vt:lpstr>'SC-10 PN2'!Area_de_impressao</vt:lpstr>
      <vt:lpstr>'SC-10 PN2 PRIMARIO'!Area_de_impressao</vt:lpstr>
      <vt:lpstr>'SC10(pf)'!Area_de_impressao</vt:lpstr>
      <vt:lpstr>'Vale - muro'!Area_de_impressao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Fortanks</dc:creator>
  <cp:lastModifiedBy>Gean Junior Reinholz</cp:lastModifiedBy>
  <cp:lastPrinted>2025-12-15T19:26:42Z</cp:lastPrinted>
  <dcterms:created xsi:type="dcterms:W3CDTF">2022-12-03T11:40:49Z</dcterms:created>
  <dcterms:modified xsi:type="dcterms:W3CDTF">2025-12-16T11:12:26Z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0x01010064F60118CF4DD941A5203D2B469A8CE2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{"FileActivityType":"9","FileActivityTimeStamp":"2025-05-20T19:12:13.473Z","FileActivityUsersOnPage":[{"DisplayName":"Gean Junior Reinholz","Id":"gean.junior@fortanks.ind.br"},{"DisplayName":"Bruno Macedo Lacerda","Id":"bruno.lacerda@fortanks.ind.br"}],"FileActivityNavigationId":null}</vt:lpwstr>
  </property>
  <property fmtid="{D5CDD505-2E9C-101B-9397-08002B2CF9AE}" pid="7" name="TriggerFlowInfo">
    <vt:lpwstr/>
  </property>
</Properties>
</file>