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rteseng.sharepoint.com/sites/FortanksSite/Documentos Compartilhados/00-FORTANKS/00-OBRAS/03-QUALIDADE/03-DATABOOK/0015-00-TQS NEREDA (12X)/Controle de Concretagem/"/>
    </mc:Choice>
  </mc:AlternateContent>
  <xr:revisionPtr revIDLastSave="5831" documentId="13_ncr:1_{BD07F970-E96D-4A01-8A97-A59C9202E14C}" xr6:coauthVersionLast="47" xr6:coauthVersionMax="47" xr10:uidLastSave="{87C49117-CED8-48D0-80F8-BE43BF01183D}"/>
  <bookViews>
    <workbookView xWindow="-120" yWindow="-120" windowWidth="29040" windowHeight="15840" tabRatio="1000" activeTab="5" xr2:uid="{00000000-000D-0000-FFFF-FFFF00000000}"/>
  </bookViews>
  <sheets>
    <sheet name="plan de data" sheetId="35" r:id="rId1"/>
    <sheet name="Planilha1" sheetId="113" state="hidden" r:id="rId2"/>
    <sheet name="CA" sheetId="65" r:id="rId3"/>
    <sheet name="CERT. COR" sheetId="153" state="hidden" r:id="rId4"/>
    <sheet name="PF" sheetId="203" r:id="rId5"/>
    <sheet name="PN1" sheetId="260" r:id="rId6"/>
    <sheet name="PN2" sheetId="254" r:id="rId7"/>
    <sheet name="PN3" sheetId="262" r:id="rId8"/>
    <sheet name="PN4" sheetId="263" r:id="rId9"/>
  </sheets>
  <definedNames>
    <definedName name="_xlnm._FilterDatabase" localSheetId="2" hidden="1">CA!$Y$1:$AH$139</definedName>
    <definedName name="_xlnm._FilterDatabase" localSheetId="4" hidden="1">PF!$A$6:$A$19</definedName>
    <definedName name="_xlnm._FilterDatabase" localSheetId="5" hidden="1">'PN1'!$A$6:$A$19</definedName>
    <definedName name="_xlnm._FilterDatabase" localSheetId="6" hidden="1">'PN2'!$A$6:$A$19</definedName>
    <definedName name="_xlnm._FilterDatabase" localSheetId="7" hidden="1">'PN3'!$A$6:$A$19</definedName>
    <definedName name="_xlnm._FilterDatabase" localSheetId="8" hidden="1">'PN4'!$A$6:$A$19</definedName>
    <definedName name="_xlnm.Print_Area" localSheetId="4">PF!$B$1:$AP$83</definedName>
    <definedName name="_xlnm.Print_Area" localSheetId="5">'PN1'!$B$1:$AP$83</definedName>
    <definedName name="_xlnm.Print_Area" localSheetId="6">'PN2'!$B$1:$AP$83</definedName>
    <definedName name="_xlnm.Print_Area" localSheetId="7">'PN3'!$B$1:$AP$83</definedName>
    <definedName name="_xlnm.Print_Area" localSheetId="8">'PN4'!$B$1:$AP$83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1" i="262" l="1"/>
  <c r="AB11" i="254"/>
  <c r="AB11" i="260"/>
  <c r="S10" i="263"/>
  <c r="S10" i="262"/>
  <c r="S10" i="260"/>
  <c r="S10" i="254"/>
  <c r="CQ77" i="263" l="1"/>
  <c r="AM58" i="263" s="1"/>
  <c r="CN77" i="263"/>
  <c r="AJ58" i="263" s="1"/>
  <c r="BI70" i="263"/>
  <c r="BB70" i="263"/>
  <c r="Y64" i="263"/>
  <c r="AA60" i="263"/>
  <c r="W60" i="263"/>
  <c r="DO58" i="263"/>
  <c r="DL58" i="263"/>
  <c r="CP77" i="263" s="1"/>
  <c r="AL58" i="263" s="1"/>
  <c r="DI58" i="263"/>
  <c r="CO77" i="263" s="1"/>
  <c r="AK58" i="263" s="1"/>
  <c r="DF58" i="263"/>
  <c r="AP58" i="263"/>
  <c r="AO58" i="263"/>
  <c r="AN58" i="263"/>
  <c r="DO57" i="263"/>
  <c r="DC57" i="263"/>
  <c r="CQ57" i="263"/>
  <c r="CE57" i="263"/>
  <c r="AA57" i="263"/>
  <c r="W57" i="263"/>
  <c r="DI54" i="263"/>
  <c r="CW54" i="263"/>
  <c r="CK54" i="263"/>
  <c r="AA53" i="263"/>
  <c r="DC58" i="263" s="1"/>
  <c r="CM77" i="263" s="1"/>
  <c r="AI58" i="263" s="1"/>
  <c r="X53" i="263"/>
  <c r="CZ58" i="263" s="1"/>
  <c r="CL77" i="263" s="1"/>
  <c r="AH58" i="263" s="1"/>
  <c r="U53" i="263"/>
  <c r="CW58" i="263" s="1"/>
  <c r="CK77" i="263" s="1"/>
  <c r="AG58" i="263" s="1"/>
  <c r="R53" i="263"/>
  <c r="CT58" i="263" s="1"/>
  <c r="CJ77" i="263" s="1"/>
  <c r="AF58" i="263" s="1"/>
  <c r="O53" i="263"/>
  <c r="CQ58" i="263" s="1"/>
  <c r="CI77" i="263" s="1"/>
  <c r="AE58" i="263" s="1"/>
  <c r="L53" i="263"/>
  <c r="CN58" i="263" s="1"/>
  <c r="CH77" i="263" s="1"/>
  <c r="AD58" i="263" s="1"/>
  <c r="I53" i="263"/>
  <c r="CK58" i="263" s="1"/>
  <c r="CG77" i="263" s="1"/>
  <c r="AC58" i="263" s="1"/>
  <c r="F53" i="263"/>
  <c r="CH58" i="263" s="1"/>
  <c r="CF77" i="263" s="1"/>
  <c r="AB58" i="263" s="1"/>
  <c r="C53" i="263"/>
  <c r="CE58" i="263" s="1"/>
  <c r="CE77" i="263" s="1"/>
  <c r="AA58" i="263" s="1"/>
  <c r="AM52" i="263"/>
  <c r="AJ52" i="263"/>
  <c r="DL57" i="263" s="1"/>
  <c r="AG52" i="263"/>
  <c r="DI57" i="263" s="1"/>
  <c r="AD52" i="263"/>
  <c r="DF57" i="263" s="1"/>
  <c r="CN70" i="263" s="1"/>
  <c r="W58" i="263" s="1"/>
  <c r="AA52" i="263"/>
  <c r="X52" i="263"/>
  <c r="CZ57" i="263" s="1"/>
  <c r="U52" i="263"/>
  <c r="CW57" i="263" s="1"/>
  <c r="R52" i="263"/>
  <c r="CT57" i="263" s="1"/>
  <c r="O52" i="263"/>
  <c r="L52" i="263"/>
  <c r="CN57" i="263" s="1"/>
  <c r="I52" i="263"/>
  <c r="CK57" i="263" s="1"/>
  <c r="F52" i="263"/>
  <c r="CH57" i="263" s="1"/>
  <c r="C52" i="263"/>
  <c r="AM51" i="263"/>
  <c r="DO56" i="263" s="1"/>
  <c r="CQ70" i="263" s="1"/>
  <c r="Z58" i="263" s="1"/>
  <c r="AJ51" i="263"/>
  <c r="DL56" i="263" s="1"/>
  <c r="CP70" i="263" s="1"/>
  <c r="Y58" i="263" s="1"/>
  <c r="AG51" i="263"/>
  <c r="DI56" i="263" s="1"/>
  <c r="CO70" i="263" s="1"/>
  <c r="X58" i="263" s="1"/>
  <c r="AD51" i="263"/>
  <c r="DF56" i="263" s="1"/>
  <c r="AA51" i="263"/>
  <c r="DC56" i="263" s="1"/>
  <c r="CM70" i="263" s="1"/>
  <c r="V58" i="263" s="1"/>
  <c r="X51" i="263"/>
  <c r="CZ56" i="263" s="1"/>
  <c r="CL70" i="263" s="1"/>
  <c r="U58" i="263" s="1"/>
  <c r="U51" i="263"/>
  <c r="CW56" i="263" s="1"/>
  <c r="CK70" i="263" s="1"/>
  <c r="T58" i="263" s="1"/>
  <c r="R51" i="263"/>
  <c r="CT56" i="263" s="1"/>
  <c r="CJ70" i="263" s="1"/>
  <c r="S58" i="263" s="1"/>
  <c r="O51" i="263"/>
  <c r="CQ56" i="263" s="1"/>
  <c r="CI70" i="263" s="1"/>
  <c r="R58" i="263" s="1"/>
  <c r="L51" i="263"/>
  <c r="CN56" i="263" s="1"/>
  <c r="CH70" i="263" s="1"/>
  <c r="Q58" i="263" s="1"/>
  <c r="I51" i="263"/>
  <c r="CK56" i="263" s="1"/>
  <c r="CG70" i="263" s="1"/>
  <c r="P58" i="263" s="1"/>
  <c r="F51" i="263"/>
  <c r="CH56" i="263" s="1"/>
  <c r="CF70" i="263" s="1"/>
  <c r="O58" i="263" s="1"/>
  <c r="C51" i="263"/>
  <c r="AM50" i="263"/>
  <c r="DO54" i="263" s="1"/>
  <c r="AJ50" i="263"/>
  <c r="DL54" i="263" s="1"/>
  <c r="AG50" i="263"/>
  <c r="AD50" i="263"/>
  <c r="DF54" i="263" s="1"/>
  <c r="AA50" i="263"/>
  <c r="DC54" i="263" s="1"/>
  <c r="X50" i="263"/>
  <c r="CZ54" i="263" s="1"/>
  <c r="U50" i="263"/>
  <c r="R50" i="263"/>
  <c r="CT54" i="263" s="1"/>
  <c r="O50" i="263"/>
  <c r="CQ54" i="263" s="1"/>
  <c r="L50" i="263"/>
  <c r="CN54" i="263" s="1"/>
  <c r="I50" i="263"/>
  <c r="F50" i="263"/>
  <c r="CH54" i="263" s="1"/>
  <c r="C50" i="263"/>
  <c r="CE54" i="263" s="1"/>
  <c r="AG47" i="263"/>
  <c r="AG46" i="263"/>
  <c r="V46" i="263"/>
  <c r="M46" i="263"/>
  <c r="B46" i="263"/>
  <c r="M47" i="263" s="1"/>
  <c r="B38" i="263"/>
  <c r="A19" i="263"/>
  <c r="CC18" i="263"/>
  <c r="A18" i="263" s="1"/>
  <c r="AN17" i="263"/>
  <c r="AK17" i="263"/>
  <c r="AH17" i="263"/>
  <c r="AE17" i="263"/>
  <c r="AB17" i="263"/>
  <c r="Y17" i="263"/>
  <c r="V17" i="263"/>
  <c r="S17" i="263"/>
  <c r="P17" i="263"/>
  <c r="M17" i="263"/>
  <c r="J17" i="263"/>
  <c r="G17" i="263"/>
  <c r="A17" i="263"/>
  <c r="A16" i="263"/>
  <c r="A15" i="263"/>
  <c r="CC14" i="263"/>
  <c r="A14" i="263"/>
  <c r="AN13" i="263"/>
  <c r="AK13" i="263"/>
  <c r="AH13" i="263"/>
  <c r="AE13" i="263"/>
  <c r="AB13" i="263"/>
  <c r="Y13" i="263"/>
  <c r="V13" i="263"/>
  <c r="S13" i="263"/>
  <c r="P13" i="263"/>
  <c r="M13" i="263"/>
  <c r="J13" i="263"/>
  <c r="G13" i="263"/>
  <c r="A13" i="263"/>
  <c r="AN10" i="263"/>
  <c r="AK10" i="263"/>
  <c r="AH10" i="263"/>
  <c r="AE10" i="263"/>
  <c r="AB10" i="263"/>
  <c r="Y10" i="263"/>
  <c r="Y11" i="263" s="1"/>
  <c r="V10" i="263"/>
  <c r="V11" i="263" s="1"/>
  <c r="S11" i="263"/>
  <c r="P10" i="263"/>
  <c r="P11" i="263" s="1"/>
  <c r="M10" i="263"/>
  <c r="M11" i="263" s="1"/>
  <c r="J10" i="263"/>
  <c r="J11" i="263" s="1"/>
  <c r="CC9" i="263"/>
  <c r="A12" i="263" s="1"/>
  <c r="AN9" i="263"/>
  <c r="AN8" i="263" s="1"/>
  <c r="AK9" i="263"/>
  <c r="AK8" i="263" s="1"/>
  <c r="AH9" i="263"/>
  <c r="AH8" i="263" s="1"/>
  <c r="AE9" i="263"/>
  <c r="AE8" i="263" s="1"/>
  <c r="AB9" i="263"/>
  <c r="AB8" i="263" s="1"/>
  <c r="Y9" i="263"/>
  <c r="Y8" i="263" s="1"/>
  <c r="V9" i="263"/>
  <c r="V8" i="263" s="1"/>
  <c r="S9" i="263"/>
  <c r="S8" i="263" s="1"/>
  <c r="P9" i="263"/>
  <c r="P8" i="263" s="1"/>
  <c r="M9" i="263"/>
  <c r="M8" i="263" s="1"/>
  <c r="J9" i="263"/>
  <c r="J8" i="263" s="1"/>
  <c r="G9" i="263"/>
  <c r="G10" i="263" s="1"/>
  <c r="G11" i="263" s="1"/>
  <c r="A9" i="263"/>
  <c r="A8" i="263"/>
  <c r="AM6" i="263"/>
  <c r="I6" i="263"/>
  <c r="B6" i="263"/>
  <c r="AK83" i="263" s="1"/>
  <c r="AS83" i="263" s="1"/>
  <c r="BF83" i="263" s="1"/>
  <c r="P3" i="263"/>
  <c r="P2" i="263"/>
  <c r="CQ77" i="262"/>
  <c r="AM58" i="262" s="1"/>
  <c r="CN77" i="262"/>
  <c r="AJ58" i="262" s="1"/>
  <c r="BI70" i="262"/>
  <c r="BB70" i="262"/>
  <c r="Y64" i="262"/>
  <c r="AA60" i="262"/>
  <c r="W60" i="262"/>
  <c r="DO58" i="262"/>
  <c r="DL58" i="262"/>
  <c r="CP77" i="262" s="1"/>
  <c r="AL58" i="262" s="1"/>
  <c r="DI58" i="262"/>
  <c r="CO77" i="262" s="1"/>
  <c r="AK58" i="262" s="1"/>
  <c r="DF58" i="262"/>
  <c r="AP58" i="262"/>
  <c r="AO58" i="262"/>
  <c r="AN58" i="262"/>
  <c r="DO57" i="262"/>
  <c r="DC57" i="262"/>
  <c r="CQ57" i="262"/>
  <c r="CE57" i="262"/>
  <c r="AA57" i="262"/>
  <c r="W57" i="262"/>
  <c r="DI54" i="262"/>
  <c r="CW54" i="262"/>
  <c r="CK54" i="262"/>
  <c r="AA53" i="262"/>
  <c r="DC58" i="262" s="1"/>
  <c r="CM77" i="262" s="1"/>
  <c r="AI58" i="262" s="1"/>
  <c r="X53" i="262"/>
  <c r="CZ58" i="262" s="1"/>
  <c r="CL77" i="262" s="1"/>
  <c r="AH58" i="262" s="1"/>
  <c r="U53" i="262"/>
  <c r="CW58" i="262" s="1"/>
  <c r="CK77" i="262" s="1"/>
  <c r="AG58" i="262" s="1"/>
  <c r="R53" i="262"/>
  <c r="CT58" i="262" s="1"/>
  <c r="CJ77" i="262" s="1"/>
  <c r="AF58" i="262" s="1"/>
  <c r="O53" i="262"/>
  <c r="CQ58" i="262" s="1"/>
  <c r="CI77" i="262" s="1"/>
  <c r="AE58" i="262" s="1"/>
  <c r="L53" i="262"/>
  <c r="CN58" i="262" s="1"/>
  <c r="CH77" i="262" s="1"/>
  <c r="AD58" i="262" s="1"/>
  <c r="I53" i="262"/>
  <c r="CK58" i="262" s="1"/>
  <c r="CG77" i="262" s="1"/>
  <c r="AC58" i="262" s="1"/>
  <c r="F53" i="262"/>
  <c r="CH58" i="262" s="1"/>
  <c r="CF77" i="262" s="1"/>
  <c r="AB58" i="262" s="1"/>
  <c r="C53" i="262"/>
  <c r="CE58" i="262" s="1"/>
  <c r="CE77" i="262" s="1"/>
  <c r="AA58" i="262" s="1"/>
  <c r="AM52" i="262"/>
  <c r="AJ52" i="262"/>
  <c r="DL57" i="262" s="1"/>
  <c r="AG52" i="262"/>
  <c r="DI57" i="262" s="1"/>
  <c r="AD52" i="262"/>
  <c r="DF57" i="262" s="1"/>
  <c r="CN70" i="262" s="1"/>
  <c r="W58" i="262" s="1"/>
  <c r="AA52" i="262"/>
  <c r="X52" i="262"/>
  <c r="CZ57" i="262" s="1"/>
  <c r="U52" i="262"/>
  <c r="CW57" i="262" s="1"/>
  <c r="R52" i="262"/>
  <c r="CT57" i="262" s="1"/>
  <c r="O52" i="262"/>
  <c r="L52" i="262"/>
  <c r="CN57" i="262" s="1"/>
  <c r="I52" i="262"/>
  <c r="CK57" i="262" s="1"/>
  <c r="F52" i="262"/>
  <c r="CH57" i="262" s="1"/>
  <c r="C52" i="262"/>
  <c r="AM51" i="262"/>
  <c r="DO56" i="262" s="1"/>
  <c r="CQ70" i="262" s="1"/>
  <c r="Z58" i="262" s="1"/>
  <c r="AJ51" i="262"/>
  <c r="DL56" i="262" s="1"/>
  <c r="CP70" i="262" s="1"/>
  <c r="Y58" i="262" s="1"/>
  <c r="AG51" i="262"/>
  <c r="DI56" i="262" s="1"/>
  <c r="CO70" i="262" s="1"/>
  <c r="X58" i="262" s="1"/>
  <c r="AD51" i="262"/>
  <c r="DF56" i="262" s="1"/>
  <c r="AA51" i="262"/>
  <c r="DC56" i="262" s="1"/>
  <c r="CM70" i="262" s="1"/>
  <c r="V58" i="262" s="1"/>
  <c r="X51" i="262"/>
  <c r="CZ56" i="262" s="1"/>
  <c r="CL70" i="262" s="1"/>
  <c r="U58" i="262" s="1"/>
  <c r="U51" i="262"/>
  <c r="CW56" i="262" s="1"/>
  <c r="CK70" i="262" s="1"/>
  <c r="T58" i="262" s="1"/>
  <c r="R51" i="262"/>
  <c r="CT56" i="262" s="1"/>
  <c r="CJ70" i="262" s="1"/>
  <c r="S58" i="262" s="1"/>
  <c r="O51" i="262"/>
  <c r="CQ56" i="262" s="1"/>
  <c r="CI70" i="262" s="1"/>
  <c r="R58" i="262" s="1"/>
  <c r="L51" i="262"/>
  <c r="CN56" i="262" s="1"/>
  <c r="CH70" i="262" s="1"/>
  <c r="Q58" i="262" s="1"/>
  <c r="I51" i="262"/>
  <c r="CK56" i="262" s="1"/>
  <c r="CG70" i="262" s="1"/>
  <c r="P58" i="262" s="1"/>
  <c r="F51" i="262"/>
  <c r="CH56" i="262" s="1"/>
  <c r="CF70" i="262" s="1"/>
  <c r="O58" i="262" s="1"/>
  <c r="C51" i="262"/>
  <c r="AM50" i="262"/>
  <c r="DO54" i="262" s="1"/>
  <c r="AJ50" i="262"/>
  <c r="DL54" i="262" s="1"/>
  <c r="AG50" i="262"/>
  <c r="AD50" i="262"/>
  <c r="DF54" i="262" s="1"/>
  <c r="AA50" i="262"/>
  <c r="DC54" i="262" s="1"/>
  <c r="X50" i="262"/>
  <c r="CZ54" i="262" s="1"/>
  <c r="U50" i="262"/>
  <c r="R50" i="262"/>
  <c r="CT54" i="262" s="1"/>
  <c r="O50" i="262"/>
  <c r="CQ54" i="262" s="1"/>
  <c r="L50" i="262"/>
  <c r="CN54" i="262" s="1"/>
  <c r="I50" i="262"/>
  <c r="F50" i="262"/>
  <c r="CH54" i="262" s="1"/>
  <c r="C50" i="262"/>
  <c r="CE54" i="262" s="1"/>
  <c r="AG47" i="262"/>
  <c r="AG46" i="262"/>
  <c r="V46" i="262"/>
  <c r="M46" i="262"/>
  <c r="B46" i="262"/>
  <c r="M47" i="262" s="1"/>
  <c r="B38" i="262"/>
  <c r="A19" i="262"/>
  <c r="CC18" i="262"/>
  <c r="A18" i="262" s="1"/>
  <c r="AN17" i="262"/>
  <c r="AK17" i="262"/>
  <c r="AH17" i="262"/>
  <c r="AE17" i="262"/>
  <c r="AB17" i="262"/>
  <c r="Y17" i="262"/>
  <c r="V17" i="262"/>
  <c r="S17" i="262"/>
  <c r="P17" i="262"/>
  <c r="M17" i="262"/>
  <c r="J17" i="262"/>
  <c r="G17" i="262"/>
  <c r="A17" i="262"/>
  <c r="A16" i="262"/>
  <c r="A15" i="262"/>
  <c r="CC14" i="262"/>
  <c r="A14" i="262"/>
  <c r="AN13" i="262"/>
  <c r="AK13" i="262"/>
  <c r="AH13" i="262"/>
  <c r="AE13" i="262"/>
  <c r="AB13" i="262"/>
  <c r="Y13" i="262"/>
  <c r="V13" i="262"/>
  <c r="S13" i="262"/>
  <c r="P13" i="262"/>
  <c r="M13" i="262"/>
  <c r="J13" i="262"/>
  <c r="G13" i="262"/>
  <c r="A13" i="262"/>
  <c r="AN10" i="262"/>
  <c r="AK10" i="262"/>
  <c r="AH10" i="262"/>
  <c r="AE10" i="262"/>
  <c r="AB10" i="262"/>
  <c r="Y10" i="262"/>
  <c r="Y11" i="262" s="1"/>
  <c r="V10" i="262"/>
  <c r="V11" i="262" s="1"/>
  <c r="S11" i="262"/>
  <c r="P10" i="262"/>
  <c r="P11" i="262" s="1"/>
  <c r="M10" i="262"/>
  <c r="M11" i="262" s="1"/>
  <c r="J10" i="262"/>
  <c r="J11" i="262" s="1"/>
  <c r="CC9" i="262"/>
  <c r="A12" i="262" s="1"/>
  <c r="AN9" i="262"/>
  <c r="AN8" i="262" s="1"/>
  <c r="AK9" i="262"/>
  <c r="AK8" i="262" s="1"/>
  <c r="AH9" i="262"/>
  <c r="AH8" i="262" s="1"/>
  <c r="AE9" i="262"/>
  <c r="AE8" i="262" s="1"/>
  <c r="AB9" i="262"/>
  <c r="AB8" i="262" s="1"/>
  <c r="Y9" i="262"/>
  <c r="Y8" i="262" s="1"/>
  <c r="V9" i="262"/>
  <c r="V8" i="262" s="1"/>
  <c r="S9" i="262"/>
  <c r="S8" i="262" s="1"/>
  <c r="P9" i="262"/>
  <c r="P8" i="262" s="1"/>
  <c r="M9" i="262"/>
  <c r="M8" i="262" s="1"/>
  <c r="J9" i="262"/>
  <c r="J8" i="262" s="1"/>
  <c r="G9" i="262"/>
  <c r="G10" i="262" s="1"/>
  <c r="A9" i="262"/>
  <c r="A8" i="262"/>
  <c r="AM6" i="262"/>
  <c r="I6" i="262"/>
  <c r="B6" i="262"/>
  <c r="AK83" i="262" s="1"/>
  <c r="AS83" i="262" s="1"/>
  <c r="BF83" i="262" s="1"/>
  <c r="P3" i="262"/>
  <c r="P2" i="262"/>
  <c r="CN77" i="260"/>
  <c r="AJ58" i="260" s="1"/>
  <c r="BI70" i="260"/>
  <c r="BB70" i="260"/>
  <c r="Y64" i="260"/>
  <c r="AA60" i="260"/>
  <c r="W60" i="260"/>
  <c r="DO58" i="260"/>
  <c r="CQ77" i="260" s="1"/>
  <c r="AM58" i="260" s="1"/>
  <c r="DL58" i="260"/>
  <c r="CP77" i="260" s="1"/>
  <c r="AL58" i="260" s="1"/>
  <c r="DI58" i="260"/>
  <c r="CO77" i="260" s="1"/>
  <c r="AK58" i="260" s="1"/>
  <c r="DF58" i="260"/>
  <c r="AP58" i="260"/>
  <c r="AO58" i="260"/>
  <c r="AN58" i="260"/>
  <c r="DO57" i="260"/>
  <c r="DF57" i="260"/>
  <c r="CN70" i="260" s="1"/>
  <c r="W58" i="260" s="1"/>
  <c r="DC57" i="260"/>
  <c r="CT57" i="260"/>
  <c r="CQ57" i="260"/>
  <c r="CH57" i="260"/>
  <c r="AA57" i="260"/>
  <c r="W57" i="260"/>
  <c r="DL54" i="260"/>
  <c r="CZ54" i="260"/>
  <c r="CN54" i="260"/>
  <c r="AA53" i="260"/>
  <c r="DC58" i="260" s="1"/>
  <c r="CM77" i="260" s="1"/>
  <c r="AI58" i="260" s="1"/>
  <c r="X53" i="260"/>
  <c r="CZ58" i="260" s="1"/>
  <c r="CL77" i="260" s="1"/>
  <c r="AH58" i="260" s="1"/>
  <c r="U53" i="260"/>
  <c r="CW58" i="260" s="1"/>
  <c r="CK77" i="260" s="1"/>
  <c r="AG58" i="260" s="1"/>
  <c r="R53" i="260"/>
  <c r="CT58" i="260" s="1"/>
  <c r="CJ77" i="260" s="1"/>
  <c r="AF58" i="260" s="1"/>
  <c r="O53" i="260"/>
  <c r="CQ58" i="260" s="1"/>
  <c r="CI77" i="260" s="1"/>
  <c r="AE58" i="260" s="1"/>
  <c r="L53" i="260"/>
  <c r="CN58" i="260" s="1"/>
  <c r="CH77" i="260" s="1"/>
  <c r="AD58" i="260" s="1"/>
  <c r="I53" i="260"/>
  <c r="CK58" i="260" s="1"/>
  <c r="CG77" i="260" s="1"/>
  <c r="AC58" i="260" s="1"/>
  <c r="F53" i="260"/>
  <c r="CH58" i="260" s="1"/>
  <c r="CF77" i="260" s="1"/>
  <c r="AB58" i="260" s="1"/>
  <c r="C53" i="260"/>
  <c r="CE58" i="260" s="1"/>
  <c r="CE77" i="260" s="1"/>
  <c r="AA58" i="260" s="1"/>
  <c r="AM52" i="260"/>
  <c r="AJ52" i="260"/>
  <c r="DL57" i="260" s="1"/>
  <c r="AG52" i="260"/>
  <c r="DI57" i="260" s="1"/>
  <c r="AD52" i="260"/>
  <c r="AA52" i="260"/>
  <c r="X52" i="260"/>
  <c r="CZ57" i="260" s="1"/>
  <c r="U52" i="260"/>
  <c r="CW57" i="260" s="1"/>
  <c r="R52" i="260"/>
  <c r="O52" i="260"/>
  <c r="L52" i="260"/>
  <c r="CN57" i="260" s="1"/>
  <c r="I52" i="260"/>
  <c r="CK57" i="260" s="1"/>
  <c r="F52" i="260"/>
  <c r="C52" i="260"/>
  <c r="CE57" i="260" s="1"/>
  <c r="AM51" i="260"/>
  <c r="DO56" i="260" s="1"/>
  <c r="CQ70" i="260" s="1"/>
  <c r="Z58" i="260" s="1"/>
  <c r="AJ51" i="260"/>
  <c r="DL56" i="260" s="1"/>
  <c r="CP70" i="260" s="1"/>
  <c r="Y58" i="260" s="1"/>
  <c r="AG51" i="260"/>
  <c r="DI56" i="260" s="1"/>
  <c r="CO70" i="260" s="1"/>
  <c r="X58" i="260" s="1"/>
  <c r="AD51" i="260"/>
  <c r="DF56" i="260" s="1"/>
  <c r="AA51" i="260"/>
  <c r="DC56" i="260" s="1"/>
  <c r="CM70" i="260" s="1"/>
  <c r="V58" i="260" s="1"/>
  <c r="X51" i="260"/>
  <c r="CZ56" i="260" s="1"/>
  <c r="CL70" i="260" s="1"/>
  <c r="U58" i="260" s="1"/>
  <c r="U51" i="260"/>
  <c r="CW56" i="260" s="1"/>
  <c r="CK70" i="260" s="1"/>
  <c r="T58" i="260" s="1"/>
  <c r="R51" i="260"/>
  <c r="CT56" i="260" s="1"/>
  <c r="CJ70" i="260" s="1"/>
  <c r="S58" i="260" s="1"/>
  <c r="O51" i="260"/>
  <c r="CQ56" i="260" s="1"/>
  <c r="CI70" i="260" s="1"/>
  <c r="R58" i="260" s="1"/>
  <c r="L51" i="260"/>
  <c r="I51" i="260"/>
  <c r="CK56" i="260" s="1"/>
  <c r="CG70" i="260" s="1"/>
  <c r="P58" i="260" s="1"/>
  <c r="F51" i="260"/>
  <c r="CH56" i="260" s="1"/>
  <c r="CF70" i="260" s="1"/>
  <c r="O58" i="260" s="1"/>
  <c r="C51" i="260"/>
  <c r="AM50" i="260"/>
  <c r="DO54" i="260" s="1"/>
  <c r="AJ50" i="260"/>
  <c r="AG50" i="260"/>
  <c r="DI54" i="260" s="1"/>
  <c r="AD50" i="260"/>
  <c r="DF54" i="260" s="1"/>
  <c r="AA50" i="260"/>
  <c r="DC54" i="260" s="1"/>
  <c r="X50" i="260"/>
  <c r="U50" i="260"/>
  <c r="CW54" i="260" s="1"/>
  <c r="R50" i="260"/>
  <c r="CT54" i="260" s="1"/>
  <c r="O50" i="260"/>
  <c r="CQ54" i="260" s="1"/>
  <c r="L50" i="260"/>
  <c r="I50" i="260"/>
  <c r="CK54" i="260" s="1"/>
  <c r="F50" i="260"/>
  <c r="CH54" i="260" s="1"/>
  <c r="C50" i="260"/>
  <c r="CE54" i="260" s="1"/>
  <c r="AG47" i="260"/>
  <c r="AG46" i="260"/>
  <c r="V46" i="260"/>
  <c r="M46" i="260"/>
  <c r="B46" i="260"/>
  <c r="M47" i="260" s="1"/>
  <c r="B38" i="260"/>
  <c r="CC18" i="260"/>
  <c r="A18" i="260" s="1"/>
  <c r="AN17" i="260"/>
  <c r="AK17" i="260"/>
  <c r="AH17" i="260"/>
  <c r="AE17" i="260"/>
  <c r="AB17" i="260"/>
  <c r="Y17" i="260"/>
  <c r="V17" i="260"/>
  <c r="S17" i="260"/>
  <c r="P17" i="260"/>
  <c r="M17" i="260"/>
  <c r="J17" i="260"/>
  <c r="G17" i="260"/>
  <c r="A17" i="260"/>
  <c r="A15" i="260"/>
  <c r="CC14" i="260"/>
  <c r="A16" i="260" s="1"/>
  <c r="A14" i="260"/>
  <c r="AN13" i="260"/>
  <c r="AK13" i="260"/>
  <c r="AH13" i="260"/>
  <c r="AE13" i="260"/>
  <c r="AB13" i="260"/>
  <c r="Y13" i="260"/>
  <c r="V13" i="260"/>
  <c r="S13" i="260"/>
  <c r="P13" i="260"/>
  <c r="M13" i="260"/>
  <c r="J13" i="260"/>
  <c r="G13" i="260"/>
  <c r="AN10" i="260"/>
  <c r="AK10" i="260"/>
  <c r="AH10" i="260"/>
  <c r="AE10" i="260"/>
  <c r="AB10" i="260"/>
  <c r="Y10" i="260"/>
  <c r="Y11" i="260" s="1"/>
  <c r="V10" i="260"/>
  <c r="V11" i="260" s="1"/>
  <c r="S11" i="260"/>
  <c r="P10" i="260"/>
  <c r="P11" i="260" s="1"/>
  <c r="M10" i="260"/>
  <c r="M11" i="260" s="1"/>
  <c r="J10" i="260"/>
  <c r="J11" i="260" s="1"/>
  <c r="CC9" i="260"/>
  <c r="A12" i="260" s="1"/>
  <c r="AN9" i="260"/>
  <c r="AN8" i="260" s="1"/>
  <c r="AK9" i="260"/>
  <c r="AH9" i="260"/>
  <c r="AH8" i="260" s="1"/>
  <c r="AE9" i="260"/>
  <c r="AE8" i="260" s="1"/>
  <c r="AB9" i="260"/>
  <c r="AB8" i="260" s="1"/>
  <c r="Y9" i="260"/>
  <c r="Y8" i="260" s="1"/>
  <c r="V9" i="260"/>
  <c r="V8" i="260" s="1"/>
  <c r="S9" i="260"/>
  <c r="S8" i="260" s="1"/>
  <c r="P9" i="260"/>
  <c r="P8" i="260" s="1"/>
  <c r="M9" i="260"/>
  <c r="M8" i="260" s="1"/>
  <c r="J9" i="260"/>
  <c r="J8" i="260" s="1"/>
  <c r="G9" i="260"/>
  <c r="G10" i="260" s="1"/>
  <c r="A9" i="260"/>
  <c r="AK8" i="260"/>
  <c r="AM6" i="260"/>
  <c r="I6" i="260"/>
  <c r="B6" i="260"/>
  <c r="AK83" i="260" s="1"/>
  <c r="AS83" i="260" s="1"/>
  <c r="BF83" i="260" s="1"/>
  <c r="P3" i="260"/>
  <c r="P2" i="260"/>
  <c r="AJ73" i="65"/>
  <c r="CQ77" i="254"/>
  <c r="AM58" i="254" s="1"/>
  <c r="BI70" i="254"/>
  <c r="BB70" i="254"/>
  <c r="Y64" i="254"/>
  <c r="AA60" i="254"/>
  <c r="W60" i="254"/>
  <c r="DO58" i="254"/>
  <c r="DL58" i="254"/>
  <c r="CP77" i="254" s="1"/>
  <c r="AL58" i="254" s="1"/>
  <c r="DI58" i="254"/>
  <c r="CO77" i="254" s="1"/>
  <c r="AK58" i="254" s="1"/>
  <c r="DF58" i="254"/>
  <c r="CN77" i="254" s="1"/>
  <c r="AJ58" i="254" s="1"/>
  <c r="AP58" i="254"/>
  <c r="AO58" i="254"/>
  <c r="AN58" i="254"/>
  <c r="DO57" i="254"/>
  <c r="DC57" i="254"/>
  <c r="CQ57" i="254"/>
  <c r="CE57" i="254"/>
  <c r="AA57" i="254"/>
  <c r="W57" i="254"/>
  <c r="DI54" i="254"/>
  <c r="CW54" i="254"/>
  <c r="CK54" i="254"/>
  <c r="AM52" i="254"/>
  <c r="AJ52" i="254"/>
  <c r="DL57" i="254" s="1"/>
  <c r="AG52" i="254"/>
  <c r="DI57" i="254" s="1"/>
  <c r="AD52" i="254"/>
  <c r="DF57" i="254" s="1"/>
  <c r="CN70" i="254" s="1"/>
  <c r="W58" i="254" s="1"/>
  <c r="AA52" i="254"/>
  <c r="X52" i="254"/>
  <c r="CZ57" i="254" s="1"/>
  <c r="U52" i="254"/>
  <c r="CW57" i="254" s="1"/>
  <c r="R52" i="254"/>
  <c r="CT57" i="254" s="1"/>
  <c r="O52" i="254"/>
  <c r="L52" i="254"/>
  <c r="CN57" i="254" s="1"/>
  <c r="I52" i="254"/>
  <c r="CK57" i="254" s="1"/>
  <c r="F52" i="254"/>
  <c r="CH57" i="254" s="1"/>
  <c r="C52" i="254"/>
  <c r="AM50" i="254"/>
  <c r="DO54" i="254" s="1"/>
  <c r="AJ50" i="254"/>
  <c r="DL54" i="254" s="1"/>
  <c r="AG50" i="254"/>
  <c r="AD50" i="254"/>
  <c r="DF54" i="254" s="1"/>
  <c r="AA50" i="254"/>
  <c r="DC54" i="254" s="1"/>
  <c r="X50" i="254"/>
  <c r="CZ54" i="254" s="1"/>
  <c r="U50" i="254"/>
  <c r="R50" i="254"/>
  <c r="CT54" i="254" s="1"/>
  <c r="O50" i="254"/>
  <c r="CQ54" i="254" s="1"/>
  <c r="L50" i="254"/>
  <c r="CN54" i="254" s="1"/>
  <c r="I50" i="254"/>
  <c r="F50" i="254"/>
  <c r="CH54" i="254" s="1"/>
  <c r="C50" i="254"/>
  <c r="CE54" i="254" s="1"/>
  <c r="B38" i="254"/>
  <c r="A19" i="254"/>
  <c r="CC18" i="254"/>
  <c r="A18" i="254" s="1"/>
  <c r="AN17" i="254"/>
  <c r="AK17" i="254"/>
  <c r="AH17" i="254"/>
  <c r="AE17" i="254"/>
  <c r="AB17" i="254"/>
  <c r="Y17" i="254"/>
  <c r="V17" i="254"/>
  <c r="S17" i="254"/>
  <c r="P17" i="254"/>
  <c r="M17" i="254"/>
  <c r="J17" i="254"/>
  <c r="G17" i="254"/>
  <c r="A16" i="254"/>
  <c r="A15" i="254"/>
  <c r="CC14" i="254"/>
  <c r="A14" i="254" s="1"/>
  <c r="AN13" i="254"/>
  <c r="AK13" i="254"/>
  <c r="AH13" i="254"/>
  <c r="AE13" i="254"/>
  <c r="AB13" i="254"/>
  <c r="Y13" i="254"/>
  <c r="V13" i="254"/>
  <c r="S13" i="254"/>
  <c r="P13" i="254"/>
  <c r="M13" i="254"/>
  <c r="J13" i="254"/>
  <c r="G13" i="254"/>
  <c r="A13" i="254"/>
  <c r="AN10" i="254"/>
  <c r="AK10" i="254"/>
  <c r="AH10" i="254"/>
  <c r="AE10" i="254"/>
  <c r="AB10" i="254"/>
  <c r="Y10" i="254"/>
  <c r="Y11" i="254" s="1"/>
  <c r="V10" i="254"/>
  <c r="V11" i="254" s="1"/>
  <c r="S11" i="254"/>
  <c r="P10" i="254"/>
  <c r="P11" i="254" s="1"/>
  <c r="M10" i="254"/>
  <c r="M11" i="254" s="1"/>
  <c r="J10" i="254"/>
  <c r="J11" i="254" s="1"/>
  <c r="CC9" i="254"/>
  <c r="A12" i="254" s="1"/>
  <c r="AN9" i="254"/>
  <c r="AK9" i="254"/>
  <c r="AK8" i="254" s="1"/>
  <c r="AH9" i="254"/>
  <c r="AH8" i="254" s="1"/>
  <c r="AE9" i="254"/>
  <c r="AE8" i="254" s="1"/>
  <c r="AB9" i="254"/>
  <c r="AB8" i="254" s="1"/>
  <c r="Y9" i="254"/>
  <c r="Y8" i="254" s="1"/>
  <c r="V9" i="254"/>
  <c r="V8" i="254" s="1"/>
  <c r="S9" i="254"/>
  <c r="S8" i="254" s="1"/>
  <c r="P9" i="254"/>
  <c r="P8" i="254" s="1"/>
  <c r="M9" i="254"/>
  <c r="M8" i="254" s="1"/>
  <c r="J9" i="254"/>
  <c r="J8" i="254" s="1"/>
  <c r="G9" i="254"/>
  <c r="G10" i="254" s="1"/>
  <c r="AN8" i="254"/>
  <c r="A8" i="254"/>
  <c r="AM6" i="254"/>
  <c r="I6" i="254"/>
  <c r="B6" i="254"/>
  <c r="AK83" i="254" s="1"/>
  <c r="AS83" i="254" s="1"/>
  <c r="BF83" i="254" s="1"/>
  <c r="P3" i="254"/>
  <c r="P2" i="254"/>
  <c r="AJ4" i="65"/>
  <c r="AK4" i="65"/>
  <c r="AJ5" i="65"/>
  <c r="AK5" i="65"/>
  <c r="AJ6" i="65"/>
  <c r="AK6" i="65"/>
  <c r="AJ7" i="65"/>
  <c r="AK7" i="65"/>
  <c r="AJ8" i="65"/>
  <c r="AK8" i="65"/>
  <c r="AJ9" i="65"/>
  <c r="AK9" i="65"/>
  <c r="AJ10" i="65"/>
  <c r="AK10" i="65"/>
  <c r="AJ11" i="65"/>
  <c r="AK11" i="65"/>
  <c r="AJ12" i="65"/>
  <c r="AK12" i="65"/>
  <c r="AJ13" i="65"/>
  <c r="AK13" i="65"/>
  <c r="AJ14" i="65"/>
  <c r="AK14" i="65"/>
  <c r="AJ15" i="65"/>
  <c r="AK15" i="65"/>
  <c r="AJ16" i="65"/>
  <c r="AK16" i="65"/>
  <c r="AJ17" i="65"/>
  <c r="AK17" i="65"/>
  <c r="AJ18" i="65"/>
  <c r="AK18" i="65"/>
  <c r="AJ19" i="65"/>
  <c r="AK19" i="65"/>
  <c r="AJ20" i="65"/>
  <c r="AK20" i="65"/>
  <c r="AJ21" i="65"/>
  <c r="AK21" i="65"/>
  <c r="AJ22" i="65"/>
  <c r="AK22" i="65"/>
  <c r="AJ23" i="65"/>
  <c r="AK23" i="65"/>
  <c r="AJ24" i="65"/>
  <c r="AK24" i="65"/>
  <c r="AJ25" i="65"/>
  <c r="AK25" i="65"/>
  <c r="AJ26" i="65"/>
  <c r="AK26" i="65"/>
  <c r="AJ27" i="65"/>
  <c r="AK27" i="65"/>
  <c r="AJ28" i="65"/>
  <c r="AK28" i="65"/>
  <c r="AJ29" i="65"/>
  <c r="AK29" i="65"/>
  <c r="AJ30" i="65"/>
  <c r="AK30" i="65"/>
  <c r="AJ31" i="65"/>
  <c r="AK31" i="65"/>
  <c r="AJ32" i="65"/>
  <c r="AK32" i="65"/>
  <c r="AJ33" i="65"/>
  <c r="AK33" i="65"/>
  <c r="AJ34" i="65"/>
  <c r="AK34" i="65"/>
  <c r="AJ35" i="65"/>
  <c r="AK35" i="65"/>
  <c r="AJ36" i="65"/>
  <c r="AK36" i="65"/>
  <c r="AJ37" i="65"/>
  <c r="AK37" i="65"/>
  <c r="AJ38" i="65"/>
  <c r="AK38" i="65"/>
  <c r="AJ39" i="65"/>
  <c r="AK39" i="65"/>
  <c r="AJ40" i="65"/>
  <c r="AK40" i="65"/>
  <c r="AJ41" i="65"/>
  <c r="AK41" i="65"/>
  <c r="AJ42" i="65"/>
  <c r="AK42" i="65"/>
  <c r="AJ43" i="65"/>
  <c r="AK43" i="65"/>
  <c r="AJ44" i="65"/>
  <c r="AK44" i="65"/>
  <c r="AJ45" i="65"/>
  <c r="AK45" i="65"/>
  <c r="AJ46" i="65"/>
  <c r="AK46" i="65"/>
  <c r="AJ47" i="65"/>
  <c r="AK47" i="65"/>
  <c r="AJ48" i="65"/>
  <c r="AK48" i="65"/>
  <c r="AJ49" i="65"/>
  <c r="AK49" i="65"/>
  <c r="AJ50" i="65"/>
  <c r="AK50" i="65"/>
  <c r="AJ51" i="65"/>
  <c r="AK51" i="65"/>
  <c r="AJ52" i="65"/>
  <c r="AK52" i="65"/>
  <c r="AJ53" i="65"/>
  <c r="AK53" i="65"/>
  <c r="AJ54" i="65"/>
  <c r="AK54" i="65"/>
  <c r="AJ55" i="65"/>
  <c r="AK55" i="65"/>
  <c r="AJ56" i="65"/>
  <c r="AK56" i="65"/>
  <c r="AJ57" i="65"/>
  <c r="AK57" i="65"/>
  <c r="AJ58" i="65"/>
  <c r="AK58" i="65"/>
  <c r="AJ59" i="65"/>
  <c r="AK59" i="65"/>
  <c r="AJ60" i="65"/>
  <c r="AK60" i="65"/>
  <c r="AJ61" i="65"/>
  <c r="AK61" i="65"/>
  <c r="AJ62" i="65"/>
  <c r="AK62" i="65"/>
  <c r="AJ63" i="65"/>
  <c r="AK63" i="65"/>
  <c r="AJ64" i="65"/>
  <c r="AK64" i="65"/>
  <c r="AJ65" i="65"/>
  <c r="AK65" i="65"/>
  <c r="AJ67" i="65"/>
  <c r="AK67" i="65"/>
  <c r="AJ68" i="65"/>
  <c r="AK68" i="65"/>
  <c r="AJ69" i="65"/>
  <c r="AK69" i="65"/>
  <c r="AJ70" i="65"/>
  <c r="AK70" i="65"/>
  <c r="AJ72" i="65"/>
  <c r="AK72" i="65"/>
  <c r="AK73" i="65"/>
  <c r="AJ74" i="65"/>
  <c r="AK74" i="65"/>
  <c r="AJ75" i="65"/>
  <c r="AK75" i="65"/>
  <c r="AK76" i="65"/>
  <c r="AJ77" i="65"/>
  <c r="AK77" i="65"/>
  <c r="AJ78" i="65"/>
  <c r="AK78" i="65"/>
  <c r="AJ79" i="65"/>
  <c r="AK79" i="65"/>
  <c r="AJ80" i="65"/>
  <c r="AK80" i="65"/>
  <c r="AJ82" i="65"/>
  <c r="AK82" i="65"/>
  <c r="AJ83" i="65"/>
  <c r="AJ84" i="65"/>
  <c r="AK84" i="65"/>
  <c r="AJ85" i="65"/>
  <c r="AK85" i="65"/>
  <c r="AJ86" i="65"/>
  <c r="AK86" i="65"/>
  <c r="AJ87" i="65"/>
  <c r="AK87" i="65"/>
  <c r="AJ88" i="65"/>
  <c r="AK88" i="65"/>
  <c r="AJ89" i="65"/>
  <c r="AK89" i="65"/>
  <c r="AJ90" i="65"/>
  <c r="AK90" i="65"/>
  <c r="AJ91" i="65"/>
  <c r="AK91" i="65"/>
  <c r="AJ92" i="65"/>
  <c r="AK92" i="65"/>
  <c r="AJ93" i="65"/>
  <c r="AK93" i="65"/>
  <c r="AJ94" i="65"/>
  <c r="AK94" i="65"/>
  <c r="AJ95" i="65"/>
  <c r="AK95" i="65"/>
  <c r="AJ96" i="65"/>
  <c r="AK96" i="65"/>
  <c r="AJ97" i="65"/>
  <c r="AK97" i="65"/>
  <c r="AJ98" i="65"/>
  <c r="AK98" i="65"/>
  <c r="AJ99" i="65"/>
  <c r="AK99" i="65"/>
  <c r="AJ100" i="65"/>
  <c r="AK100" i="65"/>
  <c r="AJ101" i="65"/>
  <c r="AK101" i="65"/>
  <c r="AJ102" i="65"/>
  <c r="AK102" i="65"/>
  <c r="AJ103" i="65"/>
  <c r="AK103" i="65"/>
  <c r="AJ104" i="65"/>
  <c r="AK104" i="65"/>
  <c r="AJ105" i="65"/>
  <c r="AK105" i="65"/>
  <c r="AJ106" i="65"/>
  <c r="AK106" i="65"/>
  <c r="AJ107" i="65"/>
  <c r="AK107" i="65"/>
  <c r="AJ108" i="65"/>
  <c r="AK108" i="65"/>
  <c r="AJ109" i="65"/>
  <c r="AK109" i="65"/>
  <c r="AJ110" i="65"/>
  <c r="AK110" i="65"/>
  <c r="AJ111" i="65"/>
  <c r="AK111" i="65"/>
  <c r="AJ112" i="65"/>
  <c r="AK112" i="65"/>
  <c r="AJ113" i="65"/>
  <c r="AK113" i="65"/>
  <c r="AJ114" i="65"/>
  <c r="AK114" i="65"/>
  <c r="AJ115" i="65"/>
  <c r="AK115" i="65"/>
  <c r="AJ116" i="65"/>
  <c r="AK116" i="65"/>
  <c r="AJ117" i="65"/>
  <c r="AK117" i="65"/>
  <c r="AJ118" i="65"/>
  <c r="AK118" i="65"/>
  <c r="AJ119" i="65"/>
  <c r="AK119" i="65"/>
  <c r="AJ120" i="65"/>
  <c r="AK120" i="65"/>
  <c r="AJ121" i="65"/>
  <c r="AK121" i="65"/>
  <c r="AJ122" i="65"/>
  <c r="AK122" i="65"/>
  <c r="AJ123" i="65"/>
  <c r="AK123" i="65"/>
  <c r="AJ124" i="65"/>
  <c r="AK124" i="65"/>
  <c r="AJ125" i="65"/>
  <c r="AK125" i="65"/>
  <c r="AJ126" i="65"/>
  <c r="AK126" i="65"/>
  <c r="AJ127" i="65"/>
  <c r="AK127" i="65"/>
  <c r="AJ128" i="65"/>
  <c r="AK128" i="65"/>
  <c r="AJ129" i="65"/>
  <c r="AK129" i="65"/>
  <c r="AJ130" i="65"/>
  <c r="AK130" i="65"/>
  <c r="AJ131" i="65"/>
  <c r="AK131" i="65"/>
  <c r="AJ132" i="65"/>
  <c r="AK132" i="65"/>
  <c r="AJ133" i="65"/>
  <c r="AK133" i="65"/>
  <c r="AJ134" i="65"/>
  <c r="AK134" i="65"/>
  <c r="AJ135" i="65"/>
  <c r="AK135" i="65"/>
  <c r="AJ136" i="65"/>
  <c r="AK136" i="65"/>
  <c r="AJ137" i="65"/>
  <c r="AK137" i="65"/>
  <c r="AJ138" i="65"/>
  <c r="AK138" i="65"/>
  <c r="AJ139" i="65"/>
  <c r="AK139" i="65"/>
  <c r="AI4" i="65"/>
  <c r="AI5" i="65"/>
  <c r="AI6" i="65"/>
  <c r="AI7" i="65"/>
  <c r="AI8" i="65"/>
  <c r="AI9" i="65"/>
  <c r="AI10" i="65"/>
  <c r="AI11" i="65"/>
  <c r="AI12" i="65"/>
  <c r="AI13" i="65"/>
  <c r="AI14" i="65"/>
  <c r="AI15" i="65"/>
  <c r="AI16" i="65"/>
  <c r="AI17" i="65"/>
  <c r="AI18" i="65"/>
  <c r="AI19" i="65"/>
  <c r="AI20" i="65"/>
  <c r="AI21" i="65"/>
  <c r="AI22" i="65"/>
  <c r="AI23" i="65"/>
  <c r="AI24" i="65"/>
  <c r="AI25" i="65"/>
  <c r="AI26" i="65"/>
  <c r="AI27" i="65"/>
  <c r="AI28" i="65"/>
  <c r="AI29" i="65"/>
  <c r="AI30" i="65"/>
  <c r="AI31" i="65"/>
  <c r="AI32" i="65"/>
  <c r="AI33" i="65"/>
  <c r="AI34" i="65"/>
  <c r="AI35" i="65"/>
  <c r="AI36" i="65"/>
  <c r="AI37" i="65"/>
  <c r="AI38" i="65"/>
  <c r="AI39" i="65"/>
  <c r="AI40" i="65"/>
  <c r="AI41" i="65"/>
  <c r="AI42" i="65"/>
  <c r="AI43" i="65"/>
  <c r="AI44" i="65"/>
  <c r="AI45" i="65"/>
  <c r="AI46" i="65"/>
  <c r="AI47" i="65"/>
  <c r="AI48" i="65"/>
  <c r="AI49" i="65"/>
  <c r="AI50" i="65"/>
  <c r="AI51" i="65"/>
  <c r="AI52" i="65"/>
  <c r="AI53" i="65"/>
  <c r="AI54" i="65"/>
  <c r="AI55" i="65"/>
  <c r="AI56" i="65"/>
  <c r="AI57" i="65"/>
  <c r="AI58" i="65"/>
  <c r="AI59" i="65"/>
  <c r="AI60" i="65"/>
  <c r="AI61" i="65"/>
  <c r="AI62" i="65"/>
  <c r="AI63" i="65"/>
  <c r="AI64" i="65"/>
  <c r="AI65" i="65"/>
  <c r="AI66" i="65"/>
  <c r="AJ66" i="65" s="1"/>
  <c r="AI67" i="65"/>
  <c r="AI68" i="65"/>
  <c r="AI69" i="65"/>
  <c r="AI70" i="65"/>
  <c r="AI71" i="65"/>
  <c r="AK71" i="65" s="1"/>
  <c r="AI72" i="65"/>
  <c r="AI73" i="65"/>
  <c r="AI74" i="65"/>
  <c r="AI75" i="65"/>
  <c r="AI76" i="65"/>
  <c r="AJ76" i="65" s="1"/>
  <c r="AI77" i="65"/>
  <c r="AI78" i="65"/>
  <c r="AI79" i="65"/>
  <c r="AI80" i="65"/>
  <c r="AI81" i="65"/>
  <c r="AJ81" i="65" s="1"/>
  <c r="AI82" i="65"/>
  <c r="AI83" i="65"/>
  <c r="AK83" i="65" s="1"/>
  <c r="AI84" i="65"/>
  <c r="AI85" i="65"/>
  <c r="AI86" i="65"/>
  <c r="AI87" i="65"/>
  <c r="AI88" i="65"/>
  <c r="AI89" i="65"/>
  <c r="AI90" i="65"/>
  <c r="AI91" i="65"/>
  <c r="AI92" i="65"/>
  <c r="AI93" i="65"/>
  <c r="AI94" i="65"/>
  <c r="AI95" i="65"/>
  <c r="AI96" i="65"/>
  <c r="AI97" i="65"/>
  <c r="AI98" i="65"/>
  <c r="AI99" i="65"/>
  <c r="AI100" i="65"/>
  <c r="AI101" i="65"/>
  <c r="AI102" i="65"/>
  <c r="AI103" i="65"/>
  <c r="AI104" i="65"/>
  <c r="AI105" i="65"/>
  <c r="AI106" i="65"/>
  <c r="AI107" i="65"/>
  <c r="AI108" i="65"/>
  <c r="AI109" i="65"/>
  <c r="AI110" i="65"/>
  <c r="AI111" i="65"/>
  <c r="AI112" i="65"/>
  <c r="AI113" i="65"/>
  <c r="AI114" i="65"/>
  <c r="AI115" i="65"/>
  <c r="AI116" i="65"/>
  <c r="AI117" i="65"/>
  <c r="AI118" i="65"/>
  <c r="AI119" i="65"/>
  <c r="AI120" i="65"/>
  <c r="AI121" i="65"/>
  <c r="AI122" i="65"/>
  <c r="AI123" i="65"/>
  <c r="AI124" i="65"/>
  <c r="AI125" i="65"/>
  <c r="AI126" i="65"/>
  <c r="AI127" i="65"/>
  <c r="AI128" i="65"/>
  <c r="AI129" i="65"/>
  <c r="AI130" i="65"/>
  <c r="AI131" i="65"/>
  <c r="AI132" i="65"/>
  <c r="AI133" i="65"/>
  <c r="AI134" i="65"/>
  <c r="AI135" i="65"/>
  <c r="AI136" i="65"/>
  <c r="AI137" i="65"/>
  <c r="AI138" i="65"/>
  <c r="AI139" i="65"/>
  <c r="AK3" i="65"/>
  <c r="AJ3" i="65"/>
  <c r="AI3" i="65"/>
  <c r="AV38" i="262" l="1"/>
  <c r="CQ38" i="262" s="1"/>
  <c r="G8" i="263"/>
  <c r="G8" i="262"/>
  <c r="G8" i="260"/>
  <c r="AY38" i="260"/>
  <c r="CT38" i="260" s="1"/>
  <c r="X54" i="260"/>
  <c r="AG60" i="260" s="1"/>
  <c r="AV38" i="260"/>
  <c r="CQ38" i="260" s="1"/>
  <c r="AV38" i="263"/>
  <c r="CQ38" i="263" s="1"/>
  <c r="AY38" i="263"/>
  <c r="CT38" i="263" s="1"/>
  <c r="AY38" i="262"/>
  <c r="CT38" i="262" s="1"/>
  <c r="BC47" i="262" s="1"/>
  <c r="X54" i="263"/>
  <c r="AG60" i="263" s="1"/>
  <c r="A11" i="263"/>
  <c r="CE56" i="263"/>
  <c r="X54" i="262"/>
  <c r="AG60" i="262" s="1"/>
  <c r="A11" i="262"/>
  <c r="CE56" i="262"/>
  <c r="A8" i="260"/>
  <c r="A13" i="260"/>
  <c r="A19" i="260"/>
  <c r="CN56" i="260"/>
  <c r="CH70" i="260" s="1"/>
  <c r="Q58" i="260" s="1"/>
  <c r="A11" i="260"/>
  <c r="CE56" i="260"/>
  <c r="G8" i="254"/>
  <c r="A9" i="254"/>
  <c r="A17" i="254"/>
  <c r="A11" i="254"/>
  <c r="AK81" i="65"/>
  <c r="AJ71" i="65"/>
  <c r="AK66" i="65"/>
  <c r="AL60" i="260" l="1"/>
  <c r="BC47" i="260"/>
  <c r="BC47" i="263"/>
  <c r="AL60" i="263"/>
  <c r="CE70" i="263"/>
  <c r="N58" i="263" s="1"/>
  <c r="CE60" i="263"/>
  <c r="CE70" i="262"/>
  <c r="N58" i="262" s="1"/>
  <c r="CE60" i="262"/>
  <c r="AL60" i="262"/>
  <c r="CE70" i="260"/>
  <c r="N58" i="260" s="1"/>
  <c r="CE60" i="260"/>
  <c r="CQ77" i="203"/>
  <c r="AM58" i="203" s="1"/>
  <c r="CP77" i="203"/>
  <c r="AL58" i="203" s="1"/>
  <c r="BI70" i="203"/>
  <c r="BB70" i="203"/>
  <c r="Y64" i="203"/>
  <c r="AA60" i="203"/>
  <c r="W60" i="203"/>
  <c r="DO58" i="203"/>
  <c r="DL58" i="203"/>
  <c r="DI58" i="203"/>
  <c r="CO77" i="203" s="1"/>
  <c r="AK58" i="203" s="1"/>
  <c r="DF58" i="203"/>
  <c r="CN77" i="203" s="1"/>
  <c r="AJ58" i="203" s="1"/>
  <c r="AP58" i="203"/>
  <c r="AO58" i="203"/>
  <c r="AN58" i="203"/>
  <c r="DL57" i="203"/>
  <c r="CZ57" i="203"/>
  <c r="CN57" i="203"/>
  <c r="AA57" i="203"/>
  <c r="W57" i="203"/>
  <c r="DF54" i="203"/>
  <c r="CT54" i="203"/>
  <c r="CH54" i="203"/>
  <c r="AM52" i="203"/>
  <c r="DO57" i="203" s="1"/>
  <c r="AJ52" i="203"/>
  <c r="AG52" i="203"/>
  <c r="DI57" i="203" s="1"/>
  <c r="AD52" i="203"/>
  <c r="DF57" i="203" s="1"/>
  <c r="CN70" i="203" s="1"/>
  <c r="W58" i="203" s="1"/>
  <c r="AA52" i="203"/>
  <c r="DC57" i="203" s="1"/>
  <c r="X52" i="203"/>
  <c r="U52" i="203"/>
  <c r="CW57" i="203" s="1"/>
  <c r="R52" i="203"/>
  <c r="CT57" i="203" s="1"/>
  <c r="O52" i="203"/>
  <c r="CQ57" i="203" s="1"/>
  <c r="L52" i="203"/>
  <c r="I52" i="203"/>
  <c r="CK57" i="203" s="1"/>
  <c r="F52" i="203"/>
  <c r="CH57" i="203" s="1"/>
  <c r="C52" i="203"/>
  <c r="CE57" i="203" s="1"/>
  <c r="AM50" i="203"/>
  <c r="DO54" i="203" s="1"/>
  <c r="AJ50" i="203"/>
  <c r="DL54" i="203" s="1"/>
  <c r="AG50" i="203"/>
  <c r="DI54" i="203" s="1"/>
  <c r="AD50" i="203"/>
  <c r="AA50" i="203"/>
  <c r="DC54" i="203" s="1"/>
  <c r="X50" i="203"/>
  <c r="CZ54" i="203" s="1"/>
  <c r="U50" i="203"/>
  <c r="CW54" i="203" s="1"/>
  <c r="R50" i="203"/>
  <c r="O50" i="203"/>
  <c r="CQ54" i="203" s="1"/>
  <c r="L50" i="203"/>
  <c r="CN54" i="203" s="1"/>
  <c r="I50" i="203"/>
  <c r="CK54" i="203" s="1"/>
  <c r="F50" i="203"/>
  <c r="C50" i="203"/>
  <c r="CE54" i="203" s="1"/>
  <c r="B38" i="203"/>
  <c r="CC18" i="203"/>
  <c r="A18" i="203" s="1"/>
  <c r="AN17" i="203"/>
  <c r="AK17" i="203"/>
  <c r="AH17" i="203"/>
  <c r="AE17" i="203"/>
  <c r="AB17" i="203"/>
  <c r="Y17" i="203"/>
  <c r="V17" i="203"/>
  <c r="S17" i="203"/>
  <c r="P17" i="203"/>
  <c r="M17" i="203"/>
  <c r="J17" i="203"/>
  <c r="G17" i="203"/>
  <c r="A15" i="203"/>
  <c r="CC14" i="203"/>
  <c r="A14" i="203" s="1"/>
  <c r="AN13" i="203"/>
  <c r="AK13" i="203"/>
  <c r="AH13" i="203"/>
  <c r="AE13" i="203"/>
  <c r="AB13" i="203"/>
  <c r="Y13" i="203"/>
  <c r="V13" i="203"/>
  <c r="S13" i="203"/>
  <c r="P13" i="203"/>
  <c r="M13" i="203"/>
  <c r="J13" i="203"/>
  <c r="G13" i="203"/>
  <c r="AN10" i="203"/>
  <c r="AK10" i="203"/>
  <c r="AH10" i="203"/>
  <c r="AE10" i="203"/>
  <c r="CC9" i="203"/>
  <c r="A12" i="203" s="1"/>
  <c r="AN9" i="203"/>
  <c r="AN8" i="203" s="1"/>
  <c r="AK9" i="203"/>
  <c r="AK8" i="203" s="1"/>
  <c r="AH9" i="203"/>
  <c r="AH8" i="203" s="1"/>
  <c r="AE9" i="203"/>
  <c r="AE8" i="203" s="1"/>
  <c r="AB9" i="203"/>
  <c r="AB8" i="203" s="1"/>
  <c r="Y9" i="203"/>
  <c r="Y8" i="203" s="1"/>
  <c r="V9" i="203"/>
  <c r="V8" i="203" s="1"/>
  <c r="S9" i="203"/>
  <c r="S8" i="203" s="1"/>
  <c r="P9" i="203"/>
  <c r="P8" i="203" s="1"/>
  <c r="M9" i="203"/>
  <c r="M8" i="203" s="1"/>
  <c r="J9" i="203"/>
  <c r="J8" i="203" s="1"/>
  <c r="G9" i="203"/>
  <c r="G8" i="203" s="1"/>
  <c r="AM6" i="203"/>
  <c r="I6" i="203"/>
  <c r="B6" i="203"/>
  <c r="AK83" i="203" s="1"/>
  <c r="AS83" i="203" s="1"/>
  <c r="BF83" i="203" s="1"/>
  <c r="P3" i="203"/>
  <c r="P2" i="203"/>
  <c r="AL57" i="263" l="1"/>
  <c r="AG57" i="263"/>
  <c r="AL57" i="262"/>
  <c r="AG57" i="262"/>
  <c r="AL57" i="260"/>
  <c r="AG57" i="260"/>
  <c r="G10" i="203"/>
  <c r="G11" i="203" s="1"/>
  <c r="A13" i="203"/>
  <c r="A16" i="203"/>
  <c r="A19" i="203"/>
  <c r="A8" i="203"/>
  <c r="A11" i="203"/>
  <c r="A17" i="203"/>
  <c r="A9" i="203"/>
  <c r="AE7" i="65"/>
  <c r="AC4" i="65"/>
  <c r="AD4" i="65"/>
  <c r="AE4" i="65"/>
  <c r="AF4" i="65"/>
  <c r="AG4" i="65"/>
  <c r="AH4" i="65"/>
  <c r="AC5" i="65"/>
  <c r="AD5" i="65"/>
  <c r="AE5" i="65"/>
  <c r="AF5" i="65"/>
  <c r="AG5" i="65"/>
  <c r="AH5" i="65"/>
  <c r="AC6" i="65"/>
  <c r="AD6" i="65"/>
  <c r="AE6" i="65"/>
  <c r="AF6" i="65"/>
  <c r="AG6" i="65"/>
  <c r="AH6" i="65"/>
  <c r="AC7" i="65"/>
  <c r="AD7" i="65"/>
  <c r="AF7" i="65"/>
  <c r="AG7" i="65"/>
  <c r="AH7" i="65"/>
  <c r="AC8" i="65"/>
  <c r="AD8" i="65"/>
  <c r="AE8" i="65"/>
  <c r="AF8" i="65"/>
  <c r="AG8" i="65"/>
  <c r="AH8" i="65"/>
  <c r="AC9" i="65"/>
  <c r="AD9" i="65"/>
  <c r="AE9" i="65"/>
  <c r="AF9" i="65"/>
  <c r="AG9" i="65"/>
  <c r="AH9" i="65"/>
  <c r="AC10" i="65"/>
  <c r="AD10" i="65"/>
  <c r="AE10" i="65"/>
  <c r="AF10" i="65"/>
  <c r="AG10" i="65"/>
  <c r="AH10" i="65"/>
  <c r="AC11" i="65"/>
  <c r="AD11" i="65"/>
  <c r="AE11" i="65"/>
  <c r="AF11" i="65"/>
  <c r="AG11" i="65"/>
  <c r="AH11" i="65"/>
  <c r="AC12" i="65"/>
  <c r="AD12" i="65"/>
  <c r="AE12" i="65"/>
  <c r="AF12" i="65"/>
  <c r="AG12" i="65"/>
  <c r="AH12" i="65"/>
  <c r="AC13" i="65"/>
  <c r="AD13" i="65"/>
  <c r="AE13" i="65"/>
  <c r="AF13" i="65"/>
  <c r="AG13" i="65"/>
  <c r="AH13" i="65"/>
  <c r="AC14" i="65"/>
  <c r="AD14" i="65"/>
  <c r="AE14" i="65"/>
  <c r="AF14" i="65"/>
  <c r="AG14" i="65"/>
  <c r="AH14" i="65"/>
  <c r="AC15" i="65"/>
  <c r="AD15" i="65"/>
  <c r="AE15" i="65"/>
  <c r="AF15" i="65"/>
  <c r="AG15" i="65"/>
  <c r="AH15" i="65"/>
  <c r="AC16" i="65"/>
  <c r="AD16" i="65"/>
  <c r="AE16" i="65"/>
  <c r="AF16" i="65"/>
  <c r="AG16" i="65"/>
  <c r="AH16" i="65"/>
  <c r="AC17" i="65"/>
  <c r="AD17" i="65"/>
  <c r="AE17" i="65"/>
  <c r="AF17" i="65"/>
  <c r="AG17" i="65"/>
  <c r="AH17" i="65"/>
  <c r="AC18" i="65"/>
  <c r="AD18" i="65"/>
  <c r="AE18" i="65"/>
  <c r="AF18" i="65"/>
  <c r="AG18" i="65"/>
  <c r="AH18" i="65"/>
  <c r="AC19" i="65"/>
  <c r="AD19" i="65"/>
  <c r="AE19" i="65"/>
  <c r="AF19" i="65"/>
  <c r="AG19" i="65"/>
  <c r="AH19" i="65"/>
  <c r="AC20" i="65"/>
  <c r="AD20" i="65"/>
  <c r="AE20" i="65"/>
  <c r="AF20" i="65"/>
  <c r="AG20" i="65"/>
  <c r="AH20" i="65"/>
  <c r="AC21" i="65"/>
  <c r="AD21" i="65"/>
  <c r="AE21" i="65"/>
  <c r="AF21" i="65"/>
  <c r="AG21" i="65"/>
  <c r="AH21" i="65"/>
  <c r="AC22" i="65"/>
  <c r="AD22" i="65"/>
  <c r="AE22" i="65"/>
  <c r="AF22" i="65"/>
  <c r="AG22" i="65"/>
  <c r="AH22" i="65"/>
  <c r="AC23" i="65"/>
  <c r="AD23" i="65"/>
  <c r="AE23" i="65"/>
  <c r="AF23" i="65"/>
  <c r="AG23" i="65"/>
  <c r="AH23" i="65"/>
  <c r="AC24" i="65"/>
  <c r="AD24" i="65"/>
  <c r="AE24" i="65"/>
  <c r="AF24" i="65"/>
  <c r="AG24" i="65"/>
  <c r="AH24" i="65"/>
  <c r="AC25" i="65"/>
  <c r="AD25" i="65"/>
  <c r="AE25" i="65"/>
  <c r="AF25" i="65"/>
  <c r="AG25" i="65"/>
  <c r="AH25" i="65"/>
  <c r="AC26" i="65"/>
  <c r="AD26" i="65"/>
  <c r="AE26" i="65"/>
  <c r="AF26" i="65"/>
  <c r="AG26" i="65"/>
  <c r="AH26" i="65"/>
  <c r="AC27" i="65"/>
  <c r="AD27" i="65"/>
  <c r="AE27" i="65"/>
  <c r="AF27" i="65"/>
  <c r="AG27" i="65"/>
  <c r="AH27" i="65"/>
  <c r="AC28" i="65"/>
  <c r="AD28" i="65"/>
  <c r="AE28" i="65"/>
  <c r="AF28" i="65"/>
  <c r="AG28" i="65"/>
  <c r="AH28" i="65"/>
  <c r="AC29" i="65"/>
  <c r="AD29" i="65"/>
  <c r="AE29" i="65"/>
  <c r="AF29" i="65"/>
  <c r="AG29" i="65"/>
  <c r="AH29" i="65"/>
  <c r="AC30" i="65"/>
  <c r="AD30" i="65"/>
  <c r="AE30" i="65"/>
  <c r="AF30" i="65"/>
  <c r="AG30" i="65"/>
  <c r="AH30" i="65"/>
  <c r="AC31" i="65"/>
  <c r="AD31" i="65"/>
  <c r="AE31" i="65"/>
  <c r="AF31" i="65"/>
  <c r="AG31" i="65"/>
  <c r="AH31" i="65"/>
  <c r="AC32" i="65"/>
  <c r="AD32" i="65"/>
  <c r="AE32" i="65"/>
  <c r="AF32" i="65"/>
  <c r="AG32" i="65"/>
  <c r="AH32" i="65"/>
  <c r="AC33" i="65"/>
  <c r="AD33" i="65"/>
  <c r="AE33" i="65"/>
  <c r="AF33" i="65"/>
  <c r="AG33" i="65"/>
  <c r="AH33" i="65"/>
  <c r="AC34" i="65"/>
  <c r="AD34" i="65"/>
  <c r="AE34" i="65"/>
  <c r="AF34" i="65"/>
  <c r="AG34" i="65"/>
  <c r="AH34" i="65"/>
  <c r="AC35" i="65"/>
  <c r="AD35" i="65"/>
  <c r="AE35" i="65"/>
  <c r="AF35" i="65"/>
  <c r="AG35" i="65"/>
  <c r="AH35" i="65"/>
  <c r="AC36" i="65"/>
  <c r="AD36" i="65"/>
  <c r="AE36" i="65"/>
  <c r="AF36" i="65"/>
  <c r="AG36" i="65"/>
  <c r="AH36" i="65"/>
  <c r="AC37" i="65"/>
  <c r="AD37" i="65"/>
  <c r="AE37" i="65"/>
  <c r="AF37" i="65"/>
  <c r="AG37" i="65"/>
  <c r="AH37" i="65"/>
  <c r="AC38" i="65"/>
  <c r="AD38" i="65"/>
  <c r="AE38" i="65"/>
  <c r="AF38" i="65"/>
  <c r="AG38" i="65"/>
  <c r="AH38" i="65"/>
  <c r="AC39" i="65"/>
  <c r="AD39" i="65"/>
  <c r="AE39" i="65"/>
  <c r="AF39" i="65"/>
  <c r="AG39" i="65"/>
  <c r="AH39" i="65"/>
  <c r="AC40" i="65"/>
  <c r="AD40" i="65"/>
  <c r="AE40" i="65"/>
  <c r="AF40" i="65"/>
  <c r="AG40" i="65"/>
  <c r="AH40" i="65"/>
  <c r="AC41" i="65"/>
  <c r="AD41" i="65"/>
  <c r="AE41" i="65"/>
  <c r="AF41" i="65"/>
  <c r="AG41" i="65"/>
  <c r="AH41" i="65"/>
  <c r="AC42" i="65"/>
  <c r="AD42" i="65"/>
  <c r="AE42" i="65"/>
  <c r="AF42" i="65"/>
  <c r="AG42" i="65"/>
  <c r="AH42" i="65"/>
  <c r="AC43" i="65"/>
  <c r="AD43" i="65"/>
  <c r="AE43" i="65"/>
  <c r="AF43" i="65"/>
  <c r="AG43" i="65"/>
  <c r="AH43" i="65"/>
  <c r="AC44" i="65"/>
  <c r="AD44" i="65"/>
  <c r="AE44" i="65"/>
  <c r="AF44" i="65"/>
  <c r="AG44" i="65"/>
  <c r="AH44" i="65"/>
  <c r="AC45" i="65"/>
  <c r="AD45" i="65"/>
  <c r="AE45" i="65"/>
  <c r="AF45" i="65"/>
  <c r="AG45" i="65"/>
  <c r="AH45" i="65"/>
  <c r="AC46" i="65"/>
  <c r="AD46" i="65"/>
  <c r="AE46" i="65"/>
  <c r="AF46" i="65"/>
  <c r="AG46" i="65"/>
  <c r="AH46" i="65"/>
  <c r="AC47" i="65"/>
  <c r="AD47" i="65"/>
  <c r="AE47" i="65"/>
  <c r="AF47" i="65"/>
  <c r="AG47" i="65"/>
  <c r="AH47" i="65"/>
  <c r="AC48" i="65"/>
  <c r="AD48" i="65"/>
  <c r="AE48" i="65"/>
  <c r="AF48" i="65"/>
  <c r="AG48" i="65"/>
  <c r="AH48" i="65"/>
  <c r="AC49" i="65"/>
  <c r="AD49" i="65"/>
  <c r="AE49" i="65"/>
  <c r="AF49" i="65"/>
  <c r="AG49" i="65"/>
  <c r="AH49" i="65"/>
  <c r="AC50" i="65"/>
  <c r="AD50" i="65"/>
  <c r="AE50" i="65"/>
  <c r="AF50" i="65"/>
  <c r="AG50" i="65"/>
  <c r="AH50" i="65"/>
  <c r="AC51" i="65"/>
  <c r="AD51" i="65"/>
  <c r="AE51" i="65"/>
  <c r="AF51" i="65"/>
  <c r="AG51" i="65"/>
  <c r="AH51" i="65"/>
  <c r="AC52" i="65"/>
  <c r="AD52" i="65"/>
  <c r="AE52" i="65"/>
  <c r="AF52" i="65"/>
  <c r="AG52" i="65"/>
  <c r="AH52" i="65"/>
  <c r="AC53" i="65"/>
  <c r="AD53" i="65"/>
  <c r="AE53" i="65"/>
  <c r="AF53" i="65"/>
  <c r="AG53" i="65"/>
  <c r="AH53" i="65"/>
  <c r="AC54" i="65"/>
  <c r="AD54" i="65"/>
  <c r="AE54" i="65"/>
  <c r="AF54" i="65"/>
  <c r="AG54" i="65"/>
  <c r="AH54" i="65"/>
  <c r="AC55" i="65"/>
  <c r="AD55" i="65"/>
  <c r="AE55" i="65"/>
  <c r="AF55" i="65"/>
  <c r="AG55" i="65"/>
  <c r="AH55" i="65"/>
  <c r="AC56" i="65"/>
  <c r="AD56" i="65"/>
  <c r="AE56" i="65"/>
  <c r="AF56" i="65"/>
  <c r="AG56" i="65"/>
  <c r="AH56" i="65"/>
  <c r="AC57" i="65"/>
  <c r="AD57" i="65"/>
  <c r="AE57" i="65"/>
  <c r="AF57" i="65"/>
  <c r="AG57" i="65"/>
  <c r="AH57" i="65"/>
  <c r="AC58" i="65"/>
  <c r="AD58" i="65"/>
  <c r="AE58" i="65"/>
  <c r="AF58" i="65"/>
  <c r="AG58" i="65"/>
  <c r="AH58" i="65"/>
  <c r="AC59" i="65"/>
  <c r="AD59" i="65"/>
  <c r="AE59" i="65"/>
  <c r="AF59" i="65"/>
  <c r="AG59" i="65"/>
  <c r="AH59" i="65"/>
  <c r="AC60" i="65"/>
  <c r="AD60" i="65"/>
  <c r="AE60" i="65"/>
  <c r="AF60" i="65"/>
  <c r="AG60" i="65"/>
  <c r="AH60" i="65"/>
  <c r="AC61" i="65"/>
  <c r="AD61" i="65"/>
  <c r="AE61" i="65"/>
  <c r="AF61" i="65"/>
  <c r="AG61" i="65"/>
  <c r="AH61" i="65"/>
  <c r="AC62" i="65"/>
  <c r="AD62" i="65"/>
  <c r="AE62" i="65"/>
  <c r="AF62" i="65"/>
  <c r="AG62" i="65"/>
  <c r="AH62" i="65"/>
  <c r="AC63" i="65"/>
  <c r="AD63" i="65"/>
  <c r="AE63" i="65"/>
  <c r="AF63" i="65"/>
  <c r="AG63" i="65"/>
  <c r="AH63" i="65"/>
  <c r="AC64" i="65"/>
  <c r="AD64" i="65"/>
  <c r="AE64" i="65"/>
  <c r="AF64" i="65"/>
  <c r="AG64" i="65"/>
  <c r="AH64" i="65"/>
  <c r="AC65" i="65"/>
  <c r="AD65" i="65"/>
  <c r="AE65" i="65"/>
  <c r="AF65" i="65"/>
  <c r="AG65" i="65"/>
  <c r="AH65" i="65"/>
  <c r="AC66" i="65"/>
  <c r="AD66" i="65"/>
  <c r="AE66" i="65"/>
  <c r="AF66" i="65"/>
  <c r="AG66" i="65"/>
  <c r="AH66" i="65"/>
  <c r="AC67" i="65"/>
  <c r="AD67" i="65"/>
  <c r="AE67" i="65"/>
  <c r="AF67" i="65"/>
  <c r="AG67" i="65"/>
  <c r="AH67" i="65"/>
  <c r="AC68" i="65"/>
  <c r="AD68" i="65"/>
  <c r="AE68" i="65"/>
  <c r="AF68" i="65"/>
  <c r="AG68" i="65"/>
  <c r="AH68" i="65"/>
  <c r="AC69" i="65"/>
  <c r="AD69" i="65"/>
  <c r="AE69" i="65"/>
  <c r="AF69" i="65"/>
  <c r="AG69" i="65"/>
  <c r="AH69" i="65"/>
  <c r="AC70" i="65"/>
  <c r="AD70" i="65"/>
  <c r="AE70" i="65"/>
  <c r="AF70" i="65"/>
  <c r="AG70" i="65"/>
  <c r="AH70" i="65"/>
  <c r="AC71" i="65"/>
  <c r="AD71" i="65"/>
  <c r="AE71" i="65"/>
  <c r="AF71" i="65"/>
  <c r="AG71" i="65"/>
  <c r="AH71" i="65"/>
  <c r="AC72" i="65"/>
  <c r="AD72" i="65"/>
  <c r="AE72" i="65"/>
  <c r="AF72" i="65"/>
  <c r="AG72" i="65"/>
  <c r="AH72" i="65"/>
  <c r="AC73" i="65"/>
  <c r="AD73" i="65"/>
  <c r="AE73" i="65"/>
  <c r="AF73" i="65"/>
  <c r="AG73" i="65"/>
  <c r="AH73" i="65"/>
  <c r="AC74" i="65"/>
  <c r="AD74" i="65"/>
  <c r="AE74" i="65"/>
  <c r="AF74" i="65"/>
  <c r="AG74" i="65"/>
  <c r="AH74" i="65"/>
  <c r="AC75" i="65"/>
  <c r="AD75" i="65"/>
  <c r="AE75" i="65"/>
  <c r="AF75" i="65"/>
  <c r="AG75" i="65"/>
  <c r="AH75" i="65"/>
  <c r="AC76" i="65"/>
  <c r="AD76" i="65"/>
  <c r="AE76" i="65"/>
  <c r="AF76" i="65"/>
  <c r="AG76" i="65"/>
  <c r="AH76" i="65"/>
  <c r="AC77" i="65"/>
  <c r="AD77" i="65"/>
  <c r="AE77" i="65"/>
  <c r="AF77" i="65"/>
  <c r="AG77" i="65"/>
  <c r="AH77" i="65"/>
  <c r="AC78" i="65"/>
  <c r="AD78" i="65"/>
  <c r="AE78" i="65"/>
  <c r="AF78" i="65"/>
  <c r="AG78" i="65"/>
  <c r="AH78" i="65"/>
  <c r="AC79" i="65"/>
  <c r="AD79" i="65"/>
  <c r="AE79" i="65"/>
  <c r="AF79" i="65"/>
  <c r="AG79" i="65"/>
  <c r="AH79" i="65"/>
  <c r="AC80" i="65"/>
  <c r="AD80" i="65"/>
  <c r="AE80" i="65"/>
  <c r="AF80" i="65"/>
  <c r="AG80" i="65"/>
  <c r="AH80" i="65"/>
  <c r="AC81" i="65"/>
  <c r="AD81" i="65"/>
  <c r="AE81" i="65"/>
  <c r="AF81" i="65"/>
  <c r="AG81" i="65"/>
  <c r="AH81" i="65"/>
  <c r="AC82" i="65"/>
  <c r="AD82" i="65"/>
  <c r="AE82" i="65"/>
  <c r="AF82" i="65"/>
  <c r="AG82" i="65"/>
  <c r="AH82" i="65"/>
  <c r="AC83" i="65"/>
  <c r="AD83" i="65"/>
  <c r="AE83" i="65"/>
  <c r="AF83" i="65"/>
  <c r="AG83" i="65"/>
  <c r="AH83" i="65"/>
  <c r="AC84" i="65"/>
  <c r="AD84" i="65"/>
  <c r="AE84" i="65"/>
  <c r="AF84" i="65"/>
  <c r="AG84" i="65"/>
  <c r="AH84" i="65"/>
  <c r="AC85" i="65"/>
  <c r="AD85" i="65"/>
  <c r="AE85" i="65"/>
  <c r="AF85" i="65"/>
  <c r="AG85" i="65"/>
  <c r="AH85" i="65"/>
  <c r="AC86" i="65"/>
  <c r="AD86" i="65"/>
  <c r="AE86" i="65"/>
  <c r="AF86" i="65"/>
  <c r="AG86" i="65"/>
  <c r="AH86" i="65"/>
  <c r="AC87" i="65"/>
  <c r="AD87" i="65"/>
  <c r="AE87" i="65"/>
  <c r="AF87" i="65"/>
  <c r="AG87" i="65"/>
  <c r="AH87" i="65"/>
  <c r="AC88" i="65"/>
  <c r="AD88" i="65"/>
  <c r="AE88" i="65"/>
  <c r="AF88" i="65"/>
  <c r="AG88" i="65"/>
  <c r="AH88" i="65"/>
  <c r="AC89" i="65"/>
  <c r="AD89" i="65"/>
  <c r="AE89" i="65"/>
  <c r="AF89" i="65"/>
  <c r="AG89" i="65"/>
  <c r="AH89" i="65"/>
  <c r="AC90" i="65"/>
  <c r="AD90" i="65"/>
  <c r="AE90" i="65"/>
  <c r="AF90" i="65"/>
  <c r="AG90" i="65"/>
  <c r="AH90" i="65"/>
  <c r="AC91" i="65"/>
  <c r="AD91" i="65"/>
  <c r="AE91" i="65"/>
  <c r="AF91" i="65"/>
  <c r="AG91" i="65"/>
  <c r="AH91" i="65"/>
  <c r="AC92" i="65"/>
  <c r="AD92" i="65"/>
  <c r="AE92" i="65"/>
  <c r="AF92" i="65"/>
  <c r="AG92" i="65"/>
  <c r="AH92" i="65"/>
  <c r="AC93" i="65"/>
  <c r="AD93" i="65"/>
  <c r="AE93" i="65"/>
  <c r="AF93" i="65"/>
  <c r="AG93" i="65"/>
  <c r="AH93" i="65"/>
  <c r="AC94" i="65"/>
  <c r="AD94" i="65"/>
  <c r="AE94" i="65"/>
  <c r="AF94" i="65"/>
  <c r="AG94" i="65"/>
  <c r="AH94" i="65"/>
  <c r="AC95" i="65"/>
  <c r="AD95" i="65"/>
  <c r="AE95" i="65"/>
  <c r="AF95" i="65"/>
  <c r="AG95" i="65"/>
  <c r="AH95" i="65"/>
  <c r="AC96" i="65"/>
  <c r="AD96" i="65"/>
  <c r="AE96" i="65"/>
  <c r="AF96" i="65"/>
  <c r="AG96" i="65"/>
  <c r="AH96" i="65"/>
  <c r="AC97" i="65"/>
  <c r="AD97" i="65"/>
  <c r="AE97" i="65"/>
  <c r="AF97" i="65"/>
  <c r="AG97" i="65"/>
  <c r="AH97" i="65"/>
  <c r="AC98" i="65"/>
  <c r="AD98" i="65"/>
  <c r="AE98" i="65"/>
  <c r="AF98" i="65"/>
  <c r="AG98" i="65"/>
  <c r="AH98" i="65"/>
  <c r="AC99" i="65"/>
  <c r="AD99" i="65"/>
  <c r="AE99" i="65"/>
  <c r="AF99" i="65"/>
  <c r="AG99" i="65"/>
  <c r="AH99" i="65"/>
  <c r="AC100" i="65"/>
  <c r="AD100" i="65"/>
  <c r="AE100" i="65"/>
  <c r="AF100" i="65"/>
  <c r="AG100" i="65"/>
  <c r="AH100" i="65"/>
  <c r="AC101" i="65"/>
  <c r="AD101" i="65"/>
  <c r="AE101" i="65"/>
  <c r="AF101" i="65"/>
  <c r="AG101" i="65"/>
  <c r="AH101" i="65"/>
  <c r="AC102" i="65"/>
  <c r="AD102" i="65"/>
  <c r="AE102" i="65"/>
  <c r="AF102" i="65"/>
  <c r="AG102" i="65"/>
  <c r="AH102" i="65"/>
  <c r="AC103" i="65"/>
  <c r="AD103" i="65"/>
  <c r="AE103" i="65"/>
  <c r="AF103" i="65"/>
  <c r="AG103" i="65"/>
  <c r="AH103" i="65"/>
  <c r="AC104" i="65"/>
  <c r="AD104" i="65"/>
  <c r="AE104" i="65"/>
  <c r="AF104" i="65"/>
  <c r="AG104" i="65"/>
  <c r="AH104" i="65"/>
  <c r="AC105" i="65"/>
  <c r="AD105" i="65"/>
  <c r="AE105" i="65"/>
  <c r="AF105" i="65"/>
  <c r="AG105" i="65"/>
  <c r="AH105" i="65"/>
  <c r="AC106" i="65"/>
  <c r="AD106" i="65"/>
  <c r="AE106" i="65"/>
  <c r="AF106" i="65"/>
  <c r="AG106" i="65"/>
  <c r="AH106" i="65"/>
  <c r="AC107" i="65"/>
  <c r="AD107" i="65"/>
  <c r="AE107" i="65"/>
  <c r="AF107" i="65"/>
  <c r="AG107" i="65"/>
  <c r="AH107" i="65"/>
  <c r="AC108" i="65"/>
  <c r="AD108" i="65"/>
  <c r="AE108" i="65"/>
  <c r="AF108" i="65"/>
  <c r="AG108" i="65"/>
  <c r="AH108" i="65"/>
  <c r="AC109" i="65"/>
  <c r="AD109" i="65"/>
  <c r="AE109" i="65"/>
  <c r="AF109" i="65"/>
  <c r="AG109" i="65"/>
  <c r="AH109" i="65"/>
  <c r="AC110" i="65"/>
  <c r="AD110" i="65"/>
  <c r="AE110" i="65"/>
  <c r="AF110" i="65"/>
  <c r="AG110" i="65"/>
  <c r="AH110" i="65"/>
  <c r="AC111" i="65"/>
  <c r="AD111" i="65"/>
  <c r="AE111" i="65"/>
  <c r="AF111" i="65"/>
  <c r="AG111" i="65"/>
  <c r="AH111" i="65"/>
  <c r="AC112" i="65"/>
  <c r="AD112" i="65"/>
  <c r="AE112" i="65"/>
  <c r="AF112" i="65"/>
  <c r="AG112" i="65"/>
  <c r="AH112" i="65"/>
  <c r="AC113" i="65"/>
  <c r="AD113" i="65"/>
  <c r="AE113" i="65"/>
  <c r="AF113" i="65"/>
  <c r="AG113" i="65"/>
  <c r="AH113" i="65"/>
  <c r="AC114" i="65"/>
  <c r="AD114" i="65"/>
  <c r="AE114" i="65"/>
  <c r="AF114" i="65"/>
  <c r="AG114" i="65"/>
  <c r="AH114" i="65"/>
  <c r="AC115" i="65"/>
  <c r="AD115" i="65"/>
  <c r="AE115" i="65"/>
  <c r="AF115" i="65"/>
  <c r="AG115" i="65"/>
  <c r="AH115" i="65"/>
  <c r="AC116" i="65"/>
  <c r="AD116" i="65"/>
  <c r="AE116" i="65"/>
  <c r="AF116" i="65"/>
  <c r="AG116" i="65"/>
  <c r="AH116" i="65"/>
  <c r="AC117" i="65"/>
  <c r="AD117" i="65"/>
  <c r="AE117" i="65"/>
  <c r="AF117" i="65"/>
  <c r="AG117" i="65"/>
  <c r="AH117" i="65"/>
  <c r="AC118" i="65"/>
  <c r="AD118" i="65"/>
  <c r="AE118" i="65"/>
  <c r="AF118" i="65"/>
  <c r="AG118" i="65"/>
  <c r="AH118" i="65"/>
  <c r="AC119" i="65"/>
  <c r="AD119" i="65"/>
  <c r="AE119" i="65"/>
  <c r="AF119" i="65"/>
  <c r="AG119" i="65"/>
  <c r="AH119" i="65"/>
  <c r="AC120" i="65"/>
  <c r="AD120" i="65"/>
  <c r="AE120" i="65"/>
  <c r="AF120" i="65"/>
  <c r="AG120" i="65"/>
  <c r="AH120" i="65"/>
  <c r="AC121" i="65"/>
  <c r="AD121" i="65"/>
  <c r="AE121" i="65"/>
  <c r="AF121" i="65"/>
  <c r="AG121" i="65"/>
  <c r="AH121" i="65"/>
  <c r="AC122" i="65"/>
  <c r="AD122" i="65"/>
  <c r="AE122" i="65"/>
  <c r="AF122" i="65"/>
  <c r="AG122" i="65"/>
  <c r="AH122" i="65"/>
  <c r="AC123" i="65"/>
  <c r="AD123" i="65"/>
  <c r="AE123" i="65"/>
  <c r="AF123" i="65"/>
  <c r="AG123" i="65"/>
  <c r="AH123" i="65"/>
  <c r="AC124" i="65"/>
  <c r="AD124" i="65"/>
  <c r="AE124" i="65"/>
  <c r="AF124" i="65"/>
  <c r="AG124" i="65"/>
  <c r="AH124" i="65"/>
  <c r="AC125" i="65"/>
  <c r="AD125" i="65"/>
  <c r="AE125" i="65"/>
  <c r="AF125" i="65"/>
  <c r="AG125" i="65"/>
  <c r="AH125" i="65"/>
  <c r="AC126" i="65"/>
  <c r="AD126" i="65"/>
  <c r="AE126" i="65"/>
  <c r="AF126" i="65"/>
  <c r="AG126" i="65"/>
  <c r="AH126" i="65"/>
  <c r="AC127" i="65"/>
  <c r="AD127" i="65"/>
  <c r="AE127" i="65"/>
  <c r="AF127" i="65"/>
  <c r="AG127" i="65"/>
  <c r="AH127" i="65"/>
  <c r="AC128" i="65"/>
  <c r="AD128" i="65"/>
  <c r="AE128" i="65"/>
  <c r="AF128" i="65"/>
  <c r="AG128" i="65"/>
  <c r="AH128" i="65"/>
  <c r="AC129" i="65"/>
  <c r="AD129" i="65"/>
  <c r="AE129" i="65"/>
  <c r="AF129" i="65"/>
  <c r="AG129" i="65"/>
  <c r="AH129" i="65"/>
  <c r="AC130" i="65"/>
  <c r="AD130" i="65"/>
  <c r="AE130" i="65"/>
  <c r="AF130" i="65"/>
  <c r="AG130" i="65"/>
  <c r="AH130" i="65"/>
  <c r="AC131" i="65"/>
  <c r="AD131" i="65"/>
  <c r="AE131" i="65"/>
  <c r="AF131" i="65"/>
  <c r="AG131" i="65"/>
  <c r="AH131" i="65"/>
  <c r="AC132" i="65"/>
  <c r="AD132" i="65"/>
  <c r="AE132" i="65"/>
  <c r="AF132" i="65"/>
  <c r="AG132" i="65"/>
  <c r="AH132" i="65"/>
  <c r="AC133" i="65"/>
  <c r="AD133" i="65"/>
  <c r="AE133" i="65"/>
  <c r="AF133" i="65"/>
  <c r="AG133" i="65"/>
  <c r="AH133" i="65"/>
  <c r="AC134" i="65"/>
  <c r="AD134" i="65"/>
  <c r="AE134" i="65"/>
  <c r="AF134" i="65"/>
  <c r="AG134" i="65"/>
  <c r="AH134" i="65"/>
  <c r="AC135" i="65"/>
  <c r="AD135" i="65"/>
  <c r="AE135" i="65"/>
  <c r="AF135" i="65"/>
  <c r="AG135" i="65"/>
  <c r="AH135" i="65"/>
  <c r="AC136" i="65"/>
  <c r="AD136" i="65"/>
  <c r="AE136" i="65"/>
  <c r="AF136" i="65"/>
  <c r="AG136" i="65"/>
  <c r="AH136" i="65"/>
  <c r="AC137" i="65"/>
  <c r="AD137" i="65"/>
  <c r="AE137" i="65"/>
  <c r="AF137" i="65"/>
  <c r="AG137" i="65"/>
  <c r="AH137" i="65"/>
  <c r="AC138" i="65"/>
  <c r="AD138" i="65"/>
  <c r="AE138" i="65"/>
  <c r="AF138" i="65"/>
  <c r="AG138" i="65"/>
  <c r="AH138" i="65"/>
  <c r="AC139" i="65"/>
  <c r="AD139" i="65"/>
  <c r="AE139" i="65"/>
  <c r="AF139" i="65"/>
  <c r="AG139" i="65"/>
  <c r="AH139" i="65"/>
  <c r="Z7" i="65"/>
  <c r="AA7" i="65"/>
  <c r="Z8" i="65"/>
  <c r="AA8" i="65"/>
  <c r="Z9" i="65"/>
  <c r="AA9" i="65"/>
  <c r="Z10" i="65"/>
  <c r="AA10" i="65"/>
  <c r="Z11" i="65"/>
  <c r="AA11" i="65"/>
  <c r="Z12" i="65"/>
  <c r="AA12" i="65"/>
  <c r="Z13" i="65"/>
  <c r="AA13" i="65"/>
  <c r="Z14" i="65"/>
  <c r="AA14" i="65"/>
  <c r="Z15" i="65"/>
  <c r="AA15" i="65"/>
  <c r="Z16" i="65"/>
  <c r="AA16" i="65"/>
  <c r="Z17" i="65"/>
  <c r="AA17" i="65"/>
  <c r="Z18" i="65"/>
  <c r="AA18" i="65"/>
  <c r="Z19" i="65"/>
  <c r="AA19" i="65"/>
  <c r="Z20" i="65"/>
  <c r="AA20" i="65"/>
  <c r="Z21" i="65"/>
  <c r="AA21" i="65"/>
  <c r="Z22" i="65"/>
  <c r="AA22" i="65"/>
  <c r="Z23" i="65"/>
  <c r="AA23" i="65"/>
  <c r="Z24" i="65"/>
  <c r="AA24" i="65"/>
  <c r="Z25" i="65"/>
  <c r="AA25" i="65"/>
  <c r="Z26" i="65"/>
  <c r="AA26" i="65"/>
  <c r="Z27" i="65"/>
  <c r="AA27" i="65"/>
  <c r="Z28" i="65"/>
  <c r="AA28" i="65"/>
  <c r="Z29" i="65"/>
  <c r="AA29" i="65"/>
  <c r="Z30" i="65"/>
  <c r="AA30" i="65"/>
  <c r="Z31" i="65"/>
  <c r="AA31" i="65"/>
  <c r="Z32" i="65"/>
  <c r="AA32" i="65"/>
  <c r="Z33" i="65"/>
  <c r="AA33" i="65"/>
  <c r="Z34" i="65"/>
  <c r="AA34" i="65"/>
  <c r="Z35" i="65"/>
  <c r="AA35" i="65"/>
  <c r="Z36" i="65"/>
  <c r="AA36" i="65"/>
  <c r="Z37" i="65"/>
  <c r="AA37" i="65"/>
  <c r="Z38" i="65"/>
  <c r="AA38" i="65"/>
  <c r="Z39" i="65"/>
  <c r="AA39" i="65"/>
  <c r="Z40" i="65"/>
  <c r="AA40" i="65"/>
  <c r="Z41" i="65"/>
  <c r="AA41" i="65"/>
  <c r="Z42" i="65"/>
  <c r="AA42" i="65"/>
  <c r="Z43" i="65"/>
  <c r="AA43" i="65"/>
  <c r="Z44" i="65"/>
  <c r="AA44" i="65"/>
  <c r="Z45" i="65"/>
  <c r="AA45" i="65"/>
  <c r="Z46" i="65"/>
  <c r="AA46" i="65"/>
  <c r="Z47" i="65"/>
  <c r="AA47" i="65"/>
  <c r="Z48" i="65"/>
  <c r="AA48" i="65"/>
  <c r="Z49" i="65"/>
  <c r="AA49" i="65"/>
  <c r="Z50" i="65"/>
  <c r="AA50" i="65"/>
  <c r="Z51" i="65"/>
  <c r="AA51" i="65"/>
  <c r="Z52" i="65"/>
  <c r="AA52" i="65"/>
  <c r="Z53" i="65"/>
  <c r="AA53" i="65"/>
  <c r="Z54" i="65"/>
  <c r="AA54" i="65"/>
  <c r="Z55" i="65"/>
  <c r="AA55" i="65"/>
  <c r="Z56" i="65"/>
  <c r="AA56" i="65"/>
  <c r="Z57" i="65"/>
  <c r="AA57" i="65"/>
  <c r="Z58" i="65"/>
  <c r="AA58" i="65"/>
  <c r="Z59" i="65"/>
  <c r="AA59" i="65"/>
  <c r="Z60" i="65"/>
  <c r="AA60" i="65"/>
  <c r="Z61" i="65"/>
  <c r="AA61" i="65"/>
  <c r="Z62" i="65"/>
  <c r="AA62" i="65"/>
  <c r="Z63" i="65"/>
  <c r="AA63" i="65"/>
  <c r="Z64" i="65"/>
  <c r="AA64" i="65"/>
  <c r="Z65" i="65"/>
  <c r="AA65" i="65"/>
  <c r="Z66" i="65"/>
  <c r="AA66" i="65"/>
  <c r="Z67" i="65"/>
  <c r="AA67" i="65"/>
  <c r="Z68" i="65"/>
  <c r="AA68" i="65"/>
  <c r="Z69" i="65"/>
  <c r="AA69" i="65"/>
  <c r="Z70" i="65"/>
  <c r="AA70" i="65"/>
  <c r="Z71" i="65"/>
  <c r="AA71" i="65"/>
  <c r="Z72" i="65"/>
  <c r="AA72" i="65"/>
  <c r="Z73" i="65"/>
  <c r="AA73" i="65"/>
  <c r="Z74" i="65"/>
  <c r="AA74" i="65"/>
  <c r="Z75" i="65"/>
  <c r="AA75" i="65"/>
  <c r="Z76" i="65"/>
  <c r="AA76" i="65"/>
  <c r="Z77" i="65"/>
  <c r="AA77" i="65"/>
  <c r="Z78" i="65"/>
  <c r="AA78" i="65"/>
  <c r="Z79" i="65"/>
  <c r="AA79" i="65"/>
  <c r="Z80" i="65"/>
  <c r="AA80" i="65"/>
  <c r="Z81" i="65"/>
  <c r="AA81" i="65"/>
  <c r="Z82" i="65"/>
  <c r="AA82" i="65"/>
  <c r="Z83" i="65"/>
  <c r="AA83" i="65"/>
  <c r="Z84" i="65"/>
  <c r="AA84" i="65"/>
  <c r="Z85" i="65"/>
  <c r="AA85" i="65"/>
  <c r="Z86" i="65"/>
  <c r="AA86" i="65"/>
  <c r="Z87" i="65"/>
  <c r="AA87" i="65"/>
  <c r="Z88" i="65"/>
  <c r="AA88" i="65"/>
  <c r="Z89" i="65"/>
  <c r="AA89" i="65"/>
  <c r="Z90" i="65"/>
  <c r="AA90" i="65"/>
  <c r="Z91" i="65"/>
  <c r="AA91" i="65"/>
  <c r="Z92" i="65"/>
  <c r="AA92" i="65"/>
  <c r="Z93" i="65"/>
  <c r="AA93" i="65"/>
  <c r="Z94" i="65"/>
  <c r="AA94" i="65"/>
  <c r="Z95" i="65"/>
  <c r="AA95" i="65"/>
  <c r="Z96" i="65"/>
  <c r="AA96" i="65"/>
  <c r="Z97" i="65"/>
  <c r="AA97" i="65"/>
  <c r="Z98" i="65"/>
  <c r="AA98" i="65"/>
  <c r="Z99" i="65"/>
  <c r="AA99" i="65"/>
  <c r="Z100" i="65"/>
  <c r="AA100" i="65"/>
  <c r="Z101" i="65"/>
  <c r="AA101" i="65"/>
  <c r="Z102" i="65"/>
  <c r="AA102" i="65"/>
  <c r="Z103" i="65"/>
  <c r="AA103" i="65"/>
  <c r="Z104" i="65"/>
  <c r="AA104" i="65"/>
  <c r="Z105" i="65"/>
  <c r="AA105" i="65"/>
  <c r="Z106" i="65"/>
  <c r="AA106" i="65"/>
  <c r="Z107" i="65"/>
  <c r="AA107" i="65"/>
  <c r="Z108" i="65"/>
  <c r="AA108" i="65"/>
  <c r="Z109" i="65"/>
  <c r="AA109" i="65"/>
  <c r="Z110" i="65"/>
  <c r="AA110" i="65"/>
  <c r="Z111" i="65"/>
  <c r="AA111" i="65"/>
  <c r="Z112" i="65"/>
  <c r="AA112" i="65"/>
  <c r="Z113" i="65"/>
  <c r="AA113" i="65"/>
  <c r="Z114" i="65"/>
  <c r="AA114" i="65"/>
  <c r="Z115" i="65"/>
  <c r="AA115" i="65"/>
  <c r="Z116" i="65"/>
  <c r="AA116" i="65"/>
  <c r="Z117" i="65"/>
  <c r="AA117" i="65"/>
  <c r="Z118" i="65"/>
  <c r="AA118" i="65"/>
  <c r="Z119" i="65"/>
  <c r="AA119" i="65"/>
  <c r="Z120" i="65"/>
  <c r="AA120" i="65"/>
  <c r="Z121" i="65"/>
  <c r="AA121" i="65"/>
  <c r="Z122" i="65"/>
  <c r="AA122" i="65"/>
  <c r="Z123" i="65"/>
  <c r="AA123" i="65"/>
  <c r="Z124" i="65"/>
  <c r="AA124" i="65"/>
  <c r="Z125" i="65"/>
  <c r="AA125" i="65"/>
  <c r="Z126" i="65"/>
  <c r="AA126" i="65"/>
  <c r="Z127" i="65"/>
  <c r="AA127" i="65"/>
  <c r="Z128" i="65"/>
  <c r="AA128" i="65"/>
  <c r="Z129" i="65"/>
  <c r="AA129" i="65"/>
  <c r="Z130" i="65"/>
  <c r="AA130" i="65"/>
  <c r="Z131" i="65"/>
  <c r="AA131" i="65"/>
  <c r="Z132" i="65"/>
  <c r="AA132" i="65"/>
  <c r="Z133" i="65"/>
  <c r="AA133" i="65"/>
  <c r="Z134" i="65"/>
  <c r="AA134" i="65"/>
  <c r="Z135" i="65"/>
  <c r="AA135" i="65"/>
  <c r="Z136" i="65"/>
  <c r="AA136" i="65"/>
  <c r="Z137" i="65"/>
  <c r="AA137" i="65"/>
  <c r="Z138" i="65"/>
  <c r="AA138" i="65"/>
  <c r="Z139" i="65"/>
  <c r="AA139" i="65"/>
  <c r="Z4" i="65"/>
  <c r="AA4" i="65"/>
  <c r="Z5" i="65"/>
  <c r="AA5" i="65"/>
  <c r="Z6" i="65"/>
  <c r="AA6" i="65"/>
  <c r="AH3" i="65"/>
  <c r="AG3" i="65"/>
  <c r="AF3" i="65"/>
  <c r="AE3" i="65"/>
  <c r="AD3" i="65"/>
  <c r="AC3" i="65"/>
  <c r="AA3" i="65"/>
  <c r="Z3" i="65"/>
  <c r="A22" i="65" l="1"/>
  <c r="A23" i="65"/>
  <c r="A24" i="65"/>
  <c r="A25" i="65"/>
  <c r="A26" i="65"/>
  <c r="A27" i="65"/>
  <c r="A28" i="65"/>
  <c r="A29" i="65"/>
  <c r="A30" i="65"/>
  <c r="A31" i="65"/>
  <c r="A32" i="65"/>
  <c r="A33" i="65"/>
  <c r="A34" i="65"/>
  <c r="A35" i="65"/>
  <c r="A36" i="65"/>
  <c r="A37" i="65"/>
  <c r="A38" i="65"/>
  <c r="A39" i="65"/>
  <c r="A40" i="65"/>
  <c r="A41" i="65"/>
  <c r="A42" i="65"/>
  <c r="A43" i="65"/>
  <c r="A44" i="65"/>
  <c r="A45" i="65"/>
  <c r="A46" i="65"/>
  <c r="A47" i="65"/>
  <c r="A48" i="65"/>
  <c r="A49" i="65"/>
  <c r="A50" i="65"/>
  <c r="A51" i="65"/>
  <c r="A52" i="65"/>
  <c r="A53" i="65"/>
  <c r="A54" i="65"/>
  <c r="A55" i="65"/>
  <c r="A56" i="65"/>
  <c r="A57" i="65"/>
  <c r="A58" i="65"/>
  <c r="A59" i="65"/>
  <c r="A60" i="65"/>
  <c r="A61" i="65"/>
  <c r="A62" i="65"/>
  <c r="A63" i="65"/>
  <c r="A64" i="65"/>
  <c r="A65" i="65"/>
  <c r="A66" i="65"/>
  <c r="A67" i="65"/>
  <c r="A68" i="65"/>
  <c r="A69" i="65"/>
  <c r="A70" i="65"/>
  <c r="A71" i="65"/>
  <c r="A72" i="65"/>
  <c r="A73" i="65"/>
  <c r="A74" i="65"/>
  <c r="A75" i="65"/>
  <c r="A76" i="65"/>
  <c r="A77" i="65"/>
  <c r="A4" i="65" l="1"/>
  <c r="A5" i="65"/>
  <c r="A6" i="65"/>
  <c r="A7" i="65"/>
  <c r="A8" i="65"/>
  <c r="A9" i="65"/>
  <c r="A10" i="65"/>
  <c r="A11" i="65"/>
  <c r="A12" i="65"/>
  <c r="A13" i="65"/>
  <c r="A14" i="65"/>
  <c r="A15" i="65"/>
  <c r="A16" i="65"/>
  <c r="A17" i="65"/>
  <c r="A18" i="65"/>
  <c r="A19" i="65"/>
  <c r="A20" i="65"/>
  <c r="A21" i="65"/>
  <c r="B13" i="65"/>
  <c r="B14" i="65"/>
  <c r="B15" i="65"/>
  <c r="B16" i="65"/>
  <c r="B17" i="65"/>
  <c r="B18" i="65"/>
  <c r="B19" i="65"/>
  <c r="B20" i="65"/>
  <c r="B21" i="65"/>
  <c r="B22" i="65"/>
  <c r="B23" i="65"/>
  <c r="B24" i="65"/>
  <c r="B25" i="65"/>
  <c r="B26" i="65"/>
  <c r="B27" i="65"/>
  <c r="B28" i="65"/>
  <c r="B29" i="65"/>
  <c r="B30" i="65"/>
  <c r="B31" i="65"/>
  <c r="B32" i="65"/>
  <c r="B33" i="65"/>
  <c r="B34" i="65"/>
  <c r="B35" i="65"/>
  <c r="B36" i="65"/>
  <c r="B37" i="65"/>
  <c r="B38" i="65"/>
  <c r="B39" i="65"/>
  <c r="B40" i="65"/>
  <c r="B41" i="65"/>
  <c r="B42" i="65"/>
  <c r="B43" i="65"/>
  <c r="B44" i="65"/>
  <c r="B45" i="65"/>
  <c r="B46" i="65"/>
  <c r="B47" i="65"/>
  <c r="B48" i="65"/>
  <c r="B49" i="65"/>
  <c r="B50" i="65"/>
  <c r="B51" i="65"/>
  <c r="B52" i="65"/>
  <c r="B53" i="65"/>
  <c r="B54" i="65"/>
  <c r="B55" i="65"/>
  <c r="B56" i="65"/>
  <c r="B57" i="65"/>
  <c r="B58" i="65"/>
  <c r="B59" i="65"/>
  <c r="B60" i="65"/>
  <c r="B61" i="65"/>
  <c r="B62" i="65"/>
  <c r="B63" i="65"/>
  <c r="B64" i="65"/>
  <c r="B65" i="65"/>
  <c r="B66" i="65"/>
  <c r="B67" i="65"/>
  <c r="B68" i="65"/>
  <c r="B69" i="65"/>
  <c r="B70" i="65"/>
  <c r="B71" i="65"/>
  <c r="B72" i="65"/>
  <c r="B73" i="65"/>
  <c r="B74" i="65"/>
  <c r="B75" i="65"/>
  <c r="B76" i="65"/>
  <c r="B77" i="65"/>
  <c r="B78" i="65"/>
  <c r="B79" i="65"/>
  <c r="B80" i="65"/>
  <c r="B81" i="65"/>
  <c r="B82" i="65"/>
  <c r="B83" i="65"/>
  <c r="B84" i="65"/>
  <c r="B85" i="65"/>
  <c r="B86" i="65"/>
  <c r="B87" i="65"/>
  <c r="B88" i="65"/>
  <c r="B89" i="65"/>
  <c r="B90" i="65"/>
  <c r="B91" i="65"/>
  <c r="B92" i="65"/>
  <c r="B93" i="65"/>
  <c r="B94" i="65"/>
  <c r="B95" i="65"/>
  <c r="B96" i="65"/>
  <c r="B97" i="65"/>
  <c r="B98" i="65"/>
  <c r="B99" i="65"/>
  <c r="B100" i="65"/>
  <c r="B101" i="65"/>
  <c r="B102" i="65"/>
  <c r="B103" i="65"/>
  <c r="B104" i="65"/>
  <c r="B105" i="65"/>
  <c r="B106" i="65"/>
  <c r="B107" i="65"/>
  <c r="B108" i="65"/>
  <c r="B109" i="65"/>
  <c r="B110" i="65"/>
  <c r="B111" i="65"/>
  <c r="B112" i="65"/>
  <c r="B113" i="65"/>
  <c r="B114" i="65"/>
  <c r="B115" i="65"/>
  <c r="B116" i="65"/>
  <c r="B117" i="65"/>
  <c r="B118" i="65"/>
  <c r="B119" i="65"/>
  <c r="B120" i="65"/>
  <c r="B121" i="65"/>
  <c r="B122" i="65"/>
  <c r="B123" i="65"/>
  <c r="B124" i="65"/>
  <c r="B125" i="65"/>
  <c r="B126" i="65"/>
  <c r="B127" i="65"/>
  <c r="B128" i="65"/>
  <c r="B129" i="65"/>
  <c r="B130" i="65"/>
  <c r="B131" i="65"/>
  <c r="B132" i="65"/>
  <c r="B133" i="65"/>
  <c r="B134" i="65"/>
  <c r="B135" i="65"/>
  <c r="B136" i="65"/>
  <c r="B137" i="65"/>
  <c r="B138" i="65"/>
  <c r="B139" i="65"/>
  <c r="B4" i="65" l="1"/>
  <c r="B5" i="65"/>
  <c r="B6" i="65"/>
  <c r="B7" i="65"/>
  <c r="B8" i="65"/>
  <c r="B9" i="65"/>
  <c r="B10" i="65"/>
  <c r="B11" i="65"/>
  <c r="B12" i="65"/>
  <c r="A3" i="65"/>
  <c r="B3" i="65"/>
  <c r="AG46" i="203" l="1"/>
  <c r="C53" i="203"/>
  <c r="CE58" i="203" s="1"/>
  <c r="CE77" i="203" s="1"/>
  <c r="AA58" i="203" s="1"/>
  <c r="B46" i="203"/>
  <c r="AV38" i="203" s="1"/>
  <c r="CQ38" i="203" s="1"/>
  <c r="R51" i="254"/>
  <c r="CT56" i="254" s="1"/>
  <c r="CJ70" i="254" s="1"/>
  <c r="S58" i="254" s="1"/>
  <c r="X51" i="254"/>
  <c r="CZ56" i="254" s="1"/>
  <c r="CL70" i="254" s="1"/>
  <c r="U58" i="254" s="1"/>
  <c r="C53" i="254"/>
  <c r="CE58" i="254" s="1"/>
  <c r="CE77" i="254" s="1"/>
  <c r="AA58" i="254" s="1"/>
  <c r="AG47" i="254"/>
  <c r="O51" i="254"/>
  <c r="CQ56" i="254" s="1"/>
  <c r="CI70" i="254" s="1"/>
  <c r="R58" i="254" s="1"/>
  <c r="X53" i="254"/>
  <c r="CZ58" i="254" s="1"/>
  <c r="CL77" i="254" s="1"/>
  <c r="AH58" i="254" s="1"/>
  <c r="F51" i="254"/>
  <c r="CH56" i="254" s="1"/>
  <c r="CF70" i="254" s="1"/>
  <c r="O58" i="254" s="1"/>
  <c r="R53" i="254"/>
  <c r="CT58" i="254" s="1"/>
  <c r="CJ77" i="254" s="1"/>
  <c r="AF58" i="254" s="1"/>
  <c r="L51" i="254"/>
  <c r="CN56" i="254" s="1"/>
  <c r="CH70" i="254" s="1"/>
  <c r="Q58" i="254" s="1"/>
  <c r="AG51" i="254"/>
  <c r="DI56" i="254" s="1"/>
  <c r="CO70" i="254" s="1"/>
  <c r="X58" i="254" s="1"/>
  <c r="B46" i="254"/>
  <c r="AY38" i="254" s="1"/>
  <c r="CT38" i="254" s="1"/>
  <c r="L53" i="254"/>
  <c r="CN58" i="254" s="1"/>
  <c r="CH77" i="254" s="1"/>
  <c r="AD58" i="254" s="1"/>
  <c r="AG46" i="254"/>
  <c r="F53" i="254"/>
  <c r="CH58" i="254" s="1"/>
  <c r="CF77" i="254" s="1"/>
  <c r="AB58" i="254" s="1"/>
  <c r="M46" i="254"/>
  <c r="AA53" i="254"/>
  <c r="DC58" i="254" s="1"/>
  <c r="CM77" i="254" s="1"/>
  <c r="AI58" i="254" s="1"/>
  <c r="U51" i="254"/>
  <c r="CW56" i="254" s="1"/>
  <c r="CK70" i="254" s="1"/>
  <c r="T58" i="254" s="1"/>
  <c r="C51" i="254"/>
  <c r="CE56" i="254" s="1"/>
  <c r="AJ51" i="254"/>
  <c r="DL56" i="254" s="1"/>
  <c r="CP70" i="254" s="1"/>
  <c r="Y58" i="254" s="1"/>
  <c r="I53" i="254"/>
  <c r="CK58" i="254" s="1"/>
  <c r="CG77" i="254" s="1"/>
  <c r="AC58" i="254" s="1"/>
  <c r="O53" i="254"/>
  <c r="CQ58" i="254" s="1"/>
  <c r="CI77" i="254" s="1"/>
  <c r="AE58" i="254" s="1"/>
  <c r="AA51" i="254"/>
  <c r="DC56" i="254" s="1"/>
  <c r="CM70" i="254" s="1"/>
  <c r="V58" i="254" s="1"/>
  <c r="V46" i="254"/>
  <c r="I51" i="254"/>
  <c r="CK56" i="254" s="1"/>
  <c r="CG70" i="254" s="1"/>
  <c r="P58" i="254" s="1"/>
  <c r="AD51" i="254"/>
  <c r="DF56" i="254" s="1"/>
  <c r="U53" i="254"/>
  <c r="CW58" i="254" s="1"/>
  <c r="CK77" i="254" s="1"/>
  <c r="AG58" i="254" s="1"/>
  <c r="AM51" i="254"/>
  <c r="DO56" i="254" s="1"/>
  <c r="CQ70" i="254" s="1"/>
  <c r="Z58" i="254" s="1"/>
  <c r="R53" i="203"/>
  <c r="CT58" i="203" s="1"/>
  <c r="CJ77" i="203" s="1"/>
  <c r="AF58" i="203" s="1"/>
  <c r="L51" i="203"/>
  <c r="CN56" i="203" s="1"/>
  <c r="CH70" i="203" s="1"/>
  <c r="Q58" i="203" s="1"/>
  <c r="AA53" i="203"/>
  <c r="DC58" i="203" s="1"/>
  <c r="CM77" i="203" s="1"/>
  <c r="AI58" i="203" s="1"/>
  <c r="U51" i="203"/>
  <c r="CW56" i="203" s="1"/>
  <c r="CK70" i="203" s="1"/>
  <c r="T58" i="203" s="1"/>
  <c r="F53" i="203"/>
  <c r="CH58" i="203" s="1"/>
  <c r="CF77" i="203" s="1"/>
  <c r="AB58" i="203" s="1"/>
  <c r="O53" i="203"/>
  <c r="CQ58" i="203" s="1"/>
  <c r="CI77" i="203" s="1"/>
  <c r="AE58" i="203" s="1"/>
  <c r="I51" i="203"/>
  <c r="CK56" i="203" s="1"/>
  <c r="CG70" i="203" s="1"/>
  <c r="P58" i="203" s="1"/>
  <c r="AG51" i="203"/>
  <c r="DI56" i="203" s="1"/>
  <c r="CO70" i="203" s="1"/>
  <c r="X58" i="203" s="1"/>
  <c r="AD51" i="203"/>
  <c r="DF56" i="203" s="1"/>
  <c r="AA51" i="203"/>
  <c r="DC56" i="203" s="1"/>
  <c r="CM70" i="203" s="1"/>
  <c r="V58" i="203" s="1"/>
  <c r="AJ51" i="203"/>
  <c r="DL56" i="203" s="1"/>
  <c r="CP70" i="203" s="1"/>
  <c r="Y58" i="203" s="1"/>
  <c r="V46" i="203"/>
  <c r="R51" i="203"/>
  <c r="CT56" i="203" s="1"/>
  <c r="CJ70" i="203" s="1"/>
  <c r="S58" i="203" s="1"/>
  <c r="AM51" i="203"/>
  <c r="DO56" i="203" s="1"/>
  <c r="CQ70" i="203" s="1"/>
  <c r="Z58" i="203" s="1"/>
  <c r="X51" i="203"/>
  <c r="CZ56" i="203" s="1"/>
  <c r="CL70" i="203" s="1"/>
  <c r="U58" i="203" s="1"/>
  <c r="X53" i="203"/>
  <c r="CZ58" i="203" s="1"/>
  <c r="CL77" i="203" s="1"/>
  <c r="AH58" i="203" s="1"/>
  <c r="F51" i="203"/>
  <c r="CH56" i="203" s="1"/>
  <c r="CF70" i="203" s="1"/>
  <c r="O58" i="203" s="1"/>
  <c r="C51" i="203"/>
  <c r="CE56" i="203" s="1"/>
  <c r="O51" i="203"/>
  <c r="CQ56" i="203" s="1"/>
  <c r="CI70" i="203" s="1"/>
  <c r="R58" i="203" s="1"/>
  <c r="M46" i="203"/>
  <c r="U53" i="203"/>
  <c r="CW58" i="203" s="1"/>
  <c r="CK77" i="203" s="1"/>
  <c r="AG58" i="203" s="1"/>
  <c r="I53" i="203"/>
  <c r="CK58" i="203" s="1"/>
  <c r="CG77" i="203" s="1"/>
  <c r="AC58" i="203" s="1"/>
  <c r="AG47" i="203"/>
  <c r="L53" i="203"/>
  <c r="CN58" i="203" s="1"/>
  <c r="CH77" i="203" s="1"/>
  <c r="AD58" i="203" s="1"/>
  <c r="M47" i="203"/>
  <c r="AY38" i="203" l="1"/>
  <c r="CT38" i="203" s="1"/>
  <c r="BC47" i="203" s="1"/>
  <c r="X54" i="203"/>
  <c r="AG60" i="203" s="1"/>
  <c r="M47" i="254"/>
  <c r="AV38" i="254"/>
  <c r="CQ38" i="254" s="1"/>
  <c r="BC47" i="254" s="1"/>
  <c r="X54" i="254"/>
  <c r="AG60" i="254" s="1"/>
  <c r="CE70" i="254"/>
  <c r="N58" i="254" s="1"/>
  <c r="CE60" i="254"/>
  <c r="CE70" i="203"/>
  <c r="N58" i="203" s="1"/>
  <c r="CE60" i="203"/>
  <c r="AL60" i="203" l="1"/>
  <c r="AL60" i="254"/>
  <c r="AL57" i="203"/>
  <c r="AG57" i="203"/>
  <c r="AG57" i="254"/>
  <c r="AL57" i="25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fortes</author>
    <author>tc={6D8F7D15-D17A-4FB3-9DFE-DB0F0EA784DF}</author>
  </authors>
  <commentList>
    <comment ref="AJ1" authorId="0" shapeId="0" xr:uid="{BAC16819-41E8-43C2-90C1-7544878A684D}">
      <text>
        <r>
          <rPr>
            <b/>
            <sz val="9"/>
            <color indexed="81"/>
            <rFont val="Segoe UI"/>
            <family val="2"/>
          </rPr>
          <t>fortanks:</t>
        </r>
        <r>
          <rPr>
            <sz val="9"/>
            <color indexed="81"/>
            <rFont val="Segoe UI"/>
            <family val="2"/>
          </rPr>
          <t xml:space="preserve">
nº do tanque extecutado sequencial</t>
        </r>
      </text>
    </comment>
    <comment ref="AN1" authorId="0" shapeId="0" xr:uid="{8E49FE95-F8BC-4C21-99B8-A13D8550188B}">
      <text>
        <r>
          <rPr>
            <b/>
            <sz val="9"/>
            <color indexed="81"/>
            <rFont val="Segoe UI"/>
            <family val="2"/>
          </rPr>
          <t>fortanks:</t>
        </r>
        <r>
          <rPr>
            <sz val="9"/>
            <color indexed="81"/>
            <rFont val="Segoe UI"/>
            <family val="2"/>
          </rPr>
          <t xml:space="preserve">
nº do registro por tanque</t>
        </r>
      </text>
    </comment>
    <comment ref="A38" authorId="1" shapeId="0" xr:uid="{6D8F7D15-D17A-4FB3-9DFE-DB0F0EA784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 FOR CANALETAS COM CHAPA INÓX MARCAR O "X" CASO NÃO SEJA DESMARCAR O "X"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fortes</author>
    <author>tc={744E936A-ABDC-4949-A45C-A2B28D7B0B8F}</author>
  </authors>
  <commentList>
    <comment ref="AJ1" authorId="0" shapeId="0" xr:uid="{56F3625F-138A-4E95-9230-1C6A76F33225}">
      <text>
        <r>
          <rPr>
            <b/>
            <sz val="9"/>
            <color indexed="81"/>
            <rFont val="Segoe UI"/>
            <family val="2"/>
          </rPr>
          <t>fortanks:</t>
        </r>
        <r>
          <rPr>
            <sz val="9"/>
            <color indexed="81"/>
            <rFont val="Segoe UI"/>
            <family val="2"/>
          </rPr>
          <t xml:space="preserve">
nº do tanque extecutado sequencial</t>
        </r>
      </text>
    </comment>
    <comment ref="AN1" authorId="0" shapeId="0" xr:uid="{4CA6605D-5FC0-477B-878D-00DD2F919E20}">
      <text>
        <r>
          <rPr>
            <b/>
            <sz val="9"/>
            <color indexed="81"/>
            <rFont val="Segoe UI"/>
            <family val="2"/>
          </rPr>
          <t>fortanks:</t>
        </r>
        <r>
          <rPr>
            <sz val="9"/>
            <color indexed="81"/>
            <rFont val="Segoe UI"/>
            <family val="2"/>
          </rPr>
          <t xml:space="preserve">
nº do registro por tanque</t>
        </r>
      </text>
    </comment>
    <comment ref="A38" authorId="1" shapeId="0" xr:uid="{744E936A-ABDC-4949-A45C-A2B28D7B0B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 FOR CANALETAS COM CHAPA INÓX MARCAR O "X" CASO NÃO SEJA DESMARCAR O "X"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fortes</author>
    <author>tc={DB14EA0E-4CCE-472F-9BEC-E9B5E6090F34}</author>
  </authors>
  <commentList>
    <comment ref="AJ1" authorId="0" shapeId="0" xr:uid="{49297E37-4AFD-414E-ABC6-220A110CF203}">
      <text>
        <r>
          <rPr>
            <b/>
            <sz val="9"/>
            <color indexed="81"/>
            <rFont val="Segoe UI"/>
            <family val="2"/>
          </rPr>
          <t>fortanks:</t>
        </r>
        <r>
          <rPr>
            <sz val="9"/>
            <color indexed="81"/>
            <rFont val="Segoe UI"/>
            <family val="2"/>
          </rPr>
          <t xml:space="preserve">
nº do tanque extecutado sequencial</t>
        </r>
      </text>
    </comment>
    <comment ref="AN1" authorId="0" shapeId="0" xr:uid="{898A52A0-26FF-4055-A5FE-A2D0A785EE60}">
      <text>
        <r>
          <rPr>
            <b/>
            <sz val="9"/>
            <color indexed="81"/>
            <rFont val="Segoe UI"/>
            <family val="2"/>
          </rPr>
          <t>fortanks:</t>
        </r>
        <r>
          <rPr>
            <sz val="9"/>
            <color indexed="81"/>
            <rFont val="Segoe UI"/>
            <family val="2"/>
          </rPr>
          <t xml:space="preserve">
nº do registro por tanque</t>
        </r>
      </text>
    </comment>
    <comment ref="A38" authorId="1" shapeId="0" xr:uid="{DB14EA0E-4CCE-472F-9BEC-E9B5E6090F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 FOR CANALETAS COM CHAPA INÓX MARCAR O "X" CASO NÃO SEJA DESMARCAR O "X"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fortes</author>
    <author>tc={B08E68D4-19D7-492F-B93E-E8B60491D280}</author>
  </authors>
  <commentList>
    <comment ref="AJ1" authorId="0" shapeId="0" xr:uid="{D1350B05-2CE1-4332-A24F-4E9C4CF695E0}">
      <text>
        <r>
          <rPr>
            <b/>
            <sz val="9"/>
            <color indexed="81"/>
            <rFont val="Segoe UI"/>
            <family val="2"/>
          </rPr>
          <t>fortanks:</t>
        </r>
        <r>
          <rPr>
            <sz val="9"/>
            <color indexed="81"/>
            <rFont val="Segoe UI"/>
            <family val="2"/>
          </rPr>
          <t xml:space="preserve">
nº do tanque extecutado sequencial</t>
        </r>
      </text>
    </comment>
    <comment ref="AN1" authorId="0" shapeId="0" xr:uid="{038E2F2B-1655-4CC0-97B6-3FA2E87F926B}">
      <text>
        <r>
          <rPr>
            <b/>
            <sz val="9"/>
            <color indexed="81"/>
            <rFont val="Segoe UI"/>
            <family val="2"/>
          </rPr>
          <t>fortanks:</t>
        </r>
        <r>
          <rPr>
            <sz val="9"/>
            <color indexed="81"/>
            <rFont val="Segoe UI"/>
            <family val="2"/>
          </rPr>
          <t xml:space="preserve">
nº do registro por tanque</t>
        </r>
      </text>
    </comment>
    <comment ref="A38" authorId="1" shapeId="0" xr:uid="{B08E68D4-19D7-492F-B93E-E8B60491D2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 FOR CANALETAS COM CHAPA INÓX MARCAR O "X" CASO NÃO SEJA DESMARCAR O "X"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fortes</author>
    <author>tc={24E10443-3487-4764-BD85-1AC5811EE528}</author>
  </authors>
  <commentList>
    <comment ref="AJ1" authorId="0" shapeId="0" xr:uid="{63E783B5-6939-4BCB-94C1-21DB13CC241A}">
      <text>
        <r>
          <rPr>
            <b/>
            <sz val="9"/>
            <color indexed="81"/>
            <rFont val="Segoe UI"/>
            <family val="2"/>
          </rPr>
          <t>fortanks:</t>
        </r>
        <r>
          <rPr>
            <sz val="9"/>
            <color indexed="81"/>
            <rFont val="Segoe UI"/>
            <family val="2"/>
          </rPr>
          <t xml:space="preserve">
nº do tanque extecutado sequencial</t>
        </r>
      </text>
    </comment>
    <comment ref="AN1" authorId="0" shapeId="0" xr:uid="{49BC1A27-7FDA-4C78-B60F-3F7596B32951}">
      <text>
        <r>
          <rPr>
            <b/>
            <sz val="9"/>
            <color indexed="81"/>
            <rFont val="Segoe UI"/>
            <family val="2"/>
          </rPr>
          <t>fortanks:</t>
        </r>
        <r>
          <rPr>
            <sz val="9"/>
            <color indexed="81"/>
            <rFont val="Segoe UI"/>
            <family val="2"/>
          </rPr>
          <t xml:space="preserve">
nº do registro por tanque</t>
        </r>
      </text>
    </comment>
    <comment ref="A38" authorId="1" shapeId="0" xr:uid="{24E10443-3487-4764-BD85-1AC5811EE5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 FOR CANALETAS COM CHAPA INÓX MARCAR O "X" CASO NÃO SEJA DESMARCAR O "X"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<sst xmlns="http://schemas.openxmlformats.org/spreadsheetml/2006/main" count="2748" uniqueCount="768">
  <si>
    <t>CONTROLE DE QUALIDADE</t>
  </si>
  <si>
    <t xml:space="preserve">Cliente: </t>
  </si>
  <si>
    <t>Obra:</t>
  </si>
  <si>
    <t>Local:</t>
  </si>
  <si>
    <t>Data de fabricação:</t>
  </si>
  <si>
    <t>Descrição do tanque:</t>
  </si>
  <si>
    <t>Linha de fabricação:</t>
  </si>
  <si>
    <t>SC-14</t>
  </si>
  <si>
    <t>Sistema:</t>
  </si>
  <si>
    <t>Mesa:</t>
  </si>
  <si>
    <t>Nº da forma :</t>
  </si>
  <si>
    <t>Nº do painel:</t>
  </si>
  <si>
    <t>Tipo do painel:</t>
  </si>
  <si>
    <t>x</t>
  </si>
  <si>
    <t>PN-001</t>
  </si>
  <si>
    <t>INSPEÇÃO NAS FORMAS</t>
  </si>
  <si>
    <t>CONFORMIDADE:</t>
  </si>
  <si>
    <r>
      <t>J</t>
    </r>
    <r>
      <rPr>
        <sz val="8"/>
        <rFont val="Verdana"/>
        <family val="2"/>
      </rPr>
      <t>sim</t>
    </r>
  </si>
  <si>
    <r>
      <t>L</t>
    </r>
    <r>
      <rPr>
        <sz val="8"/>
        <rFont val="Verdana"/>
        <family val="2"/>
      </rPr>
      <t>não</t>
    </r>
  </si>
  <si>
    <t>DECISÃO:</t>
  </si>
  <si>
    <t>rejeitar</t>
  </si>
  <si>
    <t>corrigir</t>
  </si>
  <si>
    <t>aceitar</t>
  </si>
  <si>
    <t>INSPEÇÃO NAS ARMADURAS</t>
  </si>
  <si>
    <t>INSPEÇÃO NOS ACESSÓRIOS</t>
  </si>
  <si>
    <t xml:space="preserve">CABOS DE PRÉ-ESFORÇO </t>
  </si>
  <si>
    <t>BITOLA:</t>
  </si>
  <si>
    <t>mm</t>
  </si>
  <si>
    <t>FORNECEDOR:</t>
  </si>
  <si>
    <t>Nº DA BOBINA:</t>
  </si>
  <si>
    <t>DATA DE FABRICAÇÃO:</t>
  </si>
  <si>
    <t>ALONGAMENTOS REAIS INDIVIDUAIS ( mm ):</t>
  </si>
  <si>
    <t>C-1</t>
  </si>
  <si>
    <t>C-2</t>
  </si>
  <si>
    <t>C-3</t>
  </si>
  <si>
    <t>C-4</t>
  </si>
  <si>
    <t>C-5</t>
  </si>
  <si>
    <t>C-6</t>
  </si>
  <si>
    <t>C-7</t>
  </si>
  <si>
    <t>C-8</t>
  </si>
  <si>
    <t>C-9</t>
  </si>
  <si>
    <t>C-10</t>
  </si>
  <si>
    <t>C-11</t>
  </si>
  <si>
    <t>C-12</t>
  </si>
  <si>
    <t>C-13</t>
  </si>
  <si>
    <t>C-14</t>
  </si>
  <si>
    <t>C-15</t>
  </si>
  <si>
    <t>C-16</t>
  </si>
  <si>
    <t>C-17</t>
  </si>
  <si>
    <t>C-18</t>
  </si>
  <si>
    <t>C-19</t>
  </si>
  <si>
    <t>C-20</t>
  </si>
  <si>
    <t>C-21</t>
  </si>
  <si>
    <t>C-22</t>
  </si>
  <si>
    <t>C-23</t>
  </si>
  <si>
    <t>C-24</t>
  </si>
  <si>
    <t>C-25</t>
  </si>
  <si>
    <t>C-26</t>
  </si>
  <si>
    <t>X</t>
  </si>
  <si>
    <t>SOMATÓRIO DOS ALONGAMENTOS INDIVIDUAIS REAIS  =</t>
  </si>
  <si>
    <t>PARÂMETROS DE ACEITAÇÃO:</t>
  </si>
  <si>
    <t xml:space="preserve">	Os alongamentos individuais são iguais ao valor teórico +/- 5 %</t>
  </si>
  <si>
    <t xml:space="preserve">	 ∑ de todos os  alongamentos é igual ao ∑ valor teórico +/- 3 %</t>
  </si>
  <si>
    <t>As formas estão limpas e com desmoldante ;</t>
  </si>
  <si>
    <t>NÃO CONFORMIDADE:</t>
  </si>
  <si>
    <t>painel não conforme:</t>
  </si>
  <si>
    <t>marcar com "X" nos cabos utilizados na concretagem</t>
  </si>
  <si>
    <t xml:space="preserve">Cabo(s) Não Conforme(s):   C- </t>
  </si>
  <si>
    <t>PRODUTO ACABADO ( FABRICAÇÃO )</t>
  </si>
  <si>
    <t>Os produtos não tem fissuras nem imperfeições;</t>
  </si>
  <si>
    <t>Os painéis  foram  identificados;</t>
  </si>
  <si>
    <t>As dimensões dos produtos estão em conformidade com os requisitos de projeto;</t>
  </si>
  <si>
    <t>PRODUTO NÃO CONFORME</t>
  </si>
  <si>
    <t>DECISÃO</t>
  </si>
  <si>
    <t>OBSERVAÇÃO</t>
  </si>
  <si>
    <t>As armaduras estão em conformidade com os requisitos definidos em projeto;</t>
  </si>
  <si>
    <t>PF-001</t>
  </si>
  <si>
    <t>SC-10</t>
  </si>
  <si>
    <t>SC-6</t>
  </si>
  <si>
    <t>marcar com "X" para definir quantidade de formas:</t>
  </si>
  <si>
    <t>total</t>
  </si>
  <si>
    <t>filtre "X"</t>
  </si>
  <si>
    <t>FTQ-</t>
  </si>
  <si>
    <t>BELGO BEKAERT</t>
  </si>
  <si>
    <t>Os painéis foram devidamente estocados conforme pré-estabelecido;</t>
  </si>
  <si>
    <t>A geometria dos formas está  em conformidade com os projetos;</t>
  </si>
  <si>
    <t>CONCRETO ( FABRICAÇÃO )</t>
  </si>
  <si>
    <t>função:</t>
  </si>
  <si>
    <t>assinatura:</t>
  </si>
  <si>
    <t>data:</t>
  </si>
  <si>
    <t>responsável pelas inspeções:</t>
  </si>
  <si>
    <t>FRMC nº:</t>
  </si>
  <si>
    <t>Certificado do concreto:</t>
  </si>
  <si>
    <t>Certificado (s):</t>
  </si>
  <si>
    <t>MÍNIMO (mm)</t>
  </si>
  <si>
    <t>MÁXIMO (mm)</t>
  </si>
  <si>
    <t>CERTIFICADO Nº:</t>
  </si>
  <si>
    <t>O concreto teve espalhamento ( flow ) : &gt;= 650 mm e  &lt;=750 mm ;</t>
  </si>
  <si>
    <t>-</t>
  </si>
  <si>
    <t>registro nº:</t>
  </si>
  <si>
    <t>As chapas e aço CA-25 de aterramento estão com dimensionais e posições conf. Projeto</t>
  </si>
  <si>
    <r>
      <rPr>
        <b/>
        <sz val="10"/>
        <color theme="1"/>
        <rFont val="Calibri Light"/>
        <family val="2"/>
        <scheme val="major"/>
      </rPr>
      <t xml:space="preserve">Obs. As placas com chapas de aterramento tem na identificação a letra "I"  </t>
    </r>
    <r>
      <rPr>
        <b/>
        <sz val="11"/>
        <color theme="1"/>
        <rFont val="Calibri Light"/>
        <family val="2"/>
        <scheme val="major"/>
      </rPr>
      <t xml:space="preserve"> </t>
    </r>
  </si>
  <si>
    <t>área:</t>
  </si>
  <si>
    <t>E:</t>
  </si>
  <si>
    <t>E=</t>
  </si>
  <si>
    <t>A=</t>
  </si>
  <si>
    <t>KN/mm2</t>
  </si>
  <si>
    <t>mm2</t>
  </si>
  <si>
    <t>dados passados para João Romba para calculo de  alogamento teórico</t>
  </si>
  <si>
    <t>fator correção=</t>
  </si>
  <si>
    <t>O concreto teve resistência mínima de 24 MPa para relaxamento dos cabos;</t>
  </si>
  <si>
    <t>O concreto teve resistência maior ou igual 40 MPa aos 28 dias;</t>
  </si>
  <si>
    <t xml:space="preserve">   Certificado de calibração do manômetro do macaco de protensão Nº:</t>
  </si>
  <si>
    <t xml:space="preserve">As bainhas estão com dimensionais e posicionamento conforme projeto; </t>
  </si>
  <si>
    <t>data</t>
  </si>
  <si>
    <t xml:space="preserve">FORMA 1 </t>
  </si>
  <si>
    <t>FORMA 2</t>
  </si>
  <si>
    <t>FORMA 3</t>
  </si>
  <si>
    <t>FORMA 4</t>
  </si>
  <si>
    <t>FORMA 5</t>
  </si>
  <si>
    <t>FORMA 6</t>
  </si>
  <si>
    <t>FORMA 7</t>
  </si>
  <si>
    <t>FORMA 8</t>
  </si>
  <si>
    <t>FORMA 9</t>
  </si>
  <si>
    <t>FORMA 10</t>
  </si>
  <si>
    <t>FMRC NUMEROS</t>
  </si>
  <si>
    <t>DATA</t>
  </si>
  <si>
    <t>CABOS PROTENDIDOS - LANÇAR ALONGAMENTOS</t>
  </si>
  <si>
    <t>N° BOBINA</t>
  </si>
  <si>
    <t xml:space="preserve">DATA FAB. </t>
  </si>
  <si>
    <t>CERTIFICADO</t>
  </si>
  <si>
    <t>descrição do tanque</t>
  </si>
  <si>
    <t>folha</t>
  </si>
  <si>
    <t>Normal</t>
  </si>
  <si>
    <t>Especial</t>
  </si>
  <si>
    <t>obra</t>
  </si>
  <si>
    <t xml:space="preserve"> cliente</t>
  </si>
  <si>
    <t>PN</t>
  </si>
  <si>
    <t>PN-04</t>
  </si>
  <si>
    <t>PN-02</t>
  </si>
  <si>
    <t>Gean Junior Reinholz</t>
  </si>
  <si>
    <t>Téc de Edificações</t>
  </si>
  <si>
    <t>PN-14</t>
  </si>
  <si>
    <t>PN-15</t>
  </si>
  <si>
    <t>PN-16</t>
  </si>
  <si>
    <t>PN-17</t>
  </si>
  <si>
    <t>PN-18</t>
  </si>
  <si>
    <t>PN-19</t>
  </si>
  <si>
    <t>PN-12</t>
  </si>
  <si>
    <t>PN-11</t>
  </si>
  <si>
    <t>PN-20</t>
  </si>
  <si>
    <t>PN-23</t>
  </si>
  <si>
    <t>PN-46</t>
  </si>
  <si>
    <t>PN-45</t>
  </si>
  <si>
    <t>Tipo de Inserto:</t>
  </si>
  <si>
    <t>TP1</t>
  </si>
  <si>
    <t>TP2</t>
  </si>
  <si>
    <t>TP3</t>
  </si>
  <si>
    <t>TP4</t>
  </si>
  <si>
    <t>TP5</t>
  </si>
  <si>
    <t>TP6</t>
  </si>
  <si>
    <t>TP7</t>
  </si>
  <si>
    <t>TP8</t>
  </si>
  <si>
    <t>TP9</t>
  </si>
  <si>
    <t>PN-03</t>
  </si>
  <si>
    <t>MESA</t>
  </si>
  <si>
    <t>VIANA - ES</t>
  </si>
  <si>
    <t>PN-36</t>
  </si>
  <si>
    <t>PN-26</t>
  </si>
  <si>
    <t>PN-30</t>
  </si>
  <si>
    <t>PN-25</t>
  </si>
  <si>
    <t>PN-22</t>
  </si>
  <si>
    <t>PN-42</t>
  </si>
  <si>
    <t>PN-35</t>
  </si>
  <si>
    <t>PN-29</t>
  </si>
  <si>
    <t>PN-56</t>
  </si>
  <si>
    <t>PN-54</t>
  </si>
  <si>
    <t>PN-38</t>
  </si>
  <si>
    <t>PN-41</t>
  </si>
  <si>
    <t>PN-60</t>
  </si>
  <si>
    <t>PN-65</t>
  </si>
  <si>
    <t>PN-68</t>
  </si>
  <si>
    <t>PN-52</t>
  </si>
  <si>
    <t>PN-58</t>
  </si>
  <si>
    <t>PN-72</t>
  </si>
  <si>
    <t>PN-64</t>
  </si>
  <si>
    <t>PN-67</t>
  </si>
  <si>
    <t>PF</t>
  </si>
  <si>
    <t xml:space="preserve">A </t>
  </si>
  <si>
    <t>P</t>
  </si>
  <si>
    <t>SC10</t>
  </si>
  <si>
    <t>SC14</t>
  </si>
  <si>
    <t>PN-06</t>
  </si>
  <si>
    <t>PN-10</t>
  </si>
  <si>
    <t>PN-21</t>
  </si>
  <si>
    <t>PN-28</t>
  </si>
  <si>
    <t>PN-31</t>
  </si>
  <si>
    <t>PN-34</t>
  </si>
  <si>
    <t>PN-47</t>
  </si>
  <si>
    <t>PN-44</t>
  </si>
  <si>
    <t>PN-51</t>
  </si>
  <si>
    <t>PN-59</t>
  </si>
  <si>
    <t>PN-62</t>
  </si>
  <si>
    <t>PN-66</t>
  </si>
  <si>
    <t xml:space="preserve">MESAS </t>
  </si>
  <si>
    <t>PN-002</t>
  </si>
  <si>
    <t>SR-06</t>
  </si>
  <si>
    <t>LAJES</t>
  </si>
  <si>
    <t>MADEIRA</t>
  </si>
  <si>
    <t>MESA 4</t>
  </si>
  <si>
    <t>TP10</t>
  </si>
  <si>
    <t>FORMA 11</t>
  </si>
  <si>
    <t>TP11</t>
  </si>
  <si>
    <t>FORMA 12</t>
  </si>
  <si>
    <t>FORMA 13</t>
  </si>
  <si>
    <t>TP13</t>
  </si>
  <si>
    <t>PN-13</t>
  </si>
  <si>
    <t>PN-37</t>
  </si>
  <si>
    <t>PN-53</t>
  </si>
  <si>
    <t>PN-50</t>
  </si>
  <si>
    <t>PN-48</t>
  </si>
  <si>
    <t>PN-43</t>
  </si>
  <si>
    <t>PN-57</t>
  </si>
  <si>
    <t>PILAR</t>
  </si>
  <si>
    <t>PN-73</t>
  </si>
  <si>
    <t>PN-74</t>
  </si>
  <si>
    <t>SR-06/ MADEIRA</t>
  </si>
  <si>
    <t>PN-75</t>
  </si>
  <si>
    <t>PN-80</t>
  </si>
  <si>
    <t>PN-82</t>
  </si>
  <si>
    <t>PN-81</t>
  </si>
  <si>
    <t>PN-84</t>
  </si>
  <si>
    <t>PN-83</t>
  </si>
  <si>
    <t>PILAR /MADEIRA</t>
  </si>
  <si>
    <t>PN-49</t>
  </si>
  <si>
    <t xml:space="preserve">Certificado (s):      </t>
  </si>
  <si>
    <t>PN-77</t>
  </si>
  <si>
    <t>PN-88</t>
  </si>
  <si>
    <t>PN-99</t>
  </si>
  <si>
    <t>PN-05</t>
  </si>
  <si>
    <t>982-983-984-985</t>
  </si>
  <si>
    <t>ETE - PARQUE NOVO MUNDO</t>
  </si>
  <si>
    <t>REATORES NEREDA</t>
  </si>
  <si>
    <t>TP12</t>
  </si>
  <si>
    <t>CONSÓRCIO NOVA ETE - PARQUE NOVO MUNDO</t>
  </si>
  <si>
    <t>987-988-989-990</t>
  </si>
  <si>
    <t>992-993-994-995</t>
  </si>
  <si>
    <t>997-998-999-1000</t>
  </si>
  <si>
    <t xml:space="preserve">PN-27 </t>
  </si>
  <si>
    <t>PN-40</t>
  </si>
  <si>
    <t>1002-1003-1004-1005</t>
  </si>
  <si>
    <t>1006-1007-1008-1009</t>
  </si>
  <si>
    <t>1011-1012-1013-1014</t>
  </si>
  <si>
    <t>1016-1017-1018</t>
  </si>
  <si>
    <t>PN61</t>
  </si>
  <si>
    <t>1020-1021-1022-1023</t>
  </si>
  <si>
    <t>PN-78</t>
  </si>
  <si>
    <t>PN-79</t>
  </si>
  <si>
    <t>PN-76</t>
  </si>
  <si>
    <t>1025-1026-1027-1028</t>
  </si>
  <si>
    <t>PN-90</t>
  </si>
  <si>
    <t>PN-89</t>
  </si>
  <si>
    <t>PN-85</t>
  </si>
  <si>
    <t>PN-87</t>
  </si>
  <si>
    <t>1030-1031-1032-1033</t>
  </si>
  <si>
    <t>PN-98</t>
  </si>
  <si>
    <t>PN-96</t>
  </si>
  <si>
    <t>PN-97</t>
  </si>
  <si>
    <t>PN-93</t>
  </si>
  <si>
    <t>PN-95</t>
  </si>
  <si>
    <t>PN-91</t>
  </si>
  <si>
    <t>PN92</t>
  </si>
  <si>
    <t>1034-1035-1036-1037</t>
  </si>
  <si>
    <t>PN-106</t>
  </si>
  <si>
    <t>PN-104</t>
  </si>
  <si>
    <t>PN-105</t>
  </si>
  <si>
    <t>PN-102</t>
  </si>
  <si>
    <t>PN-103</t>
  </si>
  <si>
    <t>PN-100</t>
  </si>
  <si>
    <t>1039-1040-1041-1042</t>
  </si>
  <si>
    <t>PN-113</t>
  </si>
  <si>
    <t>PN-111</t>
  </si>
  <si>
    <t>PN-112</t>
  </si>
  <si>
    <t>1044-1045-1046</t>
  </si>
  <si>
    <t>PN-109</t>
  </si>
  <si>
    <t>PN-110</t>
  </si>
  <si>
    <t>PN-108</t>
  </si>
  <si>
    <t>PN-120</t>
  </si>
  <si>
    <t>PN-118</t>
  </si>
  <si>
    <t>PN-115</t>
  </si>
  <si>
    <t>PN-116</t>
  </si>
  <si>
    <t>1048-1049-1050-1051</t>
  </si>
  <si>
    <t>PN-107</t>
  </si>
  <si>
    <t>PN-114</t>
  </si>
  <si>
    <t>PN-128</t>
  </si>
  <si>
    <t>PN-126</t>
  </si>
  <si>
    <t>PN-127</t>
  </si>
  <si>
    <t>PN-123</t>
  </si>
  <si>
    <t>PN-124</t>
  </si>
  <si>
    <t>1052-1053-1054-1055</t>
  </si>
  <si>
    <t>PN-121</t>
  </si>
  <si>
    <t>PN-122</t>
  </si>
  <si>
    <t>PN-136</t>
  </si>
  <si>
    <t>PN-134</t>
  </si>
  <si>
    <t>PN-135</t>
  </si>
  <si>
    <t>PN-131</t>
  </si>
  <si>
    <t>PN-132</t>
  </si>
  <si>
    <t>1056-1057-1058-1059</t>
  </si>
  <si>
    <t>PN-129</t>
  </si>
  <si>
    <t>PN-130</t>
  </si>
  <si>
    <t>PN-143</t>
  </si>
  <si>
    <t>PN-141</t>
  </si>
  <si>
    <t>PN-142</t>
  </si>
  <si>
    <t>PN-139</t>
  </si>
  <si>
    <t>PN-140</t>
  </si>
  <si>
    <t>PN-137</t>
  </si>
  <si>
    <t>PN-138</t>
  </si>
  <si>
    <t>1060-1061-1062-1063</t>
  </si>
  <si>
    <t>PN-153</t>
  </si>
  <si>
    <t>PN-151</t>
  </si>
  <si>
    <t>PN-152</t>
  </si>
  <si>
    <t>PN-145</t>
  </si>
  <si>
    <t>PN-146</t>
  </si>
  <si>
    <t>1064-1065-1066-1067</t>
  </si>
  <si>
    <t>PN-144</t>
  </si>
  <si>
    <t>PN-147</t>
  </si>
  <si>
    <t>PN-154</t>
  </si>
  <si>
    <t>PN-155</t>
  </si>
  <si>
    <t>PN-157</t>
  </si>
  <si>
    <t>PN-158</t>
  </si>
  <si>
    <t>PN-159</t>
  </si>
  <si>
    <t>PN-160</t>
  </si>
  <si>
    <t>PN-161</t>
  </si>
  <si>
    <t>1069-1070-1071-1072</t>
  </si>
  <si>
    <t>PN-169</t>
  </si>
  <si>
    <t>PN-167</t>
  </si>
  <si>
    <t>PN-168</t>
  </si>
  <si>
    <t>PN-165</t>
  </si>
  <si>
    <t>PN-166</t>
  </si>
  <si>
    <t>1074-1075-1076-1077</t>
  </si>
  <si>
    <t>PN-162</t>
  </si>
  <si>
    <t>PN-163</t>
  </si>
  <si>
    <t>PN-170</t>
  </si>
  <si>
    <t>PN-175</t>
  </si>
  <si>
    <t>PN-176</t>
  </si>
  <si>
    <t>PN-173</t>
  </si>
  <si>
    <t>PN-174</t>
  </si>
  <si>
    <t>1079-1080-1081-1082</t>
  </si>
  <si>
    <t>PN-171</t>
  </si>
  <si>
    <t>PN-172</t>
  </si>
  <si>
    <t>PN-184</t>
  </si>
  <si>
    <t>PN-177</t>
  </si>
  <si>
    <t>PN-178</t>
  </si>
  <si>
    <t>1084-1085-1086</t>
  </si>
  <si>
    <t>PN-179</t>
  </si>
  <si>
    <t>PN-181</t>
  </si>
  <si>
    <t>PN-182</t>
  </si>
  <si>
    <t>PN-183</t>
  </si>
  <si>
    <t>PN-191</t>
  </si>
  <si>
    <t>PN-192</t>
  </si>
  <si>
    <t>PN-189</t>
  </si>
  <si>
    <t>PN-190</t>
  </si>
  <si>
    <t>PN-185</t>
  </si>
  <si>
    <t>PN-186</t>
  </si>
  <si>
    <t>PN-188</t>
  </si>
  <si>
    <t>1088-1089-1090-1091</t>
  </si>
  <si>
    <t>PN-200</t>
  </si>
  <si>
    <t>PN-198</t>
  </si>
  <si>
    <t>PN-199</t>
  </si>
  <si>
    <t>PN-196</t>
  </si>
  <si>
    <t>PN-197</t>
  </si>
  <si>
    <t>1093-1094-1095-1096</t>
  </si>
  <si>
    <t>PN-193</t>
  </si>
  <si>
    <t>PN-194</t>
  </si>
  <si>
    <t>PN-201</t>
  </si>
  <si>
    <t>PN-206</t>
  </si>
  <si>
    <t>PN-207</t>
  </si>
  <si>
    <t>PN-204</t>
  </si>
  <si>
    <t>PN-205</t>
  </si>
  <si>
    <t>PN-202</t>
  </si>
  <si>
    <t>PN-203</t>
  </si>
  <si>
    <t>1098-1099-1100-1101</t>
  </si>
  <si>
    <t>PN-216</t>
  </si>
  <si>
    <t>PN-222</t>
  </si>
  <si>
    <t>PN-223</t>
  </si>
  <si>
    <t>PN-220</t>
  </si>
  <si>
    <t>PN-221</t>
  </si>
  <si>
    <t>PN-217</t>
  </si>
  <si>
    <t>PN-219</t>
  </si>
  <si>
    <t>1107-1108-1109-1110</t>
  </si>
  <si>
    <t>PN-215</t>
  </si>
  <si>
    <t>PN-213</t>
  </si>
  <si>
    <t>PN-214</t>
  </si>
  <si>
    <t>PN-210</t>
  </si>
  <si>
    <t>PN-212</t>
  </si>
  <si>
    <t>1103-1104-1105-1106</t>
  </si>
  <si>
    <t>PN-208</t>
  </si>
  <si>
    <t>PN-209</t>
  </si>
  <si>
    <t>79369/25 - 914000/25 - 9108767/25 - 9108804/25 - 9142457/25 - 9108839/25</t>
  </si>
  <si>
    <t xml:space="preserve">916100/25 -  9139854/25 -  9142107/25 -  9142134/25 </t>
  </si>
  <si>
    <t>9212242/25 -  9188331/25 - 921005/25 - 9142143/25 -  9209652/2025 - 9188331/25</t>
  </si>
  <si>
    <t>9123538/25 -  9133306/25 -  9140467/25 -  9194366/25 - 9205525/25 - 9194366/25</t>
  </si>
  <si>
    <t>9201005/25 - 9205525/25 - 9209652/25 - 9212242/25</t>
  </si>
  <si>
    <t>numero da bobina</t>
  </si>
  <si>
    <t>cert.</t>
  </si>
  <si>
    <t>data fab</t>
  </si>
  <si>
    <t>elasticidade</t>
  </si>
  <si>
    <t>area</t>
  </si>
  <si>
    <t>soma dia se domingo</t>
  </si>
  <si>
    <t>p</t>
  </si>
  <si>
    <t>PN-119</t>
  </si>
  <si>
    <t>PF-01</t>
  </si>
  <si>
    <t>1112-A / 1113</t>
  </si>
  <si>
    <t>1115-A / 1116</t>
  </si>
  <si>
    <t>PF-32</t>
  </si>
  <si>
    <t>PN-224</t>
  </si>
  <si>
    <t>PE-07</t>
  </si>
  <si>
    <t>T2</t>
  </si>
  <si>
    <t>PE-39</t>
  </si>
  <si>
    <t>1118-1119-1120</t>
  </si>
  <si>
    <t>PE-24</t>
  </si>
  <si>
    <t>T4</t>
  </si>
  <si>
    <t>PE-55</t>
  </si>
  <si>
    <t>PE-09</t>
  </si>
  <si>
    <t>T3</t>
  </si>
  <si>
    <t>PE-08</t>
  </si>
  <si>
    <t>T1</t>
  </si>
  <si>
    <t>PN-33</t>
  </si>
  <si>
    <t>25008 (02/04/2025) - VOLLERT</t>
  </si>
  <si>
    <t>PN-225</t>
  </si>
  <si>
    <t>PE-69</t>
  </si>
  <si>
    <t>PE-101</t>
  </si>
  <si>
    <t>1123-1124-1125</t>
  </si>
  <si>
    <t>PE-86</t>
  </si>
  <si>
    <t>PE-117</t>
  </si>
  <si>
    <t>PE-71</t>
  </si>
  <si>
    <t>PE-70</t>
  </si>
  <si>
    <t>PF-63</t>
  </si>
  <si>
    <t>PF-94</t>
  </si>
  <si>
    <t>1133-1134-1135-1136</t>
  </si>
  <si>
    <t>PE-241</t>
  </si>
  <si>
    <t>PE-242</t>
  </si>
  <si>
    <t>PE-195</t>
  </si>
  <si>
    <t>PE-226</t>
  </si>
  <si>
    <t>PE-243</t>
  </si>
  <si>
    <t>PN-238</t>
  </si>
  <si>
    <t>1129-1130-1131-1132</t>
  </si>
  <si>
    <t>PE-148</t>
  </si>
  <si>
    <t>PE-149</t>
  </si>
  <si>
    <t>PE-133</t>
  </si>
  <si>
    <t>PE-164</t>
  </si>
  <si>
    <t>PE-150</t>
  </si>
  <si>
    <t>PE-180</t>
  </si>
  <si>
    <t>PN-227</t>
  </si>
  <si>
    <t>1139-1140-1141-1142</t>
  </si>
  <si>
    <t>PN-229</t>
  </si>
  <si>
    <t>PN-230</t>
  </si>
  <si>
    <t>PE-257</t>
  </si>
  <si>
    <t>PN-231</t>
  </si>
  <si>
    <t>PN-232</t>
  </si>
  <si>
    <t>PN-233</t>
  </si>
  <si>
    <t>PN-234</t>
  </si>
  <si>
    <t>PE-211</t>
  </si>
  <si>
    <t>PF-156</t>
  </si>
  <si>
    <t>PF-125</t>
  </si>
  <si>
    <t>1150-1151-1152-1153</t>
  </si>
  <si>
    <t>PN-235</t>
  </si>
  <si>
    <t>PN-236</t>
  </si>
  <si>
    <t>PN-237</t>
  </si>
  <si>
    <t>PE-288</t>
  </si>
  <si>
    <t>PN-239</t>
  </si>
  <si>
    <t>PN-228</t>
  </si>
  <si>
    <t>PN-240</t>
  </si>
  <si>
    <t>1173-1174-1175-1176</t>
  </si>
  <si>
    <t>PN-244</t>
  </si>
  <si>
    <t>PN-245</t>
  </si>
  <si>
    <t>PN-246</t>
  </si>
  <si>
    <t xml:space="preserve">PE-334 </t>
  </si>
  <si>
    <t>PN-247</t>
  </si>
  <si>
    <t>PN-248</t>
  </si>
  <si>
    <t>PN-250</t>
  </si>
  <si>
    <t>1178-1179-1180-1181</t>
  </si>
  <si>
    <t>PN-251</t>
  </si>
  <si>
    <t>PN-252</t>
  </si>
  <si>
    <t>PN-253</t>
  </si>
  <si>
    <t>PE-365</t>
  </si>
  <si>
    <t>PN-254</t>
  </si>
  <si>
    <t>PN-255</t>
  </si>
  <si>
    <t>PN-256</t>
  </si>
  <si>
    <t>1183-1184-1185-1186</t>
  </si>
  <si>
    <t>PN-258</t>
  </si>
  <si>
    <t>PN-259</t>
  </si>
  <si>
    <t>PN-260</t>
  </si>
  <si>
    <t>PN-261</t>
  </si>
  <si>
    <t>PN-262</t>
  </si>
  <si>
    <t>PN-263</t>
  </si>
  <si>
    <t>PE-302</t>
  </si>
  <si>
    <t>1187-1188-1189-1190</t>
  </si>
  <si>
    <t>PN-264</t>
  </si>
  <si>
    <t>PN-265</t>
  </si>
  <si>
    <t>PE-351</t>
  </si>
  <si>
    <t>PN-266</t>
  </si>
  <si>
    <t>PN-267</t>
  </si>
  <si>
    <t>PN-268</t>
  </si>
  <si>
    <t>PN-269</t>
  </si>
  <si>
    <t>1192-1193-1194-1195</t>
  </si>
  <si>
    <t>PN-270</t>
  </si>
  <si>
    <t>PN-271</t>
  </si>
  <si>
    <t>PN-274</t>
  </si>
  <si>
    <t>PN-275</t>
  </si>
  <si>
    <t>PN-276</t>
  </si>
  <si>
    <t>PN-272</t>
  </si>
  <si>
    <t>PN-277</t>
  </si>
  <si>
    <t>1196-1197-1198-1199</t>
  </si>
  <si>
    <t>PN-278</t>
  </si>
  <si>
    <t>PN-279</t>
  </si>
  <si>
    <t>PE-382</t>
  </si>
  <si>
    <t>PN-281</t>
  </si>
  <si>
    <t>PN-282</t>
  </si>
  <si>
    <t>PN-283</t>
  </si>
  <si>
    <t>PN-284</t>
  </si>
  <si>
    <t>1200-1201-1202-1203</t>
  </si>
  <si>
    <t>PN-285</t>
  </si>
  <si>
    <t>PN-286</t>
  </si>
  <si>
    <t>PN-289</t>
  </si>
  <si>
    <t>PN-290</t>
  </si>
  <si>
    <t>PN-291</t>
  </si>
  <si>
    <t>PN-292</t>
  </si>
  <si>
    <t>PN-287</t>
  </si>
  <si>
    <t>1205-1206-1207-1208</t>
  </si>
  <si>
    <t>PN-293</t>
  </si>
  <si>
    <t>PN-294</t>
  </si>
  <si>
    <t>PN-295</t>
  </si>
  <si>
    <t>PN-296</t>
  </si>
  <si>
    <t>PN-297</t>
  </si>
  <si>
    <t>PN-298</t>
  </si>
  <si>
    <t>PN-299</t>
  </si>
  <si>
    <t>PF-187</t>
  </si>
  <si>
    <t>1210-1211-1212-1213</t>
  </si>
  <si>
    <t>PN-300</t>
  </si>
  <si>
    <t>PN-301</t>
  </si>
  <si>
    <t>PN-306</t>
  </si>
  <si>
    <t>PN-307</t>
  </si>
  <si>
    <t>PN-308</t>
  </si>
  <si>
    <t>PN-309</t>
  </si>
  <si>
    <t>PN-310</t>
  </si>
  <si>
    <t>1214-1215-1216-1217</t>
  </si>
  <si>
    <t>PN-312</t>
  </si>
  <si>
    <t>PN-313</t>
  </si>
  <si>
    <t>PN-314</t>
  </si>
  <si>
    <t>PN-315</t>
  </si>
  <si>
    <t>PN-316</t>
  </si>
  <si>
    <t>PN-317</t>
  </si>
  <si>
    <t>PN-319</t>
  </si>
  <si>
    <t>1219-1220-1221-1222</t>
  </si>
  <si>
    <t>PN-320</t>
  </si>
  <si>
    <t>PN-321</t>
  </si>
  <si>
    <t>PN-322</t>
  </si>
  <si>
    <t>PN-323</t>
  </si>
  <si>
    <t>PN-324</t>
  </si>
  <si>
    <t>PN-325</t>
  </si>
  <si>
    <t>PN-326</t>
  </si>
  <si>
    <t>1224-1225-1226-1227</t>
  </si>
  <si>
    <t>PN-327</t>
  </si>
  <si>
    <t>PN-328</t>
  </si>
  <si>
    <t>PN-329</t>
  </si>
  <si>
    <t>PN-330</t>
  </si>
  <si>
    <t>PN-331</t>
  </si>
  <si>
    <t>PN-332</t>
  </si>
  <si>
    <t>PN-333</t>
  </si>
  <si>
    <t>1229-1230-1231-1232</t>
  </si>
  <si>
    <t>PN-335</t>
  </si>
  <si>
    <t>PN-336</t>
  </si>
  <si>
    <t>PN-337</t>
  </si>
  <si>
    <t>PN-338</t>
  </si>
  <si>
    <t>PN-339</t>
  </si>
  <si>
    <t>PN-340</t>
  </si>
  <si>
    <t>PN-341</t>
  </si>
  <si>
    <t>1233-1234-1235-1236</t>
  </si>
  <si>
    <t>PN-343</t>
  </si>
  <si>
    <t>PN-344</t>
  </si>
  <si>
    <t>PN-345</t>
  </si>
  <si>
    <t>PN-346</t>
  </si>
  <si>
    <t>PN-347</t>
  </si>
  <si>
    <t>PN-352</t>
  </si>
  <si>
    <t>PN-353</t>
  </si>
  <si>
    <t>1238-1239-1240-1241</t>
  </si>
  <si>
    <t>PN-354</t>
  </si>
  <si>
    <t>PN-355</t>
  </si>
  <si>
    <t>PN-356</t>
  </si>
  <si>
    <t>PN-357</t>
  </si>
  <si>
    <t>PN-358</t>
  </si>
  <si>
    <t>PN-359</t>
  </si>
  <si>
    <t>PN-360</t>
  </si>
  <si>
    <t>1242-1243-1244-1245</t>
  </si>
  <si>
    <t>PN-361</t>
  </si>
  <si>
    <t>PN-362</t>
  </si>
  <si>
    <t>PN-363</t>
  </si>
  <si>
    <t>PN-364</t>
  </si>
  <si>
    <t>PN-366</t>
  </si>
  <si>
    <t>PN-367</t>
  </si>
  <si>
    <t>PN-368</t>
  </si>
  <si>
    <t>1247-1248-1249-1250</t>
  </si>
  <si>
    <t>PN-369</t>
  </si>
  <si>
    <t>PN-370</t>
  </si>
  <si>
    <t>PN-371</t>
  </si>
  <si>
    <t>PN-372</t>
  </si>
  <si>
    <t>PN-374</t>
  </si>
  <si>
    <t>PN-375</t>
  </si>
  <si>
    <t>PN-376</t>
  </si>
  <si>
    <t>PF-218</t>
  </si>
  <si>
    <t>1251-1252-1253-1254</t>
  </si>
  <si>
    <t>PE-303</t>
  </si>
  <si>
    <t>PN-377</t>
  </si>
  <si>
    <t>PN-378</t>
  </si>
  <si>
    <t>PN-383</t>
  </si>
  <si>
    <t>PN-384</t>
  </si>
  <si>
    <t>PN-385</t>
  </si>
  <si>
    <t>PN-386</t>
  </si>
  <si>
    <t>1255-1256-1257-1258</t>
  </si>
  <si>
    <t>PN-387</t>
  </si>
  <si>
    <t>PN-388</t>
  </si>
  <si>
    <t>PN-389</t>
  </si>
  <si>
    <t>PN-390</t>
  </si>
  <si>
    <t>PN-391</t>
  </si>
  <si>
    <t>PN-392</t>
  </si>
  <si>
    <t>PN-393</t>
  </si>
  <si>
    <t>1260-1261-1262-1263</t>
  </si>
  <si>
    <t>PN-394</t>
  </si>
  <si>
    <t>PN-395</t>
  </si>
  <si>
    <t>PN-397</t>
  </si>
  <si>
    <t>PN-398</t>
  </si>
  <si>
    <t>PE-273</t>
  </si>
  <si>
    <t>PN-399</t>
  </si>
  <si>
    <t>PN-400</t>
  </si>
  <si>
    <t>1264-1265-1266-1267</t>
  </si>
  <si>
    <t>PN-401</t>
  </si>
  <si>
    <t>PN-402</t>
  </si>
  <si>
    <t>PN-403</t>
  </si>
  <si>
    <t>PN-405</t>
  </si>
  <si>
    <t>PN-406</t>
  </si>
  <si>
    <t>PN-407</t>
  </si>
  <si>
    <t>PN-408</t>
  </si>
  <si>
    <t>1268-1269-1270-1271</t>
  </si>
  <si>
    <t>PN-409</t>
  </si>
  <si>
    <t>PN-410</t>
  </si>
  <si>
    <t>PN-412</t>
  </si>
  <si>
    <t>PN-413</t>
  </si>
  <si>
    <t>PN-414</t>
  </si>
  <si>
    <t>PN-415</t>
  </si>
  <si>
    <t>PN-416</t>
  </si>
  <si>
    <t>1272-1273-1274-1275</t>
  </si>
  <si>
    <t>PN-417</t>
  </si>
  <si>
    <t>PN-418</t>
  </si>
  <si>
    <t>PN-419</t>
  </si>
  <si>
    <t>PN-420</t>
  </si>
  <si>
    <t>PN-421</t>
  </si>
  <si>
    <t>PN-422</t>
  </si>
  <si>
    <t>PN-423</t>
  </si>
  <si>
    <t>1276-1277-1278-1279</t>
  </si>
  <si>
    <t>PN-424</t>
  </si>
  <si>
    <t>PN-425</t>
  </si>
  <si>
    <t>PN-426</t>
  </si>
  <si>
    <t>PN-428</t>
  </si>
  <si>
    <t>PN-429</t>
  </si>
  <si>
    <t>PN-430</t>
  </si>
  <si>
    <t>PN-431</t>
  </si>
  <si>
    <t>1280-1281-1282-1283</t>
  </si>
  <si>
    <t>PN-432</t>
  </si>
  <si>
    <t>PN-433</t>
  </si>
  <si>
    <t>PN-434</t>
  </si>
  <si>
    <t>PN-436</t>
  </si>
  <si>
    <t>PN-437</t>
  </si>
  <si>
    <t>PN-438</t>
  </si>
  <si>
    <t>PN-439</t>
  </si>
  <si>
    <t>1284-1285-1286-1287</t>
  </si>
  <si>
    <t>PN-440</t>
  </si>
  <si>
    <t>PN-441</t>
  </si>
  <si>
    <t>PN-442</t>
  </si>
  <si>
    <t>PN-444</t>
  </si>
  <si>
    <t>PN-445</t>
  </si>
  <si>
    <t>PN-446</t>
  </si>
  <si>
    <t>PN-447</t>
  </si>
  <si>
    <t>PF-249</t>
  </si>
  <si>
    <t>1289-1290-1291-1292</t>
  </si>
  <si>
    <t>PN-448</t>
  </si>
  <si>
    <t>PN-449</t>
  </si>
  <si>
    <t>PN-450</t>
  </si>
  <si>
    <t>PN-451</t>
  </si>
  <si>
    <t>PN-452</t>
  </si>
  <si>
    <t>PN-453</t>
  </si>
  <si>
    <t>PN-454</t>
  </si>
  <si>
    <t>1293-1294-1295-1296</t>
  </si>
  <si>
    <t>PN-455</t>
  </si>
  <si>
    <t>PN-456</t>
  </si>
  <si>
    <t>PN-461</t>
  </si>
  <si>
    <t>PE-305</t>
  </si>
  <si>
    <t>PN-463</t>
  </si>
  <si>
    <t>PN-464</t>
  </si>
  <si>
    <t>PN-462</t>
  </si>
  <si>
    <t>1298-1299-1300-1301</t>
  </si>
  <si>
    <t>PN-465</t>
  </si>
  <si>
    <t>PN-467</t>
  </si>
  <si>
    <t>PN-468</t>
  </si>
  <si>
    <t>PN-469</t>
  </si>
  <si>
    <t>PN-470</t>
  </si>
  <si>
    <t>PN-471</t>
  </si>
  <si>
    <t>PN-472</t>
  </si>
  <si>
    <t>1303-1304-1305-1306</t>
  </si>
  <si>
    <t>PN-473</t>
  </si>
  <si>
    <t>PE-304</t>
  </si>
  <si>
    <t>PN-475</t>
  </si>
  <si>
    <t>PN-476</t>
  </si>
  <si>
    <t>PN-477</t>
  </si>
  <si>
    <t>PN-478</t>
  </si>
  <si>
    <t>PN-479</t>
  </si>
  <si>
    <t>PF-280</t>
  </si>
  <si>
    <t>1308-1309-1310-1311</t>
  </si>
  <si>
    <t>PN-480</t>
  </si>
  <si>
    <t>PN-481</t>
  </si>
  <si>
    <t>PN-482</t>
  </si>
  <si>
    <t>PN-483</t>
  </si>
  <si>
    <t>PN-484</t>
  </si>
  <si>
    <t>PN-485</t>
  </si>
  <si>
    <t>PN-486</t>
  </si>
  <si>
    <t>1312-1313-1314-1315</t>
  </si>
  <si>
    <t>PN-487</t>
  </si>
  <si>
    <t>PN-488</t>
  </si>
  <si>
    <t>PN-489</t>
  </si>
  <si>
    <t>PN-491</t>
  </si>
  <si>
    <t>PN-492</t>
  </si>
  <si>
    <t>PN-493</t>
  </si>
  <si>
    <t>PN-494</t>
  </si>
  <si>
    <t>1316-1317-1318-1319</t>
  </si>
  <si>
    <t>PN-495</t>
  </si>
  <si>
    <t>PE-350</t>
  </si>
  <si>
    <t>PN-496</t>
  </si>
  <si>
    <t>PN-498</t>
  </si>
  <si>
    <t>PN-499</t>
  </si>
  <si>
    <t>PN-500</t>
  </si>
  <si>
    <t>PE-318</t>
  </si>
  <si>
    <t>1320-1321-1322-1323</t>
  </si>
  <si>
    <t>PN-501</t>
  </si>
  <si>
    <t>PN-502</t>
  </si>
  <si>
    <t>PN-503</t>
  </si>
  <si>
    <t>PN-504</t>
  </si>
  <si>
    <t>PN-505</t>
  </si>
  <si>
    <t>PN-506</t>
  </si>
  <si>
    <t>PN-507</t>
  </si>
  <si>
    <t>PF-311</t>
  </si>
  <si>
    <t>1325-1326-1327-1328</t>
  </si>
  <si>
    <t>PE-349</t>
  </si>
  <si>
    <t>PN-509</t>
  </si>
  <si>
    <t>PN-510</t>
  </si>
  <si>
    <t>PE-348</t>
  </si>
  <si>
    <t>PE-396</t>
  </si>
  <si>
    <t>PE-427</t>
  </si>
  <si>
    <t>PE-443</t>
  </si>
  <si>
    <t>PF-342</t>
  </si>
  <si>
    <t>1330-1331-1332-1333</t>
  </si>
  <si>
    <t xml:space="preserve">PN-511 </t>
  </si>
  <si>
    <t>PN-512</t>
  </si>
  <si>
    <t>PN-513</t>
  </si>
  <si>
    <t>PN-514</t>
  </si>
  <si>
    <t>PN-515</t>
  </si>
  <si>
    <t>PN-516</t>
  </si>
  <si>
    <t>PN-517</t>
  </si>
  <si>
    <t>PF-373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</si>
</sst>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C00000"/>
      <name val="Calibri"/>
      <family val="2"/>
      <scheme val="minor"/>
    </font>
    <font>
      <sz val="12"/>
      <name val="Wingdings"/>
      <charset val="2"/>
    </font>
    <font>
      <sz val="8"/>
      <name val="Verdana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5"/>
      <color theme="1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10"/>
      <color theme="1"/>
      <name val="Verdana"/>
      <family val="2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9.5"/>
      <color theme="1"/>
      <name val="Calibri"/>
      <family val="2"/>
      <scheme val="minor"/>
    </font>
    <font>
      <sz val="8.5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E000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24" fillId="0" borderId="0"/>
    <xf numFmtId="43" fontId="25" fillId="0" borderId="0" applyFont="0" applyFill="0" applyBorder="0" applyAlignment="0" applyProtection="0"/>
  </cellStyleXfs>
  <cellXfs count="36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0" borderId="5" xfId="0" applyFont="1" applyBorder="1"/>
    <xf numFmtId="0" fontId="7" fillId="0" borderId="5" xfId="0" applyFont="1" applyBorder="1"/>
    <xf numFmtId="0" fontId="0" fillId="0" borderId="5" xfId="0" applyBorder="1"/>
    <xf numFmtId="0" fontId="0" fillId="0" borderId="7" xfId="0" applyBorder="1"/>
    <xf numFmtId="0" fontId="4" fillId="0" borderId="0" xfId="0" applyFont="1"/>
    <xf numFmtId="0" fontId="7" fillId="0" borderId="0" xfId="0" applyFont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1" fillId="0" borderId="3" xfId="0" applyFont="1" applyBorder="1"/>
    <xf numFmtId="0" fontId="7" fillId="0" borderId="5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0" fillId="0" borderId="38" xfId="0" applyBorder="1"/>
    <xf numFmtId="0" fontId="4" fillId="0" borderId="37" xfId="0" applyFont="1" applyBorder="1"/>
    <xf numFmtId="0" fontId="0" fillId="0" borderId="37" xfId="0" applyBorder="1"/>
    <xf numFmtId="0" fontId="0" fillId="0" borderId="41" xfId="0" applyBorder="1"/>
    <xf numFmtId="0" fontId="0" fillId="0" borderId="30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13" fillId="0" borderId="1" xfId="0" applyFont="1" applyBorder="1"/>
    <xf numFmtId="0" fontId="14" fillId="0" borderId="1" xfId="0" applyFont="1" applyBorder="1"/>
    <xf numFmtId="0" fontId="3" fillId="0" borderId="17" xfId="0" applyFont="1" applyBorder="1" applyAlignment="1">
      <alignment horizont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/>
    <xf numFmtId="0" fontId="4" fillId="0" borderId="3" xfId="0" applyFont="1" applyBorder="1"/>
    <xf numFmtId="0" fontId="13" fillId="0" borderId="0" xfId="0" applyFont="1"/>
    <xf numFmtId="0" fontId="0" fillId="0" borderId="46" xfId="0" applyBorder="1"/>
    <xf numFmtId="0" fontId="4" fillId="0" borderId="46" xfId="0" applyFont="1" applyBorder="1" applyAlignment="1">
      <alignment vertical="center"/>
    </xf>
    <xf numFmtId="0" fontId="0" fillId="0" borderId="19" xfId="0" applyBorder="1"/>
    <xf numFmtId="0" fontId="12" fillId="0" borderId="11" xfId="0" applyFont="1" applyBorder="1"/>
    <xf numFmtId="0" fontId="2" fillId="0" borderId="0" xfId="0" applyFont="1"/>
    <xf numFmtId="0" fontId="9" fillId="0" borderId="34" xfId="0" applyFont="1" applyBorder="1" applyAlignment="1">
      <alignment vertical="center"/>
    </xf>
    <xf numFmtId="0" fontId="11" fillId="0" borderId="34" xfId="0" applyFont="1" applyBorder="1" applyAlignment="1">
      <alignment vertical="center"/>
    </xf>
    <xf numFmtId="0" fontId="8" fillId="0" borderId="34" xfId="0" applyFont="1" applyBorder="1" applyAlignment="1">
      <alignment vertical="center"/>
    </xf>
    <xf numFmtId="0" fontId="0" fillId="0" borderId="34" xfId="0" applyBorder="1" applyAlignment="1">
      <alignment vertical="center"/>
    </xf>
    <xf numFmtId="0" fontId="9" fillId="0" borderId="3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42" xfId="0" applyFont="1" applyBorder="1"/>
    <xf numFmtId="0" fontId="1" fillId="0" borderId="19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0" fontId="7" fillId="0" borderId="34" xfId="0" applyFont="1" applyBorder="1" applyAlignment="1">
      <alignment vertical="center"/>
    </xf>
    <xf numFmtId="0" fontId="7" fillId="0" borderId="34" xfId="0" applyFont="1" applyBorder="1"/>
    <xf numFmtId="0" fontId="4" fillId="0" borderId="34" xfId="0" applyFont="1" applyBorder="1"/>
    <xf numFmtId="0" fontId="0" fillId="0" borderId="35" xfId="0" applyBorder="1"/>
    <xf numFmtId="0" fontId="1" fillId="0" borderId="4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6" xfId="0" applyBorder="1"/>
    <xf numFmtId="0" fontId="0" fillId="0" borderId="48" xfId="0" applyBorder="1"/>
    <xf numFmtId="0" fontId="15" fillId="0" borderId="22" xfId="0" applyFont="1" applyBorder="1" applyAlignment="1">
      <alignment horizontal="center" vertical="center"/>
    </xf>
    <xf numFmtId="0" fontId="17" fillId="0" borderId="22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20" fillId="0" borderId="41" xfId="0" applyFont="1" applyBorder="1"/>
    <xf numFmtId="0" fontId="7" fillId="0" borderId="37" xfId="0" applyFont="1" applyBorder="1"/>
    <xf numFmtId="0" fontId="7" fillId="0" borderId="40" xfId="0" applyFont="1" applyBorder="1" applyAlignment="1">
      <alignment vertical="center"/>
    </xf>
    <xf numFmtId="0" fontId="0" fillId="0" borderId="30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4" fontId="0" fillId="0" borderId="54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57" xfId="0" applyNumberFormat="1" applyBorder="1" applyAlignment="1">
      <alignment horizontal="center" vertical="center"/>
    </xf>
    <xf numFmtId="1" fontId="0" fillId="0" borderId="58" xfId="0" applyNumberFormat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/>
    </xf>
    <xf numFmtId="0" fontId="1" fillId="4" borderId="53" xfId="0" applyFont="1" applyFill="1" applyBorder="1" applyAlignment="1">
      <alignment horizontal="center" vertical="center"/>
    </xf>
    <xf numFmtId="0" fontId="1" fillId="5" borderId="53" xfId="0" applyFont="1" applyFill="1" applyBorder="1" applyAlignment="1">
      <alignment horizontal="center" vertical="center"/>
    </xf>
    <xf numFmtId="14" fontId="0" fillId="4" borderId="56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4" fontId="0" fillId="4" borderId="55" xfId="0" applyNumberFormat="1" applyFill="1" applyBorder="1" applyAlignment="1">
      <alignment horizontal="center" vertical="center"/>
    </xf>
    <xf numFmtId="14" fontId="0" fillId="0" borderId="55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53" xfId="0" applyFill="1" applyBorder="1" applyAlignment="1">
      <alignment horizontal="center" vertical="center"/>
    </xf>
    <xf numFmtId="0" fontId="24" fillId="4" borderId="1" xfId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3" fillId="0" borderId="5" xfId="0" applyFont="1" applyBorder="1"/>
    <xf numFmtId="0" fontId="17" fillId="0" borderId="40" xfId="0" applyFont="1" applyBorder="1"/>
    <xf numFmtId="0" fontId="7" fillId="0" borderId="5" xfId="0" applyFont="1" applyBorder="1" applyAlignment="1">
      <alignment horizontal="left" vertical="center"/>
    </xf>
    <xf numFmtId="14" fontId="0" fillId="0" borderId="0" xfId="0" applyNumberFormat="1"/>
    <xf numFmtId="14" fontId="0" fillId="2" borderId="1" xfId="0" applyNumberForma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0" fillId="2" borderId="0" xfId="0" applyFill="1"/>
    <xf numFmtId="0" fontId="0" fillId="6" borderId="0" xfId="0" applyFill="1"/>
    <xf numFmtId="164" fontId="0" fillId="2" borderId="2" xfId="0" applyNumberForma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14" fontId="17" fillId="0" borderId="32" xfId="0" applyNumberFormat="1" applyFont="1" applyBorder="1" applyAlignment="1">
      <alignment horizontal="center" vertical="center" wrapText="1"/>
    </xf>
    <xf numFmtId="14" fontId="17" fillId="0" borderId="30" xfId="0" applyNumberFormat="1" applyFont="1" applyBorder="1" applyAlignment="1">
      <alignment horizontal="center" vertical="center" wrapText="1"/>
    </xf>
    <xf numFmtId="14" fontId="17" fillId="0" borderId="43" xfId="0" applyNumberFormat="1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6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17" xfId="0" applyFont="1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16" fillId="0" borderId="19" xfId="0" applyFont="1" applyBorder="1" applyAlignment="1">
      <alignment horizontal="left"/>
    </xf>
    <xf numFmtId="0" fontId="16" fillId="0" borderId="20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6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38" xfId="0" applyBorder="1" applyAlignment="1">
      <alignment horizontal="left"/>
    </xf>
    <xf numFmtId="0" fontId="0" fillId="0" borderId="40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1" xfId="0" quotePrefix="1" applyBorder="1" applyAlignment="1">
      <alignment horizontal="center"/>
    </xf>
    <xf numFmtId="0" fontId="0" fillId="0" borderId="11" xfId="0" quotePrefix="1" applyBorder="1" applyAlignment="1">
      <alignment horizontal="center"/>
    </xf>
    <xf numFmtId="0" fontId="0" fillId="0" borderId="12" xfId="0" quotePrefix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45" xfId="0" applyNumberForma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17" xfId="0" applyBorder="1" applyAlignment="1">
      <alignment horizontal="center"/>
    </xf>
    <xf numFmtId="0" fontId="27" fillId="0" borderId="41" xfId="0" applyFont="1" applyBorder="1" applyAlignment="1">
      <alignment horizontal="left"/>
    </xf>
    <xf numFmtId="0" fontId="27" fillId="0" borderId="11" xfId="0" applyFont="1" applyBorder="1" applyAlignment="1">
      <alignment horizontal="left"/>
    </xf>
    <xf numFmtId="0" fontId="27" fillId="0" borderId="12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27" fillId="0" borderId="37" xfId="0" applyFont="1" applyBorder="1" applyAlignment="1">
      <alignment horizontal="left"/>
    </xf>
    <xf numFmtId="0" fontId="27" fillId="0" borderId="0" xfId="0" applyFont="1" applyAlignment="1">
      <alignment horizontal="left"/>
    </xf>
    <xf numFmtId="0" fontId="27" fillId="0" borderId="9" xfId="0" applyFont="1" applyBorder="1" applyAlignment="1">
      <alignment horizontal="left"/>
    </xf>
    <xf numFmtId="0" fontId="27" fillId="0" borderId="5" xfId="0" applyFont="1" applyBorder="1"/>
    <xf numFmtId="0" fontId="27" fillId="0" borderId="7" xfId="0" applyFont="1" applyBorder="1"/>
    <xf numFmtId="0" fontId="26" fillId="0" borderId="6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0" fillId="0" borderId="40" xfId="0" applyBorder="1" applyAlignment="1">
      <alignment horizontal="left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3" fillId="0" borderId="16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26" fillId="0" borderId="19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17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0" fontId="26" fillId="0" borderId="21" xfId="0" applyFont="1" applyBorder="1" applyAlignment="1">
      <alignment horizontal="center"/>
    </xf>
    <xf numFmtId="0" fontId="26" fillId="0" borderId="22" xfId="0" applyFont="1" applyBorder="1" applyAlignment="1">
      <alignment horizontal="center"/>
    </xf>
    <xf numFmtId="0" fontId="26" fillId="0" borderId="23" xfId="0" applyFont="1" applyBorder="1" applyAlignment="1">
      <alignment horizontal="center"/>
    </xf>
    <xf numFmtId="0" fontId="6" fillId="0" borderId="33" xfId="0" applyFont="1" applyBorder="1" applyAlignment="1">
      <alignment horizontal="left"/>
    </xf>
    <xf numFmtId="0" fontId="6" fillId="0" borderId="34" xfId="0" applyFont="1" applyBorder="1" applyAlignment="1">
      <alignment horizontal="left"/>
    </xf>
    <xf numFmtId="0" fontId="3" fillId="0" borderId="34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14" fontId="4" fillId="0" borderId="29" xfId="0" applyNumberFormat="1" applyFont="1" applyBorder="1" applyAlignment="1">
      <alignment horizontal="center" vertical="center" wrapText="1"/>
    </xf>
    <xf numFmtId="14" fontId="4" fillId="0" borderId="30" xfId="0" applyNumberFormat="1" applyFont="1" applyBorder="1" applyAlignment="1">
      <alignment horizontal="center" vertical="center" wrapText="1"/>
    </xf>
    <xf numFmtId="14" fontId="4" fillId="0" borderId="31" xfId="0" applyNumberFormat="1" applyFont="1" applyBorder="1" applyAlignment="1">
      <alignment horizontal="center" vertical="center" wrapText="1"/>
    </xf>
    <xf numFmtId="14" fontId="3" fillId="0" borderId="32" xfId="0" applyNumberFormat="1" applyFont="1" applyBorder="1" applyAlignment="1">
      <alignment horizontal="center" vertical="center"/>
    </xf>
    <xf numFmtId="14" fontId="3" fillId="0" borderId="30" xfId="0" applyNumberFormat="1" applyFont="1" applyBorder="1" applyAlignment="1">
      <alignment horizontal="center" vertical="center"/>
    </xf>
    <xf numFmtId="14" fontId="3" fillId="0" borderId="31" xfId="0" applyNumberFormat="1" applyFont="1" applyBorder="1" applyAlignment="1">
      <alignment horizontal="center" vertical="center"/>
    </xf>
    <xf numFmtId="0" fontId="3" fillId="0" borderId="33" xfId="0" applyFont="1" applyBorder="1" applyAlignment="1">
      <alignment horizontal="left"/>
    </xf>
    <xf numFmtId="0" fontId="3" fillId="0" borderId="34" xfId="0" applyFont="1" applyBorder="1" applyAlignment="1">
      <alignment horizontal="left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right" vertical="center"/>
    </xf>
    <xf numFmtId="0" fontId="15" fillId="0" borderId="22" xfId="0" applyFont="1" applyBorder="1" applyAlignment="1">
      <alignment horizontal="left" vertical="center"/>
    </xf>
    <xf numFmtId="0" fontId="15" fillId="0" borderId="24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15" fillId="0" borderId="38" xfId="0" applyFont="1" applyBorder="1" applyAlignment="1">
      <alignment horizontal="left"/>
    </xf>
    <xf numFmtId="0" fontId="3" fillId="0" borderId="36" xfId="0" applyFont="1" applyBorder="1" applyAlignment="1">
      <alignment horizontal="center"/>
    </xf>
    <xf numFmtId="0" fontId="17" fillId="2" borderId="40" xfId="0" applyFont="1" applyFill="1" applyBorder="1"/>
    <xf numFmtId="0" fontId="23" fillId="2" borderId="5" xfId="0" applyFont="1" applyFill="1" applyBorder="1"/>
    <xf numFmtId="0" fontId="27" fillId="2" borderId="5" xfId="0" applyFont="1" applyFill="1" applyBorder="1"/>
    <xf numFmtId="0" fontId="27" fillId="2" borderId="7" xfId="0" applyFont="1" applyFill="1" applyBorder="1"/>
    <xf numFmtId="0" fontId="27" fillId="2" borderId="37" xfId="0" applyFont="1" applyFill="1" applyBorder="1" applyAlignment="1">
      <alignment horizontal="left"/>
    </xf>
    <xf numFmtId="0" fontId="27" fillId="2" borderId="0" xfId="0" applyFont="1" applyFill="1" applyAlignment="1">
      <alignment horizontal="left"/>
    </xf>
    <xf numFmtId="0" fontId="27" fillId="2" borderId="9" xfId="0" applyFont="1" applyFill="1" applyBorder="1" applyAlignment="1">
      <alignment horizontal="left"/>
    </xf>
    <xf numFmtId="0" fontId="27" fillId="2" borderId="41" xfId="0" applyFont="1" applyFill="1" applyBorder="1" applyAlignment="1">
      <alignment horizontal="left"/>
    </xf>
    <xf numFmtId="0" fontId="27" fillId="2" borderId="11" xfId="0" applyFont="1" applyFill="1" applyBorder="1" applyAlignment="1">
      <alignment horizontal="left"/>
    </xf>
    <xf numFmtId="0" fontId="27" fillId="2" borderId="12" xfId="0" applyFont="1" applyFill="1" applyBorder="1" applyAlignment="1">
      <alignment horizontal="left"/>
    </xf>
    <xf numFmtId="0" fontId="26" fillId="2" borderId="21" xfId="0" applyFont="1" applyFill="1" applyBorder="1" applyAlignment="1">
      <alignment horizontal="center"/>
    </xf>
    <xf numFmtId="0" fontId="26" fillId="2" borderId="22" xfId="0" applyFont="1" applyFill="1" applyBorder="1" applyAlignment="1">
      <alignment horizontal="center"/>
    </xf>
    <xf numFmtId="0" fontId="26" fillId="2" borderId="23" xfId="0" applyFont="1" applyFill="1" applyBorder="1" applyAlignment="1">
      <alignment horizontal="center"/>
    </xf>
    <xf numFmtId="0" fontId="26" fillId="2" borderId="14" xfId="0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/>
    </xf>
    <xf numFmtId="0" fontId="26" fillId="2" borderId="19" xfId="0" applyFont="1" applyFill="1" applyBorder="1" applyAlignment="1">
      <alignment horizontal="center"/>
    </xf>
    <xf numFmtId="14" fontId="4" fillId="2" borderId="29" xfId="0" applyNumberFormat="1" applyFont="1" applyFill="1" applyBorder="1" applyAlignment="1">
      <alignment horizontal="center" vertical="center" wrapText="1"/>
    </xf>
    <xf numFmtId="14" fontId="4" fillId="2" borderId="30" xfId="0" applyNumberFormat="1" applyFont="1" applyFill="1" applyBorder="1" applyAlignment="1">
      <alignment horizontal="center" vertical="center" wrapText="1"/>
    </xf>
    <xf numFmtId="14" fontId="4" fillId="2" borderId="31" xfId="0" applyNumberFormat="1" applyFont="1" applyFill="1" applyBorder="1" applyAlignment="1">
      <alignment horizontal="center" vertical="center" wrapText="1"/>
    </xf>
    <xf numFmtId="0" fontId="15" fillId="2" borderId="22" xfId="0" applyFont="1" applyFill="1" applyBorder="1" applyAlignment="1">
      <alignment horizontal="left" vertical="center"/>
    </xf>
    <xf numFmtId="0" fontId="15" fillId="2" borderId="24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/>
    </xf>
    <xf numFmtId="0" fontId="3" fillId="2" borderId="35" xfId="0" applyFont="1" applyFill="1" applyBorder="1" applyAlignment="1">
      <alignment horizontal="center"/>
    </xf>
    <xf numFmtId="0" fontId="0" fillId="2" borderId="41" xfId="0" quotePrefix="1" applyFill="1" applyBorder="1" applyAlignment="1">
      <alignment horizontal="center"/>
    </xf>
    <xf numFmtId="0" fontId="0" fillId="2" borderId="11" xfId="0" quotePrefix="1" applyFill="1" applyBorder="1" applyAlignment="1">
      <alignment horizontal="center"/>
    </xf>
    <xf numFmtId="0" fontId="0" fillId="2" borderId="12" xfId="0" quotePrefix="1" applyFill="1" applyBorder="1" applyAlignment="1">
      <alignment horizontal="center"/>
    </xf>
    <xf numFmtId="14" fontId="0" fillId="2" borderId="10" xfId="0" applyNumberFormat="1" applyFill="1" applyBorder="1" applyAlignment="1">
      <alignment horizontal="center"/>
    </xf>
    <xf numFmtId="14" fontId="0" fillId="2" borderId="11" xfId="0" applyNumberForma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4" fontId="0" fillId="2" borderId="45" xfId="0" applyNumberFormat="1" applyFill="1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0" fontId="0" fillId="2" borderId="38" xfId="0" applyFill="1" applyBorder="1" applyAlignment="1">
      <alignment horizontal="left"/>
    </xf>
    <xf numFmtId="0" fontId="0" fillId="2" borderId="10" xfId="0" applyFill="1" applyBorder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/>
    </xf>
    <xf numFmtId="0" fontId="15" fillId="2" borderId="38" xfId="0" applyFont="1" applyFill="1" applyBorder="1" applyAlignment="1">
      <alignment horizontal="left"/>
    </xf>
    <xf numFmtId="14" fontId="3" fillId="2" borderId="32" xfId="0" applyNumberFormat="1" applyFont="1" applyFill="1" applyBorder="1" applyAlignment="1">
      <alignment horizontal="center" vertical="center"/>
    </xf>
    <xf numFmtId="14" fontId="3" fillId="2" borderId="30" xfId="0" applyNumberFormat="1" applyFont="1" applyFill="1" applyBorder="1" applyAlignment="1">
      <alignment horizontal="center" vertical="center"/>
    </xf>
    <xf numFmtId="14" fontId="3" fillId="2" borderId="31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8C511FFD-C04C-41E3-9EFD-CCAF5D5C302E}"/>
    <cellStyle name="Vírgula 2" xfId="2" xr:uid="{B52236B3-7048-46EA-B18B-7B3385F57B38}"/>
  </cellStyles>
  <dxfs count="1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134409</xdr:colOff>
      <xdr:row>0</xdr:row>
      <xdr:rowOff>25135</xdr:rowOff>
    </xdr:from>
    <xdr:to>
      <xdr:col>10</xdr:col>
      <xdr:colOff>1840</xdr:colOff>
      <xdr:row>2</xdr:row>
      <xdr:rowOff>167962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71A9121-8E46-4FC6-BCB3-AAA4A934F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889" y="25135"/>
          <a:ext cx="1444771" cy="5009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134409</xdr:colOff>
      <xdr:row>0</xdr:row>
      <xdr:rowOff>25135</xdr:rowOff>
    </xdr:from>
    <xdr:to>
      <xdr:col>10</xdr:col>
      <xdr:colOff>1840</xdr:colOff>
      <xdr:row>2</xdr:row>
      <xdr:rowOff>171772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71ABCA5-7826-491E-9AA4-83B1A1E1F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9" y="25135"/>
          <a:ext cx="1410481" cy="4990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134409</xdr:colOff>
      <xdr:row>0</xdr:row>
      <xdr:rowOff>25135</xdr:rowOff>
    </xdr:from>
    <xdr:to>
      <xdr:col>10</xdr:col>
      <xdr:colOff>1840</xdr:colOff>
      <xdr:row>2</xdr:row>
      <xdr:rowOff>171772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EABF2E5-3F70-423B-B373-37B316239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174" y="21325"/>
          <a:ext cx="1414291" cy="5028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134409</xdr:colOff>
      <xdr:row>0</xdr:row>
      <xdr:rowOff>25135</xdr:rowOff>
    </xdr:from>
    <xdr:to>
      <xdr:col>10</xdr:col>
      <xdr:colOff>1840</xdr:colOff>
      <xdr:row>2</xdr:row>
      <xdr:rowOff>171772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BC03DD0-0592-483B-A06D-88F8CEA1E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9" y="25135"/>
          <a:ext cx="1410481" cy="4990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134409</xdr:colOff>
      <xdr:row>0</xdr:row>
      <xdr:rowOff>25135</xdr:rowOff>
    </xdr:from>
    <xdr:to>
      <xdr:col>10</xdr:col>
      <xdr:colOff>1840</xdr:colOff>
      <xdr:row>2</xdr:row>
      <xdr:rowOff>171772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347035A-67E6-4D40-89C4-CC4867FE7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9" y="25135"/>
          <a:ext cx="1410481" cy="49906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ogerio de Jesus" id="{C9435262-99CD-4D71-BEBA-6B44DD2CB070}" userId="Rogerio de Jesus" providerId="None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8" dT="2021-12-06T18:04:54.77" personId="{C9435262-99CD-4D71-BEBA-6B44DD2CB070}" id="{6D8F7D15-D17A-4FB3-9DFE-DB0F0EA784DF}">
    <text>SE FOR CANALETAS COM CHAPA INÓX MARCAR O "X" CASO NÃO SEJA DESMARCAR O "X"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8" dT="2021-12-06T18:04:54.77" personId="{C9435262-99CD-4D71-BEBA-6B44DD2CB070}" id="{744E936A-ABDC-4949-A45C-A2B28D7B0B8F}">
    <text>SE FOR CANALETAS COM CHAPA INÓX MARCAR O "X" CASO NÃO SEJA DESMARCAR O "X"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38" dT="2021-12-06T18:04:54.77" personId="{C9435262-99CD-4D71-BEBA-6B44DD2CB070}" id="{DB14EA0E-4CCE-472F-9BEC-E9B5E6090F34}">
    <text>SE FOR CANALETAS COM CHAPA INÓX MARCAR O "X" CASO NÃO SEJA DESMARCAR O "X"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38" dT="2021-12-06T18:04:54.77" personId="{C9435262-99CD-4D71-BEBA-6B44DD2CB070}" id="{B08E68D4-19D7-492F-B93E-E8B60491D280}">
    <text>SE FOR CANALETAS COM CHAPA INÓX MARCAR O "X" CASO NÃO SEJA DESMARCAR O "X"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38" dT="2021-12-06T18:04:54.77" personId="{C9435262-99CD-4D71-BEBA-6B44DD2CB070}" id="{24E10443-3487-4764-BD85-1AC5811EE528}">
    <text>SE FOR CANALETAS COM CHAPA INÓX MARCAR O "X" CASO NÃO SEJA DESMARCAR O "X"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H88"/>
  <sheetViews>
    <sheetView zoomScaleNormal="100" workbookViewId="0">
      <pane xSplit="2" ySplit="2" topLeftCell="C77" activePane="bottomRight" state="frozen"/>
      <selection activeCell="AL60" sqref="AL60"/>
      <selection pane="topRight" activeCell="AL60" sqref="AL60"/>
      <selection pane="bottomLeft" activeCell="AL60" sqref="AL60"/>
      <selection pane="bottomRight" activeCell="A79" sqref="A79:XFD79"/>
    </sheetView>
  </sheetViews>
  <sheetFormatPr defaultColWidth="8.85546875" defaultRowHeight="15" x14ac:dyDescent="0.25"/>
  <cols>
    <col min="1" max="1" width="6.85546875" style="82" customWidth="1"/>
    <col min="2" max="2" width="12.28515625" style="82" customWidth="1"/>
    <col min="3" max="3" width="21.7109375" style="83" customWidth="1"/>
    <col min="4" max="4" width="10.140625" style="82" customWidth="1"/>
    <col min="5" max="5" width="5.7109375" style="82" customWidth="1"/>
    <col min="6" max="6" width="10.7109375" style="82" customWidth="1"/>
    <col min="7" max="7" width="5.7109375" style="82" customWidth="1"/>
    <col min="8" max="8" width="10.7109375" style="82" customWidth="1"/>
    <col min="9" max="9" width="5.7109375" style="82" customWidth="1"/>
    <col min="10" max="10" width="10.7109375" style="82" customWidth="1"/>
    <col min="11" max="11" width="5.7109375" style="82" customWidth="1"/>
    <col min="12" max="12" width="10.7109375" style="82" customWidth="1"/>
    <col min="13" max="13" width="5.7109375" style="88" customWidth="1"/>
    <col min="14" max="14" width="10.7109375" style="82" customWidth="1"/>
    <col min="15" max="15" width="5.7109375" style="88" customWidth="1"/>
    <col min="16" max="16" width="10.7109375" style="82" customWidth="1"/>
    <col min="17" max="17" width="5.7109375" style="82" customWidth="1"/>
    <col min="18" max="18" width="10.7109375" style="82" customWidth="1"/>
    <col min="19" max="19" width="5.7109375" style="88" customWidth="1"/>
    <col min="20" max="20" width="10.7109375" style="82" hidden="1" customWidth="1"/>
    <col min="21" max="21" width="5.7109375" style="88" hidden="1" customWidth="1"/>
    <col min="22" max="22" width="10.7109375" style="82" hidden="1" customWidth="1"/>
    <col min="23" max="23" width="5.7109375" style="88" hidden="1" customWidth="1"/>
    <col min="24" max="24" width="10.7109375" style="82" hidden="1" customWidth="1"/>
    <col min="25" max="25" width="5.7109375" style="88" hidden="1" customWidth="1"/>
    <col min="26" max="26" width="10.7109375" style="82" hidden="1" customWidth="1"/>
    <col min="27" max="27" width="5.7109375" style="88" hidden="1" customWidth="1"/>
    <col min="28" max="28" width="16.140625" style="88" hidden="1" customWidth="1"/>
    <col min="29" max="29" width="4.85546875" style="88" hidden="1" customWidth="1"/>
    <col min="30" max="30" width="4" style="82" customWidth="1"/>
    <col min="31" max="31" width="10" style="103" customWidth="1"/>
    <col min="32" max="32" width="44.28515625" style="82" customWidth="1"/>
    <col min="33" max="33" width="30.28515625" style="82" customWidth="1"/>
    <col min="34" max="34" width="47" style="82" customWidth="1"/>
    <col min="35" max="16384" width="8.85546875" style="82"/>
  </cols>
  <sheetData>
    <row r="1" spans="1:34" x14ac:dyDescent="0.25">
      <c r="D1" s="82">
        <v>4</v>
      </c>
      <c r="E1" s="82">
        <v>5</v>
      </c>
      <c r="F1" s="82">
        <v>6</v>
      </c>
      <c r="G1" s="82">
        <v>7</v>
      </c>
      <c r="H1" s="82">
        <v>8</v>
      </c>
      <c r="I1" s="82">
        <v>9</v>
      </c>
      <c r="J1" s="82">
        <v>10</v>
      </c>
      <c r="K1" s="82">
        <v>11</v>
      </c>
      <c r="L1" s="82">
        <v>12</v>
      </c>
      <c r="M1" s="82">
        <v>13</v>
      </c>
      <c r="N1" s="82">
        <v>14</v>
      </c>
      <c r="O1" s="82">
        <v>15</v>
      </c>
      <c r="P1" s="82">
        <v>16</v>
      </c>
      <c r="Q1" s="82">
        <v>17</v>
      </c>
      <c r="R1" s="82">
        <v>18</v>
      </c>
      <c r="S1" s="82">
        <v>19</v>
      </c>
      <c r="T1" s="82">
        <v>20</v>
      </c>
      <c r="U1" s="82">
        <v>21</v>
      </c>
      <c r="V1" s="82">
        <v>22</v>
      </c>
      <c r="W1" s="82">
        <v>23</v>
      </c>
      <c r="X1" s="82">
        <v>24</v>
      </c>
      <c r="Y1" s="82">
        <v>25</v>
      </c>
      <c r="Z1" s="82">
        <v>26</v>
      </c>
      <c r="AA1" s="82">
        <v>27</v>
      </c>
      <c r="AB1" s="82"/>
      <c r="AC1" s="82"/>
      <c r="AD1" s="82">
        <v>30</v>
      </c>
      <c r="AE1" s="103">
        <v>31</v>
      </c>
      <c r="AF1" s="82">
        <v>32</v>
      </c>
      <c r="AG1" s="82">
        <v>33</v>
      </c>
      <c r="AH1" s="82">
        <v>34</v>
      </c>
    </row>
    <row r="2" spans="1:34" ht="27" customHeight="1" x14ac:dyDescent="0.25">
      <c r="A2" s="91" t="s">
        <v>132</v>
      </c>
      <c r="B2" s="91" t="s">
        <v>114</v>
      </c>
      <c r="C2" s="92" t="s">
        <v>125</v>
      </c>
      <c r="D2" s="95" t="s">
        <v>115</v>
      </c>
      <c r="E2" s="96" t="s">
        <v>155</v>
      </c>
      <c r="F2" s="95" t="s">
        <v>116</v>
      </c>
      <c r="G2" s="96" t="s">
        <v>156</v>
      </c>
      <c r="H2" s="95" t="s">
        <v>117</v>
      </c>
      <c r="I2" s="97" t="s">
        <v>157</v>
      </c>
      <c r="J2" s="95" t="s">
        <v>118</v>
      </c>
      <c r="K2" s="97" t="s">
        <v>158</v>
      </c>
      <c r="L2" s="95" t="s">
        <v>119</v>
      </c>
      <c r="M2" s="97" t="s">
        <v>159</v>
      </c>
      <c r="N2" s="95" t="s">
        <v>120</v>
      </c>
      <c r="O2" s="97" t="s">
        <v>160</v>
      </c>
      <c r="P2" s="95" t="s">
        <v>121</v>
      </c>
      <c r="Q2" s="97" t="s">
        <v>161</v>
      </c>
      <c r="R2" s="95" t="s">
        <v>122</v>
      </c>
      <c r="S2" s="97" t="s">
        <v>162</v>
      </c>
      <c r="T2" s="95" t="s">
        <v>123</v>
      </c>
      <c r="U2" s="97" t="s">
        <v>163</v>
      </c>
      <c r="V2" s="95" t="s">
        <v>124</v>
      </c>
      <c r="W2" s="97" t="s">
        <v>210</v>
      </c>
      <c r="X2" s="95" t="s">
        <v>211</v>
      </c>
      <c r="Y2" s="97" t="s">
        <v>212</v>
      </c>
      <c r="Z2" s="95" t="s">
        <v>213</v>
      </c>
      <c r="AA2" s="97" t="s">
        <v>243</v>
      </c>
      <c r="AB2" s="95" t="s">
        <v>214</v>
      </c>
      <c r="AC2" s="97" t="s">
        <v>215</v>
      </c>
      <c r="AD2" s="95"/>
      <c r="AE2" s="107" t="s">
        <v>165</v>
      </c>
      <c r="AF2" s="104" t="s">
        <v>136</v>
      </c>
      <c r="AG2" s="104" t="s">
        <v>135</v>
      </c>
      <c r="AH2" s="104" t="s">
        <v>131</v>
      </c>
    </row>
    <row r="3" spans="1:34" ht="40.15" customHeight="1" x14ac:dyDescent="0.25">
      <c r="A3" s="86">
        <v>1</v>
      </c>
      <c r="B3" s="98">
        <v>45733</v>
      </c>
      <c r="C3" s="93" t="s">
        <v>240</v>
      </c>
      <c r="D3" s="84" t="s">
        <v>139</v>
      </c>
      <c r="E3" s="99" t="s">
        <v>189</v>
      </c>
      <c r="F3" s="84" t="s">
        <v>164</v>
      </c>
      <c r="G3" s="99" t="s">
        <v>189</v>
      </c>
      <c r="H3" s="84" t="s">
        <v>138</v>
      </c>
      <c r="I3" s="99" t="s">
        <v>189</v>
      </c>
      <c r="J3" s="84" t="s">
        <v>239</v>
      </c>
      <c r="K3" s="99" t="s">
        <v>189</v>
      </c>
      <c r="L3" s="84" t="s">
        <v>192</v>
      </c>
      <c r="M3" s="99" t="s">
        <v>189</v>
      </c>
      <c r="N3" s="84" t="s">
        <v>193</v>
      </c>
      <c r="O3" s="99" t="s">
        <v>189</v>
      </c>
      <c r="P3" s="84" t="s">
        <v>149</v>
      </c>
      <c r="Q3" s="99" t="s">
        <v>189</v>
      </c>
      <c r="R3" s="84"/>
      <c r="S3" s="99"/>
      <c r="T3" s="84"/>
      <c r="U3" s="99"/>
      <c r="V3" s="84"/>
      <c r="W3" s="99"/>
      <c r="X3" s="84"/>
      <c r="Y3" s="99"/>
      <c r="Z3" s="84"/>
      <c r="AA3" s="99"/>
      <c r="AB3" s="109"/>
      <c r="AC3" s="109"/>
      <c r="AE3" s="106" t="s">
        <v>14</v>
      </c>
      <c r="AF3" s="84" t="s">
        <v>244</v>
      </c>
      <c r="AG3" s="105" t="s">
        <v>241</v>
      </c>
      <c r="AH3" s="105" t="s">
        <v>242</v>
      </c>
    </row>
    <row r="4" spans="1:34" ht="40.15" customHeight="1" x14ac:dyDescent="0.25">
      <c r="A4" s="86">
        <v>2</v>
      </c>
      <c r="B4" s="98">
        <v>45741</v>
      </c>
      <c r="C4" s="93" t="s">
        <v>245</v>
      </c>
      <c r="D4" s="84" t="s">
        <v>148</v>
      </c>
      <c r="E4" s="100" t="s">
        <v>189</v>
      </c>
      <c r="F4" s="84" t="s">
        <v>216</v>
      </c>
      <c r="G4" s="99" t="s">
        <v>189</v>
      </c>
      <c r="H4" s="84" t="s">
        <v>142</v>
      </c>
      <c r="I4" s="99" t="s">
        <v>189</v>
      </c>
      <c r="J4" s="84" t="s">
        <v>143</v>
      </c>
      <c r="K4" s="99" t="s">
        <v>189</v>
      </c>
      <c r="L4" s="84" t="s">
        <v>144</v>
      </c>
      <c r="M4" s="99" t="s">
        <v>189</v>
      </c>
      <c r="N4" s="84" t="s">
        <v>145</v>
      </c>
      <c r="O4" s="99" t="s">
        <v>189</v>
      </c>
      <c r="P4" s="84" t="s">
        <v>146</v>
      </c>
      <c r="Q4" s="99" t="s">
        <v>189</v>
      </c>
      <c r="R4" s="84"/>
      <c r="S4" s="99"/>
      <c r="T4" s="84"/>
      <c r="U4" s="99"/>
      <c r="V4" s="84"/>
      <c r="W4" s="99"/>
      <c r="X4" s="84"/>
      <c r="Y4" s="99"/>
      <c r="Z4" s="84"/>
      <c r="AA4" s="99"/>
      <c r="AB4" s="109"/>
      <c r="AC4" s="109"/>
      <c r="AE4" s="106" t="s">
        <v>14</v>
      </c>
      <c r="AF4" s="84" t="s">
        <v>244</v>
      </c>
      <c r="AG4" s="105" t="s">
        <v>241</v>
      </c>
      <c r="AH4" s="105" t="s">
        <v>242</v>
      </c>
    </row>
    <row r="5" spans="1:34" ht="40.15" customHeight="1" x14ac:dyDescent="0.25">
      <c r="A5" s="86">
        <v>3</v>
      </c>
      <c r="B5" s="101">
        <v>45742</v>
      </c>
      <c r="C5" s="94" t="s">
        <v>246</v>
      </c>
      <c r="D5" s="84"/>
      <c r="E5" s="99"/>
      <c r="F5" s="84" t="s">
        <v>147</v>
      </c>
      <c r="G5" s="99" t="s">
        <v>189</v>
      </c>
      <c r="H5" s="84" t="s">
        <v>150</v>
      </c>
      <c r="I5" s="99" t="s">
        <v>189</v>
      </c>
      <c r="J5" s="84" t="s">
        <v>194</v>
      </c>
      <c r="K5" s="99" t="s">
        <v>189</v>
      </c>
      <c r="L5" s="84" t="s">
        <v>171</v>
      </c>
      <c r="M5" s="99" t="s">
        <v>189</v>
      </c>
      <c r="N5" s="84" t="s">
        <v>151</v>
      </c>
      <c r="O5" s="99" t="s">
        <v>189</v>
      </c>
      <c r="P5" s="84" t="s">
        <v>170</v>
      </c>
      <c r="Q5" s="99" t="s">
        <v>189</v>
      </c>
      <c r="R5" s="84" t="s">
        <v>168</v>
      </c>
      <c r="S5" s="99" t="s">
        <v>189</v>
      </c>
      <c r="T5" s="84"/>
      <c r="U5" s="99"/>
      <c r="V5" s="84"/>
      <c r="W5" s="99"/>
      <c r="X5" s="84"/>
      <c r="Y5" s="99"/>
      <c r="Z5" s="84"/>
      <c r="AA5" s="99"/>
      <c r="AB5" s="109"/>
      <c r="AC5" s="109"/>
      <c r="AE5" s="106" t="s">
        <v>205</v>
      </c>
      <c r="AF5" s="84" t="s">
        <v>244</v>
      </c>
      <c r="AG5" s="105" t="s">
        <v>241</v>
      </c>
      <c r="AH5" s="105" t="s">
        <v>242</v>
      </c>
    </row>
    <row r="6" spans="1:34" ht="40.15" customHeight="1" x14ac:dyDescent="0.25">
      <c r="A6" s="86">
        <v>4</v>
      </c>
      <c r="B6" s="101">
        <v>45743</v>
      </c>
      <c r="C6" s="94" t="s">
        <v>247</v>
      </c>
      <c r="D6" s="84" t="s">
        <v>248</v>
      </c>
      <c r="E6" s="99" t="s">
        <v>189</v>
      </c>
      <c r="F6" s="84" t="s">
        <v>195</v>
      </c>
      <c r="G6" s="99" t="s">
        <v>409</v>
      </c>
      <c r="H6" s="84" t="s">
        <v>174</v>
      </c>
      <c r="I6" s="99" t="s">
        <v>189</v>
      </c>
      <c r="J6" s="84" t="s">
        <v>169</v>
      </c>
      <c r="K6" s="99" t="s">
        <v>189</v>
      </c>
      <c r="L6" s="84" t="s">
        <v>196</v>
      </c>
      <c r="M6" s="99" t="s">
        <v>189</v>
      </c>
      <c r="N6" s="84" t="s">
        <v>427</v>
      </c>
      <c r="O6" s="99" t="s">
        <v>189</v>
      </c>
      <c r="P6" s="84" t="s">
        <v>197</v>
      </c>
      <c r="Q6" s="99" t="s">
        <v>189</v>
      </c>
      <c r="R6" s="84"/>
      <c r="S6" s="99"/>
      <c r="T6" s="84"/>
      <c r="U6" s="99"/>
      <c r="V6" s="84"/>
      <c r="W6" s="99"/>
      <c r="X6" s="84"/>
      <c r="Y6" s="99"/>
      <c r="Z6" s="84"/>
      <c r="AA6" s="99"/>
      <c r="AB6" s="109"/>
      <c r="AC6" s="109"/>
      <c r="AE6" s="106" t="s">
        <v>14</v>
      </c>
      <c r="AF6" s="84" t="s">
        <v>244</v>
      </c>
      <c r="AG6" s="105" t="s">
        <v>241</v>
      </c>
      <c r="AH6" s="105" t="s">
        <v>242</v>
      </c>
    </row>
    <row r="7" spans="1:34" ht="36.6" customHeight="1" x14ac:dyDescent="0.25">
      <c r="A7" s="86">
        <v>5</v>
      </c>
      <c r="B7" s="101">
        <v>45744</v>
      </c>
      <c r="C7" s="94" t="s">
        <v>250</v>
      </c>
      <c r="D7" s="84"/>
      <c r="E7" s="99"/>
      <c r="F7" s="84" t="s">
        <v>167</v>
      </c>
      <c r="G7" s="99" t="s">
        <v>189</v>
      </c>
      <c r="H7" s="84" t="s">
        <v>217</v>
      </c>
      <c r="I7" s="99" t="s">
        <v>189</v>
      </c>
      <c r="J7" s="84" t="s">
        <v>177</v>
      </c>
      <c r="K7" s="99" t="s">
        <v>189</v>
      </c>
      <c r="L7" s="84" t="s">
        <v>249</v>
      </c>
      <c r="M7" s="99" t="s">
        <v>189</v>
      </c>
      <c r="N7" s="84" t="s">
        <v>178</v>
      </c>
      <c r="O7" s="99" t="s">
        <v>189</v>
      </c>
      <c r="P7" s="84" t="s">
        <v>172</v>
      </c>
      <c r="Q7" s="99" t="s">
        <v>189</v>
      </c>
      <c r="R7" s="84" t="s">
        <v>173</v>
      </c>
      <c r="S7" s="99" t="s">
        <v>189</v>
      </c>
      <c r="T7" s="84"/>
      <c r="U7" s="99"/>
      <c r="V7" s="84"/>
      <c r="W7" s="99"/>
      <c r="X7" s="84"/>
      <c r="Y7" s="99"/>
      <c r="Z7" s="84"/>
      <c r="AA7" s="99"/>
      <c r="AB7" s="109"/>
      <c r="AC7" s="109"/>
      <c r="AE7" s="106" t="s">
        <v>205</v>
      </c>
      <c r="AF7" s="84" t="s">
        <v>244</v>
      </c>
      <c r="AG7" s="105" t="s">
        <v>241</v>
      </c>
      <c r="AH7" s="105" t="s">
        <v>242</v>
      </c>
    </row>
    <row r="8" spans="1:34" ht="40.15" customHeight="1" x14ac:dyDescent="0.25">
      <c r="A8" s="86">
        <v>6</v>
      </c>
      <c r="B8" s="101">
        <v>45747</v>
      </c>
      <c r="C8" s="94" t="s">
        <v>251</v>
      </c>
      <c r="D8" s="84" t="s">
        <v>221</v>
      </c>
      <c r="E8" s="99" t="s">
        <v>189</v>
      </c>
      <c r="F8" s="84" t="s">
        <v>199</v>
      </c>
      <c r="G8" s="99" t="s">
        <v>189</v>
      </c>
      <c r="H8" s="84" t="s">
        <v>153</v>
      </c>
      <c r="I8" s="99" t="s">
        <v>189</v>
      </c>
      <c r="J8" s="84" t="s">
        <v>152</v>
      </c>
      <c r="K8" s="99" t="s">
        <v>189</v>
      </c>
      <c r="L8" s="84" t="s">
        <v>198</v>
      </c>
      <c r="M8" s="99" t="s">
        <v>189</v>
      </c>
      <c r="N8" s="84" t="s">
        <v>220</v>
      </c>
      <c r="O8" s="99" t="s">
        <v>189</v>
      </c>
      <c r="P8" s="84" t="s">
        <v>234</v>
      </c>
      <c r="Q8" s="99" t="s">
        <v>189</v>
      </c>
      <c r="R8" s="84"/>
      <c r="S8" s="99"/>
      <c r="T8" s="84"/>
      <c r="U8" s="99"/>
      <c r="V8" s="84"/>
      <c r="W8" s="99"/>
      <c r="X8" s="84"/>
      <c r="Y8" s="99"/>
      <c r="Z8" s="84"/>
      <c r="AA8" s="99"/>
      <c r="AB8" s="109"/>
      <c r="AC8" s="109"/>
      <c r="AE8" s="106" t="s">
        <v>14</v>
      </c>
      <c r="AF8" s="84" t="s">
        <v>244</v>
      </c>
      <c r="AG8" s="105" t="s">
        <v>241</v>
      </c>
      <c r="AH8" s="105" t="s">
        <v>242</v>
      </c>
    </row>
    <row r="9" spans="1:34" ht="40.15" customHeight="1" x14ac:dyDescent="0.25">
      <c r="A9" s="86">
        <v>7</v>
      </c>
      <c r="B9" s="101">
        <v>45749</v>
      </c>
      <c r="C9" s="94" t="s">
        <v>252</v>
      </c>
      <c r="D9" s="84"/>
      <c r="E9" s="99"/>
      <c r="F9" s="84" t="s">
        <v>200</v>
      </c>
      <c r="G9" s="99" t="s">
        <v>189</v>
      </c>
      <c r="H9" s="84" t="s">
        <v>182</v>
      </c>
      <c r="I9" s="99" t="s">
        <v>189</v>
      </c>
      <c r="J9" s="84" t="s">
        <v>218</v>
      </c>
      <c r="K9" s="99" t="s">
        <v>189</v>
      </c>
      <c r="L9" s="84" t="s">
        <v>176</v>
      </c>
      <c r="M9" s="99" t="s">
        <v>189</v>
      </c>
      <c r="N9" s="84" t="s">
        <v>175</v>
      </c>
      <c r="O9" s="99" t="s">
        <v>189</v>
      </c>
      <c r="P9" s="84" t="s">
        <v>222</v>
      </c>
      <c r="Q9" s="99" t="s">
        <v>189</v>
      </c>
      <c r="R9" s="84" t="s">
        <v>219</v>
      </c>
      <c r="S9" s="99" t="s">
        <v>189</v>
      </c>
      <c r="T9" s="84"/>
      <c r="U9" s="99"/>
      <c r="V9" s="84"/>
      <c r="W9" s="99"/>
      <c r="X9" s="84"/>
      <c r="Y9" s="99"/>
      <c r="Z9" s="84"/>
      <c r="AA9" s="99"/>
      <c r="AB9" s="109"/>
      <c r="AC9" s="109"/>
      <c r="AE9" s="106" t="s">
        <v>205</v>
      </c>
      <c r="AF9" s="84" t="s">
        <v>244</v>
      </c>
      <c r="AG9" s="105" t="s">
        <v>241</v>
      </c>
      <c r="AH9" s="105" t="s">
        <v>242</v>
      </c>
    </row>
    <row r="10" spans="1:34" ht="40.15" customHeight="1" x14ac:dyDescent="0.25">
      <c r="A10" s="86">
        <v>8</v>
      </c>
      <c r="B10" s="101">
        <v>45750</v>
      </c>
      <c r="C10" s="94" t="s">
        <v>253</v>
      </c>
      <c r="D10" s="84" t="s">
        <v>183</v>
      </c>
      <c r="E10" s="99" t="s">
        <v>189</v>
      </c>
      <c r="F10" s="84" t="s">
        <v>201</v>
      </c>
      <c r="G10" s="99" t="s">
        <v>189</v>
      </c>
      <c r="H10" s="84" t="s">
        <v>179</v>
      </c>
      <c r="I10" s="99" t="s">
        <v>189</v>
      </c>
      <c r="J10" s="84" t="s">
        <v>254</v>
      </c>
      <c r="K10" s="99" t="s">
        <v>189</v>
      </c>
      <c r="L10" s="84" t="s">
        <v>202</v>
      </c>
      <c r="M10" s="99" t="s">
        <v>189</v>
      </c>
      <c r="N10" s="84" t="s">
        <v>185</v>
      </c>
      <c r="O10" s="99" t="s">
        <v>189</v>
      </c>
      <c r="P10" s="84" t="s">
        <v>180</v>
      </c>
      <c r="Q10" s="99" t="s">
        <v>189</v>
      </c>
      <c r="R10" s="84"/>
      <c r="S10" s="99"/>
      <c r="T10" s="84"/>
      <c r="U10" s="99"/>
      <c r="V10" s="84"/>
      <c r="W10" s="99"/>
      <c r="X10" s="84"/>
      <c r="Y10" s="99"/>
      <c r="Z10" s="84"/>
      <c r="AA10" s="99"/>
      <c r="AB10" s="109"/>
      <c r="AC10" s="109"/>
      <c r="AE10" s="106" t="s">
        <v>14</v>
      </c>
      <c r="AF10" s="84" t="s">
        <v>244</v>
      </c>
      <c r="AG10" s="105" t="s">
        <v>241</v>
      </c>
      <c r="AH10" s="105" t="s">
        <v>242</v>
      </c>
    </row>
    <row r="11" spans="1:34" ht="40.15" customHeight="1" x14ac:dyDescent="0.25">
      <c r="A11" s="86">
        <v>9</v>
      </c>
      <c r="B11" s="101">
        <v>45752</v>
      </c>
      <c r="C11" s="94" t="s">
        <v>255</v>
      </c>
      <c r="D11" s="84"/>
      <c r="E11" s="99"/>
      <c r="F11" s="84" t="s">
        <v>203</v>
      </c>
      <c r="G11" s="99" t="s">
        <v>189</v>
      </c>
      <c r="H11" s="84" t="s">
        <v>186</v>
      </c>
      <c r="I11" s="99" t="s">
        <v>189</v>
      </c>
      <c r="J11" s="84" t="s">
        <v>181</v>
      </c>
      <c r="K11" s="99" t="s">
        <v>189</v>
      </c>
      <c r="L11" s="84" t="s">
        <v>184</v>
      </c>
      <c r="M11" s="99" t="s">
        <v>189</v>
      </c>
      <c r="N11" s="84" t="s">
        <v>224</v>
      </c>
      <c r="O11" s="99" t="s">
        <v>189</v>
      </c>
      <c r="P11" s="84" t="s">
        <v>225</v>
      </c>
      <c r="Q11" s="99" t="s">
        <v>189</v>
      </c>
      <c r="R11" s="84" t="s">
        <v>227</v>
      </c>
      <c r="S11" s="99" t="s">
        <v>189</v>
      </c>
      <c r="T11" s="84"/>
      <c r="U11" s="99"/>
      <c r="V11" s="84"/>
      <c r="W11" s="99"/>
      <c r="X11" s="84"/>
      <c r="Y11" s="99"/>
      <c r="Z11" s="84"/>
      <c r="AA11" s="99"/>
      <c r="AB11" s="109"/>
      <c r="AC11" s="109"/>
      <c r="AE11" s="106" t="s">
        <v>205</v>
      </c>
      <c r="AF11" s="84" t="s">
        <v>244</v>
      </c>
      <c r="AG11" s="105" t="s">
        <v>241</v>
      </c>
      <c r="AH11" s="105" t="s">
        <v>242</v>
      </c>
    </row>
    <row r="12" spans="1:34" ht="40.15" customHeight="1" x14ac:dyDescent="0.25">
      <c r="A12" s="86">
        <v>10</v>
      </c>
      <c r="B12" s="101">
        <v>45754</v>
      </c>
      <c r="C12" s="94" t="s">
        <v>259</v>
      </c>
      <c r="D12" s="84" t="s">
        <v>258</v>
      </c>
      <c r="E12" s="99" t="s">
        <v>189</v>
      </c>
      <c r="F12" s="84" t="s">
        <v>236</v>
      </c>
      <c r="G12" s="99" t="s">
        <v>189</v>
      </c>
      <c r="H12" s="84" t="s">
        <v>256</v>
      </c>
      <c r="I12" s="99" t="s">
        <v>189</v>
      </c>
      <c r="J12" s="84" t="s">
        <v>257</v>
      </c>
      <c r="K12" s="99" t="s">
        <v>189</v>
      </c>
      <c r="L12" s="84" t="s">
        <v>228</v>
      </c>
      <c r="M12" s="99" t="s">
        <v>189</v>
      </c>
      <c r="N12" s="84" t="s">
        <v>230</v>
      </c>
      <c r="O12" s="99" t="s">
        <v>189</v>
      </c>
      <c r="P12" s="84" t="s">
        <v>229</v>
      </c>
      <c r="Q12" s="99" t="s">
        <v>189</v>
      </c>
      <c r="R12" s="84"/>
      <c r="S12" s="99"/>
      <c r="T12" s="84"/>
      <c r="U12" s="99"/>
      <c r="V12" s="84"/>
      <c r="W12" s="99"/>
      <c r="X12" s="84"/>
      <c r="Y12" s="99"/>
      <c r="Z12" s="84"/>
      <c r="AA12" s="99"/>
      <c r="AB12" s="109"/>
      <c r="AC12" s="109"/>
      <c r="AE12" s="106" t="s">
        <v>14</v>
      </c>
      <c r="AF12" s="84" t="s">
        <v>244</v>
      </c>
      <c r="AG12" s="105" t="s">
        <v>241</v>
      </c>
      <c r="AH12" s="105" t="s">
        <v>242</v>
      </c>
    </row>
    <row r="13" spans="1:34" ht="40.15" customHeight="1" x14ac:dyDescent="0.25">
      <c r="A13" s="86">
        <v>11</v>
      </c>
      <c r="B13" s="102">
        <v>45755</v>
      </c>
      <c r="C13" s="94" t="s">
        <v>264</v>
      </c>
      <c r="D13" s="84"/>
      <c r="E13" s="99"/>
      <c r="F13" s="84" t="s">
        <v>232</v>
      </c>
      <c r="G13" s="99" t="s">
        <v>189</v>
      </c>
      <c r="H13" s="84" t="s">
        <v>231</v>
      </c>
      <c r="I13" s="99" t="s">
        <v>189</v>
      </c>
      <c r="J13" s="84" t="s">
        <v>262</v>
      </c>
      <c r="K13" s="99" t="s">
        <v>189</v>
      </c>
      <c r="L13" s="84" t="s">
        <v>263</v>
      </c>
      <c r="M13" s="99" t="s">
        <v>189</v>
      </c>
      <c r="N13" s="84" t="s">
        <v>237</v>
      </c>
      <c r="O13" s="99" t="s">
        <v>189</v>
      </c>
      <c r="P13" s="84" t="s">
        <v>261</v>
      </c>
      <c r="Q13" s="99" t="s">
        <v>189</v>
      </c>
      <c r="R13" s="84" t="s">
        <v>260</v>
      </c>
      <c r="S13" s="99" t="s">
        <v>189</v>
      </c>
      <c r="T13" s="84"/>
      <c r="U13" s="99"/>
      <c r="V13" s="84"/>
      <c r="W13" s="99"/>
      <c r="X13" s="84"/>
      <c r="Y13" s="99"/>
      <c r="Z13" s="84"/>
      <c r="AA13" s="99"/>
      <c r="AB13" s="109"/>
      <c r="AC13" s="109"/>
      <c r="AE13" s="106" t="s">
        <v>205</v>
      </c>
      <c r="AF13" s="84" t="s">
        <v>244</v>
      </c>
      <c r="AG13" s="105" t="s">
        <v>241</v>
      </c>
      <c r="AH13" s="105" t="s">
        <v>242</v>
      </c>
    </row>
    <row r="14" spans="1:34" ht="40.15" customHeight="1" x14ac:dyDescent="0.25">
      <c r="A14" s="86">
        <v>12</v>
      </c>
      <c r="B14" s="102">
        <v>45757</v>
      </c>
      <c r="C14" s="94" t="s">
        <v>272</v>
      </c>
      <c r="D14" s="106"/>
      <c r="E14" s="99"/>
      <c r="F14" s="84" t="s">
        <v>270</v>
      </c>
      <c r="G14" s="99" t="s">
        <v>189</v>
      </c>
      <c r="H14" s="84" t="s">
        <v>271</v>
      </c>
      <c r="I14" s="99" t="s">
        <v>189</v>
      </c>
      <c r="J14" s="84" t="s">
        <v>268</v>
      </c>
      <c r="K14" s="99" t="s">
        <v>189</v>
      </c>
      <c r="L14" s="84" t="s">
        <v>269</v>
      </c>
      <c r="M14" s="99" t="s">
        <v>189</v>
      </c>
      <c r="N14" s="84" t="s">
        <v>266</v>
      </c>
      <c r="O14" s="99" t="s">
        <v>189</v>
      </c>
      <c r="P14" s="84" t="s">
        <v>267</v>
      </c>
      <c r="Q14" s="99" t="s">
        <v>189</v>
      </c>
      <c r="R14" s="84" t="s">
        <v>265</v>
      </c>
      <c r="S14" s="99" t="s">
        <v>409</v>
      </c>
      <c r="T14" s="84"/>
      <c r="U14" s="99"/>
      <c r="V14" s="84"/>
      <c r="W14" s="99"/>
      <c r="X14" s="84"/>
      <c r="Y14" s="99"/>
      <c r="Z14" s="84"/>
      <c r="AA14" s="99"/>
      <c r="AB14" s="109"/>
      <c r="AC14" s="109"/>
      <c r="AE14" s="106" t="s">
        <v>205</v>
      </c>
      <c r="AF14" s="84" t="s">
        <v>244</v>
      </c>
      <c r="AG14" s="105" t="s">
        <v>241</v>
      </c>
      <c r="AH14" s="105" t="s">
        <v>242</v>
      </c>
    </row>
    <row r="15" spans="1:34" ht="40.15" customHeight="1" x14ac:dyDescent="0.25">
      <c r="A15" s="86">
        <v>13</v>
      </c>
      <c r="B15" s="102">
        <v>45758</v>
      </c>
      <c r="C15" s="94" t="s">
        <v>279</v>
      </c>
      <c r="D15" s="84" t="s">
        <v>238</v>
      </c>
      <c r="E15" s="99" t="s">
        <v>189</v>
      </c>
      <c r="F15" s="84" t="s">
        <v>278</v>
      </c>
      <c r="G15" s="99" t="s">
        <v>189</v>
      </c>
      <c r="H15" s="84" t="s">
        <v>276</v>
      </c>
      <c r="I15" s="99" t="s">
        <v>189</v>
      </c>
      <c r="J15" s="84" t="s">
        <v>277</v>
      </c>
      <c r="K15" s="99" t="s">
        <v>189</v>
      </c>
      <c r="L15" s="84" t="s">
        <v>274</v>
      </c>
      <c r="M15" s="99" t="s">
        <v>189</v>
      </c>
      <c r="N15" s="84" t="s">
        <v>275</v>
      </c>
      <c r="O15" s="99" t="s">
        <v>189</v>
      </c>
      <c r="P15" s="84" t="s">
        <v>273</v>
      </c>
      <c r="Q15" s="99" t="s">
        <v>189</v>
      </c>
      <c r="R15" s="84"/>
      <c r="S15" s="99"/>
      <c r="T15" s="84"/>
      <c r="U15" s="99"/>
      <c r="V15" s="84"/>
      <c r="W15" s="99"/>
      <c r="X15" s="84"/>
      <c r="Y15" s="99"/>
      <c r="Z15" s="84"/>
      <c r="AA15" s="99"/>
      <c r="AB15" s="109"/>
      <c r="AC15" s="109"/>
      <c r="AE15" s="106" t="s">
        <v>14</v>
      </c>
      <c r="AF15" s="84" t="s">
        <v>244</v>
      </c>
      <c r="AG15" s="105" t="s">
        <v>241</v>
      </c>
      <c r="AH15" s="105" t="s">
        <v>242</v>
      </c>
    </row>
    <row r="16" spans="1:34" ht="40.15" customHeight="1" x14ac:dyDescent="0.25">
      <c r="A16" s="86">
        <v>14</v>
      </c>
      <c r="B16" s="102">
        <v>45761</v>
      </c>
      <c r="C16" s="94" t="s">
        <v>283</v>
      </c>
      <c r="D16" s="84"/>
      <c r="E16" s="99"/>
      <c r="F16" s="84" t="s">
        <v>286</v>
      </c>
      <c r="G16" s="99" t="s">
        <v>189</v>
      </c>
      <c r="H16" s="84" t="s">
        <v>284</v>
      </c>
      <c r="I16" s="99" t="s">
        <v>189</v>
      </c>
      <c r="J16" s="84" t="s">
        <v>285</v>
      </c>
      <c r="K16" s="99" t="s">
        <v>189</v>
      </c>
      <c r="L16" s="84" t="s">
        <v>281</v>
      </c>
      <c r="M16" s="99" t="s">
        <v>189</v>
      </c>
      <c r="N16" s="84" t="s">
        <v>282</v>
      </c>
      <c r="O16" s="99" t="s">
        <v>189</v>
      </c>
      <c r="P16" s="84" t="s">
        <v>280</v>
      </c>
      <c r="Q16" s="99" t="s">
        <v>189</v>
      </c>
      <c r="R16" s="84"/>
      <c r="S16" s="99"/>
      <c r="T16" s="84"/>
      <c r="U16" s="99"/>
      <c r="V16" s="84"/>
      <c r="W16" s="99"/>
      <c r="X16" s="84"/>
      <c r="Y16" s="99"/>
      <c r="Z16" s="84"/>
      <c r="AA16" s="99"/>
      <c r="AB16" s="109"/>
      <c r="AC16" s="109"/>
      <c r="AE16" s="106" t="s">
        <v>14</v>
      </c>
      <c r="AF16" s="84" t="s">
        <v>244</v>
      </c>
      <c r="AG16" s="105" t="s">
        <v>241</v>
      </c>
      <c r="AH16" s="105" t="s">
        <v>242</v>
      </c>
    </row>
    <row r="17" spans="1:34" ht="40.15" customHeight="1" x14ac:dyDescent="0.25">
      <c r="A17" s="86">
        <v>15</v>
      </c>
      <c r="B17" s="102">
        <v>45762</v>
      </c>
      <c r="C17" s="94" t="s">
        <v>291</v>
      </c>
      <c r="D17" s="84"/>
      <c r="E17" s="99"/>
      <c r="F17" s="84" t="s">
        <v>292</v>
      </c>
      <c r="G17" s="99" t="s">
        <v>189</v>
      </c>
      <c r="H17" s="84" t="s">
        <v>293</v>
      </c>
      <c r="I17" s="99" t="s">
        <v>189</v>
      </c>
      <c r="J17" s="84" t="s">
        <v>289</v>
      </c>
      <c r="K17" s="99" t="s">
        <v>189</v>
      </c>
      <c r="L17" s="84" t="s">
        <v>290</v>
      </c>
      <c r="M17" s="99" t="s">
        <v>189</v>
      </c>
      <c r="N17" s="84" t="s">
        <v>288</v>
      </c>
      <c r="O17" s="99" t="s">
        <v>189</v>
      </c>
      <c r="P17" s="84" t="s">
        <v>410</v>
      </c>
      <c r="Q17" s="99" t="s">
        <v>189</v>
      </c>
      <c r="R17" s="84" t="s">
        <v>287</v>
      </c>
      <c r="S17" s="99" t="s">
        <v>189</v>
      </c>
      <c r="T17" s="84"/>
      <c r="U17" s="99"/>
      <c r="V17" s="84"/>
      <c r="W17" s="99"/>
      <c r="X17" s="84"/>
      <c r="Y17" s="99"/>
      <c r="Z17" s="84"/>
      <c r="AA17" s="99"/>
      <c r="AB17" s="109"/>
      <c r="AC17" s="109"/>
      <c r="AE17" s="106" t="s">
        <v>205</v>
      </c>
      <c r="AF17" s="84" t="s">
        <v>244</v>
      </c>
      <c r="AG17" s="105" t="s">
        <v>241</v>
      </c>
      <c r="AH17" s="105" t="s">
        <v>242</v>
      </c>
    </row>
    <row r="18" spans="1:34" ht="40.15" customHeight="1" x14ac:dyDescent="0.25">
      <c r="A18" s="86">
        <v>16</v>
      </c>
      <c r="B18" s="102">
        <v>45764</v>
      </c>
      <c r="C18" s="94" t="s">
        <v>299</v>
      </c>
      <c r="D18" s="84" t="s">
        <v>300</v>
      </c>
      <c r="E18" s="99" t="s">
        <v>189</v>
      </c>
      <c r="F18" s="84" t="s">
        <v>301</v>
      </c>
      <c r="G18" s="99" t="s">
        <v>189</v>
      </c>
      <c r="H18" s="84" t="s">
        <v>297</v>
      </c>
      <c r="I18" s="99" t="s">
        <v>189</v>
      </c>
      <c r="J18" s="84" t="s">
        <v>298</v>
      </c>
      <c r="K18" s="99" t="s">
        <v>189</v>
      </c>
      <c r="L18" s="84" t="s">
        <v>295</v>
      </c>
      <c r="M18" s="99" t="s">
        <v>189</v>
      </c>
      <c r="N18" s="84" t="s">
        <v>296</v>
      </c>
      <c r="O18" s="99" t="s">
        <v>189</v>
      </c>
      <c r="P18" s="84" t="s">
        <v>294</v>
      </c>
      <c r="Q18" s="99" t="s">
        <v>189</v>
      </c>
      <c r="R18" s="84"/>
      <c r="S18" s="99"/>
      <c r="T18" s="84"/>
      <c r="U18" s="99"/>
      <c r="V18" s="84"/>
      <c r="W18" s="99"/>
      <c r="X18" s="84"/>
      <c r="Y18" s="99"/>
      <c r="Z18" s="84"/>
      <c r="AA18" s="99"/>
      <c r="AB18" s="109"/>
      <c r="AC18" s="109"/>
      <c r="AE18" s="106" t="s">
        <v>14</v>
      </c>
      <c r="AF18" s="84" t="s">
        <v>244</v>
      </c>
      <c r="AG18" s="105" t="s">
        <v>241</v>
      </c>
      <c r="AH18" s="105" t="s">
        <v>242</v>
      </c>
    </row>
    <row r="19" spans="1:34" ht="40.15" customHeight="1" x14ac:dyDescent="0.25">
      <c r="A19" s="86">
        <v>17</v>
      </c>
      <c r="B19" s="102">
        <v>45764</v>
      </c>
      <c r="C19" s="94" t="s">
        <v>307</v>
      </c>
      <c r="D19" s="84"/>
      <c r="E19" s="99"/>
      <c r="F19" s="84" t="s">
        <v>308</v>
      </c>
      <c r="G19" s="99" t="s">
        <v>189</v>
      </c>
      <c r="H19" s="84" t="s">
        <v>309</v>
      </c>
      <c r="I19" s="99" t="s">
        <v>189</v>
      </c>
      <c r="J19" s="84" t="s">
        <v>305</v>
      </c>
      <c r="K19" s="99" t="s">
        <v>189</v>
      </c>
      <c r="L19" s="84" t="s">
        <v>306</v>
      </c>
      <c r="M19" s="99" t="s">
        <v>189</v>
      </c>
      <c r="N19" s="84" t="s">
        <v>303</v>
      </c>
      <c r="O19" s="99" t="s">
        <v>189</v>
      </c>
      <c r="P19" s="84" t="s">
        <v>304</v>
      </c>
      <c r="Q19" s="99" t="s">
        <v>189</v>
      </c>
      <c r="R19" s="84" t="s">
        <v>302</v>
      </c>
      <c r="S19" s="99" t="s">
        <v>189</v>
      </c>
      <c r="T19" s="84"/>
      <c r="U19" s="99"/>
      <c r="V19" s="84"/>
      <c r="W19" s="99"/>
      <c r="X19" s="84"/>
      <c r="Y19" s="99"/>
      <c r="Z19" s="84"/>
      <c r="AA19" s="99"/>
      <c r="AB19" s="109"/>
      <c r="AC19" s="109"/>
      <c r="AE19" s="106" t="s">
        <v>205</v>
      </c>
      <c r="AF19" s="84" t="s">
        <v>244</v>
      </c>
      <c r="AG19" s="105" t="s">
        <v>241</v>
      </c>
      <c r="AH19" s="105" t="s">
        <v>242</v>
      </c>
    </row>
    <row r="20" spans="1:34" ht="40.15" customHeight="1" x14ac:dyDescent="0.25">
      <c r="A20" s="86">
        <v>18</v>
      </c>
      <c r="B20" s="102">
        <v>45770</v>
      </c>
      <c r="C20" s="94" t="s">
        <v>317</v>
      </c>
      <c r="D20" s="84"/>
      <c r="E20" s="99"/>
      <c r="F20" s="84" t="s">
        <v>315</v>
      </c>
      <c r="G20" s="99" t="s">
        <v>189</v>
      </c>
      <c r="H20" s="84" t="s">
        <v>316</v>
      </c>
      <c r="I20" s="99" t="s">
        <v>189</v>
      </c>
      <c r="J20" s="84" t="s">
        <v>313</v>
      </c>
      <c r="K20" s="99" t="s">
        <v>189</v>
      </c>
      <c r="L20" s="84" t="s">
        <v>314</v>
      </c>
      <c r="M20" s="99" t="s">
        <v>189</v>
      </c>
      <c r="N20" s="84" t="s">
        <v>311</v>
      </c>
      <c r="O20" s="99" t="s">
        <v>189</v>
      </c>
      <c r="P20" s="84" t="s">
        <v>312</v>
      </c>
      <c r="Q20" s="99" t="s">
        <v>189</v>
      </c>
      <c r="R20" s="84" t="s">
        <v>310</v>
      </c>
      <c r="S20" s="99" t="s">
        <v>189</v>
      </c>
      <c r="T20" s="84"/>
      <c r="U20" s="99"/>
      <c r="V20" s="84"/>
      <c r="W20" s="99"/>
      <c r="X20" s="84"/>
      <c r="Y20" s="99"/>
      <c r="Z20" s="84"/>
      <c r="AA20" s="99"/>
      <c r="AB20" s="109"/>
      <c r="AC20" s="109"/>
      <c r="AE20" s="106" t="s">
        <v>205</v>
      </c>
      <c r="AF20" s="84" t="s">
        <v>244</v>
      </c>
      <c r="AG20" s="105" t="s">
        <v>241</v>
      </c>
      <c r="AH20" s="105" t="s">
        <v>242</v>
      </c>
    </row>
    <row r="21" spans="1:34" ht="40.15" customHeight="1" x14ac:dyDescent="0.25">
      <c r="A21" s="86">
        <v>19</v>
      </c>
      <c r="B21" s="102">
        <v>45771</v>
      </c>
      <c r="C21" s="94" t="s">
        <v>323</v>
      </c>
      <c r="D21" s="108" t="s">
        <v>324</v>
      </c>
      <c r="E21" s="99" t="s">
        <v>189</v>
      </c>
      <c r="F21" s="84" t="s">
        <v>321</v>
      </c>
      <c r="G21" s="99" t="s">
        <v>189</v>
      </c>
      <c r="H21" s="84" t="s">
        <v>322</v>
      </c>
      <c r="I21" s="99" t="s">
        <v>189</v>
      </c>
      <c r="J21" s="84" t="s">
        <v>325</v>
      </c>
      <c r="K21" s="99" t="s">
        <v>189</v>
      </c>
      <c r="L21" s="84" t="s">
        <v>319</v>
      </c>
      <c r="M21" s="99" t="s">
        <v>189</v>
      </c>
      <c r="N21" s="84" t="s">
        <v>320</v>
      </c>
      <c r="O21" s="99" t="s">
        <v>189</v>
      </c>
      <c r="P21" s="84" t="s">
        <v>318</v>
      </c>
      <c r="Q21" s="99" t="s">
        <v>189</v>
      </c>
      <c r="R21" s="84"/>
      <c r="S21" s="99"/>
      <c r="T21" s="84"/>
      <c r="U21" s="99"/>
      <c r="V21" s="84"/>
      <c r="W21" s="99"/>
      <c r="X21" s="84"/>
      <c r="Y21" s="99"/>
      <c r="Z21" s="84"/>
      <c r="AA21" s="99"/>
      <c r="AB21" s="109"/>
      <c r="AC21" s="109"/>
      <c r="AE21" s="106" t="s">
        <v>14</v>
      </c>
      <c r="AF21" s="84" t="s">
        <v>244</v>
      </c>
      <c r="AG21" s="105" t="s">
        <v>241</v>
      </c>
      <c r="AH21" s="105" t="s">
        <v>242</v>
      </c>
    </row>
    <row r="22" spans="1:34" ht="40.15" customHeight="1" x14ac:dyDescent="0.25">
      <c r="A22" s="86">
        <v>20</v>
      </c>
      <c r="B22" s="102">
        <v>45773</v>
      </c>
      <c r="C22" s="94" t="s">
        <v>333</v>
      </c>
      <c r="D22" s="84"/>
      <c r="E22" s="99"/>
      <c r="F22" s="84" t="s">
        <v>326</v>
      </c>
      <c r="G22" s="99" t="s">
        <v>189</v>
      </c>
      <c r="H22" s="84" t="s">
        <v>327</v>
      </c>
      <c r="I22" s="99" t="s">
        <v>189</v>
      </c>
      <c r="J22" s="84" t="s">
        <v>328</v>
      </c>
      <c r="K22" s="99" t="s">
        <v>189</v>
      </c>
      <c r="L22" s="84" t="s">
        <v>329</v>
      </c>
      <c r="M22" s="99" t="s">
        <v>189</v>
      </c>
      <c r="N22" s="84" t="s">
        <v>330</v>
      </c>
      <c r="O22" s="99" t="s">
        <v>189</v>
      </c>
      <c r="P22" s="84" t="s">
        <v>331</v>
      </c>
      <c r="Q22" s="99" t="s">
        <v>189</v>
      </c>
      <c r="R22" s="84" t="s">
        <v>332</v>
      </c>
      <c r="S22" s="99" t="s">
        <v>189</v>
      </c>
      <c r="T22" s="84"/>
      <c r="U22" s="99"/>
      <c r="V22" s="84"/>
      <c r="W22" s="99"/>
      <c r="X22" s="84"/>
      <c r="Y22" s="99"/>
      <c r="Z22" s="84"/>
      <c r="AA22" s="99"/>
      <c r="AB22" s="109"/>
      <c r="AC22" s="109"/>
      <c r="AE22" s="106" t="s">
        <v>205</v>
      </c>
      <c r="AF22" s="84" t="s">
        <v>244</v>
      </c>
      <c r="AG22" s="105" t="s">
        <v>241</v>
      </c>
      <c r="AH22" s="105" t="s">
        <v>242</v>
      </c>
    </row>
    <row r="23" spans="1:34" ht="40.15" customHeight="1" x14ac:dyDescent="0.25">
      <c r="A23" s="86">
        <v>21</v>
      </c>
      <c r="B23" s="102">
        <v>45776</v>
      </c>
      <c r="C23" s="94" t="s">
        <v>339</v>
      </c>
      <c r="D23" s="84" t="s">
        <v>340</v>
      </c>
      <c r="E23" s="99" t="s">
        <v>189</v>
      </c>
      <c r="F23" s="84" t="s">
        <v>341</v>
      </c>
      <c r="G23" s="99" t="s">
        <v>189</v>
      </c>
      <c r="H23" s="84" t="s">
        <v>337</v>
      </c>
      <c r="I23" s="99" t="s">
        <v>189</v>
      </c>
      <c r="J23" s="84" t="s">
        <v>338</v>
      </c>
      <c r="K23" s="99" t="s">
        <v>189</v>
      </c>
      <c r="L23" s="84" t="s">
        <v>335</v>
      </c>
      <c r="M23" s="99" t="s">
        <v>189</v>
      </c>
      <c r="N23" s="84" t="s">
        <v>336</v>
      </c>
      <c r="O23" s="99" t="s">
        <v>189</v>
      </c>
      <c r="P23" s="84" t="s">
        <v>334</v>
      </c>
      <c r="Q23" s="99" t="s">
        <v>189</v>
      </c>
      <c r="R23" s="84"/>
      <c r="S23" s="99"/>
      <c r="T23" s="84"/>
      <c r="U23" s="99"/>
      <c r="V23" s="84"/>
      <c r="W23" s="99"/>
      <c r="X23" s="84"/>
      <c r="Y23" s="99"/>
      <c r="Z23" s="84"/>
      <c r="AA23" s="99"/>
      <c r="AB23" s="109"/>
      <c r="AC23" s="109"/>
      <c r="AE23" s="106" t="s">
        <v>14</v>
      </c>
      <c r="AF23" s="84" t="s">
        <v>244</v>
      </c>
      <c r="AG23" s="105" t="s">
        <v>241</v>
      </c>
      <c r="AH23" s="105" t="s">
        <v>242</v>
      </c>
    </row>
    <row r="24" spans="1:34" ht="40.15" customHeight="1" x14ac:dyDescent="0.25">
      <c r="A24" s="86">
        <v>22</v>
      </c>
      <c r="B24" s="102">
        <v>45777</v>
      </c>
      <c r="C24" s="94" t="s">
        <v>347</v>
      </c>
      <c r="D24" s="84"/>
      <c r="E24" s="99"/>
      <c r="F24" s="84" t="s">
        <v>342</v>
      </c>
      <c r="G24" s="99" t="s">
        <v>189</v>
      </c>
      <c r="H24" s="84" t="s">
        <v>348</v>
      </c>
      <c r="I24" s="99" t="s">
        <v>189</v>
      </c>
      <c r="J24" s="84" t="s">
        <v>349</v>
      </c>
      <c r="K24" s="99" t="s">
        <v>189</v>
      </c>
      <c r="L24" s="84" t="s">
        <v>345</v>
      </c>
      <c r="M24" s="99" t="s">
        <v>189</v>
      </c>
      <c r="N24" s="84" t="s">
        <v>346</v>
      </c>
      <c r="O24" s="99" t="s">
        <v>189</v>
      </c>
      <c r="P24" s="84" t="s">
        <v>343</v>
      </c>
      <c r="Q24" s="99" t="s">
        <v>189</v>
      </c>
      <c r="R24" s="84" t="s">
        <v>344</v>
      </c>
      <c r="S24" s="99" t="s">
        <v>189</v>
      </c>
      <c r="T24" s="84"/>
      <c r="U24" s="99"/>
      <c r="V24" s="84"/>
      <c r="W24" s="99"/>
      <c r="X24" s="84"/>
      <c r="Y24" s="99"/>
      <c r="Z24" s="84"/>
      <c r="AA24" s="99"/>
      <c r="AB24" s="109"/>
      <c r="AC24" s="109"/>
      <c r="AE24" s="106" t="s">
        <v>205</v>
      </c>
      <c r="AF24" s="84" t="s">
        <v>244</v>
      </c>
      <c r="AG24" s="105" t="s">
        <v>241</v>
      </c>
      <c r="AH24" s="105" t="s">
        <v>242</v>
      </c>
    </row>
    <row r="25" spans="1:34" ht="40.15" customHeight="1" x14ac:dyDescent="0.25">
      <c r="A25" s="86">
        <v>23</v>
      </c>
      <c r="B25" s="102">
        <v>45780</v>
      </c>
      <c r="C25" s="94" t="s">
        <v>353</v>
      </c>
      <c r="D25" s="84" t="s">
        <v>351</v>
      </c>
      <c r="E25" s="99" t="s">
        <v>189</v>
      </c>
      <c r="F25" s="84" t="s">
        <v>352</v>
      </c>
      <c r="G25" s="99" t="s">
        <v>189</v>
      </c>
      <c r="H25" s="84" t="s">
        <v>354</v>
      </c>
      <c r="I25" s="99" t="s">
        <v>189</v>
      </c>
      <c r="J25" s="84" t="s">
        <v>355</v>
      </c>
      <c r="K25" s="99" t="s">
        <v>189</v>
      </c>
      <c r="L25" s="84" t="s">
        <v>356</v>
      </c>
      <c r="M25" s="99" t="s">
        <v>189</v>
      </c>
      <c r="N25" s="84" t="s">
        <v>357</v>
      </c>
      <c r="O25" s="99" t="s">
        <v>189</v>
      </c>
      <c r="P25" s="84" t="s">
        <v>350</v>
      </c>
      <c r="Q25" s="99" t="s">
        <v>189</v>
      </c>
      <c r="R25" s="84"/>
      <c r="S25" s="99"/>
      <c r="T25" s="84"/>
      <c r="U25" s="99"/>
      <c r="V25" s="84"/>
      <c r="W25" s="99"/>
      <c r="X25" s="84"/>
      <c r="Y25" s="99"/>
      <c r="Z25" s="84"/>
      <c r="AA25" s="99"/>
      <c r="AB25" s="109"/>
      <c r="AC25" s="109"/>
      <c r="AE25" s="106" t="s">
        <v>14</v>
      </c>
      <c r="AF25" s="84" t="s">
        <v>244</v>
      </c>
      <c r="AG25" s="105" t="s">
        <v>241</v>
      </c>
      <c r="AH25" s="105" t="s">
        <v>242</v>
      </c>
    </row>
    <row r="26" spans="1:34" ht="40.15" customHeight="1" x14ac:dyDescent="0.25">
      <c r="A26" s="86">
        <v>24</v>
      </c>
      <c r="B26" s="102">
        <v>45782</v>
      </c>
      <c r="C26" s="94" t="s">
        <v>365</v>
      </c>
      <c r="D26" s="84"/>
      <c r="E26" s="99"/>
      <c r="F26" s="84" t="s">
        <v>362</v>
      </c>
      <c r="G26" s="99" t="s">
        <v>189</v>
      </c>
      <c r="H26" s="84" t="s">
        <v>363</v>
      </c>
      <c r="I26" s="99" t="s">
        <v>189</v>
      </c>
      <c r="J26" s="84" t="s">
        <v>364</v>
      </c>
      <c r="K26" s="99" t="s">
        <v>189</v>
      </c>
      <c r="L26" s="84" t="s">
        <v>360</v>
      </c>
      <c r="M26" s="99" t="s">
        <v>189</v>
      </c>
      <c r="N26" s="84" t="s">
        <v>361</v>
      </c>
      <c r="O26" s="99" t="s">
        <v>189</v>
      </c>
      <c r="P26" s="84" t="s">
        <v>358</v>
      </c>
      <c r="Q26" s="99" t="s">
        <v>189</v>
      </c>
      <c r="R26" s="84" t="s">
        <v>359</v>
      </c>
      <c r="S26" s="99" t="s">
        <v>189</v>
      </c>
      <c r="T26" s="84"/>
      <c r="U26" s="99"/>
      <c r="V26" s="84"/>
      <c r="W26" s="99"/>
      <c r="X26" s="84"/>
      <c r="Y26" s="99"/>
      <c r="Z26" s="84"/>
      <c r="AA26" s="99"/>
      <c r="AB26" s="109"/>
      <c r="AC26" s="109"/>
      <c r="AE26" s="106" t="s">
        <v>205</v>
      </c>
      <c r="AF26" s="84" t="s">
        <v>244</v>
      </c>
      <c r="AG26" s="105" t="s">
        <v>241</v>
      </c>
      <c r="AH26" s="105" t="s">
        <v>242</v>
      </c>
    </row>
    <row r="27" spans="1:34" ht="40.15" customHeight="1" x14ac:dyDescent="0.25">
      <c r="A27" s="86">
        <v>25</v>
      </c>
      <c r="B27" s="102">
        <v>45783</v>
      </c>
      <c r="C27" s="94" t="s">
        <v>371</v>
      </c>
      <c r="D27" s="84" t="s">
        <v>372</v>
      </c>
      <c r="E27" s="99" t="s">
        <v>189</v>
      </c>
      <c r="F27" s="84" t="s">
        <v>373</v>
      </c>
      <c r="G27" s="99" t="s">
        <v>189</v>
      </c>
      <c r="H27" s="84" t="s">
        <v>369</v>
      </c>
      <c r="I27" s="99" t="s">
        <v>189</v>
      </c>
      <c r="J27" s="84" t="s">
        <v>370</v>
      </c>
      <c r="K27" s="99" t="s">
        <v>189</v>
      </c>
      <c r="L27" s="84" t="s">
        <v>367</v>
      </c>
      <c r="M27" s="99" t="s">
        <v>189</v>
      </c>
      <c r="N27" s="84" t="s">
        <v>368</v>
      </c>
      <c r="O27" s="99" t="s">
        <v>189</v>
      </c>
      <c r="P27" s="84" t="s">
        <v>366</v>
      </c>
      <c r="Q27" s="99" t="s">
        <v>189</v>
      </c>
      <c r="R27" s="84"/>
      <c r="S27" s="99"/>
      <c r="T27" s="84"/>
      <c r="U27" s="99"/>
      <c r="V27" s="84"/>
      <c r="W27" s="99"/>
      <c r="X27" s="84"/>
      <c r="Y27" s="99"/>
      <c r="Z27" s="84"/>
      <c r="AA27" s="99"/>
      <c r="AB27" s="109"/>
      <c r="AC27" s="109"/>
      <c r="AE27" s="106" t="s">
        <v>14</v>
      </c>
      <c r="AF27" s="84" t="s">
        <v>244</v>
      </c>
      <c r="AG27" s="105" t="s">
        <v>241</v>
      </c>
      <c r="AH27" s="105" t="s">
        <v>242</v>
      </c>
    </row>
    <row r="28" spans="1:34" ht="40.15" customHeight="1" x14ac:dyDescent="0.25">
      <c r="A28" s="86">
        <v>26</v>
      </c>
      <c r="B28" s="102">
        <v>45785</v>
      </c>
      <c r="C28" s="94" t="s">
        <v>381</v>
      </c>
      <c r="D28" s="84"/>
      <c r="E28" s="99"/>
      <c r="F28" s="84" t="s">
        <v>374</v>
      </c>
      <c r="G28" s="99" t="s">
        <v>189</v>
      </c>
      <c r="H28" s="84" t="s">
        <v>379</v>
      </c>
      <c r="I28" s="99" t="s">
        <v>189</v>
      </c>
      <c r="J28" s="84" t="s">
        <v>380</v>
      </c>
      <c r="K28" s="99" t="s">
        <v>189</v>
      </c>
      <c r="L28" s="84" t="s">
        <v>377</v>
      </c>
      <c r="M28" s="99" t="s">
        <v>189</v>
      </c>
      <c r="N28" s="84" t="s">
        <v>378</v>
      </c>
      <c r="O28" s="99" t="s">
        <v>189</v>
      </c>
      <c r="P28" s="84" t="s">
        <v>375</v>
      </c>
      <c r="Q28" s="99" t="s">
        <v>189</v>
      </c>
      <c r="R28" s="84" t="s">
        <v>376</v>
      </c>
      <c r="S28" s="99" t="s">
        <v>189</v>
      </c>
      <c r="T28" s="84"/>
      <c r="U28" s="99"/>
      <c r="V28" s="84"/>
      <c r="W28" s="99"/>
      <c r="X28" s="84"/>
      <c r="Y28" s="99"/>
      <c r="Z28" s="84"/>
      <c r="AA28" s="99"/>
      <c r="AB28" s="109"/>
      <c r="AC28" s="109"/>
      <c r="AE28" s="106" t="s">
        <v>205</v>
      </c>
      <c r="AF28" s="84" t="s">
        <v>244</v>
      </c>
      <c r="AG28" s="105" t="s">
        <v>241</v>
      </c>
      <c r="AH28" s="105" t="s">
        <v>242</v>
      </c>
    </row>
    <row r="29" spans="1:34" ht="40.15" customHeight="1" x14ac:dyDescent="0.25">
      <c r="A29" s="86">
        <v>27</v>
      </c>
      <c r="B29" s="102">
        <v>45786</v>
      </c>
      <c r="C29" s="94" t="s">
        <v>395</v>
      </c>
      <c r="D29" s="84" t="s">
        <v>396</v>
      </c>
      <c r="E29" s="99" t="s">
        <v>189</v>
      </c>
      <c r="F29" s="84" t="s">
        <v>397</v>
      </c>
      <c r="G29" s="99" t="s">
        <v>189</v>
      </c>
      <c r="H29" s="84" t="s">
        <v>393</v>
      </c>
      <c r="I29" s="99" t="s">
        <v>189</v>
      </c>
      <c r="J29" s="84" t="s">
        <v>394</v>
      </c>
      <c r="K29" s="99" t="s">
        <v>189</v>
      </c>
      <c r="L29" s="84" t="s">
        <v>391</v>
      </c>
      <c r="M29" s="99" t="s">
        <v>189</v>
      </c>
      <c r="N29" s="84" t="s">
        <v>392</v>
      </c>
      <c r="O29" s="99" t="s">
        <v>189</v>
      </c>
      <c r="P29" s="84" t="s">
        <v>390</v>
      </c>
      <c r="Q29" s="99" t="s">
        <v>189</v>
      </c>
      <c r="R29" s="84"/>
      <c r="S29" s="99"/>
      <c r="T29" s="84"/>
      <c r="U29" s="99"/>
      <c r="V29" s="84"/>
      <c r="W29" s="99"/>
      <c r="X29" s="84"/>
      <c r="Y29" s="99"/>
      <c r="Z29" s="84"/>
      <c r="AA29" s="99"/>
      <c r="AB29" s="109"/>
      <c r="AC29" s="109"/>
      <c r="AE29" s="106" t="s">
        <v>14</v>
      </c>
      <c r="AF29" s="84" t="s">
        <v>244</v>
      </c>
      <c r="AG29" s="105" t="s">
        <v>241</v>
      </c>
      <c r="AH29" s="105" t="s">
        <v>242</v>
      </c>
    </row>
    <row r="30" spans="1:34" ht="40.15" customHeight="1" x14ac:dyDescent="0.25">
      <c r="A30" s="86">
        <v>28</v>
      </c>
      <c r="B30" s="102">
        <v>45789</v>
      </c>
      <c r="C30" s="94" t="s">
        <v>389</v>
      </c>
      <c r="D30" s="84"/>
      <c r="E30" s="99"/>
      <c r="F30" s="84" t="s">
        <v>382</v>
      </c>
      <c r="G30" s="99" t="s">
        <v>189</v>
      </c>
      <c r="H30" s="84" t="s">
        <v>387</v>
      </c>
      <c r="I30" s="99" t="s">
        <v>189</v>
      </c>
      <c r="J30" s="84" t="s">
        <v>388</v>
      </c>
      <c r="K30" s="99" t="s">
        <v>189</v>
      </c>
      <c r="L30" s="84" t="s">
        <v>385</v>
      </c>
      <c r="M30" s="99" t="s">
        <v>189</v>
      </c>
      <c r="N30" s="84" t="s">
        <v>386</v>
      </c>
      <c r="O30" s="99" t="s">
        <v>189</v>
      </c>
      <c r="P30" s="84" t="s">
        <v>383</v>
      </c>
      <c r="Q30" s="99" t="s">
        <v>189</v>
      </c>
      <c r="R30" s="84" t="s">
        <v>384</v>
      </c>
      <c r="S30" s="99" t="s">
        <v>189</v>
      </c>
      <c r="T30" s="84"/>
      <c r="U30" s="99"/>
      <c r="V30" s="84"/>
      <c r="W30" s="99"/>
      <c r="X30" s="84"/>
      <c r="Y30" s="99"/>
      <c r="Z30" s="84"/>
      <c r="AA30" s="99"/>
      <c r="AB30" s="109"/>
      <c r="AC30" s="109"/>
      <c r="AE30" s="106" t="s">
        <v>205</v>
      </c>
      <c r="AF30" s="84" t="s">
        <v>244</v>
      </c>
      <c r="AG30" s="105" t="s">
        <v>241</v>
      </c>
      <c r="AH30" s="105" t="s">
        <v>242</v>
      </c>
    </row>
    <row r="31" spans="1:34" ht="40.15" customHeight="1" x14ac:dyDescent="0.25">
      <c r="A31" s="86">
        <v>29</v>
      </c>
      <c r="B31" s="102">
        <v>45796</v>
      </c>
      <c r="C31" s="94" t="s">
        <v>412</v>
      </c>
      <c r="D31" s="84" t="s">
        <v>411</v>
      </c>
      <c r="E31" s="99" t="s">
        <v>187</v>
      </c>
      <c r="F31" s="84"/>
      <c r="G31" s="99"/>
      <c r="H31" s="84"/>
      <c r="I31" s="99"/>
      <c r="J31" s="84"/>
      <c r="K31" s="99"/>
      <c r="L31" s="84"/>
      <c r="M31" s="99"/>
      <c r="N31" s="84"/>
      <c r="O31" s="99"/>
      <c r="P31" s="84"/>
      <c r="Q31" s="99"/>
      <c r="R31" s="84"/>
      <c r="S31" s="99"/>
      <c r="T31" s="84"/>
      <c r="U31" s="99"/>
      <c r="V31" s="84"/>
      <c r="W31" s="99"/>
      <c r="X31" s="84"/>
      <c r="Y31" s="99"/>
      <c r="Z31" s="84"/>
      <c r="AA31" s="99"/>
      <c r="AB31" s="109"/>
      <c r="AC31" s="109"/>
      <c r="AE31" s="106" t="s">
        <v>76</v>
      </c>
      <c r="AF31" s="84" t="s">
        <v>244</v>
      </c>
      <c r="AG31" s="105" t="s">
        <v>241</v>
      </c>
      <c r="AH31" s="105" t="s">
        <v>242</v>
      </c>
    </row>
    <row r="32" spans="1:34" ht="40.15" customHeight="1" x14ac:dyDescent="0.25">
      <c r="A32" s="86">
        <v>30</v>
      </c>
      <c r="B32" s="102">
        <v>45800</v>
      </c>
      <c r="C32" s="94" t="s">
        <v>413</v>
      </c>
      <c r="D32" s="84" t="s">
        <v>414</v>
      </c>
      <c r="E32" s="99" t="s">
        <v>187</v>
      </c>
      <c r="F32" s="84"/>
      <c r="G32" s="99"/>
      <c r="H32" s="84"/>
      <c r="I32" s="99"/>
      <c r="J32" s="84"/>
      <c r="K32" s="99"/>
      <c r="L32" s="84"/>
      <c r="M32" s="99"/>
      <c r="N32" s="84"/>
      <c r="O32" s="99"/>
      <c r="P32" s="84"/>
      <c r="Q32" s="99"/>
      <c r="R32" s="84"/>
      <c r="S32" s="99"/>
      <c r="T32" s="84"/>
      <c r="U32" s="99"/>
      <c r="V32" s="84"/>
      <c r="W32" s="99"/>
      <c r="X32" s="84"/>
      <c r="Y32" s="99"/>
      <c r="Z32" s="84"/>
      <c r="AA32" s="99"/>
      <c r="AB32" s="109"/>
      <c r="AC32" s="109"/>
      <c r="AE32" s="106" t="s">
        <v>76</v>
      </c>
      <c r="AF32" s="84" t="s">
        <v>244</v>
      </c>
      <c r="AG32" s="105" t="s">
        <v>241</v>
      </c>
      <c r="AH32" s="105" t="s">
        <v>242</v>
      </c>
    </row>
    <row r="33" spans="1:34" ht="40.15" customHeight="1" x14ac:dyDescent="0.25">
      <c r="A33" s="86">
        <v>31</v>
      </c>
      <c r="B33" s="102">
        <v>45806</v>
      </c>
      <c r="C33" s="94" t="s">
        <v>419</v>
      </c>
      <c r="D33" s="84" t="s">
        <v>423</v>
      </c>
      <c r="E33" s="99" t="s">
        <v>424</v>
      </c>
      <c r="F33" s="84" t="s">
        <v>425</v>
      </c>
      <c r="G33" s="99" t="s">
        <v>426</v>
      </c>
      <c r="H33" s="84" t="s">
        <v>420</v>
      </c>
      <c r="I33" s="99" t="s">
        <v>421</v>
      </c>
      <c r="J33" s="84" t="s">
        <v>422</v>
      </c>
      <c r="K33" s="99" t="s">
        <v>421</v>
      </c>
      <c r="L33" s="84" t="s">
        <v>416</v>
      </c>
      <c r="M33" s="99" t="s">
        <v>417</v>
      </c>
      <c r="N33" s="84" t="s">
        <v>418</v>
      </c>
      <c r="O33" s="99" t="s">
        <v>417</v>
      </c>
      <c r="P33" s="84" t="s">
        <v>415</v>
      </c>
      <c r="Q33" s="99" t="s">
        <v>189</v>
      </c>
      <c r="R33" s="84"/>
      <c r="S33" s="99"/>
      <c r="T33" s="84"/>
      <c r="U33" s="99"/>
      <c r="V33" s="84"/>
      <c r="W33" s="99"/>
      <c r="X33" s="84"/>
      <c r="Y33" s="99"/>
      <c r="Z33" s="84"/>
      <c r="AA33" s="99"/>
      <c r="AB33" s="109"/>
      <c r="AC33" s="109"/>
      <c r="AE33" s="106" t="s">
        <v>14</v>
      </c>
      <c r="AF33" s="84" t="s">
        <v>244</v>
      </c>
      <c r="AG33" s="105" t="s">
        <v>241</v>
      </c>
      <c r="AH33" s="105" t="s">
        <v>242</v>
      </c>
    </row>
    <row r="34" spans="1:34" ht="40.15" customHeight="1" x14ac:dyDescent="0.25">
      <c r="A34" s="86">
        <v>32</v>
      </c>
      <c r="B34" s="102">
        <v>45812</v>
      </c>
      <c r="C34" s="94" t="s">
        <v>432</v>
      </c>
      <c r="D34" s="84" t="s">
        <v>435</v>
      </c>
      <c r="E34" s="99" t="s">
        <v>424</v>
      </c>
      <c r="F34" s="84" t="s">
        <v>436</v>
      </c>
      <c r="G34" s="99" t="s">
        <v>426</v>
      </c>
      <c r="H34" s="84" t="s">
        <v>433</v>
      </c>
      <c r="I34" s="99" t="s">
        <v>421</v>
      </c>
      <c r="J34" s="84" t="s">
        <v>434</v>
      </c>
      <c r="K34" s="99" t="s">
        <v>421</v>
      </c>
      <c r="L34" s="84" t="s">
        <v>430</v>
      </c>
      <c r="M34" s="99" t="s">
        <v>417</v>
      </c>
      <c r="N34" s="84" t="s">
        <v>431</v>
      </c>
      <c r="O34" s="99" t="s">
        <v>417</v>
      </c>
      <c r="P34" s="84" t="s">
        <v>429</v>
      </c>
      <c r="Q34" s="99" t="s">
        <v>189</v>
      </c>
      <c r="R34" s="84"/>
      <c r="S34" s="99"/>
      <c r="T34" s="84"/>
      <c r="U34" s="99"/>
      <c r="V34" s="84"/>
      <c r="W34" s="99"/>
      <c r="X34" s="84"/>
      <c r="Y34" s="99"/>
      <c r="Z34" s="84"/>
      <c r="AA34" s="99"/>
      <c r="AB34" s="109"/>
      <c r="AC34" s="109"/>
      <c r="AE34" s="106" t="s">
        <v>14</v>
      </c>
      <c r="AF34" s="84" t="s">
        <v>244</v>
      </c>
      <c r="AG34" s="105" t="s">
        <v>241</v>
      </c>
      <c r="AH34" s="105" t="s">
        <v>242</v>
      </c>
    </row>
    <row r="35" spans="1:34" ht="40.15" customHeight="1" x14ac:dyDescent="0.25">
      <c r="A35" s="86">
        <v>33</v>
      </c>
      <c r="B35" s="102">
        <v>45814</v>
      </c>
      <c r="C35" s="94">
        <v>1128</v>
      </c>
      <c r="D35" s="84" t="s">
        <v>437</v>
      </c>
      <c r="E35" s="99" t="s">
        <v>187</v>
      </c>
      <c r="F35" s="84"/>
      <c r="G35" s="99"/>
      <c r="H35" s="84"/>
      <c r="I35" s="99"/>
      <c r="J35" s="84"/>
      <c r="K35" s="99"/>
      <c r="L35" s="84"/>
      <c r="M35" s="99"/>
      <c r="N35" s="84"/>
      <c r="O35" s="99"/>
      <c r="P35" s="84"/>
      <c r="Q35" s="99"/>
      <c r="R35" s="84"/>
      <c r="S35" s="99"/>
      <c r="T35" s="84"/>
      <c r="U35" s="99"/>
      <c r="V35" s="84"/>
      <c r="W35" s="99"/>
      <c r="X35" s="84"/>
      <c r="Y35" s="99"/>
      <c r="Z35" s="84"/>
      <c r="AA35" s="99"/>
      <c r="AB35" s="109"/>
      <c r="AC35" s="109"/>
      <c r="AE35" s="106" t="s">
        <v>76</v>
      </c>
      <c r="AF35" s="84" t="s">
        <v>244</v>
      </c>
      <c r="AG35" s="105" t="s">
        <v>241</v>
      </c>
      <c r="AH35" s="105" t="s">
        <v>242</v>
      </c>
    </row>
    <row r="36" spans="1:34" ht="40.15" customHeight="1" x14ac:dyDescent="0.25">
      <c r="A36" s="86">
        <v>34</v>
      </c>
      <c r="B36" s="102">
        <v>45818</v>
      </c>
      <c r="C36" s="94" t="s">
        <v>446</v>
      </c>
      <c r="D36" s="84" t="s">
        <v>447</v>
      </c>
      <c r="E36" s="99" t="s">
        <v>424</v>
      </c>
      <c r="F36" s="84" t="s">
        <v>448</v>
      </c>
      <c r="G36" s="99" t="s">
        <v>426</v>
      </c>
      <c r="H36" s="84" t="s">
        <v>449</v>
      </c>
      <c r="I36" s="99" t="s">
        <v>421</v>
      </c>
      <c r="J36" s="84" t="s">
        <v>450</v>
      </c>
      <c r="K36" s="99" t="s">
        <v>421</v>
      </c>
      <c r="L36" s="84" t="s">
        <v>451</v>
      </c>
      <c r="M36" s="99" t="s">
        <v>417</v>
      </c>
      <c r="N36" s="84" t="s">
        <v>452</v>
      </c>
      <c r="O36" s="99" t="s">
        <v>417</v>
      </c>
      <c r="P36" s="84" t="s">
        <v>453</v>
      </c>
      <c r="Q36" s="99" t="s">
        <v>189</v>
      </c>
      <c r="R36" s="84"/>
      <c r="S36" s="99"/>
      <c r="T36" s="84"/>
      <c r="U36" s="99"/>
      <c r="V36" s="84"/>
      <c r="W36" s="99"/>
      <c r="X36" s="84"/>
      <c r="Y36" s="99"/>
      <c r="Z36" s="84"/>
      <c r="AA36" s="99"/>
      <c r="AB36" s="109"/>
      <c r="AC36" s="109"/>
      <c r="AE36" s="106" t="s">
        <v>14</v>
      </c>
      <c r="AF36" s="84" t="s">
        <v>244</v>
      </c>
      <c r="AG36" s="105" t="s">
        <v>241</v>
      </c>
      <c r="AH36" s="105" t="s">
        <v>242</v>
      </c>
    </row>
    <row r="37" spans="1:34" ht="40.15" customHeight="1" x14ac:dyDescent="0.25">
      <c r="A37" s="86">
        <v>35</v>
      </c>
      <c r="B37" s="102">
        <v>45822</v>
      </c>
      <c r="C37" s="94" t="s">
        <v>439</v>
      </c>
      <c r="D37" s="84" t="s">
        <v>440</v>
      </c>
      <c r="E37" s="99" t="s">
        <v>424</v>
      </c>
      <c r="F37" s="84" t="s">
        <v>441</v>
      </c>
      <c r="G37" s="99" t="s">
        <v>426</v>
      </c>
      <c r="H37" s="84" t="s">
        <v>442</v>
      </c>
      <c r="I37" s="99" t="s">
        <v>421</v>
      </c>
      <c r="J37" s="84" t="s">
        <v>443</v>
      </c>
      <c r="K37" s="99" t="s">
        <v>421</v>
      </c>
      <c r="L37" s="84" t="s">
        <v>462</v>
      </c>
      <c r="M37" s="99" t="s">
        <v>417</v>
      </c>
      <c r="N37" s="84" t="s">
        <v>444</v>
      </c>
      <c r="O37" s="99" t="s">
        <v>417</v>
      </c>
      <c r="P37" s="84" t="s">
        <v>471</v>
      </c>
      <c r="Q37" s="99" t="s">
        <v>189</v>
      </c>
      <c r="R37" s="84"/>
      <c r="S37" s="99"/>
      <c r="T37" s="84"/>
      <c r="U37" s="99"/>
      <c r="V37" s="84"/>
      <c r="W37" s="99"/>
      <c r="X37" s="84"/>
      <c r="Y37" s="99"/>
      <c r="Z37" s="84"/>
      <c r="AA37" s="99"/>
      <c r="AB37" s="109"/>
      <c r="AC37" s="109"/>
      <c r="AE37" s="106" t="s">
        <v>14</v>
      </c>
      <c r="AF37" s="84" t="s">
        <v>244</v>
      </c>
      <c r="AG37" s="105" t="s">
        <v>241</v>
      </c>
      <c r="AH37" s="105" t="s">
        <v>242</v>
      </c>
    </row>
    <row r="38" spans="1:34" ht="40.15" customHeight="1" x14ac:dyDescent="0.25">
      <c r="A38" s="86">
        <v>36</v>
      </c>
      <c r="B38" s="102">
        <v>45825</v>
      </c>
      <c r="C38" s="94">
        <v>1138</v>
      </c>
      <c r="D38" s="84" t="s">
        <v>438</v>
      </c>
      <c r="E38" s="99" t="s">
        <v>187</v>
      </c>
      <c r="F38" s="84"/>
      <c r="G38" s="99"/>
      <c r="H38" s="84"/>
      <c r="I38" s="99"/>
      <c r="J38" s="84"/>
      <c r="K38" s="99"/>
      <c r="L38" s="84"/>
      <c r="M38" s="99"/>
      <c r="N38" s="84"/>
      <c r="O38" s="99"/>
      <c r="P38" s="84"/>
      <c r="Q38" s="99"/>
      <c r="R38" s="84"/>
      <c r="S38" s="99"/>
      <c r="T38" s="84"/>
      <c r="U38" s="99"/>
      <c r="V38" s="84"/>
      <c r="W38" s="99"/>
      <c r="X38" s="84"/>
      <c r="Y38" s="99"/>
      <c r="Z38" s="84"/>
      <c r="AA38" s="99"/>
      <c r="AB38" s="109"/>
      <c r="AC38" s="109"/>
      <c r="AE38" s="106" t="s">
        <v>76</v>
      </c>
      <c r="AF38" s="84" t="s">
        <v>244</v>
      </c>
      <c r="AG38" s="105" t="s">
        <v>241</v>
      </c>
      <c r="AH38" s="105" t="s">
        <v>242</v>
      </c>
    </row>
    <row r="39" spans="1:34" ht="40.15" customHeight="1" x14ac:dyDescent="0.25">
      <c r="A39" s="86">
        <v>37</v>
      </c>
      <c r="B39" s="102">
        <v>45827</v>
      </c>
      <c r="C39" s="94" t="s">
        <v>454</v>
      </c>
      <c r="D39" s="84" t="s">
        <v>455</v>
      </c>
      <c r="E39" s="99" t="s">
        <v>189</v>
      </c>
      <c r="F39" s="84" t="s">
        <v>456</v>
      </c>
      <c r="G39" s="99" t="s">
        <v>189</v>
      </c>
      <c r="H39" s="84" t="s">
        <v>457</v>
      </c>
      <c r="I39" s="99" t="s">
        <v>421</v>
      </c>
      <c r="J39" s="84" t="s">
        <v>458</v>
      </c>
      <c r="K39" s="99" t="s">
        <v>189</v>
      </c>
      <c r="L39" s="84" t="s">
        <v>459</v>
      </c>
      <c r="M39" s="99" t="s">
        <v>189</v>
      </c>
      <c r="N39" s="84" t="s">
        <v>460</v>
      </c>
      <c r="O39" s="99" t="s">
        <v>189</v>
      </c>
      <c r="P39" s="84" t="s">
        <v>461</v>
      </c>
      <c r="Q39" s="99" t="s">
        <v>189</v>
      </c>
      <c r="R39" s="84"/>
      <c r="S39" s="99"/>
      <c r="T39" s="84"/>
      <c r="U39" s="99"/>
      <c r="V39" s="84"/>
      <c r="W39" s="99"/>
      <c r="X39" s="84"/>
      <c r="Y39" s="99"/>
      <c r="Z39" s="84"/>
      <c r="AA39" s="99"/>
      <c r="AB39" s="109"/>
      <c r="AC39" s="109"/>
      <c r="AE39" s="106" t="s">
        <v>14</v>
      </c>
      <c r="AF39" s="84" t="s">
        <v>244</v>
      </c>
      <c r="AG39" s="105" t="s">
        <v>241</v>
      </c>
      <c r="AH39" s="105" t="s">
        <v>242</v>
      </c>
    </row>
    <row r="40" spans="1:34" ht="40.15" customHeight="1" x14ac:dyDescent="0.25">
      <c r="A40" s="86">
        <v>38</v>
      </c>
      <c r="B40" s="102">
        <v>45833</v>
      </c>
      <c r="C40" s="94" t="s">
        <v>465</v>
      </c>
      <c r="D40" s="84" t="s">
        <v>466</v>
      </c>
      <c r="E40" s="99" t="s">
        <v>189</v>
      </c>
      <c r="F40" s="84" t="s">
        <v>467</v>
      </c>
      <c r="G40" s="99" t="s">
        <v>189</v>
      </c>
      <c r="H40" s="84" t="s">
        <v>468</v>
      </c>
      <c r="I40" s="99" t="s">
        <v>189</v>
      </c>
      <c r="J40" s="84" t="s">
        <v>469</v>
      </c>
      <c r="K40" s="99" t="s">
        <v>421</v>
      </c>
      <c r="L40" s="84" t="s">
        <v>445</v>
      </c>
      <c r="M40" s="99" t="s">
        <v>189</v>
      </c>
      <c r="N40" s="84" t="s">
        <v>470</v>
      </c>
      <c r="O40" s="99" t="s">
        <v>189</v>
      </c>
      <c r="P40" s="84" t="s">
        <v>472</v>
      </c>
      <c r="Q40" s="99" t="s">
        <v>189</v>
      </c>
      <c r="R40" s="84"/>
      <c r="S40" s="99"/>
      <c r="T40" s="84"/>
      <c r="U40" s="99"/>
      <c r="V40" s="84"/>
      <c r="W40" s="99"/>
      <c r="X40" s="84"/>
      <c r="Y40" s="99"/>
      <c r="Z40" s="84"/>
      <c r="AA40" s="99"/>
      <c r="AB40" s="109"/>
      <c r="AC40" s="109"/>
      <c r="AE40" s="106" t="s">
        <v>14</v>
      </c>
      <c r="AF40" s="84" t="s">
        <v>244</v>
      </c>
      <c r="AG40" s="105" t="s">
        <v>241</v>
      </c>
      <c r="AH40" s="105" t="s">
        <v>242</v>
      </c>
    </row>
    <row r="41" spans="1:34" ht="40.15" customHeight="1" x14ac:dyDescent="0.25">
      <c r="A41" s="86">
        <v>39</v>
      </c>
      <c r="B41" s="102">
        <v>45836</v>
      </c>
      <c r="C41" s="94">
        <v>1162</v>
      </c>
      <c r="D41" s="84" t="s">
        <v>464</v>
      </c>
      <c r="E41" s="99" t="s">
        <v>187</v>
      </c>
      <c r="F41" s="84"/>
      <c r="G41" s="99"/>
      <c r="H41" s="84"/>
      <c r="I41" s="99"/>
      <c r="J41" s="84"/>
      <c r="K41" s="99"/>
      <c r="L41" s="84"/>
      <c r="M41" s="99"/>
      <c r="N41" s="84"/>
      <c r="O41" s="99"/>
      <c r="P41" s="84"/>
      <c r="Q41" s="99"/>
      <c r="R41" s="84"/>
      <c r="S41" s="99"/>
      <c r="T41" s="84"/>
      <c r="U41" s="99"/>
      <c r="V41" s="84"/>
      <c r="W41" s="99"/>
      <c r="X41" s="84"/>
      <c r="Y41" s="99"/>
      <c r="Z41" s="84"/>
      <c r="AA41" s="99"/>
      <c r="AB41" s="109"/>
      <c r="AC41" s="109"/>
      <c r="AE41" s="106" t="s">
        <v>76</v>
      </c>
      <c r="AF41" s="84" t="s">
        <v>244</v>
      </c>
      <c r="AG41" s="105" t="s">
        <v>241</v>
      </c>
      <c r="AH41" s="105" t="s">
        <v>242</v>
      </c>
    </row>
    <row r="42" spans="1:34" ht="40.15" customHeight="1" x14ac:dyDescent="0.25">
      <c r="A42" s="86">
        <v>40</v>
      </c>
      <c r="B42" s="102">
        <v>45839</v>
      </c>
      <c r="C42" s="94">
        <v>1168</v>
      </c>
      <c r="D42" s="84" t="s">
        <v>463</v>
      </c>
      <c r="E42" s="99" t="s">
        <v>187</v>
      </c>
      <c r="F42" s="84"/>
      <c r="G42" s="99"/>
      <c r="H42" s="84"/>
      <c r="I42" s="99"/>
      <c r="J42" s="84"/>
      <c r="K42" s="99"/>
      <c r="L42" s="84"/>
      <c r="M42" s="99"/>
      <c r="N42" s="84"/>
      <c r="O42" s="99"/>
      <c r="P42" s="84"/>
      <c r="Q42" s="99"/>
      <c r="R42" s="84"/>
      <c r="S42" s="99"/>
      <c r="T42" s="84"/>
      <c r="U42" s="99"/>
      <c r="V42" s="84"/>
      <c r="W42" s="99"/>
      <c r="X42" s="84"/>
      <c r="Y42" s="99"/>
      <c r="Z42" s="84"/>
      <c r="AA42" s="99"/>
      <c r="AB42" s="109"/>
      <c r="AC42" s="109"/>
      <c r="AE42" s="106" t="s">
        <v>76</v>
      </c>
      <c r="AF42" s="84" t="s">
        <v>244</v>
      </c>
      <c r="AG42" s="105" t="s">
        <v>241</v>
      </c>
      <c r="AH42" s="105" t="s">
        <v>242</v>
      </c>
    </row>
    <row r="43" spans="1:34" ht="40.15" customHeight="1" x14ac:dyDescent="0.25">
      <c r="A43" s="86">
        <v>41</v>
      </c>
      <c r="B43" s="102">
        <v>45842</v>
      </c>
      <c r="C43" s="94" t="s">
        <v>473</v>
      </c>
      <c r="D43" s="84" t="s">
        <v>474</v>
      </c>
      <c r="E43" s="99" t="s">
        <v>189</v>
      </c>
      <c r="F43" s="84" t="s">
        <v>475</v>
      </c>
      <c r="G43" s="99" t="s">
        <v>189</v>
      </c>
      <c r="H43" s="84" t="s">
        <v>476</v>
      </c>
      <c r="I43" s="99" t="s">
        <v>189</v>
      </c>
      <c r="J43" s="84" t="s">
        <v>477</v>
      </c>
      <c r="K43" s="99" t="s">
        <v>421</v>
      </c>
      <c r="L43" s="84" t="s">
        <v>478</v>
      </c>
      <c r="M43" s="99" t="s">
        <v>189</v>
      </c>
      <c r="N43" s="84" t="s">
        <v>479</v>
      </c>
      <c r="O43" s="99" t="s">
        <v>189</v>
      </c>
      <c r="P43" s="84" t="s">
        <v>480</v>
      </c>
      <c r="Q43" s="99" t="s">
        <v>189</v>
      </c>
      <c r="R43" s="84"/>
      <c r="S43" s="99"/>
      <c r="T43" s="84"/>
      <c r="U43" s="99"/>
      <c r="V43" s="84"/>
      <c r="W43" s="99"/>
      <c r="X43" s="84"/>
      <c r="Y43" s="99"/>
      <c r="Z43" s="84"/>
      <c r="AA43" s="99"/>
      <c r="AB43" s="109"/>
      <c r="AC43" s="109"/>
      <c r="AE43" s="106" t="s">
        <v>14</v>
      </c>
      <c r="AF43" s="84" t="s">
        <v>244</v>
      </c>
      <c r="AG43" s="105" t="s">
        <v>241</v>
      </c>
      <c r="AH43" s="105" t="s">
        <v>242</v>
      </c>
    </row>
    <row r="44" spans="1:34" ht="40.15" customHeight="1" x14ac:dyDescent="0.25">
      <c r="A44" s="86">
        <v>42</v>
      </c>
      <c r="B44" s="102">
        <v>45848</v>
      </c>
      <c r="C44" s="94" t="s">
        <v>481</v>
      </c>
      <c r="D44" s="84" t="s">
        <v>482</v>
      </c>
      <c r="E44" s="99" t="s">
        <v>189</v>
      </c>
      <c r="F44" s="84" t="s">
        <v>483</v>
      </c>
      <c r="G44" s="99" t="s">
        <v>189</v>
      </c>
      <c r="H44" s="84" t="s">
        <v>484</v>
      </c>
      <c r="I44" s="99" t="s">
        <v>189</v>
      </c>
      <c r="J44" s="84" t="s">
        <v>485</v>
      </c>
      <c r="K44" s="99" t="s">
        <v>421</v>
      </c>
      <c r="L44" s="84" t="s">
        <v>486</v>
      </c>
      <c r="M44" s="99" t="s">
        <v>189</v>
      </c>
      <c r="N44" s="84" t="s">
        <v>487</v>
      </c>
      <c r="O44" s="99" t="s">
        <v>189</v>
      </c>
      <c r="P44" s="84" t="s">
        <v>488</v>
      </c>
      <c r="Q44" s="99" t="s">
        <v>189</v>
      </c>
      <c r="R44" s="84"/>
      <c r="S44" s="99"/>
      <c r="T44" s="84"/>
      <c r="U44" s="99"/>
      <c r="V44" s="84"/>
      <c r="W44" s="99"/>
      <c r="X44" s="84"/>
      <c r="Y44" s="99"/>
      <c r="Z44" s="84"/>
      <c r="AA44" s="99"/>
      <c r="AB44" s="109"/>
      <c r="AC44" s="109"/>
      <c r="AE44" s="106" t="s">
        <v>14</v>
      </c>
      <c r="AF44" s="84" t="s">
        <v>244</v>
      </c>
      <c r="AG44" s="105" t="s">
        <v>241</v>
      </c>
      <c r="AH44" s="105" t="s">
        <v>242</v>
      </c>
    </row>
    <row r="45" spans="1:34" ht="40.15" customHeight="1" x14ac:dyDescent="0.25">
      <c r="A45" s="86">
        <v>43</v>
      </c>
      <c r="B45" s="102">
        <v>45850</v>
      </c>
      <c r="C45" s="94" t="s">
        <v>489</v>
      </c>
      <c r="D45" s="84" t="s">
        <v>490</v>
      </c>
      <c r="E45" s="99" t="s">
        <v>189</v>
      </c>
      <c r="F45" s="84" t="s">
        <v>491</v>
      </c>
      <c r="G45" s="99" t="s">
        <v>189</v>
      </c>
      <c r="H45" s="84" t="s">
        <v>496</v>
      </c>
      <c r="I45" s="99" t="s">
        <v>421</v>
      </c>
      <c r="J45" s="84" t="s">
        <v>492</v>
      </c>
      <c r="K45" s="99" t="s">
        <v>189</v>
      </c>
      <c r="L45" s="84" t="s">
        <v>493</v>
      </c>
      <c r="M45" s="99" t="s">
        <v>189</v>
      </c>
      <c r="N45" s="84" t="s">
        <v>494</v>
      </c>
      <c r="O45" s="99" t="s">
        <v>189</v>
      </c>
      <c r="P45" s="84" t="s">
        <v>495</v>
      </c>
      <c r="Q45" s="99" t="s">
        <v>189</v>
      </c>
      <c r="R45" s="84"/>
      <c r="S45" s="99"/>
      <c r="T45" s="84"/>
      <c r="U45" s="99"/>
      <c r="V45" s="84"/>
      <c r="W45" s="99"/>
      <c r="X45" s="84"/>
      <c r="Y45" s="99"/>
      <c r="Z45" s="84"/>
      <c r="AA45" s="99"/>
      <c r="AB45" s="109"/>
      <c r="AC45" s="109"/>
      <c r="AE45" s="106" t="s">
        <v>14</v>
      </c>
      <c r="AF45" s="84" t="s">
        <v>244</v>
      </c>
      <c r="AG45" s="105" t="s">
        <v>241</v>
      </c>
      <c r="AH45" s="105" t="s">
        <v>242</v>
      </c>
    </row>
    <row r="46" spans="1:34" ht="40.15" customHeight="1" x14ac:dyDescent="0.25">
      <c r="A46" s="86">
        <v>44</v>
      </c>
      <c r="B46" s="102">
        <v>45853</v>
      </c>
      <c r="C46" s="94" t="s">
        <v>497</v>
      </c>
      <c r="D46" s="84" t="s">
        <v>498</v>
      </c>
      <c r="E46" s="99" t="s">
        <v>189</v>
      </c>
      <c r="F46" s="84" t="s">
        <v>499</v>
      </c>
      <c r="G46" s="99" t="s">
        <v>189</v>
      </c>
      <c r="H46" s="84" t="s">
        <v>500</v>
      </c>
      <c r="I46" s="99" t="s">
        <v>421</v>
      </c>
      <c r="J46" s="84" t="s">
        <v>501</v>
      </c>
      <c r="K46" s="99" t="s">
        <v>189</v>
      </c>
      <c r="L46" s="84" t="s">
        <v>502</v>
      </c>
      <c r="M46" s="99" t="s">
        <v>189</v>
      </c>
      <c r="N46" s="84" t="s">
        <v>503</v>
      </c>
      <c r="O46" s="99" t="s">
        <v>189</v>
      </c>
      <c r="P46" s="84" t="s">
        <v>504</v>
      </c>
      <c r="Q46" s="99" t="s">
        <v>189</v>
      </c>
      <c r="R46" s="84"/>
      <c r="S46" s="99"/>
      <c r="T46" s="84"/>
      <c r="U46" s="99"/>
      <c r="V46" s="84"/>
      <c r="W46" s="99"/>
      <c r="X46" s="84"/>
      <c r="Y46" s="99"/>
      <c r="Z46" s="84"/>
      <c r="AA46" s="99"/>
      <c r="AB46" s="109"/>
      <c r="AC46" s="109"/>
      <c r="AE46" s="106" t="s">
        <v>14</v>
      </c>
      <c r="AF46" s="84" t="s">
        <v>244</v>
      </c>
      <c r="AG46" s="105" t="s">
        <v>241</v>
      </c>
      <c r="AH46" s="105" t="s">
        <v>242</v>
      </c>
    </row>
    <row r="47" spans="1:34" ht="40.15" customHeight="1" x14ac:dyDescent="0.25">
      <c r="A47" s="86">
        <v>45</v>
      </c>
      <c r="B47" s="102">
        <v>45854</v>
      </c>
      <c r="C47" s="94" t="s">
        <v>505</v>
      </c>
      <c r="D47" s="84"/>
      <c r="E47" s="99"/>
      <c r="F47" s="84" t="s">
        <v>506</v>
      </c>
      <c r="G47" s="99" t="s">
        <v>189</v>
      </c>
      <c r="H47" s="84" t="s">
        <v>507</v>
      </c>
      <c r="I47" s="99" t="s">
        <v>189</v>
      </c>
      <c r="J47" s="84" t="s">
        <v>511</v>
      </c>
      <c r="K47" s="99" t="s">
        <v>189</v>
      </c>
      <c r="L47" s="84" t="s">
        <v>508</v>
      </c>
      <c r="M47" s="99" t="s">
        <v>189</v>
      </c>
      <c r="N47" s="84" t="s">
        <v>509</v>
      </c>
      <c r="O47" s="99" t="s">
        <v>189</v>
      </c>
      <c r="P47" s="84" t="s">
        <v>510</v>
      </c>
      <c r="Q47" s="99" t="s">
        <v>189</v>
      </c>
      <c r="R47" s="84" t="s">
        <v>512</v>
      </c>
      <c r="S47" s="99" t="s">
        <v>189</v>
      </c>
      <c r="T47" s="84"/>
      <c r="U47" s="99"/>
      <c r="V47" s="84"/>
      <c r="W47" s="99"/>
      <c r="X47" s="84"/>
      <c r="Y47" s="99"/>
      <c r="Z47" s="84"/>
      <c r="AA47" s="99"/>
      <c r="AB47" s="109"/>
      <c r="AC47" s="109"/>
      <c r="AE47" s="106" t="s">
        <v>205</v>
      </c>
      <c r="AF47" s="84" t="s">
        <v>244</v>
      </c>
      <c r="AG47" s="105" t="s">
        <v>241</v>
      </c>
      <c r="AH47" s="105" t="s">
        <v>242</v>
      </c>
    </row>
    <row r="48" spans="1:34" ht="40.15" customHeight="1" x14ac:dyDescent="0.25">
      <c r="A48" s="86">
        <v>46</v>
      </c>
      <c r="B48" s="102">
        <v>45855</v>
      </c>
      <c r="C48" s="94" t="s">
        <v>513</v>
      </c>
      <c r="D48" s="84" t="s">
        <v>514</v>
      </c>
      <c r="E48" s="99" t="s">
        <v>189</v>
      </c>
      <c r="F48" s="84" t="s">
        <v>515</v>
      </c>
      <c r="G48" s="99" t="s">
        <v>189</v>
      </c>
      <c r="H48" s="84" t="s">
        <v>516</v>
      </c>
      <c r="I48" s="99" t="s">
        <v>421</v>
      </c>
      <c r="J48" s="84" t="s">
        <v>517</v>
      </c>
      <c r="K48" s="99" t="s">
        <v>189</v>
      </c>
      <c r="L48" s="84" t="s">
        <v>518</v>
      </c>
      <c r="M48" s="99" t="s">
        <v>189</v>
      </c>
      <c r="N48" s="84" t="s">
        <v>519</v>
      </c>
      <c r="O48" s="99" t="s">
        <v>189</v>
      </c>
      <c r="P48" s="84" t="s">
        <v>520</v>
      </c>
      <c r="Q48" s="99" t="s">
        <v>189</v>
      </c>
      <c r="R48" s="84"/>
      <c r="S48" s="99"/>
      <c r="T48" s="84"/>
      <c r="U48" s="99"/>
      <c r="V48" s="84"/>
      <c r="W48" s="99"/>
      <c r="X48" s="84"/>
      <c r="Y48" s="99"/>
      <c r="Z48" s="84"/>
      <c r="AA48" s="99"/>
      <c r="AB48" s="109"/>
      <c r="AC48" s="109"/>
      <c r="AE48" s="106" t="s">
        <v>14</v>
      </c>
      <c r="AF48" s="84" t="s">
        <v>244</v>
      </c>
      <c r="AG48" s="105" t="s">
        <v>241</v>
      </c>
      <c r="AH48" s="105" t="s">
        <v>242</v>
      </c>
    </row>
    <row r="49" spans="1:34" ht="40.15" customHeight="1" x14ac:dyDescent="0.25">
      <c r="A49" s="86">
        <v>47</v>
      </c>
      <c r="B49" s="102">
        <v>45856</v>
      </c>
      <c r="C49" s="94" t="s">
        <v>521</v>
      </c>
      <c r="D49" s="84"/>
      <c r="E49" s="99"/>
      <c r="F49" s="84" t="s">
        <v>522</v>
      </c>
      <c r="G49" s="99" t="s">
        <v>189</v>
      </c>
      <c r="H49" s="84" t="s">
        <v>523</v>
      </c>
      <c r="I49" s="99" t="s">
        <v>189</v>
      </c>
      <c r="J49" s="84" t="s">
        <v>528</v>
      </c>
      <c r="K49" s="99" t="s">
        <v>189</v>
      </c>
      <c r="L49" s="84" t="s">
        <v>524</v>
      </c>
      <c r="M49" s="99" t="s">
        <v>189</v>
      </c>
      <c r="N49" s="84" t="s">
        <v>525</v>
      </c>
      <c r="O49" s="99" t="s">
        <v>189</v>
      </c>
      <c r="P49" s="84" t="s">
        <v>526</v>
      </c>
      <c r="Q49" s="99" t="s">
        <v>189</v>
      </c>
      <c r="R49" s="84" t="s">
        <v>527</v>
      </c>
      <c r="S49" s="99" t="s">
        <v>189</v>
      </c>
      <c r="T49" s="84"/>
      <c r="U49" s="99"/>
      <c r="V49" s="84"/>
      <c r="W49" s="99"/>
      <c r="X49" s="84"/>
      <c r="Y49" s="99"/>
      <c r="Z49" s="84"/>
      <c r="AA49" s="99"/>
      <c r="AB49" s="109"/>
      <c r="AC49" s="109"/>
      <c r="AE49" s="106" t="s">
        <v>205</v>
      </c>
      <c r="AF49" s="84" t="s">
        <v>244</v>
      </c>
      <c r="AG49" s="105" t="s">
        <v>241</v>
      </c>
      <c r="AH49" s="105" t="s">
        <v>242</v>
      </c>
    </row>
    <row r="50" spans="1:34" ht="40.15" customHeight="1" x14ac:dyDescent="0.25">
      <c r="A50" s="86">
        <v>48</v>
      </c>
      <c r="B50" s="102">
        <v>45857</v>
      </c>
      <c r="C50" s="94" t="s">
        <v>529</v>
      </c>
      <c r="D50" s="84" t="s">
        <v>530</v>
      </c>
      <c r="E50" s="99" t="s">
        <v>189</v>
      </c>
      <c r="F50" s="84" t="s">
        <v>531</v>
      </c>
      <c r="G50" s="99" t="s">
        <v>189</v>
      </c>
      <c r="H50" s="84" t="s">
        <v>532</v>
      </c>
      <c r="I50" s="99" t="s">
        <v>189</v>
      </c>
      <c r="J50" s="84" t="s">
        <v>533</v>
      </c>
      <c r="K50" s="99" t="s">
        <v>189</v>
      </c>
      <c r="L50" s="84" t="s">
        <v>534</v>
      </c>
      <c r="M50" s="99" t="s">
        <v>189</v>
      </c>
      <c r="N50" s="84" t="s">
        <v>535</v>
      </c>
      <c r="O50" s="99" t="s">
        <v>189</v>
      </c>
      <c r="P50" s="84" t="s">
        <v>536</v>
      </c>
      <c r="Q50" s="99" t="s">
        <v>189</v>
      </c>
      <c r="R50" s="84"/>
      <c r="S50" s="99"/>
      <c r="T50" s="84"/>
      <c r="U50" s="99"/>
      <c r="V50" s="84"/>
      <c r="W50" s="99"/>
      <c r="X50" s="84"/>
      <c r="Y50" s="99"/>
      <c r="Z50" s="84"/>
      <c r="AA50" s="99"/>
      <c r="AB50" s="109"/>
      <c r="AC50" s="109"/>
      <c r="AE50" s="106" t="s">
        <v>14</v>
      </c>
      <c r="AF50" s="84" t="s">
        <v>244</v>
      </c>
      <c r="AG50" s="105" t="s">
        <v>241</v>
      </c>
      <c r="AH50" s="105" t="s">
        <v>242</v>
      </c>
    </row>
    <row r="51" spans="1:34" ht="40.15" customHeight="1" x14ac:dyDescent="0.25">
      <c r="A51" s="86">
        <v>49</v>
      </c>
      <c r="B51" s="102">
        <v>45859</v>
      </c>
      <c r="C51" s="94">
        <v>1209</v>
      </c>
      <c r="D51" s="84" t="s">
        <v>537</v>
      </c>
      <c r="E51" s="99" t="s">
        <v>187</v>
      </c>
      <c r="F51" s="84"/>
      <c r="G51" s="99"/>
      <c r="H51" s="84"/>
      <c r="I51" s="99"/>
      <c r="J51" s="84"/>
      <c r="K51" s="99"/>
      <c r="L51" s="84"/>
      <c r="M51" s="99"/>
      <c r="N51" s="84"/>
      <c r="O51" s="99"/>
      <c r="P51" s="84"/>
      <c r="Q51" s="99"/>
      <c r="R51" s="84"/>
      <c r="S51" s="99"/>
      <c r="T51" s="84"/>
      <c r="U51" s="99"/>
      <c r="V51" s="84"/>
      <c r="W51" s="99"/>
      <c r="X51" s="84"/>
      <c r="Y51" s="99"/>
      <c r="Z51" s="84"/>
      <c r="AA51" s="99"/>
      <c r="AB51" s="109"/>
      <c r="AC51" s="109"/>
      <c r="AE51" s="106" t="s">
        <v>76</v>
      </c>
      <c r="AF51" s="84" t="s">
        <v>244</v>
      </c>
      <c r="AG51" s="105" t="s">
        <v>241</v>
      </c>
      <c r="AH51" s="105" t="s">
        <v>242</v>
      </c>
    </row>
    <row r="52" spans="1:34" ht="40.15" customHeight="1" x14ac:dyDescent="0.25">
      <c r="A52" s="86">
        <v>50</v>
      </c>
      <c r="B52" s="102">
        <v>45859</v>
      </c>
      <c r="C52" s="94" t="s">
        <v>538</v>
      </c>
      <c r="D52" s="84"/>
      <c r="E52" s="99"/>
      <c r="F52" s="84" t="s">
        <v>539</v>
      </c>
      <c r="G52" s="99" t="s">
        <v>189</v>
      </c>
      <c r="H52" s="84" t="s">
        <v>540</v>
      </c>
      <c r="I52" s="99" t="s">
        <v>189</v>
      </c>
      <c r="J52" s="84" t="s">
        <v>541</v>
      </c>
      <c r="K52" s="99" t="s">
        <v>189</v>
      </c>
      <c r="L52" s="84" t="s">
        <v>542</v>
      </c>
      <c r="M52" s="99" t="s">
        <v>189</v>
      </c>
      <c r="N52" s="84" t="s">
        <v>543</v>
      </c>
      <c r="O52" s="99" t="s">
        <v>189</v>
      </c>
      <c r="P52" s="84" t="s">
        <v>544</v>
      </c>
      <c r="Q52" s="99" t="s">
        <v>189</v>
      </c>
      <c r="R52" s="84" t="s">
        <v>545</v>
      </c>
      <c r="S52" s="99" t="s">
        <v>189</v>
      </c>
      <c r="T52" s="84"/>
      <c r="U52" s="99"/>
      <c r="V52" s="84"/>
      <c r="W52" s="99"/>
      <c r="X52" s="84"/>
      <c r="Y52" s="99"/>
      <c r="Z52" s="84"/>
      <c r="AA52" s="99"/>
      <c r="AB52" s="109"/>
      <c r="AC52" s="109"/>
      <c r="AE52" s="106" t="s">
        <v>205</v>
      </c>
      <c r="AF52" s="84" t="s">
        <v>244</v>
      </c>
      <c r="AG52" s="105" t="s">
        <v>241</v>
      </c>
      <c r="AH52" s="105" t="s">
        <v>242</v>
      </c>
    </row>
    <row r="53" spans="1:34" ht="40.15" customHeight="1" x14ac:dyDescent="0.25">
      <c r="A53" s="86">
        <v>51</v>
      </c>
      <c r="B53" s="102">
        <v>45861</v>
      </c>
      <c r="C53" s="94" t="s">
        <v>546</v>
      </c>
      <c r="D53" s="84" t="s">
        <v>547</v>
      </c>
      <c r="E53" s="99" t="s">
        <v>189</v>
      </c>
      <c r="F53" s="84" t="s">
        <v>548</v>
      </c>
      <c r="G53" s="99" t="s">
        <v>189</v>
      </c>
      <c r="H53" s="84" t="s">
        <v>549</v>
      </c>
      <c r="I53" s="99" t="s">
        <v>189</v>
      </c>
      <c r="J53" s="84" t="s">
        <v>550</v>
      </c>
      <c r="K53" s="99" t="s">
        <v>189</v>
      </c>
      <c r="L53" s="84" t="s">
        <v>551</v>
      </c>
      <c r="M53" s="99" t="s">
        <v>189</v>
      </c>
      <c r="N53" s="84" t="s">
        <v>552</v>
      </c>
      <c r="O53" s="99" t="s">
        <v>189</v>
      </c>
      <c r="P53" s="84" t="s">
        <v>553</v>
      </c>
      <c r="Q53" s="99" t="s">
        <v>189</v>
      </c>
      <c r="R53" s="84"/>
      <c r="S53" s="99"/>
      <c r="T53" s="84"/>
      <c r="U53" s="99"/>
      <c r="V53" s="84"/>
      <c r="W53" s="99"/>
      <c r="X53" s="84"/>
      <c r="Y53" s="99"/>
      <c r="Z53" s="84"/>
      <c r="AA53" s="99"/>
      <c r="AB53" s="109"/>
      <c r="AC53" s="109"/>
      <c r="AE53" s="106" t="s">
        <v>14</v>
      </c>
      <c r="AF53" s="84" t="s">
        <v>244</v>
      </c>
      <c r="AG53" s="105" t="s">
        <v>241</v>
      </c>
      <c r="AH53" s="105" t="s">
        <v>242</v>
      </c>
    </row>
    <row r="54" spans="1:34" ht="40.15" customHeight="1" x14ac:dyDescent="0.25">
      <c r="A54" s="86">
        <v>52</v>
      </c>
      <c r="B54" s="102">
        <v>45862</v>
      </c>
      <c r="C54" s="94" t="s">
        <v>554</v>
      </c>
      <c r="D54" s="84"/>
      <c r="E54" s="99"/>
      <c r="F54" s="84" t="s">
        <v>555</v>
      </c>
      <c r="G54" s="99" t="s">
        <v>189</v>
      </c>
      <c r="H54" s="84" t="s">
        <v>556</v>
      </c>
      <c r="I54" s="99" t="s">
        <v>189</v>
      </c>
      <c r="J54" s="84" t="s">
        <v>557</v>
      </c>
      <c r="K54" s="99" t="s">
        <v>189</v>
      </c>
      <c r="L54" s="84" t="s">
        <v>558</v>
      </c>
      <c r="M54" s="99" t="s">
        <v>189</v>
      </c>
      <c r="N54" s="84" t="s">
        <v>559</v>
      </c>
      <c r="O54" s="99" t="s">
        <v>189</v>
      </c>
      <c r="P54" s="84" t="s">
        <v>560</v>
      </c>
      <c r="Q54" s="99" t="s">
        <v>189</v>
      </c>
      <c r="R54" s="84" t="s">
        <v>561</v>
      </c>
      <c r="S54" s="99" t="s">
        <v>189</v>
      </c>
      <c r="T54" s="84"/>
      <c r="U54" s="99"/>
      <c r="V54" s="84"/>
      <c r="W54" s="99"/>
      <c r="X54" s="84"/>
      <c r="Y54" s="99"/>
      <c r="Z54" s="84"/>
      <c r="AA54" s="99"/>
      <c r="AB54" s="109"/>
      <c r="AC54" s="109"/>
      <c r="AE54" s="106" t="s">
        <v>205</v>
      </c>
      <c r="AF54" s="84" t="s">
        <v>244</v>
      </c>
      <c r="AG54" s="105" t="s">
        <v>241</v>
      </c>
      <c r="AH54" s="105" t="s">
        <v>242</v>
      </c>
    </row>
    <row r="55" spans="1:34" ht="40.15" customHeight="1" x14ac:dyDescent="0.25">
      <c r="A55" s="86">
        <v>53</v>
      </c>
      <c r="B55" s="102">
        <v>45863</v>
      </c>
      <c r="C55" s="94" t="s">
        <v>562</v>
      </c>
      <c r="D55" s="84" t="s">
        <v>563</v>
      </c>
      <c r="E55" s="99" t="s">
        <v>189</v>
      </c>
      <c r="F55" s="84" t="s">
        <v>564</v>
      </c>
      <c r="G55" s="99" t="s">
        <v>189</v>
      </c>
      <c r="H55" s="84" t="s">
        <v>565</v>
      </c>
      <c r="I55" s="99" t="s">
        <v>189</v>
      </c>
      <c r="J55" s="84" t="s">
        <v>566</v>
      </c>
      <c r="K55" s="99" t="s">
        <v>189</v>
      </c>
      <c r="L55" s="84" t="s">
        <v>567</v>
      </c>
      <c r="M55" s="99" t="s">
        <v>189</v>
      </c>
      <c r="N55" s="84" t="s">
        <v>568</v>
      </c>
      <c r="O55" s="99" t="s">
        <v>189</v>
      </c>
      <c r="P55" s="84" t="s">
        <v>569</v>
      </c>
      <c r="Q55" s="99" t="s">
        <v>189</v>
      </c>
      <c r="R55" s="84"/>
      <c r="S55" s="99"/>
      <c r="T55" s="84"/>
      <c r="U55" s="99"/>
      <c r="V55" s="84"/>
      <c r="W55" s="99"/>
      <c r="X55" s="84"/>
      <c r="Y55" s="99"/>
      <c r="Z55" s="84"/>
      <c r="AA55" s="99"/>
      <c r="AB55" s="109"/>
      <c r="AC55" s="109"/>
      <c r="AE55" s="106" t="s">
        <v>14</v>
      </c>
      <c r="AF55" s="84" t="s">
        <v>244</v>
      </c>
      <c r="AG55" s="105" t="s">
        <v>241</v>
      </c>
      <c r="AH55" s="105" t="s">
        <v>242</v>
      </c>
    </row>
    <row r="56" spans="1:34" ht="40.15" customHeight="1" x14ac:dyDescent="0.25">
      <c r="A56" s="86">
        <v>54</v>
      </c>
      <c r="B56" s="102">
        <v>45864</v>
      </c>
      <c r="C56" s="94" t="s">
        <v>570</v>
      </c>
      <c r="D56" s="84"/>
      <c r="E56" s="99"/>
      <c r="F56" s="84" t="s">
        <v>571</v>
      </c>
      <c r="G56" s="99" t="s">
        <v>189</v>
      </c>
      <c r="H56" s="84" t="s">
        <v>572</v>
      </c>
      <c r="I56" s="99" t="s">
        <v>189</v>
      </c>
      <c r="J56" s="84" t="s">
        <v>573</v>
      </c>
      <c r="K56" s="99" t="s">
        <v>189</v>
      </c>
      <c r="L56" s="84" t="s">
        <v>574</v>
      </c>
      <c r="M56" s="99" t="s">
        <v>189</v>
      </c>
      <c r="N56" s="84" t="s">
        <v>575</v>
      </c>
      <c r="O56" s="99" t="s">
        <v>189</v>
      </c>
      <c r="P56" s="84" t="s">
        <v>576</v>
      </c>
      <c r="Q56" s="99" t="s">
        <v>189</v>
      </c>
      <c r="R56" s="84" t="s">
        <v>577</v>
      </c>
      <c r="S56" s="99" t="s">
        <v>189</v>
      </c>
      <c r="T56" s="84"/>
      <c r="U56" s="99"/>
      <c r="V56" s="84"/>
      <c r="W56" s="99"/>
      <c r="X56" s="84"/>
      <c r="Y56" s="99"/>
      <c r="Z56" s="84"/>
      <c r="AA56" s="99"/>
      <c r="AB56" s="109"/>
      <c r="AC56" s="109"/>
      <c r="AE56" s="106" t="s">
        <v>205</v>
      </c>
      <c r="AF56" s="84" t="s">
        <v>244</v>
      </c>
      <c r="AG56" s="105" t="s">
        <v>241</v>
      </c>
      <c r="AH56" s="105" t="s">
        <v>242</v>
      </c>
    </row>
    <row r="57" spans="1:34" ht="40.15" customHeight="1" x14ac:dyDescent="0.25">
      <c r="A57" s="86">
        <v>55</v>
      </c>
      <c r="B57" s="102">
        <v>45867</v>
      </c>
      <c r="C57" s="94" t="s">
        <v>578</v>
      </c>
      <c r="D57" s="84" t="s">
        <v>579</v>
      </c>
      <c r="E57" s="99" t="s">
        <v>189</v>
      </c>
      <c r="F57" s="84" t="s">
        <v>580</v>
      </c>
      <c r="G57" s="99" t="s">
        <v>189</v>
      </c>
      <c r="H57" s="84" t="s">
        <v>581</v>
      </c>
      <c r="I57" s="99" t="s">
        <v>189</v>
      </c>
      <c r="J57" s="84" t="s">
        <v>582</v>
      </c>
      <c r="K57" s="99" t="s">
        <v>189</v>
      </c>
      <c r="L57" s="84" t="s">
        <v>583</v>
      </c>
      <c r="M57" s="99" t="s">
        <v>189</v>
      </c>
      <c r="N57" s="84" t="s">
        <v>584</v>
      </c>
      <c r="O57" s="99" t="s">
        <v>189</v>
      </c>
      <c r="P57" s="84" t="s">
        <v>585</v>
      </c>
      <c r="Q57" s="99" t="s">
        <v>189</v>
      </c>
      <c r="R57" s="84"/>
      <c r="S57" s="99"/>
      <c r="T57" s="84"/>
      <c r="U57" s="99"/>
      <c r="V57" s="84"/>
      <c r="W57" s="99"/>
      <c r="X57" s="84"/>
      <c r="Y57" s="99"/>
      <c r="Z57" s="84"/>
      <c r="AA57" s="99"/>
      <c r="AB57" s="109"/>
      <c r="AC57" s="109"/>
      <c r="AE57" s="106" t="s">
        <v>14</v>
      </c>
      <c r="AF57" s="84" t="s">
        <v>244</v>
      </c>
      <c r="AG57" s="105" t="s">
        <v>241</v>
      </c>
      <c r="AH57" s="105" t="s">
        <v>242</v>
      </c>
    </row>
    <row r="58" spans="1:34" ht="40.15" customHeight="1" x14ac:dyDescent="0.25">
      <c r="A58" s="86">
        <v>56</v>
      </c>
      <c r="B58" s="102">
        <v>45868</v>
      </c>
      <c r="C58" s="94" t="s">
        <v>586</v>
      </c>
      <c r="D58" s="84"/>
      <c r="E58" s="99"/>
      <c r="F58" s="84" t="s">
        <v>587</v>
      </c>
      <c r="G58" s="99" t="s">
        <v>189</v>
      </c>
      <c r="H58" s="84" t="s">
        <v>588</v>
      </c>
      <c r="I58" s="99" t="s">
        <v>189</v>
      </c>
      <c r="J58" s="84" t="s">
        <v>589</v>
      </c>
      <c r="K58" s="99" t="s">
        <v>189</v>
      </c>
      <c r="L58" s="84" t="s">
        <v>590</v>
      </c>
      <c r="M58" s="99" t="s">
        <v>189</v>
      </c>
      <c r="N58" s="84" t="s">
        <v>591</v>
      </c>
      <c r="O58" s="99" t="s">
        <v>189</v>
      </c>
      <c r="P58" s="84" t="s">
        <v>592</v>
      </c>
      <c r="Q58" s="99" t="s">
        <v>189</v>
      </c>
      <c r="R58" s="84" t="s">
        <v>593</v>
      </c>
      <c r="S58" s="99" t="s">
        <v>189</v>
      </c>
      <c r="T58" s="84"/>
      <c r="U58" s="99"/>
      <c r="V58" s="84"/>
      <c r="W58" s="99"/>
      <c r="X58" s="84"/>
      <c r="Y58" s="99"/>
      <c r="Z58" s="84"/>
      <c r="AA58" s="99"/>
      <c r="AB58" s="109"/>
      <c r="AC58" s="109"/>
      <c r="AE58" s="106" t="s">
        <v>205</v>
      </c>
      <c r="AF58" s="84" t="s">
        <v>244</v>
      </c>
      <c r="AG58" s="105" t="s">
        <v>241</v>
      </c>
      <c r="AH58" s="105" t="s">
        <v>242</v>
      </c>
    </row>
    <row r="59" spans="1:34" ht="40.15" customHeight="1" x14ac:dyDescent="0.25">
      <c r="A59" s="86">
        <v>57</v>
      </c>
      <c r="B59" s="102">
        <v>45870</v>
      </c>
      <c r="C59" s="94" t="s">
        <v>594</v>
      </c>
      <c r="D59" s="84" t="s">
        <v>595</v>
      </c>
      <c r="E59" s="99" t="s">
        <v>189</v>
      </c>
      <c r="F59" s="84" t="s">
        <v>596</v>
      </c>
      <c r="G59" s="99" t="s">
        <v>189</v>
      </c>
      <c r="H59" s="84" t="s">
        <v>597</v>
      </c>
      <c r="I59" s="99" t="s">
        <v>189</v>
      </c>
      <c r="J59" s="84" t="s">
        <v>598</v>
      </c>
      <c r="K59" s="99" t="s">
        <v>189</v>
      </c>
      <c r="L59" s="84" t="s">
        <v>599</v>
      </c>
      <c r="M59" s="99" t="s">
        <v>189</v>
      </c>
      <c r="N59" s="84" t="s">
        <v>600</v>
      </c>
      <c r="O59" s="99" t="s">
        <v>189</v>
      </c>
      <c r="P59" s="84" t="s">
        <v>601</v>
      </c>
      <c r="Q59" s="99" t="s">
        <v>189</v>
      </c>
      <c r="R59" s="84"/>
      <c r="S59" s="99"/>
      <c r="T59" s="84"/>
      <c r="U59" s="99"/>
      <c r="V59" s="84"/>
      <c r="W59" s="99"/>
      <c r="X59" s="84"/>
      <c r="Y59" s="99"/>
      <c r="Z59" s="84"/>
      <c r="AA59" s="99"/>
      <c r="AB59" s="109"/>
      <c r="AC59" s="109"/>
      <c r="AE59" s="106" t="s">
        <v>14</v>
      </c>
      <c r="AF59" s="84" t="s">
        <v>244</v>
      </c>
      <c r="AG59" s="105" t="s">
        <v>241</v>
      </c>
      <c r="AH59" s="105" t="s">
        <v>242</v>
      </c>
    </row>
    <row r="60" spans="1:34" ht="40.15" customHeight="1" x14ac:dyDescent="0.25">
      <c r="A60" s="86">
        <v>58</v>
      </c>
      <c r="B60" s="102">
        <v>45871</v>
      </c>
      <c r="C60" s="94" t="s">
        <v>602</v>
      </c>
      <c r="D60" s="84"/>
      <c r="E60" s="99"/>
      <c r="F60" s="84" t="s">
        <v>603</v>
      </c>
      <c r="G60" s="99" t="s">
        <v>189</v>
      </c>
      <c r="H60" s="84" t="s">
        <v>604</v>
      </c>
      <c r="I60" s="99" t="s">
        <v>189</v>
      </c>
      <c r="J60" s="84" t="s">
        <v>605</v>
      </c>
      <c r="K60" s="99" t="s">
        <v>189</v>
      </c>
      <c r="L60" s="84" t="s">
        <v>606</v>
      </c>
      <c r="M60" s="99" t="s">
        <v>189</v>
      </c>
      <c r="N60" s="84" t="s">
        <v>607</v>
      </c>
      <c r="O60" s="99" t="s">
        <v>189</v>
      </c>
      <c r="P60" s="84" t="s">
        <v>608</v>
      </c>
      <c r="Q60" s="99" t="s">
        <v>189</v>
      </c>
      <c r="R60" s="84" t="s">
        <v>609</v>
      </c>
      <c r="S60" s="99" t="s">
        <v>189</v>
      </c>
      <c r="T60" s="84"/>
      <c r="U60" s="99"/>
      <c r="V60" s="84"/>
      <c r="W60" s="99"/>
      <c r="X60" s="84"/>
      <c r="Y60" s="99"/>
      <c r="Z60" s="84"/>
      <c r="AA60" s="99"/>
      <c r="AB60" s="109"/>
      <c r="AC60" s="109"/>
      <c r="AE60" s="106" t="s">
        <v>205</v>
      </c>
      <c r="AF60" s="84" t="s">
        <v>244</v>
      </c>
      <c r="AG60" s="105" t="s">
        <v>241</v>
      </c>
      <c r="AH60" s="105" t="s">
        <v>242</v>
      </c>
    </row>
    <row r="61" spans="1:34" ht="40.15" customHeight="1" x14ac:dyDescent="0.25">
      <c r="A61" s="86">
        <v>59</v>
      </c>
      <c r="B61" s="102">
        <v>45873</v>
      </c>
      <c r="C61" s="94" t="s">
        <v>611</v>
      </c>
      <c r="D61" s="84" t="s">
        <v>612</v>
      </c>
      <c r="E61" s="99" t="s">
        <v>424</v>
      </c>
      <c r="F61" s="84" t="s">
        <v>613</v>
      </c>
      <c r="G61" s="99" t="s">
        <v>189</v>
      </c>
      <c r="H61" s="84" t="s">
        <v>614</v>
      </c>
      <c r="I61" s="99" t="s">
        <v>189</v>
      </c>
      <c r="J61" s="84" t="s">
        <v>615</v>
      </c>
      <c r="K61" s="99" t="s">
        <v>189</v>
      </c>
      <c r="L61" s="84" t="s">
        <v>616</v>
      </c>
      <c r="M61" s="99" t="s">
        <v>189</v>
      </c>
      <c r="N61" s="84" t="s">
        <v>617</v>
      </c>
      <c r="O61" s="99" t="s">
        <v>189</v>
      </c>
      <c r="P61" s="84" t="s">
        <v>618</v>
      </c>
      <c r="Q61" s="99" t="s">
        <v>189</v>
      </c>
      <c r="R61" s="84"/>
      <c r="S61" s="99"/>
      <c r="T61" s="84"/>
      <c r="U61" s="99"/>
      <c r="V61" s="84"/>
      <c r="W61" s="99"/>
      <c r="X61" s="84"/>
      <c r="Y61" s="99"/>
      <c r="Z61" s="84"/>
      <c r="AA61" s="99"/>
      <c r="AB61" s="109"/>
      <c r="AC61" s="109"/>
      <c r="AE61" s="106" t="s">
        <v>14</v>
      </c>
      <c r="AF61" s="84" t="s">
        <v>244</v>
      </c>
      <c r="AG61" s="105" t="s">
        <v>241</v>
      </c>
      <c r="AH61" s="105" t="s">
        <v>242</v>
      </c>
    </row>
    <row r="62" spans="1:34" ht="40.15" customHeight="1" x14ac:dyDescent="0.25">
      <c r="A62" s="86">
        <v>60</v>
      </c>
      <c r="B62" s="102">
        <v>45874</v>
      </c>
      <c r="C62" s="94" t="s">
        <v>619</v>
      </c>
      <c r="D62" s="84"/>
      <c r="E62" s="99"/>
      <c r="F62" s="84" t="s">
        <v>620</v>
      </c>
      <c r="G62" s="99" t="s">
        <v>189</v>
      </c>
      <c r="H62" s="84" t="s">
        <v>621</v>
      </c>
      <c r="I62" s="99" t="s">
        <v>189</v>
      </c>
      <c r="J62" s="84" t="s">
        <v>622</v>
      </c>
      <c r="K62" s="99" t="s">
        <v>189</v>
      </c>
      <c r="L62" s="84" t="s">
        <v>623</v>
      </c>
      <c r="M62" s="99" t="s">
        <v>189</v>
      </c>
      <c r="N62" s="84" t="s">
        <v>624</v>
      </c>
      <c r="O62" s="99" t="s">
        <v>189</v>
      </c>
      <c r="P62" s="84" t="s">
        <v>625</v>
      </c>
      <c r="Q62" s="99" t="s">
        <v>189</v>
      </c>
      <c r="R62" s="84" t="s">
        <v>626</v>
      </c>
      <c r="S62" s="99" t="s">
        <v>189</v>
      </c>
      <c r="T62" s="84"/>
      <c r="U62" s="99"/>
      <c r="V62" s="84"/>
      <c r="W62" s="99"/>
      <c r="X62" s="84"/>
      <c r="Y62" s="99"/>
      <c r="Z62" s="84"/>
      <c r="AA62" s="99"/>
      <c r="AB62" s="109"/>
      <c r="AC62" s="109"/>
      <c r="AE62" s="106" t="s">
        <v>205</v>
      </c>
      <c r="AF62" s="84" t="s">
        <v>244</v>
      </c>
      <c r="AG62" s="105" t="s">
        <v>241</v>
      </c>
      <c r="AH62" s="105" t="s">
        <v>242</v>
      </c>
    </row>
    <row r="63" spans="1:34" ht="40.15" customHeight="1" x14ac:dyDescent="0.25">
      <c r="A63" s="86">
        <v>61</v>
      </c>
      <c r="B63" s="102">
        <v>45876</v>
      </c>
      <c r="C63" s="94" t="s">
        <v>627</v>
      </c>
      <c r="D63" s="84" t="s">
        <v>628</v>
      </c>
      <c r="E63" s="99" t="s">
        <v>189</v>
      </c>
      <c r="F63" s="84" t="s">
        <v>629</v>
      </c>
      <c r="G63" s="99" t="s">
        <v>189</v>
      </c>
      <c r="H63" s="84" t="s">
        <v>630</v>
      </c>
      <c r="I63" s="99" t="s">
        <v>189</v>
      </c>
      <c r="J63" s="84" t="s">
        <v>631</v>
      </c>
      <c r="K63" s="99" t="s">
        <v>189</v>
      </c>
      <c r="L63" s="84" t="s">
        <v>632</v>
      </c>
      <c r="M63" s="99" t="s">
        <v>417</v>
      </c>
      <c r="N63" s="84" t="s">
        <v>633</v>
      </c>
      <c r="O63" s="99" t="s">
        <v>189</v>
      </c>
      <c r="P63" s="84" t="s">
        <v>634</v>
      </c>
      <c r="Q63" s="99" t="s">
        <v>189</v>
      </c>
      <c r="R63" s="84"/>
      <c r="S63" s="99"/>
      <c r="T63" s="84"/>
      <c r="U63" s="99"/>
      <c r="V63" s="84"/>
      <c r="W63" s="99"/>
      <c r="X63" s="84"/>
      <c r="Y63" s="99"/>
      <c r="Z63" s="84"/>
      <c r="AA63" s="99"/>
      <c r="AB63" s="109"/>
      <c r="AC63" s="109"/>
      <c r="AE63" s="106" t="s">
        <v>14</v>
      </c>
      <c r="AF63" s="84" t="s">
        <v>244</v>
      </c>
      <c r="AG63" s="105" t="s">
        <v>241</v>
      </c>
      <c r="AH63" s="105" t="s">
        <v>242</v>
      </c>
    </row>
    <row r="64" spans="1:34" ht="40.15" customHeight="1" x14ac:dyDescent="0.25">
      <c r="A64" s="86">
        <v>62</v>
      </c>
      <c r="B64" s="102">
        <v>45877</v>
      </c>
      <c r="C64" s="94" t="s">
        <v>635</v>
      </c>
      <c r="D64" s="84"/>
      <c r="E64" s="99"/>
      <c r="F64" s="84" t="s">
        <v>636</v>
      </c>
      <c r="G64" s="99" t="s">
        <v>189</v>
      </c>
      <c r="H64" s="84" t="s">
        <v>637</v>
      </c>
      <c r="I64" s="99" t="s">
        <v>189</v>
      </c>
      <c r="J64" s="84" t="s">
        <v>638</v>
      </c>
      <c r="K64" s="99" t="s">
        <v>189</v>
      </c>
      <c r="L64" s="84" t="s">
        <v>639</v>
      </c>
      <c r="M64" s="99" t="s">
        <v>189</v>
      </c>
      <c r="N64" s="84" t="s">
        <v>640</v>
      </c>
      <c r="O64" s="99" t="s">
        <v>189</v>
      </c>
      <c r="P64" s="84" t="s">
        <v>641</v>
      </c>
      <c r="Q64" s="99" t="s">
        <v>189</v>
      </c>
      <c r="R64" s="84" t="s">
        <v>642</v>
      </c>
      <c r="S64" s="99" t="s">
        <v>189</v>
      </c>
      <c r="T64" s="84"/>
      <c r="U64" s="99"/>
      <c r="V64" s="84"/>
      <c r="W64" s="99"/>
      <c r="X64" s="84"/>
      <c r="Y64" s="99"/>
      <c r="Z64" s="84"/>
      <c r="AA64" s="99"/>
      <c r="AB64" s="109"/>
      <c r="AC64" s="109"/>
      <c r="AE64" s="106" t="s">
        <v>205</v>
      </c>
      <c r="AF64" s="84" t="s">
        <v>244</v>
      </c>
      <c r="AG64" s="105" t="s">
        <v>241</v>
      </c>
      <c r="AH64" s="105" t="s">
        <v>242</v>
      </c>
    </row>
    <row r="65" spans="1:34" ht="40.15" customHeight="1" x14ac:dyDescent="0.25">
      <c r="A65" s="86">
        <v>63</v>
      </c>
      <c r="B65" s="102">
        <v>45878</v>
      </c>
      <c r="C65" s="94" t="s">
        <v>643</v>
      </c>
      <c r="D65" s="84" t="s">
        <v>644</v>
      </c>
      <c r="E65" s="99" t="s">
        <v>189</v>
      </c>
      <c r="F65" s="84" t="s">
        <v>645</v>
      </c>
      <c r="G65" s="99" t="s">
        <v>189</v>
      </c>
      <c r="H65" s="84" t="s">
        <v>646</v>
      </c>
      <c r="I65" s="99" t="s">
        <v>189</v>
      </c>
      <c r="J65" s="84" t="s">
        <v>647</v>
      </c>
      <c r="K65" s="99" t="s">
        <v>189</v>
      </c>
      <c r="L65" s="84" t="s">
        <v>648</v>
      </c>
      <c r="M65" s="99" t="s">
        <v>189</v>
      </c>
      <c r="N65" s="84" t="s">
        <v>649</v>
      </c>
      <c r="O65" s="99" t="s">
        <v>189</v>
      </c>
      <c r="P65" s="84" t="s">
        <v>650</v>
      </c>
      <c r="Q65" s="99" t="s">
        <v>189</v>
      </c>
      <c r="R65" s="84"/>
      <c r="S65" s="99"/>
      <c r="T65" s="84"/>
      <c r="U65" s="99"/>
      <c r="V65" s="84"/>
      <c r="W65" s="99"/>
      <c r="X65" s="84"/>
      <c r="Y65" s="99"/>
      <c r="Z65" s="84"/>
      <c r="AA65" s="99"/>
      <c r="AB65" s="109"/>
      <c r="AC65" s="109"/>
      <c r="AE65" s="106" t="s">
        <v>14</v>
      </c>
      <c r="AF65" s="84" t="s">
        <v>244</v>
      </c>
      <c r="AG65" s="105" t="s">
        <v>241</v>
      </c>
      <c r="AH65" s="105" t="s">
        <v>242</v>
      </c>
    </row>
    <row r="66" spans="1:34" ht="40.15" customHeight="1" x14ac:dyDescent="0.25">
      <c r="A66" s="86">
        <v>64</v>
      </c>
      <c r="B66" s="102">
        <v>45881</v>
      </c>
      <c r="C66" s="94">
        <v>1272</v>
      </c>
      <c r="D66" s="84" t="s">
        <v>610</v>
      </c>
      <c r="E66" s="99" t="s">
        <v>187</v>
      </c>
      <c r="F66" s="84"/>
      <c r="G66" s="99"/>
      <c r="H66" s="84"/>
      <c r="I66" s="99"/>
      <c r="J66" s="84"/>
      <c r="K66" s="99"/>
      <c r="L66" s="84"/>
      <c r="M66" s="99"/>
      <c r="N66" s="84"/>
      <c r="O66" s="99"/>
      <c r="P66" s="84"/>
      <c r="Q66" s="99"/>
      <c r="R66" s="84"/>
      <c r="S66" s="99"/>
      <c r="T66" s="84"/>
      <c r="U66" s="99"/>
      <c r="V66" s="84"/>
      <c r="W66" s="99"/>
      <c r="X66" s="84"/>
      <c r="Y66" s="99"/>
      <c r="Z66" s="84"/>
      <c r="AA66" s="99"/>
      <c r="AB66" s="109"/>
      <c r="AC66" s="109"/>
      <c r="AE66" s="106" t="s">
        <v>76</v>
      </c>
      <c r="AF66" s="84" t="s">
        <v>244</v>
      </c>
      <c r="AG66" s="105" t="s">
        <v>241</v>
      </c>
      <c r="AH66" s="105" t="s">
        <v>242</v>
      </c>
    </row>
    <row r="67" spans="1:34" ht="40.15" customHeight="1" x14ac:dyDescent="0.25">
      <c r="A67" s="86">
        <v>65</v>
      </c>
      <c r="B67" s="102">
        <v>45881</v>
      </c>
      <c r="C67" s="94" t="s">
        <v>651</v>
      </c>
      <c r="D67" s="84"/>
      <c r="E67" s="99"/>
      <c r="F67" s="84" t="s">
        <v>652</v>
      </c>
      <c r="G67" s="99" t="s">
        <v>189</v>
      </c>
      <c r="H67" s="84" t="s">
        <v>653</v>
      </c>
      <c r="I67" s="99" t="s">
        <v>189</v>
      </c>
      <c r="J67" s="84" t="s">
        <v>654</v>
      </c>
      <c r="K67" s="99" t="s">
        <v>189</v>
      </c>
      <c r="L67" s="84" t="s">
        <v>655</v>
      </c>
      <c r="M67" s="99" t="s">
        <v>189</v>
      </c>
      <c r="N67" s="84" t="s">
        <v>656</v>
      </c>
      <c r="O67" s="99" t="s">
        <v>189</v>
      </c>
      <c r="P67" s="84" t="s">
        <v>657</v>
      </c>
      <c r="Q67" s="99" t="s">
        <v>189</v>
      </c>
      <c r="R67" s="84" t="s">
        <v>658</v>
      </c>
      <c r="S67" s="99" t="s">
        <v>189</v>
      </c>
      <c r="T67" s="84"/>
      <c r="U67" s="99"/>
      <c r="V67" s="84"/>
      <c r="W67" s="99"/>
      <c r="X67" s="84"/>
      <c r="Y67" s="99"/>
      <c r="Z67" s="84"/>
      <c r="AA67" s="99"/>
      <c r="AB67" s="109"/>
      <c r="AC67" s="109"/>
      <c r="AE67" s="106" t="s">
        <v>205</v>
      </c>
      <c r="AF67" s="84" t="s">
        <v>244</v>
      </c>
      <c r="AG67" s="105" t="s">
        <v>241</v>
      </c>
      <c r="AH67" s="105" t="s">
        <v>242</v>
      </c>
    </row>
    <row r="68" spans="1:34" ht="40.15" customHeight="1" x14ac:dyDescent="0.25">
      <c r="A68" s="86">
        <v>66</v>
      </c>
      <c r="B68" s="102">
        <v>45883</v>
      </c>
      <c r="C68" s="94" t="s">
        <v>659</v>
      </c>
      <c r="D68" s="84" t="s">
        <v>660</v>
      </c>
      <c r="E68" s="99" t="s">
        <v>189</v>
      </c>
      <c r="F68" s="84" t="s">
        <v>661</v>
      </c>
      <c r="G68" s="99" t="s">
        <v>189</v>
      </c>
      <c r="H68" s="84" t="s">
        <v>662</v>
      </c>
      <c r="I68" s="99" t="s">
        <v>189</v>
      </c>
      <c r="J68" s="84" t="s">
        <v>663</v>
      </c>
      <c r="K68" s="99" t="s">
        <v>189</v>
      </c>
      <c r="L68" s="84" t="s">
        <v>664</v>
      </c>
      <c r="M68" s="99" t="s">
        <v>189</v>
      </c>
      <c r="N68" s="84" t="s">
        <v>665</v>
      </c>
      <c r="O68" s="99" t="s">
        <v>189</v>
      </c>
      <c r="P68" s="84" t="s">
        <v>666</v>
      </c>
      <c r="Q68" s="99" t="s">
        <v>189</v>
      </c>
      <c r="R68" s="84"/>
      <c r="S68" s="99"/>
      <c r="T68" s="84"/>
      <c r="U68" s="99"/>
      <c r="V68" s="84"/>
      <c r="W68" s="99"/>
      <c r="X68" s="84"/>
      <c r="Y68" s="99"/>
      <c r="Z68" s="84"/>
      <c r="AA68" s="99"/>
      <c r="AB68" s="109"/>
      <c r="AC68" s="109"/>
      <c r="AE68" s="106" t="s">
        <v>14</v>
      </c>
      <c r="AF68" s="84" t="s">
        <v>244</v>
      </c>
      <c r="AG68" s="105" t="s">
        <v>241</v>
      </c>
      <c r="AH68" s="105" t="s">
        <v>242</v>
      </c>
    </row>
    <row r="69" spans="1:34" ht="40.15" customHeight="1" x14ac:dyDescent="0.25">
      <c r="A69" s="86">
        <v>67</v>
      </c>
      <c r="B69" s="102">
        <v>45884</v>
      </c>
      <c r="C69" s="94" t="s">
        <v>667</v>
      </c>
      <c r="D69" s="84"/>
      <c r="E69" s="99"/>
      <c r="F69" s="84" t="s">
        <v>668</v>
      </c>
      <c r="G69" s="99" t="s">
        <v>189</v>
      </c>
      <c r="H69" s="84" t="s">
        <v>669</v>
      </c>
      <c r="I69" s="99" t="s">
        <v>189</v>
      </c>
      <c r="J69" s="84" t="s">
        <v>670</v>
      </c>
      <c r="K69" s="99" t="s">
        <v>189</v>
      </c>
      <c r="L69" s="84" t="s">
        <v>671</v>
      </c>
      <c r="M69" s="99" t="s">
        <v>189</v>
      </c>
      <c r="N69" s="84" t="s">
        <v>672</v>
      </c>
      <c r="O69" s="99" t="s">
        <v>189</v>
      </c>
      <c r="P69" s="84" t="s">
        <v>673</v>
      </c>
      <c r="Q69" s="99" t="s">
        <v>189</v>
      </c>
      <c r="R69" s="84" t="s">
        <v>674</v>
      </c>
      <c r="S69" s="99" t="s">
        <v>189</v>
      </c>
      <c r="T69" s="84"/>
      <c r="U69" s="99"/>
      <c r="V69" s="84"/>
      <c r="W69" s="99"/>
      <c r="X69" s="84"/>
      <c r="Y69" s="99"/>
      <c r="Z69" s="84"/>
      <c r="AA69" s="99"/>
      <c r="AB69" s="109"/>
      <c r="AC69" s="109"/>
      <c r="AE69" s="106" t="s">
        <v>205</v>
      </c>
      <c r="AF69" s="84" t="s">
        <v>244</v>
      </c>
      <c r="AG69" s="105" t="s">
        <v>241</v>
      </c>
      <c r="AH69" s="105" t="s">
        <v>242</v>
      </c>
    </row>
    <row r="70" spans="1:34" ht="40.15" customHeight="1" x14ac:dyDescent="0.25">
      <c r="A70" s="86">
        <v>68</v>
      </c>
      <c r="B70" s="102">
        <v>45885</v>
      </c>
      <c r="C70" s="94" t="s">
        <v>675</v>
      </c>
      <c r="D70" s="84" t="s">
        <v>676</v>
      </c>
      <c r="E70" s="99" t="s">
        <v>189</v>
      </c>
      <c r="F70" s="84" t="s">
        <v>677</v>
      </c>
      <c r="G70" s="99" t="s">
        <v>189</v>
      </c>
      <c r="H70" s="84" t="s">
        <v>678</v>
      </c>
      <c r="I70" s="99" t="s">
        <v>189</v>
      </c>
      <c r="J70" s="84" t="s">
        <v>679</v>
      </c>
      <c r="K70" s="99" t="s">
        <v>189</v>
      </c>
      <c r="L70" s="84" t="s">
        <v>680</v>
      </c>
      <c r="M70" s="99" t="s">
        <v>189</v>
      </c>
      <c r="N70" s="84" t="s">
        <v>681</v>
      </c>
      <c r="O70" s="99" t="s">
        <v>189</v>
      </c>
      <c r="P70" s="84" t="s">
        <v>682</v>
      </c>
      <c r="Q70" s="99" t="s">
        <v>189</v>
      </c>
      <c r="R70" s="84"/>
      <c r="S70" s="99"/>
      <c r="T70" s="84"/>
      <c r="U70" s="99"/>
      <c r="V70" s="84"/>
      <c r="W70" s="99"/>
      <c r="X70" s="84"/>
      <c r="Y70" s="99"/>
      <c r="Z70" s="84"/>
      <c r="AA70" s="99"/>
      <c r="AB70" s="109"/>
      <c r="AC70" s="109"/>
      <c r="AE70" s="106" t="s">
        <v>14</v>
      </c>
      <c r="AF70" s="84" t="s">
        <v>244</v>
      </c>
      <c r="AG70" s="105" t="s">
        <v>241</v>
      </c>
      <c r="AH70" s="105" t="s">
        <v>242</v>
      </c>
    </row>
    <row r="71" spans="1:34" ht="40.15" customHeight="1" x14ac:dyDescent="0.25">
      <c r="A71" s="86">
        <v>69</v>
      </c>
      <c r="B71" s="102">
        <v>45887</v>
      </c>
      <c r="C71" s="94">
        <v>1288</v>
      </c>
      <c r="D71" s="84" t="s">
        <v>683</v>
      </c>
      <c r="E71" s="99" t="s">
        <v>187</v>
      </c>
      <c r="F71" s="84"/>
      <c r="G71" s="99"/>
      <c r="H71" s="84"/>
      <c r="I71" s="99"/>
      <c r="J71" s="84"/>
      <c r="K71" s="99"/>
      <c r="L71" s="84"/>
      <c r="M71" s="99"/>
      <c r="N71" s="84"/>
      <c r="O71" s="99"/>
      <c r="P71" s="84"/>
      <c r="Q71" s="99"/>
      <c r="R71" s="84"/>
      <c r="S71" s="99"/>
      <c r="T71" s="84"/>
      <c r="U71" s="99"/>
      <c r="V71" s="84"/>
      <c r="W71" s="99"/>
      <c r="X71" s="84"/>
      <c r="Y71" s="99"/>
      <c r="Z71" s="84"/>
      <c r="AA71" s="99"/>
      <c r="AB71" s="109"/>
      <c r="AC71" s="109"/>
      <c r="AE71" s="106" t="s">
        <v>76</v>
      </c>
      <c r="AF71" s="84" t="s">
        <v>244</v>
      </c>
      <c r="AG71" s="105" t="s">
        <v>241</v>
      </c>
      <c r="AH71" s="105" t="s">
        <v>242</v>
      </c>
    </row>
    <row r="72" spans="1:34" ht="40.15" customHeight="1" x14ac:dyDescent="0.25">
      <c r="A72" s="86">
        <v>70</v>
      </c>
      <c r="B72" s="102">
        <v>45888</v>
      </c>
      <c r="C72" s="94" t="s">
        <v>684</v>
      </c>
      <c r="D72" s="84"/>
      <c r="E72" s="99"/>
      <c r="F72" s="84" t="s">
        <v>685</v>
      </c>
      <c r="G72" s="99" t="s">
        <v>189</v>
      </c>
      <c r="H72" s="84" t="s">
        <v>686</v>
      </c>
      <c r="I72" s="99" t="s">
        <v>189</v>
      </c>
      <c r="J72" s="84" t="s">
        <v>687</v>
      </c>
      <c r="K72" s="99" t="s">
        <v>189</v>
      </c>
      <c r="L72" s="84" t="s">
        <v>688</v>
      </c>
      <c r="M72" s="99" t="s">
        <v>189</v>
      </c>
      <c r="N72" s="84" t="s">
        <v>689</v>
      </c>
      <c r="O72" s="99" t="s">
        <v>189</v>
      </c>
      <c r="P72" s="84" t="s">
        <v>690</v>
      </c>
      <c r="Q72" s="99" t="s">
        <v>189</v>
      </c>
      <c r="R72" s="84" t="s">
        <v>691</v>
      </c>
      <c r="S72" s="99" t="s">
        <v>189</v>
      </c>
      <c r="T72" s="84"/>
      <c r="U72" s="99"/>
      <c r="V72" s="84"/>
      <c r="W72" s="99"/>
      <c r="X72" s="84"/>
      <c r="Y72" s="99"/>
      <c r="Z72" s="84"/>
      <c r="AA72" s="99"/>
      <c r="AB72" s="109"/>
      <c r="AC72" s="109"/>
      <c r="AE72" s="106" t="s">
        <v>205</v>
      </c>
      <c r="AF72" s="84" t="s">
        <v>244</v>
      </c>
      <c r="AG72" s="105" t="s">
        <v>241</v>
      </c>
      <c r="AH72" s="105" t="s">
        <v>242</v>
      </c>
    </row>
    <row r="73" spans="1:34" ht="40.15" customHeight="1" x14ac:dyDescent="0.25">
      <c r="A73" s="86">
        <v>71</v>
      </c>
      <c r="B73" s="102">
        <v>45889</v>
      </c>
      <c r="C73" s="94" t="s">
        <v>692</v>
      </c>
      <c r="D73" s="84" t="s">
        <v>693</v>
      </c>
      <c r="E73" s="99" t="s">
        <v>189</v>
      </c>
      <c r="F73" s="84" t="s">
        <v>694</v>
      </c>
      <c r="G73" s="99" t="s">
        <v>189</v>
      </c>
      <c r="H73" s="84" t="s">
        <v>695</v>
      </c>
      <c r="I73" s="99" t="s">
        <v>189</v>
      </c>
      <c r="J73" s="84" t="s">
        <v>699</v>
      </c>
      <c r="K73" s="99" t="s">
        <v>189</v>
      </c>
      <c r="L73" s="84" t="s">
        <v>696</v>
      </c>
      <c r="M73" s="99" t="s">
        <v>417</v>
      </c>
      <c r="N73" s="84" t="s">
        <v>697</v>
      </c>
      <c r="O73" s="99" t="s">
        <v>189</v>
      </c>
      <c r="P73" s="84" t="s">
        <v>698</v>
      </c>
      <c r="Q73" s="99" t="s">
        <v>189</v>
      </c>
      <c r="R73" s="84"/>
      <c r="S73" s="99"/>
      <c r="T73" s="84"/>
      <c r="U73" s="99"/>
      <c r="V73" s="84"/>
      <c r="W73" s="99"/>
      <c r="X73" s="84"/>
      <c r="Y73" s="99"/>
      <c r="Z73" s="84"/>
      <c r="AA73" s="99"/>
      <c r="AB73" s="109"/>
      <c r="AC73" s="109"/>
      <c r="AE73" s="106" t="s">
        <v>14</v>
      </c>
      <c r="AF73" s="84" t="s">
        <v>244</v>
      </c>
      <c r="AG73" s="105" t="s">
        <v>241</v>
      </c>
      <c r="AH73" s="105" t="s">
        <v>242</v>
      </c>
    </row>
    <row r="74" spans="1:34" ht="40.15" customHeight="1" x14ac:dyDescent="0.25">
      <c r="A74" s="86">
        <v>72</v>
      </c>
      <c r="B74" s="102">
        <v>45891</v>
      </c>
      <c r="C74" s="94" t="s">
        <v>700</v>
      </c>
      <c r="D74" s="84"/>
      <c r="E74" s="99"/>
      <c r="F74" s="84" t="s">
        <v>701</v>
      </c>
      <c r="G74" s="99" t="s">
        <v>189</v>
      </c>
      <c r="H74" s="84" t="s">
        <v>702</v>
      </c>
      <c r="I74" s="99" t="s">
        <v>189</v>
      </c>
      <c r="J74" s="84" t="s">
        <v>703</v>
      </c>
      <c r="K74" s="99" t="s">
        <v>189</v>
      </c>
      <c r="L74" s="84" t="s">
        <v>704</v>
      </c>
      <c r="M74" s="99" t="s">
        <v>189</v>
      </c>
      <c r="N74" s="84" t="s">
        <v>705</v>
      </c>
      <c r="O74" s="99" t="s">
        <v>189</v>
      </c>
      <c r="P74" s="84" t="s">
        <v>706</v>
      </c>
      <c r="Q74" s="99" t="s">
        <v>189</v>
      </c>
      <c r="R74" s="84" t="s">
        <v>707</v>
      </c>
      <c r="S74" s="99" t="s">
        <v>189</v>
      </c>
      <c r="T74" s="84"/>
      <c r="U74" s="99"/>
      <c r="V74" s="84"/>
      <c r="W74" s="99"/>
      <c r="X74" s="84"/>
      <c r="Y74" s="99"/>
      <c r="Z74" s="84"/>
      <c r="AA74" s="99"/>
      <c r="AB74" s="109"/>
      <c r="AC74" s="109"/>
      <c r="AE74" s="106" t="s">
        <v>205</v>
      </c>
      <c r="AF74" s="84" t="s">
        <v>244</v>
      </c>
      <c r="AG74" s="105" t="s">
        <v>241</v>
      </c>
      <c r="AH74" s="105" t="s">
        <v>242</v>
      </c>
    </row>
    <row r="75" spans="1:34" ht="40.15" customHeight="1" x14ac:dyDescent="0.25">
      <c r="A75" s="86">
        <v>73</v>
      </c>
      <c r="B75" s="102">
        <v>45892</v>
      </c>
      <c r="C75" s="94" t="s">
        <v>708</v>
      </c>
      <c r="D75" s="84" t="s">
        <v>709</v>
      </c>
      <c r="E75" s="99" t="s">
        <v>189</v>
      </c>
      <c r="F75" s="84" t="s">
        <v>710</v>
      </c>
      <c r="G75" s="99" t="s">
        <v>426</v>
      </c>
      <c r="H75" s="84" t="s">
        <v>711</v>
      </c>
      <c r="I75" s="99" t="s">
        <v>189</v>
      </c>
      <c r="J75" s="84" t="s">
        <v>712</v>
      </c>
      <c r="K75" s="99" t="s">
        <v>189</v>
      </c>
      <c r="L75" s="84" t="s">
        <v>713</v>
      </c>
      <c r="M75" s="99" t="s">
        <v>189</v>
      </c>
      <c r="N75" s="84" t="s">
        <v>714</v>
      </c>
      <c r="O75" s="99" t="s">
        <v>189</v>
      </c>
      <c r="P75" s="84" t="s">
        <v>715</v>
      </c>
      <c r="Q75" s="99" t="s">
        <v>189</v>
      </c>
      <c r="R75" s="84"/>
      <c r="S75" s="99"/>
      <c r="T75" s="84"/>
      <c r="U75" s="99"/>
      <c r="V75" s="84"/>
      <c r="W75" s="99"/>
      <c r="X75" s="84"/>
      <c r="Y75" s="99"/>
      <c r="Z75" s="84"/>
      <c r="AA75" s="99"/>
      <c r="AB75" s="109"/>
      <c r="AC75" s="109"/>
      <c r="AE75" s="106" t="s">
        <v>14</v>
      </c>
      <c r="AF75" s="84" t="s">
        <v>244</v>
      </c>
      <c r="AG75" s="105" t="s">
        <v>241</v>
      </c>
      <c r="AH75" s="105" t="s">
        <v>242</v>
      </c>
    </row>
    <row r="76" spans="1:34" ht="40.15" customHeight="1" x14ac:dyDescent="0.25">
      <c r="A76" s="86">
        <v>74</v>
      </c>
      <c r="B76" s="102">
        <v>45894</v>
      </c>
      <c r="C76" s="94">
        <v>1307</v>
      </c>
      <c r="D76" s="84" t="s">
        <v>716</v>
      </c>
      <c r="E76" s="99" t="s">
        <v>187</v>
      </c>
      <c r="F76" s="84"/>
      <c r="G76" s="99"/>
      <c r="H76" s="84"/>
      <c r="I76" s="99"/>
      <c r="J76" s="84"/>
      <c r="K76" s="99"/>
      <c r="L76" s="84"/>
      <c r="M76" s="99"/>
      <c r="N76" s="84"/>
      <c r="O76" s="99"/>
      <c r="P76" s="84"/>
      <c r="Q76" s="99"/>
      <c r="R76" s="84"/>
      <c r="S76" s="99"/>
      <c r="T76" s="84"/>
      <c r="U76" s="99"/>
      <c r="V76" s="84"/>
      <c r="W76" s="99"/>
      <c r="X76" s="84"/>
      <c r="Y76" s="99"/>
      <c r="Z76" s="84"/>
      <c r="AA76" s="99"/>
      <c r="AB76" s="109"/>
      <c r="AC76" s="109"/>
      <c r="AE76" s="106" t="s">
        <v>76</v>
      </c>
      <c r="AF76" s="84" t="s">
        <v>244</v>
      </c>
      <c r="AG76" s="105" t="s">
        <v>241</v>
      </c>
      <c r="AH76" s="105" t="s">
        <v>242</v>
      </c>
    </row>
    <row r="77" spans="1:34" ht="40.15" customHeight="1" x14ac:dyDescent="0.25">
      <c r="A77" s="86">
        <v>75</v>
      </c>
      <c r="B77" s="102">
        <v>45895</v>
      </c>
      <c r="C77" s="94" t="s">
        <v>717</v>
      </c>
      <c r="D77" s="84"/>
      <c r="E77" s="99"/>
      <c r="F77" s="84" t="s">
        <v>718</v>
      </c>
      <c r="G77" s="99" t="s">
        <v>189</v>
      </c>
      <c r="H77" s="84" t="s">
        <v>719</v>
      </c>
      <c r="I77" s="99" t="s">
        <v>189</v>
      </c>
      <c r="J77" s="84" t="s">
        <v>720</v>
      </c>
      <c r="K77" s="99" t="s">
        <v>189</v>
      </c>
      <c r="L77" s="84" t="s">
        <v>721</v>
      </c>
      <c r="M77" s="99" t="s">
        <v>189</v>
      </c>
      <c r="N77" s="84" t="s">
        <v>722</v>
      </c>
      <c r="O77" s="99" t="s">
        <v>189</v>
      </c>
      <c r="P77" s="84" t="s">
        <v>723</v>
      </c>
      <c r="Q77" s="99" t="s">
        <v>189</v>
      </c>
      <c r="R77" s="84" t="s">
        <v>724</v>
      </c>
      <c r="S77" s="99" t="s">
        <v>189</v>
      </c>
      <c r="T77" s="84"/>
      <c r="U77" s="99"/>
      <c r="V77" s="84"/>
      <c r="W77" s="99"/>
      <c r="X77" s="84"/>
      <c r="Y77" s="99"/>
      <c r="Z77" s="84"/>
      <c r="AA77" s="99"/>
      <c r="AB77" s="109"/>
      <c r="AC77" s="109"/>
      <c r="AE77" s="106" t="s">
        <v>205</v>
      </c>
      <c r="AF77" s="84" t="s">
        <v>244</v>
      </c>
      <c r="AG77" s="105" t="s">
        <v>241</v>
      </c>
      <c r="AH77" s="105" t="s">
        <v>242</v>
      </c>
    </row>
    <row r="78" spans="1:34" ht="40.15" customHeight="1" x14ac:dyDescent="0.25">
      <c r="A78" s="86">
        <v>76</v>
      </c>
      <c r="B78" s="102">
        <v>45897</v>
      </c>
      <c r="C78" s="94" t="s">
        <v>725</v>
      </c>
      <c r="D78" s="84" t="s">
        <v>726</v>
      </c>
      <c r="E78" s="99" t="s">
        <v>189</v>
      </c>
      <c r="F78" s="84" t="s">
        <v>727</v>
      </c>
      <c r="G78" s="99" t="s">
        <v>189</v>
      </c>
      <c r="H78" s="84" t="s">
        <v>728</v>
      </c>
      <c r="I78" s="99" t="s">
        <v>189</v>
      </c>
      <c r="J78" s="84" t="s">
        <v>729</v>
      </c>
      <c r="K78" s="99" t="s">
        <v>189</v>
      </c>
      <c r="L78" s="84" t="s">
        <v>730</v>
      </c>
      <c r="M78" s="99" t="s">
        <v>189</v>
      </c>
      <c r="N78" s="84" t="s">
        <v>731</v>
      </c>
      <c r="O78" s="99" t="s">
        <v>189</v>
      </c>
      <c r="P78" s="84" t="s">
        <v>732</v>
      </c>
      <c r="Q78" s="99" t="s">
        <v>189</v>
      </c>
      <c r="R78" s="84"/>
      <c r="S78" s="99"/>
      <c r="T78" s="84"/>
      <c r="U78" s="99"/>
      <c r="V78" s="84"/>
      <c r="W78" s="99"/>
      <c r="X78" s="84"/>
      <c r="Y78" s="99"/>
      <c r="Z78" s="84"/>
      <c r="AA78" s="99"/>
      <c r="AB78" s="109"/>
      <c r="AC78" s="109"/>
      <c r="AE78" s="106" t="s">
        <v>14</v>
      </c>
      <c r="AF78" s="84" t="s">
        <v>244</v>
      </c>
      <c r="AG78" s="105" t="s">
        <v>241</v>
      </c>
      <c r="AH78" s="105" t="s">
        <v>242</v>
      </c>
    </row>
    <row r="79" spans="1:34" ht="40.15" customHeight="1" x14ac:dyDescent="0.25">
      <c r="A79" s="86">
        <v>77</v>
      </c>
      <c r="B79" s="102">
        <v>45899</v>
      </c>
      <c r="C79" s="94" t="s">
        <v>733</v>
      </c>
      <c r="D79" s="84"/>
      <c r="E79" s="99"/>
      <c r="F79" s="84" t="s">
        <v>734</v>
      </c>
      <c r="G79" s="99" t="s">
        <v>189</v>
      </c>
      <c r="H79" s="84" t="s">
        <v>735</v>
      </c>
      <c r="I79" s="99" t="s">
        <v>424</v>
      </c>
      <c r="J79" s="84" t="s">
        <v>740</v>
      </c>
      <c r="K79" s="99" t="s">
        <v>417</v>
      </c>
      <c r="L79" s="84" t="s">
        <v>736</v>
      </c>
      <c r="M79" s="99" t="s">
        <v>189</v>
      </c>
      <c r="N79" s="84" t="s">
        <v>737</v>
      </c>
      <c r="O79" s="99" t="s">
        <v>189</v>
      </c>
      <c r="P79" s="84" t="s">
        <v>738</v>
      </c>
      <c r="Q79" s="99" t="s">
        <v>189</v>
      </c>
      <c r="R79" s="84" t="s">
        <v>739</v>
      </c>
      <c r="S79" s="99" t="s">
        <v>189</v>
      </c>
      <c r="T79" s="84"/>
      <c r="U79" s="99"/>
      <c r="V79" s="84"/>
      <c r="W79" s="99"/>
      <c r="X79" s="84"/>
      <c r="Y79" s="99"/>
      <c r="Z79" s="84"/>
      <c r="AA79" s="99"/>
      <c r="AB79" s="109"/>
      <c r="AC79" s="109"/>
      <c r="AE79" s="106" t="s">
        <v>205</v>
      </c>
      <c r="AF79" s="84" t="s">
        <v>244</v>
      </c>
      <c r="AG79" s="105" t="s">
        <v>241</v>
      </c>
      <c r="AH79" s="105" t="s">
        <v>242</v>
      </c>
    </row>
    <row r="80" spans="1:34" ht="40.15" customHeight="1" x14ac:dyDescent="0.25">
      <c r="A80" s="86">
        <v>78</v>
      </c>
      <c r="B80" s="102">
        <v>45899</v>
      </c>
      <c r="C80" s="94" t="s">
        <v>741</v>
      </c>
      <c r="D80" s="84" t="s">
        <v>742</v>
      </c>
      <c r="E80" s="99" t="s">
        <v>189</v>
      </c>
      <c r="F80" s="84" t="s">
        <v>743</v>
      </c>
      <c r="G80" s="99" t="s">
        <v>189</v>
      </c>
      <c r="H80" s="84" t="s">
        <v>744</v>
      </c>
      <c r="I80" s="99" t="s">
        <v>189</v>
      </c>
      <c r="J80" s="84" t="s">
        <v>745</v>
      </c>
      <c r="K80" s="99" t="s">
        <v>189</v>
      </c>
      <c r="L80" s="84" t="s">
        <v>746</v>
      </c>
      <c r="M80" s="99" t="s">
        <v>189</v>
      </c>
      <c r="N80" s="84" t="s">
        <v>747</v>
      </c>
      <c r="O80" s="99" t="s">
        <v>189</v>
      </c>
      <c r="P80" s="84" t="s">
        <v>748</v>
      </c>
      <c r="Q80" s="99" t="s">
        <v>189</v>
      </c>
      <c r="R80" s="84"/>
      <c r="S80" s="99"/>
      <c r="T80" s="84"/>
      <c r="U80" s="99"/>
      <c r="V80" s="84"/>
      <c r="W80" s="99"/>
      <c r="X80" s="84"/>
      <c r="Y80" s="99"/>
      <c r="Z80" s="84"/>
      <c r="AA80" s="99"/>
      <c r="AB80" s="109"/>
      <c r="AC80" s="109"/>
      <c r="AE80" s="106" t="s">
        <v>14</v>
      </c>
      <c r="AF80" s="84" t="s">
        <v>244</v>
      </c>
      <c r="AG80" s="105" t="s">
        <v>241</v>
      </c>
      <c r="AH80" s="105" t="s">
        <v>242</v>
      </c>
    </row>
    <row r="81" spans="1:34" ht="40.15" customHeight="1" x14ac:dyDescent="0.25">
      <c r="A81" s="86">
        <v>79</v>
      </c>
      <c r="B81" s="102">
        <v>45902</v>
      </c>
      <c r="C81" s="94">
        <v>1324</v>
      </c>
      <c r="D81" s="84" t="s">
        <v>749</v>
      </c>
      <c r="E81" s="99" t="s">
        <v>187</v>
      </c>
      <c r="F81" s="84"/>
      <c r="G81" s="99"/>
      <c r="H81" s="84"/>
      <c r="I81" s="99"/>
      <c r="J81" s="84"/>
      <c r="K81" s="99"/>
      <c r="L81" s="84"/>
      <c r="M81" s="99"/>
      <c r="N81" s="84"/>
      <c r="O81" s="99"/>
      <c r="P81" s="84"/>
      <c r="Q81" s="99"/>
      <c r="R81" s="84"/>
      <c r="S81" s="99"/>
      <c r="T81" s="84"/>
      <c r="U81" s="99"/>
      <c r="V81" s="84"/>
      <c r="W81" s="99"/>
      <c r="X81" s="84"/>
      <c r="Y81" s="99"/>
      <c r="Z81" s="84"/>
      <c r="AA81" s="99"/>
      <c r="AB81" s="109"/>
      <c r="AC81" s="109"/>
      <c r="AE81" s="106" t="s">
        <v>76</v>
      </c>
      <c r="AF81" s="84" t="s">
        <v>244</v>
      </c>
      <c r="AG81" s="105" t="s">
        <v>241</v>
      </c>
      <c r="AH81" s="105" t="s">
        <v>242</v>
      </c>
    </row>
    <row r="82" spans="1:34" ht="40.15" customHeight="1" x14ac:dyDescent="0.25">
      <c r="A82" s="86">
        <v>80</v>
      </c>
      <c r="B82" s="102">
        <v>45904</v>
      </c>
      <c r="C82" s="94" t="s">
        <v>750</v>
      </c>
      <c r="D82" s="84"/>
      <c r="E82" s="99"/>
      <c r="F82" s="84" t="s">
        <v>751</v>
      </c>
      <c r="G82" s="99" t="s">
        <v>426</v>
      </c>
      <c r="H82" s="84" t="s">
        <v>752</v>
      </c>
      <c r="I82" s="99" t="s">
        <v>189</v>
      </c>
      <c r="J82" s="84" t="s">
        <v>753</v>
      </c>
      <c r="K82" s="99" t="s">
        <v>189</v>
      </c>
      <c r="L82" s="84" t="s">
        <v>754</v>
      </c>
      <c r="M82" s="99" t="s">
        <v>417</v>
      </c>
      <c r="N82" s="84" t="s">
        <v>755</v>
      </c>
      <c r="O82" s="99" t="s">
        <v>421</v>
      </c>
      <c r="P82" s="84" t="s">
        <v>756</v>
      </c>
      <c r="Q82" s="99" t="s">
        <v>421</v>
      </c>
      <c r="R82" s="84" t="s">
        <v>757</v>
      </c>
      <c r="S82" s="99" t="s">
        <v>421</v>
      </c>
      <c r="T82" s="84"/>
      <c r="U82" s="99"/>
      <c r="V82" s="84"/>
      <c r="W82" s="99"/>
      <c r="X82" s="84"/>
      <c r="Y82" s="99"/>
      <c r="Z82" s="84"/>
      <c r="AA82" s="99"/>
      <c r="AB82" s="109"/>
      <c r="AC82" s="109"/>
      <c r="AE82" s="106" t="s">
        <v>205</v>
      </c>
      <c r="AF82" s="84" t="s">
        <v>244</v>
      </c>
      <c r="AG82" s="105" t="s">
        <v>241</v>
      </c>
      <c r="AH82" s="105" t="s">
        <v>242</v>
      </c>
    </row>
    <row r="83" spans="1:34" ht="40.15" customHeight="1" x14ac:dyDescent="0.25">
      <c r="A83" s="86">
        <v>81</v>
      </c>
      <c r="B83" s="102">
        <v>45904</v>
      </c>
      <c r="C83" s="94">
        <v>1329</v>
      </c>
      <c r="D83" s="84" t="s">
        <v>758</v>
      </c>
      <c r="E83" s="99" t="s">
        <v>187</v>
      </c>
      <c r="F83" s="84"/>
      <c r="G83" s="99"/>
      <c r="H83" s="84"/>
      <c r="I83" s="99"/>
      <c r="J83" s="84"/>
      <c r="K83" s="99"/>
      <c r="L83" s="84"/>
      <c r="M83" s="99"/>
      <c r="N83" s="84"/>
      <c r="O83" s="99"/>
      <c r="P83" s="84"/>
      <c r="Q83" s="99"/>
      <c r="R83" s="84"/>
      <c r="S83" s="99"/>
      <c r="T83" s="84"/>
      <c r="U83" s="99"/>
      <c r="V83" s="84"/>
      <c r="W83" s="99"/>
      <c r="X83" s="84"/>
      <c r="Y83" s="99"/>
      <c r="Z83" s="84"/>
      <c r="AA83" s="99"/>
      <c r="AB83" s="109"/>
      <c r="AC83" s="109"/>
      <c r="AE83" s="106" t="s">
        <v>76</v>
      </c>
      <c r="AF83" s="84" t="s">
        <v>244</v>
      </c>
      <c r="AG83" s="105" t="s">
        <v>241</v>
      </c>
      <c r="AH83" s="105" t="s">
        <v>242</v>
      </c>
    </row>
    <row r="84" spans="1:34" ht="40.15" customHeight="1" x14ac:dyDescent="0.25">
      <c r="A84" s="86">
        <v>82</v>
      </c>
      <c r="B84" s="102">
        <v>45906</v>
      </c>
      <c r="C84" s="94" t="s">
        <v>759</v>
      </c>
      <c r="D84" s="84"/>
      <c r="E84" s="99"/>
      <c r="F84" s="84" t="s">
        <v>760</v>
      </c>
      <c r="G84" s="99" t="s">
        <v>189</v>
      </c>
      <c r="H84" s="84" t="s">
        <v>761</v>
      </c>
      <c r="I84" s="99" t="s">
        <v>189</v>
      </c>
      <c r="J84" s="84" t="s">
        <v>762</v>
      </c>
      <c r="K84" s="99" t="s">
        <v>189</v>
      </c>
      <c r="L84" s="84" t="s">
        <v>763</v>
      </c>
      <c r="M84" s="99" t="s">
        <v>189</v>
      </c>
      <c r="N84" s="84" t="s">
        <v>764</v>
      </c>
      <c r="O84" s="99" t="s">
        <v>189</v>
      </c>
      <c r="P84" s="84" t="s">
        <v>765</v>
      </c>
      <c r="Q84" s="99" t="s">
        <v>189</v>
      </c>
      <c r="R84" s="84" t="s">
        <v>766</v>
      </c>
      <c r="S84" s="99" t="s">
        <v>189</v>
      </c>
      <c r="T84" s="84"/>
      <c r="U84" s="99"/>
      <c r="V84" s="84"/>
      <c r="W84" s="99"/>
      <c r="X84" s="84"/>
      <c r="Y84" s="99"/>
      <c r="Z84" s="84"/>
      <c r="AA84" s="99"/>
      <c r="AB84" s="109"/>
      <c r="AC84" s="109"/>
      <c r="AE84" s="106" t="s">
        <v>205</v>
      </c>
      <c r="AF84" s="84" t="s">
        <v>244</v>
      </c>
      <c r="AG84" s="105" t="s">
        <v>241</v>
      </c>
      <c r="AH84" s="105" t="s">
        <v>242</v>
      </c>
    </row>
    <row r="85" spans="1:34" ht="40.15" customHeight="1" x14ac:dyDescent="0.25">
      <c r="A85" s="86">
        <v>83</v>
      </c>
      <c r="B85" s="102">
        <v>45909</v>
      </c>
      <c r="C85" s="94">
        <v>1334</v>
      </c>
      <c r="D85" s="84" t="s">
        <v>767</v>
      </c>
      <c r="E85" s="99" t="s">
        <v>187</v>
      </c>
      <c r="F85" s="84"/>
      <c r="G85" s="99"/>
      <c r="H85" s="84"/>
      <c r="I85" s="99"/>
      <c r="J85" s="84"/>
      <c r="K85" s="99"/>
      <c r="L85" s="84"/>
      <c r="M85" s="99"/>
      <c r="N85" s="84"/>
      <c r="O85" s="99"/>
      <c r="P85" s="84"/>
      <c r="Q85" s="99"/>
      <c r="R85" s="84"/>
      <c r="S85" s="99"/>
      <c r="T85" s="84"/>
      <c r="U85" s="99"/>
      <c r="V85" s="84"/>
      <c r="W85" s="99"/>
      <c r="X85" s="84"/>
      <c r="Y85" s="99"/>
      <c r="Z85" s="84"/>
      <c r="AA85" s="99"/>
      <c r="AB85" s="109"/>
      <c r="AC85" s="109"/>
      <c r="AE85" s="106" t="s">
        <v>76</v>
      </c>
      <c r="AF85" s="84" t="s">
        <v>244</v>
      </c>
      <c r="AG85" s="105" t="s">
        <v>241</v>
      </c>
      <c r="AH85" s="105" t="s">
        <v>242</v>
      </c>
    </row>
    <row r="86" spans="1:34" ht="40.15" customHeight="1" x14ac:dyDescent="0.25">
      <c r="A86" s="86">
        <v>84</v>
      </c>
      <c r="B86" s="85"/>
      <c r="C86" s="94"/>
      <c r="D86" s="84"/>
      <c r="E86" s="99"/>
      <c r="F86" s="84"/>
      <c r="G86" s="99"/>
      <c r="H86" s="84"/>
      <c r="I86" s="99"/>
      <c r="J86" s="84"/>
      <c r="K86" s="99"/>
      <c r="L86" s="84"/>
      <c r="M86" s="99"/>
      <c r="N86" s="84"/>
      <c r="O86" s="99"/>
      <c r="P86" s="84"/>
      <c r="Q86" s="99"/>
      <c r="R86" s="84"/>
      <c r="S86" s="99"/>
      <c r="T86" s="84"/>
      <c r="U86" s="99"/>
      <c r="V86" s="84"/>
      <c r="W86" s="99"/>
      <c r="X86" s="84"/>
      <c r="Y86" s="99"/>
      <c r="Z86" s="84"/>
      <c r="AA86" s="99"/>
      <c r="AB86" s="109"/>
      <c r="AC86" s="109"/>
      <c r="AE86" s="106"/>
      <c r="AF86" s="84" t="s">
        <v>244</v>
      </c>
      <c r="AG86" s="105" t="s">
        <v>241</v>
      </c>
      <c r="AH86" s="105" t="s">
        <v>242</v>
      </c>
    </row>
    <row r="87" spans="1:34" ht="40.15" customHeight="1" x14ac:dyDescent="0.25">
      <c r="A87" s="86">
        <v>85</v>
      </c>
      <c r="B87" s="85"/>
      <c r="C87" s="94"/>
      <c r="D87" s="84"/>
      <c r="E87" s="99"/>
      <c r="F87" s="84"/>
      <c r="G87" s="99"/>
      <c r="H87" s="84"/>
      <c r="I87" s="99"/>
      <c r="J87" s="84"/>
      <c r="K87" s="99"/>
      <c r="L87" s="84"/>
      <c r="M87" s="99"/>
      <c r="N87" s="84"/>
      <c r="O87" s="99"/>
      <c r="P87" s="84"/>
      <c r="Q87" s="99"/>
      <c r="R87" s="84"/>
      <c r="S87" s="99"/>
      <c r="T87" s="84"/>
      <c r="U87" s="99"/>
      <c r="V87" s="84"/>
      <c r="W87" s="99"/>
      <c r="X87" s="84"/>
      <c r="Y87" s="99"/>
      <c r="Z87" s="84"/>
      <c r="AA87" s="99"/>
      <c r="AB87" s="109"/>
      <c r="AC87" s="109"/>
      <c r="AE87" s="106"/>
      <c r="AF87" s="84" t="s">
        <v>244</v>
      </c>
      <c r="AG87" s="105" t="s">
        <v>241</v>
      </c>
      <c r="AH87" s="105" t="s">
        <v>242</v>
      </c>
    </row>
    <row r="88" spans="1:34" ht="40.15" customHeight="1" x14ac:dyDescent="0.25">
      <c r="A88" s="86">
        <v>86</v>
      </c>
      <c r="B88" s="85"/>
      <c r="C88" s="94"/>
      <c r="D88" s="84"/>
      <c r="E88" s="99"/>
      <c r="F88" s="84"/>
      <c r="G88" s="99"/>
      <c r="H88" s="84"/>
      <c r="I88" s="99"/>
      <c r="J88" s="84"/>
      <c r="K88" s="99"/>
      <c r="L88" s="84"/>
      <c r="M88" s="99"/>
      <c r="N88" s="84"/>
      <c r="O88" s="99"/>
      <c r="P88" s="84"/>
      <c r="Q88" s="99"/>
      <c r="R88" s="84"/>
      <c r="S88" s="99"/>
      <c r="T88" s="84"/>
      <c r="U88" s="99"/>
      <c r="V88" s="84"/>
      <c r="W88" s="99"/>
      <c r="X88" s="84"/>
      <c r="Y88" s="99"/>
      <c r="Z88" s="84"/>
      <c r="AA88" s="99"/>
      <c r="AB88" s="109"/>
      <c r="AC88" s="109"/>
      <c r="AE88" s="106"/>
      <c r="AF88" s="84" t="s">
        <v>244</v>
      </c>
      <c r="AG88" s="105" t="s">
        <v>241</v>
      </c>
      <c r="AH88" s="105" t="s">
        <v>242</v>
      </c>
    </row>
  </sheetData>
  <phoneticPr fontId="22" type="noConversion"/>
  <conditionalFormatting sqref="T3:T88 V3:V88 Z3:Z88 X3:X88 R3:R88 J3:J88 P3:P88 L3:L88 F3:F88 H3:H88 N3:N88 D3:D88">
    <cfRule type="duplicateValues" dxfId="10" priority="77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E9F1696-A5BD-4295-9D02-E3B3497C19B5}">
          <x14:formula1>
            <xm:f>Planilha1!$A$2:$A$8</xm:f>
          </x14:formula1>
          <xm:sqref>AE15:AE16</xm:sqref>
        </x14:dataValidation>
        <x14:dataValidation type="list" allowBlank="1" showInputMessage="1" showErrorMessage="1" xr:uid="{32383954-35B5-4544-BE8B-A6317D770D89}">
          <x14:formula1>
            <xm:f>Planilha1!$A$2:$A$12</xm:f>
          </x14:formula1>
          <xm:sqref>AE3:AE14</xm:sqref>
        </x14:dataValidation>
        <x14:dataValidation type="list" allowBlank="1" showInputMessage="1" showErrorMessage="1" xr:uid="{7DFEC3E1-05D9-49ED-AF86-37B2E68B963C}">
          <x14:formula1>
            <xm:f>Planilha1!$A$2:$A$15</xm:f>
          </x14:formula1>
          <xm:sqref>AE17:AE50 AE53:AE88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B6DB-4986-4E5C-AE2C-8A36A84EAABD}">
  <dimension ref="A1:A11"/>
  <sheetViews>
    <sheetView workbookViewId="0">
      <selection activeCell="A12" sqref="A12"/>
    </sheetView>
  </sheetViews>
  <sheetFormatPr defaultRowHeight="15" x14ac:dyDescent="0.25"/>
  <cols>
    <col min="1" max="1" width="17.7109375" customWidth="1"/>
  </cols>
  <sheetData>
    <row r="1" spans="1:1" x14ac:dyDescent="0.25">
      <c r="A1" t="s">
        <v>204</v>
      </c>
    </row>
    <row r="2" spans="1:1" x14ac:dyDescent="0.25">
      <c r="A2" t="s">
        <v>14</v>
      </c>
    </row>
    <row r="3" spans="1:1" x14ac:dyDescent="0.25">
      <c r="A3" t="s">
        <v>205</v>
      </c>
    </row>
    <row r="4" spans="1:1" x14ac:dyDescent="0.25">
      <c r="A4" t="s">
        <v>76</v>
      </c>
    </row>
    <row r="5" spans="1:1" x14ac:dyDescent="0.25">
      <c r="A5" t="s">
        <v>206</v>
      </c>
    </row>
    <row r="6" spans="1:1" x14ac:dyDescent="0.25">
      <c r="A6" t="s">
        <v>207</v>
      </c>
    </row>
    <row r="7" spans="1:1" x14ac:dyDescent="0.25">
      <c r="A7" t="s">
        <v>208</v>
      </c>
    </row>
    <row r="8" spans="1:1" x14ac:dyDescent="0.25">
      <c r="A8" t="s">
        <v>223</v>
      </c>
    </row>
    <row r="9" spans="1:1" x14ac:dyDescent="0.25">
      <c r="A9" t="s">
        <v>209</v>
      </c>
    </row>
    <row r="10" spans="1:1" x14ac:dyDescent="0.25">
      <c r="A10" t="s">
        <v>226</v>
      </c>
    </row>
    <row r="11" spans="1:1" x14ac:dyDescent="0.25">
      <c r="A11" t="s">
        <v>233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E971B-749D-49DC-880B-CCA6ED5B9084}">
  <dimension ref="A1:AK139"/>
  <sheetViews>
    <sheetView zoomScaleNormal="100" workbookViewId="0">
      <pane xSplit="2" ySplit="2" topLeftCell="H62" activePane="bottomRight" state="frozen"/>
      <selection activeCell="CD92" sqref="CD92"/>
      <selection pane="topRight" activeCell="CD92" sqref="CD92"/>
      <selection pane="bottomLeft" activeCell="CD92" sqref="CD92"/>
      <selection pane="bottomRight" activeCell="AM85" sqref="AM85"/>
    </sheetView>
  </sheetViews>
  <sheetFormatPr defaultColWidth="9.140625" defaultRowHeight="15" x14ac:dyDescent="0.25"/>
  <cols>
    <col min="1" max="1" width="9.140625" style="82"/>
    <col min="2" max="2" width="12.5703125" style="82" customWidth="1"/>
    <col min="3" max="18" width="5.7109375" style="82" customWidth="1"/>
    <col min="19" max="19" width="9" style="82" customWidth="1"/>
    <col min="20" max="20" width="5.7109375" style="82" customWidth="1"/>
    <col min="21" max="24" width="5.7109375" style="82" hidden="1" customWidth="1"/>
    <col min="25" max="25" width="13.42578125" style="82" customWidth="1"/>
    <col min="26" max="26" width="12.42578125" style="82" customWidth="1"/>
    <col min="27" max="27" width="12.5703125" style="82" customWidth="1"/>
    <col min="28" max="28" width="18.140625" style="82" customWidth="1"/>
    <col min="29" max="29" width="11.85546875" style="82" customWidth="1"/>
    <col min="30" max="30" width="12.5703125" style="82" customWidth="1"/>
    <col min="31" max="31" width="10.85546875" style="82" bestFit="1" customWidth="1"/>
    <col min="32" max="34" width="9.140625" style="82"/>
    <col min="35" max="35" width="9.140625" style="84"/>
    <col min="36" max="16384" width="9.140625" style="82"/>
  </cols>
  <sheetData>
    <row r="1" spans="1:37" ht="39" customHeight="1" x14ac:dyDescent="0.25">
      <c r="B1" s="126" t="s">
        <v>126</v>
      </c>
      <c r="C1" s="125" t="s">
        <v>127</v>
      </c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4" t="s">
        <v>128</v>
      </c>
      <c r="Z1" s="124" t="s">
        <v>129</v>
      </c>
      <c r="AA1" s="124" t="s">
        <v>130</v>
      </c>
      <c r="AB1" s="124" t="s">
        <v>128</v>
      </c>
      <c r="AC1" s="124" t="s">
        <v>129</v>
      </c>
      <c r="AD1" s="124" t="s">
        <v>130</v>
      </c>
      <c r="AE1" s="122" t="s">
        <v>104</v>
      </c>
      <c r="AF1" s="122" t="s">
        <v>105</v>
      </c>
      <c r="AG1" s="122" t="s">
        <v>104</v>
      </c>
      <c r="AH1" s="123" t="s">
        <v>105</v>
      </c>
      <c r="AJ1" s="121" t="s">
        <v>137</v>
      </c>
      <c r="AK1" s="84" t="s">
        <v>187</v>
      </c>
    </row>
    <row r="2" spans="1:37" x14ac:dyDescent="0.25">
      <c r="B2" s="127"/>
      <c r="C2" s="84" t="s">
        <v>32</v>
      </c>
      <c r="D2" s="84" t="s">
        <v>33</v>
      </c>
      <c r="E2" s="84" t="s">
        <v>34</v>
      </c>
      <c r="F2" s="84" t="s">
        <v>35</v>
      </c>
      <c r="G2" s="84" t="s">
        <v>36</v>
      </c>
      <c r="H2" s="84" t="s">
        <v>37</v>
      </c>
      <c r="I2" s="84" t="s">
        <v>38</v>
      </c>
      <c r="J2" s="84" t="s">
        <v>39</v>
      </c>
      <c r="K2" s="84" t="s">
        <v>40</v>
      </c>
      <c r="L2" s="84" t="s">
        <v>41</v>
      </c>
      <c r="M2" s="84" t="s">
        <v>42</v>
      </c>
      <c r="N2" s="84" t="s">
        <v>43</v>
      </c>
      <c r="O2" s="84" t="s">
        <v>44</v>
      </c>
      <c r="P2" s="84" t="s">
        <v>45</v>
      </c>
      <c r="Q2" s="84" t="s">
        <v>46</v>
      </c>
      <c r="R2" s="84" t="s">
        <v>47</v>
      </c>
      <c r="S2" s="84" t="s">
        <v>48</v>
      </c>
      <c r="T2" s="84" t="s">
        <v>49</v>
      </c>
      <c r="U2" s="84" t="s">
        <v>50</v>
      </c>
      <c r="V2" s="84" t="s">
        <v>51</v>
      </c>
      <c r="W2" s="84" t="s">
        <v>52</v>
      </c>
      <c r="X2" s="84" t="s">
        <v>53</v>
      </c>
      <c r="Y2" s="124"/>
      <c r="Z2" s="124"/>
      <c r="AA2" s="124"/>
      <c r="AB2" s="124"/>
      <c r="AC2" s="124"/>
      <c r="AD2" s="124"/>
      <c r="AE2" s="122"/>
      <c r="AF2" s="122"/>
      <c r="AG2" s="122"/>
      <c r="AH2" s="123"/>
      <c r="AJ2" s="121"/>
      <c r="AK2" s="84"/>
    </row>
    <row r="3" spans="1:37" x14ac:dyDescent="0.25">
      <c r="A3" s="82">
        <f>'plan de data'!A3</f>
        <v>1</v>
      </c>
      <c r="B3" s="89">
        <f>'plan de data'!B3</f>
        <v>45733</v>
      </c>
      <c r="C3" s="84">
        <v>338</v>
      </c>
      <c r="D3" s="84">
        <v>337</v>
      </c>
      <c r="E3" s="84">
        <v>340</v>
      </c>
      <c r="F3" s="84">
        <v>338</v>
      </c>
      <c r="G3" s="84">
        <v>341</v>
      </c>
      <c r="H3" s="84">
        <v>338</v>
      </c>
      <c r="I3" s="84">
        <v>340</v>
      </c>
      <c r="J3" s="84">
        <v>341</v>
      </c>
      <c r="K3" s="84">
        <v>341</v>
      </c>
      <c r="L3" s="84">
        <v>339</v>
      </c>
      <c r="M3" s="84">
        <v>340</v>
      </c>
      <c r="N3" s="84">
        <v>339</v>
      </c>
      <c r="O3" s="84">
        <v>342</v>
      </c>
      <c r="P3" s="84">
        <v>343</v>
      </c>
      <c r="Q3" s="84">
        <v>341</v>
      </c>
      <c r="R3" s="84">
        <v>340</v>
      </c>
      <c r="S3" s="84"/>
      <c r="T3" s="84"/>
      <c r="U3" s="84"/>
      <c r="V3" s="84"/>
      <c r="W3" s="84"/>
      <c r="X3" s="84"/>
      <c r="Y3" s="90">
        <v>1062265533</v>
      </c>
      <c r="Z3" s="115">
        <f>IF(Y3="","-",VLOOKUP(Y3,'CERT. COR'!$A$4:$E$2200,3,0))</f>
        <v>45716</v>
      </c>
      <c r="AA3" s="117">
        <f>IF(Y3="","-",VLOOKUP(Y3,'CERT. COR'!$A$4:$E$2200,2,0))</f>
        <v>81795</v>
      </c>
      <c r="AB3" s="90"/>
      <c r="AC3" s="115" t="str">
        <f>IF(AB3="","-",VLOOKUP(AB3,'CERT. COR'!$A$4:$E$2200,3,0))</f>
        <v>-</v>
      </c>
      <c r="AD3" s="117" t="str">
        <f>IF(AB3="","-",VLOOKUP(AB3,'CERT. COR'!$A$4:$E$2200,2,0))</f>
        <v>-</v>
      </c>
      <c r="AE3" s="116">
        <f>IF(Y3="","-",VLOOKUP(Y3,'CERT. COR'!$A$4:$E$2200,5,0))</f>
        <v>100</v>
      </c>
      <c r="AF3" s="116">
        <f>IF(Y3="","-",VLOOKUP(Y3,'CERT. COR'!$A$4:$E$2200,4,0))</f>
        <v>192.3</v>
      </c>
      <c r="AG3" s="116" t="str">
        <f>IF(AB3="","-",VLOOKUP(AB3,'CERT. COR'!$A$4:$E$2200,5,0))</f>
        <v>-</v>
      </c>
      <c r="AH3" s="120" t="str">
        <f>IF(AB3="","-",VLOOKUP(AB3,'CERT. COR'!$A$4:$E$2200,4,0))</f>
        <v>-</v>
      </c>
      <c r="AI3" s="87" t="str">
        <f>IF(T3="","PN","PF")</f>
        <v>PN</v>
      </c>
      <c r="AJ3" s="121">
        <f>IF(AI3="PN",SUM(C3:R3),0)</f>
        <v>5438</v>
      </c>
      <c r="AK3" s="84">
        <f>IF(AI3="PF",SUM(C3:T3),0)</f>
        <v>0</v>
      </c>
    </row>
    <row r="4" spans="1:37" x14ac:dyDescent="0.25">
      <c r="A4" s="82">
        <f>'plan de data'!A4</f>
        <v>2</v>
      </c>
      <c r="B4" s="89">
        <f>'plan de data'!B4</f>
        <v>45741</v>
      </c>
      <c r="C4" s="84">
        <v>341</v>
      </c>
      <c r="D4" s="84">
        <v>342</v>
      </c>
      <c r="E4" s="84">
        <v>342</v>
      </c>
      <c r="F4" s="84">
        <v>341</v>
      </c>
      <c r="G4" s="84">
        <v>342</v>
      </c>
      <c r="H4" s="84">
        <v>342</v>
      </c>
      <c r="I4" s="84">
        <v>342</v>
      </c>
      <c r="J4" s="84">
        <v>341</v>
      </c>
      <c r="K4" s="84">
        <v>341</v>
      </c>
      <c r="L4" s="84">
        <v>342</v>
      </c>
      <c r="M4" s="84">
        <v>343</v>
      </c>
      <c r="N4" s="84">
        <v>342</v>
      </c>
      <c r="O4" s="84">
        <v>343</v>
      </c>
      <c r="P4" s="84">
        <v>341</v>
      </c>
      <c r="Q4" s="84">
        <v>344</v>
      </c>
      <c r="R4" s="84">
        <v>342</v>
      </c>
      <c r="S4" s="84"/>
      <c r="T4" s="84"/>
      <c r="U4" s="84"/>
      <c r="V4" s="84"/>
      <c r="W4" s="84"/>
      <c r="X4" s="84"/>
      <c r="Y4" s="90">
        <v>1062265533</v>
      </c>
      <c r="Z4" s="115">
        <f>IF(Y4="","-",VLOOKUP(Y4,'CERT. COR'!$A$4:$E$2200,3,0))</f>
        <v>45716</v>
      </c>
      <c r="AA4" s="117">
        <f>IF(Y4="","-",VLOOKUP(Y4,'CERT. COR'!$A$4:$E$2200,2,0))</f>
        <v>81795</v>
      </c>
      <c r="AB4" s="90"/>
      <c r="AC4" s="115" t="str">
        <f>IF(AB4="","-",VLOOKUP(AB4,'CERT. COR'!$A$4:$E$2200,3,0))</f>
        <v>-</v>
      </c>
      <c r="AD4" s="117" t="str">
        <f>IF(AB4="","-",VLOOKUP(AB4,'CERT. COR'!$A$4:$E$2200,2,0))</f>
        <v>-</v>
      </c>
      <c r="AE4" s="116">
        <f>IF(Y4="","-",VLOOKUP(Y4,'CERT. COR'!$A$4:$E$2200,5,0))</f>
        <v>100</v>
      </c>
      <c r="AF4" s="116">
        <f>IF(Y4="","-",VLOOKUP(Y4,'CERT. COR'!$A$4:$E$2200,4,0))</f>
        <v>192.3</v>
      </c>
      <c r="AG4" s="116" t="str">
        <f>IF(AB4="","-",VLOOKUP(AB4,'CERT. COR'!$A$4:$E$2200,5,0))</f>
        <v>-</v>
      </c>
      <c r="AH4" s="120" t="str">
        <f>IF(AB4="","-",VLOOKUP(AB4,'CERT. COR'!$A$4:$E$2200,4,0))</f>
        <v>-</v>
      </c>
      <c r="AI4" s="87" t="str">
        <f t="shared" ref="AI4:AI67" si="0">IF(T4="","PN","PF")</f>
        <v>PN</v>
      </c>
      <c r="AJ4" s="121">
        <f t="shared" ref="AJ4:AJ67" si="1">IF(AI4="PN",SUM(C4:R4),0)</f>
        <v>5471</v>
      </c>
      <c r="AK4" s="84">
        <f t="shared" ref="AK4:AK67" si="2">IF(AI4="PF",SUM(C4:T4),0)</f>
        <v>0</v>
      </c>
    </row>
    <row r="5" spans="1:37" x14ac:dyDescent="0.25">
      <c r="A5" s="82">
        <f>'plan de data'!A5</f>
        <v>3</v>
      </c>
      <c r="B5" s="89">
        <f>'plan de data'!B5</f>
        <v>45742</v>
      </c>
      <c r="C5" s="84">
        <v>341</v>
      </c>
      <c r="D5" s="84">
        <v>342</v>
      </c>
      <c r="E5" s="84">
        <v>340</v>
      </c>
      <c r="F5" s="84">
        <v>340</v>
      </c>
      <c r="G5" s="84">
        <v>344</v>
      </c>
      <c r="H5" s="84">
        <v>344</v>
      </c>
      <c r="I5" s="84">
        <v>345</v>
      </c>
      <c r="J5" s="84">
        <v>344</v>
      </c>
      <c r="K5" s="84">
        <v>343</v>
      </c>
      <c r="L5" s="84">
        <v>342</v>
      </c>
      <c r="M5" s="84">
        <v>343</v>
      </c>
      <c r="N5" s="84">
        <v>344</v>
      </c>
      <c r="O5" s="84">
        <v>347</v>
      </c>
      <c r="P5" s="84">
        <v>346</v>
      </c>
      <c r="Q5" s="84">
        <v>344</v>
      </c>
      <c r="R5" s="84">
        <v>344</v>
      </c>
      <c r="S5" s="84"/>
      <c r="T5" s="84"/>
      <c r="U5" s="84"/>
      <c r="V5" s="84"/>
      <c r="W5" s="84"/>
      <c r="X5" s="84"/>
      <c r="Y5" s="90">
        <v>1061132962</v>
      </c>
      <c r="Z5" s="115">
        <f>IF(Y5="","-",VLOOKUP(Y5,'CERT. COR'!$A$4:$E$2200,3,0))</f>
        <v>45539</v>
      </c>
      <c r="AA5" s="117">
        <f>IF(Y5="","-",VLOOKUP(Y5,'CERT. COR'!$A$4:$E$2200,2,0))</f>
        <v>109622</v>
      </c>
      <c r="AB5" s="87"/>
      <c r="AC5" s="115" t="str">
        <f>IF(AB5="","-",VLOOKUP(AB5,'CERT. COR'!$A$4:$E$2200,3,0))</f>
        <v>-</v>
      </c>
      <c r="AD5" s="117" t="str">
        <f>IF(AB5="","-",VLOOKUP(AB5,'CERT. COR'!$A$4:$E$2200,2,0))</f>
        <v>-</v>
      </c>
      <c r="AE5" s="116">
        <f>IF(Y5="","-",VLOOKUP(Y5,'CERT. COR'!$A$4:$E$2200,5,0))</f>
        <v>99.5</v>
      </c>
      <c r="AF5" s="116">
        <f>IF(Y5="","-",VLOOKUP(Y5,'CERT. COR'!$A$4:$E$2200,4,0))</f>
        <v>197</v>
      </c>
      <c r="AG5" s="116" t="str">
        <f>IF(AB5="","-",VLOOKUP(AB5,'CERT. COR'!$A$4:$E$2200,5,0))</f>
        <v>-</v>
      </c>
      <c r="AH5" s="120" t="str">
        <f>IF(AB5="","-",VLOOKUP(AB5,'CERT. COR'!$A$4:$E$2200,4,0))</f>
        <v>-</v>
      </c>
      <c r="AI5" s="87" t="str">
        <f t="shared" si="0"/>
        <v>PN</v>
      </c>
      <c r="AJ5" s="121">
        <f t="shared" si="1"/>
        <v>5493</v>
      </c>
      <c r="AK5" s="84">
        <f t="shared" si="2"/>
        <v>0</v>
      </c>
    </row>
    <row r="6" spans="1:37" x14ac:dyDescent="0.25">
      <c r="A6" s="82">
        <f>'plan de data'!A6</f>
        <v>4</v>
      </c>
      <c r="B6" s="89">
        <f>'plan de data'!B6</f>
        <v>45743</v>
      </c>
      <c r="C6" s="84">
        <v>340</v>
      </c>
      <c r="D6" s="84">
        <v>345</v>
      </c>
      <c r="E6" s="84">
        <v>339</v>
      </c>
      <c r="F6" s="84">
        <v>338</v>
      </c>
      <c r="G6" s="84">
        <v>339</v>
      </c>
      <c r="H6" s="84">
        <v>338</v>
      </c>
      <c r="I6" s="84">
        <v>340</v>
      </c>
      <c r="J6" s="84">
        <v>340</v>
      </c>
      <c r="K6" s="84">
        <v>340</v>
      </c>
      <c r="L6" s="84">
        <v>340</v>
      </c>
      <c r="M6" s="84">
        <v>341</v>
      </c>
      <c r="N6" s="84">
        <v>341</v>
      </c>
      <c r="O6" s="84">
        <v>339</v>
      </c>
      <c r="P6" s="84">
        <v>344</v>
      </c>
      <c r="Q6" s="84">
        <v>344</v>
      </c>
      <c r="R6" s="84">
        <v>342</v>
      </c>
      <c r="S6" s="84"/>
      <c r="T6" s="84"/>
      <c r="U6" s="84"/>
      <c r="V6" s="84"/>
      <c r="W6" s="84"/>
      <c r="X6" s="84"/>
      <c r="Y6" s="90">
        <v>1062265533</v>
      </c>
      <c r="Z6" s="115">
        <f>IF(Y6="","-",VLOOKUP(Y6,'CERT. COR'!$A$4:$E$2200,3,0))</f>
        <v>45716</v>
      </c>
      <c r="AA6" s="117">
        <f>IF(Y6="","-",VLOOKUP(Y6,'CERT. COR'!$A$4:$E$2200,2,0))</f>
        <v>81795</v>
      </c>
      <c r="AB6" s="87"/>
      <c r="AC6" s="115" t="str">
        <f>IF(AB6="","-",VLOOKUP(AB6,'CERT. COR'!$A$4:$E$2200,3,0))</f>
        <v>-</v>
      </c>
      <c r="AD6" s="117" t="str">
        <f>IF(AB6="","-",VLOOKUP(AB6,'CERT. COR'!$A$4:$E$2200,2,0))</f>
        <v>-</v>
      </c>
      <c r="AE6" s="116">
        <f>IF(Y6="","-",VLOOKUP(Y6,'CERT. COR'!$A$4:$E$2200,5,0))</f>
        <v>100</v>
      </c>
      <c r="AF6" s="116">
        <f>IF(Y6="","-",VLOOKUP(Y6,'CERT. COR'!$A$4:$E$2200,4,0))</f>
        <v>192.3</v>
      </c>
      <c r="AG6" s="116" t="str">
        <f>IF(AB6="","-",VLOOKUP(AB6,'CERT. COR'!$A$4:$E$2200,5,0))</f>
        <v>-</v>
      </c>
      <c r="AH6" s="120" t="str">
        <f>IF(AB6="","-",VLOOKUP(AB6,'CERT. COR'!$A$4:$E$2200,4,0))</f>
        <v>-</v>
      </c>
      <c r="AI6" s="87" t="str">
        <f t="shared" si="0"/>
        <v>PN</v>
      </c>
      <c r="AJ6" s="121">
        <f t="shared" si="1"/>
        <v>5450</v>
      </c>
      <c r="AK6" s="84">
        <f t="shared" si="2"/>
        <v>0</v>
      </c>
    </row>
    <row r="7" spans="1:37" x14ac:dyDescent="0.25">
      <c r="A7" s="82">
        <f>'plan de data'!A7</f>
        <v>5</v>
      </c>
      <c r="B7" s="89">
        <f>'plan de data'!B7</f>
        <v>45744</v>
      </c>
      <c r="C7" s="84">
        <v>348</v>
      </c>
      <c r="D7" s="84">
        <v>340</v>
      </c>
      <c r="E7" s="84">
        <v>341</v>
      </c>
      <c r="F7" s="84">
        <v>338</v>
      </c>
      <c r="G7" s="84">
        <v>341</v>
      </c>
      <c r="H7" s="84">
        <v>339</v>
      </c>
      <c r="I7" s="84">
        <v>342</v>
      </c>
      <c r="J7" s="84">
        <v>340</v>
      </c>
      <c r="K7" s="84">
        <v>343</v>
      </c>
      <c r="L7" s="84">
        <v>341</v>
      </c>
      <c r="M7" s="84">
        <v>342</v>
      </c>
      <c r="N7" s="84">
        <v>342</v>
      </c>
      <c r="O7" s="84">
        <v>341</v>
      </c>
      <c r="P7" s="84">
        <v>340</v>
      </c>
      <c r="Q7" s="84">
        <v>343</v>
      </c>
      <c r="R7" s="84">
        <v>340</v>
      </c>
      <c r="S7" s="84"/>
      <c r="T7" s="84"/>
      <c r="U7" s="84"/>
      <c r="V7" s="84"/>
      <c r="W7" s="84"/>
      <c r="X7" s="84"/>
      <c r="Y7" s="90">
        <v>1061132962</v>
      </c>
      <c r="Z7" s="115">
        <f>IF(Y7="","-",VLOOKUP(Y7,'CERT. COR'!$A$4:$E$2200,3,0))</f>
        <v>45539</v>
      </c>
      <c r="AA7" s="117">
        <f>IF(Y7="","-",VLOOKUP(Y7,'CERT. COR'!$A$4:$E$2200,2,0))</f>
        <v>109622</v>
      </c>
      <c r="AB7" s="87">
        <v>1062076102</v>
      </c>
      <c r="AC7" s="115">
        <f>IF(AB7="","-",VLOOKUP(AB7,'CERT. COR'!$A$4:$E$2200,3,0))</f>
        <v>45737</v>
      </c>
      <c r="AD7" s="117">
        <f>IF(AB7="","-",VLOOKUP(AB7,'CERT. COR'!$A$4:$E$2200,2,0))</f>
        <v>81985</v>
      </c>
      <c r="AE7" s="116">
        <f>IF(Y7="","-",VLOOKUP(Y7,'CERT. COR'!$A$4:$E$2200,5,0))</f>
        <v>99.5</v>
      </c>
      <c r="AF7" s="116">
        <f>IF(Y7="","-",VLOOKUP(Y7,'CERT. COR'!$A$4:$E$2200,4,0))</f>
        <v>197</v>
      </c>
      <c r="AG7" s="116">
        <f>IF(AB7="","-",VLOOKUP(AB7,'CERT. COR'!$A$4:$E$2200,5,0))</f>
        <v>100</v>
      </c>
      <c r="AH7" s="120">
        <f>IF(AB7="","-",VLOOKUP(AB7,'CERT. COR'!$A$4:$E$2200,4,0))</f>
        <v>198.8</v>
      </c>
      <c r="AI7" s="87" t="str">
        <f t="shared" si="0"/>
        <v>PN</v>
      </c>
      <c r="AJ7" s="121">
        <f t="shared" si="1"/>
        <v>5461</v>
      </c>
      <c r="AK7" s="84">
        <f t="shared" si="2"/>
        <v>0</v>
      </c>
    </row>
    <row r="8" spans="1:37" x14ac:dyDescent="0.25">
      <c r="A8" s="82">
        <f>'plan de data'!A8</f>
        <v>6</v>
      </c>
      <c r="B8" s="89">
        <f>'plan de data'!B8</f>
        <v>45747</v>
      </c>
      <c r="C8" s="84">
        <v>339</v>
      </c>
      <c r="D8" s="84">
        <v>339</v>
      </c>
      <c r="E8" s="84">
        <v>343</v>
      </c>
      <c r="F8" s="84">
        <v>344</v>
      </c>
      <c r="G8" s="84">
        <v>340</v>
      </c>
      <c r="H8" s="84">
        <v>341</v>
      </c>
      <c r="I8" s="84">
        <v>344</v>
      </c>
      <c r="J8" s="84">
        <v>343</v>
      </c>
      <c r="K8" s="84">
        <v>343</v>
      </c>
      <c r="L8" s="84">
        <v>343</v>
      </c>
      <c r="M8" s="84">
        <v>344</v>
      </c>
      <c r="N8" s="84">
        <v>344</v>
      </c>
      <c r="O8" s="84">
        <v>339</v>
      </c>
      <c r="P8" s="84">
        <v>341</v>
      </c>
      <c r="Q8" s="84">
        <v>345</v>
      </c>
      <c r="R8" s="84">
        <v>344</v>
      </c>
      <c r="S8" s="84"/>
      <c r="T8" s="84"/>
      <c r="U8" s="84"/>
      <c r="V8" s="84"/>
      <c r="W8" s="84"/>
      <c r="X8" s="84"/>
      <c r="Y8" s="87">
        <v>1062076102</v>
      </c>
      <c r="Z8" s="115">
        <f>IF(Y8="","-",VLOOKUP(Y8,'CERT. COR'!$A$4:$E$2200,3,0))</f>
        <v>45737</v>
      </c>
      <c r="AA8" s="117">
        <f>IF(Y8="","-",VLOOKUP(Y8,'CERT. COR'!$A$4:$E$2200,2,0))</f>
        <v>81985</v>
      </c>
      <c r="AB8" s="87"/>
      <c r="AC8" s="115" t="str">
        <f>IF(AB8="","-",VLOOKUP(AB8,'CERT. COR'!$A$4:$E$2200,3,0))</f>
        <v>-</v>
      </c>
      <c r="AD8" s="117" t="str">
        <f>IF(AB8="","-",VLOOKUP(AB8,'CERT. COR'!$A$4:$E$2200,2,0))</f>
        <v>-</v>
      </c>
      <c r="AE8" s="116">
        <f>IF(Y8="","-",VLOOKUP(Y8,'CERT. COR'!$A$4:$E$2200,5,0))</f>
        <v>100</v>
      </c>
      <c r="AF8" s="116">
        <f>IF(Y8="","-",VLOOKUP(Y8,'CERT. COR'!$A$4:$E$2200,4,0))</f>
        <v>198.8</v>
      </c>
      <c r="AG8" s="116" t="str">
        <f>IF(AB8="","-",VLOOKUP(AB8,'CERT. COR'!$A$4:$E$2200,5,0))</f>
        <v>-</v>
      </c>
      <c r="AH8" s="120" t="str">
        <f>IF(AB8="","-",VLOOKUP(AB8,'CERT. COR'!$A$4:$E$2200,4,0))</f>
        <v>-</v>
      </c>
      <c r="AI8" s="87" t="str">
        <f t="shared" si="0"/>
        <v>PN</v>
      </c>
      <c r="AJ8" s="121">
        <f t="shared" si="1"/>
        <v>5476</v>
      </c>
      <c r="AK8" s="84">
        <f t="shared" si="2"/>
        <v>0</v>
      </c>
    </row>
    <row r="9" spans="1:37" x14ac:dyDescent="0.25">
      <c r="A9" s="82">
        <f>'plan de data'!A9</f>
        <v>7</v>
      </c>
      <c r="B9" s="89">
        <f>'plan de data'!B9</f>
        <v>45749</v>
      </c>
      <c r="C9" s="84">
        <v>346</v>
      </c>
      <c r="D9" s="84">
        <v>344</v>
      </c>
      <c r="E9" s="84">
        <v>344</v>
      </c>
      <c r="F9" s="84">
        <v>344</v>
      </c>
      <c r="G9" s="84">
        <v>347</v>
      </c>
      <c r="H9" s="84">
        <v>344</v>
      </c>
      <c r="I9" s="84">
        <v>346</v>
      </c>
      <c r="J9" s="84">
        <v>345</v>
      </c>
      <c r="K9" s="84">
        <v>347</v>
      </c>
      <c r="L9" s="84">
        <v>346</v>
      </c>
      <c r="M9" s="84">
        <v>347</v>
      </c>
      <c r="N9" s="84">
        <v>346</v>
      </c>
      <c r="O9" s="84">
        <v>346</v>
      </c>
      <c r="P9" s="84">
        <v>346</v>
      </c>
      <c r="Q9" s="84">
        <v>347</v>
      </c>
      <c r="R9" s="84">
        <v>347</v>
      </c>
      <c r="S9" s="84"/>
      <c r="T9" s="84"/>
      <c r="U9" s="84"/>
      <c r="V9" s="84"/>
      <c r="W9" s="84"/>
      <c r="X9" s="84"/>
      <c r="Y9" s="87">
        <v>1061132929</v>
      </c>
      <c r="Z9" s="115">
        <f>IF(Y9="","-",VLOOKUP(Y9,'CERT. COR'!$A$4:$E$2200,3,0))</f>
        <v>45539</v>
      </c>
      <c r="AA9" s="117">
        <f>IF(Y9="","-",VLOOKUP(Y9,'CERT. COR'!$A$4:$E$2200,2,0))</f>
        <v>109623</v>
      </c>
      <c r="AB9" s="87"/>
      <c r="AC9" s="115" t="str">
        <f>IF(AB9="","-",VLOOKUP(AB9,'CERT. COR'!$A$4:$E$2200,3,0))</f>
        <v>-</v>
      </c>
      <c r="AD9" s="117" t="str">
        <f>IF(AB9="","-",VLOOKUP(AB9,'CERT. COR'!$A$4:$E$2200,2,0))</f>
        <v>-</v>
      </c>
      <c r="AE9" s="116">
        <f>IF(Y9="","-",VLOOKUP(Y9,'CERT. COR'!$A$4:$E$2200,5,0))</f>
        <v>100</v>
      </c>
      <c r="AF9" s="116">
        <f>IF(Y9="","-",VLOOKUP(Y9,'CERT. COR'!$A$4:$E$2200,4,0))</f>
        <v>198</v>
      </c>
      <c r="AG9" s="116" t="str">
        <f>IF(AB9="","-",VLOOKUP(AB9,'CERT. COR'!$A$4:$E$2200,5,0))</f>
        <v>-</v>
      </c>
      <c r="AH9" s="120" t="str">
        <f>IF(AB9="","-",VLOOKUP(AB9,'CERT. COR'!$A$4:$E$2200,4,0))</f>
        <v>-</v>
      </c>
      <c r="AI9" s="87" t="str">
        <f t="shared" si="0"/>
        <v>PN</v>
      </c>
      <c r="AJ9" s="121">
        <f t="shared" si="1"/>
        <v>5532</v>
      </c>
      <c r="AK9" s="84">
        <f t="shared" si="2"/>
        <v>0</v>
      </c>
    </row>
    <row r="10" spans="1:37" x14ac:dyDescent="0.25">
      <c r="A10" s="82">
        <f>'plan de data'!A10</f>
        <v>8</v>
      </c>
      <c r="B10" s="89">
        <f>'plan de data'!B10</f>
        <v>45750</v>
      </c>
      <c r="C10" s="84">
        <v>346</v>
      </c>
      <c r="D10" s="84">
        <v>347</v>
      </c>
      <c r="E10" s="84">
        <v>345</v>
      </c>
      <c r="F10" s="84">
        <v>345</v>
      </c>
      <c r="G10" s="84">
        <v>345</v>
      </c>
      <c r="H10" s="84">
        <v>345</v>
      </c>
      <c r="I10" s="84">
        <v>345</v>
      </c>
      <c r="J10" s="84">
        <v>348</v>
      </c>
      <c r="K10" s="84">
        <v>345</v>
      </c>
      <c r="L10" s="84">
        <v>345</v>
      </c>
      <c r="M10" s="84">
        <v>345</v>
      </c>
      <c r="N10" s="84">
        <v>345</v>
      </c>
      <c r="O10" s="84">
        <v>345</v>
      </c>
      <c r="P10" s="84">
        <v>345</v>
      </c>
      <c r="Q10" s="84">
        <v>346</v>
      </c>
      <c r="R10" s="84">
        <v>347</v>
      </c>
      <c r="S10" s="84"/>
      <c r="T10" s="84"/>
      <c r="U10" s="84"/>
      <c r="V10" s="84"/>
      <c r="W10" s="84"/>
      <c r="X10" s="84"/>
      <c r="Y10" s="87">
        <v>1062076102</v>
      </c>
      <c r="Z10" s="115">
        <f>IF(Y10="","-",VLOOKUP(Y10,'CERT. COR'!$A$4:$E$2200,3,0))</f>
        <v>45737</v>
      </c>
      <c r="AA10" s="117">
        <f>IF(Y10="","-",VLOOKUP(Y10,'CERT. COR'!$A$4:$E$2200,2,0))</f>
        <v>81985</v>
      </c>
      <c r="AB10" s="87"/>
      <c r="AC10" s="115" t="str">
        <f>IF(AB10="","-",VLOOKUP(AB10,'CERT. COR'!$A$4:$E$2200,3,0))</f>
        <v>-</v>
      </c>
      <c r="AD10" s="117" t="str">
        <f>IF(AB10="","-",VLOOKUP(AB10,'CERT. COR'!$A$4:$E$2200,2,0))</f>
        <v>-</v>
      </c>
      <c r="AE10" s="116">
        <f>IF(Y10="","-",VLOOKUP(Y10,'CERT. COR'!$A$4:$E$2200,5,0))</f>
        <v>100</v>
      </c>
      <c r="AF10" s="116">
        <f>IF(Y10="","-",VLOOKUP(Y10,'CERT. COR'!$A$4:$E$2200,4,0))</f>
        <v>198.8</v>
      </c>
      <c r="AG10" s="116" t="str">
        <f>IF(AB10="","-",VLOOKUP(AB10,'CERT. COR'!$A$4:$E$2200,5,0))</f>
        <v>-</v>
      </c>
      <c r="AH10" s="120" t="str">
        <f>IF(AB10="","-",VLOOKUP(AB10,'CERT. COR'!$A$4:$E$2200,4,0))</f>
        <v>-</v>
      </c>
      <c r="AI10" s="87" t="str">
        <f t="shared" si="0"/>
        <v>PN</v>
      </c>
      <c r="AJ10" s="121">
        <f t="shared" si="1"/>
        <v>5529</v>
      </c>
      <c r="AK10" s="84">
        <f t="shared" si="2"/>
        <v>0</v>
      </c>
    </row>
    <row r="11" spans="1:37" x14ac:dyDescent="0.25">
      <c r="A11" s="82">
        <f>'plan de data'!A11</f>
        <v>9</v>
      </c>
      <c r="B11" s="89">
        <f>'plan de data'!B11</f>
        <v>45752</v>
      </c>
      <c r="C11" s="84">
        <v>346</v>
      </c>
      <c r="D11" s="84">
        <v>344</v>
      </c>
      <c r="E11" s="84">
        <v>347</v>
      </c>
      <c r="F11" s="84">
        <v>347</v>
      </c>
      <c r="G11" s="84">
        <v>344</v>
      </c>
      <c r="H11" s="84">
        <v>347</v>
      </c>
      <c r="I11" s="84">
        <v>346</v>
      </c>
      <c r="J11" s="84">
        <v>348</v>
      </c>
      <c r="K11" s="84">
        <v>349</v>
      </c>
      <c r="L11" s="84">
        <v>348</v>
      </c>
      <c r="M11" s="84">
        <v>350</v>
      </c>
      <c r="N11" s="84">
        <v>350</v>
      </c>
      <c r="O11" s="84">
        <v>348</v>
      </c>
      <c r="P11" s="84">
        <v>349</v>
      </c>
      <c r="Q11" s="84">
        <v>351</v>
      </c>
      <c r="R11" s="84">
        <v>350</v>
      </c>
      <c r="S11" s="84"/>
      <c r="T11" s="84"/>
      <c r="U11" s="84"/>
      <c r="V11" s="84"/>
      <c r="W11" s="84"/>
      <c r="X11" s="84"/>
      <c r="Y11" s="87">
        <v>1061132929</v>
      </c>
      <c r="Z11" s="115">
        <f>IF(Y11="","-",VLOOKUP(Y11,'CERT. COR'!$A$4:$E$2200,3,0))</f>
        <v>45539</v>
      </c>
      <c r="AA11" s="117">
        <f>IF(Y11="","-",VLOOKUP(Y11,'CERT. COR'!$A$4:$E$2200,2,0))</f>
        <v>109623</v>
      </c>
      <c r="AB11" s="87"/>
      <c r="AC11" s="115" t="str">
        <f>IF(AB11="","-",VLOOKUP(AB11,'CERT. COR'!$A$4:$E$2200,3,0))</f>
        <v>-</v>
      </c>
      <c r="AD11" s="117" t="str">
        <f>IF(AB11="","-",VLOOKUP(AB11,'CERT. COR'!$A$4:$E$2200,2,0))</f>
        <v>-</v>
      </c>
      <c r="AE11" s="116">
        <f>IF(Y11="","-",VLOOKUP(Y11,'CERT. COR'!$A$4:$E$2200,5,0))</f>
        <v>100</v>
      </c>
      <c r="AF11" s="116">
        <f>IF(Y11="","-",VLOOKUP(Y11,'CERT. COR'!$A$4:$E$2200,4,0))</f>
        <v>198</v>
      </c>
      <c r="AG11" s="116" t="str">
        <f>IF(AB11="","-",VLOOKUP(AB11,'CERT. COR'!$A$4:$E$2200,5,0))</f>
        <v>-</v>
      </c>
      <c r="AH11" s="120" t="str">
        <f>IF(AB11="","-",VLOOKUP(AB11,'CERT. COR'!$A$4:$E$2200,4,0))</f>
        <v>-</v>
      </c>
      <c r="AI11" s="87" t="str">
        <f t="shared" si="0"/>
        <v>PN</v>
      </c>
      <c r="AJ11" s="121">
        <f t="shared" si="1"/>
        <v>5564</v>
      </c>
      <c r="AK11" s="84">
        <f t="shared" si="2"/>
        <v>0</v>
      </c>
    </row>
    <row r="12" spans="1:37" x14ac:dyDescent="0.25">
      <c r="A12" s="82">
        <f>'plan de data'!A12</f>
        <v>10</v>
      </c>
      <c r="B12" s="89">
        <f>'plan de data'!B12</f>
        <v>45754</v>
      </c>
      <c r="C12" s="84">
        <v>341</v>
      </c>
      <c r="D12" s="84">
        <v>343</v>
      </c>
      <c r="E12" s="84">
        <v>345</v>
      </c>
      <c r="F12" s="84">
        <v>344</v>
      </c>
      <c r="G12" s="84">
        <v>342</v>
      </c>
      <c r="H12" s="84">
        <v>342</v>
      </c>
      <c r="I12" s="84">
        <v>345</v>
      </c>
      <c r="J12" s="84">
        <v>345</v>
      </c>
      <c r="K12" s="84">
        <v>345</v>
      </c>
      <c r="L12" s="84">
        <v>344</v>
      </c>
      <c r="M12" s="84">
        <v>345</v>
      </c>
      <c r="N12" s="84">
        <v>345</v>
      </c>
      <c r="O12" s="84">
        <v>340</v>
      </c>
      <c r="P12" s="84">
        <v>341</v>
      </c>
      <c r="Q12" s="84">
        <v>345</v>
      </c>
      <c r="R12" s="84">
        <v>346</v>
      </c>
      <c r="S12" s="84"/>
      <c r="T12" s="84"/>
      <c r="U12" s="84"/>
      <c r="V12" s="84"/>
      <c r="W12" s="84"/>
      <c r="X12" s="84"/>
      <c r="Y12" s="87">
        <v>1062076102</v>
      </c>
      <c r="Z12" s="115">
        <f>IF(Y12="","-",VLOOKUP(Y12,'CERT. COR'!$A$4:$E$2200,3,0))</f>
        <v>45737</v>
      </c>
      <c r="AA12" s="117">
        <f>IF(Y12="","-",VLOOKUP(Y12,'CERT. COR'!$A$4:$E$2200,2,0))</f>
        <v>81985</v>
      </c>
      <c r="AB12" s="87"/>
      <c r="AC12" s="115" t="str">
        <f>IF(AB12="","-",VLOOKUP(AB12,'CERT. COR'!$A$4:$E$2200,3,0))</f>
        <v>-</v>
      </c>
      <c r="AD12" s="117" t="str">
        <f>IF(AB12="","-",VLOOKUP(AB12,'CERT. COR'!$A$4:$E$2200,2,0))</f>
        <v>-</v>
      </c>
      <c r="AE12" s="116">
        <f>IF(Y12="","-",VLOOKUP(Y12,'CERT. COR'!$A$4:$E$2200,5,0))</f>
        <v>100</v>
      </c>
      <c r="AF12" s="116">
        <f>IF(Y12="","-",VLOOKUP(Y12,'CERT. COR'!$A$4:$E$2200,4,0))</f>
        <v>198.8</v>
      </c>
      <c r="AG12" s="116" t="str">
        <f>IF(AB12="","-",VLOOKUP(AB12,'CERT. COR'!$A$4:$E$2200,5,0))</f>
        <v>-</v>
      </c>
      <c r="AH12" s="120" t="str">
        <f>IF(AB12="","-",VLOOKUP(AB12,'CERT. COR'!$A$4:$E$2200,4,0))</f>
        <v>-</v>
      </c>
      <c r="AI12" s="87" t="str">
        <f t="shared" si="0"/>
        <v>PN</v>
      </c>
      <c r="AJ12" s="121">
        <f t="shared" si="1"/>
        <v>5498</v>
      </c>
      <c r="AK12" s="84">
        <f t="shared" si="2"/>
        <v>0</v>
      </c>
    </row>
    <row r="13" spans="1:37" x14ac:dyDescent="0.25">
      <c r="A13" s="82">
        <f>'plan de data'!A13</f>
        <v>11</v>
      </c>
      <c r="B13" s="89">
        <f>'plan de data'!B13</f>
        <v>45755</v>
      </c>
      <c r="C13" s="84">
        <v>344</v>
      </c>
      <c r="D13" s="84">
        <v>343</v>
      </c>
      <c r="E13" s="84">
        <v>344</v>
      </c>
      <c r="F13" s="84">
        <v>344</v>
      </c>
      <c r="G13" s="84">
        <v>345</v>
      </c>
      <c r="H13" s="84">
        <v>345</v>
      </c>
      <c r="I13" s="84">
        <v>347</v>
      </c>
      <c r="J13" s="84">
        <v>347</v>
      </c>
      <c r="K13" s="84">
        <v>348</v>
      </c>
      <c r="L13" s="84">
        <v>346</v>
      </c>
      <c r="M13" s="84">
        <v>349</v>
      </c>
      <c r="N13" s="84">
        <v>348</v>
      </c>
      <c r="O13" s="84">
        <v>352</v>
      </c>
      <c r="P13" s="84">
        <v>348</v>
      </c>
      <c r="Q13" s="84">
        <v>351</v>
      </c>
      <c r="R13" s="84">
        <v>348</v>
      </c>
      <c r="S13" s="84"/>
      <c r="T13" s="84"/>
      <c r="U13" s="84"/>
      <c r="V13" s="84"/>
      <c r="W13" s="84"/>
      <c r="X13" s="84"/>
      <c r="Y13" s="87">
        <v>1061132929</v>
      </c>
      <c r="Z13" s="115">
        <f>IF(Y13="","-",VLOOKUP(Y13,'CERT. COR'!$A$4:$E$2200,3,0))</f>
        <v>45539</v>
      </c>
      <c r="AA13" s="117">
        <f>IF(Y13="","-",VLOOKUP(Y13,'CERT. COR'!$A$4:$E$2200,2,0))</f>
        <v>109623</v>
      </c>
      <c r="AB13" s="87"/>
      <c r="AC13" s="115" t="str">
        <f>IF(AB13="","-",VLOOKUP(AB13,'CERT. COR'!$A$4:$E$2200,3,0))</f>
        <v>-</v>
      </c>
      <c r="AD13" s="117" t="str">
        <f>IF(AB13="","-",VLOOKUP(AB13,'CERT. COR'!$A$4:$E$2200,2,0))</f>
        <v>-</v>
      </c>
      <c r="AE13" s="116">
        <f>IF(Y13="","-",VLOOKUP(Y13,'CERT. COR'!$A$4:$E$2200,5,0))</f>
        <v>100</v>
      </c>
      <c r="AF13" s="116">
        <f>IF(Y13="","-",VLOOKUP(Y13,'CERT. COR'!$A$4:$E$2200,4,0))</f>
        <v>198</v>
      </c>
      <c r="AG13" s="116" t="str">
        <f>IF(AB13="","-",VLOOKUP(AB13,'CERT. COR'!$A$4:$E$2200,5,0))</f>
        <v>-</v>
      </c>
      <c r="AH13" s="120" t="str">
        <f>IF(AB13="","-",VLOOKUP(AB13,'CERT. COR'!$A$4:$E$2200,4,0))</f>
        <v>-</v>
      </c>
      <c r="AI13" s="87" t="str">
        <f t="shared" si="0"/>
        <v>PN</v>
      </c>
      <c r="AJ13" s="121">
        <f t="shared" si="1"/>
        <v>5549</v>
      </c>
      <c r="AK13" s="84">
        <f t="shared" si="2"/>
        <v>0</v>
      </c>
    </row>
    <row r="14" spans="1:37" x14ac:dyDescent="0.25">
      <c r="A14" s="82">
        <f>'plan de data'!A14</f>
        <v>12</v>
      </c>
      <c r="B14" s="89">
        <f>'plan de data'!B14</f>
        <v>45757</v>
      </c>
      <c r="C14" s="84">
        <v>341</v>
      </c>
      <c r="D14" s="84">
        <v>340</v>
      </c>
      <c r="E14" s="84">
        <v>348</v>
      </c>
      <c r="F14" s="84">
        <v>347</v>
      </c>
      <c r="G14" s="84">
        <v>343</v>
      </c>
      <c r="H14" s="84">
        <v>344</v>
      </c>
      <c r="I14" s="84">
        <v>347</v>
      </c>
      <c r="J14" s="84">
        <v>347</v>
      </c>
      <c r="K14" s="84">
        <v>348</v>
      </c>
      <c r="L14" s="84">
        <v>348</v>
      </c>
      <c r="M14" s="84">
        <v>348</v>
      </c>
      <c r="N14" s="84">
        <v>350</v>
      </c>
      <c r="O14" s="84">
        <v>345</v>
      </c>
      <c r="P14" s="84">
        <v>342</v>
      </c>
      <c r="Q14" s="84">
        <v>348</v>
      </c>
      <c r="R14" s="84">
        <v>353</v>
      </c>
      <c r="S14" s="84"/>
      <c r="T14" s="84"/>
      <c r="U14" s="84"/>
      <c r="V14" s="84"/>
      <c r="W14" s="84"/>
      <c r="X14" s="84"/>
      <c r="Y14" s="87">
        <v>1061132929</v>
      </c>
      <c r="Z14" s="115">
        <f>IF(Y14="","-",VLOOKUP(Y14,'CERT. COR'!$A$4:$E$2200,3,0))</f>
        <v>45539</v>
      </c>
      <c r="AA14" s="117">
        <f>IF(Y14="","-",VLOOKUP(Y14,'CERT. COR'!$A$4:$E$2200,2,0))</f>
        <v>109623</v>
      </c>
      <c r="AB14" s="110">
        <v>1062265764</v>
      </c>
      <c r="AC14" s="115">
        <f>IF(AB14="","-",VLOOKUP(AB14,'CERT. COR'!$A$4:$E$2200,3,0))</f>
        <v>45730</v>
      </c>
      <c r="AD14" s="117">
        <f>IF(AB14="","-",VLOOKUP(AB14,'CERT. COR'!$A$4:$E$2200,2,0))</f>
        <v>81902</v>
      </c>
      <c r="AE14" s="116">
        <f>IF(Y14="","-",VLOOKUP(Y14,'CERT. COR'!$A$4:$E$2200,5,0))</f>
        <v>100</v>
      </c>
      <c r="AF14" s="116">
        <f>IF(Y14="","-",VLOOKUP(Y14,'CERT. COR'!$A$4:$E$2200,4,0))</f>
        <v>198</v>
      </c>
      <c r="AG14" s="116">
        <f>IF(AB14="","-",VLOOKUP(AB14,'CERT. COR'!$A$4:$E$2200,5,0))</f>
        <v>99.6</v>
      </c>
      <c r="AH14" s="120">
        <f>IF(AB14="","-",VLOOKUP(AB14,'CERT. COR'!$A$4:$E$2200,4,0))</f>
        <v>199.3</v>
      </c>
      <c r="AI14" s="87" t="str">
        <f t="shared" si="0"/>
        <v>PN</v>
      </c>
      <c r="AJ14" s="121">
        <f t="shared" si="1"/>
        <v>5539</v>
      </c>
      <c r="AK14" s="84">
        <f t="shared" si="2"/>
        <v>0</v>
      </c>
    </row>
    <row r="15" spans="1:37" x14ac:dyDescent="0.25">
      <c r="A15" s="82">
        <f>'plan de data'!A15</f>
        <v>13</v>
      </c>
      <c r="B15" s="89">
        <f>'plan de data'!B15</f>
        <v>45758</v>
      </c>
      <c r="C15" s="84">
        <v>345</v>
      </c>
      <c r="D15" s="84">
        <v>342</v>
      </c>
      <c r="E15" s="84">
        <v>342</v>
      </c>
      <c r="F15" s="84">
        <v>346</v>
      </c>
      <c r="G15" s="84">
        <v>342</v>
      </c>
      <c r="H15" s="84">
        <v>342</v>
      </c>
      <c r="I15" s="84">
        <v>342</v>
      </c>
      <c r="J15" s="84">
        <v>344</v>
      </c>
      <c r="K15" s="84">
        <v>345</v>
      </c>
      <c r="L15" s="84">
        <v>344</v>
      </c>
      <c r="M15" s="84">
        <v>341</v>
      </c>
      <c r="N15" s="84">
        <v>343</v>
      </c>
      <c r="O15" s="84">
        <v>343</v>
      </c>
      <c r="P15" s="84">
        <v>344</v>
      </c>
      <c r="Q15" s="84">
        <v>346</v>
      </c>
      <c r="R15" s="84">
        <v>344</v>
      </c>
      <c r="S15" s="84"/>
      <c r="T15" s="84"/>
      <c r="U15" s="84"/>
      <c r="V15" s="84"/>
      <c r="W15" s="84"/>
      <c r="X15" s="84"/>
      <c r="Y15" s="87">
        <v>1062076102</v>
      </c>
      <c r="Z15" s="115">
        <f>IF(Y15="","-",VLOOKUP(Y15,'CERT. COR'!$A$4:$E$2200,3,0))</f>
        <v>45737</v>
      </c>
      <c r="AA15" s="117">
        <f>IF(Y15="","-",VLOOKUP(Y15,'CERT. COR'!$A$4:$E$2200,2,0))</f>
        <v>81985</v>
      </c>
      <c r="AB15" s="110">
        <v>1062269468</v>
      </c>
      <c r="AC15" s="115">
        <f>IF(AB15="","-",VLOOKUP(AB15,'CERT. COR'!$A$4:$E$2200,3,0))</f>
        <v>45730</v>
      </c>
      <c r="AD15" s="117">
        <f>IF(AB15="","-",VLOOKUP(AB15,'CERT. COR'!$A$4:$E$2200,2,0))</f>
        <v>81902</v>
      </c>
      <c r="AE15" s="116">
        <f>IF(Y15="","-",VLOOKUP(Y15,'CERT. COR'!$A$4:$E$2200,5,0))</f>
        <v>100</v>
      </c>
      <c r="AF15" s="116">
        <f>IF(Y15="","-",VLOOKUP(Y15,'CERT. COR'!$A$4:$E$2200,4,0))</f>
        <v>198.8</v>
      </c>
      <c r="AG15" s="116">
        <f>IF(AB15="","-",VLOOKUP(AB15,'CERT. COR'!$A$4:$E$2200,5,0))</f>
        <v>100</v>
      </c>
      <c r="AH15" s="120">
        <f>IF(AB15="","-",VLOOKUP(AB15,'CERT. COR'!$A$4:$E$2200,4,0))</f>
        <v>200.9</v>
      </c>
      <c r="AI15" s="87" t="str">
        <f t="shared" si="0"/>
        <v>PN</v>
      </c>
      <c r="AJ15" s="121">
        <f t="shared" si="1"/>
        <v>5495</v>
      </c>
      <c r="AK15" s="84">
        <f t="shared" si="2"/>
        <v>0</v>
      </c>
    </row>
    <row r="16" spans="1:37" x14ac:dyDescent="0.25">
      <c r="A16" s="82">
        <f>'plan de data'!A16</f>
        <v>14</v>
      </c>
      <c r="B16" s="89">
        <f>'plan de data'!B16</f>
        <v>45761</v>
      </c>
      <c r="C16" s="84">
        <v>349</v>
      </c>
      <c r="D16" s="84">
        <v>343</v>
      </c>
      <c r="E16" s="84">
        <v>343</v>
      </c>
      <c r="F16" s="84">
        <v>344</v>
      </c>
      <c r="G16" s="84">
        <v>345</v>
      </c>
      <c r="H16" s="84">
        <v>347</v>
      </c>
      <c r="I16" s="84">
        <v>346</v>
      </c>
      <c r="J16" s="84">
        <v>345</v>
      </c>
      <c r="K16" s="84">
        <v>346</v>
      </c>
      <c r="L16" s="84">
        <v>346</v>
      </c>
      <c r="M16" s="84">
        <v>349</v>
      </c>
      <c r="N16" s="84">
        <v>347</v>
      </c>
      <c r="O16" s="84">
        <v>350</v>
      </c>
      <c r="P16" s="84">
        <v>351</v>
      </c>
      <c r="Q16" s="84">
        <v>351</v>
      </c>
      <c r="R16" s="84">
        <v>350</v>
      </c>
      <c r="S16" s="84"/>
      <c r="T16" s="84"/>
      <c r="U16" s="84"/>
      <c r="V16" s="84"/>
      <c r="W16" s="84"/>
      <c r="X16" s="84"/>
      <c r="Y16" s="87">
        <v>1062269468</v>
      </c>
      <c r="Z16" s="115">
        <f>IF(Y16="","-",VLOOKUP(Y16,'CERT. COR'!$A$4:$E$2200,3,0))</f>
        <v>45730</v>
      </c>
      <c r="AA16" s="117">
        <f>IF(Y16="","-",VLOOKUP(Y16,'CERT. COR'!$A$4:$E$2200,2,0))</f>
        <v>81902</v>
      </c>
      <c r="AB16" s="87"/>
      <c r="AC16" s="115" t="str">
        <f>IF(AB16="","-",VLOOKUP(AB16,'CERT. COR'!$A$4:$E$2200,3,0))</f>
        <v>-</v>
      </c>
      <c r="AD16" s="117" t="str">
        <f>IF(AB16="","-",VLOOKUP(AB16,'CERT. COR'!$A$4:$E$2200,2,0))</f>
        <v>-</v>
      </c>
      <c r="AE16" s="116">
        <f>IF(Y16="","-",VLOOKUP(Y16,'CERT. COR'!$A$4:$E$2200,5,0))</f>
        <v>100</v>
      </c>
      <c r="AF16" s="116">
        <f>IF(Y16="","-",VLOOKUP(Y16,'CERT. COR'!$A$4:$E$2200,4,0))</f>
        <v>200.9</v>
      </c>
      <c r="AG16" s="116" t="str">
        <f>IF(AB16="","-",VLOOKUP(AB16,'CERT. COR'!$A$4:$E$2200,5,0))</f>
        <v>-</v>
      </c>
      <c r="AH16" s="120" t="str">
        <f>IF(AB16="","-",VLOOKUP(AB16,'CERT. COR'!$A$4:$E$2200,4,0))</f>
        <v>-</v>
      </c>
      <c r="AI16" s="87" t="str">
        <f t="shared" si="0"/>
        <v>PN</v>
      </c>
      <c r="AJ16" s="121">
        <f t="shared" si="1"/>
        <v>5552</v>
      </c>
      <c r="AK16" s="84">
        <f t="shared" si="2"/>
        <v>0</v>
      </c>
    </row>
    <row r="17" spans="1:37" x14ac:dyDescent="0.25">
      <c r="A17" s="82">
        <f>'plan de data'!A17</f>
        <v>15</v>
      </c>
      <c r="B17" s="89">
        <f>'plan de data'!B17</f>
        <v>45762</v>
      </c>
      <c r="C17" s="84">
        <v>345</v>
      </c>
      <c r="D17" s="84">
        <v>348</v>
      </c>
      <c r="E17" s="84">
        <v>344</v>
      </c>
      <c r="F17" s="84">
        <v>345</v>
      </c>
      <c r="G17" s="84">
        <v>341</v>
      </c>
      <c r="H17" s="84">
        <v>347</v>
      </c>
      <c r="I17" s="84">
        <v>346</v>
      </c>
      <c r="J17" s="84">
        <v>347</v>
      </c>
      <c r="K17" s="84">
        <v>347</v>
      </c>
      <c r="L17" s="84">
        <v>347</v>
      </c>
      <c r="M17" s="84">
        <v>349</v>
      </c>
      <c r="N17" s="84">
        <v>348</v>
      </c>
      <c r="O17" s="84">
        <v>343</v>
      </c>
      <c r="P17" s="84">
        <v>343</v>
      </c>
      <c r="Q17" s="84">
        <v>348</v>
      </c>
      <c r="R17" s="84">
        <v>346</v>
      </c>
      <c r="S17" s="84"/>
      <c r="T17" s="84"/>
      <c r="U17" s="84"/>
      <c r="V17" s="84"/>
      <c r="W17" s="84"/>
      <c r="X17" s="84"/>
      <c r="Y17" s="87">
        <v>1062265764</v>
      </c>
      <c r="Z17" s="115">
        <f>IF(Y17="","-",VLOOKUP(Y17,'CERT. COR'!$A$4:$E$2200,3,0))</f>
        <v>45730</v>
      </c>
      <c r="AA17" s="117">
        <f>IF(Y17="","-",VLOOKUP(Y17,'CERT. COR'!$A$4:$E$2200,2,0))</f>
        <v>81902</v>
      </c>
      <c r="AB17" s="87"/>
      <c r="AC17" s="115" t="str">
        <f>IF(AB17="","-",VLOOKUP(AB17,'CERT. COR'!$A$4:$E$2200,3,0))</f>
        <v>-</v>
      </c>
      <c r="AD17" s="117" t="str">
        <f>IF(AB17="","-",VLOOKUP(AB17,'CERT. COR'!$A$4:$E$2200,2,0))</f>
        <v>-</v>
      </c>
      <c r="AE17" s="116">
        <f>IF(Y17="","-",VLOOKUP(Y17,'CERT. COR'!$A$4:$E$2200,5,0))</f>
        <v>99.6</v>
      </c>
      <c r="AF17" s="116">
        <f>IF(Y17="","-",VLOOKUP(Y17,'CERT. COR'!$A$4:$E$2200,4,0))</f>
        <v>199.3</v>
      </c>
      <c r="AG17" s="116" t="str">
        <f>IF(AB17="","-",VLOOKUP(AB17,'CERT. COR'!$A$4:$E$2200,5,0))</f>
        <v>-</v>
      </c>
      <c r="AH17" s="120" t="str">
        <f>IF(AB17="","-",VLOOKUP(AB17,'CERT. COR'!$A$4:$E$2200,4,0))</f>
        <v>-</v>
      </c>
      <c r="AI17" s="87" t="str">
        <f t="shared" si="0"/>
        <v>PN</v>
      </c>
      <c r="AJ17" s="121">
        <f t="shared" si="1"/>
        <v>5534</v>
      </c>
      <c r="AK17" s="84">
        <f t="shared" si="2"/>
        <v>0</v>
      </c>
    </row>
    <row r="18" spans="1:37" x14ac:dyDescent="0.25">
      <c r="A18" s="82">
        <f>'plan de data'!A18</f>
        <v>16</v>
      </c>
      <c r="B18" s="89">
        <f>'plan de data'!B18</f>
        <v>45764</v>
      </c>
      <c r="C18" s="84">
        <v>349</v>
      </c>
      <c r="D18" s="84">
        <v>344</v>
      </c>
      <c r="E18" s="84">
        <v>343</v>
      </c>
      <c r="F18" s="84">
        <v>343</v>
      </c>
      <c r="G18" s="84">
        <v>347</v>
      </c>
      <c r="H18" s="84">
        <v>345</v>
      </c>
      <c r="I18" s="84">
        <v>345</v>
      </c>
      <c r="J18" s="84">
        <v>345</v>
      </c>
      <c r="K18" s="84">
        <v>346</v>
      </c>
      <c r="L18" s="84">
        <v>346</v>
      </c>
      <c r="M18" s="84">
        <v>346</v>
      </c>
      <c r="N18" s="84">
        <v>346</v>
      </c>
      <c r="O18" s="84">
        <v>348</v>
      </c>
      <c r="P18" s="84">
        <v>348</v>
      </c>
      <c r="Q18" s="84">
        <v>349</v>
      </c>
      <c r="R18" s="84">
        <v>349</v>
      </c>
      <c r="S18" s="84"/>
      <c r="T18" s="84"/>
      <c r="U18" s="84"/>
      <c r="V18" s="84"/>
      <c r="W18" s="84"/>
      <c r="X18" s="84"/>
      <c r="Y18" s="87">
        <v>1062269468</v>
      </c>
      <c r="Z18" s="115">
        <f>IF(Y18="","-",VLOOKUP(Y18,'CERT. COR'!$A$4:$E$2200,3,0))</f>
        <v>45730</v>
      </c>
      <c r="AA18" s="117">
        <f>IF(Y18="","-",VLOOKUP(Y18,'CERT. COR'!$A$4:$E$2200,2,0))</f>
        <v>81902</v>
      </c>
      <c r="AB18" s="87"/>
      <c r="AC18" s="115" t="str">
        <f>IF(AB18="","-",VLOOKUP(AB18,'CERT. COR'!$A$4:$E$2200,3,0))</f>
        <v>-</v>
      </c>
      <c r="AD18" s="117" t="str">
        <f>IF(AB18="","-",VLOOKUP(AB18,'CERT. COR'!$A$4:$E$2200,2,0))</f>
        <v>-</v>
      </c>
      <c r="AE18" s="116">
        <f>IF(Y18="","-",VLOOKUP(Y18,'CERT. COR'!$A$4:$E$2200,5,0))</f>
        <v>100</v>
      </c>
      <c r="AF18" s="116">
        <f>IF(Y18="","-",VLOOKUP(Y18,'CERT. COR'!$A$4:$E$2200,4,0))</f>
        <v>200.9</v>
      </c>
      <c r="AG18" s="116" t="str">
        <f>IF(AB18="","-",VLOOKUP(AB18,'CERT. COR'!$A$4:$E$2200,5,0))</f>
        <v>-</v>
      </c>
      <c r="AH18" s="120" t="str">
        <f>IF(AB18="","-",VLOOKUP(AB18,'CERT. COR'!$A$4:$E$2200,4,0))</f>
        <v>-</v>
      </c>
      <c r="AI18" s="87" t="str">
        <f t="shared" si="0"/>
        <v>PN</v>
      </c>
      <c r="AJ18" s="121">
        <f t="shared" si="1"/>
        <v>5539</v>
      </c>
      <c r="AK18" s="84">
        <f t="shared" si="2"/>
        <v>0</v>
      </c>
    </row>
    <row r="19" spans="1:37" x14ac:dyDescent="0.25">
      <c r="A19" s="82">
        <f>'plan de data'!A19</f>
        <v>17</v>
      </c>
      <c r="B19" s="89">
        <f>'plan de data'!B19</f>
        <v>45764</v>
      </c>
      <c r="C19" s="84">
        <v>341</v>
      </c>
      <c r="D19" s="84">
        <v>342</v>
      </c>
      <c r="E19" s="84">
        <v>344</v>
      </c>
      <c r="F19" s="84">
        <v>343</v>
      </c>
      <c r="G19" s="84">
        <v>342</v>
      </c>
      <c r="H19" s="84">
        <v>342</v>
      </c>
      <c r="I19" s="84">
        <v>343</v>
      </c>
      <c r="J19" s="84">
        <v>345</v>
      </c>
      <c r="K19" s="84">
        <v>345</v>
      </c>
      <c r="L19" s="84">
        <v>345</v>
      </c>
      <c r="M19" s="84">
        <v>345</v>
      </c>
      <c r="N19" s="84">
        <v>344</v>
      </c>
      <c r="O19" s="84">
        <v>343</v>
      </c>
      <c r="P19" s="84">
        <v>343</v>
      </c>
      <c r="Q19" s="84">
        <v>345</v>
      </c>
      <c r="R19" s="84">
        <v>346</v>
      </c>
      <c r="S19" s="84"/>
      <c r="T19" s="84"/>
      <c r="U19" s="84"/>
      <c r="V19" s="84"/>
      <c r="W19" s="84"/>
      <c r="X19" s="84"/>
      <c r="Y19" s="87">
        <v>1062265764</v>
      </c>
      <c r="Z19" s="115">
        <f>IF(Y19="","-",VLOOKUP(Y19,'CERT. COR'!$A$4:$E$2200,3,0))</f>
        <v>45730</v>
      </c>
      <c r="AA19" s="117">
        <f>IF(Y19="","-",VLOOKUP(Y19,'CERT. COR'!$A$4:$E$2200,2,0))</f>
        <v>81902</v>
      </c>
      <c r="AB19" s="87"/>
      <c r="AC19" s="115" t="str">
        <f>IF(AB19="","-",VLOOKUP(AB19,'CERT. COR'!$A$4:$E$2200,3,0))</f>
        <v>-</v>
      </c>
      <c r="AD19" s="117" t="str">
        <f>IF(AB19="","-",VLOOKUP(AB19,'CERT. COR'!$A$4:$E$2200,2,0))</f>
        <v>-</v>
      </c>
      <c r="AE19" s="116">
        <f>IF(Y19="","-",VLOOKUP(Y19,'CERT. COR'!$A$4:$E$2200,5,0))</f>
        <v>99.6</v>
      </c>
      <c r="AF19" s="116">
        <f>IF(Y19="","-",VLOOKUP(Y19,'CERT. COR'!$A$4:$E$2200,4,0))</f>
        <v>199.3</v>
      </c>
      <c r="AG19" s="116" t="str">
        <f>IF(AB19="","-",VLOOKUP(AB19,'CERT. COR'!$A$4:$E$2200,5,0))</f>
        <v>-</v>
      </c>
      <c r="AH19" s="120" t="str">
        <f>IF(AB19="","-",VLOOKUP(AB19,'CERT. COR'!$A$4:$E$2200,4,0))</f>
        <v>-</v>
      </c>
      <c r="AI19" s="87" t="str">
        <f t="shared" si="0"/>
        <v>PN</v>
      </c>
      <c r="AJ19" s="121">
        <f t="shared" si="1"/>
        <v>5498</v>
      </c>
      <c r="AK19" s="84">
        <f t="shared" si="2"/>
        <v>0</v>
      </c>
    </row>
    <row r="20" spans="1:37" x14ac:dyDescent="0.25">
      <c r="A20" s="82">
        <f>'plan de data'!A20</f>
        <v>18</v>
      </c>
      <c r="B20" s="89">
        <f>'plan de data'!B20</f>
        <v>45770</v>
      </c>
      <c r="C20" s="84">
        <v>346</v>
      </c>
      <c r="D20" s="84">
        <v>343</v>
      </c>
      <c r="E20" s="84">
        <v>343</v>
      </c>
      <c r="F20" s="84">
        <v>343</v>
      </c>
      <c r="G20" s="84">
        <v>345</v>
      </c>
      <c r="H20" s="84">
        <v>344</v>
      </c>
      <c r="I20" s="84">
        <v>343</v>
      </c>
      <c r="J20" s="84">
        <v>343</v>
      </c>
      <c r="K20" s="84">
        <v>345</v>
      </c>
      <c r="L20" s="84">
        <v>345</v>
      </c>
      <c r="M20" s="84">
        <v>345</v>
      </c>
      <c r="N20" s="84">
        <v>345</v>
      </c>
      <c r="O20" s="84">
        <v>345</v>
      </c>
      <c r="P20" s="84">
        <v>345</v>
      </c>
      <c r="Q20" s="84">
        <v>345</v>
      </c>
      <c r="R20" s="84">
        <v>345</v>
      </c>
      <c r="S20" s="84"/>
      <c r="T20" s="84"/>
      <c r="U20" s="84"/>
      <c r="V20" s="84"/>
      <c r="W20" s="84"/>
      <c r="X20" s="84"/>
      <c r="Y20" s="87">
        <v>1062265764</v>
      </c>
      <c r="Z20" s="115">
        <f>IF(Y20="","-",VLOOKUP(Y20,'CERT. COR'!$A$4:$E$2200,3,0))</f>
        <v>45730</v>
      </c>
      <c r="AA20" s="117">
        <f>IF(Y20="","-",VLOOKUP(Y20,'CERT. COR'!$A$4:$E$2200,2,0))</f>
        <v>81902</v>
      </c>
      <c r="AB20" s="87"/>
      <c r="AC20" s="115" t="str">
        <f>IF(AB20="","-",VLOOKUP(AB20,'CERT. COR'!$A$4:$E$2200,3,0))</f>
        <v>-</v>
      </c>
      <c r="AD20" s="117" t="str">
        <f>IF(AB20="","-",VLOOKUP(AB20,'CERT. COR'!$A$4:$E$2200,2,0))</f>
        <v>-</v>
      </c>
      <c r="AE20" s="116">
        <f>IF(Y20="","-",VLOOKUP(Y20,'CERT. COR'!$A$4:$E$2200,5,0))</f>
        <v>99.6</v>
      </c>
      <c r="AF20" s="116">
        <f>IF(Y20="","-",VLOOKUP(Y20,'CERT. COR'!$A$4:$E$2200,4,0))</f>
        <v>199.3</v>
      </c>
      <c r="AG20" s="116" t="str">
        <f>IF(AB20="","-",VLOOKUP(AB20,'CERT. COR'!$A$4:$E$2200,5,0))</f>
        <v>-</v>
      </c>
      <c r="AH20" s="120" t="str">
        <f>IF(AB20="","-",VLOOKUP(AB20,'CERT. COR'!$A$4:$E$2200,4,0))</f>
        <v>-</v>
      </c>
      <c r="AI20" s="87" t="str">
        <f t="shared" si="0"/>
        <v>PN</v>
      </c>
      <c r="AJ20" s="121">
        <f t="shared" si="1"/>
        <v>5510</v>
      </c>
      <c r="AK20" s="84">
        <f t="shared" si="2"/>
        <v>0</v>
      </c>
    </row>
    <row r="21" spans="1:37" x14ac:dyDescent="0.25">
      <c r="A21" s="82">
        <f>'plan de data'!A21</f>
        <v>19</v>
      </c>
      <c r="B21" s="89">
        <f>'plan de data'!B21</f>
        <v>45771</v>
      </c>
      <c r="C21" s="84">
        <v>350</v>
      </c>
      <c r="D21" s="84">
        <v>345</v>
      </c>
      <c r="E21" s="84">
        <v>341</v>
      </c>
      <c r="F21" s="84">
        <v>341</v>
      </c>
      <c r="G21" s="84">
        <v>343</v>
      </c>
      <c r="H21" s="84">
        <v>341</v>
      </c>
      <c r="I21" s="84">
        <v>341</v>
      </c>
      <c r="J21" s="84">
        <v>348</v>
      </c>
      <c r="K21" s="84">
        <v>341</v>
      </c>
      <c r="L21" s="84">
        <v>342</v>
      </c>
      <c r="M21" s="84">
        <v>341</v>
      </c>
      <c r="N21" s="84">
        <v>342</v>
      </c>
      <c r="O21" s="84">
        <v>343</v>
      </c>
      <c r="P21" s="84">
        <v>344</v>
      </c>
      <c r="Q21" s="84">
        <v>344</v>
      </c>
      <c r="R21" s="84">
        <v>343</v>
      </c>
      <c r="S21" s="84"/>
      <c r="T21" s="84"/>
      <c r="U21" s="84"/>
      <c r="V21" s="84"/>
      <c r="W21" s="84"/>
      <c r="X21" s="84"/>
      <c r="Y21" s="87">
        <v>1062269468</v>
      </c>
      <c r="Z21" s="115">
        <f>IF(Y21="","-",VLOOKUP(Y21,'CERT. COR'!$A$4:$E$2200,3,0))</f>
        <v>45730</v>
      </c>
      <c r="AA21" s="117">
        <f>IF(Y21="","-",VLOOKUP(Y21,'CERT. COR'!$A$4:$E$2200,2,0))</f>
        <v>81902</v>
      </c>
      <c r="AB21" s="87"/>
      <c r="AC21" s="115" t="str">
        <f>IF(AB21="","-",VLOOKUP(AB21,'CERT. COR'!$A$4:$E$2200,3,0))</f>
        <v>-</v>
      </c>
      <c r="AD21" s="117" t="str">
        <f>IF(AB21="","-",VLOOKUP(AB21,'CERT. COR'!$A$4:$E$2200,2,0))</f>
        <v>-</v>
      </c>
      <c r="AE21" s="116">
        <f>IF(Y21="","-",VLOOKUP(Y21,'CERT. COR'!$A$4:$E$2200,5,0))</f>
        <v>100</v>
      </c>
      <c r="AF21" s="116">
        <f>IF(Y21="","-",VLOOKUP(Y21,'CERT. COR'!$A$4:$E$2200,4,0))</f>
        <v>200.9</v>
      </c>
      <c r="AG21" s="116" t="str">
        <f>IF(AB21="","-",VLOOKUP(AB21,'CERT. COR'!$A$4:$E$2200,5,0))</f>
        <v>-</v>
      </c>
      <c r="AH21" s="120" t="str">
        <f>IF(AB21="","-",VLOOKUP(AB21,'CERT. COR'!$A$4:$E$2200,4,0))</f>
        <v>-</v>
      </c>
      <c r="AI21" s="87" t="str">
        <f t="shared" si="0"/>
        <v>PN</v>
      </c>
      <c r="AJ21" s="121">
        <f t="shared" si="1"/>
        <v>5490</v>
      </c>
      <c r="AK21" s="84">
        <f t="shared" si="2"/>
        <v>0</v>
      </c>
    </row>
    <row r="22" spans="1:37" x14ac:dyDescent="0.25">
      <c r="A22" s="82">
        <f>'plan de data'!A22</f>
        <v>20</v>
      </c>
      <c r="B22" s="89">
        <f>'plan de data'!B22</f>
        <v>45773</v>
      </c>
      <c r="C22" s="84">
        <v>344</v>
      </c>
      <c r="D22" s="84">
        <v>345</v>
      </c>
      <c r="E22" s="84">
        <v>344</v>
      </c>
      <c r="F22" s="84">
        <v>342</v>
      </c>
      <c r="G22" s="84">
        <v>343</v>
      </c>
      <c r="H22" s="84">
        <v>341</v>
      </c>
      <c r="I22" s="84">
        <v>342</v>
      </c>
      <c r="J22" s="84">
        <v>343</v>
      </c>
      <c r="K22" s="84">
        <v>347</v>
      </c>
      <c r="L22" s="84">
        <v>344</v>
      </c>
      <c r="M22" s="84">
        <v>346</v>
      </c>
      <c r="N22" s="84">
        <v>345</v>
      </c>
      <c r="O22" s="84">
        <v>349</v>
      </c>
      <c r="P22" s="84">
        <v>342</v>
      </c>
      <c r="Q22" s="84">
        <v>349</v>
      </c>
      <c r="R22" s="84">
        <v>349</v>
      </c>
      <c r="S22" s="84"/>
      <c r="T22" s="84"/>
      <c r="U22" s="84"/>
      <c r="V22" s="84"/>
      <c r="W22" s="84"/>
      <c r="X22" s="84"/>
      <c r="Y22" s="87">
        <v>1062552789</v>
      </c>
      <c r="Z22" s="115">
        <f>IF(Y22="","-",VLOOKUP(Y22,'CERT. COR'!$A$4:$E$2200,3,0))</f>
        <v>45764</v>
      </c>
      <c r="AA22" s="117">
        <f>IF(Y22="","-",VLOOKUP(Y22,'CERT. COR'!$A$4:$E$2200,2,0))</f>
        <v>82245</v>
      </c>
      <c r="AB22" s="110">
        <v>1062265764</v>
      </c>
      <c r="AC22" s="115">
        <f>IF(AB22="","-",VLOOKUP(AB22,'CERT. COR'!$A$4:$E$2200,3,0))</f>
        <v>45730</v>
      </c>
      <c r="AD22" s="117">
        <f>IF(AB22="","-",VLOOKUP(AB22,'CERT. COR'!$A$4:$E$2200,2,0))</f>
        <v>81902</v>
      </c>
      <c r="AE22" s="116">
        <f>IF(Y22="","-",VLOOKUP(Y22,'CERT. COR'!$A$4:$E$2200,5,0))</f>
        <v>100</v>
      </c>
      <c r="AF22" s="116">
        <f>IF(Y22="","-",VLOOKUP(Y22,'CERT. COR'!$A$4:$E$2200,4,0))</f>
        <v>199.9</v>
      </c>
      <c r="AG22" s="116">
        <f>IF(AB22="","-",VLOOKUP(AB22,'CERT. COR'!$A$4:$E$2200,5,0))</f>
        <v>99.6</v>
      </c>
      <c r="AH22" s="120">
        <f>IF(AB22="","-",VLOOKUP(AB22,'CERT. COR'!$A$4:$E$2200,4,0))</f>
        <v>199.3</v>
      </c>
      <c r="AI22" s="87" t="str">
        <f t="shared" si="0"/>
        <v>PN</v>
      </c>
      <c r="AJ22" s="121">
        <f t="shared" si="1"/>
        <v>5515</v>
      </c>
      <c r="AK22" s="84">
        <f t="shared" si="2"/>
        <v>0</v>
      </c>
    </row>
    <row r="23" spans="1:37" x14ac:dyDescent="0.25">
      <c r="A23" s="82">
        <f>'plan de data'!A23</f>
        <v>21</v>
      </c>
      <c r="B23" s="89">
        <f>'plan de data'!B23</f>
        <v>45776</v>
      </c>
      <c r="C23" s="84">
        <v>344</v>
      </c>
      <c r="D23" s="84">
        <v>342</v>
      </c>
      <c r="E23" s="84">
        <v>347</v>
      </c>
      <c r="F23" s="84">
        <v>344</v>
      </c>
      <c r="G23" s="84">
        <v>342</v>
      </c>
      <c r="H23" s="84">
        <v>342</v>
      </c>
      <c r="I23" s="84">
        <v>347</v>
      </c>
      <c r="J23" s="84">
        <v>346</v>
      </c>
      <c r="K23" s="84">
        <v>348</v>
      </c>
      <c r="L23" s="84">
        <v>348</v>
      </c>
      <c r="M23" s="84">
        <v>341</v>
      </c>
      <c r="N23" s="84">
        <v>346</v>
      </c>
      <c r="O23" s="84">
        <v>342</v>
      </c>
      <c r="P23" s="84">
        <v>343</v>
      </c>
      <c r="Q23" s="84">
        <v>346</v>
      </c>
      <c r="R23" s="84">
        <v>350</v>
      </c>
      <c r="S23" s="84"/>
      <c r="T23" s="84"/>
      <c r="U23" s="84"/>
      <c r="V23" s="84"/>
      <c r="W23" s="84"/>
      <c r="X23" s="84"/>
      <c r="Y23" s="87">
        <v>1062269468</v>
      </c>
      <c r="Z23" s="115">
        <f>IF(Y23="","-",VLOOKUP(Y23,'CERT. COR'!$A$4:$E$2200,3,0))</f>
        <v>45730</v>
      </c>
      <c r="AA23" s="117">
        <f>IF(Y23="","-",VLOOKUP(Y23,'CERT. COR'!$A$4:$E$2200,2,0))</f>
        <v>81902</v>
      </c>
      <c r="AB23" s="110">
        <v>1062279616</v>
      </c>
      <c r="AC23" s="115">
        <f>IF(AB23="","-",VLOOKUP(AB23,'CERT. COR'!$A$4:$E$2200,3,0))</f>
        <v>45716</v>
      </c>
      <c r="AD23" s="117">
        <f>IF(AB23="","-",VLOOKUP(AB23,'CERT. COR'!$A$4:$E$2200,2,0))</f>
        <v>81795</v>
      </c>
      <c r="AE23" s="116">
        <f>IF(Y23="","-",VLOOKUP(Y23,'CERT. COR'!$A$4:$E$2200,5,0))</f>
        <v>100</v>
      </c>
      <c r="AF23" s="116">
        <f>IF(Y23="","-",VLOOKUP(Y23,'CERT. COR'!$A$4:$E$2200,4,0))</f>
        <v>200.9</v>
      </c>
      <c r="AG23" s="116">
        <f>IF(AB23="","-",VLOOKUP(AB23,'CERT. COR'!$A$4:$E$2200,5,0))</f>
        <v>99.9</v>
      </c>
      <c r="AH23" s="120">
        <f>IF(AB23="","-",VLOOKUP(AB23,'CERT. COR'!$A$4:$E$2200,4,0))</f>
        <v>200.9</v>
      </c>
      <c r="AI23" s="87" t="str">
        <f t="shared" si="0"/>
        <v>PN</v>
      </c>
      <c r="AJ23" s="121">
        <f t="shared" si="1"/>
        <v>5518</v>
      </c>
      <c r="AK23" s="84">
        <f t="shared" si="2"/>
        <v>0</v>
      </c>
    </row>
    <row r="24" spans="1:37" x14ac:dyDescent="0.25">
      <c r="A24" s="82">
        <f>'plan de data'!A24</f>
        <v>22</v>
      </c>
      <c r="B24" s="89">
        <f>'plan de data'!B24</f>
        <v>45777</v>
      </c>
      <c r="C24" s="84">
        <v>345</v>
      </c>
      <c r="D24" s="84">
        <v>343</v>
      </c>
      <c r="E24" s="84">
        <v>344</v>
      </c>
      <c r="F24" s="84">
        <v>344</v>
      </c>
      <c r="G24" s="84">
        <v>344</v>
      </c>
      <c r="H24" s="84">
        <v>344</v>
      </c>
      <c r="I24" s="84">
        <v>347</v>
      </c>
      <c r="J24" s="84">
        <v>345</v>
      </c>
      <c r="K24" s="84">
        <v>348</v>
      </c>
      <c r="L24" s="84">
        <v>349</v>
      </c>
      <c r="M24" s="84">
        <v>350</v>
      </c>
      <c r="N24" s="84">
        <v>350</v>
      </c>
      <c r="O24" s="84">
        <v>345</v>
      </c>
      <c r="P24" s="84">
        <v>345</v>
      </c>
      <c r="Q24" s="84">
        <v>353</v>
      </c>
      <c r="R24" s="84">
        <v>351</v>
      </c>
      <c r="S24" s="84"/>
      <c r="T24" s="84"/>
      <c r="U24" s="84"/>
      <c r="V24" s="84"/>
      <c r="W24" s="84"/>
      <c r="X24" s="84"/>
      <c r="Y24" s="87">
        <v>1062552789</v>
      </c>
      <c r="Z24" s="115">
        <f>IF(Y24="","-",VLOOKUP(Y24,'CERT. COR'!$A$4:$E$2200,3,0))</f>
        <v>45764</v>
      </c>
      <c r="AA24" s="117">
        <f>IF(Y24="","-",VLOOKUP(Y24,'CERT. COR'!$A$4:$E$2200,2,0))</f>
        <v>82245</v>
      </c>
      <c r="AB24" s="87"/>
      <c r="AC24" s="115" t="str">
        <f>IF(AB24="","-",VLOOKUP(AB24,'CERT. COR'!$A$4:$E$2200,3,0))</f>
        <v>-</v>
      </c>
      <c r="AD24" s="117" t="str">
        <f>IF(AB24="","-",VLOOKUP(AB24,'CERT. COR'!$A$4:$E$2200,2,0))</f>
        <v>-</v>
      </c>
      <c r="AE24" s="116">
        <f>IF(Y24="","-",VLOOKUP(Y24,'CERT. COR'!$A$4:$E$2200,5,0))</f>
        <v>100</v>
      </c>
      <c r="AF24" s="116">
        <f>IF(Y24="","-",VLOOKUP(Y24,'CERT. COR'!$A$4:$E$2200,4,0))</f>
        <v>199.9</v>
      </c>
      <c r="AG24" s="116" t="str">
        <f>IF(AB24="","-",VLOOKUP(AB24,'CERT. COR'!$A$4:$E$2200,5,0))</f>
        <v>-</v>
      </c>
      <c r="AH24" s="120" t="str">
        <f>IF(AB24="","-",VLOOKUP(AB24,'CERT. COR'!$A$4:$E$2200,4,0))</f>
        <v>-</v>
      </c>
      <c r="AI24" s="87" t="str">
        <f t="shared" si="0"/>
        <v>PN</v>
      </c>
      <c r="AJ24" s="121">
        <f t="shared" si="1"/>
        <v>5547</v>
      </c>
      <c r="AK24" s="84">
        <f t="shared" si="2"/>
        <v>0</v>
      </c>
    </row>
    <row r="25" spans="1:37" x14ac:dyDescent="0.25">
      <c r="A25" s="82">
        <f>'plan de data'!A25</f>
        <v>23</v>
      </c>
      <c r="B25" s="89">
        <f>'plan de data'!B25</f>
        <v>45780</v>
      </c>
      <c r="C25" s="84">
        <v>344</v>
      </c>
      <c r="D25" s="84">
        <v>341</v>
      </c>
      <c r="E25" s="84">
        <v>342</v>
      </c>
      <c r="F25" s="84">
        <v>339</v>
      </c>
      <c r="G25" s="84">
        <v>343</v>
      </c>
      <c r="H25" s="84">
        <v>342</v>
      </c>
      <c r="I25" s="84">
        <v>342</v>
      </c>
      <c r="J25" s="84">
        <v>341</v>
      </c>
      <c r="K25" s="84">
        <v>343</v>
      </c>
      <c r="L25" s="84">
        <v>341</v>
      </c>
      <c r="M25" s="84">
        <v>344</v>
      </c>
      <c r="N25" s="84">
        <v>344</v>
      </c>
      <c r="O25" s="84">
        <v>343</v>
      </c>
      <c r="P25" s="84">
        <v>343</v>
      </c>
      <c r="Q25" s="84">
        <v>346</v>
      </c>
      <c r="R25" s="84">
        <v>345</v>
      </c>
      <c r="S25" s="84"/>
      <c r="T25" s="84"/>
      <c r="U25" s="84"/>
      <c r="V25" s="84"/>
      <c r="W25" s="84"/>
      <c r="X25" s="84"/>
      <c r="Y25" s="87">
        <v>1062279616</v>
      </c>
      <c r="Z25" s="115">
        <f>IF(Y25="","-",VLOOKUP(Y25,'CERT. COR'!$A$4:$E$2200,3,0))</f>
        <v>45716</v>
      </c>
      <c r="AA25" s="117">
        <f>IF(Y25="","-",VLOOKUP(Y25,'CERT. COR'!$A$4:$E$2200,2,0))</f>
        <v>81795</v>
      </c>
      <c r="AB25" s="87"/>
      <c r="AC25" s="115" t="str">
        <f>IF(AB25="","-",VLOOKUP(AB25,'CERT. COR'!$A$4:$E$2200,3,0))</f>
        <v>-</v>
      </c>
      <c r="AD25" s="117" t="str">
        <f>IF(AB25="","-",VLOOKUP(AB25,'CERT. COR'!$A$4:$E$2200,2,0))</f>
        <v>-</v>
      </c>
      <c r="AE25" s="116">
        <f>IF(Y25="","-",VLOOKUP(Y25,'CERT. COR'!$A$4:$E$2200,5,0))</f>
        <v>99.9</v>
      </c>
      <c r="AF25" s="116">
        <f>IF(Y25="","-",VLOOKUP(Y25,'CERT. COR'!$A$4:$E$2200,4,0))</f>
        <v>200.9</v>
      </c>
      <c r="AG25" s="116" t="str">
        <f>IF(AB25="","-",VLOOKUP(AB25,'CERT. COR'!$A$4:$E$2200,5,0))</f>
        <v>-</v>
      </c>
      <c r="AH25" s="120" t="str">
        <f>IF(AB25="","-",VLOOKUP(AB25,'CERT. COR'!$A$4:$E$2200,4,0))</f>
        <v>-</v>
      </c>
      <c r="AI25" s="87" t="str">
        <f t="shared" si="0"/>
        <v>PN</v>
      </c>
      <c r="AJ25" s="121">
        <f t="shared" si="1"/>
        <v>5483</v>
      </c>
      <c r="AK25" s="84">
        <f t="shared" si="2"/>
        <v>0</v>
      </c>
    </row>
    <row r="26" spans="1:37" x14ac:dyDescent="0.25">
      <c r="A26" s="82">
        <f>'plan de data'!A26</f>
        <v>24</v>
      </c>
      <c r="B26" s="89">
        <f>'plan de data'!B26</f>
        <v>45782</v>
      </c>
      <c r="C26" s="84">
        <v>342</v>
      </c>
      <c r="D26" s="84">
        <v>344</v>
      </c>
      <c r="E26" s="84">
        <v>345</v>
      </c>
      <c r="F26" s="84">
        <v>345</v>
      </c>
      <c r="G26" s="84">
        <v>348</v>
      </c>
      <c r="H26" s="84">
        <v>352</v>
      </c>
      <c r="I26" s="84">
        <v>345</v>
      </c>
      <c r="J26" s="84">
        <v>345</v>
      </c>
      <c r="K26" s="84">
        <v>346</v>
      </c>
      <c r="L26" s="84">
        <v>342</v>
      </c>
      <c r="M26" s="84">
        <v>347</v>
      </c>
      <c r="N26" s="84">
        <v>347</v>
      </c>
      <c r="O26" s="84">
        <v>345</v>
      </c>
      <c r="P26" s="84">
        <v>344</v>
      </c>
      <c r="Q26" s="84">
        <v>348</v>
      </c>
      <c r="R26" s="84">
        <v>347</v>
      </c>
      <c r="S26" s="84"/>
      <c r="T26" s="84"/>
      <c r="U26" s="84"/>
      <c r="V26" s="84"/>
      <c r="W26" s="84"/>
      <c r="X26" s="84"/>
      <c r="Y26" s="87">
        <v>1062552789</v>
      </c>
      <c r="Z26" s="115">
        <f>IF(Y26="","-",VLOOKUP(Y26,'CERT. COR'!$A$4:$E$2200,3,0))</f>
        <v>45764</v>
      </c>
      <c r="AA26" s="117">
        <f>IF(Y26="","-",VLOOKUP(Y26,'CERT. COR'!$A$4:$E$2200,2,0))</f>
        <v>82245</v>
      </c>
      <c r="AB26" s="87"/>
      <c r="AC26" s="115" t="str">
        <f>IF(AB26="","-",VLOOKUP(AB26,'CERT. COR'!$A$4:$E$2200,3,0))</f>
        <v>-</v>
      </c>
      <c r="AD26" s="117" t="str">
        <f>IF(AB26="","-",VLOOKUP(AB26,'CERT. COR'!$A$4:$E$2200,2,0))</f>
        <v>-</v>
      </c>
      <c r="AE26" s="116">
        <f>IF(Y26="","-",VLOOKUP(Y26,'CERT. COR'!$A$4:$E$2200,5,0))</f>
        <v>100</v>
      </c>
      <c r="AF26" s="116">
        <f>IF(Y26="","-",VLOOKUP(Y26,'CERT. COR'!$A$4:$E$2200,4,0))</f>
        <v>199.9</v>
      </c>
      <c r="AG26" s="116" t="str">
        <f>IF(AB26="","-",VLOOKUP(AB26,'CERT. COR'!$A$4:$E$2200,5,0))</f>
        <v>-</v>
      </c>
      <c r="AH26" s="120" t="str">
        <f>IF(AB26="","-",VLOOKUP(AB26,'CERT. COR'!$A$4:$E$2200,4,0))</f>
        <v>-</v>
      </c>
      <c r="AI26" s="87" t="str">
        <f t="shared" si="0"/>
        <v>PN</v>
      </c>
      <c r="AJ26" s="121">
        <f t="shared" si="1"/>
        <v>5532</v>
      </c>
      <c r="AK26" s="84">
        <f t="shared" si="2"/>
        <v>0</v>
      </c>
    </row>
    <row r="27" spans="1:37" x14ac:dyDescent="0.25">
      <c r="A27" s="82">
        <f>'plan de data'!A27</f>
        <v>25</v>
      </c>
      <c r="B27" s="89">
        <f>'plan de data'!B27</f>
        <v>45783</v>
      </c>
      <c r="C27" s="84">
        <v>346</v>
      </c>
      <c r="D27" s="84">
        <v>344</v>
      </c>
      <c r="E27" s="84">
        <v>345</v>
      </c>
      <c r="F27" s="84">
        <v>344</v>
      </c>
      <c r="G27" s="84">
        <v>348</v>
      </c>
      <c r="H27" s="84">
        <v>346</v>
      </c>
      <c r="I27" s="84">
        <v>346</v>
      </c>
      <c r="J27" s="84">
        <v>346</v>
      </c>
      <c r="K27" s="84">
        <v>346</v>
      </c>
      <c r="L27" s="84">
        <v>346</v>
      </c>
      <c r="M27" s="84">
        <v>345</v>
      </c>
      <c r="N27" s="84">
        <v>345</v>
      </c>
      <c r="O27" s="84">
        <v>346</v>
      </c>
      <c r="P27" s="84">
        <v>346</v>
      </c>
      <c r="Q27" s="84">
        <v>346</v>
      </c>
      <c r="R27" s="84">
        <v>347</v>
      </c>
      <c r="S27" s="84"/>
      <c r="T27" s="84"/>
      <c r="U27" s="84"/>
      <c r="V27" s="84"/>
      <c r="W27" s="84"/>
      <c r="X27" s="84"/>
      <c r="Y27" s="87">
        <v>1062279616</v>
      </c>
      <c r="Z27" s="115">
        <f>IF(Y27="","-",VLOOKUP(Y27,'CERT. COR'!$A$4:$E$2200,3,0))</f>
        <v>45716</v>
      </c>
      <c r="AA27" s="117">
        <f>IF(Y27="","-",VLOOKUP(Y27,'CERT. COR'!$A$4:$E$2200,2,0))</f>
        <v>81795</v>
      </c>
      <c r="AB27" s="87"/>
      <c r="AC27" s="115" t="str">
        <f>IF(AB27="","-",VLOOKUP(AB27,'CERT. COR'!$A$4:$E$2200,3,0))</f>
        <v>-</v>
      </c>
      <c r="AD27" s="117" t="str">
        <f>IF(AB27="","-",VLOOKUP(AB27,'CERT. COR'!$A$4:$E$2200,2,0))</f>
        <v>-</v>
      </c>
      <c r="AE27" s="116">
        <f>IF(Y27="","-",VLOOKUP(Y27,'CERT. COR'!$A$4:$E$2200,5,0))</f>
        <v>99.9</v>
      </c>
      <c r="AF27" s="116">
        <f>IF(Y27="","-",VLOOKUP(Y27,'CERT. COR'!$A$4:$E$2200,4,0))</f>
        <v>200.9</v>
      </c>
      <c r="AG27" s="116" t="str">
        <f>IF(AB27="","-",VLOOKUP(AB27,'CERT. COR'!$A$4:$E$2200,5,0))</f>
        <v>-</v>
      </c>
      <c r="AH27" s="120" t="str">
        <f>IF(AB27="","-",VLOOKUP(AB27,'CERT. COR'!$A$4:$E$2200,4,0))</f>
        <v>-</v>
      </c>
      <c r="AI27" s="87" t="str">
        <f t="shared" si="0"/>
        <v>PN</v>
      </c>
      <c r="AJ27" s="121">
        <f t="shared" si="1"/>
        <v>5532</v>
      </c>
      <c r="AK27" s="84">
        <f t="shared" si="2"/>
        <v>0</v>
      </c>
    </row>
    <row r="28" spans="1:37" x14ac:dyDescent="0.25">
      <c r="A28" s="82">
        <f>'plan de data'!A28</f>
        <v>26</v>
      </c>
      <c r="B28" s="89">
        <f>'plan de data'!B28</f>
        <v>45785</v>
      </c>
      <c r="C28" s="84">
        <v>348</v>
      </c>
      <c r="D28" s="84">
        <v>344</v>
      </c>
      <c r="E28" s="84">
        <v>345</v>
      </c>
      <c r="F28" s="84">
        <v>345</v>
      </c>
      <c r="G28" s="84">
        <v>345</v>
      </c>
      <c r="H28" s="84">
        <v>347</v>
      </c>
      <c r="I28" s="84">
        <v>345</v>
      </c>
      <c r="J28" s="84">
        <v>345</v>
      </c>
      <c r="K28" s="84">
        <v>346</v>
      </c>
      <c r="L28" s="84">
        <v>346</v>
      </c>
      <c r="M28" s="84">
        <v>348</v>
      </c>
      <c r="N28" s="84">
        <v>346</v>
      </c>
      <c r="O28" s="84">
        <v>346</v>
      </c>
      <c r="P28" s="84">
        <v>348</v>
      </c>
      <c r="Q28" s="84">
        <v>349</v>
      </c>
      <c r="R28" s="84">
        <v>346</v>
      </c>
      <c r="S28" s="84"/>
      <c r="T28" s="84"/>
      <c r="U28" s="84"/>
      <c r="V28" s="84"/>
      <c r="W28" s="84"/>
      <c r="X28" s="84"/>
      <c r="Y28" s="87">
        <v>1062552789</v>
      </c>
      <c r="Z28" s="115">
        <f>IF(Y28="","-",VLOOKUP(Y28,'CERT. COR'!$A$4:$E$2200,3,0))</f>
        <v>45764</v>
      </c>
      <c r="AA28" s="117">
        <f>IF(Y28="","-",VLOOKUP(Y28,'CERT. COR'!$A$4:$E$2200,2,0))</f>
        <v>82245</v>
      </c>
      <c r="AB28" s="110">
        <v>1062630742</v>
      </c>
      <c r="AC28" s="115">
        <f>IF(AB28="","-",VLOOKUP(AB28,'CERT. COR'!$A$4:$E$2200,3,0))</f>
        <v>45764</v>
      </c>
      <c r="AD28" s="117">
        <f>IF(AB28="","-",VLOOKUP(AB28,'CERT. COR'!$A$4:$E$2200,2,0))</f>
        <v>82245</v>
      </c>
      <c r="AE28" s="116">
        <f>IF(Y28="","-",VLOOKUP(Y28,'CERT. COR'!$A$4:$E$2200,5,0))</f>
        <v>100</v>
      </c>
      <c r="AF28" s="116">
        <f>IF(Y28="","-",VLOOKUP(Y28,'CERT. COR'!$A$4:$E$2200,4,0))</f>
        <v>199.9</v>
      </c>
      <c r="AG28" s="116">
        <f>IF(AB28="","-",VLOOKUP(AB28,'CERT. COR'!$A$4:$E$2200,5,0))</f>
        <v>99.8</v>
      </c>
      <c r="AH28" s="120">
        <f>IF(AB28="","-",VLOOKUP(AB28,'CERT. COR'!$A$4:$E$2200,4,0))</f>
        <v>200.5</v>
      </c>
      <c r="AI28" s="87" t="str">
        <f t="shared" si="0"/>
        <v>PN</v>
      </c>
      <c r="AJ28" s="121">
        <f t="shared" si="1"/>
        <v>5539</v>
      </c>
      <c r="AK28" s="84">
        <f t="shared" si="2"/>
        <v>0</v>
      </c>
    </row>
    <row r="29" spans="1:37" x14ac:dyDescent="0.25">
      <c r="A29" s="82">
        <f>'plan de data'!A29</f>
        <v>27</v>
      </c>
      <c r="B29" s="89">
        <f>'plan de data'!B29</f>
        <v>45786</v>
      </c>
      <c r="C29" s="84">
        <v>342</v>
      </c>
      <c r="D29" s="84">
        <v>342</v>
      </c>
      <c r="E29" s="84">
        <v>346</v>
      </c>
      <c r="F29" s="84">
        <v>342</v>
      </c>
      <c r="G29" s="84">
        <v>345</v>
      </c>
      <c r="H29" s="84">
        <v>345</v>
      </c>
      <c r="I29" s="84">
        <v>347</v>
      </c>
      <c r="J29" s="84">
        <v>342</v>
      </c>
      <c r="K29" s="84">
        <v>342</v>
      </c>
      <c r="L29" s="84">
        <v>341</v>
      </c>
      <c r="M29" s="84">
        <v>341</v>
      </c>
      <c r="N29" s="84">
        <v>342</v>
      </c>
      <c r="O29" s="84">
        <v>345</v>
      </c>
      <c r="P29" s="84">
        <v>345</v>
      </c>
      <c r="Q29" s="84">
        <v>344</v>
      </c>
      <c r="R29" s="84">
        <v>345</v>
      </c>
      <c r="S29" s="84"/>
      <c r="T29" s="84"/>
      <c r="U29" s="84"/>
      <c r="V29" s="84"/>
      <c r="W29" s="84"/>
      <c r="X29" s="84"/>
      <c r="Y29" s="87">
        <v>1062279616</v>
      </c>
      <c r="Z29" s="115">
        <f>IF(Y29="","-",VLOOKUP(Y29,'CERT. COR'!$A$4:$E$2200,3,0))</f>
        <v>45716</v>
      </c>
      <c r="AA29" s="117">
        <f>IF(Y29="","-",VLOOKUP(Y29,'CERT. COR'!$A$4:$E$2200,2,0))</f>
        <v>81795</v>
      </c>
      <c r="AB29" s="87"/>
      <c r="AC29" s="115" t="str">
        <f>IF(AB29="","-",VLOOKUP(AB29,'CERT. COR'!$A$4:$E$2200,3,0))</f>
        <v>-</v>
      </c>
      <c r="AD29" s="117" t="str">
        <f>IF(AB29="","-",VLOOKUP(AB29,'CERT. COR'!$A$4:$E$2200,2,0))</f>
        <v>-</v>
      </c>
      <c r="AE29" s="116">
        <f>IF(Y29="","-",VLOOKUP(Y29,'CERT. COR'!$A$4:$E$2200,5,0))</f>
        <v>99.9</v>
      </c>
      <c r="AF29" s="116">
        <f>IF(Y29="","-",VLOOKUP(Y29,'CERT. COR'!$A$4:$E$2200,4,0))</f>
        <v>200.9</v>
      </c>
      <c r="AG29" s="116" t="str">
        <f>IF(AB29="","-",VLOOKUP(AB29,'CERT. COR'!$A$4:$E$2200,5,0))</f>
        <v>-</v>
      </c>
      <c r="AH29" s="120" t="str">
        <f>IF(AB29="","-",VLOOKUP(AB29,'CERT. COR'!$A$4:$E$2200,4,0))</f>
        <v>-</v>
      </c>
      <c r="AI29" s="87" t="str">
        <f t="shared" si="0"/>
        <v>PN</v>
      </c>
      <c r="AJ29" s="121">
        <f t="shared" si="1"/>
        <v>5496</v>
      </c>
      <c r="AK29" s="84">
        <f t="shared" si="2"/>
        <v>0</v>
      </c>
    </row>
    <row r="30" spans="1:37" x14ac:dyDescent="0.25">
      <c r="A30" s="82">
        <f>'plan de data'!A30</f>
        <v>28</v>
      </c>
      <c r="B30" s="89">
        <f>'plan de data'!B30</f>
        <v>45789</v>
      </c>
      <c r="C30" s="84">
        <v>344</v>
      </c>
      <c r="D30" s="84">
        <v>341</v>
      </c>
      <c r="E30" s="84">
        <v>343</v>
      </c>
      <c r="F30" s="84">
        <v>343</v>
      </c>
      <c r="G30" s="84">
        <v>343</v>
      </c>
      <c r="H30" s="84">
        <v>345</v>
      </c>
      <c r="I30" s="84">
        <v>343</v>
      </c>
      <c r="J30" s="84">
        <v>345</v>
      </c>
      <c r="K30" s="84">
        <v>345</v>
      </c>
      <c r="L30" s="84">
        <v>344</v>
      </c>
      <c r="M30" s="84">
        <v>345</v>
      </c>
      <c r="N30" s="84">
        <v>343</v>
      </c>
      <c r="O30" s="84">
        <v>346</v>
      </c>
      <c r="P30" s="84">
        <v>350</v>
      </c>
      <c r="Q30" s="84">
        <v>346</v>
      </c>
      <c r="R30" s="84">
        <v>345</v>
      </c>
      <c r="S30" s="84"/>
      <c r="T30" s="84"/>
      <c r="U30" s="84"/>
      <c r="V30" s="84"/>
      <c r="W30" s="84"/>
      <c r="X30" s="84"/>
      <c r="Y30" s="87">
        <v>1062630742</v>
      </c>
      <c r="Z30" s="115">
        <f>IF(Y30="","-",VLOOKUP(Y30,'CERT. COR'!$A$4:$E$2200,3,0))</f>
        <v>45764</v>
      </c>
      <c r="AA30" s="117">
        <f>IF(Y30="","-",VLOOKUP(Y30,'CERT. COR'!$A$4:$E$2200,2,0))</f>
        <v>82245</v>
      </c>
      <c r="AB30" s="87"/>
      <c r="AC30" s="115" t="str">
        <f>IF(AB30="","-",VLOOKUP(AB30,'CERT. COR'!$A$4:$E$2200,3,0))</f>
        <v>-</v>
      </c>
      <c r="AD30" s="117" t="str">
        <f>IF(AB30="","-",VLOOKUP(AB30,'CERT. COR'!$A$4:$E$2200,2,0))</f>
        <v>-</v>
      </c>
      <c r="AE30" s="116">
        <f>IF(Y30="","-",VLOOKUP(Y30,'CERT. COR'!$A$4:$E$2200,5,0))</f>
        <v>99.8</v>
      </c>
      <c r="AF30" s="116">
        <f>IF(Y30="","-",VLOOKUP(Y30,'CERT. COR'!$A$4:$E$2200,4,0))</f>
        <v>200.5</v>
      </c>
      <c r="AG30" s="116" t="str">
        <f>IF(AB30="","-",VLOOKUP(AB30,'CERT. COR'!$A$4:$E$2200,5,0))</f>
        <v>-</v>
      </c>
      <c r="AH30" s="120" t="str">
        <f>IF(AB30="","-",VLOOKUP(AB30,'CERT. COR'!$A$4:$E$2200,4,0))</f>
        <v>-</v>
      </c>
      <c r="AI30" s="87" t="str">
        <f t="shared" si="0"/>
        <v>PN</v>
      </c>
      <c r="AJ30" s="121">
        <f t="shared" si="1"/>
        <v>5511</v>
      </c>
      <c r="AK30" s="84">
        <f t="shared" si="2"/>
        <v>0</v>
      </c>
    </row>
    <row r="31" spans="1:37" x14ac:dyDescent="0.25">
      <c r="A31" s="82">
        <f>'plan de data'!A31</f>
        <v>29</v>
      </c>
      <c r="B31" s="89">
        <f>'plan de data'!B31</f>
        <v>45796</v>
      </c>
      <c r="C31" s="84">
        <v>114</v>
      </c>
      <c r="D31" s="84">
        <v>114</v>
      </c>
      <c r="E31" s="84">
        <v>113</v>
      </c>
      <c r="F31" s="84">
        <v>113</v>
      </c>
      <c r="G31" s="84">
        <v>116</v>
      </c>
      <c r="H31" s="84">
        <v>116</v>
      </c>
      <c r="I31" s="84">
        <v>115</v>
      </c>
      <c r="J31" s="84">
        <v>113</v>
      </c>
      <c r="K31" s="84">
        <v>115</v>
      </c>
      <c r="L31" s="84">
        <v>115</v>
      </c>
      <c r="M31" s="84">
        <v>117</v>
      </c>
      <c r="N31" s="84">
        <v>119</v>
      </c>
      <c r="O31" s="84">
        <v>116</v>
      </c>
      <c r="P31" s="84">
        <v>117</v>
      </c>
      <c r="Q31" s="84">
        <v>119</v>
      </c>
      <c r="R31" s="84">
        <v>118</v>
      </c>
      <c r="S31" s="84">
        <v>115</v>
      </c>
      <c r="T31" s="84">
        <v>115</v>
      </c>
      <c r="U31" s="84"/>
      <c r="V31" s="84"/>
      <c r="W31" s="84"/>
      <c r="X31" s="84"/>
      <c r="Y31" s="87">
        <v>1062279616</v>
      </c>
      <c r="Z31" s="115">
        <f>IF(Y31="","-",VLOOKUP(Y31,'CERT. COR'!$A$4:$E$2200,3,0))</f>
        <v>45716</v>
      </c>
      <c r="AA31" s="117">
        <f>IF(Y31="","-",VLOOKUP(Y31,'CERT. COR'!$A$4:$E$2200,2,0))</f>
        <v>81795</v>
      </c>
      <c r="AB31" s="87"/>
      <c r="AC31" s="115" t="str">
        <f>IF(AB31="","-",VLOOKUP(AB31,'CERT. COR'!$A$4:$E$2200,3,0))</f>
        <v>-</v>
      </c>
      <c r="AD31" s="117" t="str">
        <f>IF(AB31="","-",VLOOKUP(AB31,'CERT. COR'!$A$4:$E$2200,2,0))</f>
        <v>-</v>
      </c>
      <c r="AE31" s="116">
        <f>IF(Y31="","-",VLOOKUP(Y31,'CERT. COR'!$A$4:$E$2200,5,0))</f>
        <v>99.9</v>
      </c>
      <c r="AF31" s="116">
        <f>IF(Y31="","-",VLOOKUP(Y31,'CERT. COR'!$A$4:$E$2200,4,0))</f>
        <v>200.9</v>
      </c>
      <c r="AG31" s="116" t="str">
        <f>IF(AB31="","-",VLOOKUP(AB31,'CERT. COR'!$A$4:$E$2200,5,0))</f>
        <v>-</v>
      </c>
      <c r="AH31" s="120" t="str">
        <f>IF(AB31="","-",VLOOKUP(AB31,'CERT. COR'!$A$4:$E$2200,4,0))</f>
        <v>-</v>
      </c>
      <c r="AI31" s="87" t="str">
        <f t="shared" si="0"/>
        <v>PF</v>
      </c>
      <c r="AJ31" s="121">
        <f t="shared" si="1"/>
        <v>0</v>
      </c>
      <c r="AK31" s="84">
        <f t="shared" si="2"/>
        <v>2080</v>
      </c>
    </row>
    <row r="32" spans="1:37" x14ac:dyDescent="0.25">
      <c r="A32" s="82">
        <f>'plan de data'!A32</f>
        <v>30</v>
      </c>
      <c r="B32" s="89">
        <f>'plan de data'!B32</f>
        <v>45800</v>
      </c>
      <c r="C32" s="84">
        <v>114</v>
      </c>
      <c r="D32" s="84">
        <v>115</v>
      </c>
      <c r="E32" s="84">
        <v>113</v>
      </c>
      <c r="F32" s="84">
        <v>113</v>
      </c>
      <c r="G32" s="84">
        <v>113</v>
      </c>
      <c r="H32" s="84">
        <v>115</v>
      </c>
      <c r="I32" s="84">
        <v>114</v>
      </c>
      <c r="J32" s="84">
        <v>115</v>
      </c>
      <c r="K32" s="84">
        <v>115</v>
      </c>
      <c r="L32" s="84">
        <v>115</v>
      </c>
      <c r="M32" s="84">
        <v>115</v>
      </c>
      <c r="N32" s="84">
        <v>115</v>
      </c>
      <c r="O32" s="84">
        <v>116</v>
      </c>
      <c r="P32" s="84">
        <v>117</v>
      </c>
      <c r="Q32" s="84">
        <v>116</v>
      </c>
      <c r="R32" s="84">
        <v>116</v>
      </c>
      <c r="S32" s="84">
        <v>117</v>
      </c>
      <c r="T32" s="84">
        <v>117</v>
      </c>
      <c r="U32" s="84"/>
      <c r="V32" s="84"/>
      <c r="W32" s="84"/>
      <c r="X32" s="84"/>
      <c r="Y32" s="87">
        <v>1062630742</v>
      </c>
      <c r="Z32" s="115">
        <f>IF(Y32="","-",VLOOKUP(Y32,'CERT. COR'!$A$4:$E$2200,3,0))</f>
        <v>45764</v>
      </c>
      <c r="AA32" s="117">
        <f>IF(Y32="","-",VLOOKUP(Y32,'CERT. COR'!$A$4:$E$2200,2,0))</f>
        <v>82245</v>
      </c>
      <c r="AB32" s="87"/>
      <c r="AC32" s="115" t="str">
        <f>IF(AB32="","-",VLOOKUP(AB32,'CERT. COR'!$A$4:$E$2200,3,0))</f>
        <v>-</v>
      </c>
      <c r="AD32" s="117" t="str">
        <f>IF(AB32="","-",VLOOKUP(AB32,'CERT. COR'!$A$4:$E$2200,2,0))</f>
        <v>-</v>
      </c>
      <c r="AE32" s="116">
        <f>IF(Y32="","-",VLOOKUP(Y32,'CERT. COR'!$A$4:$E$2200,5,0))</f>
        <v>99.8</v>
      </c>
      <c r="AF32" s="116">
        <f>IF(Y32="","-",VLOOKUP(Y32,'CERT. COR'!$A$4:$E$2200,4,0))</f>
        <v>200.5</v>
      </c>
      <c r="AG32" s="116" t="str">
        <f>IF(AB32="","-",VLOOKUP(AB32,'CERT. COR'!$A$4:$E$2200,5,0))</f>
        <v>-</v>
      </c>
      <c r="AH32" s="120" t="str">
        <f>IF(AB32="","-",VLOOKUP(AB32,'CERT. COR'!$A$4:$E$2200,4,0))</f>
        <v>-</v>
      </c>
      <c r="AI32" s="87" t="str">
        <f t="shared" si="0"/>
        <v>PF</v>
      </c>
      <c r="AJ32" s="121">
        <f t="shared" si="1"/>
        <v>0</v>
      </c>
      <c r="AK32" s="84">
        <f t="shared" si="2"/>
        <v>2071</v>
      </c>
    </row>
    <row r="33" spans="1:37" x14ac:dyDescent="0.25">
      <c r="A33" s="82">
        <f>'plan de data'!A33</f>
        <v>31</v>
      </c>
      <c r="B33" s="89">
        <f>'plan de data'!B33</f>
        <v>45806</v>
      </c>
      <c r="C33" s="84">
        <v>348</v>
      </c>
      <c r="D33" s="84">
        <v>349</v>
      </c>
      <c r="E33" s="84">
        <v>345</v>
      </c>
      <c r="F33" s="84">
        <v>344</v>
      </c>
      <c r="G33" s="84">
        <v>349</v>
      </c>
      <c r="H33" s="84">
        <v>350</v>
      </c>
      <c r="I33" s="84">
        <v>343</v>
      </c>
      <c r="J33" s="84">
        <v>343</v>
      </c>
      <c r="K33" s="84">
        <v>345</v>
      </c>
      <c r="L33" s="84">
        <v>345</v>
      </c>
      <c r="M33" s="84">
        <v>345</v>
      </c>
      <c r="N33" s="84">
        <v>346</v>
      </c>
      <c r="O33" s="84">
        <v>348</v>
      </c>
      <c r="P33" s="84">
        <v>350</v>
      </c>
      <c r="Q33" s="84">
        <v>347</v>
      </c>
      <c r="R33" s="84">
        <v>346</v>
      </c>
      <c r="S33" s="84"/>
      <c r="T33" s="84"/>
      <c r="U33" s="84"/>
      <c r="V33" s="84"/>
      <c r="W33" s="84"/>
      <c r="X33" s="84"/>
      <c r="Y33" s="87">
        <v>1062153482</v>
      </c>
      <c r="Z33" s="115">
        <f>IF(Y33="","-",VLOOKUP(Y33,'CERT. COR'!$A$4:$E$2200,3,0))</f>
        <v>45716</v>
      </c>
      <c r="AA33" s="117">
        <f>IF(Y33="","-",VLOOKUP(Y33,'CERT. COR'!$A$4:$E$2200,2,0))</f>
        <v>81795</v>
      </c>
      <c r="AB33" s="87"/>
      <c r="AC33" s="115" t="str">
        <f>IF(AB33="","-",VLOOKUP(AB33,'CERT. COR'!$A$4:$E$2200,3,0))</f>
        <v>-</v>
      </c>
      <c r="AD33" s="117" t="str">
        <f>IF(AB33="","-",VLOOKUP(AB33,'CERT. COR'!$A$4:$E$2200,2,0))</f>
        <v>-</v>
      </c>
      <c r="AE33" s="116">
        <f>IF(Y33="","-",VLOOKUP(Y33,'CERT. COR'!$A$4:$E$2200,5,0))</f>
        <v>99.7</v>
      </c>
      <c r="AF33" s="116">
        <f>IF(Y33="","-",VLOOKUP(Y33,'CERT. COR'!$A$4:$E$2200,4,0))</f>
        <v>198.7</v>
      </c>
      <c r="AG33" s="116" t="str">
        <f>IF(AB33="","-",VLOOKUP(AB33,'CERT. COR'!$A$4:$E$2200,5,0))</f>
        <v>-</v>
      </c>
      <c r="AH33" s="120" t="str">
        <f>IF(AB33="","-",VLOOKUP(AB33,'CERT. COR'!$A$4:$E$2200,4,0))</f>
        <v>-</v>
      </c>
      <c r="AI33" s="87" t="str">
        <f t="shared" si="0"/>
        <v>PN</v>
      </c>
      <c r="AJ33" s="121">
        <f t="shared" si="1"/>
        <v>5543</v>
      </c>
      <c r="AK33" s="84">
        <f t="shared" si="2"/>
        <v>0</v>
      </c>
    </row>
    <row r="34" spans="1:37" x14ac:dyDescent="0.25">
      <c r="A34" s="82">
        <f>'plan de data'!A34</f>
        <v>32</v>
      </c>
      <c r="B34" s="89">
        <f>'plan de data'!B34</f>
        <v>45812</v>
      </c>
      <c r="C34" s="84">
        <v>352</v>
      </c>
      <c r="D34" s="84">
        <v>345</v>
      </c>
      <c r="E34" s="84">
        <v>344</v>
      </c>
      <c r="F34" s="84">
        <v>344</v>
      </c>
      <c r="G34" s="84">
        <v>344</v>
      </c>
      <c r="H34" s="84">
        <v>346</v>
      </c>
      <c r="I34" s="84">
        <v>344</v>
      </c>
      <c r="J34" s="84">
        <v>340</v>
      </c>
      <c r="K34" s="84">
        <v>346</v>
      </c>
      <c r="L34" s="84">
        <v>344</v>
      </c>
      <c r="M34" s="84">
        <v>343</v>
      </c>
      <c r="N34" s="84">
        <v>344</v>
      </c>
      <c r="O34" s="84">
        <v>350</v>
      </c>
      <c r="P34" s="84">
        <v>347</v>
      </c>
      <c r="Q34" s="84">
        <v>346</v>
      </c>
      <c r="R34" s="84">
        <v>345</v>
      </c>
      <c r="S34" s="84"/>
      <c r="T34" s="84"/>
      <c r="U34" s="84"/>
      <c r="V34" s="84"/>
      <c r="W34" s="84"/>
      <c r="X34" s="84"/>
      <c r="Y34" s="87">
        <v>1062153482</v>
      </c>
      <c r="Z34" s="115">
        <f>IF(Y34="","-",VLOOKUP(Y34,'CERT. COR'!$A$4:$E$2200,3,0))</f>
        <v>45716</v>
      </c>
      <c r="AA34" s="117">
        <f>IF(Y34="","-",VLOOKUP(Y34,'CERT. COR'!$A$4:$E$2200,2,0))</f>
        <v>81795</v>
      </c>
      <c r="AB34" s="87"/>
      <c r="AC34" s="115" t="str">
        <f>IF(AB34="","-",VLOOKUP(AB34,'CERT. COR'!$A$4:$E$2200,3,0))</f>
        <v>-</v>
      </c>
      <c r="AD34" s="117" t="str">
        <f>IF(AB34="","-",VLOOKUP(AB34,'CERT. COR'!$A$4:$E$2200,2,0))</f>
        <v>-</v>
      </c>
      <c r="AE34" s="116">
        <f>IF(Y34="","-",VLOOKUP(Y34,'CERT. COR'!$A$4:$E$2200,5,0))</f>
        <v>99.7</v>
      </c>
      <c r="AF34" s="116">
        <f>IF(Y34="","-",VLOOKUP(Y34,'CERT. COR'!$A$4:$E$2200,4,0))</f>
        <v>198.7</v>
      </c>
      <c r="AG34" s="116" t="str">
        <f>IF(AB34="","-",VLOOKUP(AB34,'CERT. COR'!$A$4:$E$2200,5,0))</f>
        <v>-</v>
      </c>
      <c r="AH34" s="120" t="str">
        <f>IF(AB34="","-",VLOOKUP(AB34,'CERT. COR'!$A$4:$E$2200,4,0))</f>
        <v>-</v>
      </c>
      <c r="AI34" s="87" t="str">
        <f t="shared" si="0"/>
        <v>PN</v>
      </c>
      <c r="AJ34" s="121">
        <f t="shared" si="1"/>
        <v>5524</v>
      </c>
      <c r="AK34" s="84">
        <f t="shared" si="2"/>
        <v>0</v>
      </c>
    </row>
    <row r="35" spans="1:37" x14ac:dyDescent="0.25">
      <c r="A35" s="82">
        <f>'plan de data'!A35</f>
        <v>33</v>
      </c>
      <c r="B35" s="89">
        <f>'plan de data'!B35</f>
        <v>45814</v>
      </c>
      <c r="C35" s="84">
        <v>116</v>
      </c>
      <c r="D35" s="84">
        <v>117</v>
      </c>
      <c r="E35" s="84">
        <v>115</v>
      </c>
      <c r="F35" s="84">
        <v>114</v>
      </c>
      <c r="G35" s="84">
        <v>115</v>
      </c>
      <c r="H35" s="84">
        <v>114</v>
      </c>
      <c r="I35" s="84">
        <v>116</v>
      </c>
      <c r="J35" s="84">
        <v>116</v>
      </c>
      <c r="K35" s="84">
        <v>116</v>
      </c>
      <c r="L35" s="84">
        <v>115</v>
      </c>
      <c r="M35" s="84">
        <v>115</v>
      </c>
      <c r="N35" s="84">
        <v>115</v>
      </c>
      <c r="O35" s="84">
        <v>116</v>
      </c>
      <c r="P35" s="84">
        <v>117</v>
      </c>
      <c r="Q35" s="84">
        <v>115</v>
      </c>
      <c r="R35" s="84">
        <v>116</v>
      </c>
      <c r="S35" s="84">
        <v>117</v>
      </c>
      <c r="T35" s="84">
        <v>117</v>
      </c>
      <c r="U35" s="84"/>
      <c r="V35" s="84"/>
      <c r="W35" s="84"/>
      <c r="X35" s="84"/>
      <c r="Y35" s="87">
        <v>1062630742</v>
      </c>
      <c r="Z35" s="115">
        <f>IF(Y35="","-",VLOOKUP(Y35,'CERT. COR'!$A$4:$E$2200,3,0))</f>
        <v>45764</v>
      </c>
      <c r="AA35" s="117">
        <f>IF(Y35="","-",VLOOKUP(Y35,'CERT. COR'!$A$4:$E$2200,2,0))</f>
        <v>82245</v>
      </c>
      <c r="AB35" s="87"/>
      <c r="AC35" s="115" t="str">
        <f>IF(AB35="","-",VLOOKUP(AB35,'CERT. COR'!$A$4:$E$2200,3,0))</f>
        <v>-</v>
      </c>
      <c r="AD35" s="117" t="str">
        <f>IF(AB35="","-",VLOOKUP(AB35,'CERT. COR'!$A$4:$E$2200,2,0))</f>
        <v>-</v>
      </c>
      <c r="AE35" s="116">
        <f>IF(Y35="","-",VLOOKUP(Y35,'CERT. COR'!$A$4:$E$2200,5,0))</f>
        <v>99.8</v>
      </c>
      <c r="AF35" s="116">
        <f>IF(Y35="","-",VLOOKUP(Y35,'CERT. COR'!$A$4:$E$2200,4,0))</f>
        <v>200.5</v>
      </c>
      <c r="AG35" s="116" t="str">
        <f>IF(AB35="","-",VLOOKUP(AB35,'CERT. COR'!$A$4:$E$2200,5,0))</f>
        <v>-</v>
      </c>
      <c r="AH35" s="120" t="str">
        <f>IF(AB35="","-",VLOOKUP(AB35,'CERT. COR'!$A$4:$E$2200,4,0))</f>
        <v>-</v>
      </c>
      <c r="AI35" s="87" t="str">
        <f t="shared" si="0"/>
        <v>PF</v>
      </c>
      <c r="AJ35" s="121">
        <f t="shared" si="1"/>
        <v>0</v>
      </c>
      <c r="AK35" s="84">
        <f t="shared" si="2"/>
        <v>2082</v>
      </c>
    </row>
    <row r="36" spans="1:37" x14ac:dyDescent="0.25">
      <c r="A36" s="82">
        <f>'plan de data'!A36</f>
        <v>34</v>
      </c>
      <c r="B36" s="89">
        <f>'plan de data'!B36</f>
        <v>45818</v>
      </c>
      <c r="C36" s="84">
        <v>345</v>
      </c>
      <c r="D36" s="84">
        <v>341</v>
      </c>
      <c r="E36" s="84">
        <v>342</v>
      </c>
      <c r="F36" s="84">
        <v>341</v>
      </c>
      <c r="G36" s="84">
        <v>344</v>
      </c>
      <c r="H36" s="84">
        <v>343</v>
      </c>
      <c r="I36" s="84">
        <v>339</v>
      </c>
      <c r="J36" s="84">
        <v>341</v>
      </c>
      <c r="K36" s="84">
        <v>342</v>
      </c>
      <c r="L36" s="84">
        <v>342</v>
      </c>
      <c r="M36" s="84">
        <v>342</v>
      </c>
      <c r="N36" s="84">
        <v>341</v>
      </c>
      <c r="O36" s="84">
        <v>343</v>
      </c>
      <c r="P36" s="84">
        <v>344</v>
      </c>
      <c r="Q36" s="84">
        <v>343</v>
      </c>
      <c r="R36" s="84">
        <v>344</v>
      </c>
      <c r="S36" s="84"/>
      <c r="T36" s="84"/>
      <c r="U36" s="84"/>
      <c r="V36" s="84"/>
      <c r="W36" s="84"/>
      <c r="X36" s="84"/>
      <c r="Y36" s="87">
        <v>1062153482</v>
      </c>
      <c r="Z36" s="115">
        <f>IF(Y36="","-",VLOOKUP(Y36,'CERT. COR'!$A$4:$E$2200,3,0))</f>
        <v>45716</v>
      </c>
      <c r="AA36" s="117">
        <f>IF(Y36="","-",VLOOKUP(Y36,'CERT. COR'!$A$4:$E$2200,2,0))</f>
        <v>81795</v>
      </c>
      <c r="AB36" s="87"/>
      <c r="AC36" s="115" t="str">
        <f>IF(AB36="","-",VLOOKUP(AB36,'CERT. COR'!$A$4:$E$2200,3,0))</f>
        <v>-</v>
      </c>
      <c r="AD36" s="117" t="str">
        <f>IF(AB36="","-",VLOOKUP(AB36,'CERT. COR'!$A$4:$E$2200,2,0))</f>
        <v>-</v>
      </c>
      <c r="AE36" s="116">
        <f>IF(Y36="","-",VLOOKUP(Y36,'CERT. COR'!$A$4:$E$2200,5,0))</f>
        <v>99.7</v>
      </c>
      <c r="AF36" s="116">
        <f>IF(Y36="","-",VLOOKUP(Y36,'CERT. COR'!$A$4:$E$2200,4,0))</f>
        <v>198.7</v>
      </c>
      <c r="AG36" s="116" t="str">
        <f>IF(AB36="","-",VLOOKUP(AB36,'CERT. COR'!$A$4:$E$2200,5,0))</f>
        <v>-</v>
      </c>
      <c r="AH36" s="120" t="str">
        <f>IF(AB36="","-",VLOOKUP(AB36,'CERT. COR'!$A$4:$E$2200,4,0))</f>
        <v>-</v>
      </c>
      <c r="AI36" s="87" t="str">
        <f t="shared" si="0"/>
        <v>PN</v>
      </c>
      <c r="AJ36" s="121">
        <f t="shared" si="1"/>
        <v>5477</v>
      </c>
      <c r="AK36" s="84">
        <f t="shared" si="2"/>
        <v>0</v>
      </c>
    </row>
    <row r="37" spans="1:37" x14ac:dyDescent="0.25">
      <c r="A37" s="82">
        <f>'plan de data'!A37</f>
        <v>35</v>
      </c>
      <c r="B37" s="89">
        <f>'plan de data'!B37</f>
        <v>45822</v>
      </c>
      <c r="C37" s="84">
        <v>342</v>
      </c>
      <c r="D37" s="84">
        <v>341</v>
      </c>
      <c r="E37" s="84">
        <v>344</v>
      </c>
      <c r="F37" s="84">
        <v>345</v>
      </c>
      <c r="G37" s="84">
        <v>341</v>
      </c>
      <c r="H37" s="84">
        <v>346</v>
      </c>
      <c r="I37" s="84">
        <v>343</v>
      </c>
      <c r="J37" s="84">
        <v>344</v>
      </c>
      <c r="K37" s="84">
        <v>345</v>
      </c>
      <c r="L37" s="84">
        <v>345</v>
      </c>
      <c r="M37" s="84">
        <v>346</v>
      </c>
      <c r="N37" s="84">
        <v>344</v>
      </c>
      <c r="O37" s="84">
        <v>347</v>
      </c>
      <c r="P37" s="84">
        <v>350</v>
      </c>
      <c r="Q37" s="84">
        <v>348</v>
      </c>
      <c r="R37" s="84">
        <v>347</v>
      </c>
      <c r="S37" s="84"/>
      <c r="T37" s="84"/>
      <c r="U37" s="84"/>
      <c r="V37" s="84"/>
      <c r="W37" s="84"/>
      <c r="X37" s="84"/>
      <c r="Y37" s="87">
        <v>1062153482</v>
      </c>
      <c r="Z37" s="115">
        <f>IF(Y37="","-",VLOOKUP(Y37,'CERT. COR'!$A$4:$E$2200,3,0))</f>
        <v>45716</v>
      </c>
      <c r="AA37" s="117">
        <f>IF(Y37="","-",VLOOKUP(Y37,'CERT. COR'!$A$4:$E$2200,2,0))</f>
        <v>81795</v>
      </c>
      <c r="AB37" s="87">
        <v>1062266407</v>
      </c>
      <c r="AC37" s="115">
        <f>IF(AB37="","-",VLOOKUP(AB37,'CERT. COR'!$A$4:$E$2200,3,0))</f>
        <v>45716</v>
      </c>
      <c r="AD37" s="117">
        <f>IF(AB37="","-",VLOOKUP(AB37,'CERT. COR'!$A$4:$E$2200,2,0))</f>
        <v>81795</v>
      </c>
      <c r="AE37" s="116">
        <f>IF(Y37="","-",VLOOKUP(Y37,'CERT. COR'!$A$4:$E$2200,5,0))</f>
        <v>99.7</v>
      </c>
      <c r="AF37" s="116">
        <f>IF(Y37="","-",VLOOKUP(Y37,'CERT. COR'!$A$4:$E$2200,4,0))</f>
        <v>198.7</v>
      </c>
      <c r="AG37" s="116">
        <f>IF(AB37="","-",VLOOKUP(AB37,'CERT. COR'!$A$4:$E$2200,5,0))</f>
        <v>100</v>
      </c>
      <c r="AH37" s="120">
        <f>IF(AB37="","-",VLOOKUP(AB37,'CERT. COR'!$A$4:$E$2200,4,0))</f>
        <v>201.5</v>
      </c>
      <c r="AI37" s="87" t="str">
        <f t="shared" si="0"/>
        <v>PN</v>
      </c>
      <c r="AJ37" s="121">
        <f t="shared" si="1"/>
        <v>5518</v>
      </c>
      <c r="AK37" s="84">
        <f t="shared" si="2"/>
        <v>0</v>
      </c>
    </row>
    <row r="38" spans="1:37" x14ac:dyDescent="0.25">
      <c r="A38" s="82">
        <f>'plan de data'!A38</f>
        <v>36</v>
      </c>
      <c r="B38" s="89">
        <f>'plan de data'!B38</f>
        <v>45825</v>
      </c>
      <c r="C38" s="84">
        <v>117</v>
      </c>
      <c r="D38" s="84">
        <v>115</v>
      </c>
      <c r="E38" s="84">
        <v>115</v>
      </c>
      <c r="F38" s="84">
        <v>114</v>
      </c>
      <c r="G38" s="84">
        <v>115</v>
      </c>
      <c r="H38" s="84">
        <v>114</v>
      </c>
      <c r="I38" s="84">
        <v>115</v>
      </c>
      <c r="J38" s="84">
        <v>115</v>
      </c>
      <c r="K38" s="84">
        <v>115</v>
      </c>
      <c r="L38" s="84">
        <v>116</v>
      </c>
      <c r="M38" s="84">
        <v>116</v>
      </c>
      <c r="N38" s="84">
        <v>116</v>
      </c>
      <c r="O38" s="84">
        <v>117</v>
      </c>
      <c r="P38" s="84">
        <v>117</v>
      </c>
      <c r="Q38" s="84">
        <v>117</v>
      </c>
      <c r="R38" s="84">
        <v>116</v>
      </c>
      <c r="S38" s="84">
        <v>117</v>
      </c>
      <c r="T38" s="84">
        <v>118</v>
      </c>
      <c r="U38" s="84"/>
      <c r="V38" s="84"/>
      <c r="W38" s="84"/>
      <c r="X38" s="84"/>
      <c r="Y38" s="87">
        <v>1062266407</v>
      </c>
      <c r="Z38" s="115">
        <f>IF(Y38="","-",VLOOKUP(Y38,'CERT. COR'!$A$4:$E$2200,3,0))</f>
        <v>45716</v>
      </c>
      <c r="AA38" s="117">
        <f>IF(Y38="","-",VLOOKUP(Y38,'CERT. COR'!$A$4:$E$2200,2,0))</f>
        <v>81795</v>
      </c>
      <c r="AB38" s="87"/>
      <c r="AC38" s="115" t="str">
        <f>IF(AB38="","-",VLOOKUP(AB38,'CERT. COR'!$A$4:$E$2200,3,0))</f>
        <v>-</v>
      </c>
      <c r="AD38" s="117" t="str">
        <f>IF(AB38="","-",VLOOKUP(AB38,'CERT. COR'!$A$4:$E$2200,2,0))</f>
        <v>-</v>
      </c>
      <c r="AE38" s="116">
        <f>IF(Y38="","-",VLOOKUP(Y38,'CERT. COR'!$A$4:$E$2200,5,0))</f>
        <v>100</v>
      </c>
      <c r="AF38" s="116">
        <f>IF(Y38="","-",VLOOKUP(Y38,'CERT. COR'!$A$4:$E$2200,4,0))</f>
        <v>201.5</v>
      </c>
      <c r="AG38" s="116" t="str">
        <f>IF(AB38="","-",VLOOKUP(AB38,'CERT. COR'!$A$4:$E$2200,5,0))</f>
        <v>-</v>
      </c>
      <c r="AH38" s="120" t="str">
        <f>IF(AB38="","-",VLOOKUP(AB38,'CERT. COR'!$A$4:$E$2200,4,0))</f>
        <v>-</v>
      </c>
      <c r="AI38" s="87" t="str">
        <f t="shared" si="0"/>
        <v>PF</v>
      </c>
      <c r="AJ38" s="121">
        <f t="shared" si="1"/>
        <v>0</v>
      </c>
      <c r="AK38" s="84">
        <f t="shared" si="2"/>
        <v>2085</v>
      </c>
    </row>
    <row r="39" spans="1:37" x14ac:dyDescent="0.25">
      <c r="A39" s="82">
        <f>'plan de data'!A39</f>
        <v>37</v>
      </c>
      <c r="B39" s="89">
        <f>'plan de data'!B39</f>
        <v>45827</v>
      </c>
      <c r="C39" s="84">
        <v>348</v>
      </c>
      <c r="D39" s="84">
        <v>347</v>
      </c>
      <c r="E39" s="84">
        <v>345</v>
      </c>
      <c r="F39" s="84">
        <v>345</v>
      </c>
      <c r="G39" s="84">
        <v>345</v>
      </c>
      <c r="H39" s="84">
        <v>345</v>
      </c>
      <c r="I39" s="84">
        <v>346</v>
      </c>
      <c r="J39" s="84">
        <v>345</v>
      </c>
      <c r="K39" s="84">
        <v>346</v>
      </c>
      <c r="L39" s="84">
        <v>344</v>
      </c>
      <c r="M39" s="84">
        <v>344</v>
      </c>
      <c r="N39" s="84">
        <v>344</v>
      </c>
      <c r="O39" s="84">
        <v>345</v>
      </c>
      <c r="P39" s="84">
        <v>344</v>
      </c>
      <c r="Q39" s="84">
        <v>346</v>
      </c>
      <c r="R39" s="84">
        <v>345</v>
      </c>
      <c r="S39" s="84"/>
      <c r="T39" s="84"/>
      <c r="U39" s="84"/>
      <c r="V39" s="84"/>
      <c r="W39" s="84"/>
      <c r="X39" s="84"/>
      <c r="Y39" s="87">
        <v>1062266407</v>
      </c>
      <c r="Z39" s="115">
        <f>IF(Y39="","-",VLOOKUP(Y39,'CERT. COR'!$A$4:$E$2200,3,0))</f>
        <v>45716</v>
      </c>
      <c r="AA39" s="117">
        <f>IF(Y39="","-",VLOOKUP(Y39,'CERT. COR'!$A$4:$E$2200,2,0))</f>
        <v>81795</v>
      </c>
      <c r="AB39" s="87"/>
      <c r="AC39" s="115" t="str">
        <f>IF(AB39="","-",VLOOKUP(AB39,'CERT. COR'!$A$4:$E$2200,3,0))</f>
        <v>-</v>
      </c>
      <c r="AD39" s="117" t="str">
        <f>IF(AB39="","-",VLOOKUP(AB39,'CERT. COR'!$A$4:$E$2200,2,0))</f>
        <v>-</v>
      </c>
      <c r="AE39" s="116">
        <f>IF(Y39="","-",VLOOKUP(Y39,'CERT. COR'!$A$4:$E$2200,5,0))</f>
        <v>100</v>
      </c>
      <c r="AF39" s="116">
        <f>IF(Y39="","-",VLOOKUP(Y39,'CERT. COR'!$A$4:$E$2200,4,0))</f>
        <v>201.5</v>
      </c>
      <c r="AG39" s="116" t="str">
        <f>IF(AB39="","-",VLOOKUP(AB39,'CERT. COR'!$A$4:$E$2200,5,0))</f>
        <v>-</v>
      </c>
      <c r="AH39" s="120" t="str">
        <f>IF(AB39="","-",VLOOKUP(AB39,'CERT. COR'!$A$4:$E$2200,4,0))</f>
        <v>-</v>
      </c>
      <c r="AI39" s="87" t="str">
        <f t="shared" si="0"/>
        <v>PN</v>
      </c>
      <c r="AJ39" s="121">
        <f t="shared" si="1"/>
        <v>5524</v>
      </c>
      <c r="AK39" s="84">
        <f t="shared" si="2"/>
        <v>0</v>
      </c>
    </row>
    <row r="40" spans="1:37" x14ac:dyDescent="0.25">
      <c r="A40" s="82">
        <f>'plan de data'!A40</f>
        <v>38</v>
      </c>
      <c r="B40" s="89">
        <f>'plan de data'!B40</f>
        <v>45833</v>
      </c>
      <c r="C40" s="84">
        <v>350</v>
      </c>
      <c r="D40" s="84">
        <v>345</v>
      </c>
      <c r="E40" s="84">
        <v>344</v>
      </c>
      <c r="F40" s="84">
        <v>343</v>
      </c>
      <c r="G40" s="84">
        <v>345</v>
      </c>
      <c r="H40" s="84">
        <v>346</v>
      </c>
      <c r="I40" s="84">
        <v>345</v>
      </c>
      <c r="J40" s="84">
        <v>345</v>
      </c>
      <c r="K40" s="84">
        <v>345</v>
      </c>
      <c r="L40" s="84">
        <v>345</v>
      </c>
      <c r="M40" s="84">
        <v>347</v>
      </c>
      <c r="N40" s="84">
        <v>344</v>
      </c>
      <c r="O40" s="84">
        <v>348</v>
      </c>
      <c r="P40" s="84">
        <v>345</v>
      </c>
      <c r="Q40" s="84">
        <v>348</v>
      </c>
      <c r="R40" s="84">
        <v>348</v>
      </c>
      <c r="S40" s="84"/>
      <c r="T40" s="84"/>
      <c r="U40" s="84"/>
      <c r="V40" s="84"/>
      <c r="W40" s="84"/>
      <c r="X40" s="84"/>
      <c r="Y40" s="87">
        <v>1062266407</v>
      </c>
      <c r="Z40" s="115">
        <f>IF(Y40="","-",VLOOKUP(Y40,'CERT. COR'!$A$4:$E$2200,3,0))</f>
        <v>45716</v>
      </c>
      <c r="AA40" s="117">
        <f>IF(Y40="","-",VLOOKUP(Y40,'CERT. COR'!$A$4:$E$2200,2,0))</f>
        <v>81795</v>
      </c>
      <c r="AB40" s="87"/>
      <c r="AC40" s="115" t="str">
        <f>IF(AB40="","-",VLOOKUP(AB40,'CERT. COR'!$A$4:$E$2200,3,0))</f>
        <v>-</v>
      </c>
      <c r="AD40" s="117" t="str">
        <f>IF(AB40="","-",VLOOKUP(AB40,'CERT. COR'!$A$4:$E$2200,2,0))</f>
        <v>-</v>
      </c>
      <c r="AE40" s="116">
        <f>IF(Y40="","-",VLOOKUP(Y40,'CERT. COR'!$A$4:$E$2200,5,0))</f>
        <v>100</v>
      </c>
      <c r="AF40" s="116">
        <f>IF(Y40="","-",VLOOKUP(Y40,'CERT. COR'!$A$4:$E$2200,4,0))</f>
        <v>201.5</v>
      </c>
      <c r="AG40" s="116" t="str">
        <f>IF(AB40="","-",VLOOKUP(AB40,'CERT. COR'!$A$4:$E$2200,5,0))</f>
        <v>-</v>
      </c>
      <c r="AH40" s="120" t="str">
        <f>IF(AB40="","-",VLOOKUP(AB40,'CERT. COR'!$A$4:$E$2200,4,0))</f>
        <v>-</v>
      </c>
      <c r="AI40" s="87" t="str">
        <f t="shared" si="0"/>
        <v>PN</v>
      </c>
      <c r="AJ40" s="121">
        <f t="shared" si="1"/>
        <v>5533</v>
      </c>
      <c r="AK40" s="84">
        <f t="shared" si="2"/>
        <v>0</v>
      </c>
    </row>
    <row r="41" spans="1:37" x14ac:dyDescent="0.25">
      <c r="A41" s="82">
        <f>'plan de data'!A41</f>
        <v>39</v>
      </c>
      <c r="B41" s="89">
        <f>'plan de data'!B41</f>
        <v>45836</v>
      </c>
      <c r="C41" s="84">
        <v>120</v>
      </c>
      <c r="D41" s="84">
        <v>117</v>
      </c>
      <c r="E41" s="84">
        <v>115</v>
      </c>
      <c r="F41" s="84">
        <v>115</v>
      </c>
      <c r="G41" s="84">
        <v>115</v>
      </c>
      <c r="H41" s="84">
        <v>114</v>
      </c>
      <c r="I41" s="84">
        <v>115</v>
      </c>
      <c r="J41" s="84">
        <v>115</v>
      </c>
      <c r="K41" s="84">
        <v>116</v>
      </c>
      <c r="L41" s="84">
        <v>115</v>
      </c>
      <c r="M41" s="84">
        <v>117</v>
      </c>
      <c r="N41" s="84">
        <v>118</v>
      </c>
      <c r="O41" s="84">
        <v>116</v>
      </c>
      <c r="P41" s="84">
        <v>117</v>
      </c>
      <c r="Q41" s="84">
        <v>117</v>
      </c>
      <c r="R41" s="84">
        <v>118</v>
      </c>
      <c r="S41" s="84">
        <v>118</v>
      </c>
      <c r="T41" s="84">
        <v>119</v>
      </c>
      <c r="U41" s="84"/>
      <c r="V41" s="84"/>
      <c r="W41" s="84"/>
      <c r="X41" s="84"/>
      <c r="Y41" s="87">
        <v>1062266407</v>
      </c>
      <c r="Z41" s="115">
        <f>IF(Y41="","-",VLOOKUP(Y41,'CERT. COR'!$A$4:$E$2200,3,0))</f>
        <v>45716</v>
      </c>
      <c r="AA41" s="117">
        <f>IF(Y41="","-",VLOOKUP(Y41,'CERT. COR'!$A$4:$E$2200,2,0))</f>
        <v>81795</v>
      </c>
      <c r="AB41" s="87"/>
      <c r="AC41" s="115" t="str">
        <f>IF(AB41="","-",VLOOKUP(AB41,'CERT. COR'!$A$4:$E$2200,3,0))</f>
        <v>-</v>
      </c>
      <c r="AD41" s="117" t="str">
        <f>IF(AB41="","-",VLOOKUP(AB41,'CERT. COR'!$A$4:$E$2200,2,0))</f>
        <v>-</v>
      </c>
      <c r="AE41" s="116">
        <f>IF(Y41="","-",VLOOKUP(Y41,'CERT. COR'!$A$4:$E$2200,5,0))</f>
        <v>100</v>
      </c>
      <c r="AF41" s="116">
        <f>IF(Y41="","-",VLOOKUP(Y41,'CERT. COR'!$A$4:$E$2200,4,0))</f>
        <v>201.5</v>
      </c>
      <c r="AG41" s="116" t="str">
        <f>IF(AB41="","-",VLOOKUP(AB41,'CERT. COR'!$A$4:$E$2200,5,0))</f>
        <v>-</v>
      </c>
      <c r="AH41" s="120" t="str">
        <f>IF(AB41="","-",VLOOKUP(AB41,'CERT. COR'!$A$4:$E$2200,4,0))</f>
        <v>-</v>
      </c>
      <c r="AI41" s="87" t="str">
        <f t="shared" si="0"/>
        <v>PF</v>
      </c>
      <c r="AJ41" s="121">
        <f t="shared" si="1"/>
        <v>0</v>
      </c>
      <c r="AK41" s="84">
        <f t="shared" si="2"/>
        <v>2097</v>
      </c>
    </row>
    <row r="42" spans="1:37" x14ac:dyDescent="0.25">
      <c r="A42" s="82">
        <f>'plan de data'!A42</f>
        <v>40</v>
      </c>
      <c r="B42" s="89">
        <f>'plan de data'!B42</f>
        <v>45839</v>
      </c>
      <c r="C42" s="84">
        <v>113</v>
      </c>
      <c r="D42" s="84">
        <v>114</v>
      </c>
      <c r="E42" s="84">
        <v>114</v>
      </c>
      <c r="F42" s="84">
        <v>114</v>
      </c>
      <c r="G42" s="84">
        <v>118</v>
      </c>
      <c r="H42" s="84">
        <v>118</v>
      </c>
      <c r="I42" s="84">
        <v>115</v>
      </c>
      <c r="J42" s="84">
        <v>115</v>
      </c>
      <c r="K42" s="84">
        <v>115</v>
      </c>
      <c r="L42" s="84">
        <v>116</v>
      </c>
      <c r="M42" s="84">
        <v>119</v>
      </c>
      <c r="N42" s="84">
        <v>119</v>
      </c>
      <c r="O42" s="84">
        <v>117</v>
      </c>
      <c r="P42" s="84">
        <v>116</v>
      </c>
      <c r="Q42" s="84">
        <v>119</v>
      </c>
      <c r="R42" s="84">
        <v>120</v>
      </c>
      <c r="S42" s="84">
        <v>119</v>
      </c>
      <c r="T42" s="84">
        <v>119</v>
      </c>
      <c r="U42" s="84"/>
      <c r="V42" s="84"/>
      <c r="W42" s="84"/>
      <c r="X42" s="84"/>
      <c r="Y42" s="87">
        <v>1062266407</v>
      </c>
      <c r="Z42" s="115">
        <f>IF(Y42="","-",VLOOKUP(Y42,'CERT. COR'!$A$4:$E$2200,3,0))</f>
        <v>45716</v>
      </c>
      <c r="AA42" s="117">
        <f>IF(Y42="","-",VLOOKUP(Y42,'CERT. COR'!$A$4:$E$2200,2,0))</f>
        <v>81795</v>
      </c>
      <c r="AB42" s="87"/>
      <c r="AC42" s="115" t="str">
        <f>IF(AB42="","-",VLOOKUP(AB42,'CERT. COR'!$A$4:$E$2200,3,0))</f>
        <v>-</v>
      </c>
      <c r="AD42" s="117" t="str">
        <f>IF(AB42="","-",VLOOKUP(AB42,'CERT. COR'!$A$4:$E$2200,2,0))</f>
        <v>-</v>
      </c>
      <c r="AE42" s="116">
        <f>IF(Y42="","-",VLOOKUP(Y42,'CERT. COR'!$A$4:$E$2200,5,0))</f>
        <v>100</v>
      </c>
      <c r="AF42" s="116">
        <f>IF(Y42="","-",VLOOKUP(Y42,'CERT. COR'!$A$4:$E$2200,4,0))</f>
        <v>201.5</v>
      </c>
      <c r="AG42" s="116" t="str">
        <f>IF(AB42="","-",VLOOKUP(AB42,'CERT. COR'!$A$4:$E$2200,5,0))</f>
        <v>-</v>
      </c>
      <c r="AH42" s="120" t="str">
        <f>IF(AB42="","-",VLOOKUP(AB42,'CERT. COR'!$A$4:$E$2200,4,0))</f>
        <v>-</v>
      </c>
      <c r="AI42" s="87" t="str">
        <f t="shared" si="0"/>
        <v>PF</v>
      </c>
      <c r="AJ42" s="121">
        <f t="shared" si="1"/>
        <v>0</v>
      </c>
      <c r="AK42" s="84">
        <f t="shared" si="2"/>
        <v>2100</v>
      </c>
    </row>
    <row r="43" spans="1:37" x14ac:dyDescent="0.25">
      <c r="A43" s="82">
        <f>'plan de data'!A43</f>
        <v>41</v>
      </c>
      <c r="B43" s="89">
        <f>'plan de data'!B43</f>
        <v>45842</v>
      </c>
      <c r="C43" s="84">
        <v>359</v>
      </c>
      <c r="D43" s="84">
        <v>353</v>
      </c>
      <c r="E43" s="84">
        <v>351</v>
      </c>
      <c r="F43" s="84">
        <v>351</v>
      </c>
      <c r="G43" s="84">
        <v>357</v>
      </c>
      <c r="H43" s="84">
        <v>354</v>
      </c>
      <c r="I43" s="84">
        <v>352</v>
      </c>
      <c r="J43" s="84">
        <v>353</v>
      </c>
      <c r="K43" s="84">
        <v>351</v>
      </c>
      <c r="L43" s="84">
        <v>352</v>
      </c>
      <c r="M43" s="84">
        <v>352</v>
      </c>
      <c r="N43" s="84">
        <v>356</v>
      </c>
      <c r="O43" s="84">
        <v>355</v>
      </c>
      <c r="P43" s="84">
        <v>355</v>
      </c>
      <c r="Q43" s="84">
        <v>352</v>
      </c>
      <c r="R43" s="84">
        <v>354</v>
      </c>
      <c r="S43" s="84"/>
      <c r="T43" s="84"/>
      <c r="U43" s="84"/>
      <c r="V43" s="84"/>
      <c r="W43" s="84"/>
      <c r="X43" s="84"/>
      <c r="Y43" s="87">
        <v>1062072197</v>
      </c>
      <c r="Z43" s="115">
        <f>IF(Y43="","-",VLOOKUP(Y43,'CERT. COR'!$A$4:$E$2200,3,0))</f>
        <v>45737</v>
      </c>
      <c r="AA43" s="117">
        <f>IF(Y43="","-",VLOOKUP(Y43,'CERT. COR'!$A$4:$E$2200,2,0))</f>
        <v>81985</v>
      </c>
      <c r="AB43" s="87"/>
      <c r="AC43" s="115" t="str">
        <f>IF(AB43="","-",VLOOKUP(AB43,'CERT. COR'!$A$4:$E$2200,3,0))</f>
        <v>-</v>
      </c>
      <c r="AD43" s="117" t="str">
        <f>IF(AB43="","-",VLOOKUP(AB43,'CERT. COR'!$A$4:$E$2200,2,0))</f>
        <v>-</v>
      </c>
      <c r="AE43" s="116">
        <f>IF(Y43="","-",VLOOKUP(Y43,'CERT. COR'!$A$4:$E$2200,5,0))</f>
        <v>100</v>
      </c>
      <c r="AF43" s="116">
        <f>IF(Y43="","-",VLOOKUP(Y43,'CERT. COR'!$A$4:$E$2200,4,0))</f>
        <v>197.1</v>
      </c>
      <c r="AG43" s="116" t="str">
        <f>IF(AB43="","-",VLOOKUP(AB43,'CERT. COR'!$A$4:$E$2200,5,0))</f>
        <v>-</v>
      </c>
      <c r="AH43" s="120" t="str">
        <f>IF(AB43="","-",VLOOKUP(AB43,'CERT. COR'!$A$4:$E$2200,4,0))</f>
        <v>-</v>
      </c>
      <c r="AI43" s="87" t="str">
        <f t="shared" si="0"/>
        <v>PN</v>
      </c>
      <c r="AJ43" s="121">
        <f t="shared" si="1"/>
        <v>5657</v>
      </c>
      <c r="AK43" s="84">
        <f t="shared" si="2"/>
        <v>0</v>
      </c>
    </row>
    <row r="44" spans="1:37" x14ac:dyDescent="0.25">
      <c r="A44" s="82">
        <f>'plan de data'!A44</f>
        <v>42</v>
      </c>
      <c r="B44" s="89">
        <f>'plan de data'!B44</f>
        <v>45848</v>
      </c>
      <c r="C44" s="84">
        <v>356</v>
      </c>
      <c r="D44" s="84">
        <v>350</v>
      </c>
      <c r="E44" s="84">
        <v>351</v>
      </c>
      <c r="F44" s="84">
        <v>349</v>
      </c>
      <c r="G44" s="84">
        <v>352</v>
      </c>
      <c r="H44" s="84">
        <v>352</v>
      </c>
      <c r="I44" s="84">
        <v>351</v>
      </c>
      <c r="J44" s="84">
        <v>350</v>
      </c>
      <c r="K44" s="84">
        <v>351</v>
      </c>
      <c r="L44" s="84">
        <v>352</v>
      </c>
      <c r="M44" s="84">
        <v>350</v>
      </c>
      <c r="N44" s="84">
        <v>350</v>
      </c>
      <c r="O44" s="84">
        <v>351</v>
      </c>
      <c r="P44" s="84">
        <v>352</v>
      </c>
      <c r="Q44" s="84">
        <v>353</v>
      </c>
      <c r="R44" s="84">
        <v>350</v>
      </c>
      <c r="S44" s="84"/>
      <c r="T44" s="84"/>
      <c r="U44" s="84"/>
      <c r="V44" s="84"/>
      <c r="W44" s="84"/>
      <c r="X44" s="84"/>
      <c r="Y44" s="87">
        <v>1062072197</v>
      </c>
      <c r="Z44" s="115">
        <f>IF(Y44="","-",VLOOKUP(Y44,'CERT. COR'!$A$4:$E$2200,3,0))</f>
        <v>45737</v>
      </c>
      <c r="AA44" s="117">
        <f>IF(Y44="","-",VLOOKUP(Y44,'CERT. COR'!$A$4:$E$2200,2,0))</f>
        <v>81985</v>
      </c>
      <c r="AB44" s="87"/>
      <c r="AC44" s="115" t="str">
        <f>IF(AB44="","-",VLOOKUP(AB44,'CERT. COR'!$A$4:$E$2200,3,0))</f>
        <v>-</v>
      </c>
      <c r="AD44" s="117" t="str">
        <f>IF(AB44="","-",VLOOKUP(AB44,'CERT. COR'!$A$4:$E$2200,2,0))</f>
        <v>-</v>
      </c>
      <c r="AE44" s="116">
        <f>IF(Y44="","-",VLOOKUP(Y44,'CERT. COR'!$A$4:$E$2200,5,0))</f>
        <v>100</v>
      </c>
      <c r="AF44" s="116">
        <f>IF(Y44="","-",VLOOKUP(Y44,'CERT. COR'!$A$4:$E$2200,4,0))</f>
        <v>197.1</v>
      </c>
      <c r="AG44" s="116" t="str">
        <f>IF(AB44="","-",VLOOKUP(AB44,'CERT. COR'!$A$4:$E$2200,5,0))</f>
        <v>-</v>
      </c>
      <c r="AH44" s="120" t="str">
        <f>IF(AB44="","-",VLOOKUP(AB44,'CERT. COR'!$A$4:$E$2200,4,0))</f>
        <v>-</v>
      </c>
      <c r="AI44" s="87" t="str">
        <f t="shared" si="0"/>
        <v>PN</v>
      </c>
      <c r="AJ44" s="121">
        <f t="shared" si="1"/>
        <v>5620</v>
      </c>
      <c r="AK44" s="84">
        <f t="shared" si="2"/>
        <v>0</v>
      </c>
    </row>
    <row r="45" spans="1:37" x14ac:dyDescent="0.25">
      <c r="A45" s="82">
        <f>'plan de data'!A45</f>
        <v>43</v>
      </c>
      <c r="B45" s="89">
        <f>'plan de data'!B45</f>
        <v>45850</v>
      </c>
      <c r="C45" s="84">
        <v>345</v>
      </c>
      <c r="D45" s="84">
        <v>347</v>
      </c>
      <c r="E45" s="84">
        <v>349</v>
      </c>
      <c r="F45" s="84">
        <v>349</v>
      </c>
      <c r="G45" s="84">
        <v>349</v>
      </c>
      <c r="H45" s="84">
        <v>351</v>
      </c>
      <c r="I45" s="84">
        <v>345</v>
      </c>
      <c r="J45" s="84">
        <v>345</v>
      </c>
      <c r="K45" s="84">
        <v>351</v>
      </c>
      <c r="L45" s="84">
        <v>352</v>
      </c>
      <c r="M45" s="84">
        <v>345</v>
      </c>
      <c r="N45" s="84">
        <v>345</v>
      </c>
      <c r="O45" s="84">
        <v>348</v>
      </c>
      <c r="P45" s="84">
        <v>349</v>
      </c>
      <c r="Q45" s="84">
        <v>352</v>
      </c>
      <c r="R45" s="84">
        <v>350</v>
      </c>
      <c r="S45" s="84"/>
      <c r="T45" s="84"/>
      <c r="U45" s="84"/>
      <c r="V45" s="84"/>
      <c r="W45" s="84"/>
      <c r="X45" s="84"/>
      <c r="Y45" s="87">
        <v>1062072197</v>
      </c>
      <c r="Z45" s="115">
        <f>IF(Y45="","-",VLOOKUP(Y45,'CERT. COR'!$A$4:$E$2200,3,0))</f>
        <v>45737</v>
      </c>
      <c r="AA45" s="117">
        <f>IF(Y45="","-",VLOOKUP(Y45,'CERT. COR'!$A$4:$E$2200,2,0))</f>
        <v>81985</v>
      </c>
      <c r="AB45" s="87"/>
      <c r="AC45" s="115" t="str">
        <f>IF(AB45="","-",VLOOKUP(AB45,'CERT. COR'!$A$4:$E$2200,3,0))</f>
        <v>-</v>
      </c>
      <c r="AD45" s="117" t="str">
        <f>IF(AB45="","-",VLOOKUP(AB45,'CERT. COR'!$A$4:$E$2200,2,0))</f>
        <v>-</v>
      </c>
      <c r="AE45" s="116">
        <f>IF(Y45="","-",VLOOKUP(Y45,'CERT. COR'!$A$4:$E$2200,5,0))</f>
        <v>100</v>
      </c>
      <c r="AF45" s="116">
        <f>IF(Y45="","-",VLOOKUP(Y45,'CERT. COR'!$A$4:$E$2200,4,0))</f>
        <v>197.1</v>
      </c>
      <c r="AG45" s="116" t="str">
        <f>IF(AB45="","-",VLOOKUP(AB45,'CERT. COR'!$A$4:$E$2200,5,0))</f>
        <v>-</v>
      </c>
      <c r="AH45" s="120" t="str">
        <f>IF(AB45="","-",VLOOKUP(AB45,'CERT. COR'!$A$4:$E$2200,4,0))</f>
        <v>-</v>
      </c>
      <c r="AI45" s="87" t="str">
        <f t="shared" si="0"/>
        <v>PN</v>
      </c>
      <c r="AJ45" s="121">
        <f t="shared" si="1"/>
        <v>5572</v>
      </c>
      <c r="AK45" s="84">
        <f t="shared" si="2"/>
        <v>0</v>
      </c>
    </row>
    <row r="46" spans="1:37" x14ac:dyDescent="0.25">
      <c r="A46" s="82">
        <f>'plan de data'!A46</f>
        <v>44</v>
      </c>
      <c r="B46" s="89">
        <f>'plan de data'!B46</f>
        <v>45853</v>
      </c>
      <c r="C46" s="84">
        <v>353</v>
      </c>
      <c r="D46" s="84">
        <v>343</v>
      </c>
      <c r="E46" s="84">
        <v>343</v>
      </c>
      <c r="F46" s="84">
        <v>349</v>
      </c>
      <c r="G46" s="84">
        <v>350</v>
      </c>
      <c r="H46" s="84">
        <v>343</v>
      </c>
      <c r="I46" s="84">
        <v>343</v>
      </c>
      <c r="J46" s="84">
        <v>352</v>
      </c>
      <c r="K46" s="84">
        <v>344</v>
      </c>
      <c r="L46" s="84">
        <v>351</v>
      </c>
      <c r="M46" s="84">
        <v>342</v>
      </c>
      <c r="N46" s="84">
        <v>352</v>
      </c>
      <c r="O46" s="84">
        <v>351</v>
      </c>
      <c r="P46" s="84">
        <v>343</v>
      </c>
      <c r="Q46" s="84">
        <v>344</v>
      </c>
      <c r="R46" s="84">
        <v>352</v>
      </c>
      <c r="S46" s="84"/>
      <c r="T46" s="84"/>
      <c r="U46" s="84"/>
      <c r="V46" s="84"/>
      <c r="W46" s="84"/>
      <c r="X46" s="84"/>
      <c r="Y46" s="87">
        <v>1062072197</v>
      </c>
      <c r="Z46" s="115">
        <f>IF(Y46="","-",VLOOKUP(Y46,'CERT. COR'!$A$4:$E$2200,3,0))</f>
        <v>45737</v>
      </c>
      <c r="AA46" s="117">
        <f>IF(Y46="","-",VLOOKUP(Y46,'CERT. COR'!$A$4:$E$2200,2,0))</f>
        <v>81985</v>
      </c>
      <c r="AB46" s="87">
        <v>1062393027</v>
      </c>
      <c r="AC46" s="115">
        <f>IF(AB46="","-",VLOOKUP(AB46,'CERT. COR'!$A$4:$E$2200,3,0))</f>
        <v>45737</v>
      </c>
      <c r="AD46" s="117">
        <f>IF(AB46="","-",VLOOKUP(AB46,'CERT. COR'!$A$4:$E$2200,2,0))</f>
        <v>81985</v>
      </c>
      <c r="AE46" s="116">
        <f>IF(Y46="","-",VLOOKUP(Y46,'CERT. COR'!$A$4:$E$2200,5,0))</f>
        <v>100</v>
      </c>
      <c r="AF46" s="116">
        <f>IF(Y46="","-",VLOOKUP(Y46,'CERT. COR'!$A$4:$E$2200,4,0))</f>
        <v>197.1</v>
      </c>
      <c r="AG46" s="116">
        <f>IF(AB46="","-",VLOOKUP(AB46,'CERT. COR'!$A$4:$E$2200,5,0))</f>
        <v>99.5</v>
      </c>
      <c r="AH46" s="120">
        <f>IF(AB46="","-",VLOOKUP(AB46,'CERT. COR'!$A$4:$E$2200,4,0))</f>
        <v>201.7</v>
      </c>
      <c r="AI46" s="87" t="str">
        <f t="shared" si="0"/>
        <v>PN</v>
      </c>
      <c r="AJ46" s="121">
        <f t="shared" si="1"/>
        <v>5555</v>
      </c>
      <c r="AK46" s="84">
        <f t="shared" si="2"/>
        <v>0</v>
      </c>
    </row>
    <row r="47" spans="1:37" x14ac:dyDescent="0.25">
      <c r="A47" s="82">
        <f>'plan de data'!A47</f>
        <v>45</v>
      </c>
      <c r="B47" s="89">
        <f>'plan de data'!B47</f>
        <v>45854</v>
      </c>
      <c r="C47" s="84">
        <v>353</v>
      </c>
      <c r="D47" s="84">
        <v>354</v>
      </c>
      <c r="E47" s="84">
        <v>348</v>
      </c>
      <c r="F47" s="84">
        <v>348</v>
      </c>
      <c r="G47" s="84">
        <v>353</v>
      </c>
      <c r="H47" s="84">
        <v>351</v>
      </c>
      <c r="I47" s="84">
        <v>344</v>
      </c>
      <c r="J47" s="84">
        <v>348</v>
      </c>
      <c r="K47" s="84">
        <v>348</v>
      </c>
      <c r="L47" s="84">
        <v>348</v>
      </c>
      <c r="M47" s="84">
        <v>350</v>
      </c>
      <c r="N47" s="84">
        <v>349</v>
      </c>
      <c r="O47" s="84">
        <v>352</v>
      </c>
      <c r="P47" s="84">
        <v>350</v>
      </c>
      <c r="Q47" s="84">
        <v>350</v>
      </c>
      <c r="R47" s="84">
        <v>349</v>
      </c>
      <c r="S47" s="84"/>
      <c r="T47" s="84"/>
      <c r="U47" s="84"/>
      <c r="V47" s="84"/>
      <c r="W47" s="84"/>
      <c r="X47" s="84"/>
      <c r="Y47" s="87">
        <v>1062592775</v>
      </c>
      <c r="Z47" s="115">
        <f>IF(Y47="","-",VLOOKUP(Y47,'CERT. COR'!$A$4:$E$2200,3,0))</f>
        <v>45764</v>
      </c>
      <c r="AA47" s="117">
        <f>IF(Y47="","-",VLOOKUP(Y47,'CERT. COR'!$A$4:$E$2200,2,0))</f>
        <v>82245</v>
      </c>
      <c r="AB47" s="87"/>
      <c r="AC47" s="115" t="str">
        <f>IF(AB47="","-",VLOOKUP(AB47,'CERT. COR'!$A$4:$E$2200,3,0))</f>
        <v>-</v>
      </c>
      <c r="AD47" s="117" t="str">
        <f>IF(AB47="","-",VLOOKUP(AB47,'CERT. COR'!$A$4:$E$2200,2,0))</f>
        <v>-</v>
      </c>
      <c r="AE47" s="116">
        <f>IF(Y47="","-",VLOOKUP(Y47,'CERT. COR'!$A$4:$E$2200,5,0))</f>
        <v>99.9</v>
      </c>
      <c r="AF47" s="116">
        <f>IF(Y47="","-",VLOOKUP(Y47,'CERT. COR'!$A$4:$E$2200,4,0))</f>
        <v>201.3</v>
      </c>
      <c r="AG47" s="116" t="str">
        <f>IF(AB47="","-",VLOOKUP(AB47,'CERT. COR'!$A$4:$E$2200,5,0))</f>
        <v>-</v>
      </c>
      <c r="AH47" s="120" t="str">
        <f>IF(AB47="","-",VLOOKUP(AB47,'CERT. COR'!$A$4:$E$2200,4,0))</f>
        <v>-</v>
      </c>
      <c r="AI47" s="87" t="str">
        <f t="shared" si="0"/>
        <v>PN</v>
      </c>
      <c r="AJ47" s="121">
        <f t="shared" si="1"/>
        <v>5595</v>
      </c>
      <c r="AK47" s="84">
        <f t="shared" si="2"/>
        <v>0</v>
      </c>
    </row>
    <row r="48" spans="1:37" x14ac:dyDescent="0.25">
      <c r="A48" s="82">
        <f>'plan de data'!A48</f>
        <v>46</v>
      </c>
      <c r="B48" s="89">
        <f>'plan de data'!B48</f>
        <v>45855</v>
      </c>
      <c r="C48" s="84">
        <v>350</v>
      </c>
      <c r="D48" s="84">
        <v>346</v>
      </c>
      <c r="E48" s="84">
        <v>348</v>
      </c>
      <c r="F48" s="84">
        <v>348</v>
      </c>
      <c r="G48" s="84">
        <v>348</v>
      </c>
      <c r="H48" s="84">
        <v>347</v>
      </c>
      <c r="I48" s="84">
        <v>347</v>
      </c>
      <c r="J48" s="84">
        <v>347</v>
      </c>
      <c r="K48" s="84">
        <v>346</v>
      </c>
      <c r="L48" s="84">
        <v>348</v>
      </c>
      <c r="M48" s="84">
        <v>348</v>
      </c>
      <c r="N48" s="84">
        <v>345</v>
      </c>
      <c r="O48" s="84">
        <v>348</v>
      </c>
      <c r="P48" s="84">
        <v>348</v>
      </c>
      <c r="Q48" s="84">
        <v>351</v>
      </c>
      <c r="R48" s="84">
        <v>349</v>
      </c>
      <c r="S48" s="84"/>
      <c r="T48" s="84"/>
      <c r="U48" s="84"/>
      <c r="V48" s="84"/>
      <c r="W48" s="84"/>
      <c r="X48" s="84"/>
      <c r="Y48" s="87">
        <v>1062393027</v>
      </c>
      <c r="Z48" s="115">
        <f>IF(Y48="","-",VLOOKUP(Y48,'CERT. COR'!$A$4:$E$2200,3,0))</f>
        <v>45737</v>
      </c>
      <c r="AA48" s="117">
        <f>IF(Y48="","-",VLOOKUP(Y48,'CERT. COR'!$A$4:$E$2200,2,0))</f>
        <v>81985</v>
      </c>
      <c r="AB48" s="87"/>
      <c r="AC48" s="115" t="str">
        <f>IF(AB48="","-",VLOOKUP(AB48,'CERT. COR'!$A$4:$E$2200,3,0))</f>
        <v>-</v>
      </c>
      <c r="AD48" s="117" t="str">
        <f>IF(AB48="","-",VLOOKUP(AB48,'CERT. COR'!$A$4:$E$2200,2,0))</f>
        <v>-</v>
      </c>
      <c r="AE48" s="116">
        <f>IF(Y48="","-",VLOOKUP(Y48,'CERT. COR'!$A$4:$E$2200,5,0))</f>
        <v>99.5</v>
      </c>
      <c r="AF48" s="116">
        <f>IF(Y48="","-",VLOOKUP(Y48,'CERT. COR'!$A$4:$E$2200,4,0))</f>
        <v>201.7</v>
      </c>
      <c r="AG48" s="116" t="str">
        <f>IF(AB48="","-",VLOOKUP(AB48,'CERT. COR'!$A$4:$E$2200,5,0))</f>
        <v>-</v>
      </c>
      <c r="AH48" s="120" t="str">
        <f>IF(AB48="","-",VLOOKUP(AB48,'CERT. COR'!$A$4:$E$2200,4,0))</f>
        <v>-</v>
      </c>
      <c r="AI48" s="87" t="str">
        <f t="shared" si="0"/>
        <v>PN</v>
      </c>
      <c r="AJ48" s="121">
        <f t="shared" si="1"/>
        <v>5564</v>
      </c>
      <c r="AK48" s="84">
        <f t="shared" si="2"/>
        <v>0</v>
      </c>
    </row>
    <row r="49" spans="1:37" x14ac:dyDescent="0.25">
      <c r="A49" s="82">
        <f>'plan de data'!A49</f>
        <v>47</v>
      </c>
      <c r="B49" s="89">
        <f>'plan de data'!B49</f>
        <v>45856</v>
      </c>
      <c r="C49" s="84">
        <v>355</v>
      </c>
      <c r="D49" s="84">
        <v>348</v>
      </c>
      <c r="E49" s="84">
        <v>347</v>
      </c>
      <c r="F49" s="84">
        <v>347</v>
      </c>
      <c r="G49" s="84">
        <v>355</v>
      </c>
      <c r="H49" s="84">
        <v>349</v>
      </c>
      <c r="I49" s="84">
        <v>348</v>
      </c>
      <c r="J49" s="84">
        <v>348</v>
      </c>
      <c r="K49" s="84">
        <v>349</v>
      </c>
      <c r="L49" s="84">
        <v>347</v>
      </c>
      <c r="M49" s="84">
        <v>347</v>
      </c>
      <c r="N49" s="84">
        <v>348</v>
      </c>
      <c r="O49" s="84">
        <v>354</v>
      </c>
      <c r="P49" s="84">
        <v>347</v>
      </c>
      <c r="Q49" s="84">
        <v>348</v>
      </c>
      <c r="R49" s="84">
        <v>347</v>
      </c>
      <c r="S49" s="84"/>
      <c r="T49" s="84"/>
      <c r="U49" s="84"/>
      <c r="V49" s="84"/>
      <c r="W49" s="84"/>
      <c r="X49" s="84"/>
      <c r="Y49" s="87">
        <v>1062592775</v>
      </c>
      <c r="Z49" s="115">
        <f>IF(Y49="","-",VLOOKUP(Y49,'CERT. COR'!$A$4:$E$2200,3,0))</f>
        <v>45764</v>
      </c>
      <c r="AA49" s="117">
        <f>IF(Y49="","-",VLOOKUP(Y49,'CERT. COR'!$A$4:$E$2200,2,0))</f>
        <v>82245</v>
      </c>
      <c r="AB49" s="87"/>
      <c r="AC49" s="115" t="str">
        <f>IF(AB49="","-",VLOOKUP(AB49,'CERT. COR'!$A$4:$E$2200,3,0))</f>
        <v>-</v>
      </c>
      <c r="AD49" s="117" t="str">
        <f>IF(AB49="","-",VLOOKUP(AB49,'CERT. COR'!$A$4:$E$2200,2,0))</f>
        <v>-</v>
      </c>
      <c r="AE49" s="116">
        <f>IF(Y49="","-",VLOOKUP(Y49,'CERT. COR'!$A$4:$E$2200,5,0))</f>
        <v>99.9</v>
      </c>
      <c r="AF49" s="116">
        <f>IF(Y49="","-",VLOOKUP(Y49,'CERT. COR'!$A$4:$E$2200,4,0))</f>
        <v>201.3</v>
      </c>
      <c r="AG49" s="116" t="str">
        <f>IF(AB49="","-",VLOOKUP(AB49,'CERT. COR'!$A$4:$E$2200,5,0))</f>
        <v>-</v>
      </c>
      <c r="AH49" s="120" t="str">
        <f>IF(AB49="","-",VLOOKUP(AB49,'CERT. COR'!$A$4:$E$2200,4,0))</f>
        <v>-</v>
      </c>
      <c r="AI49" s="87" t="str">
        <f t="shared" si="0"/>
        <v>PN</v>
      </c>
      <c r="AJ49" s="121">
        <f t="shared" si="1"/>
        <v>5584</v>
      </c>
      <c r="AK49" s="84">
        <f t="shared" si="2"/>
        <v>0</v>
      </c>
    </row>
    <row r="50" spans="1:37" x14ac:dyDescent="0.25">
      <c r="A50" s="82">
        <f>'plan de data'!A50</f>
        <v>48</v>
      </c>
      <c r="B50" s="89">
        <f>'plan de data'!B50</f>
        <v>45857</v>
      </c>
      <c r="C50" s="84">
        <v>346</v>
      </c>
      <c r="D50" s="84">
        <v>344</v>
      </c>
      <c r="E50" s="84">
        <v>347</v>
      </c>
      <c r="F50" s="84">
        <v>345</v>
      </c>
      <c r="G50" s="84">
        <v>345</v>
      </c>
      <c r="H50" s="84">
        <v>345</v>
      </c>
      <c r="I50" s="84">
        <v>348</v>
      </c>
      <c r="J50" s="84">
        <v>348</v>
      </c>
      <c r="K50" s="84">
        <v>349</v>
      </c>
      <c r="L50" s="84">
        <v>348</v>
      </c>
      <c r="M50" s="84">
        <v>349</v>
      </c>
      <c r="N50" s="84">
        <v>349</v>
      </c>
      <c r="O50" s="84">
        <v>347</v>
      </c>
      <c r="P50" s="84">
        <v>345</v>
      </c>
      <c r="Q50" s="84">
        <v>352</v>
      </c>
      <c r="R50" s="84">
        <v>351</v>
      </c>
      <c r="S50" s="84"/>
      <c r="T50" s="84"/>
      <c r="U50" s="84"/>
      <c r="V50" s="84"/>
      <c r="W50" s="84"/>
      <c r="X50" s="84"/>
      <c r="Y50" s="87">
        <v>1062393027</v>
      </c>
      <c r="Z50" s="115">
        <f>IF(Y50="","-",VLOOKUP(Y50,'CERT. COR'!$A$4:$E$2200,3,0))</f>
        <v>45737</v>
      </c>
      <c r="AA50" s="117">
        <f>IF(Y50="","-",VLOOKUP(Y50,'CERT. COR'!$A$4:$E$2200,2,0))</f>
        <v>81985</v>
      </c>
      <c r="AB50" s="87"/>
      <c r="AC50" s="115" t="str">
        <f>IF(AB50="","-",VLOOKUP(AB50,'CERT. COR'!$A$4:$E$2200,3,0))</f>
        <v>-</v>
      </c>
      <c r="AD50" s="117" t="str">
        <f>IF(AB50="","-",VLOOKUP(AB50,'CERT. COR'!$A$4:$E$2200,2,0))</f>
        <v>-</v>
      </c>
      <c r="AE50" s="116">
        <f>IF(Y50="","-",VLOOKUP(Y50,'CERT. COR'!$A$4:$E$2200,5,0))</f>
        <v>99.5</v>
      </c>
      <c r="AF50" s="116">
        <f>IF(Y50="","-",VLOOKUP(Y50,'CERT. COR'!$A$4:$E$2200,4,0))</f>
        <v>201.7</v>
      </c>
      <c r="AG50" s="116" t="str">
        <f>IF(AB50="","-",VLOOKUP(AB50,'CERT. COR'!$A$4:$E$2200,5,0))</f>
        <v>-</v>
      </c>
      <c r="AH50" s="120" t="str">
        <f>IF(AB50="","-",VLOOKUP(AB50,'CERT. COR'!$A$4:$E$2200,4,0))</f>
        <v>-</v>
      </c>
      <c r="AI50" s="87" t="str">
        <f t="shared" si="0"/>
        <v>PN</v>
      </c>
      <c r="AJ50" s="121">
        <f t="shared" si="1"/>
        <v>5558</v>
      </c>
      <c r="AK50" s="84">
        <f t="shared" si="2"/>
        <v>0</v>
      </c>
    </row>
    <row r="51" spans="1:37" x14ac:dyDescent="0.25">
      <c r="A51" s="82">
        <f>'plan de data'!A51</f>
        <v>49</v>
      </c>
      <c r="B51" s="89">
        <f>'plan de data'!B51</f>
        <v>45859</v>
      </c>
      <c r="C51" s="84">
        <v>115</v>
      </c>
      <c r="D51" s="84">
        <v>115</v>
      </c>
      <c r="E51" s="84">
        <v>117</v>
      </c>
      <c r="F51" s="84">
        <v>116</v>
      </c>
      <c r="G51" s="84">
        <v>118</v>
      </c>
      <c r="H51" s="84">
        <v>117</v>
      </c>
      <c r="I51" s="84">
        <v>117</v>
      </c>
      <c r="J51" s="84">
        <v>117</v>
      </c>
      <c r="K51" s="84">
        <v>117</v>
      </c>
      <c r="L51" s="84">
        <v>116</v>
      </c>
      <c r="M51" s="84">
        <v>115</v>
      </c>
      <c r="N51" s="84">
        <v>119</v>
      </c>
      <c r="O51" s="84">
        <v>118</v>
      </c>
      <c r="P51" s="84">
        <v>118</v>
      </c>
      <c r="Q51" s="84">
        <v>115</v>
      </c>
      <c r="R51" s="84">
        <v>115</v>
      </c>
      <c r="S51" s="84">
        <v>119</v>
      </c>
      <c r="T51" s="84">
        <v>115</v>
      </c>
      <c r="U51" s="84"/>
      <c r="V51" s="84"/>
      <c r="W51" s="84"/>
      <c r="X51" s="84"/>
      <c r="Y51" s="87">
        <v>1062592775</v>
      </c>
      <c r="Z51" s="115">
        <f>IF(Y51="","-",VLOOKUP(Y51,'CERT. COR'!$A$4:$E$2200,3,0))</f>
        <v>45764</v>
      </c>
      <c r="AA51" s="117">
        <f>IF(Y51="","-",VLOOKUP(Y51,'CERT. COR'!$A$4:$E$2200,2,0))</f>
        <v>82245</v>
      </c>
      <c r="AB51" s="87"/>
      <c r="AC51" s="115" t="str">
        <f>IF(AB51="","-",VLOOKUP(AB51,'CERT. COR'!$A$4:$E$2200,3,0))</f>
        <v>-</v>
      </c>
      <c r="AD51" s="117" t="str">
        <f>IF(AB51="","-",VLOOKUP(AB51,'CERT. COR'!$A$4:$E$2200,2,0))</f>
        <v>-</v>
      </c>
      <c r="AE51" s="116">
        <f>IF(Y51="","-",VLOOKUP(Y51,'CERT. COR'!$A$4:$E$2200,5,0))</f>
        <v>99.9</v>
      </c>
      <c r="AF51" s="116">
        <f>IF(Y51="","-",VLOOKUP(Y51,'CERT. COR'!$A$4:$E$2200,4,0))</f>
        <v>201.3</v>
      </c>
      <c r="AG51" s="116" t="str">
        <f>IF(AB51="","-",VLOOKUP(AB51,'CERT. COR'!$A$4:$E$2200,5,0))</f>
        <v>-</v>
      </c>
      <c r="AH51" s="120" t="str">
        <f>IF(AB51="","-",VLOOKUP(AB51,'CERT. COR'!$A$4:$E$2200,4,0))</f>
        <v>-</v>
      </c>
      <c r="AI51" s="87" t="str">
        <f t="shared" si="0"/>
        <v>PF</v>
      </c>
      <c r="AJ51" s="121">
        <f t="shared" si="1"/>
        <v>0</v>
      </c>
      <c r="AK51" s="84">
        <f t="shared" si="2"/>
        <v>2099</v>
      </c>
    </row>
    <row r="52" spans="1:37" x14ac:dyDescent="0.25">
      <c r="A52" s="82">
        <f>'plan de data'!A52</f>
        <v>50</v>
      </c>
      <c r="B52" s="89">
        <f>'plan de data'!B52</f>
        <v>45859</v>
      </c>
      <c r="C52" s="84">
        <v>348</v>
      </c>
      <c r="D52" s="84">
        <v>347</v>
      </c>
      <c r="E52" s="84">
        <v>345</v>
      </c>
      <c r="F52" s="84">
        <v>347</v>
      </c>
      <c r="G52" s="84">
        <v>348</v>
      </c>
      <c r="H52" s="84">
        <v>351</v>
      </c>
      <c r="I52" s="84">
        <v>347</v>
      </c>
      <c r="J52" s="84">
        <v>347</v>
      </c>
      <c r="K52" s="84">
        <v>347</v>
      </c>
      <c r="L52" s="84">
        <v>348</v>
      </c>
      <c r="M52" s="84">
        <v>346</v>
      </c>
      <c r="N52" s="84">
        <v>346</v>
      </c>
      <c r="O52" s="84">
        <v>351</v>
      </c>
      <c r="P52" s="84">
        <v>350</v>
      </c>
      <c r="Q52" s="84">
        <v>347</v>
      </c>
      <c r="R52" s="84">
        <v>348</v>
      </c>
      <c r="S52" s="84"/>
      <c r="T52" s="84"/>
      <c r="U52" s="84"/>
      <c r="V52" s="84"/>
      <c r="W52" s="84"/>
      <c r="X52" s="84"/>
      <c r="Y52" s="87">
        <v>1062592775</v>
      </c>
      <c r="Z52" s="115">
        <f>IF(Y52="","-",VLOOKUP(Y52,'CERT. COR'!$A$4:$E$2200,3,0))</f>
        <v>45764</v>
      </c>
      <c r="AA52" s="117">
        <f>IF(Y52="","-",VLOOKUP(Y52,'CERT. COR'!$A$4:$E$2200,2,0))</f>
        <v>82245</v>
      </c>
      <c r="AB52" s="87"/>
      <c r="AC52" s="115" t="str">
        <f>IF(AB52="","-",VLOOKUP(AB52,'CERT. COR'!$A$4:$E$2200,3,0))</f>
        <v>-</v>
      </c>
      <c r="AD52" s="117" t="str">
        <f>IF(AB52="","-",VLOOKUP(AB52,'CERT. COR'!$A$4:$E$2200,2,0))</f>
        <v>-</v>
      </c>
      <c r="AE52" s="116">
        <f>IF(Y52="","-",VLOOKUP(Y52,'CERT. COR'!$A$4:$E$2200,5,0))</f>
        <v>99.9</v>
      </c>
      <c r="AF52" s="116">
        <f>IF(Y52="","-",VLOOKUP(Y52,'CERT. COR'!$A$4:$E$2200,4,0))</f>
        <v>201.3</v>
      </c>
      <c r="AG52" s="116" t="str">
        <f>IF(AB52="","-",VLOOKUP(AB52,'CERT. COR'!$A$4:$E$2200,5,0))</f>
        <v>-</v>
      </c>
      <c r="AH52" s="120" t="str">
        <f>IF(AB52="","-",VLOOKUP(AB52,'CERT. COR'!$A$4:$E$2200,4,0))</f>
        <v>-</v>
      </c>
      <c r="AI52" s="87" t="str">
        <f t="shared" si="0"/>
        <v>PN</v>
      </c>
      <c r="AJ52" s="121">
        <f t="shared" si="1"/>
        <v>5563</v>
      </c>
      <c r="AK52" s="84">
        <f t="shared" si="2"/>
        <v>0</v>
      </c>
    </row>
    <row r="53" spans="1:37" x14ac:dyDescent="0.25">
      <c r="A53" s="82">
        <f>'plan de data'!A53</f>
        <v>51</v>
      </c>
      <c r="B53" s="89">
        <f>'plan de data'!B53</f>
        <v>45861</v>
      </c>
      <c r="C53" s="84">
        <v>346</v>
      </c>
      <c r="D53" s="84">
        <v>347</v>
      </c>
      <c r="E53" s="84">
        <v>346</v>
      </c>
      <c r="F53" s="84">
        <v>343</v>
      </c>
      <c r="G53" s="84">
        <v>348</v>
      </c>
      <c r="H53" s="84">
        <v>347</v>
      </c>
      <c r="I53" s="84">
        <v>345</v>
      </c>
      <c r="J53" s="84">
        <v>346</v>
      </c>
      <c r="K53" s="84">
        <v>347</v>
      </c>
      <c r="L53" s="84">
        <v>346</v>
      </c>
      <c r="M53" s="84">
        <v>346</v>
      </c>
      <c r="N53" s="84">
        <v>345</v>
      </c>
      <c r="O53" s="84">
        <v>350</v>
      </c>
      <c r="P53" s="84">
        <v>348</v>
      </c>
      <c r="Q53" s="84">
        <v>347</v>
      </c>
      <c r="R53" s="84">
        <v>346</v>
      </c>
      <c r="S53" s="84"/>
      <c r="T53" s="84"/>
      <c r="U53" s="84"/>
      <c r="V53" s="84"/>
      <c r="W53" s="84"/>
      <c r="X53" s="84"/>
      <c r="Y53" s="87">
        <v>1062592775</v>
      </c>
      <c r="Z53" s="115">
        <f>IF(Y53="","-",VLOOKUP(Y53,'CERT. COR'!$A$4:$E$2200,3,0))</f>
        <v>45764</v>
      </c>
      <c r="AA53" s="117">
        <f>IF(Y53="","-",VLOOKUP(Y53,'CERT. COR'!$A$4:$E$2200,2,0))</f>
        <v>82245</v>
      </c>
      <c r="AB53" s="87"/>
      <c r="AC53" s="115" t="str">
        <f>IF(AB53="","-",VLOOKUP(AB53,'CERT. COR'!$A$4:$E$2200,3,0))</f>
        <v>-</v>
      </c>
      <c r="AD53" s="117" t="str">
        <f>IF(AB53="","-",VLOOKUP(AB53,'CERT. COR'!$A$4:$E$2200,2,0))</f>
        <v>-</v>
      </c>
      <c r="AE53" s="116">
        <f>IF(Y53="","-",VLOOKUP(Y53,'CERT. COR'!$A$4:$E$2200,5,0))</f>
        <v>99.9</v>
      </c>
      <c r="AF53" s="116">
        <f>IF(Y53="","-",VLOOKUP(Y53,'CERT. COR'!$A$4:$E$2200,4,0))</f>
        <v>201.3</v>
      </c>
      <c r="AG53" s="116" t="str">
        <f>IF(AB53="","-",VLOOKUP(AB53,'CERT. COR'!$A$4:$E$2200,5,0))</f>
        <v>-</v>
      </c>
      <c r="AH53" s="120" t="str">
        <f>IF(AB53="","-",VLOOKUP(AB53,'CERT. COR'!$A$4:$E$2200,4,0))</f>
        <v>-</v>
      </c>
      <c r="AI53" s="87" t="str">
        <f t="shared" si="0"/>
        <v>PN</v>
      </c>
      <c r="AJ53" s="121">
        <f t="shared" si="1"/>
        <v>5543</v>
      </c>
      <c r="AK53" s="84">
        <f t="shared" si="2"/>
        <v>0</v>
      </c>
    </row>
    <row r="54" spans="1:37" x14ac:dyDescent="0.25">
      <c r="A54" s="82">
        <f>'plan de data'!A54</f>
        <v>52</v>
      </c>
      <c r="B54" s="89">
        <f>'plan de data'!B54</f>
        <v>45862</v>
      </c>
      <c r="C54" s="84">
        <v>339</v>
      </c>
      <c r="D54" s="84">
        <v>337</v>
      </c>
      <c r="E54" s="84">
        <v>341</v>
      </c>
      <c r="F54" s="84">
        <v>340</v>
      </c>
      <c r="G54" s="84">
        <v>339</v>
      </c>
      <c r="H54" s="84">
        <v>344</v>
      </c>
      <c r="I54" s="84">
        <v>342</v>
      </c>
      <c r="J54" s="84">
        <v>342</v>
      </c>
      <c r="K54" s="84">
        <v>343</v>
      </c>
      <c r="L54" s="84">
        <v>345</v>
      </c>
      <c r="M54" s="84">
        <v>345</v>
      </c>
      <c r="N54" s="84">
        <v>348</v>
      </c>
      <c r="O54" s="84">
        <v>339</v>
      </c>
      <c r="P54" s="84">
        <v>340</v>
      </c>
      <c r="Q54" s="84">
        <v>345</v>
      </c>
      <c r="R54" s="84">
        <v>346</v>
      </c>
      <c r="S54" s="84"/>
      <c r="T54" s="84"/>
      <c r="U54" s="84"/>
      <c r="V54" s="84"/>
      <c r="W54" s="84"/>
      <c r="X54" s="84"/>
      <c r="Y54" s="87">
        <v>1062592775</v>
      </c>
      <c r="Z54" s="115">
        <f>IF(Y54="","-",VLOOKUP(Y54,'CERT. COR'!$A$4:$E$2200,3,0))</f>
        <v>45764</v>
      </c>
      <c r="AA54" s="117">
        <f>IF(Y54="","-",VLOOKUP(Y54,'CERT. COR'!$A$4:$E$2200,2,0))</f>
        <v>82245</v>
      </c>
      <c r="AB54" s="87">
        <v>1063047150</v>
      </c>
      <c r="AC54" s="115">
        <f>IF(AB54="","-",VLOOKUP(AB54,'CERT. COR'!$A$4:$E$2200,3,0))</f>
        <v>45859</v>
      </c>
      <c r="AD54" s="117">
        <f>IF(AB54="","-",VLOOKUP(AB54,'CERT. COR'!$A$4:$E$2200,2,0))</f>
        <v>82938</v>
      </c>
      <c r="AE54" s="116">
        <f>IF(Y54="","-",VLOOKUP(Y54,'CERT. COR'!$A$4:$E$2200,5,0))</f>
        <v>99.9</v>
      </c>
      <c r="AF54" s="116">
        <f>IF(Y54="","-",VLOOKUP(Y54,'CERT. COR'!$A$4:$E$2200,4,0))</f>
        <v>201.3</v>
      </c>
      <c r="AG54" s="116">
        <f>IF(AB54="","-",VLOOKUP(AB54,'CERT. COR'!$A$4:$E$2200,5,0))</f>
        <v>100</v>
      </c>
      <c r="AH54" s="120">
        <f>IF(AB54="","-",VLOOKUP(AB54,'CERT. COR'!$A$4:$E$2200,4,0))</f>
        <v>197.9</v>
      </c>
      <c r="AI54" s="87" t="str">
        <f t="shared" si="0"/>
        <v>PN</v>
      </c>
      <c r="AJ54" s="121">
        <f t="shared" si="1"/>
        <v>5475</v>
      </c>
      <c r="AK54" s="84">
        <f t="shared" si="2"/>
        <v>0</v>
      </c>
    </row>
    <row r="55" spans="1:37" x14ac:dyDescent="0.25">
      <c r="A55" s="82">
        <f>'plan de data'!A55</f>
        <v>53</v>
      </c>
      <c r="B55" s="89">
        <f>'plan de data'!B55</f>
        <v>45863</v>
      </c>
      <c r="C55" s="84">
        <v>349</v>
      </c>
      <c r="D55" s="84">
        <v>346</v>
      </c>
      <c r="E55" s="84">
        <v>349</v>
      </c>
      <c r="F55" s="84">
        <v>349</v>
      </c>
      <c r="G55" s="84">
        <v>350</v>
      </c>
      <c r="H55" s="84">
        <v>349</v>
      </c>
      <c r="I55" s="84">
        <v>347</v>
      </c>
      <c r="J55" s="84">
        <v>349</v>
      </c>
      <c r="K55" s="84">
        <v>349</v>
      </c>
      <c r="L55" s="84">
        <v>348</v>
      </c>
      <c r="M55" s="84">
        <v>348</v>
      </c>
      <c r="N55" s="84">
        <v>348</v>
      </c>
      <c r="O55" s="84">
        <v>348</v>
      </c>
      <c r="P55" s="84">
        <v>348</v>
      </c>
      <c r="Q55" s="84">
        <v>350</v>
      </c>
      <c r="R55" s="84">
        <v>350</v>
      </c>
      <c r="S55" s="84"/>
      <c r="T55" s="84"/>
      <c r="U55" s="84"/>
      <c r="V55" s="84"/>
      <c r="W55" s="84"/>
      <c r="X55" s="84"/>
      <c r="Y55" s="87">
        <v>1062253639</v>
      </c>
      <c r="Z55" s="115">
        <f>IF(Y55="","-",VLOOKUP(Y55,'CERT. COR'!$A$4:$E$2200,3,0))</f>
        <v>45730</v>
      </c>
      <c r="AA55" s="117">
        <f>IF(Y55="","-",VLOOKUP(Y55,'CERT. COR'!$A$4:$E$2200,2,0))</f>
        <v>81911</v>
      </c>
      <c r="AB55" s="87"/>
      <c r="AC55" s="115" t="str">
        <f>IF(AB55="","-",VLOOKUP(AB55,'CERT. COR'!$A$4:$E$2200,3,0))</f>
        <v>-</v>
      </c>
      <c r="AD55" s="117" t="str">
        <f>IF(AB55="","-",VLOOKUP(AB55,'CERT. COR'!$A$4:$E$2200,2,0))</f>
        <v>-</v>
      </c>
      <c r="AE55" s="116">
        <f>IF(Y55="","-",VLOOKUP(Y55,'CERT. COR'!$A$4:$E$2200,5,0))</f>
        <v>100</v>
      </c>
      <c r="AF55" s="116">
        <f>IF(Y55="","-",VLOOKUP(Y55,'CERT. COR'!$A$4:$E$2200,4,0))</f>
        <v>201.5</v>
      </c>
      <c r="AG55" s="116" t="str">
        <f>IF(AB55="","-",VLOOKUP(AB55,'CERT. COR'!$A$4:$E$2200,5,0))</f>
        <v>-</v>
      </c>
      <c r="AH55" s="120" t="str">
        <f>IF(AB55="","-",VLOOKUP(AB55,'CERT. COR'!$A$4:$E$2200,4,0))</f>
        <v>-</v>
      </c>
      <c r="AI55" s="87" t="str">
        <f t="shared" si="0"/>
        <v>PN</v>
      </c>
      <c r="AJ55" s="121">
        <f t="shared" si="1"/>
        <v>5577</v>
      </c>
      <c r="AK55" s="84">
        <f t="shared" si="2"/>
        <v>0</v>
      </c>
    </row>
    <row r="56" spans="1:37" x14ac:dyDescent="0.25">
      <c r="A56" s="82">
        <f>'plan de data'!A56</f>
        <v>54</v>
      </c>
      <c r="B56" s="89">
        <f>'plan de data'!B56</f>
        <v>45864</v>
      </c>
      <c r="C56" s="84">
        <v>339</v>
      </c>
      <c r="D56" s="84">
        <v>339</v>
      </c>
      <c r="E56" s="84">
        <v>341</v>
      </c>
      <c r="F56" s="84">
        <v>340</v>
      </c>
      <c r="G56" s="84">
        <v>338</v>
      </c>
      <c r="H56" s="84">
        <v>338</v>
      </c>
      <c r="I56" s="84">
        <v>342</v>
      </c>
      <c r="J56" s="84">
        <v>340</v>
      </c>
      <c r="K56" s="84">
        <v>342</v>
      </c>
      <c r="L56" s="84">
        <v>342</v>
      </c>
      <c r="M56" s="84">
        <v>343</v>
      </c>
      <c r="N56" s="84">
        <v>343</v>
      </c>
      <c r="O56" s="84">
        <v>340</v>
      </c>
      <c r="P56" s="84">
        <v>340</v>
      </c>
      <c r="Q56" s="84">
        <v>345</v>
      </c>
      <c r="R56" s="84">
        <v>345</v>
      </c>
      <c r="S56" s="84"/>
      <c r="T56" s="84"/>
      <c r="U56" s="84"/>
      <c r="V56" s="84"/>
      <c r="W56" s="84"/>
      <c r="X56" s="84"/>
      <c r="Y56" s="87">
        <v>1063047150</v>
      </c>
      <c r="Z56" s="115">
        <f>IF(Y56="","-",VLOOKUP(Y56,'CERT. COR'!$A$4:$E$2200,3,0))</f>
        <v>45859</v>
      </c>
      <c r="AA56" s="117">
        <f>IF(Y56="","-",VLOOKUP(Y56,'CERT. COR'!$A$4:$E$2200,2,0))</f>
        <v>82938</v>
      </c>
      <c r="AB56" s="87"/>
      <c r="AC56" s="115" t="str">
        <f>IF(AB56="","-",VLOOKUP(AB56,'CERT. COR'!$A$4:$E$2200,3,0))</f>
        <v>-</v>
      </c>
      <c r="AD56" s="117" t="str">
        <f>IF(AB56="","-",VLOOKUP(AB56,'CERT. COR'!$A$4:$E$2200,2,0))</f>
        <v>-</v>
      </c>
      <c r="AE56" s="116">
        <f>IF(Y56="","-",VLOOKUP(Y56,'CERT. COR'!$A$4:$E$2200,5,0))</f>
        <v>100</v>
      </c>
      <c r="AF56" s="116">
        <f>IF(Y56="","-",VLOOKUP(Y56,'CERT. COR'!$A$4:$E$2200,4,0))</f>
        <v>197.9</v>
      </c>
      <c r="AG56" s="116" t="str">
        <f>IF(AB56="","-",VLOOKUP(AB56,'CERT. COR'!$A$4:$E$2200,5,0))</f>
        <v>-</v>
      </c>
      <c r="AH56" s="120" t="str">
        <f>IF(AB56="","-",VLOOKUP(AB56,'CERT. COR'!$A$4:$E$2200,4,0))</f>
        <v>-</v>
      </c>
      <c r="AI56" s="87" t="str">
        <f t="shared" si="0"/>
        <v>PN</v>
      </c>
      <c r="AJ56" s="121">
        <f t="shared" si="1"/>
        <v>5457</v>
      </c>
      <c r="AK56" s="84">
        <f t="shared" si="2"/>
        <v>0</v>
      </c>
    </row>
    <row r="57" spans="1:37" x14ac:dyDescent="0.25">
      <c r="A57" s="82">
        <f>'plan de data'!A57</f>
        <v>55</v>
      </c>
      <c r="B57" s="89">
        <f>'plan de data'!B57</f>
        <v>45867</v>
      </c>
      <c r="C57" s="84">
        <v>352</v>
      </c>
      <c r="D57" s="84">
        <v>348</v>
      </c>
      <c r="E57" s="84">
        <v>347</v>
      </c>
      <c r="F57" s="84">
        <v>346</v>
      </c>
      <c r="G57" s="84">
        <v>350</v>
      </c>
      <c r="H57" s="84">
        <v>348</v>
      </c>
      <c r="I57" s="84">
        <v>347</v>
      </c>
      <c r="J57" s="84">
        <v>347</v>
      </c>
      <c r="K57" s="84">
        <v>347</v>
      </c>
      <c r="L57" s="84">
        <v>347</v>
      </c>
      <c r="M57" s="84">
        <v>347</v>
      </c>
      <c r="N57" s="84">
        <v>348</v>
      </c>
      <c r="O57" s="84">
        <v>350</v>
      </c>
      <c r="P57" s="84">
        <v>350</v>
      </c>
      <c r="Q57" s="84">
        <v>348</v>
      </c>
      <c r="R57" s="84">
        <v>349</v>
      </c>
      <c r="S57" s="84"/>
      <c r="T57" s="84"/>
      <c r="U57" s="84"/>
      <c r="V57" s="84"/>
      <c r="W57" s="84"/>
      <c r="X57" s="84"/>
      <c r="Y57" s="87">
        <v>1062253639</v>
      </c>
      <c r="Z57" s="115">
        <f>IF(Y57="","-",VLOOKUP(Y57,'CERT. COR'!$A$4:$E$2200,3,0))</f>
        <v>45730</v>
      </c>
      <c r="AA57" s="117">
        <f>IF(Y57="","-",VLOOKUP(Y57,'CERT. COR'!$A$4:$E$2200,2,0))</f>
        <v>81911</v>
      </c>
      <c r="AB57" s="87">
        <v>1062279615</v>
      </c>
      <c r="AC57" s="115">
        <f>IF(AB57="","-",VLOOKUP(AB57,'CERT. COR'!$A$4:$E$2200,3,0))</f>
        <v>45730</v>
      </c>
      <c r="AD57" s="117">
        <f>IF(AB57="","-",VLOOKUP(AB57,'CERT. COR'!$A$4:$E$2200,2,0))</f>
        <v>81902</v>
      </c>
      <c r="AE57" s="116">
        <f>IF(Y57="","-",VLOOKUP(Y57,'CERT. COR'!$A$4:$E$2200,5,0))</f>
        <v>100</v>
      </c>
      <c r="AF57" s="116">
        <f>IF(Y57="","-",VLOOKUP(Y57,'CERT. COR'!$A$4:$E$2200,4,0))</f>
        <v>201.5</v>
      </c>
      <c r="AG57" s="116">
        <f>IF(AB57="","-",VLOOKUP(AB57,'CERT. COR'!$A$4:$E$2200,5,0))</f>
        <v>99.9</v>
      </c>
      <c r="AH57" s="120">
        <f>IF(AB57="","-",VLOOKUP(AB57,'CERT. COR'!$A$4:$E$2200,4,0))</f>
        <v>200.9</v>
      </c>
      <c r="AI57" s="87" t="str">
        <f t="shared" si="0"/>
        <v>PN</v>
      </c>
      <c r="AJ57" s="121">
        <f t="shared" si="1"/>
        <v>5571</v>
      </c>
      <c r="AK57" s="84">
        <f t="shared" si="2"/>
        <v>0</v>
      </c>
    </row>
    <row r="58" spans="1:37" x14ac:dyDescent="0.25">
      <c r="A58" s="82">
        <f>'plan de data'!A58</f>
        <v>56</v>
      </c>
      <c r="B58" s="89">
        <f>'plan de data'!B58</f>
        <v>45868</v>
      </c>
      <c r="C58" s="84">
        <v>341</v>
      </c>
      <c r="D58" s="84">
        <v>340</v>
      </c>
      <c r="E58" s="84">
        <v>340</v>
      </c>
      <c r="F58" s="84">
        <v>340</v>
      </c>
      <c r="G58" s="84">
        <v>338</v>
      </c>
      <c r="H58" s="84">
        <v>340</v>
      </c>
      <c r="I58" s="84">
        <v>340</v>
      </c>
      <c r="J58" s="84">
        <v>340</v>
      </c>
      <c r="K58" s="84">
        <v>342</v>
      </c>
      <c r="L58" s="84">
        <v>342</v>
      </c>
      <c r="M58" s="84">
        <v>342</v>
      </c>
      <c r="N58" s="84">
        <v>340</v>
      </c>
      <c r="O58" s="84">
        <v>340</v>
      </c>
      <c r="P58" s="84">
        <v>338</v>
      </c>
      <c r="Q58" s="84">
        <v>343</v>
      </c>
      <c r="R58" s="84">
        <v>342</v>
      </c>
      <c r="S58" s="84"/>
      <c r="T58" s="84"/>
      <c r="U58" s="84"/>
      <c r="V58" s="84"/>
      <c r="W58" s="84"/>
      <c r="X58" s="84"/>
      <c r="Y58" s="87">
        <v>1063047150</v>
      </c>
      <c r="Z58" s="115">
        <f>IF(Y58="","-",VLOOKUP(Y58,'CERT. COR'!$A$4:$E$2200,3,0))</f>
        <v>45859</v>
      </c>
      <c r="AA58" s="117">
        <f>IF(Y58="","-",VLOOKUP(Y58,'CERT. COR'!$A$4:$E$2200,2,0))</f>
        <v>82938</v>
      </c>
      <c r="AB58" s="87"/>
      <c r="AC58" s="115" t="str">
        <f>IF(AB58="","-",VLOOKUP(AB58,'CERT. COR'!$A$4:$E$2200,3,0))</f>
        <v>-</v>
      </c>
      <c r="AD58" s="117" t="str">
        <f>IF(AB58="","-",VLOOKUP(AB58,'CERT. COR'!$A$4:$E$2200,2,0))</f>
        <v>-</v>
      </c>
      <c r="AE58" s="116">
        <f>IF(Y58="","-",VLOOKUP(Y58,'CERT. COR'!$A$4:$E$2200,5,0))</f>
        <v>100</v>
      </c>
      <c r="AF58" s="116">
        <f>IF(Y58="","-",VLOOKUP(Y58,'CERT. COR'!$A$4:$E$2200,4,0))</f>
        <v>197.9</v>
      </c>
      <c r="AG58" s="116" t="str">
        <f>IF(AB58="","-",VLOOKUP(AB58,'CERT. COR'!$A$4:$E$2200,5,0))</f>
        <v>-</v>
      </c>
      <c r="AH58" s="120" t="str">
        <f>IF(AB58="","-",VLOOKUP(AB58,'CERT. COR'!$A$4:$E$2200,4,0))</f>
        <v>-</v>
      </c>
      <c r="AI58" s="87" t="str">
        <f t="shared" si="0"/>
        <v>PN</v>
      </c>
      <c r="AJ58" s="121">
        <f t="shared" si="1"/>
        <v>5448</v>
      </c>
      <c r="AK58" s="84">
        <f t="shared" si="2"/>
        <v>0</v>
      </c>
    </row>
    <row r="59" spans="1:37" x14ac:dyDescent="0.25">
      <c r="A59" s="82">
        <f>'plan de data'!A59</f>
        <v>57</v>
      </c>
      <c r="B59" s="89">
        <f>'plan de data'!B59</f>
        <v>45870</v>
      </c>
      <c r="C59" s="84">
        <v>347</v>
      </c>
      <c r="D59" s="84">
        <v>347</v>
      </c>
      <c r="E59" s="84">
        <v>345</v>
      </c>
      <c r="F59" s="84">
        <v>345</v>
      </c>
      <c r="G59" s="84">
        <v>348</v>
      </c>
      <c r="H59" s="84">
        <v>345</v>
      </c>
      <c r="I59" s="84">
        <v>345</v>
      </c>
      <c r="J59" s="84">
        <v>345</v>
      </c>
      <c r="K59" s="84">
        <v>346</v>
      </c>
      <c r="L59" s="84">
        <v>345</v>
      </c>
      <c r="M59" s="84">
        <v>346</v>
      </c>
      <c r="N59" s="84">
        <v>345</v>
      </c>
      <c r="O59" s="84">
        <v>349</v>
      </c>
      <c r="P59" s="84">
        <v>348</v>
      </c>
      <c r="Q59" s="84">
        <v>346</v>
      </c>
      <c r="R59" s="84">
        <v>347</v>
      </c>
      <c r="S59" s="84"/>
      <c r="T59" s="84"/>
      <c r="U59" s="84"/>
      <c r="V59" s="84"/>
      <c r="W59" s="84"/>
      <c r="X59" s="84"/>
      <c r="Y59" s="87">
        <v>1062279615</v>
      </c>
      <c r="Z59" s="115">
        <f>IF(Y59="","-",VLOOKUP(Y59,'CERT. COR'!$A$4:$E$2200,3,0))</f>
        <v>45730</v>
      </c>
      <c r="AA59" s="117">
        <f>IF(Y59="","-",VLOOKUP(Y59,'CERT. COR'!$A$4:$E$2200,2,0))</f>
        <v>81902</v>
      </c>
      <c r="AB59" s="87"/>
      <c r="AC59" s="115" t="str">
        <f>IF(AB59="","-",VLOOKUP(AB59,'CERT. COR'!$A$4:$E$2200,3,0))</f>
        <v>-</v>
      </c>
      <c r="AD59" s="117" t="str">
        <f>IF(AB59="","-",VLOOKUP(AB59,'CERT. COR'!$A$4:$E$2200,2,0))</f>
        <v>-</v>
      </c>
      <c r="AE59" s="116">
        <f>IF(Y59="","-",VLOOKUP(Y59,'CERT. COR'!$A$4:$E$2200,5,0))</f>
        <v>99.9</v>
      </c>
      <c r="AF59" s="116">
        <f>IF(Y59="","-",VLOOKUP(Y59,'CERT. COR'!$A$4:$E$2200,4,0))</f>
        <v>200.9</v>
      </c>
      <c r="AG59" s="116" t="str">
        <f>IF(AB59="","-",VLOOKUP(AB59,'CERT. COR'!$A$4:$E$2200,5,0))</f>
        <v>-</v>
      </c>
      <c r="AH59" s="120" t="str">
        <f>IF(AB59="","-",VLOOKUP(AB59,'CERT. COR'!$A$4:$E$2200,4,0))</f>
        <v>-</v>
      </c>
      <c r="AI59" s="87" t="str">
        <f t="shared" si="0"/>
        <v>PN</v>
      </c>
      <c r="AJ59" s="121">
        <f t="shared" si="1"/>
        <v>5539</v>
      </c>
      <c r="AK59" s="84">
        <f t="shared" si="2"/>
        <v>0</v>
      </c>
    </row>
    <row r="60" spans="1:37" x14ac:dyDescent="0.25">
      <c r="A60" s="82">
        <f>'plan de data'!A60</f>
        <v>58</v>
      </c>
      <c r="B60" s="89">
        <f>'plan de data'!B60</f>
        <v>45871</v>
      </c>
      <c r="C60" s="84">
        <v>345</v>
      </c>
      <c r="D60" s="84">
        <v>350</v>
      </c>
      <c r="E60" s="84">
        <v>338</v>
      </c>
      <c r="F60" s="84">
        <v>343</v>
      </c>
      <c r="G60" s="84">
        <v>335</v>
      </c>
      <c r="H60" s="84">
        <v>340</v>
      </c>
      <c r="I60" s="84">
        <v>339</v>
      </c>
      <c r="J60" s="84">
        <v>340</v>
      </c>
      <c r="K60" s="84">
        <v>340</v>
      </c>
      <c r="L60" s="84">
        <v>339</v>
      </c>
      <c r="M60" s="84">
        <v>340</v>
      </c>
      <c r="N60" s="84">
        <v>341</v>
      </c>
      <c r="O60" s="84">
        <v>337</v>
      </c>
      <c r="P60" s="84">
        <v>340</v>
      </c>
      <c r="Q60" s="84">
        <v>340</v>
      </c>
      <c r="R60" s="84">
        <v>342</v>
      </c>
      <c r="S60" s="84"/>
      <c r="T60" s="84"/>
      <c r="U60" s="84"/>
      <c r="V60" s="84"/>
      <c r="W60" s="84"/>
      <c r="X60" s="84"/>
      <c r="Y60" s="87">
        <v>1063047150</v>
      </c>
      <c r="Z60" s="115">
        <f>IF(Y60="","-",VLOOKUP(Y60,'CERT. COR'!$A$4:$E$2200,3,0))</f>
        <v>45859</v>
      </c>
      <c r="AA60" s="117">
        <f>IF(Y60="","-",VLOOKUP(Y60,'CERT. COR'!$A$4:$E$2200,2,0))</f>
        <v>82938</v>
      </c>
      <c r="AB60" s="87"/>
      <c r="AC60" s="115" t="str">
        <f>IF(AB60="","-",VLOOKUP(AB60,'CERT. COR'!$A$4:$E$2200,3,0))</f>
        <v>-</v>
      </c>
      <c r="AD60" s="117" t="str">
        <f>IF(AB60="","-",VLOOKUP(AB60,'CERT. COR'!$A$4:$E$2200,2,0))</f>
        <v>-</v>
      </c>
      <c r="AE60" s="116">
        <f>IF(Y60="","-",VLOOKUP(Y60,'CERT. COR'!$A$4:$E$2200,5,0))</f>
        <v>100</v>
      </c>
      <c r="AF60" s="116">
        <f>IF(Y60="","-",VLOOKUP(Y60,'CERT. COR'!$A$4:$E$2200,4,0))</f>
        <v>197.9</v>
      </c>
      <c r="AG60" s="116" t="str">
        <f>IF(AB60="","-",VLOOKUP(AB60,'CERT. COR'!$A$4:$E$2200,5,0))</f>
        <v>-</v>
      </c>
      <c r="AH60" s="120" t="str">
        <f>IF(AB60="","-",VLOOKUP(AB60,'CERT. COR'!$A$4:$E$2200,4,0))</f>
        <v>-</v>
      </c>
      <c r="AI60" s="87" t="str">
        <f t="shared" si="0"/>
        <v>PN</v>
      </c>
      <c r="AJ60" s="121">
        <f t="shared" si="1"/>
        <v>5449</v>
      </c>
      <c r="AK60" s="84">
        <f t="shared" si="2"/>
        <v>0</v>
      </c>
    </row>
    <row r="61" spans="1:37" x14ac:dyDescent="0.25">
      <c r="A61" s="82">
        <f>'plan de data'!A61</f>
        <v>59</v>
      </c>
      <c r="B61" s="89">
        <f>'plan de data'!B61</f>
        <v>45873</v>
      </c>
      <c r="C61" s="84">
        <v>349</v>
      </c>
      <c r="D61" s="84">
        <v>345</v>
      </c>
      <c r="E61" s="84">
        <v>345</v>
      </c>
      <c r="F61" s="84">
        <v>344</v>
      </c>
      <c r="G61" s="84">
        <v>345</v>
      </c>
      <c r="H61" s="84">
        <v>345</v>
      </c>
      <c r="I61" s="84">
        <v>345</v>
      </c>
      <c r="J61" s="84">
        <v>345</v>
      </c>
      <c r="K61" s="84">
        <v>345</v>
      </c>
      <c r="L61" s="84">
        <v>345</v>
      </c>
      <c r="M61" s="84">
        <v>344</v>
      </c>
      <c r="N61" s="84">
        <v>345</v>
      </c>
      <c r="O61" s="84">
        <v>345</v>
      </c>
      <c r="P61" s="84">
        <v>345</v>
      </c>
      <c r="Q61" s="84">
        <v>347</v>
      </c>
      <c r="R61" s="84">
        <v>347</v>
      </c>
      <c r="S61" s="84"/>
      <c r="T61" s="84"/>
      <c r="U61" s="84"/>
      <c r="V61" s="84"/>
      <c r="W61" s="84"/>
      <c r="X61" s="84"/>
      <c r="Y61" s="87">
        <v>1062279615</v>
      </c>
      <c r="Z61" s="115">
        <f>IF(Y61="","-",VLOOKUP(Y61,'CERT. COR'!$A$4:$E$2200,3,0))</f>
        <v>45730</v>
      </c>
      <c r="AA61" s="117">
        <f>IF(Y61="","-",VLOOKUP(Y61,'CERT. COR'!$A$4:$E$2200,2,0))</f>
        <v>81902</v>
      </c>
      <c r="AB61" s="87"/>
      <c r="AC61" s="115" t="str">
        <f>IF(AB61="","-",VLOOKUP(AB61,'CERT. COR'!$A$4:$E$2200,3,0))</f>
        <v>-</v>
      </c>
      <c r="AD61" s="117" t="str">
        <f>IF(AB61="","-",VLOOKUP(AB61,'CERT. COR'!$A$4:$E$2200,2,0))</f>
        <v>-</v>
      </c>
      <c r="AE61" s="116">
        <f>IF(Y61="","-",VLOOKUP(Y61,'CERT. COR'!$A$4:$E$2200,5,0))</f>
        <v>99.9</v>
      </c>
      <c r="AF61" s="116">
        <f>IF(Y61="","-",VLOOKUP(Y61,'CERT. COR'!$A$4:$E$2200,4,0))</f>
        <v>200.9</v>
      </c>
      <c r="AG61" s="116" t="str">
        <f>IF(AB61="","-",VLOOKUP(AB61,'CERT. COR'!$A$4:$E$2200,5,0))</f>
        <v>-</v>
      </c>
      <c r="AH61" s="120" t="str">
        <f>IF(AB61="","-",VLOOKUP(AB61,'CERT. COR'!$A$4:$E$2200,4,0))</f>
        <v>-</v>
      </c>
      <c r="AI61" s="87" t="str">
        <f t="shared" si="0"/>
        <v>PN</v>
      </c>
      <c r="AJ61" s="121">
        <f t="shared" si="1"/>
        <v>5526</v>
      </c>
      <c r="AK61" s="84">
        <f t="shared" si="2"/>
        <v>0</v>
      </c>
    </row>
    <row r="62" spans="1:37" x14ac:dyDescent="0.25">
      <c r="A62" s="82">
        <f>'plan de data'!A62</f>
        <v>60</v>
      </c>
      <c r="B62" s="89">
        <f>'plan de data'!B62</f>
        <v>45874</v>
      </c>
      <c r="C62" s="84">
        <v>350</v>
      </c>
      <c r="D62" s="84">
        <v>350</v>
      </c>
      <c r="E62" s="84">
        <v>340</v>
      </c>
      <c r="F62" s="84">
        <v>345</v>
      </c>
      <c r="G62" s="84">
        <v>345</v>
      </c>
      <c r="H62" s="84">
        <v>345</v>
      </c>
      <c r="I62" s="84">
        <v>343</v>
      </c>
      <c r="J62" s="84">
        <v>342</v>
      </c>
      <c r="K62" s="84">
        <v>345</v>
      </c>
      <c r="L62" s="84">
        <v>343</v>
      </c>
      <c r="M62" s="84">
        <v>344</v>
      </c>
      <c r="N62" s="84">
        <v>344</v>
      </c>
      <c r="O62" s="84">
        <v>345</v>
      </c>
      <c r="P62" s="84">
        <v>345</v>
      </c>
      <c r="Q62" s="84">
        <v>346</v>
      </c>
      <c r="R62" s="84">
        <v>345</v>
      </c>
      <c r="S62" s="84"/>
      <c r="T62" s="84"/>
      <c r="U62" s="84"/>
      <c r="V62" s="84"/>
      <c r="W62" s="84"/>
      <c r="X62" s="84"/>
      <c r="Y62" s="87">
        <v>1063047223</v>
      </c>
      <c r="Z62" s="115">
        <f>IF(Y62="","-",VLOOKUP(Y62,'CERT. COR'!$A$4:$E$2200,3,0))</f>
        <v>45859</v>
      </c>
      <c r="AA62" s="117">
        <f>IF(Y62="","-",VLOOKUP(Y62,'CERT. COR'!$A$4:$E$2200,2,0))</f>
        <v>82938</v>
      </c>
      <c r="AB62" s="87"/>
      <c r="AC62" s="115" t="str">
        <f>IF(AB62="","-",VLOOKUP(AB62,'CERT. COR'!$A$4:$E$2200,3,0))</f>
        <v>-</v>
      </c>
      <c r="AD62" s="117" t="str">
        <f>IF(AB62="","-",VLOOKUP(AB62,'CERT. COR'!$A$4:$E$2200,2,0))</f>
        <v>-</v>
      </c>
      <c r="AE62" s="116">
        <f>IF(Y62="","-",VLOOKUP(Y62,'CERT. COR'!$A$4:$E$2200,5,0))</f>
        <v>99.9</v>
      </c>
      <c r="AF62" s="116">
        <f>IF(Y62="","-",VLOOKUP(Y62,'CERT. COR'!$A$4:$E$2200,4,0))</f>
        <v>202</v>
      </c>
      <c r="AG62" s="116" t="str">
        <f>IF(AB62="","-",VLOOKUP(AB62,'CERT. COR'!$A$4:$E$2200,5,0))</f>
        <v>-</v>
      </c>
      <c r="AH62" s="120" t="str">
        <f>IF(AB62="","-",VLOOKUP(AB62,'CERT. COR'!$A$4:$E$2200,4,0))</f>
        <v>-</v>
      </c>
      <c r="AI62" s="87" t="str">
        <f t="shared" si="0"/>
        <v>PN</v>
      </c>
      <c r="AJ62" s="121">
        <f t="shared" si="1"/>
        <v>5517</v>
      </c>
      <c r="AK62" s="84">
        <f t="shared" si="2"/>
        <v>0</v>
      </c>
    </row>
    <row r="63" spans="1:37" x14ac:dyDescent="0.25">
      <c r="A63" s="82">
        <f>'plan de data'!A63</f>
        <v>61</v>
      </c>
      <c r="B63" s="89">
        <f>'plan de data'!B63</f>
        <v>45876</v>
      </c>
      <c r="C63" s="84">
        <v>341</v>
      </c>
      <c r="D63" s="84">
        <v>340</v>
      </c>
      <c r="E63" s="84">
        <v>342</v>
      </c>
      <c r="F63" s="84">
        <v>342</v>
      </c>
      <c r="G63" s="84">
        <v>344</v>
      </c>
      <c r="H63" s="84">
        <v>345</v>
      </c>
      <c r="I63" s="84">
        <v>341</v>
      </c>
      <c r="J63" s="84">
        <v>343</v>
      </c>
      <c r="K63" s="84">
        <v>340</v>
      </c>
      <c r="L63" s="84">
        <v>343</v>
      </c>
      <c r="M63" s="84">
        <v>343</v>
      </c>
      <c r="N63" s="84">
        <v>343</v>
      </c>
      <c r="O63" s="84">
        <v>344</v>
      </c>
      <c r="P63" s="84">
        <v>343</v>
      </c>
      <c r="Q63" s="84">
        <v>345</v>
      </c>
      <c r="R63" s="84">
        <v>342</v>
      </c>
      <c r="S63" s="84"/>
      <c r="T63" s="84"/>
      <c r="U63" s="84"/>
      <c r="V63" s="84"/>
      <c r="W63" s="84"/>
      <c r="X63" s="84"/>
      <c r="Y63" s="87">
        <v>1062279615</v>
      </c>
      <c r="Z63" s="115">
        <f>IF(Y63="","-",VLOOKUP(Y63,'CERT. COR'!$A$4:$E$2200,3,0))</f>
        <v>45730</v>
      </c>
      <c r="AA63" s="117">
        <f>IF(Y63="","-",VLOOKUP(Y63,'CERT. COR'!$A$4:$E$2200,2,0))</f>
        <v>81902</v>
      </c>
      <c r="AB63" s="87">
        <v>1063047223</v>
      </c>
      <c r="AC63" s="115">
        <f>IF(AB63="","-",VLOOKUP(AB63,'CERT. COR'!$A$4:$E$2200,3,0))</f>
        <v>45859</v>
      </c>
      <c r="AD63" s="117">
        <f>IF(AB63="","-",VLOOKUP(AB63,'CERT. COR'!$A$4:$E$2200,2,0))</f>
        <v>82938</v>
      </c>
      <c r="AE63" s="116">
        <f>IF(Y63="","-",VLOOKUP(Y63,'CERT. COR'!$A$4:$E$2200,5,0))</f>
        <v>99.9</v>
      </c>
      <c r="AF63" s="116">
        <f>IF(Y63="","-",VLOOKUP(Y63,'CERT. COR'!$A$4:$E$2200,4,0))</f>
        <v>200.9</v>
      </c>
      <c r="AG63" s="116">
        <f>IF(AB63="","-",VLOOKUP(AB63,'CERT. COR'!$A$4:$E$2200,5,0))</f>
        <v>99.9</v>
      </c>
      <c r="AH63" s="120">
        <f>IF(AB63="","-",VLOOKUP(AB63,'CERT. COR'!$A$4:$E$2200,4,0))</f>
        <v>202</v>
      </c>
      <c r="AI63" s="87" t="str">
        <f t="shared" si="0"/>
        <v>PN</v>
      </c>
      <c r="AJ63" s="121">
        <f t="shared" si="1"/>
        <v>5481</v>
      </c>
      <c r="AK63" s="84">
        <f t="shared" si="2"/>
        <v>0</v>
      </c>
    </row>
    <row r="64" spans="1:37" x14ac:dyDescent="0.25">
      <c r="A64" s="82">
        <f>'plan de data'!A64</f>
        <v>62</v>
      </c>
      <c r="B64" s="89">
        <f>'plan de data'!B64</f>
        <v>45877</v>
      </c>
      <c r="C64" s="84">
        <v>342</v>
      </c>
      <c r="D64" s="84">
        <v>340</v>
      </c>
      <c r="E64" s="84">
        <v>340</v>
      </c>
      <c r="F64" s="84">
        <v>342</v>
      </c>
      <c r="G64" s="84">
        <v>345</v>
      </c>
      <c r="H64" s="84">
        <v>339</v>
      </c>
      <c r="I64" s="84">
        <v>340</v>
      </c>
      <c r="J64" s="84">
        <v>342</v>
      </c>
      <c r="K64" s="84">
        <v>343</v>
      </c>
      <c r="L64" s="84">
        <v>341</v>
      </c>
      <c r="M64" s="84">
        <v>343</v>
      </c>
      <c r="N64" s="84">
        <v>343</v>
      </c>
      <c r="O64" s="84">
        <v>343</v>
      </c>
      <c r="P64" s="84">
        <v>342</v>
      </c>
      <c r="Q64" s="84">
        <v>343</v>
      </c>
      <c r="R64" s="84">
        <v>343</v>
      </c>
      <c r="S64" s="84"/>
      <c r="T64" s="84"/>
      <c r="U64" s="84"/>
      <c r="V64" s="84"/>
      <c r="W64" s="84"/>
      <c r="X64" s="84"/>
      <c r="Y64" s="87">
        <v>1063047223</v>
      </c>
      <c r="Z64" s="115">
        <f>IF(Y64="","-",VLOOKUP(Y64,'CERT. COR'!$A$4:$E$2200,3,0))</f>
        <v>45859</v>
      </c>
      <c r="AA64" s="117">
        <f>IF(Y64="","-",VLOOKUP(Y64,'CERT. COR'!$A$4:$E$2200,2,0))</f>
        <v>82938</v>
      </c>
      <c r="AB64" s="87"/>
      <c r="AC64" s="115" t="str">
        <f>IF(AB64="","-",VLOOKUP(AB64,'CERT. COR'!$A$4:$E$2200,3,0))</f>
        <v>-</v>
      </c>
      <c r="AD64" s="117" t="str">
        <f>IF(AB64="","-",VLOOKUP(AB64,'CERT. COR'!$A$4:$E$2200,2,0))</f>
        <v>-</v>
      </c>
      <c r="AE64" s="116">
        <f>IF(Y64="","-",VLOOKUP(Y64,'CERT. COR'!$A$4:$E$2200,5,0))</f>
        <v>99.9</v>
      </c>
      <c r="AF64" s="116">
        <f>IF(Y64="","-",VLOOKUP(Y64,'CERT. COR'!$A$4:$E$2200,4,0))</f>
        <v>202</v>
      </c>
      <c r="AG64" s="116" t="str">
        <f>IF(AB64="","-",VLOOKUP(AB64,'CERT. COR'!$A$4:$E$2200,5,0))</f>
        <v>-</v>
      </c>
      <c r="AH64" s="120" t="str">
        <f>IF(AB64="","-",VLOOKUP(AB64,'CERT. COR'!$A$4:$E$2200,4,0))</f>
        <v>-</v>
      </c>
      <c r="AI64" s="87" t="str">
        <f t="shared" si="0"/>
        <v>PN</v>
      </c>
      <c r="AJ64" s="121">
        <f t="shared" si="1"/>
        <v>5471</v>
      </c>
      <c r="AK64" s="84">
        <f t="shared" si="2"/>
        <v>0</v>
      </c>
    </row>
    <row r="65" spans="1:37" x14ac:dyDescent="0.25">
      <c r="A65" s="82">
        <f>'plan de data'!A65</f>
        <v>63</v>
      </c>
      <c r="B65" s="89">
        <f>'plan de data'!B65</f>
        <v>45878</v>
      </c>
      <c r="C65" s="84">
        <v>344</v>
      </c>
      <c r="D65" s="84">
        <v>344</v>
      </c>
      <c r="E65" s="84">
        <v>348</v>
      </c>
      <c r="F65" s="84">
        <v>348</v>
      </c>
      <c r="G65" s="84">
        <v>348</v>
      </c>
      <c r="H65" s="84">
        <v>348</v>
      </c>
      <c r="I65" s="84">
        <v>349</v>
      </c>
      <c r="J65" s="84">
        <v>350</v>
      </c>
      <c r="K65" s="84">
        <v>349</v>
      </c>
      <c r="L65" s="84">
        <v>349</v>
      </c>
      <c r="M65" s="84">
        <v>349</v>
      </c>
      <c r="N65" s="84">
        <v>348</v>
      </c>
      <c r="O65" s="84">
        <v>349</v>
      </c>
      <c r="P65" s="84">
        <v>347</v>
      </c>
      <c r="Q65" s="84">
        <v>351</v>
      </c>
      <c r="R65" s="84">
        <v>351</v>
      </c>
      <c r="S65" s="84"/>
      <c r="T65" s="84"/>
      <c r="U65" s="84"/>
      <c r="V65" s="84"/>
      <c r="W65" s="84"/>
      <c r="X65" s="84"/>
      <c r="Y65" s="87">
        <v>1062789754</v>
      </c>
      <c r="Z65" s="115">
        <f>IF(Y65="","-",VLOOKUP(Y65,'CERT. COR'!$A$4:$E$2200,3,0))</f>
        <v>45873</v>
      </c>
      <c r="AA65" s="117">
        <f>IF(Y65="","-",VLOOKUP(Y65,'CERT. COR'!$A$4:$E$2200,2,0))</f>
        <v>83027</v>
      </c>
      <c r="AB65" s="87"/>
      <c r="AC65" s="115" t="str">
        <f>IF(AB65="","-",VLOOKUP(AB65,'CERT. COR'!$A$4:$E$2200,3,0))</f>
        <v>-</v>
      </c>
      <c r="AD65" s="117" t="str">
        <f>IF(AB65="","-",VLOOKUP(AB65,'CERT. COR'!$A$4:$E$2200,2,0))</f>
        <v>-</v>
      </c>
      <c r="AE65" s="116">
        <f>IF(Y65="","-",VLOOKUP(Y65,'CERT. COR'!$A$4:$E$2200,5,0))</f>
        <v>99.9</v>
      </c>
      <c r="AF65" s="116">
        <f>IF(Y65="","-",VLOOKUP(Y65,'CERT. COR'!$A$4:$E$2200,4,0))</f>
        <v>194</v>
      </c>
      <c r="AG65" s="116" t="str">
        <f>IF(AB65="","-",VLOOKUP(AB65,'CERT. COR'!$A$4:$E$2200,5,0))</f>
        <v>-</v>
      </c>
      <c r="AH65" s="120" t="str">
        <f>IF(AB65="","-",VLOOKUP(AB65,'CERT. COR'!$A$4:$E$2200,4,0))</f>
        <v>-</v>
      </c>
      <c r="AI65" s="87" t="str">
        <f t="shared" si="0"/>
        <v>PN</v>
      </c>
      <c r="AJ65" s="121">
        <f t="shared" si="1"/>
        <v>5572</v>
      </c>
      <c r="AK65" s="84">
        <f t="shared" si="2"/>
        <v>0</v>
      </c>
    </row>
    <row r="66" spans="1:37" x14ac:dyDescent="0.25">
      <c r="A66" s="82">
        <f>'plan de data'!A66</f>
        <v>64</v>
      </c>
      <c r="B66" s="89">
        <f>'plan de data'!B66</f>
        <v>45881</v>
      </c>
      <c r="C66" s="84">
        <v>114</v>
      </c>
      <c r="D66" s="84">
        <v>112</v>
      </c>
      <c r="E66" s="84">
        <v>113</v>
      </c>
      <c r="F66" s="84">
        <v>119</v>
      </c>
      <c r="G66" s="84">
        <v>117</v>
      </c>
      <c r="H66" s="84">
        <v>119</v>
      </c>
      <c r="I66" s="84">
        <v>115</v>
      </c>
      <c r="J66" s="84">
        <v>114</v>
      </c>
      <c r="K66" s="84">
        <v>116</v>
      </c>
      <c r="L66" s="84">
        <v>115</v>
      </c>
      <c r="M66" s="84">
        <v>118</v>
      </c>
      <c r="N66" s="84">
        <v>119</v>
      </c>
      <c r="O66" s="84">
        <v>117</v>
      </c>
      <c r="P66" s="84">
        <v>117</v>
      </c>
      <c r="Q66" s="84">
        <v>118</v>
      </c>
      <c r="R66" s="84">
        <v>119</v>
      </c>
      <c r="S66" s="84">
        <v>119</v>
      </c>
      <c r="T66" s="84">
        <v>118</v>
      </c>
      <c r="U66" s="84"/>
      <c r="V66" s="84"/>
      <c r="W66" s="84"/>
      <c r="X66" s="84"/>
      <c r="Y66" s="87">
        <v>1063047223</v>
      </c>
      <c r="Z66" s="115">
        <f>IF(Y66="","-",VLOOKUP(Y66,'CERT. COR'!$A$4:$E$2200,3,0))</f>
        <v>45859</v>
      </c>
      <c r="AA66" s="117">
        <f>IF(Y66="","-",VLOOKUP(Y66,'CERT. COR'!$A$4:$E$2200,2,0))</f>
        <v>82938</v>
      </c>
      <c r="AB66" s="87"/>
      <c r="AC66" s="115" t="str">
        <f>IF(AB66="","-",VLOOKUP(AB66,'CERT. COR'!$A$4:$E$2200,3,0))</f>
        <v>-</v>
      </c>
      <c r="AD66" s="117" t="str">
        <f>IF(AB66="","-",VLOOKUP(AB66,'CERT. COR'!$A$4:$E$2200,2,0))</f>
        <v>-</v>
      </c>
      <c r="AE66" s="116">
        <f>IF(Y66="","-",VLOOKUP(Y66,'CERT. COR'!$A$4:$E$2200,5,0))</f>
        <v>99.9</v>
      </c>
      <c r="AF66" s="116">
        <f>IF(Y66="","-",VLOOKUP(Y66,'CERT. COR'!$A$4:$E$2200,4,0))</f>
        <v>202</v>
      </c>
      <c r="AG66" s="116" t="str">
        <f>IF(AB66="","-",VLOOKUP(AB66,'CERT. COR'!$A$4:$E$2200,5,0))</f>
        <v>-</v>
      </c>
      <c r="AH66" s="120" t="str">
        <f>IF(AB66="","-",VLOOKUP(AB66,'CERT. COR'!$A$4:$E$2200,4,0))</f>
        <v>-</v>
      </c>
      <c r="AI66" s="87" t="str">
        <f t="shared" si="0"/>
        <v>PF</v>
      </c>
      <c r="AJ66" s="121">
        <f t="shared" si="1"/>
        <v>0</v>
      </c>
      <c r="AK66" s="84">
        <f t="shared" si="2"/>
        <v>2099</v>
      </c>
    </row>
    <row r="67" spans="1:37" x14ac:dyDescent="0.25">
      <c r="A67" s="82">
        <f>'plan de data'!A67</f>
        <v>65</v>
      </c>
      <c r="B67" s="89">
        <f>'plan de data'!B67</f>
        <v>45881</v>
      </c>
      <c r="C67" s="84">
        <v>341</v>
      </c>
      <c r="D67" s="84">
        <v>342</v>
      </c>
      <c r="E67" s="84">
        <v>340</v>
      </c>
      <c r="F67" s="84">
        <v>342</v>
      </c>
      <c r="G67" s="84">
        <v>340</v>
      </c>
      <c r="H67" s="84">
        <v>342</v>
      </c>
      <c r="I67" s="84">
        <v>340</v>
      </c>
      <c r="J67" s="84">
        <v>341</v>
      </c>
      <c r="K67" s="84">
        <v>342</v>
      </c>
      <c r="L67" s="84">
        <v>341</v>
      </c>
      <c r="M67" s="84">
        <v>341</v>
      </c>
      <c r="N67" s="84">
        <v>342</v>
      </c>
      <c r="O67" s="84">
        <v>344</v>
      </c>
      <c r="P67" s="84">
        <v>343</v>
      </c>
      <c r="Q67" s="84">
        <v>341</v>
      </c>
      <c r="R67" s="84">
        <v>342</v>
      </c>
      <c r="S67" s="84"/>
      <c r="T67" s="84"/>
      <c r="U67" s="84"/>
      <c r="V67" s="84"/>
      <c r="W67" s="84"/>
      <c r="X67" s="84"/>
      <c r="Y67" s="87">
        <v>1063047223</v>
      </c>
      <c r="Z67" s="115">
        <f>IF(Y67="","-",VLOOKUP(Y67,'CERT. COR'!$A$4:$E$2200,3,0))</f>
        <v>45859</v>
      </c>
      <c r="AA67" s="117">
        <f>IF(Y67="","-",VLOOKUP(Y67,'CERT. COR'!$A$4:$E$2200,2,0))</f>
        <v>82938</v>
      </c>
      <c r="AB67" s="87"/>
      <c r="AC67" s="115" t="str">
        <f>IF(AB67="","-",VLOOKUP(AB67,'CERT. COR'!$A$4:$E$2200,3,0))</f>
        <v>-</v>
      </c>
      <c r="AD67" s="117" t="str">
        <f>IF(AB67="","-",VLOOKUP(AB67,'CERT. COR'!$A$4:$E$2200,2,0))</f>
        <v>-</v>
      </c>
      <c r="AE67" s="116">
        <f>IF(Y67="","-",VLOOKUP(Y67,'CERT. COR'!$A$4:$E$2200,5,0))</f>
        <v>99.9</v>
      </c>
      <c r="AF67" s="116">
        <f>IF(Y67="","-",VLOOKUP(Y67,'CERT. COR'!$A$4:$E$2200,4,0))</f>
        <v>202</v>
      </c>
      <c r="AG67" s="116" t="str">
        <f>IF(AB67="","-",VLOOKUP(AB67,'CERT. COR'!$A$4:$E$2200,5,0))</f>
        <v>-</v>
      </c>
      <c r="AH67" s="120" t="str">
        <f>IF(AB67="","-",VLOOKUP(AB67,'CERT. COR'!$A$4:$E$2200,4,0))</f>
        <v>-</v>
      </c>
      <c r="AI67" s="87" t="str">
        <f t="shared" si="0"/>
        <v>PN</v>
      </c>
      <c r="AJ67" s="121">
        <f t="shared" si="1"/>
        <v>5464</v>
      </c>
      <c r="AK67" s="84">
        <f t="shared" si="2"/>
        <v>0</v>
      </c>
    </row>
    <row r="68" spans="1:37" x14ac:dyDescent="0.25">
      <c r="A68" s="82">
        <f>'plan de data'!A68</f>
        <v>66</v>
      </c>
      <c r="B68" s="89">
        <f>'plan de data'!B68</f>
        <v>45883</v>
      </c>
      <c r="C68" s="84">
        <v>346</v>
      </c>
      <c r="D68" s="84">
        <v>348</v>
      </c>
      <c r="E68" s="84">
        <v>347</v>
      </c>
      <c r="F68" s="84">
        <v>340</v>
      </c>
      <c r="G68" s="84">
        <v>347</v>
      </c>
      <c r="H68" s="84">
        <v>347</v>
      </c>
      <c r="I68" s="84">
        <v>348</v>
      </c>
      <c r="J68" s="84">
        <v>342</v>
      </c>
      <c r="K68" s="84">
        <v>346</v>
      </c>
      <c r="L68" s="84">
        <v>346</v>
      </c>
      <c r="M68" s="84">
        <v>348</v>
      </c>
      <c r="N68" s="84">
        <v>346</v>
      </c>
      <c r="O68" s="84">
        <v>348</v>
      </c>
      <c r="P68" s="84">
        <v>348</v>
      </c>
      <c r="Q68" s="84">
        <v>351</v>
      </c>
      <c r="R68" s="84">
        <v>342</v>
      </c>
      <c r="S68" s="84"/>
      <c r="T68" s="84"/>
      <c r="U68" s="84"/>
      <c r="V68" s="84"/>
      <c r="W68" s="84"/>
      <c r="X68" s="84"/>
      <c r="Y68" s="87">
        <v>1062789754</v>
      </c>
      <c r="Z68" s="115">
        <f>IF(Y68="","-",VLOOKUP(Y68,'CERT. COR'!$A$4:$E$2200,3,0))</f>
        <v>45873</v>
      </c>
      <c r="AA68" s="117">
        <f>IF(Y68="","-",VLOOKUP(Y68,'CERT. COR'!$A$4:$E$2200,2,0))</f>
        <v>83027</v>
      </c>
      <c r="AB68" s="87"/>
      <c r="AC68" s="115" t="str">
        <f>IF(AB68="","-",VLOOKUP(AB68,'CERT. COR'!$A$4:$E$2200,3,0))</f>
        <v>-</v>
      </c>
      <c r="AD68" s="117" t="str">
        <f>IF(AB68="","-",VLOOKUP(AB68,'CERT. COR'!$A$4:$E$2200,2,0))</f>
        <v>-</v>
      </c>
      <c r="AE68" s="116">
        <f>IF(Y68="","-",VLOOKUP(Y68,'CERT. COR'!$A$4:$E$2200,5,0))</f>
        <v>99.9</v>
      </c>
      <c r="AF68" s="116">
        <f>IF(Y68="","-",VLOOKUP(Y68,'CERT. COR'!$A$4:$E$2200,4,0))</f>
        <v>194</v>
      </c>
      <c r="AG68" s="116" t="str">
        <f>IF(AB68="","-",VLOOKUP(AB68,'CERT. COR'!$A$4:$E$2200,5,0))</f>
        <v>-</v>
      </c>
      <c r="AH68" s="120" t="str">
        <f>IF(AB68="","-",VLOOKUP(AB68,'CERT. COR'!$A$4:$E$2200,4,0))</f>
        <v>-</v>
      </c>
      <c r="AI68" s="87" t="str">
        <f t="shared" ref="AI68:AI131" si="3">IF(T68="","PN","PF")</f>
        <v>PN</v>
      </c>
      <c r="AJ68" s="121">
        <f t="shared" ref="AJ68:AJ131" si="4">IF(AI68="PN",SUM(C68:R68),0)</f>
        <v>5540</v>
      </c>
      <c r="AK68" s="84">
        <f t="shared" ref="AK68:AK131" si="5">IF(AI68="PF",SUM(C68:T68),0)</f>
        <v>0</v>
      </c>
    </row>
    <row r="69" spans="1:37" x14ac:dyDescent="0.25">
      <c r="A69" s="82">
        <f>'plan de data'!A69</f>
        <v>67</v>
      </c>
      <c r="B69" s="89">
        <f>'plan de data'!B69</f>
        <v>45884</v>
      </c>
      <c r="C69" s="84">
        <v>347</v>
      </c>
      <c r="D69" s="84">
        <v>339</v>
      </c>
      <c r="E69" s="84">
        <v>351</v>
      </c>
      <c r="F69" s="84">
        <v>348</v>
      </c>
      <c r="G69" s="84">
        <v>353</v>
      </c>
      <c r="H69" s="84">
        <v>344</v>
      </c>
      <c r="I69" s="84">
        <v>350</v>
      </c>
      <c r="J69" s="84">
        <v>349</v>
      </c>
      <c r="K69" s="84">
        <v>345</v>
      </c>
      <c r="L69" s="84">
        <v>345</v>
      </c>
      <c r="M69" s="84">
        <v>351</v>
      </c>
      <c r="N69" s="84">
        <v>350</v>
      </c>
      <c r="O69" s="84">
        <v>353</v>
      </c>
      <c r="P69" s="84">
        <v>349</v>
      </c>
      <c r="Q69" s="84">
        <v>345</v>
      </c>
      <c r="R69" s="84">
        <v>351</v>
      </c>
      <c r="S69" s="84"/>
      <c r="T69" s="84"/>
      <c r="U69" s="84"/>
      <c r="V69" s="84"/>
      <c r="W69" s="84"/>
      <c r="X69" s="84"/>
      <c r="Y69" s="87">
        <v>1063047223</v>
      </c>
      <c r="Z69" s="115">
        <f>IF(Y69="","-",VLOOKUP(Y69,'CERT. COR'!$A$4:$E$2200,3,0))</f>
        <v>45859</v>
      </c>
      <c r="AA69" s="117">
        <f>IF(Y69="","-",VLOOKUP(Y69,'CERT. COR'!$A$4:$E$2200,2,0))</f>
        <v>82938</v>
      </c>
      <c r="AB69" s="87"/>
      <c r="AC69" s="115" t="str">
        <f>IF(AB69="","-",VLOOKUP(AB69,'CERT. COR'!$A$4:$E$2200,3,0))</f>
        <v>-</v>
      </c>
      <c r="AD69" s="117" t="str">
        <f>IF(AB69="","-",VLOOKUP(AB69,'CERT. COR'!$A$4:$E$2200,2,0))</f>
        <v>-</v>
      </c>
      <c r="AE69" s="116">
        <f>IF(Y69="","-",VLOOKUP(Y69,'CERT. COR'!$A$4:$E$2200,5,0))</f>
        <v>99.9</v>
      </c>
      <c r="AF69" s="116">
        <f>IF(Y69="","-",VLOOKUP(Y69,'CERT. COR'!$A$4:$E$2200,4,0))</f>
        <v>202</v>
      </c>
      <c r="AG69" s="116" t="str">
        <f>IF(AB69="","-",VLOOKUP(AB69,'CERT. COR'!$A$4:$E$2200,5,0))</f>
        <v>-</v>
      </c>
      <c r="AH69" s="120" t="str">
        <f>IF(AB69="","-",VLOOKUP(AB69,'CERT. COR'!$A$4:$E$2200,4,0))</f>
        <v>-</v>
      </c>
      <c r="AI69" s="87" t="str">
        <f t="shared" si="3"/>
        <v>PN</v>
      </c>
      <c r="AJ69" s="121">
        <f t="shared" si="4"/>
        <v>5570</v>
      </c>
      <c r="AK69" s="84">
        <f t="shared" si="5"/>
        <v>0</v>
      </c>
    </row>
    <row r="70" spans="1:37" x14ac:dyDescent="0.25">
      <c r="A70" s="82">
        <f>'plan de data'!A70</f>
        <v>68</v>
      </c>
      <c r="B70" s="89">
        <f>'plan de data'!B70</f>
        <v>45885</v>
      </c>
      <c r="C70" s="84">
        <v>351</v>
      </c>
      <c r="D70" s="84">
        <v>345</v>
      </c>
      <c r="E70" s="84">
        <v>348</v>
      </c>
      <c r="F70" s="84">
        <v>345</v>
      </c>
      <c r="G70" s="84">
        <v>350</v>
      </c>
      <c r="H70" s="84">
        <v>345</v>
      </c>
      <c r="I70" s="84">
        <v>346</v>
      </c>
      <c r="J70" s="84">
        <v>345</v>
      </c>
      <c r="K70" s="84">
        <v>345</v>
      </c>
      <c r="L70" s="84">
        <v>345</v>
      </c>
      <c r="M70" s="84">
        <v>345</v>
      </c>
      <c r="N70" s="84">
        <v>345</v>
      </c>
      <c r="O70" s="84">
        <v>348</v>
      </c>
      <c r="P70" s="84">
        <v>354</v>
      </c>
      <c r="Q70" s="84">
        <v>355</v>
      </c>
      <c r="R70" s="84">
        <v>354</v>
      </c>
      <c r="S70" s="84"/>
      <c r="T70" s="84"/>
      <c r="U70" s="84"/>
      <c r="V70" s="84"/>
      <c r="W70" s="84"/>
      <c r="X70" s="84"/>
      <c r="Y70" s="87">
        <v>1062149086</v>
      </c>
      <c r="Z70" s="115">
        <f>IF(Y70="","-",VLOOKUP(Y70,'CERT. COR'!$A$4:$E$2200,3,0))</f>
        <v>45730</v>
      </c>
      <c r="AA70" s="117">
        <f>IF(Y70="","-",VLOOKUP(Y70,'CERT. COR'!$A$4:$E$2200,2,0))</f>
        <v>81902</v>
      </c>
      <c r="AB70" s="87"/>
      <c r="AC70" s="115" t="str">
        <f>IF(AB70="","-",VLOOKUP(AB70,'CERT. COR'!$A$4:$E$2200,3,0))</f>
        <v>-</v>
      </c>
      <c r="AD70" s="117" t="str">
        <f>IF(AB70="","-",VLOOKUP(AB70,'CERT. COR'!$A$4:$E$2200,2,0))</f>
        <v>-</v>
      </c>
      <c r="AE70" s="116">
        <f>IF(Y70="","-",VLOOKUP(Y70,'CERT. COR'!$A$4:$E$2200,5,0))</f>
        <v>99.7</v>
      </c>
      <c r="AF70" s="116">
        <f>IF(Y70="","-",VLOOKUP(Y70,'CERT. COR'!$A$4:$E$2200,4,0))</f>
        <v>197.9</v>
      </c>
      <c r="AG70" s="116" t="str">
        <f>IF(AB70="","-",VLOOKUP(AB70,'CERT. COR'!$A$4:$E$2200,5,0))</f>
        <v>-</v>
      </c>
      <c r="AH70" s="120" t="str">
        <f>IF(AB70="","-",VLOOKUP(AB70,'CERT. COR'!$A$4:$E$2200,4,0))</f>
        <v>-</v>
      </c>
      <c r="AI70" s="87" t="str">
        <f t="shared" si="3"/>
        <v>PN</v>
      </c>
      <c r="AJ70" s="121">
        <f t="shared" si="4"/>
        <v>5566</v>
      </c>
      <c r="AK70" s="84">
        <f t="shared" si="5"/>
        <v>0</v>
      </c>
    </row>
    <row r="71" spans="1:37" x14ac:dyDescent="0.25">
      <c r="A71" s="82">
        <f>'plan de data'!A71</f>
        <v>69</v>
      </c>
      <c r="B71" s="89">
        <f>'plan de data'!B71</f>
        <v>45887</v>
      </c>
      <c r="C71" s="84">
        <v>115</v>
      </c>
      <c r="D71" s="84">
        <v>111</v>
      </c>
      <c r="E71" s="84">
        <v>115</v>
      </c>
      <c r="F71" s="84">
        <v>115</v>
      </c>
      <c r="G71" s="84">
        <v>115</v>
      </c>
      <c r="H71" s="84">
        <v>115</v>
      </c>
      <c r="I71" s="84">
        <v>116</v>
      </c>
      <c r="J71" s="84">
        <v>116</v>
      </c>
      <c r="K71" s="84">
        <v>117</v>
      </c>
      <c r="L71" s="84">
        <v>118</v>
      </c>
      <c r="M71" s="84">
        <v>117</v>
      </c>
      <c r="N71" s="84">
        <v>118</v>
      </c>
      <c r="O71" s="84">
        <v>119</v>
      </c>
      <c r="P71" s="84">
        <v>119</v>
      </c>
      <c r="Q71" s="84">
        <v>118</v>
      </c>
      <c r="R71" s="84">
        <v>118</v>
      </c>
      <c r="S71" s="84">
        <v>118</v>
      </c>
      <c r="T71" s="84">
        <v>118</v>
      </c>
      <c r="U71" s="84"/>
      <c r="V71" s="84"/>
      <c r="W71" s="84"/>
      <c r="X71" s="84"/>
      <c r="Y71" s="87">
        <v>1062149086</v>
      </c>
      <c r="Z71" s="115">
        <f>IF(Y71="","-",VLOOKUP(Y71,'CERT. COR'!$A$4:$E$2200,3,0))</f>
        <v>45730</v>
      </c>
      <c r="AA71" s="117">
        <f>IF(Y71="","-",VLOOKUP(Y71,'CERT. COR'!$A$4:$E$2200,2,0))</f>
        <v>81902</v>
      </c>
      <c r="AB71" s="87"/>
      <c r="AC71" s="115" t="str">
        <f>IF(AB71="","-",VLOOKUP(AB71,'CERT. COR'!$A$4:$E$2200,3,0))</f>
        <v>-</v>
      </c>
      <c r="AD71" s="117" t="str">
        <f>IF(AB71="","-",VLOOKUP(AB71,'CERT. COR'!$A$4:$E$2200,2,0))</f>
        <v>-</v>
      </c>
      <c r="AE71" s="116">
        <f>IF(Y71="","-",VLOOKUP(Y71,'CERT. COR'!$A$4:$E$2200,5,0))</f>
        <v>99.7</v>
      </c>
      <c r="AF71" s="116">
        <f>IF(Y71="","-",VLOOKUP(Y71,'CERT. COR'!$A$4:$E$2200,4,0))</f>
        <v>197.9</v>
      </c>
      <c r="AG71" s="116" t="str">
        <f>IF(AB71="","-",VLOOKUP(AB71,'CERT. COR'!$A$4:$E$2200,5,0))</f>
        <v>-</v>
      </c>
      <c r="AH71" s="120" t="str">
        <f>IF(AB71="","-",VLOOKUP(AB71,'CERT. COR'!$A$4:$E$2200,4,0))</f>
        <v>-</v>
      </c>
      <c r="AI71" s="87" t="str">
        <f t="shared" si="3"/>
        <v>PF</v>
      </c>
      <c r="AJ71" s="121">
        <f t="shared" si="4"/>
        <v>0</v>
      </c>
      <c r="AK71" s="84">
        <f t="shared" si="5"/>
        <v>2098</v>
      </c>
    </row>
    <row r="72" spans="1:37" x14ac:dyDescent="0.25">
      <c r="A72" s="82">
        <f>'plan de data'!A72</f>
        <v>70</v>
      </c>
      <c r="B72" s="89">
        <f>'plan de data'!B72</f>
        <v>45888</v>
      </c>
      <c r="C72" s="84">
        <v>346</v>
      </c>
      <c r="D72" s="84">
        <v>350</v>
      </c>
      <c r="E72" s="84">
        <v>345</v>
      </c>
      <c r="F72" s="84">
        <v>343</v>
      </c>
      <c r="G72" s="84">
        <v>345</v>
      </c>
      <c r="H72" s="84">
        <v>342</v>
      </c>
      <c r="I72" s="84">
        <v>345</v>
      </c>
      <c r="J72" s="84">
        <v>343</v>
      </c>
      <c r="K72" s="84">
        <v>345</v>
      </c>
      <c r="L72" s="84">
        <v>345</v>
      </c>
      <c r="M72" s="84">
        <v>347</v>
      </c>
      <c r="N72" s="84">
        <v>347</v>
      </c>
      <c r="O72" s="84">
        <v>345</v>
      </c>
      <c r="P72" s="84">
        <v>345</v>
      </c>
      <c r="Q72" s="84">
        <v>348</v>
      </c>
      <c r="R72" s="84">
        <v>346</v>
      </c>
      <c r="S72" s="84"/>
      <c r="T72" s="84"/>
      <c r="U72" s="84"/>
      <c r="V72" s="84"/>
      <c r="W72" s="84"/>
      <c r="X72" s="84"/>
      <c r="Y72" s="87">
        <v>1062801588</v>
      </c>
      <c r="Z72" s="115">
        <f>IF(Y72="","-",VLOOKUP(Y72,'CERT. COR'!$A$4:$E$2200,3,0))</f>
        <v>45873</v>
      </c>
      <c r="AA72" s="117">
        <f>IF(Y72="","-",VLOOKUP(Y72,'CERT. COR'!$A$4:$E$2200,2,0))</f>
        <v>83025</v>
      </c>
      <c r="AB72" s="87"/>
      <c r="AC72" s="115" t="str">
        <f>IF(AB72="","-",VLOOKUP(AB72,'CERT. COR'!$A$4:$E$2200,3,0))</f>
        <v>-</v>
      </c>
      <c r="AD72" s="117" t="str">
        <f>IF(AB72="","-",VLOOKUP(AB72,'CERT. COR'!$A$4:$E$2200,2,0))</f>
        <v>-</v>
      </c>
      <c r="AE72" s="116">
        <f>IF(Y72="","-",VLOOKUP(Y72,'CERT. COR'!$A$4:$E$2200,5,0))</f>
        <v>100</v>
      </c>
      <c r="AF72" s="116">
        <f>IF(Y72="","-",VLOOKUP(Y72,'CERT. COR'!$A$4:$E$2200,4,0))</f>
        <v>194.4</v>
      </c>
      <c r="AG72" s="116" t="str">
        <f>IF(AB72="","-",VLOOKUP(AB72,'CERT. COR'!$A$4:$E$2200,5,0))</f>
        <v>-</v>
      </c>
      <c r="AH72" s="120" t="str">
        <f>IF(AB72="","-",VLOOKUP(AB72,'CERT. COR'!$A$4:$E$2200,4,0))</f>
        <v>-</v>
      </c>
      <c r="AI72" s="87" t="str">
        <f t="shared" si="3"/>
        <v>PN</v>
      </c>
      <c r="AJ72" s="121">
        <f t="shared" si="4"/>
        <v>5527</v>
      </c>
      <c r="AK72" s="84">
        <f t="shared" si="5"/>
        <v>0</v>
      </c>
    </row>
    <row r="73" spans="1:37" x14ac:dyDescent="0.25">
      <c r="A73" s="82">
        <f>'plan de data'!A73</f>
        <v>71</v>
      </c>
      <c r="B73" s="89">
        <f>'plan de data'!B73</f>
        <v>45889</v>
      </c>
      <c r="C73" s="84">
        <v>353</v>
      </c>
      <c r="D73" s="84">
        <v>348</v>
      </c>
      <c r="E73" s="84">
        <v>345</v>
      </c>
      <c r="F73" s="84">
        <v>350</v>
      </c>
      <c r="G73" s="84">
        <v>349</v>
      </c>
      <c r="H73" s="84">
        <v>345</v>
      </c>
      <c r="I73" s="84">
        <v>350</v>
      </c>
      <c r="J73" s="84">
        <v>345</v>
      </c>
      <c r="K73" s="84">
        <v>349</v>
      </c>
      <c r="L73" s="84">
        <v>350</v>
      </c>
      <c r="M73" s="84">
        <v>349</v>
      </c>
      <c r="N73" s="84">
        <v>345</v>
      </c>
      <c r="O73" s="84">
        <v>351</v>
      </c>
      <c r="P73" s="84">
        <v>350</v>
      </c>
      <c r="Q73" s="84">
        <v>345</v>
      </c>
      <c r="R73" s="84">
        <v>345</v>
      </c>
      <c r="S73" s="84"/>
      <c r="T73" s="84"/>
      <c r="U73" s="84"/>
      <c r="V73" s="84"/>
      <c r="W73" s="84"/>
      <c r="X73" s="84"/>
      <c r="Y73" s="87">
        <v>1062149086</v>
      </c>
      <c r="Z73" s="115">
        <f>IF(Y73="","-",VLOOKUP(Y73,'CERT. COR'!$A$4:$E$2200,3,0))</f>
        <v>45730</v>
      </c>
      <c r="AA73" s="117">
        <f>IF(Y73="","-",VLOOKUP(Y73,'CERT. COR'!$A$4:$E$2200,2,0))</f>
        <v>81902</v>
      </c>
      <c r="AB73" s="87"/>
      <c r="AC73" s="115" t="str">
        <f>IF(AB73="","-",VLOOKUP(AB73,'CERT. COR'!$A$4:$E$2200,3,0))</f>
        <v>-</v>
      </c>
      <c r="AD73" s="117" t="str">
        <f>IF(AB73="","-",VLOOKUP(AB73,'CERT. COR'!$A$4:$E$2200,2,0))</f>
        <v>-</v>
      </c>
      <c r="AE73" s="116">
        <f>IF(Y73="","-",VLOOKUP(Y73,'CERT. COR'!$A$4:$E$2200,5,0))</f>
        <v>99.7</v>
      </c>
      <c r="AF73" s="116">
        <f>IF(Y73="","-",VLOOKUP(Y73,'CERT. COR'!$A$4:$E$2200,4,0))</f>
        <v>197.9</v>
      </c>
      <c r="AG73" s="116" t="str">
        <f>IF(AB73="","-",VLOOKUP(AB73,'CERT. COR'!$A$4:$E$2200,5,0))</f>
        <v>-</v>
      </c>
      <c r="AH73" s="120" t="str">
        <f>IF(AB73="","-",VLOOKUP(AB73,'CERT. COR'!$A$4:$E$2200,4,0))</f>
        <v>-</v>
      </c>
      <c r="AI73" s="87" t="str">
        <f t="shared" si="3"/>
        <v>PN</v>
      </c>
      <c r="AJ73" s="121">
        <f>IF(AI73="PN",SUM(C73:R73),0)</f>
        <v>5569</v>
      </c>
      <c r="AK73" s="84">
        <f t="shared" si="5"/>
        <v>0</v>
      </c>
    </row>
    <row r="74" spans="1:37" x14ac:dyDescent="0.25">
      <c r="A74" s="82">
        <f>'plan de data'!A74</f>
        <v>72</v>
      </c>
      <c r="B74" s="89">
        <f>'plan de data'!B74</f>
        <v>45891</v>
      </c>
      <c r="C74" s="84">
        <v>347</v>
      </c>
      <c r="D74" s="84">
        <v>346</v>
      </c>
      <c r="E74" s="84">
        <v>343</v>
      </c>
      <c r="F74" s="84">
        <v>345</v>
      </c>
      <c r="G74" s="84">
        <v>343</v>
      </c>
      <c r="H74" s="84">
        <v>343</v>
      </c>
      <c r="I74" s="84">
        <v>346</v>
      </c>
      <c r="J74" s="84">
        <v>348</v>
      </c>
      <c r="K74" s="84">
        <v>349</v>
      </c>
      <c r="L74" s="84">
        <v>348</v>
      </c>
      <c r="M74" s="84">
        <v>350</v>
      </c>
      <c r="N74" s="84">
        <v>348</v>
      </c>
      <c r="O74" s="84">
        <v>345</v>
      </c>
      <c r="P74" s="84">
        <v>345</v>
      </c>
      <c r="Q74" s="84">
        <v>350</v>
      </c>
      <c r="R74" s="84">
        <v>350</v>
      </c>
      <c r="S74" s="84"/>
      <c r="T74" s="84"/>
      <c r="U74" s="84"/>
      <c r="V74" s="84"/>
      <c r="W74" s="84"/>
      <c r="X74" s="84"/>
      <c r="Y74" s="87">
        <v>1062149086</v>
      </c>
      <c r="Z74" s="115">
        <f>IF(Y74="","-",VLOOKUP(Y74,'CERT. COR'!$A$4:$E$2200,3,0))</f>
        <v>45730</v>
      </c>
      <c r="AA74" s="117">
        <f>IF(Y74="","-",VLOOKUP(Y74,'CERT. COR'!$A$4:$E$2200,2,0))</f>
        <v>81902</v>
      </c>
      <c r="AB74" s="87"/>
      <c r="AC74" s="115" t="str">
        <f>IF(AB74="","-",VLOOKUP(AB74,'CERT. COR'!$A$4:$E$2200,3,0))</f>
        <v>-</v>
      </c>
      <c r="AD74" s="117" t="str">
        <f>IF(AB74="","-",VLOOKUP(AB74,'CERT. COR'!$A$4:$E$2200,2,0))</f>
        <v>-</v>
      </c>
      <c r="AE74" s="116">
        <f>IF(Y74="","-",VLOOKUP(Y74,'CERT. COR'!$A$4:$E$2200,5,0))</f>
        <v>99.7</v>
      </c>
      <c r="AF74" s="116">
        <f>IF(Y74="","-",VLOOKUP(Y74,'CERT. COR'!$A$4:$E$2200,4,0))</f>
        <v>197.9</v>
      </c>
      <c r="AG74" s="116" t="str">
        <f>IF(AB74="","-",VLOOKUP(AB74,'CERT. COR'!$A$4:$E$2200,5,0))</f>
        <v>-</v>
      </c>
      <c r="AH74" s="120" t="str">
        <f>IF(AB74="","-",VLOOKUP(AB74,'CERT. COR'!$A$4:$E$2200,4,0))</f>
        <v>-</v>
      </c>
      <c r="AI74" s="87" t="str">
        <f t="shared" si="3"/>
        <v>PN</v>
      </c>
      <c r="AJ74" s="121">
        <f t="shared" si="4"/>
        <v>5546</v>
      </c>
      <c r="AK74" s="84">
        <f t="shared" si="5"/>
        <v>0</v>
      </c>
    </row>
    <row r="75" spans="1:37" x14ac:dyDescent="0.25">
      <c r="A75" s="82">
        <f>'plan de data'!A75</f>
        <v>73</v>
      </c>
      <c r="B75" s="89">
        <f>'plan de data'!B75</f>
        <v>45892</v>
      </c>
      <c r="C75" s="84">
        <v>355</v>
      </c>
      <c r="D75" s="84">
        <v>345</v>
      </c>
      <c r="E75" s="84">
        <v>349</v>
      </c>
      <c r="F75" s="84">
        <v>345</v>
      </c>
      <c r="G75" s="84">
        <v>345</v>
      </c>
      <c r="H75" s="84">
        <v>346</v>
      </c>
      <c r="I75" s="84">
        <v>330</v>
      </c>
      <c r="J75" s="84">
        <v>345</v>
      </c>
      <c r="K75" s="84">
        <v>350</v>
      </c>
      <c r="L75" s="84">
        <v>350</v>
      </c>
      <c r="M75" s="84">
        <v>351</v>
      </c>
      <c r="N75" s="84">
        <v>354</v>
      </c>
      <c r="O75" s="84">
        <v>348</v>
      </c>
      <c r="P75" s="84">
        <v>347</v>
      </c>
      <c r="Q75" s="84">
        <v>349</v>
      </c>
      <c r="R75" s="84">
        <v>352</v>
      </c>
      <c r="S75" s="84"/>
      <c r="T75" s="84"/>
      <c r="U75" s="84"/>
      <c r="V75" s="84"/>
      <c r="W75" s="84"/>
      <c r="X75" s="84"/>
      <c r="Y75" s="87">
        <v>1062437954</v>
      </c>
      <c r="Z75" s="115">
        <f>IF(Y75="","-",VLOOKUP(Y75,'CERT. COR'!$A$4:$E$2200,3,0))</f>
        <v>45737</v>
      </c>
      <c r="AA75" s="117">
        <f>IF(Y75="","-",VLOOKUP(Y75,'CERT. COR'!$A$4:$E$2200,2,0))</f>
        <v>81985</v>
      </c>
      <c r="AB75" s="87"/>
      <c r="AC75" s="115" t="str">
        <f>IF(AB75="","-",VLOOKUP(AB75,'CERT. COR'!$A$4:$E$2200,3,0))</f>
        <v>-</v>
      </c>
      <c r="AD75" s="117" t="str">
        <f>IF(AB75="","-",VLOOKUP(AB75,'CERT. COR'!$A$4:$E$2200,2,0))</f>
        <v>-</v>
      </c>
      <c r="AE75" s="116">
        <f>IF(Y75="","-",VLOOKUP(Y75,'CERT. COR'!$A$4:$E$2200,5,0))</f>
        <v>100</v>
      </c>
      <c r="AF75" s="116">
        <f>IF(Y75="","-",VLOOKUP(Y75,'CERT. COR'!$A$4:$E$2200,4,0))</f>
        <v>201.6</v>
      </c>
      <c r="AG75" s="116" t="str">
        <f>IF(AB75="","-",VLOOKUP(AB75,'CERT. COR'!$A$4:$E$2200,5,0))</f>
        <v>-</v>
      </c>
      <c r="AH75" s="120" t="str">
        <f>IF(AB75="","-",VLOOKUP(AB75,'CERT. COR'!$A$4:$E$2200,4,0))</f>
        <v>-</v>
      </c>
      <c r="AI75" s="87" t="str">
        <f t="shared" si="3"/>
        <v>PN</v>
      </c>
      <c r="AJ75" s="121">
        <f t="shared" si="4"/>
        <v>5561</v>
      </c>
      <c r="AK75" s="84">
        <f t="shared" si="5"/>
        <v>0</v>
      </c>
    </row>
    <row r="76" spans="1:37" x14ac:dyDescent="0.25">
      <c r="A76" s="82">
        <f>'plan de data'!A76</f>
        <v>74</v>
      </c>
      <c r="B76" s="89">
        <f>'plan de data'!B76</f>
        <v>45894</v>
      </c>
      <c r="C76" s="84">
        <v>114</v>
      </c>
      <c r="D76" s="84">
        <v>116</v>
      </c>
      <c r="E76" s="84">
        <v>114</v>
      </c>
      <c r="F76" s="84">
        <v>114</v>
      </c>
      <c r="G76" s="84">
        <v>118</v>
      </c>
      <c r="H76" s="84">
        <v>118</v>
      </c>
      <c r="I76" s="84">
        <v>116</v>
      </c>
      <c r="J76" s="84">
        <v>116</v>
      </c>
      <c r="K76" s="84">
        <v>117</v>
      </c>
      <c r="L76" s="84">
        <v>117</v>
      </c>
      <c r="M76" s="84">
        <v>116</v>
      </c>
      <c r="N76" s="84">
        <v>116</v>
      </c>
      <c r="O76" s="84">
        <v>116</v>
      </c>
      <c r="P76" s="84">
        <v>118</v>
      </c>
      <c r="Q76" s="84">
        <v>119</v>
      </c>
      <c r="R76" s="84">
        <v>115</v>
      </c>
      <c r="S76" s="84">
        <v>119</v>
      </c>
      <c r="T76" s="84">
        <v>119</v>
      </c>
      <c r="U76" s="84"/>
      <c r="V76" s="84"/>
      <c r="W76" s="84"/>
      <c r="X76" s="84"/>
      <c r="Y76" s="87">
        <v>1062149086</v>
      </c>
      <c r="Z76" s="115">
        <f>IF(Y76="","-",VLOOKUP(Y76,'CERT. COR'!$A$4:$E$2200,3,0))</f>
        <v>45730</v>
      </c>
      <c r="AA76" s="117">
        <f>IF(Y76="","-",VLOOKUP(Y76,'CERT. COR'!$A$4:$E$2200,2,0))</f>
        <v>81902</v>
      </c>
      <c r="AB76" s="87"/>
      <c r="AC76" s="115" t="str">
        <f>IF(AB76="","-",VLOOKUP(AB76,'CERT. COR'!$A$4:$E$2200,3,0))</f>
        <v>-</v>
      </c>
      <c r="AD76" s="117" t="str">
        <f>IF(AB76="","-",VLOOKUP(AB76,'CERT. COR'!$A$4:$E$2200,2,0))</f>
        <v>-</v>
      </c>
      <c r="AE76" s="116">
        <f>IF(Y76="","-",VLOOKUP(Y76,'CERT. COR'!$A$4:$E$2200,5,0))</f>
        <v>99.7</v>
      </c>
      <c r="AF76" s="116">
        <f>IF(Y76="","-",VLOOKUP(Y76,'CERT. COR'!$A$4:$E$2200,4,0))</f>
        <v>197.9</v>
      </c>
      <c r="AG76" s="116" t="str">
        <f>IF(AB76="","-",VLOOKUP(AB76,'CERT. COR'!$A$4:$E$2200,5,0))</f>
        <v>-</v>
      </c>
      <c r="AH76" s="120" t="str">
        <f>IF(AB76="","-",VLOOKUP(AB76,'CERT. COR'!$A$4:$E$2200,4,0))</f>
        <v>-</v>
      </c>
      <c r="AI76" s="87" t="str">
        <f t="shared" si="3"/>
        <v>PF</v>
      </c>
      <c r="AJ76" s="121">
        <f t="shared" si="4"/>
        <v>0</v>
      </c>
      <c r="AK76" s="84">
        <f t="shared" si="5"/>
        <v>2098</v>
      </c>
    </row>
    <row r="77" spans="1:37" x14ac:dyDescent="0.25">
      <c r="A77" s="82">
        <f>'plan de data'!A77</f>
        <v>75</v>
      </c>
      <c r="B77" s="89">
        <f>'plan de data'!B77</f>
        <v>45895</v>
      </c>
      <c r="C77" s="84">
        <v>345</v>
      </c>
      <c r="D77" s="84">
        <v>348</v>
      </c>
      <c r="E77" s="84">
        <v>345</v>
      </c>
      <c r="F77" s="84">
        <v>344</v>
      </c>
      <c r="G77" s="84">
        <v>345</v>
      </c>
      <c r="H77" s="84">
        <v>344</v>
      </c>
      <c r="I77" s="84">
        <v>343</v>
      </c>
      <c r="J77" s="84">
        <v>345</v>
      </c>
      <c r="K77" s="84">
        <v>345</v>
      </c>
      <c r="L77" s="84">
        <v>345</v>
      </c>
      <c r="M77" s="84">
        <v>345</v>
      </c>
      <c r="N77" s="84">
        <v>345</v>
      </c>
      <c r="O77" s="84">
        <v>347</v>
      </c>
      <c r="P77" s="84">
        <v>343</v>
      </c>
      <c r="Q77" s="84">
        <v>345</v>
      </c>
      <c r="R77" s="84">
        <v>345</v>
      </c>
      <c r="S77" s="84"/>
      <c r="T77" s="84"/>
      <c r="U77" s="84"/>
      <c r="V77" s="84"/>
      <c r="W77" s="84"/>
      <c r="X77" s="84"/>
      <c r="Y77" s="87">
        <v>1062870714</v>
      </c>
      <c r="Z77" s="115">
        <f>IF(Y77="","-",VLOOKUP(Y77,'CERT. COR'!$A$4:$E$2200,3,0))</f>
        <v>45873</v>
      </c>
      <c r="AA77" s="117">
        <f>IF(Y77="","-",VLOOKUP(Y77,'CERT. COR'!$A$4:$E$2200,2,0))</f>
        <v>83027</v>
      </c>
      <c r="AB77" s="87"/>
      <c r="AC77" s="115" t="str">
        <f>IF(AB77="","-",VLOOKUP(AB77,'CERT. COR'!$A$4:$E$2200,3,0))</f>
        <v>-</v>
      </c>
      <c r="AD77" s="117" t="str">
        <f>IF(AB77="","-",VLOOKUP(AB77,'CERT. COR'!$A$4:$E$2200,2,0))</f>
        <v>-</v>
      </c>
      <c r="AE77" s="116">
        <f>IF(Y77="","-",VLOOKUP(Y77,'CERT. COR'!$A$4:$E$2200,5,0))</f>
        <v>100</v>
      </c>
      <c r="AF77" s="116">
        <f>IF(Y77="","-",VLOOKUP(Y77,'CERT. COR'!$A$4:$E$2200,4,0))</f>
        <v>194.8</v>
      </c>
      <c r="AG77" s="116" t="str">
        <f>IF(AB77="","-",VLOOKUP(AB77,'CERT. COR'!$A$4:$E$2200,5,0))</f>
        <v>-</v>
      </c>
      <c r="AH77" s="120" t="str">
        <f>IF(AB77="","-",VLOOKUP(AB77,'CERT. COR'!$A$4:$E$2200,4,0))</f>
        <v>-</v>
      </c>
      <c r="AI77" s="87" t="str">
        <f t="shared" si="3"/>
        <v>PN</v>
      </c>
      <c r="AJ77" s="121">
        <f t="shared" si="4"/>
        <v>5519</v>
      </c>
      <c r="AK77" s="84">
        <f t="shared" si="5"/>
        <v>0</v>
      </c>
    </row>
    <row r="78" spans="1:37" x14ac:dyDescent="0.25">
      <c r="A78" s="82">
        <v>76</v>
      </c>
      <c r="B78" s="89">
        <f>'plan de data'!B78</f>
        <v>45897</v>
      </c>
      <c r="C78" s="84">
        <v>345</v>
      </c>
      <c r="D78" s="84">
        <v>342</v>
      </c>
      <c r="E78" s="84">
        <v>343</v>
      </c>
      <c r="F78" s="84">
        <v>343</v>
      </c>
      <c r="G78" s="84">
        <v>343</v>
      </c>
      <c r="H78" s="84">
        <v>342</v>
      </c>
      <c r="I78" s="84">
        <v>345</v>
      </c>
      <c r="J78" s="84">
        <v>345</v>
      </c>
      <c r="K78" s="84">
        <v>345</v>
      </c>
      <c r="L78" s="84">
        <v>342</v>
      </c>
      <c r="M78" s="84">
        <v>343</v>
      </c>
      <c r="N78" s="84">
        <v>343</v>
      </c>
      <c r="O78" s="84">
        <v>344</v>
      </c>
      <c r="P78" s="84">
        <v>345</v>
      </c>
      <c r="Q78" s="84">
        <v>347</v>
      </c>
      <c r="R78" s="84">
        <v>347</v>
      </c>
      <c r="S78" s="84"/>
      <c r="T78" s="84"/>
      <c r="U78" s="84"/>
      <c r="V78" s="84"/>
      <c r="W78" s="84"/>
      <c r="X78" s="84"/>
      <c r="Y78" s="87">
        <v>1062437954</v>
      </c>
      <c r="Z78" s="115">
        <f>IF(Y78="","-",VLOOKUP(Y78,'CERT. COR'!$A$4:$E$2200,3,0))</f>
        <v>45737</v>
      </c>
      <c r="AA78" s="117">
        <f>IF(Y78="","-",VLOOKUP(Y78,'CERT. COR'!$A$4:$E$2200,2,0))</f>
        <v>81985</v>
      </c>
      <c r="AB78" s="87"/>
      <c r="AC78" s="115" t="str">
        <f>IF(AB78="","-",VLOOKUP(AB78,'CERT. COR'!$A$4:$E$2200,3,0))</f>
        <v>-</v>
      </c>
      <c r="AD78" s="117" t="str">
        <f>IF(AB78="","-",VLOOKUP(AB78,'CERT. COR'!$A$4:$E$2200,2,0))</f>
        <v>-</v>
      </c>
      <c r="AE78" s="116">
        <f>IF(Y78="","-",VLOOKUP(Y78,'CERT. COR'!$A$4:$E$2200,5,0))</f>
        <v>100</v>
      </c>
      <c r="AF78" s="116">
        <f>IF(Y78="","-",VLOOKUP(Y78,'CERT. COR'!$A$4:$E$2200,4,0))</f>
        <v>201.6</v>
      </c>
      <c r="AG78" s="116" t="str">
        <f>IF(AB78="","-",VLOOKUP(AB78,'CERT. COR'!$A$4:$E$2200,5,0))</f>
        <v>-</v>
      </c>
      <c r="AH78" s="120" t="str">
        <f>IF(AB78="","-",VLOOKUP(AB78,'CERT. COR'!$A$4:$E$2200,4,0))</f>
        <v>-</v>
      </c>
      <c r="AI78" s="87" t="str">
        <f t="shared" si="3"/>
        <v>PN</v>
      </c>
      <c r="AJ78" s="121">
        <f t="shared" si="4"/>
        <v>5504</v>
      </c>
      <c r="AK78" s="84">
        <f t="shared" si="5"/>
        <v>0</v>
      </c>
    </row>
    <row r="79" spans="1:37" x14ac:dyDescent="0.25">
      <c r="A79" s="82">
        <v>77</v>
      </c>
      <c r="B79" s="89">
        <f>'plan de data'!B79</f>
        <v>45899</v>
      </c>
      <c r="C79" s="84">
        <v>341</v>
      </c>
      <c r="D79" s="84">
        <v>345</v>
      </c>
      <c r="E79" s="84">
        <v>344</v>
      </c>
      <c r="F79" s="84">
        <v>344</v>
      </c>
      <c r="G79" s="84">
        <v>342</v>
      </c>
      <c r="H79" s="84">
        <v>344</v>
      </c>
      <c r="I79" s="84">
        <v>345</v>
      </c>
      <c r="J79" s="84">
        <v>344</v>
      </c>
      <c r="K79" s="84">
        <v>345</v>
      </c>
      <c r="L79" s="84">
        <v>345</v>
      </c>
      <c r="M79" s="84">
        <v>345</v>
      </c>
      <c r="N79" s="84">
        <v>344</v>
      </c>
      <c r="O79" s="84">
        <v>345</v>
      </c>
      <c r="P79" s="84">
        <v>344</v>
      </c>
      <c r="Q79" s="84">
        <v>345</v>
      </c>
      <c r="R79" s="84">
        <v>346</v>
      </c>
      <c r="S79" s="84"/>
      <c r="T79" s="84"/>
      <c r="U79" s="84"/>
      <c r="V79" s="84"/>
      <c r="W79" s="84"/>
      <c r="X79" s="84"/>
      <c r="Y79" s="87">
        <v>1062870714</v>
      </c>
      <c r="Z79" s="115">
        <f>IF(Y79="","-",VLOOKUP(Y79,'CERT. COR'!$A$4:$E$2200,3,0))</f>
        <v>45873</v>
      </c>
      <c r="AA79" s="117">
        <f>IF(Y79="","-",VLOOKUP(Y79,'CERT. COR'!$A$4:$E$2200,2,0))</f>
        <v>83027</v>
      </c>
      <c r="AB79" s="87"/>
      <c r="AC79" s="115" t="str">
        <f>IF(AB79="","-",VLOOKUP(AB79,'CERT. COR'!$A$4:$E$2200,3,0))</f>
        <v>-</v>
      </c>
      <c r="AD79" s="117" t="str">
        <f>IF(AB79="","-",VLOOKUP(AB79,'CERT. COR'!$A$4:$E$2200,2,0))</f>
        <v>-</v>
      </c>
      <c r="AE79" s="116">
        <f>IF(Y79="","-",VLOOKUP(Y79,'CERT. COR'!$A$4:$E$2200,5,0))</f>
        <v>100</v>
      </c>
      <c r="AF79" s="116">
        <f>IF(Y79="","-",VLOOKUP(Y79,'CERT. COR'!$A$4:$E$2200,4,0))</f>
        <v>194.8</v>
      </c>
      <c r="AG79" s="116" t="str">
        <f>IF(AB79="","-",VLOOKUP(AB79,'CERT. COR'!$A$4:$E$2200,5,0))</f>
        <v>-</v>
      </c>
      <c r="AH79" s="120" t="str">
        <f>IF(AB79="","-",VLOOKUP(AB79,'CERT. COR'!$A$4:$E$2200,4,0))</f>
        <v>-</v>
      </c>
      <c r="AI79" s="87" t="str">
        <f t="shared" si="3"/>
        <v>PN</v>
      </c>
      <c r="AJ79" s="121">
        <f t="shared" si="4"/>
        <v>5508</v>
      </c>
      <c r="AK79" s="84">
        <f t="shared" si="5"/>
        <v>0</v>
      </c>
    </row>
    <row r="80" spans="1:37" x14ac:dyDescent="0.25">
      <c r="A80" s="82">
        <v>78</v>
      </c>
      <c r="B80" s="89">
        <f>'plan de data'!B80</f>
        <v>45899</v>
      </c>
      <c r="C80" s="84">
        <v>345</v>
      </c>
      <c r="D80" s="84">
        <v>342</v>
      </c>
      <c r="E80" s="84">
        <v>344</v>
      </c>
      <c r="F80" s="84">
        <v>345</v>
      </c>
      <c r="G80" s="84">
        <v>343</v>
      </c>
      <c r="H80" s="84">
        <v>342</v>
      </c>
      <c r="I80" s="84">
        <v>345</v>
      </c>
      <c r="J80" s="84">
        <v>342</v>
      </c>
      <c r="K80" s="84">
        <v>345</v>
      </c>
      <c r="L80" s="84">
        <v>346</v>
      </c>
      <c r="M80" s="84">
        <v>346</v>
      </c>
      <c r="N80" s="84">
        <v>346</v>
      </c>
      <c r="O80" s="84">
        <v>344</v>
      </c>
      <c r="P80" s="84">
        <v>344</v>
      </c>
      <c r="Q80" s="84">
        <v>347</v>
      </c>
      <c r="R80" s="84">
        <v>345</v>
      </c>
      <c r="S80" s="84"/>
      <c r="T80" s="84"/>
      <c r="U80" s="84"/>
      <c r="V80" s="84"/>
      <c r="W80" s="84"/>
      <c r="X80" s="84"/>
      <c r="Y80" s="87">
        <v>1062437954</v>
      </c>
      <c r="Z80" s="115">
        <f>IF(Y80="","-",VLOOKUP(Y80,'CERT. COR'!$A$4:$E$2200,3,0))</f>
        <v>45737</v>
      </c>
      <c r="AA80" s="117">
        <f>IF(Y80="","-",VLOOKUP(Y80,'CERT. COR'!$A$4:$E$2200,2,0))</f>
        <v>81985</v>
      </c>
      <c r="AB80" s="87"/>
      <c r="AC80" s="115" t="str">
        <f>IF(AB80="","-",VLOOKUP(AB80,'CERT. COR'!$A$4:$E$2200,3,0))</f>
        <v>-</v>
      </c>
      <c r="AD80" s="117" t="str">
        <f>IF(AB80="","-",VLOOKUP(AB80,'CERT. COR'!$A$4:$E$2200,2,0))</f>
        <v>-</v>
      </c>
      <c r="AE80" s="116">
        <f>IF(Y80="","-",VLOOKUP(Y80,'CERT. COR'!$A$4:$E$2200,5,0))</f>
        <v>100</v>
      </c>
      <c r="AF80" s="116">
        <f>IF(Y80="","-",VLOOKUP(Y80,'CERT. COR'!$A$4:$E$2200,4,0))</f>
        <v>201.6</v>
      </c>
      <c r="AG80" s="116" t="str">
        <f>IF(AB80="","-",VLOOKUP(AB80,'CERT. COR'!$A$4:$E$2200,5,0))</f>
        <v>-</v>
      </c>
      <c r="AH80" s="120" t="str">
        <f>IF(AB80="","-",VLOOKUP(AB80,'CERT. COR'!$A$4:$E$2200,4,0))</f>
        <v>-</v>
      </c>
      <c r="AI80" s="87" t="str">
        <f t="shared" si="3"/>
        <v>PN</v>
      </c>
      <c r="AJ80" s="121">
        <f t="shared" si="4"/>
        <v>5511</v>
      </c>
      <c r="AK80" s="84">
        <f t="shared" si="5"/>
        <v>0</v>
      </c>
    </row>
    <row r="81" spans="1:37" x14ac:dyDescent="0.25">
      <c r="A81" s="82">
        <v>79</v>
      </c>
      <c r="B81" s="89">
        <f>'plan de data'!B81</f>
        <v>45902</v>
      </c>
      <c r="C81" s="84">
        <v>112</v>
      </c>
      <c r="D81" s="84">
        <v>114</v>
      </c>
      <c r="E81" s="84">
        <v>113</v>
      </c>
      <c r="F81" s="84">
        <v>113</v>
      </c>
      <c r="G81" s="84">
        <v>116</v>
      </c>
      <c r="H81" s="84">
        <v>116</v>
      </c>
      <c r="I81" s="84">
        <v>114</v>
      </c>
      <c r="J81" s="84">
        <v>114</v>
      </c>
      <c r="K81" s="84">
        <v>115</v>
      </c>
      <c r="L81" s="84">
        <v>116</v>
      </c>
      <c r="M81" s="84">
        <v>119</v>
      </c>
      <c r="N81" s="84">
        <v>118</v>
      </c>
      <c r="O81" s="84">
        <v>115</v>
      </c>
      <c r="P81" s="84">
        <v>116</v>
      </c>
      <c r="Q81" s="84">
        <v>119</v>
      </c>
      <c r="R81" s="84">
        <v>119</v>
      </c>
      <c r="S81" s="84">
        <v>118</v>
      </c>
      <c r="T81" s="84">
        <v>120</v>
      </c>
      <c r="U81" s="84"/>
      <c r="V81" s="84"/>
      <c r="W81" s="84"/>
      <c r="X81" s="84"/>
      <c r="Y81" s="87">
        <v>1062437954</v>
      </c>
      <c r="Z81" s="115">
        <f>IF(Y81="","-",VLOOKUP(Y81,'CERT. COR'!$A$4:$E$2200,3,0))</f>
        <v>45737</v>
      </c>
      <c r="AA81" s="117">
        <f>IF(Y81="","-",VLOOKUP(Y81,'CERT. COR'!$A$4:$E$2200,2,0))</f>
        <v>81985</v>
      </c>
      <c r="AB81" s="87"/>
      <c r="AC81" s="115" t="str">
        <f>IF(AB81="","-",VLOOKUP(AB81,'CERT. COR'!$A$4:$E$2200,3,0))</f>
        <v>-</v>
      </c>
      <c r="AD81" s="117" t="str">
        <f>IF(AB81="","-",VLOOKUP(AB81,'CERT. COR'!$A$4:$E$2200,2,0))</f>
        <v>-</v>
      </c>
      <c r="AE81" s="116">
        <f>IF(Y81="","-",VLOOKUP(Y81,'CERT. COR'!$A$4:$E$2200,5,0))</f>
        <v>100</v>
      </c>
      <c r="AF81" s="116">
        <f>IF(Y81="","-",VLOOKUP(Y81,'CERT. COR'!$A$4:$E$2200,4,0))</f>
        <v>201.6</v>
      </c>
      <c r="AG81" s="116" t="str">
        <f>IF(AB81="","-",VLOOKUP(AB81,'CERT. COR'!$A$4:$E$2200,5,0))</f>
        <v>-</v>
      </c>
      <c r="AH81" s="120" t="str">
        <f>IF(AB81="","-",VLOOKUP(AB81,'CERT. COR'!$A$4:$E$2200,4,0))</f>
        <v>-</v>
      </c>
      <c r="AI81" s="87" t="str">
        <f t="shared" si="3"/>
        <v>PF</v>
      </c>
      <c r="AJ81" s="121">
        <f t="shared" si="4"/>
        <v>0</v>
      </c>
      <c r="AK81" s="84">
        <f t="shared" si="5"/>
        <v>2087</v>
      </c>
    </row>
    <row r="82" spans="1:37" x14ac:dyDescent="0.25">
      <c r="A82" s="82">
        <v>80</v>
      </c>
      <c r="B82" s="89">
        <f>'plan de data'!B82</f>
        <v>45904</v>
      </c>
      <c r="C82" s="84">
        <v>346</v>
      </c>
      <c r="D82" s="84">
        <v>344</v>
      </c>
      <c r="E82" s="84">
        <v>343</v>
      </c>
      <c r="F82" s="84">
        <v>343</v>
      </c>
      <c r="G82" s="84">
        <v>346</v>
      </c>
      <c r="H82" s="84">
        <v>345</v>
      </c>
      <c r="I82" s="84">
        <v>340</v>
      </c>
      <c r="J82" s="84">
        <v>343</v>
      </c>
      <c r="K82" s="84">
        <v>343</v>
      </c>
      <c r="L82" s="84">
        <v>343</v>
      </c>
      <c r="M82" s="84">
        <v>344</v>
      </c>
      <c r="N82" s="84">
        <v>344</v>
      </c>
      <c r="O82" s="84">
        <v>346</v>
      </c>
      <c r="P82" s="84">
        <v>346</v>
      </c>
      <c r="Q82" s="84">
        <v>344</v>
      </c>
      <c r="R82" s="84">
        <v>344</v>
      </c>
      <c r="S82" s="84"/>
      <c r="T82" s="84"/>
      <c r="U82" s="84"/>
      <c r="V82" s="84"/>
      <c r="W82" s="84"/>
      <c r="X82" s="84"/>
      <c r="Y82" s="87">
        <v>1062870714</v>
      </c>
      <c r="Z82" s="115">
        <f>IF(Y82="","-",VLOOKUP(Y82,'CERT. COR'!$A$4:$E$2200,3,0))</f>
        <v>45873</v>
      </c>
      <c r="AA82" s="117">
        <f>IF(Y82="","-",VLOOKUP(Y82,'CERT. COR'!$A$4:$E$2200,2,0))</f>
        <v>83027</v>
      </c>
      <c r="AB82" s="87"/>
      <c r="AC82" s="115" t="str">
        <f>IF(AB82="","-",VLOOKUP(AB82,'CERT. COR'!$A$4:$E$2200,3,0))</f>
        <v>-</v>
      </c>
      <c r="AD82" s="117" t="str">
        <f>IF(AB82="","-",VLOOKUP(AB82,'CERT. COR'!$A$4:$E$2200,2,0))</f>
        <v>-</v>
      </c>
      <c r="AE82" s="116">
        <f>IF(Y82="","-",VLOOKUP(Y82,'CERT. COR'!$A$4:$E$2200,5,0))</f>
        <v>100</v>
      </c>
      <c r="AF82" s="116">
        <f>IF(Y82="","-",VLOOKUP(Y82,'CERT. COR'!$A$4:$E$2200,4,0))</f>
        <v>194.8</v>
      </c>
      <c r="AG82" s="116" t="str">
        <f>IF(AB82="","-",VLOOKUP(AB82,'CERT. COR'!$A$4:$E$2200,5,0))</f>
        <v>-</v>
      </c>
      <c r="AH82" s="120" t="str">
        <f>IF(AB82="","-",VLOOKUP(AB82,'CERT. COR'!$A$4:$E$2200,4,0))</f>
        <v>-</v>
      </c>
      <c r="AI82" s="87" t="str">
        <f t="shared" si="3"/>
        <v>PN</v>
      </c>
      <c r="AJ82" s="121">
        <f t="shared" si="4"/>
        <v>5504</v>
      </c>
      <c r="AK82" s="84">
        <f t="shared" si="5"/>
        <v>0</v>
      </c>
    </row>
    <row r="83" spans="1:37" x14ac:dyDescent="0.25">
      <c r="A83" s="82">
        <v>81</v>
      </c>
      <c r="B83" s="89">
        <f>'plan de data'!B83</f>
        <v>45904</v>
      </c>
      <c r="C83" s="84">
        <v>116</v>
      </c>
      <c r="D83" s="84">
        <v>114</v>
      </c>
      <c r="E83" s="84">
        <v>114</v>
      </c>
      <c r="F83" s="84">
        <v>113</v>
      </c>
      <c r="G83" s="84">
        <v>116</v>
      </c>
      <c r="H83" s="84">
        <v>120</v>
      </c>
      <c r="I83" s="84">
        <v>115</v>
      </c>
      <c r="J83" s="84">
        <v>115</v>
      </c>
      <c r="K83" s="84">
        <v>115</v>
      </c>
      <c r="L83" s="84">
        <v>116</v>
      </c>
      <c r="M83" s="84">
        <v>118</v>
      </c>
      <c r="N83" s="84">
        <v>118</v>
      </c>
      <c r="O83" s="84">
        <v>117</v>
      </c>
      <c r="P83" s="84">
        <v>117</v>
      </c>
      <c r="Q83" s="84">
        <v>118</v>
      </c>
      <c r="R83" s="84">
        <v>118</v>
      </c>
      <c r="S83" s="84">
        <v>117</v>
      </c>
      <c r="T83" s="84">
        <v>118</v>
      </c>
      <c r="U83" s="84"/>
      <c r="V83" s="84"/>
      <c r="W83" s="84"/>
      <c r="X83" s="84"/>
      <c r="Y83" s="87">
        <v>1062149086</v>
      </c>
      <c r="Z83" s="115">
        <f>IF(Y83="","-",VLOOKUP(Y83,'CERT. COR'!$A$4:$E$2200,3,0))</f>
        <v>45730</v>
      </c>
      <c r="AA83" s="117">
        <f>IF(Y83="","-",VLOOKUP(Y83,'CERT. COR'!$A$4:$E$2200,2,0))</f>
        <v>81902</v>
      </c>
      <c r="AB83" s="87"/>
      <c r="AC83" s="115" t="str">
        <f>IF(AB83="","-",VLOOKUP(AB83,'CERT. COR'!$A$4:$E$2200,3,0))</f>
        <v>-</v>
      </c>
      <c r="AD83" s="117" t="str">
        <f>IF(AB83="","-",VLOOKUP(AB83,'CERT. COR'!$A$4:$E$2200,2,0))</f>
        <v>-</v>
      </c>
      <c r="AE83" s="116">
        <f>IF(Y83="","-",VLOOKUP(Y83,'CERT. COR'!$A$4:$E$2200,5,0))</f>
        <v>99.7</v>
      </c>
      <c r="AF83" s="116">
        <f>IF(Y83="","-",VLOOKUP(Y83,'CERT. COR'!$A$4:$E$2200,4,0))</f>
        <v>197.9</v>
      </c>
      <c r="AG83" s="116" t="str">
        <f>IF(AB83="","-",VLOOKUP(AB83,'CERT. COR'!$A$4:$E$2200,5,0))</f>
        <v>-</v>
      </c>
      <c r="AH83" s="120" t="str">
        <f>IF(AB83="","-",VLOOKUP(AB83,'CERT. COR'!$A$4:$E$2200,4,0))</f>
        <v>-</v>
      </c>
      <c r="AI83" s="87" t="str">
        <f t="shared" si="3"/>
        <v>PF</v>
      </c>
      <c r="AJ83" s="121">
        <f t="shared" si="4"/>
        <v>0</v>
      </c>
      <c r="AK83" s="84">
        <f t="shared" si="5"/>
        <v>2095</v>
      </c>
    </row>
    <row r="84" spans="1:37" x14ac:dyDescent="0.25">
      <c r="A84" s="82">
        <v>82</v>
      </c>
      <c r="B84" s="89">
        <f>'plan de data'!B84</f>
        <v>45906</v>
      </c>
      <c r="C84" s="84">
        <v>347</v>
      </c>
      <c r="D84" s="84">
        <v>345</v>
      </c>
      <c r="E84" s="84">
        <v>344</v>
      </c>
      <c r="F84" s="84">
        <v>349</v>
      </c>
      <c r="G84" s="84">
        <v>350</v>
      </c>
      <c r="H84" s="84">
        <v>346</v>
      </c>
      <c r="I84" s="84">
        <v>345</v>
      </c>
      <c r="J84" s="84">
        <v>345</v>
      </c>
      <c r="K84" s="84">
        <v>347</v>
      </c>
      <c r="L84" s="84">
        <v>346</v>
      </c>
      <c r="M84" s="84">
        <v>348</v>
      </c>
      <c r="N84" s="84">
        <v>349</v>
      </c>
      <c r="O84" s="84">
        <v>348</v>
      </c>
      <c r="P84" s="84">
        <v>345</v>
      </c>
      <c r="Q84" s="84">
        <v>349</v>
      </c>
      <c r="R84" s="84">
        <v>346</v>
      </c>
      <c r="S84" s="84"/>
      <c r="T84" s="84"/>
      <c r="U84" s="84"/>
      <c r="V84" s="84"/>
      <c r="W84" s="84"/>
      <c r="X84" s="84"/>
      <c r="Y84" s="87">
        <v>1062636512</v>
      </c>
      <c r="Z84" s="115">
        <f>IF(Y84="","-",VLOOKUP(Y84,'CERT. COR'!$A$4:$E$2200,3,0))</f>
        <v>45873</v>
      </c>
      <c r="AA84" s="117">
        <f>IF(Y84="","-",VLOOKUP(Y84,'CERT. COR'!$A$4:$E$2200,2,0))</f>
        <v>83025</v>
      </c>
      <c r="AB84" s="87"/>
      <c r="AC84" s="115" t="str">
        <f>IF(AB84="","-",VLOOKUP(AB84,'CERT. COR'!$A$4:$E$2200,3,0))</f>
        <v>-</v>
      </c>
      <c r="AD84" s="117" t="str">
        <f>IF(AB84="","-",VLOOKUP(AB84,'CERT. COR'!$A$4:$E$2200,2,0))</f>
        <v>-</v>
      </c>
      <c r="AE84" s="116">
        <f>IF(Y84="","-",VLOOKUP(Y84,'CERT. COR'!$A$4:$E$2200,5,0))</f>
        <v>100</v>
      </c>
      <c r="AF84" s="116">
        <f>IF(Y84="","-",VLOOKUP(Y84,'CERT. COR'!$A$4:$E$2200,4,0))</f>
        <v>200.2</v>
      </c>
      <c r="AG84" s="116" t="str">
        <f>IF(AB84="","-",VLOOKUP(AB84,'CERT. COR'!$A$4:$E$2200,5,0))</f>
        <v>-</v>
      </c>
      <c r="AH84" s="120" t="str">
        <f>IF(AB84="","-",VLOOKUP(AB84,'CERT. COR'!$A$4:$E$2200,4,0))</f>
        <v>-</v>
      </c>
      <c r="AI84" s="87" t="str">
        <f t="shared" si="3"/>
        <v>PN</v>
      </c>
      <c r="AJ84" s="121">
        <f t="shared" si="4"/>
        <v>5549</v>
      </c>
      <c r="AK84" s="84">
        <f t="shared" si="5"/>
        <v>0</v>
      </c>
    </row>
    <row r="85" spans="1:37" x14ac:dyDescent="0.25">
      <c r="A85" s="82">
        <v>83</v>
      </c>
      <c r="B85" s="89">
        <f>'plan de data'!B85</f>
        <v>45909</v>
      </c>
      <c r="C85" s="84">
        <v>113</v>
      </c>
      <c r="D85" s="84">
        <v>113</v>
      </c>
      <c r="E85" s="84">
        <v>112</v>
      </c>
      <c r="F85" s="84">
        <v>112</v>
      </c>
      <c r="G85" s="84">
        <v>115</v>
      </c>
      <c r="H85" s="84">
        <v>115</v>
      </c>
      <c r="I85" s="84">
        <v>114</v>
      </c>
      <c r="J85" s="84">
        <v>114</v>
      </c>
      <c r="K85" s="84">
        <v>114</v>
      </c>
      <c r="L85" s="84">
        <v>114</v>
      </c>
      <c r="M85" s="84">
        <v>116</v>
      </c>
      <c r="N85" s="84">
        <v>117</v>
      </c>
      <c r="O85" s="84">
        <v>116</v>
      </c>
      <c r="P85" s="84">
        <v>115</v>
      </c>
      <c r="Q85" s="84">
        <v>118</v>
      </c>
      <c r="R85" s="84">
        <v>118</v>
      </c>
      <c r="S85" s="84">
        <v>117</v>
      </c>
      <c r="T85" s="84">
        <v>117</v>
      </c>
      <c r="U85" s="84"/>
      <c r="V85" s="84"/>
      <c r="W85" s="84"/>
      <c r="X85" s="84"/>
      <c r="Y85" s="87">
        <v>1062149086</v>
      </c>
      <c r="Z85" s="115">
        <f>IF(Y85="","-",VLOOKUP(Y85,'CERT. COR'!$A$4:$E$2200,3,0))</f>
        <v>45730</v>
      </c>
      <c r="AA85" s="117">
        <f>IF(Y85="","-",VLOOKUP(Y85,'CERT. COR'!$A$4:$E$2200,2,0))</f>
        <v>81902</v>
      </c>
      <c r="AB85" s="87"/>
      <c r="AC85" s="115" t="str">
        <f>IF(AB85="","-",VLOOKUP(AB85,'CERT. COR'!$A$4:$E$2200,3,0))</f>
        <v>-</v>
      </c>
      <c r="AD85" s="117" t="str">
        <f>IF(AB85="","-",VLOOKUP(AB85,'CERT. COR'!$A$4:$E$2200,2,0))</f>
        <v>-</v>
      </c>
      <c r="AE85" s="116">
        <f>IF(Y85="","-",VLOOKUP(Y85,'CERT. COR'!$A$4:$E$2200,5,0))</f>
        <v>99.7</v>
      </c>
      <c r="AF85" s="116">
        <f>IF(Y85="","-",VLOOKUP(Y85,'CERT. COR'!$A$4:$E$2200,4,0))</f>
        <v>197.9</v>
      </c>
      <c r="AG85" s="116" t="str">
        <f>IF(AB85="","-",VLOOKUP(AB85,'CERT. COR'!$A$4:$E$2200,5,0))</f>
        <v>-</v>
      </c>
      <c r="AH85" s="120" t="str">
        <f>IF(AB85="","-",VLOOKUP(AB85,'CERT. COR'!$A$4:$E$2200,4,0))</f>
        <v>-</v>
      </c>
      <c r="AI85" s="87" t="str">
        <f t="shared" si="3"/>
        <v>PF</v>
      </c>
      <c r="AJ85" s="121">
        <f t="shared" si="4"/>
        <v>0</v>
      </c>
      <c r="AK85" s="84">
        <f t="shared" si="5"/>
        <v>2070</v>
      </c>
    </row>
    <row r="86" spans="1:37" x14ac:dyDescent="0.25">
      <c r="A86" s="82">
        <v>84</v>
      </c>
      <c r="B86" s="89">
        <f>'plan de data'!B86</f>
        <v>0</v>
      </c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7"/>
      <c r="Z86" s="115" t="str">
        <f>IF(Y86="","-",VLOOKUP(Y86,'CERT. COR'!$A$4:$E$2200,3,0))</f>
        <v>-</v>
      </c>
      <c r="AA86" s="117" t="str">
        <f>IF(Y86="","-",VLOOKUP(Y86,'CERT. COR'!$A$4:$E$2200,2,0))</f>
        <v>-</v>
      </c>
      <c r="AB86" s="87"/>
      <c r="AC86" s="115" t="str">
        <f>IF(AB86="","-",VLOOKUP(AB86,'CERT. COR'!$A$4:$E$2200,3,0))</f>
        <v>-</v>
      </c>
      <c r="AD86" s="117" t="str">
        <f>IF(AB86="","-",VLOOKUP(AB86,'CERT. COR'!$A$4:$E$2200,2,0))</f>
        <v>-</v>
      </c>
      <c r="AE86" s="116" t="str">
        <f>IF(Y86="","-",VLOOKUP(Y86,'CERT. COR'!$A$4:$E$2200,5,0))</f>
        <v>-</v>
      </c>
      <c r="AF86" s="116" t="str">
        <f>IF(Y86="","-",VLOOKUP(Y86,'CERT. COR'!$A$4:$E$2200,4,0))</f>
        <v>-</v>
      </c>
      <c r="AG86" s="116" t="str">
        <f>IF(AB86="","-",VLOOKUP(AB86,'CERT. COR'!$A$4:$E$2200,5,0))</f>
        <v>-</v>
      </c>
      <c r="AH86" s="120" t="str">
        <f>IF(AB86="","-",VLOOKUP(AB86,'CERT. COR'!$A$4:$E$2200,4,0))</f>
        <v>-</v>
      </c>
      <c r="AI86" s="87" t="str">
        <f t="shared" si="3"/>
        <v>PN</v>
      </c>
      <c r="AJ86" s="121">
        <f t="shared" si="4"/>
        <v>0</v>
      </c>
      <c r="AK86" s="84">
        <f t="shared" si="5"/>
        <v>0</v>
      </c>
    </row>
    <row r="87" spans="1:37" x14ac:dyDescent="0.25">
      <c r="A87" s="82">
        <v>85</v>
      </c>
      <c r="B87" s="89">
        <f>'plan de data'!B87</f>
        <v>0</v>
      </c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7"/>
      <c r="Z87" s="115" t="str">
        <f>IF(Y87="","-",VLOOKUP(Y87,'CERT. COR'!$A$4:$E$2200,3,0))</f>
        <v>-</v>
      </c>
      <c r="AA87" s="117" t="str">
        <f>IF(Y87="","-",VLOOKUP(Y87,'CERT. COR'!$A$4:$E$2200,2,0))</f>
        <v>-</v>
      </c>
      <c r="AB87" s="87"/>
      <c r="AC87" s="115" t="str">
        <f>IF(AB87="","-",VLOOKUP(AB87,'CERT. COR'!$A$4:$E$2200,3,0))</f>
        <v>-</v>
      </c>
      <c r="AD87" s="117" t="str">
        <f>IF(AB87="","-",VLOOKUP(AB87,'CERT. COR'!$A$4:$E$2200,2,0))</f>
        <v>-</v>
      </c>
      <c r="AE87" s="116" t="str">
        <f>IF(Y87="","-",VLOOKUP(Y87,'CERT. COR'!$A$4:$E$2200,5,0))</f>
        <v>-</v>
      </c>
      <c r="AF87" s="116" t="str">
        <f>IF(Y87="","-",VLOOKUP(Y87,'CERT. COR'!$A$4:$E$2200,4,0))</f>
        <v>-</v>
      </c>
      <c r="AG87" s="116" t="str">
        <f>IF(AB87="","-",VLOOKUP(AB87,'CERT. COR'!$A$4:$E$2200,5,0))</f>
        <v>-</v>
      </c>
      <c r="AH87" s="120" t="str">
        <f>IF(AB87="","-",VLOOKUP(AB87,'CERT. COR'!$A$4:$E$2200,4,0))</f>
        <v>-</v>
      </c>
      <c r="AI87" s="87" t="str">
        <f t="shared" si="3"/>
        <v>PN</v>
      </c>
      <c r="AJ87" s="121">
        <f t="shared" si="4"/>
        <v>0</v>
      </c>
      <c r="AK87" s="84">
        <f t="shared" si="5"/>
        <v>0</v>
      </c>
    </row>
    <row r="88" spans="1:37" x14ac:dyDescent="0.25">
      <c r="A88" s="82">
        <v>86</v>
      </c>
      <c r="B88" s="89">
        <f>'plan de data'!B88</f>
        <v>0</v>
      </c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7"/>
      <c r="Z88" s="115" t="str">
        <f>IF(Y88="","-",VLOOKUP(Y88,'CERT. COR'!$A$4:$E$2200,3,0))</f>
        <v>-</v>
      </c>
      <c r="AA88" s="117" t="str">
        <f>IF(Y88="","-",VLOOKUP(Y88,'CERT. COR'!$A$4:$E$2200,2,0))</f>
        <v>-</v>
      </c>
      <c r="AB88" s="87"/>
      <c r="AC88" s="115" t="str">
        <f>IF(AB88="","-",VLOOKUP(AB88,'CERT. COR'!$A$4:$E$2200,3,0))</f>
        <v>-</v>
      </c>
      <c r="AD88" s="117" t="str">
        <f>IF(AB88="","-",VLOOKUP(AB88,'CERT. COR'!$A$4:$E$2200,2,0))</f>
        <v>-</v>
      </c>
      <c r="AE88" s="116" t="str">
        <f>IF(Y88="","-",VLOOKUP(Y88,'CERT. COR'!$A$4:$E$2200,5,0))</f>
        <v>-</v>
      </c>
      <c r="AF88" s="116" t="str">
        <f>IF(Y88="","-",VLOOKUP(Y88,'CERT. COR'!$A$4:$E$2200,4,0))</f>
        <v>-</v>
      </c>
      <c r="AG88" s="116" t="str">
        <f>IF(AB88="","-",VLOOKUP(AB88,'CERT. COR'!$A$4:$E$2200,5,0))</f>
        <v>-</v>
      </c>
      <c r="AH88" s="120" t="str">
        <f>IF(AB88="","-",VLOOKUP(AB88,'CERT. COR'!$A$4:$E$2200,4,0))</f>
        <v>-</v>
      </c>
      <c r="AI88" s="87" t="str">
        <f t="shared" si="3"/>
        <v>PN</v>
      </c>
      <c r="AJ88" s="121">
        <f t="shared" si="4"/>
        <v>0</v>
      </c>
      <c r="AK88" s="84">
        <f t="shared" si="5"/>
        <v>0</v>
      </c>
    </row>
    <row r="89" spans="1:37" x14ac:dyDescent="0.25">
      <c r="A89" s="82">
        <v>87</v>
      </c>
      <c r="B89" s="89">
        <f>'plan de data'!B89</f>
        <v>0</v>
      </c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7"/>
      <c r="Z89" s="115" t="str">
        <f>IF(Y89="","-",VLOOKUP(Y89,'CERT. COR'!$A$4:$E$2200,3,0))</f>
        <v>-</v>
      </c>
      <c r="AA89" s="117" t="str">
        <f>IF(Y89="","-",VLOOKUP(Y89,'CERT. COR'!$A$4:$E$2200,2,0))</f>
        <v>-</v>
      </c>
      <c r="AB89" s="87"/>
      <c r="AC89" s="115" t="str">
        <f>IF(AB89="","-",VLOOKUP(AB89,'CERT. COR'!$A$4:$E$2200,3,0))</f>
        <v>-</v>
      </c>
      <c r="AD89" s="117" t="str">
        <f>IF(AB89="","-",VLOOKUP(AB89,'CERT. COR'!$A$4:$E$2200,2,0))</f>
        <v>-</v>
      </c>
      <c r="AE89" s="116" t="str">
        <f>IF(Y89="","-",VLOOKUP(Y89,'CERT. COR'!$A$4:$E$2200,5,0))</f>
        <v>-</v>
      </c>
      <c r="AF89" s="116" t="str">
        <f>IF(Y89="","-",VLOOKUP(Y89,'CERT. COR'!$A$4:$E$2200,4,0))</f>
        <v>-</v>
      </c>
      <c r="AG89" s="116" t="str">
        <f>IF(AB89="","-",VLOOKUP(AB89,'CERT. COR'!$A$4:$E$2200,5,0))</f>
        <v>-</v>
      </c>
      <c r="AH89" s="120" t="str">
        <f>IF(AB89="","-",VLOOKUP(AB89,'CERT. COR'!$A$4:$E$2200,4,0))</f>
        <v>-</v>
      </c>
      <c r="AI89" s="87" t="str">
        <f t="shared" si="3"/>
        <v>PN</v>
      </c>
      <c r="AJ89" s="121">
        <f t="shared" si="4"/>
        <v>0</v>
      </c>
      <c r="AK89" s="84">
        <f t="shared" si="5"/>
        <v>0</v>
      </c>
    </row>
    <row r="90" spans="1:37" x14ac:dyDescent="0.25">
      <c r="A90" s="82">
        <v>88</v>
      </c>
      <c r="B90" s="89">
        <f>'plan de data'!B90</f>
        <v>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7"/>
      <c r="Z90" s="115" t="str">
        <f>IF(Y90="","-",VLOOKUP(Y90,'CERT. COR'!$A$4:$E$2200,3,0))</f>
        <v>-</v>
      </c>
      <c r="AA90" s="117" t="str">
        <f>IF(Y90="","-",VLOOKUP(Y90,'CERT. COR'!$A$4:$E$2200,2,0))</f>
        <v>-</v>
      </c>
      <c r="AB90" s="87"/>
      <c r="AC90" s="115" t="str">
        <f>IF(AB90="","-",VLOOKUP(AB90,'CERT. COR'!$A$4:$E$2200,3,0))</f>
        <v>-</v>
      </c>
      <c r="AD90" s="117" t="str">
        <f>IF(AB90="","-",VLOOKUP(AB90,'CERT. COR'!$A$4:$E$2200,2,0))</f>
        <v>-</v>
      </c>
      <c r="AE90" s="116" t="str">
        <f>IF(Y90="","-",VLOOKUP(Y90,'CERT. COR'!$A$4:$E$2200,5,0))</f>
        <v>-</v>
      </c>
      <c r="AF90" s="116" t="str">
        <f>IF(Y90="","-",VLOOKUP(Y90,'CERT. COR'!$A$4:$E$2200,4,0))</f>
        <v>-</v>
      </c>
      <c r="AG90" s="116" t="str">
        <f>IF(AB90="","-",VLOOKUP(AB90,'CERT. COR'!$A$4:$E$2200,5,0))</f>
        <v>-</v>
      </c>
      <c r="AH90" s="120" t="str">
        <f>IF(AB90="","-",VLOOKUP(AB90,'CERT. COR'!$A$4:$E$2200,4,0))</f>
        <v>-</v>
      </c>
      <c r="AI90" s="87" t="str">
        <f t="shared" si="3"/>
        <v>PN</v>
      </c>
      <c r="AJ90" s="121">
        <f t="shared" si="4"/>
        <v>0</v>
      </c>
      <c r="AK90" s="84">
        <f t="shared" si="5"/>
        <v>0</v>
      </c>
    </row>
    <row r="91" spans="1:37" x14ac:dyDescent="0.25">
      <c r="A91" s="82">
        <v>89</v>
      </c>
      <c r="B91" s="89">
        <f>'plan de data'!B91</f>
        <v>0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7"/>
      <c r="Z91" s="115" t="str">
        <f>IF(Y91="","-",VLOOKUP(Y91,'CERT. COR'!$A$4:$E$2200,3,0))</f>
        <v>-</v>
      </c>
      <c r="AA91" s="117" t="str">
        <f>IF(Y91="","-",VLOOKUP(Y91,'CERT. COR'!$A$4:$E$2200,2,0))</f>
        <v>-</v>
      </c>
      <c r="AB91" s="87"/>
      <c r="AC91" s="115" t="str">
        <f>IF(AB91="","-",VLOOKUP(AB91,'CERT. COR'!$A$4:$E$2200,3,0))</f>
        <v>-</v>
      </c>
      <c r="AD91" s="117" t="str">
        <f>IF(AB91="","-",VLOOKUP(AB91,'CERT. COR'!$A$4:$E$2200,2,0))</f>
        <v>-</v>
      </c>
      <c r="AE91" s="116" t="str">
        <f>IF(Y91="","-",VLOOKUP(Y91,'CERT. COR'!$A$4:$E$2200,5,0))</f>
        <v>-</v>
      </c>
      <c r="AF91" s="116" t="str">
        <f>IF(Y91="","-",VLOOKUP(Y91,'CERT. COR'!$A$4:$E$2200,4,0))</f>
        <v>-</v>
      </c>
      <c r="AG91" s="116" t="str">
        <f>IF(AB91="","-",VLOOKUP(AB91,'CERT. COR'!$A$4:$E$2200,5,0))</f>
        <v>-</v>
      </c>
      <c r="AH91" s="120" t="str">
        <f>IF(AB91="","-",VLOOKUP(AB91,'CERT. COR'!$A$4:$E$2200,4,0))</f>
        <v>-</v>
      </c>
      <c r="AI91" s="87" t="str">
        <f t="shared" si="3"/>
        <v>PN</v>
      </c>
      <c r="AJ91" s="121">
        <f t="shared" si="4"/>
        <v>0</v>
      </c>
      <c r="AK91" s="84">
        <f t="shared" si="5"/>
        <v>0</v>
      </c>
    </row>
    <row r="92" spans="1:37" x14ac:dyDescent="0.25">
      <c r="A92" s="82">
        <v>90</v>
      </c>
      <c r="B92" s="89">
        <f>'plan de data'!B92</f>
        <v>0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7"/>
      <c r="Z92" s="115" t="str">
        <f>IF(Y92="","-",VLOOKUP(Y92,'CERT. COR'!$A$4:$E$2200,3,0))</f>
        <v>-</v>
      </c>
      <c r="AA92" s="117" t="str">
        <f>IF(Y92="","-",VLOOKUP(Y92,'CERT. COR'!$A$4:$E$2200,2,0))</f>
        <v>-</v>
      </c>
      <c r="AB92" s="87"/>
      <c r="AC92" s="115" t="str">
        <f>IF(AB92="","-",VLOOKUP(AB92,'CERT. COR'!$A$4:$E$2200,3,0))</f>
        <v>-</v>
      </c>
      <c r="AD92" s="117" t="str">
        <f>IF(AB92="","-",VLOOKUP(AB92,'CERT. COR'!$A$4:$E$2200,2,0))</f>
        <v>-</v>
      </c>
      <c r="AE92" s="116" t="str">
        <f>IF(Y92="","-",VLOOKUP(Y92,'CERT. COR'!$A$4:$E$2200,5,0))</f>
        <v>-</v>
      </c>
      <c r="AF92" s="116" t="str">
        <f>IF(Y92="","-",VLOOKUP(Y92,'CERT. COR'!$A$4:$E$2200,4,0))</f>
        <v>-</v>
      </c>
      <c r="AG92" s="116" t="str">
        <f>IF(AB92="","-",VLOOKUP(AB92,'CERT. COR'!$A$4:$E$2200,5,0))</f>
        <v>-</v>
      </c>
      <c r="AH92" s="120" t="str">
        <f>IF(AB92="","-",VLOOKUP(AB92,'CERT. COR'!$A$4:$E$2200,4,0))</f>
        <v>-</v>
      </c>
      <c r="AI92" s="87" t="str">
        <f t="shared" si="3"/>
        <v>PN</v>
      </c>
      <c r="AJ92" s="121">
        <f t="shared" si="4"/>
        <v>0</v>
      </c>
      <c r="AK92" s="84">
        <f t="shared" si="5"/>
        <v>0</v>
      </c>
    </row>
    <row r="93" spans="1:37" x14ac:dyDescent="0.25">
      <c r="A93" s="82">
        <v>91</v>
      </c>
      <c r="B93" s="89">
        <f>'plan de data'!B93</f>
        <v>0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7"/>
      <c r="Z93" s="115" t="str">
        <f>IF(Y93="","-",VLOOKUP(Y93,'CERT. COR'!$A$4:$E$2200,3,0))</f>
        <v>-</v>
      </c>
      <c r="AA93" s="117" t="str">
        <f>IF(Y93="","-",VLOOKUP(Y93,'CERT. COR'!$A$4:$E$2200,2,0))</f>
        <v>-</v>
      </c>
      <c r="AB93" s="87"/>
      <c r="AC93" s="115" t="str">
        <f>IF(AB93="","-",VLOOKUP(AB93,'CERT. COR'!$A$4:$E$2200,3,0))</f>
        <v>-</v>
      </c>
      <c r="AD93" s="117" t="str">
        <f>IF(AB93="","-",VLOOKUP(AB93,'CERT. COR'!$A$4:$E$2200,2,0))</f>
        <v>-</v>
      </c>
      <c r="AE93" s="116" t="str">
        <f>IF(Y93="","-",VLOOKUP(Y93,'CERT. COR'!$A$4:$E$2200,5,0))</f>
        <v>-</v>
      </c>
      <c r="AF93" s="116" t="str">
        <f>IF(Y93="","-",VLOOKUP(Y93,'CERT. COR'!$A$4:$E$2200,4,0))</f>
        <v>-</v>
      </c>
      <c r="AG93" s="116" t="str">
        <f>IF(AB93="","-",VLOOKUP(AB93,'CERT. COR'!$A$4:$E$2200,5,0))</f>
        <v>-</v>
      </c>
      <c r="AH93" s="120" t="str">
        <f>IF(AB93="","-",VLOOKUP(AB93,'CERT. COR'!$A$4:$E$2200,4,0))</f>
        <v>-</v>
      </c>
      <c r="AI93" s="87" t="str">
        <f t="shared" si="3"/>
        <v>PN</v>
      </c>
      <c r="AJ93" s="121">
        <f t="shared" si="4"/>
        <v>0</v>
      </c>
      <c r="AK93" s="84">
        <f t="shared" si="5"/>
        <v>0</v>
      </c>
    </row>
    <row r="94" spans="1:37" x14ac:dyDescent="0.25">
      <c r="A94" s="82">
        <v>92</v>
      </c>
      <c r="B94" s="89">
        <f>'plan de data'!B94</f>
        <v>0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115" t="str">
        <f>IF(Y94="","-",VLOOKUP(Y94,'CERT. COR'!$A$4:$E$2200,3,0))</f>
        <v>-</v>
      </c>
      <c r="AA94" s="117" t="str">
        <f>IF(Y94="","-",VLOOKUP(Y94,'CERT. COR'!$A$4:$E$2200,2,0))</f>
        <v>-</v>
      </c>
      <c r="AB94" s="84"/>
      <c r="AC94" s="115" t="str">
        <f>IF(AB94="","-",VLOOKUP(AB94,'CERT. COR'!$A$4:$E$2200,3,0))</f>
        <v>-</v>
      </c>
      <c r="AD94" s="117" t="str">
        <f>IF(AB94="","-",VLOOKUP(AB94,'CERT. COR'!$A$4:$E$2200,2,0))</f>
        <v>-</v>
      </c>
      <c r="AE94" s="116" t="str">
        <f>IF(Y94="","-",VLOOKUP(Y94,'CERT. COR'!$A$4:$E$2200,5,0))</f>
        <v>-</v>
      </c>
      <c r="AF94" s="116" t="str">
        <f>IF(Y94="","-",VLOOKUP(Y94,'CERT. COR'!$A$4:$E$2200,4,0))</f>
        <v>-</v>
      </c>
      <c r="AG94" s="116" t="str">
        <f>IF(AB94="","-",VLOOKUP(AB94,'CERT. COR'!$A$4:$E$2200,5,0))</f>
        <v>-</v>
      </c>
      <c r="AH94" s="120" t="str">
        <f>IF(AB94="","-",VLOOKUP(AB94,'CERT. COR'!$A$4:$E$2200,4,0))</f>
        <v>-</v>
      </c>
      <c r="AI94" s="87" t="str">
        <f t="shared" si="3"/>
        <v>PN</v>
      </c>
      <c r="AJ94" s="121">
        <f t="shared" si="4"/>
        <v>0</v>
      </c>
      <c r="AK94" s="84">
        <f t="shared" si="5"/>
        <v>0</v>
      </c>
    </row>
    <row r="95" spans="1:37" x14ac:dyDescent="0.25">
      <c r="A95" s="82">
        <v>93</v>
      </c>
      <c r="B95" s="89">
        <f>'plan de data'!B95</f>
        <v>0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115" t="str">
        <f>IF(Y95="","-",VLOOKUP(Y95,'CERT. COR'!$A$4:$E$2200,3,0))</f>
        <v>-</v>
      </c>
      <c r="AA95" s="117" t="str">
        <f>IF(Y95="","-",VLOOKUP(Y95,'CERT. COR'!$A$4:$E$2200,2,0))</f>
        <v>-</v>
      </c>
      <c r="AB95" s="84"/>
      <c r="AC95" s="115" t="str">
        <f>IF(AB95="","-",VLOOKUP(AB95,'CERT. COR'!$A$4:$E$2200,3,0))</f>
        <v>-</v>
      </c>
      <c r="AD95" s="117" t="str">
        <f>IF(AB95="","-",VLOOKUP(AB95,'CERT. COR'!$A$4:$E$2200,2,0))</f>
        <v>-</v>
      </c>
      <c r="AE95" s="116" t="str">
        <f>IF(Y95="","-",VLOOKUP(Y95,'CERT. COR'!$A$4:$E$2200,5,0))</f>
        <v>-</v>
      </c>
      <c r="AF95" s="116" t="str">
        <f>IF(Y95="","-",VLOOKUP(Y95,'CERT. COR'!$A$4:$E$2200,4,0))</f>
        <v>-</v>
      </c>
      <c r="AG95" s="116" t="str">
        <f>IF(AB95="","-",VLOOKUP(AB95,'CERT. COR'!$A$4:$E$2200,5,0))</f>
        <v>-</v>
      </c>
      <c r="AH95" s="120" t="str">
        <f>IF(AB95="","-",VLOOKUP(AB95,'CERT. COR'!$A$4:$E$2200,4,0))</f>
        <v>-</v>
      </c>
      <c r="AI95" s="87" t="str">
        <f t="shared" si="3"/>
        <v>PN</v>
      </c>
      <c r="AJ95" s="121">
        <f t="shared" si="4"/>
        <v>0</v>
      </c>
      <c r="AK95" s="84">
        <f t="shared" si="5"/>
        <v>0</v>
      </c>
    </row>
    <row r="96" spans="1:37" x14ac:dyDescent="0.25">
      <c r="A96" s="82">
        <v>94</v>
      </c>
      <c r="B96" s="89">
        <f>'plan de data'!B96</f>
        <v>0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115" t="str">
        <f>IF(Y96="","-",VLOOKUP(Y96,'CERT. COR'!$A$4:$E$2200,3,0))</f>
        <v>-</v>
      </c>
      <c r="AA96" s="117" t="str">
        <f>IF(Y96="","-",VLOOKUP(Y96,'CERT. COR'!$A$4:$E$2200,2,0))</f>
        <v>-</v>
      </c>
      <c r="AB96" s="84"/>
      <c r="AC96" s="115" t="str">
        <f>IF(AB96="","-",VLOOKUP(AB96,'CERT. COR'!$A$4:$E$2200,3,0))</f>
        <v>-</v>
      </c>
      <c r="AD96" s="117" t="str">
        <f>IF(AB96="","-",VLOOKUP(AB96,'CERT. COR'!$A$4:$E$2200,2,0))</f>
        <v>-</v>
      </c>
      <c r="AE96" s="116" t="str">
        <f>IF(Y96="","-",VLOOKUP(Y96,'CERT. COR'!$A$4:$E$2200,5,0))</f>
        <v>-</v>
      </c>
      <c r="AF96" s="116" t="str">
        <f>IF(Y96="","-",VLOOKUP(Y96,'CERT. COR'!$A$4:$E$2200,4,0))</f>
        <v>-</v>
      </c>
      <c r="AG96" s="116" t="str">
        <f>IF(AB96="","-",VLOOKUP(AB96,'CERT. COR'!$A$4:$E$2200,5,0))</f>
        <v>-</v>
      </c>
      <c r="AH96" s="120" t="str">
        <f>IF(AB96="","-",VLOOKUP(AB96,'CERT. COR'!$A$4:$E$2200,4,0))</f>
        <v>-</v>
      </c>
      <c r="AI96" s="87" t="str">
        <f t="shared" si="3"/>
        <v>PN</v>
      </c>
      <c r="AJ96" s="121">
        <f t="shared" si="4"/>
        <v>0</v>
      </c>
      <c r="AK96" s="84">
        <f t="shared" si="5"/>
        <v>0</v>
      </c>
    </row>
    <row r="97" spans="1:37" x14ac:dyDescent="0.25">
      <c r="A97" s="82">
        <v>95</v>
      </c>
      <c r="B97" s="89">
        <f>'plan de data'!B97</f>
        <v>0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115" t="str">
        <f>IF(Y97="","-",VLOOKUP(Y97,'CERT. COR'!$A$4:$E$2200,3,0))</f>
        <v>-</v>
      </c>
      <c r="AA97" s="117" t="str">
        <f>IF(Y97="","-",VLOOKUP(Y97,'CERT. COR'!$A$4:$E$2200,2,0))</f>
        <v>-</v>
      </c>
      <c r="AB97" s="84"/>
      <c r="AC97" s="115" t="str">
        <f>IF(AB97="","-",VLOOKUP(AB97,'CERT. COR'!$A$4:$E$2200,3,0))</f>
        <v>-</v>
      </c>
      <c r="AD97" s="117" t="str">
        <f>IF(AB97="","-",VLOOKUP(AB97,'CERT. COR'!$A$4:$E$2200,2,0))</f>
        <v>-</v>
      </c>
      <c r="AE97" s="116" t="str">
        <f>IF(Y97="","-",VLOOKUP(Y97,'CERT. COR'!$A$4:$E$2200,5,0))</f>
        <v>-</v>
      </c>
      <c r="AF97" s="116" t="str">
        <f>IF(Y97="","-",VLOOKUP(Y97,'CERT. COR'!$A$4:$E$2200,4,0))</f>
        <v>-</v>
      </c>
      <c r="AG97" s="116" t="str">
        <f>IF(AB97="","-",VLOOKUP(AB97,'CERT. COR'!$A$4:$E$2200,5,0))</f>
        <v>-</v>
      </c>
      <c r="AH97" s="120" t="str">
        <f>IF(AB97="","-",VLOOKUP(AB97,'CERT. COR'!$A$4:$E$2200,4,0))</f>
        <v>-</v>
      </c>
      <c r="AI97" s="87" t="str">
        <f t="shared" si="3"/>
        <v>PN</v>
      </c>
      <c r="AJ97" s="121">
        <f t="shared" si="4"/>
        <v>0</v>
      </c>
      <c r="AK97" s="84">
        <f t="shared" si="5"/>
        <v>0</v>
      </c>
    </row>
    <row r="98" spans="1:37" x14ac:dyDescent="0.25">
      <c r="A98" s="82">
        <v>96</v>
      </c>
      <c r="B98" s="89">
        <f>'plan de data'!B98</f>
        <v>0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115" t="str">
        <f>IF(Y98="","-",VLOOKUP(Y98,'CERT. COR'!$A$4:$E$2200,3,0))</f>
        <v>-</v>
      </c>
      <c r="AA98" s="117" t="str">
        <f>IF(Y98="","-",VLOOKUP(Y98,'CERT. COR'!$A$4:$E$2200,2,0))</f>
        <v>-</v>
      </c>
      <c r="AB98" s="84"/>
      <c r="AC98" s="115" t="str">
        <f>IF(AB98="","-",VLOOKUP(AB98,'CERT. COR'!$A$4:$E$2200,3,0))</f>
        <v>-</v>
      </c>
      <c r="AD98" s="117" t="str">
        <f>IF(AB98="","-",VLOOKUP(AB98,'CERT. COR'!$A$4:$E$2200,2,0))</f>
        <v>-</v>
      </c>
      <c r="AE98" s="116" t="str">
        <f>IF(Y98="","-",VLOOKUP(Y98,'CERT. COR'!$A$4:$E$2200,5,0))</f>
        <v>-</v>
      </c>
      <c r="AF98" s="116" t="str">
        <f>IF(Y98="","-",VLOOKUP(Y98,'CERT. COR'!$A$4:$E$2200,4,0))</f>
        <v>-</v>
      </c>
      <c r="AG98" s="116" t="str">
        <f>IF(AB98="","-",VLOOKUP(AB98,'CERT. COR'!$A$4:$E$2200,5,0))</f>
        <v>-</v>
      </c>
      <c r="AH98" s="120" t="str">
        <f>IF(AB98="","-",VLOOKUP(AB98,'CERT. COR'!$A$4:$E$2200,4,0))</f>
        <v>-</v>
      </c>
      <c r="AI98" s="87" t="str">
        <f t="shared" si="3"/>
        <v>PN</v>
      </c>
      <c r="AJ98" s="121">
        <f t="shared" si="4"/>
        <v>0</v>
      </c>
      <c r="AK98" s="84">
        <f t="shared" si="5"/>
        <v>0</v>
      </c>
    </row>
    <row r="99" spans="1:37" x14ac:dyDescent="0.25">
      <c r="A99" s="82">
        <v>97</v>
      </c>
      <c r="B99" s="89">
        <f>'plan de data'!B99</f>
        <v>0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115" t="str">
        <f>IF(Y99="","-",VLOOKUP(Y99,'CERT. COR'!$A$4:$E$2200,3,0))</f>
        <v>-</v>
      </c>
      <c r="AA99" s="117" t="str">
        <f>IF(Y99="","-",VLOOKUP(Y99,'CERT. COR'!$A$4:$E$2200,2,0))</f>
        <v>-</v>
      </c>
      <c r="AB99" s="84"/>
      <c r="AC99" s="115" t="str">
        <f>IF(AB99="","-",VLOOKUP(AB99,'CERT. COR'!$A$4:$E$2200,3,0))</f>
        <v>-</v>
      </c>
      <c r="AD99" s="117" t="str">
        <f>IF(AB99="","-",VLOOKUP(AB99,'CERT. COR'!$A$4:$E$2200,2,0))</f>
        <v>-</v>
      </c>
      <c r="AE99" s="116" t="str">
        <f>IF(Y99="","-",VLOOKUP(Y99,'CERT. COR'!$A$4:$E$2200,5,0))</f>
        <v>-</v>
      </c>
      <c r="AF99" s="116" t="str">
        <f>IF(Y99="","-",VLOOKUP(Y99,'CERT. COR'!$A$4:$E$2200,4,0))</f>
        <v>-</v>
      </c>
      <c r="AG99" s="116" t="str">
        <f>IF(AB99="","-",VLOOKUP(AB99,'CERT. COR'!$A$4:$E$2200,5,0))</f>
        <v>-</v>
      </c>
      <c r="AH99" s="120" t="str">
        <f>IF(AB99="","-",VLOOKUP(AB99,'CERT. COR'!$A$4:$E$2200,4,0))</f>
        <v>-</v>
      </c>
      <c r="AI99" s="87" t="str">
        <f t="shared" si="3"/>
        <v>PN</v>
      </c>
      <c r="AJ99" s="121">
        <f t="shared" si="4"/>
        <v>0</v>
      </c>
      <c r="AK99" s="84">
        <f t="shared" si="5"/>
        <v>0</v>
      </c>
    </row>
    <row r="100" spans="1:37" x14ac:dyDescent="0.25">
      <c r="A100" s="82">
        <v>98</v>
      </c>
      <c r="B100" s="89">
        <f>'plan de data'!B100</f>
        <v>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115" t="str">
        <f>IF(Y100="","-",VLOOKUP(Y100,'CERT. COR'!$A$4:$E$2200,3,0))</f>
        <v>-</v>
      </c>
      <c r="AA100" s="117" t="str">
        <f>IF(Y100="","-",VLOOKUP(Y100,'CERT. COR'!$A$4:$E$2200,2,0))</f>
        <v>-</v>
      </c>
      <c r="AB100" s="84"/>
      <c r="AC100" s="115" t="str">
        <f>IF(AB100="","-",VLOOKUP(AB100,'CERT. COR'!$A$4:$E$2200,3,0))</f>
        <v>-</v>
      </c>
      <c r="AD100" s="117" t="str">
        <f>IF(AB100="","-",VLOOKUP(AB100,'CERT. COR'!$A$4:$E$2200,2,0))</f>
        <v>-</v>
      </c>
      <c r="AE100" s="116" t="str">
        <f>IF(Y100="","-",VLOOKUP(Y100,'CERT. COR'!$A$4:$E$2200,5,0))</f>
        <v>-</v>
      </c>
      <c r="AF100" s="116" t="str">
        <f>IF(Y100="","-",VLOOKUP(Y100,'CERT. COR'!$A$4:$E$2200,4,0))</f>
        <v>-</v>
      </c>
      <c r="AG100" s="116" t="str">
        <f>IF(AB100="","-",VLOOKUP(AB100,'CERT. COR'!$A$4:$E$2200,5,0))</f>
        <v>-</v>
      </c>
      <c r="AH100" s="120" t="str">
        <f>IF(AB100="","-",VLOOKUP(AB100,'CERT. COR'!$A$4:$E$2200,4,0))</f>
        <v>-</v>
      </c>
      <c r="AI100" s="87" t="str">
        <f t="shared" si="3"/>
        <v>PN</v>
      </c>
      <c r="AJ100" s="121">
        <f t="shared" si="4"/>
        <v>0</v>
      </c>
      <c r="AK100" s="84">
        <f t="shared" si="5"/>
        <v>0</v>
      </c>
    </row>
    <row r="101" spans="1:37" x14ac:dyDescent="0.25">
      <c r="A101" s="82">
        <v>99</v>
      </c>
      <c r="B101" s="89">
        <f>'plan de data'!B101</f>
        <v>0</v>
      </c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115" t="str">
        <f>IF(Y101="","-",VLOOKUP(Y101,'CERT. COR'!$A$4:$E$2200,3,0))</f>
        <v>-</v>
      </c>
      <c r="AA101" s="117" t="str">
        <f>IF(Y101="","-",VLOOKUP(Y101,'CERT. COR'!$A$4:$E$2200,2,0))</f>
        <v>-</v>
      </c>
      <c r="AB101" s="84"/>
      <c r="AC101" s="115" t="str">
        <f>IF(AB101="","-",VLOOKUP(AB101,'CERT. COR'!$A$4:$E$2200,3,0))</f>
        <v>-</v>
      </c>
      <c r="AD101" s="117" t="str">
        <f>IF(AB101="","-",VLOOKUP(AB101,'CERT. COR'!$A$4:$E$2200,2,0))</f>
        <v>-</v>
      </c>
      <c r="AE101" s="116" t="str">
        <f>IF(Y101="","-",VLOOKUP(Y101,'CERT. COR'!$A$4:$E$2200,5,0))</f>
        <v>-</v>
      </c>
      <c r="AF101" s="116" t="str">
        <f>IF(Y101="","-",VLOOKUP(Y101,'CERT. COR'!$A$4:$E$2200,4,0))</f>
        <v>-</v>
      </c>
      <c r="AG101" s="116" t="str">
        <f>IF(AB101="","-",VLOOKUP(AB101,'CERT. COR'!$A$4:$E$2200,5,0))</f>
        <v>-</v>
      </c>
      <c r="AH101" s="120" t="str">
        <f>IF(AB101="","-",VLOOKUP(AB101,'CERT. COR'!$A$4:$E$2200,4,0))</f>
        <v>-</v>
      </c>
      <c r="AI101" s="87" t="str">
        <f t="shared" si="3"/>
        <v>PN</v>
      </c>
      <c r="AJ101" s="121">
        <f t="shared" si="4"/>
        <v>0</v>
      </c>
      <c r="AK101" s="84">
        <f t="shared" si="5"/>
        <v>0</v>
      </c>
    </row>
    <row r="102" spans="1:37" x14ac:dyDescent="0.25">
      <c r="A102" s="82">
        <v>100</v>
      </c>
      <c r="B102" s="89">
        <f>'plan de data'!B102</f>
        <v>0</v>
      </c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115" t="str">
        <f>IF(Y102="","-",VLOOKUP(Y102,'CERT. COR'!$A$4:$E$2200,3,0))</f>
        <v>-</v>
      </c>
      <c r="AA102" s="117" t="str">
        <f>IF(Y102="","-",VLOOKUP(Y102,'CERT. COR'!$A$4:$E$2200,2,0))</f>
        <v>-</v>
      </c>
      <c r="AB102" s="84"/>
      <c r="AC102" s="115" t="str">
        <f>IF(AB102="","-",VLOOKUP(AB102,'CERT. COR'!$A$4:$E$2200,3,0))</f>
        <v>-</v>
      </c>
      <c r="AD102" s="117" t="str">
        <f>IF(AB102="","-",VLOOKUP(AB102,'CERT. COR'!$A$4:$E$2200,2,0))</f>
        <v>-</v>
      </c>
      <c r="AE102" s="116" t="str">
        <f>IF(Y102="","-",VLOOKUP(Y102,'CERT. COR'!$A$4:$E$2200,5,0))</f>
        <v>-</v>
      </c>
      <c r="AF102" s="116" t="str">
        <f>IF(Y102="","-",VLOOKUP(Y102,'CERT. COR'!$A$4:$E$2200,4,0))</f>
        <v>-</v>
      </c>
      <c r="AG102" s="116" t="str">
        <f>IF(AB102="","-",VLOOKUP(AB102,'CERT. COR'!$A$4:$E$2200,5,0))</f>
        <v>-</v>
      </c>
      <c r="AH102" s="120" t="str">
        <f>IF(AB102="","-",VLOOKUP(AB102,'CERT. COR'!$A$4:$E$2200,4,0))</f>
        <v>-</v>
      </c>
      <c r="AI102" s="87" t="str">
        <f t="shared" si="3"/>
        <v>PN</v>
      </c>
      <c r="AJ102" s="121">
        <f t="shared" si="4"/>
        <v>0</v>
      </c>
      <c r="AK102" s="84">
        <f t="shared" si="5"/>
        <v>0</v>
      </c>
    </row>
    <row r="103" spans="1:37" x14ac:dyDescent="0.25">
      <c r="A103" s="82">
        <v>101</v>
      </c>
      <c r="B103" s="89">
        <f>'plan de data'!B103</f>
        <v>0</v>
      </c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115" t="str">
        <f>IF(Y103="","-",VLOOKUP(Y103,'CERT. COR'!$A$4:$E$2200,3,0))</f>
        <v>-</v>
      </c>
      <c r="AA103" s="117" t="str">
        <f>IF(Y103="","-",VLOOKUP(Y103,'CERT. COR'!$A$4:$E$2200,2,0))</f>
        <v>-</v>
      </c>
      <c r="AB103" s="84"/>
      <c r="AC103" s="115" t="str">
        <f>IF(AB103="","-",VLOOKUP(AB103,'CERT. COR'!$A$4:$E$2200,3,0))</f>
        <v>-</v>
      </c>
      <c r="AD103" s="117" t="str">
        <f>IF(AB103="","-",VLOOKUP(AB103,'CERT. COR'!$A$4:$E$2200,2,0))</f>
        <v>-</v>
      </c>
      <c r="AE103" s="116" t="str">
        <f>IF(Y103="","-",VLOOKUP(Y103,'CERT. COR'!$A$4:$E$2200,5,0))</f>
        <v>-</v>
      </c>
      <c r="AF103" s="116" t="str">
        <f>IF(Y103="","-",VLOOKUP(Y103,'CERT. COR'!$A$4:$E$2200,4,0))</f>
        <v>-</v>
      </c>
      <c r="AG103" s="116" t="str">
        <f>IF(AB103="","-",VLOOKUP(AB103,'CERT. COR'!$A$4:$E$2200,5,0))</f>
        <v>-</v>
      </c>
      <c r="AH103" s="120" t="str">
        <f>IF(AB103="","-",VLOOKUP(AB103,'CERT. COR'!$A$4:$E$2200,4,0))</f>
        <v>-</v>
      </c>
      <c r="AI103" s="87" t="str">
        <f t="shared" si="3"/>
        <v>PN</v>
      </c>
      <c r="AJ103" s="121">
        <f t="shared" si="4"/>
        <v>0</v>
      </c>
      <c r="AK103" s="84">
        <f t="shared" si="5"/>
        <v>0</v>
      </c>
    </row>
    <row r="104" spans="1:37" x14ac:dyDescent="0.25">
      <c r="A104" s="82">
        <v>102</v>
      </c>
      <c r="B104" s="89">
        <f>'plan de data'!B104</f>
        <v>0</v>
      </c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115" t="str">
        <f>IF(Y104="","-",VLOOKUP(Y104,'CERT. COR'!$A$4:$E$2200,3,0))</f>
        <v>-</v>
      </c>
      <c r="AA104" s="117" t="str">
        <f>IF(Y104="","-",VLOOKUP(Y104,'CERT. COR'!$A$4:$E$2200,2,0))</f>
        <v>-</v>
      </c>
      <c r="AB104" s="84"/>
      <c r="AC104" s="115" t="str">
        <f>IF(AB104="","-",VLOOKUP(AB104,'CERT. COR'!$A$4:$E$2200,3,0))</f>
        <v>-</v>
      </c>
      <c r="AD104" s="117" t="str">
        <f>IF(AB104="","-",VLOOKUP(AB104,'CERT. COR'!$A$4:$E$2200,2,0))</f>
        <v>-</v>
      </c>
      <c r="AE104" s="116" t="str">
        <f>IF(Y104="","-",VLOOKUP(Y104,'CERT. COR'!$A$4:$E$2200,5,0))</f>
        <v>-</v>
      </c>
      <c r="AF104" s="116" t="str">
        <f>IF(Y104="","-",VLOOKUP(Y104,'CERT. COR'!$A$4:$E$2200,4,0))</f>
        <v>-</v>
      </c>
      <c r="AG104" s="116" t="str">
        <f>IF(AB104="","-",VLOOKUP(AB104,'CERT. COR'!$A$4:$E$2200,5,0))</f>
        <v>-</v>
      </c>
      <c r="AH104" s="120" t="str">
        <f>IF(AB104="","-",VLOOKUP(AB104,'CERT. COR'!$A$4:$E$2200,4,0))</f>
        <v>-</v>
      </c>
      <c r="AI104" s="87" t="str">
        <f t="shared" si="3"/>
        <v>PN</v>
      </c>
      <c r="AJ104" s="121">
        <f t="shared" si="4"/>
        <v>0</v>
      </c>
      <c r="AK104" s="84">
        <f t="shared" si="5"/>
        <v>0</v>
      </c>
    </row>
    <row r="105" spans="1:37" x14ac:dyDescent="0.25">
      <c r="A105" s="82">
        <v>103</v>
      </c>
      <c r="B105" s="89">
        <f>'plan de data'!B105</f>
        <v>0</v>
      </c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115" t="str">
        <f>IF(Y105="","-",VLOOKUP(Y105,'CERT. COR'!$A$4:$E$2200,3,0))</f>
        <v>-</v>
      </c>
      <c r="AA105" s="117" t="str">
        <f>IF(Y105="","-",VLOOKUP(Y105,'CERT. COR'!$A$4:$E$2200,2,0))</f>
        <v>-</v>
      </c>
      <c r="AB105" s="84"/>
      <c r="AC105" s="115" t="str">
        <f>IF(AB105="","-",VLOOKUP(AB105,'CERT. COR'!$A$4:$E$2200,3,0))</f>
        <v>-</v>
      </c>
      <c r="AD105" s="117" t="str">
        <f>IF(AB105="","-",VLOOKUP(AB105,'CERT. COR'!$A$4:$E$2200,2,0))</f>
        <v>-</v>
      </c>
      <c r="AE105" s="116" t="str">
        <f>IF(Y105="","-",VLOOKUP(Y105,'CERT. COR'!$A$4:$E$2200,5,0))</f>
        <v>-</v>
      </c>
      <c r="AF105" s="116" t="str">
        <f>IF(Y105="","-",VLOOKUP(Y105,'CERT. COR'!$A$4:$E$2200,4,0))</f>
        <v>-</v>
      </c>
      <c r="AG105" s="116" t="str">
        <f>IF(AB105="","-",VLOOKUP(AB105,'CERT. COR'!$A$4:$E$2200,5,0))</f>
        <v>-</v>
      </c>
      <c r="AH105" s="120" t="str">
        <f>IF(AB105="","-",VLOOKUP(AB105,'CERT. COR'!$A$4:$E$2200,4,0))</f>
        <v>-</v>
      </c>
      <c r="AI105" s="87" t="str">
        <f t="shared" si="3"/>
        <v>PN</v>
      </c>
      <c r="AJ105" s="121">
        <f t="shared" si="4"/>
        <v>0</v>
      </c>
      <c r="AK105" s="84">
        <f t="shared" si="5"/>
        <v>0</v>
      </c>
    </row>
    <row r="106" spans="1:37" x14ac:dyDescent="0.25">
      <c r="A106" s="82">
        <v>104</v>
      </c>
      <c r="B106" s="89">
        <f>'plan de data'!B106</f>
        <v>0</v>
      </c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115" t="str">
        <f>IF(Y106="","-",VLOOKUP(Y106,'CERT. COR'!$A$4:$E$2200,3,0))</f>
        <v>-</v>
      </c>
      <c r="AA106" s="117" t="str">
        <f>IF(Y106="","-",VLOOKUP(Y106,'CERT. COR'!$A$4:$E$2200,2,0))</f>
        <v>-</v>
      </c>
      <c r="AB106" s="84"/>
      <c r="AC106" s="115" t="str">
        <f>IF(AB106="","-",VLOOKUP(AB106,'CERT. COR'!$A$4:$E$2200,3,0))</f>
        <v>-</v>
      </c>
      <c r="AD106" s="117" t="str">
        <f>IF(AB106="","-",VLOOKUP(AB106,'CERT. COR'!$A$4:$E$2200,2,0))</f>
        <v>-</v>
      </c>
      <c r="AE106" s="116" t="str">
        <f>IF(Y106="","-",VLOOKUP(Y106,'CERT. COR'!$A$4:$E$2200,5,0))</f>
        <v>-</v>
      </c>
      <c r="AF106" s="116" t="str">
        <f>IF(Y106="","-",VLOOKUP(Y106,'CERT. COR'!$A$4:$E$2200,4,0))</f>
        <v>-</v>
      </c>
      <c r="AG106" s="116" t="str">
        <f>IF(AB106="","-",VLOOKUP(AB106,'CERT. COR'!$A$4:$E$2200,5,0))</f>
        <v>-</v>
      </c>
      <c r="AH106" s="120" t="str">
        <f>IF(AB106="","-",VLOOKUP(AB106,'CERT. COR'!$A$4:$E$2200,4,0))</f>
        <v>-</v>
      </c>
      <c r="AI106" s="87" t="str">
        <f t="shared" si="3"/>
        <v>PN</v>
      </c>
      <c r="AJ106" s="121">
        <f t="shared" si="4"/>
        <v>0</v>
      </c>
      <c r="AK106" s="84">
        <f t="shared" si="5"/>
        <v>0</v>
      </c>
    </row>
    <row r="107" spans="1:37" x14ac:dyDescent="0.25">
      <c r="A107" s="82">
        <v>105</v>
      </c>
      <c r="B107" s="89">
        <f>'plan de data'!B107</f>
        <v>0</v>
      </c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115" t="str">
        <f>IF(Y107="","-",VLOOKUP(Y107,'CERT. COR'!$A$4:$E$2200,3,0))</f>
        <v>-</v>
      </c>
      <c r="AA107" s="117" t="str">
        <f>IF(Y107="","-",VLOOKUP(Y107,'CERT. COR'!$A$4:$E$2200,2,0))</f>
        <v>-</v>
      </c>
      <c r="AB107" s="84"/>
      <c r="AC107" s="115" t="str">
        <f>IF(AB107="","-",VLOOKUP(AB107,'CERT. COR'!$A$4:$E$2200,3,0))</f>
        <v>-</v>
      </c>
      <c r="AD107" s="117" t="str">
        <f>IF(AB107="","-",VLOOKUP(AB107,'CERT. COR'!$A$4:$E$2200,2,0))</f>
        <v>-</v>
      </c>
      <c r="AE107" s="116" t="str">
        <f>IF(Y107="","-",VLOOKUP(Y107,'CERT. COR'!$A$4:$E$2200,5,0))</f>
        <v>-</v>
      </c>
      <c r="AF107" s="116" t="str">
        <f>IF(Y107="","-",VLOOKUP(Y107,'CERT. COR'!$A$4:$E$2200,4,0))</f>
        <v>-</v>
      </c>
      <c r="AG107" s="116" t="str">
        <f>IF(AB107="","-",VLOOKUP(AB107,'CERT. COR'!$A$4:$E$2200,5,0))</f>
        <v>-</v>
      </c>
      <c r="AH107" s="120" t="str">
        <f>IF(AB107="","-",VLOOKUP(AB107,'CERT. COR'!$A$4:$E$2200,4,0))</f>
        <v>-</v>
      </c>
      <c r="AI107" s="87" t="str">
        <f t="shared" si="3"/>
        <v>PN</v>
      </c>
      <c r="AJ107" s="121">
        <f t="shared" si="4"/>
        <v>0</v>
      </c>
      <c r="AK107" s="84">
        <f t="shared" si="5"/>
        <v>0</v>
      </c>
    </row>
    <row r="108" spans="1:37" x14ac:dyDescent="0.25">
      <c r="A108" s="82">
        <v>106</v>
      </c>
      <c r="B108" s="89">
        <f>'plan de data'!B108</f>
        <v>0</v>
      </c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115" t="str">
        <f>IF(Y108="","-",VLOOKUP(Y108,'CERT. COR'!$A$4:$E$2200,3,0))</f>
        <v>-</v>
      </c>
      <c r="AA108" s="117" t="str">
        <f>IF(Y108="","-",VLOOKUP(Y108,'CERT. COR'!$A$4:$E$2200,2,0))</f>
        <v>-</v>
      </c>
      <c r="AB108" s="84"/>
      <c r="AC108" s="115" t="str">
        <f>IF(AB108="","-",VLOOKUP(AB108,'CERT. COR'!$A$4:$E$2200,3,0))</f>
        <v>-</v>
      </c>
      <c r="AD108" s="117" t="str">
        <f>IF(AB108="","-",VLOOKUP(AB108,'CERT. COR'!$A$4:$E$2200,2,0))</f>
        <v>-</v>
      </c>
      <c r="AE108" s="116" t="str">
        <f>IF(Y108="","-",VLOOKUP(Y108,'CERT. COR'!$A$4:$E$2200,5,0))</f>
        <v>-</v>
      </c>
      <c r="AF108" s="116" t="str">
        <f>IF(Y108="","-",VLOOKUP(Y108,'CERT. COR'!$A$4:$E$2200,4,0))</f>
        <v>-</v>
      </c>
      <c r="AG108" s="116" t="str">
        <f>IF(AB108="","-",VLOOKUP(AB108,'CERT. COR'!$A$4:$E$2200,5,0))</f>
        <v>-</v>
      </c>
      <c r="AH108" s="120" t="str">
        <f>IF(AB108="","-",VLOOKUP(AB108,'CERT. COR'!$A$4:$E$2200,4,0))</f>
        <v>-</v>
      </c>
      <c r="AI108" s="87" t="str">
        <f t="shared" si="3"/>
        <v>PN</v>
      </c>
      <c r="AJ108" s="121">
        <f t="shared" si="4"/>
        <v>0</v>
      </c>
      <c r="AK108" s="84">
        <f t="shared" si="5"/>
        <v>0</v>
      </c>
    </row>
    <row r="109" spans="1:37" x14ac:dyDescent="0.25">
      <c r="A109" s="82">
        <v>107</v>
      </c>
      <c r="B109" s="89">
        <f>'plan de data'!B109</f>
        <v>0</v>
      </c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115" t="str">
        <f>IF(Y109="","-",VLOOKUP(Y109,'CERT. COR'!$A$4:$E$2200,3,0))</f>
        <v>-</v>
      </c>
      <c r="AA109" s="117" t="str">
        <f>IF(Y109="","-",VLOOKUP(Y109,'CERT. COR'!$A$4:$E$2200,2,0))</f>
        <v>-</v>
      </c>
      <c r="AB109" s="84"/>
      <c r="AC109" s="115" t="str">
        <f>IF(AB109="","-",VLOOKUP(AB109,'CERT. COR'!$A$4:$E$2200,3,0))</f>
        <v>-</v>
      </c>
      <c r="AD109" s="117" t="str">
        <f>IF(AB109="","-",VLOOKUP(AB109,'CERT. COR'!$A$4:$E$2200,2,0))</f>
        <v>-</v>
      </c>
      <c r="AE109" s="116" t="str">
        <f>IF(Y109="","-",VLOOKUP(Y109,'CERT. COR'!$A$4:$E$2200,5,0))</f>
        <v>-</v>
      </c>
      <c r="AF109" s="116" t="str">
        <f>IF(Y109="","-",VLOOKUP(Y109,'CERT. COR'!$A$4:$E$2200,4,0))</f>
        <v>-</v>
      </c>
      <c r="AG109" s="116" t="str">
        <f>IF(AB109="","-",VLOOKUP(AB109,'CERT. COR'!$A$4:$E$2200,5,0))</f>
        <v>-</v>
      </c>
      <c r="AH109" s="120" t="str">
        <f>IF(AB109="","-",VLOOKUP(AB109,'CERT. COR'!$A$4:$E$2200,4,0))</f>
        <v>-</v>
      </c>
      <c r="AI109" s="87" t="str">
        <f t="shared" si="3"/>
        <v>PN</v>
      </c>
      <c r="AJ109" s="121">
        <f t="shared" si="4"/>
        <v>0</v>
      </c>
      <c r="AK109" s="84">
        <f t="shared" si="5"/>
        <v>0</v>
      </c>
    </row>
    <row r="110" spans="1:37" x14ac:dyDescent="0.25">
      <c r="A110" s="82">
        <v>108</v>
      </c>
      <c r="B110" s="89">
        <f>'plan de data'!B110</f>
        <v>0</v>
      </c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115" t="str">
        <f>IF(Y110="","-",VLOOKUP(Y110,'CERT. COR'!$A$4:$E$2200,3,0))</f>
        <v>-</v>
      </c>
      <c r="AA110" s="117" t="str">
        <f>IF(Y110="","-",VLOOKUP(Y110,'CERT. COR'!$A$4:$E$2200,2,0))</f>
        <v>-</v>
      </c>
      <c r="AB110" s="84"/>
      <c r="AC110" s="115" t="str">
        <f>IF(AB110="","-",VLOOKUP(AB110,'CERT. COR'!$A$4:$E$2200,3,0))</f>
        <v>-</v>
      </c>
      <c r="AD110" s="117" t="str">
        <f>IF(AB110="","-",VLOOKUP(AB110,'CERT. COR'!$A$4:$E$2200,2,0))</f>
        <v>-</v>
      </c>
      <c r="AE110" s="116" t="str">
        <f>IF(Y110="","-",VLOOKUP(Y110,'CERT. COR'!$A$4:$E$2200,5,0))</f>
        <v>-</v>
      </c>
      <c r="AF110" s="116" t="str">
        <f>IF(Y110="","-",VLOOKUP(Y110,'CERT. COR'!$A$4:$E$2200,4,0))</f>
        <v>-</v>
      </c>
      <c r="AG110" s="116" t="str">
        <f>IF(AB110="","-",VLOOKUP(AB110,'CERT. COR'!$A$4:$E$2200,5,0))</f>
        <v>-</v>
      </c>
      <c r="AH110" s="120" t="str">
        <f>IF(AB110="","-",VLOOKUP(AB110,'CERT. COR'!$A$4:$E$2200,4,0))</f>
        <v>-</v>
      </c>
      <c r="AI110" s="87" t="str">
        <f t="shared" si="3"/>
        <v>PN</v>
      </c>
      <c r="AJ110" s="121">
        <f t="shared" si="4"/>
        <v>0</v>
      </c>
      <c r="AK110" s="84">
        <f t="shared" si="5"/>
        <v>0</v>
      </c>
    </row>
    <row r="111" spans="1:37" x14ac:dyDescent="0.25">
      <c r="A111" s="82">
        <v>109</v>
      </c>
      <c r="B111" s="89">
        <f>'plan de data'!B111</f>
        <v>0</v>
      </c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115" t="str">
        <f>IF(Y111="","-",VLOOKUP(Y111,'CERT. COR'!$A$4:$E$2200,3,0))</f>
        <v>-</v>
      </c>
      <c r="AA111" s="117" t="str">
        <f>IF(Y111="","-",VLOOKUP(Y111,'CERT. COR'!$A$4:$E$2200,2,0))</f>
        <v>-</v>
      </c>
      <c r="AB111" s="84"/>
      <c r="AC111" s="115" t="str">
        <f>IF(AB111="","-",VLOOKUP(AB111,'CERT. COR'!$A$4:$E$2200,3,0))</f>
        <v>-</v>
      </c>
      <c r="AD111" s="117" t="str">
        <f>IF(AB111="","-",VLOOKUP(AB111,'CERT. COR'!$A$4:$E$2200,2,0))</f>
        <v>-</v>
      </c>
      <c r="AE111" s="116" t="str">
        <f>IF(Y111="","-",VLOOKUP(Y111,'CERT. COR'!$A$4:$E$2200,5,0))</f>
        <v>-</v>
      </c>
      <c r="AF111" s="116" t="str">
        <f>IF(Y111="","-",VLOOKUP(Y111,'CERT. COR'!$A$4:$E$2200,4,0))</f>
        <v>-</v>
      </c>
      <c r="AG111" s="116" t="str">
        <f>IF(AB111="","-",VLOOKUP(AB111,'CERT. COR'!$A$4:$E$2200,5,0))</f>
        <v>-</v>
      </c>
      <c r="AH111" s="120" t="str">
        <f>IF(AB111="","-",VLOOKUP(AB111,'CERT. COR'!$A$4:$E$2200,4,0))</f>
        <v>-</v>
      </c>
      <c r="AI111" s="87" t="str">
        <f t="shared" si="3"/>
        <v>PN</v>
      </c>
      <c r="AJ111" s="121">
        <f t="shared" si="4"/>
        <v>0</v>
      </c>
      <c r="AK111" s="84">
        <f t="shared" si="5"/>
        <v>0</v>
      </c>
    </row>
    <row r="112" spans="1:37" x14ac:dyDescent="0.25">
      <c r="A112" s="82">
        <v>110</v>
      </c>
      <c r="B112" s="89">
        <f>'plan de data'!B112</f>
        <v>0</v>
      </c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115" t="str">
        <f>IF(Y112="","-",VLOOKUP(Y112,'CERT. COR'!$A$4:$E$2200,3,0))</f>
        <v>-</v>
      </c>
      <c r="AA112" s="117" t="str">
        <f>IF(Y112="","-",VLOOKUP(Y112,'CERT. COR'!$A$4:$E$2200,2,0))</f>
        <v>-</v>
      </c>
      <c r="AB112" s="84"/>
      <c r="AC112" s="115" t="str">
        <f>IF(AB112="","-",VLOOKUP(AB112,'CERT. COR'!$A$4:$E$2200,3,0))</f>
        <v>-</v>
      </c>
      <c r="AD112" s="117" t="str">
        <f>IF(AB112="","-",VLOOKUP(AB112,'CERT. COR'!$A$4:$E$2200,2,0))</f>
        <v>-</v>
      </c>
      <c r="AE112" s="116" t="str">
        <f>IF(Y112="","-",VLOOKUP(Y112,'CERT. COR'!$A$4:$E$2200,5,0))</f>
        <v>-</v>
      </c>
      <c r="AF112" s="116" t="str">
        <f>IF(Y112="","-",VLOOKUP(Y112,'CERT. COR'!$A$4:$E$2200,4,0))</f>
        <v>-</v>
      </c>
      <c r="AG112" s="116" t="str">
        <f>IF(AB112="","-",VLOOKUP(AB112,'CERT. COR'!$A$4:$E$2200,5,0))</f>
        <v>-</v>
      </c>
      <c r="AH112" s="120" t="str">
        <f>IF(AB112="","-",VLOOKUP(AB112,'CERT. COR'!$A$4:$E$2200,4,0))</f>
        <v>-</v>
      </c>
      <c r="AI112" s="87" t="str">
        <f t="shared" si="3"/>
        <v>PN</v>
      </c>
      <c r="AJ112" s="121">
        <f t="shared" si="4"/>
        <v>0</v>
      </c>
      <c r="AK112" s="84">
        <f t="shared" si="5"/>
        <v>0</v>
      </c>
    </row>
    <row r="113" spans="1:37" x14ac:dyDescent="0.25">
      <c r="A113" s="82">
        <v>111</v>
      </c>
      <c r="B113" s="89">
        <f>'plan de data'!B113</f>
        <v>0</v>
      </c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115" t="str">
        <f>IF(Y113="","-",VLOOKUP(Y113,'CERT. COR'!$A$4:$E$2200,3,0))</f>
        <v>-</v>
      </c>
      <c r="AA113" s="117" t="str">
        <f>IF(Y113="","-",VLOOKUP(Y113,'CERT. COR'!$A$4:$E$2200,2,0))</f>
        <v>-</v>
      </c>
      <c r="AB113" s="84"/>
      <c r="AC113" s="115" t="str">
        <f>IF(AB113="","-",VLOOKUP(AB113,'CERT. COR'!$A$4:$E$2200,3,0))</f>
        <v>-</v>
      </c>
      <c r="AD113" s="117" t="str">
        <f>IF(AB113="","-",VLOOKUP(AB113,'CERT. COR'!$A$4:$E$2200,2,0))</f>
        <v>-</v>
      </c>
      <c r="AE113" s="116" t="str">
        <f>IF(Y113="","-",VLOOKUP(Y113,'CERT. COR'!$A$4:$E$2200,5,0))</f>
        <v>-</v>
      </c>
      <c r="AF113" s="116" t="str">
        <f>IF(Y113="","-",VLOOKUP(Y113,'CERT. COR'!$A$4:$E$2200,4,0))</f>
        <v>-</v>
      </c>
      <c r="AG113" s="116" t="str">
        <f>IF(AB113="","-",VLOOKUP(AB113,'CERT. COR'!$A$4:$E$2200,5,0))</f>
        <v>-</v>
      </c>
      <c r="AH113" s="120" t="str">
        <f>IF(AB113="","-",VLOOKUP(AB113,'CERT. COR'!$A$4:$E$2200,4,0))</f>
        <v>-</v>
      </c>
      <c r="AI113" s="87" t="str">
        <f t="shared" si="3"/>
        <v>PN</v>
      </c>
      <c r="AJ113" s="121">
        <f t="shared" si="4"/>
        <v>0</v>
      </c>
      <c r="AK113" s="84">
        <f t="shared" si="5"/>
        <v>0</v>
      </c>
    </row>
    <row r="114" spans="1:37" x14ac:dyDescent="0.25">
      <c r="A114" s="82">
        <v>112</v>
      </c>
      <c r="B114" s="89">
        <f>'plan de data'!B114</f>
        <v>0</v>
      </c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115" t="str">
        <f>IF(Y114="","-",VLOOKUP(Y114,'CERT. COR'!$A$4:$E$2200,3,0))</f>
        <v>-</v>
      </c>
      <c r="AA114" s="117" t="str">
        <f>IF(Y114="","-",VLOOKUP(Y114,'CERT. COR'!$A$4:$E$2200,2,0))</f>
        <v>-</v>
      </c>
      <c r="AB114" s="84"/>
      <c r="AC114" s="115" t="str">
        <f>IF(AB114="","-",VLOOKUP(AB114,'CERT. COR'!$A$4:$E$2200,3,0))</f>
        <v>-</v>
      </c>
      <c r="AD114" s="117" t="str">
        <f>IF(AB114="","-",VLOOKUP(AB114,'CERT. COR'!$A$4:$E$2200,2,0))</f>
        <v>-</v>
      </c>
      <c r="AE114" s="116" t="str">
        <f>IF(Y114="","-",VLOOKUP(Y114,'CERT. COR'!$A$4:$E$2200,5,0))</f>
        <v>-</v>
      </c>
      <c r="AF114" s="116" t="str">
        <f>IF(Y114="","-",VLOOKUP(Y114,'CERT. COR'!$A$4:$E$2200,4,0))</f>
        <v>-</v>
      </c>
      <c r="AG114" s="116" t="str">
        <f>IF(AB114="","-",VLOOKUP(AB114,'CERT. COR'!$A$4:$E$2200,5,0))</f>
        <v>-</v>
      </c>
      <c r="AH114" s="120" t="str">
        <f>IF(AB114="","-",VLOOKUP(AB114,'CERT. COR'!$A$4:$E$2200,4,0))</f>
        <v>-</v>
      </c>
      <c r="AI114" s="87" t="str">
        <f t="shared" si="3"/>
        <v>PN</v>
      </c>
      <c r="AJ114" s="121">
        <f t="shared" si="4"/>
        <v>0</v>
      </c>
      <c r="AK114" s="84">
        <f t="shared" si="5"/>
        <v>0</v>
      </c>
    </row>
    <row r="115" spans="1:37" x14ac:dyDescent="0.25">
      <c r="A115" s="82">
        <v>113</v>
      </c>
      <c r="B115" s="89">
        <f>'plan de data'!B115</f>
        <v>0</v>
      </c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115" t="str">
        <f>IF(Y115="","-",VLOOKUP(Y115,'CERT. COR'!$A$4:$E$2200,3,0))</f>
        <v>-</v>
      </c>
      <c r="AA115" s="117" t="str">
        <f>IF(Y115="","-",VLOOKUP(Y115,'CERT. COR'!$A$4:$E$2200,2,0))</f>
        <v>-</v>
      </c>
      <c r="AB115" s="84"/>
      <c r="AC115" s="115" t="str">
        <f>IF(AB115="","-",VLOOKUP(AB115,'CERT. COR'!$A$4:$E$2200,3,0))</f>
        <v>-</v>
      </c>
      <c r="AD115" s="117" t="str">
        <f>IF(AB115="","-",VLOOKUP(AB115,'CERT. COR'!$A$4:$E$2200,2,0))</f>
        <v>-</v>
      </c>
      <c r="AE115" s="116" t="str">
        <f>IF(Y115="","-",VLOOKUP(Y115,'CERT. COR'!$A$4:$E$2200,5,0))</f>
        <v>-</v>
      </c>
      <c r="AF115" s="116" t="str">
        <f>IF(Y115="","-",VLOOKUP(Y115,'CERT. COR'!$A$4:$E$2200,4,0))</f>
        <v>-</v>
      </c>
      <c r="AG115" s="116" t="str">
        <f>IF(AB115="","-",VLOOKUP(AB115,'CERT. COR'!$A$4:$E$2200,5,0))</f>
        <v>-</v>
      </c>
      <c r="AH115" s="120" t="str">
        <f>IF(AB115="","-",VLOOKUP(AB115,'CERT. COR'!$A$4:$E$2200,4,0))</f>
        <v>-</v>
      </c>
      <c r="AI115" s="87" t="str">
        <f t="shared" si="3"/>
        <v>PN</v>
      </c>
      <c r="AJ115" s="121">
        <f t="shared" si="4"/>
        <v>0</v>
      </c>
      <c r="AK115" s="84">
        <f t="shared" si="5"/>
        <v>0</v>
      </c>
    </row>
    <row r="116" spans="1:37" x14ac:dyDescent="0.25">
      <c r="A116" s="82">
        <v>114</v>
      </c>
      <c r="B116" s="89">
        <f>'plan de data'!B116</f>
        <v>0</v>
      </c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115" t="str">
        <f>IF(Y116="","-",VLOOKUP(Y116,'CERT. COR'!$A$4:$E$2200,3,0))</f>
        <v>-</v>
      </c>
      <c r="AA116" s="117" t="str">
        <f>IF(Y116="","-",VLOOKUP(Y116,'CERT. COR'!$A$4:$E$2200,2,0))</f>
        <v>-</v>
      </c>
      <c r="AB116" s="84"/>
      <c r="AC116" s="115" t="str">
        <f>IF(AB116="","-",VLOOKUP(AB116,'CERT. COR'!$A$4:$E$2200,3,0))</f>
        <v>-</v>
      </c>
      <c r="AD116" s="117" t="str">
        <f>IF(AB116="","-",VLOOKUP(AB116,'CERT. COR'!$A$4:$E$2200,2,0))</f>
        <v>-</v>
      </c>
      <c r="AE116" s="116" t="str">
        <f>IF(Y116="","-",VLOOKUP(Y116,'CERT. COR'!$A$4:$E$2200,5,0))</f>
        <v>-</v>
      </c>
      <c r="AF116" s="116" t="str">
        <f>IF(Y116="","-",VLOOKUP(Y116,'CERT. COR'!$A$4:$E$2200,4,0))</f>
        <v>-</v>
      </c>
      <c r="AG116" s="116" t="str">
        <f>IF(AB116="","-",VLOOKUP(AB116,'CERT. COR'!$A$4:$E$2200,5,0))</f>
        <v>-</v>
      </c>
      <c r="AH116" s="120" t="str">
        <f>IF(AB116="","-",VLOOKUP(AB116,'CERT. COR'!$A$4:$E$2200,4,0))</f>
        <v>-</v>
      </c>
      <c r="AI116" s="87" t="str">
        <f t="shared" si="3"/>
        <v>PN</v>
      </c>
      <c r="AJ116" s="121">
        <f t="shared" si="4"/>
        <v>0</v>
      </c>
      <c r="AK116" s="84">
        <f t="shared" si="5"/>
        <v>0</v>
      </c>
    </row>
    <row r="117" spans="1:37" x14ac:dyDescent="0.25">
      <c r="A117" s="82">
        <v>115</v>
      </c>
      <c r="B117" s="89">
        <f>'plan de data'!B117</f>
        <v>0</v>
      </c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115" t="str">
        <f>IF(Y117="","-",VLOOKUP(Y117,'CERT. COR'!$A$4:$E$2200,3,0))</f>
        <v>-</v>
      </c>
      <c r="AA117" s="117" t="str">
        <f>IF(Y117="","-",VLOOKUP(Y117,'CERT. COR'!$A$4:$E$2200,2,0))</f>
        <v>-</v>
      </c>
      <c r="AB117" s="84"/>
      <c r="AC117" s="115" t="str">
        <f>IF(AB117="","-",VLOOKUP(AB117,'CERT. COR'!$A$4:$E$2200,3,0))</f>
        <v>-</v>
      </c>
      <c r="AD117" s="117" t="str">
        <f>IF(AB117="","-",VLOOKUP(AB117,'CERT. COR'!$A$4:$E$2200,2,0))</f>
        <v>-</v>
      </c>
      <c r="AE117" s="116" t="str">
        <f>IF(Y117="","-",VLOOKUP(Y117,'CERT. COR'!$A$4:$E$2200,5,0))</f>
        <v>-</v>
      </c>
      <c r="AF117" s="116" t="str">
        <f>IF(Y117="","-",VLOOKUP(Y117,'CERT. COR'!$A$4:$E$2200,4,0))</f>
        <v>-</v>
      </c>
      <c r="AG117" s="116" t="str">
        <f>IF(AB117="","-",VLOOKUP(AB117,'CERT. COR'!$A$4:$E$2200,5,0))</f>
        <v>-</v>
      </c>
      <c r="AH117" s="120" t="str">
        <f>IF(AB117="","-",VLOOKUP(AB117,'CERT. COR'!$A$4:$E$2200,4,0))</f>
        <v>-</v>
      </c>
      <c r="AI117" s="87" t="str">
        <f t="shared" si="3"/>
        <v>PN</v>
      </c>
      <c r="AJ117" s="121">
        <f t="shared" si="4"/>
        <v>0</v>
      </c>
      <c r="AK117" s="84">
        <f t="shared" si="5"/>
        <v>0</v>
      </c>
    </row>
    <row r="118" spans="1:37" x14ac:dyDescent="0.25">
      <c r="A118" s="82">
        <v>116</v>
      </c>
      <c r="B118" s="89">
        <f>'plan de data'!B118</f>
        <v>0</v>
      </c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115" t="str">
        <f>IF(Y118="","-",VLOOKUP(Y118,'CERT. COR'!$A$4:$E$2200,3,0))</f>
        <v>-</v>
      </c>
      <c r="AA118" s="117" t="str">
        <f>IF(Y118="","-",VLOOKUP(Y118,'CERT. COR'!$A$4:$E$2200,2,0))</f>
        <v>-</v>
      </c>
      <c r="AB118" s="84"/>
      <c r="AC118" s="115" t="str">
        <f>IF(AB118="","-",VLOOKUP(AB118,'CERT. COR'!$A$4:$E$2200,3,0))</f>
        <v>-</v>
      </c>
      <c r="AD118" s="117" t="str">
        <f>IF(AB118="","-",VLOOKUP(AB118,'CERT. COR'!$A$4:$E$2200,2,0))</f>
        <v>-</v>
      </c>
      <c r="AE118" s="116" t="str">
        <f>IF(Y118="","-",VLOOKUP(Y118,'CERT. COR'!$A$4:$E$2200,5,0))</f>
        <v>-</v>
      </c>
      <c r="AF118" s="116" t="str">
        <f>IF(Y118="","-",VLOOKUP(Y118,'CERT. COR'!$A$4:$E$2200,4,0))</f>
        <v>-</v>
      </c>
      <c r="AG118" s="116" t="str">
        <f>IF(AB118="","-",VLOOKUP(AB118,'CERT. COR'!$A$4:$E$2200,5,0))</f>
        <v>-</v>
      </c>
      <c r="AH118" s="120" t="str">
        <f>IF(AB118="","-",VLOOKUP(AB118,'CERT. COR'!$A$4:$E$2200,4,0))</f>
        <v>-</v>
      </c>
      <c r="AI118" s="87" t="str">
        <f t="shared" si="3"/>
        <v>PN</v>
      </c>
      <c r="AJ118" s="121">
        <f t="shared" si="4"/>
        <v>0</v>
      </c>
      <c r="AK118" s="84">
        <f t="shared" si="5"/>
        <v>0</v>
      </c>
    </row>
    <row r="119" spans="1:37" x14ac:dyDescent="0.25">
      <c r="A119" s="82">
        <v>117</v>
      </c>
      <c r="B119" s="89">
        <f>'plan de data'!B119</f>
        <v>0</v>
      </c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115" t="str">
        <f>IF(Y119="","-",VLOOKUP(Y119,'CERT. COR'!$A$4:$E$2200,3,0))</f>
        <v>-</v>
      </c>
      <c r="AA119" s="117" t="str">
        <f>IF(Y119="","-",VLOOKUP(Y119,'CERT. COR'!$A$4:$E$2200,2,0))</f>
        <v>-</v>
      </c>
      <c r="AB119" s="84"/>
      <c r="AC119" s="115" t="str">
        <f>IF(AB119="","-",VLOOKUP(AB119,'CERT. COR'!$A$4:$E$2200,3,0))</f>
        <v>-</v>
      </c>
      <c r="AD119" s="117" t="str">
        <f>IF(AB119="","-",VLOOKUP(AB119,'CERT. COR'!$A$4:$E$2200,2,0))</f>
        <v>-</v>
      </c>
      <c r="AE119" s="116" t="str">
        <f>IF(Y119="","-",VLOOKUP(Y119,'CERT. COR'!$A$4:$E$2200,5,0))</f>
        <v>-</v>
      </c>
      <c r="AF119" s="116" t="str">
        <f>IF(Y119="","-",VLOOKUP(Y119,'CERT. COR'!$A$4:$E$2200,4,0))</f>
        <v>-</v>
      </c>
      <c r="AG119" s="116" t="str">
        <f>IF(AB119="","-",VLOOKUP(AB119,'CERT. COR'!$A$4:$E$2200,5,0))</f>
        <v>-</v>
      </c>
      <c r="AH119" s="120" t="str">
        <f>IF(AB119="","-",VLOOKUP(AB119,'CERT. COR'!$A$4:$E$2200,4,0))</f>
        <v>-</v>
      </c>
      <c r="AI119" s="87" t="str">
        <f t="shared" si="3"/>
        <v>PN</v>
      </c>
      <c r="AJ119" s="121">
        <f t="shared" si="4"/>
        <v>0</v>
      </c>
      <c r="AK119" s="84">
        <f t="shared" si="5"/>
        <v>0</v>
      </c>
    </row>
    <row r="120" spans="1:37" x14ac:dyDescent="0.25">
      <c r="A120" s="82">
        <v>118</v>
      </c>
      <c r="B120" s="89">
        <f>'plan de data'!B120</f>
        <v>0</v>
      </c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115" t="str">
        <f>IF(Y120="","-",VLOOKUP(Y120,'CERT. COR'!$A$4:$E$2200,3,0))</f>
        <v>-</v>
      </c>
      <c r="AA120" s="117" t="str">
        <f>IF(Y120="","-",VLOOKUP(Y120,'CERT. COR'!$A$4:$E$2200,2,0))</f>
        <v>-</v>
      </c>
      <c r="AB120" s="84"/>
      <c r="AC120" s="115" t="str">
        <f>IF(AB120="","-",VLOOKUP(AB120,'CERT. COR'!$A$4:$E$2200,3,0))</f>
        <v>-</v>
      </c>
      <c r="AD120" s="117" t="str">
        <f>IF(AB120="","-",VLOOKUP(AB120,'CERT. COR'!$A$4:$E$2200,2,0))</f>
        <v>-</v>
      </c>
      <c r="AE120" s="116" t="str">
        <f>IF(Y120="","-",VLOOKUP(Y120,'CERT. COR'!$A$4:$E$2200,5,0))</f>
        <v>-</v>
      </c>
      <c r="AF120" s="116" t="str">
        <f>IF(Y120="","-",VLOOKUP(Y120,'CERT. COR'!$A$4:$E$2200,4,0))</f>
        <v>-</v>
      </c>
      <c r="AG120" s="116" t="str">
        <f>IF(AB120="","-",VLOOKUP(AB120,'CERT. COR'!$A$4:$E$2200,5,0))</f>
        <v>-</v>
      </c>
      <c r="AH120" s="120" t="str">
        <f>IF(AB120="","-",VLOOKUP(AB120,'CERT. COR'!$A$4:$E$2200,4,0))</f>
        <v>-</v>
      </c>
      <c r="AI120" s="87" t="str">
        <f t="shared" si="3"/>
        <v>PN</v>
      </c>
      <c r="AJ120" s="121">
        <f t="shared" si="4"/>
        <v>0</v>
      </c>
      <c r="AK120" s="84">
        <f t="shared" si="5"/>
        <v>0</v>
      </c>
    </row>
    <row r="121" spans="1:37" x14ac:dyDescent="0.25">
      <c r="A121" s="82">
        <v>119</v>
      </c>
      <c r="B121" s="89">
        <f>'plan de data'!B121</f>
        <v>0</v>
      </c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115" t="str">
        <f>IF(Y121="","-",VLOOKUP(Y121,'CERT. COR'!$A$4:$E$2200,3,0))</f>
        <v>-</v>
      </c>
      <c r="AA121" s="117" t="str">
        <f>IF(Y121="","-",VLOOKUP(Y121,'CERT. COR'!$A$4:$E$2200,2,0))</f>
        <v>-</v>
      </c>
      <c r="AB121" s="84"/>
      <c r="AC121" s="115" t="str">
        <f>IF(AB121="","-",VLOOKUP(AB121,'CERT. COR'!$A$4:$E$2200,3,0))</f>
        <v>-</v>
      </c>
      <c r="AD121" s="117" t="str">
        <f>IF(AB121="","-",VLOOKUP(AB121,'CERT. COR'!$A$4:$E$2200,2,0))</f>
        <v>-</v>
      </c>
      <c r="AE121" s="116" t="str">
        <f>IF(Y121="","-",VLOOKUP(Y121,'CERT. COR'!$A$4:$E$2200,5,0))</f>
        <v>-</v>
      </c>
      <c r="AF121" s="116" t="str">
        <f>IF(Y121="","-",VLOOKUP(Y121,'CERT. COR'!$A$4:$E$2200,4,0))</f>
        <v>-</v>
      </c>
      <c r="AG121" s="116" t="str">
        <f>IF(AB121="","-",VLOOKUP(AB121,'CERT. COR'!$A$4:$E$2200,5,0))</f>
        <v>-</v>
      </c>
      <c r="AH121" s="120" t="str">
        <f>IF(AB121="","-",VLOOKUP(AB121,'CERT. COR'!$A$4:$E$2200,4,0))</f>
        <v>-</v>
      </c>
      <c r="AI121" s="87" t="str">
        <f t="shared" si="3"/>
        <v>PN</v>
      </c>
      <c r="AJ121" s="121">
        <f t="shared" si="4"/>
        <v>0</v>
      </c>
      <c r="AK121" s="84">
        <f t="shared" si="5"/>
        <v>0</v>
      </c>
    </row>
    <row r="122" spans="1:37" x14ac:dyDescent="0.25">
      <c r="A122" s="82">
        <v>120</v>
      </c>
      <c r="B122" s="89">
        <f>'plan de data'!B122</f>
        <v>0</v>
      </c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115" t="str">
        <f>IF(Y122="","-",VLOOKUP(Y122,'CERT. COR'!$A$4:$E$2200,3,0))</f>
        <v>-</v>
      </c>
      <c r="AA122" s="117" t="str">
        <f>IF(Y122="","-",VLOOKUP(Y122,'CERT. COR'!$A$4:$E$2200,2,0))</f>
        <v>-</v>
      </c>
      <c r="AB122" s="84"/>
      <c r="AC122" s="115" t="str">
        <f>IF(AB122="","-",VLOOKUP(AB122,'CERT. COR'!$A$4:$E$2200,3,0))</f>
        <v>-</v>
      </c>
      <c r="AD122" s="117" t="str">
        <f>IF(AB122="","-",VLOOKUP(AB122,'CERT. COR'!$A$4:$E$2200,2,0))</f>
        <v>-</v>
      </c>
      <c r="AE122" s="116" t="str">
        <f>IF(Y122="","-",VLOOKUP(Y122,'CERT. COR'!$A$4:$E$2200,5,0))</f>
        <v>-</v>
      </c>
      <c r="AF122" s="116" t="str">
        <f>IF(Y122="","-",VLOOKUP(Y122,'CERT. COR'!$A$4:$E$2200,4,0))</f>
        <v>-</v>
      </c>
      <c r="AG122" s="116" t="str">
        <f>IF(AB122="","-",VLOOKUP(AB122,'CERT. COR'!$A$4:$E$2200,5,0))</f>
        <v>-</v>
      </c>
      <c r="AH122" s="120" t="str">
        <f>IF(AB122="","-",VLOOKUP(AB122,'CERT. COR'!$A$4:$E$2200,4,0))</f>
        <v>-</v>
      </c>
      <c r="AI122" s="87" t="str">
        <f t="shared" si="3"/>
        <v>PN</v>
      </c>
      <c r="AJ122" s="121">
        <f t="shared" si="4"/>
        <v>0</v>
      </c>
      <c r="AK122" s="84">
        <f t="shared" si="5"/>
        <v>0</v>
      </c>
    </row>
    <row r="123" spans="1:37" x14ac:dyDescent="0.25">
      <c r="A123" s="82">
        <v>121</v>
      </c>
      <c r="B123" s="89">
        <f>'plan de data'!B123</f>
        <v>0</v>
      </c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115" t="str">
        <f>IF(Y123="","-",VLOOKUP(Y123,'CERT. COR'!$A$4:$E$2200,3,0))</f>
        <v>-</v>
      </c>
      <c r="AA123" s="117" t="str">
        <f>IF(Y123="","-",VLOOKUP(Y123,'CERT. COR'!$A$4:$E$2200,2,0))</f>
        <v>-</v>
      </c>
      <c r="AB123" s="84"/>
      <c r="AC123" s="115" t="str">
        <f>IF(AB123="","-",VLOOKUP(AB123,'CERT. COR'!$A$4:$E$2200,3,0))</f>
        <v>-</v>
      </c>
      <c r="AD123" s="117" t="str">
        <f>IF(AB123="","-",VLOOKUP(AB123,'CERT. COR'!$A$4:$E$2200,2,0))</f>
        <v>-</v>
      </c>
      <c r="AE123" s="116" t="str">
        <f>IF(Y123="","-",VLOOKUP(Y123,'CERT. COR'!$A$4:$E$2200,5,0))</f>
        <v>-</v>
      </c>
      <c r="AF123" s="116" t="str">
        <f>IF(Y123="","-",VLOOKUP(Y123,'CERT. COR'!$A$4:$E$2200,4,0))</f>
        <v>-</v>
      </c>
      <c r="AG123" s="116" t="str">
        <f>IF(AB123="","-",VLOOKUP(AB123,'CERT. COR'!$A$4:$E$2200,5,0))</f>
        <v>-</v>
      </c>
      <c r="AH123" s="120" t="str">
        <f>IF(AB123="","-",VLOOKUP(AB123,'CERT. COR'!$A$4:$E$2200,4,0))</f>
        <v>-</v>
      </c>
      <c r="AI123" s="87" t="str">
        <f t="shared" si="3"/>
        <v>PN</v>
      </c>
      <c r="AJ123" s="121">
        <f t="shared" si="4"/>
        <v>0</v>
      </c>
      <c r="AK123" s="84">
        <f t="shared" si="5"/>
        <v>0</v>
      </c>
    </row>
    <row r="124" spans="1:37" x14ac:dyDescent="0.25">
      <c r="A124" s="82">
        <v>122</v>
      </c>
      <c r="B124" s="89">
        <f>'plan de data'!B124</f>
        <v>0</v>
      </c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115" t="str">
        <f>IF(Y124="","-",VLOOKUP(Y124,'CERT. COR'!$A$4:$E$2200,3,0))</f>
        <v>-</v>
      </c>
      <c r="AA124" s="117" t="str">
        <f>IF(Y124="","-",VLOOKUP(Y124,'CERT. COR'!$A$4:$E$2200,2,0))</f>
        <v>-</v>
      </c>
      <c r="AB124" s="84"/>
      <c r="AC124" s="115" t="str">
        <f>IF(AB124="","-",VLOOKUP(AB124,'CERT. COR'!$A$4:$E$2200,3,0))</f>
        <v>-</v>
      </c>
      <c r="AD124" s="117" t="str">
        <f>IF(AB124="","-",VLOOKUP(AB124,'CERT. COR'!$A$4:$E$2200,2,0))</f>
        <v>-</v>
      </c>
      <c r="AE124" s="116" t="str">
        <f>IF(Y124="","-",VLOOKUP(Y124,'CERT. COR'!$A$4:$E$2200,5,0))</f>
        <v>-</v>
      </c>
      <c r="AF124" s="116" t="str">
        <f>IF(Y124="","-",VLOOKUP(Y124,'CERT. COR'!$A$4:$E$2200,4,0))</f>
        <v>-</v>
      </c>
      <c r="AG124" s="116" t="str">
        <f>IF(AB124="","-",VLOOKUP(AB124,'CERT. COR'!$A$4:$E$2200,5,0))</f>
        <v>-</v>
      </c>
      <c r="AH124" s="120" t="str">
        <f>IF(AB124="","-",VLOOKUP(AB124,'CERT. COR'!$A$4:$E$2200,4,0))</f>
        <v>-</v>
      </c>
      <c r="AI124" s="87" t="str">
        <f t="shared" si="3"/>
        <v>PN</v>
      </c>
      <c r="AJ124" s="121">
        <f t="shared" si="4"/>
        <v>0</v>
      </c>
      <c r="AK124" s="84">
        <f t="shared" si="5"/>
        <v>0</v>
      </c>
    </row>
    <row r="125" spans="1:37" x14ac:dyDescent="0.25">
      <c r="A125" s="82">
        <v>123</v>
      </c>
      <c r="B125" s="89">
        <f>'plan de data'!B125</f>
        <v>0</v>
      </c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115" t="str">
        <f>IF(Y125="","-",VLOOKUP(Y125,'CERT. COR'!$A$4:$E$2200,3,0))</f>
        <v>-</v>
      </c>
      <c r="AA125" s="117" t="str">
        <f>IF(Y125="","-",VLOOKUP(Y125,'CERT. COR'!$A$4:$E$2200,2,0))</f>
        <v>-</v>
      </c>
      <c r="AB125" s="84"/>
      <c r="AC125" s="115" t="str">
        <f>IF(AB125="","-",VLOOKUP(AB125,'CERT. COR'!$A$4:$E$2200,3,0))</f>
        <v>-</v>
      </c>
      <c r="AD125" s="117" t="str">
        <f>IF(AB125="","-",VLOOKUP(AB125,'CERT. COR'!$A$4:$E$2200,2,0))</f>
        <v>-</v>
      </c>
      <c r="AE125" s="116" t="str">
        <f>IF(Y125="","-",VLOOKUP(Y125,'CERT. COR'!$A$4:$E$2200,5,0))</f>
        <v>-</v>
      </c>
      <c r="AF125" s="116" t="str">
        <f>IF(Y125="","-",VLOOKUP(Y125,'CERT. COR'!$A$4:$E$2200,4,0))</f>
        <v>-</v>
      </c>
      <c r="AG125" s="116" t="str">
        <f>IF(AB125="","-",VLOOKUP(AB125,'CERT. COR'!$A$4:$E$2200,5,0))</f>
        <v>-</v>
      </c>
      <c r="AH125" s="120" t="str">
        <f>IF(AB125="","-",VLOOKUP(AB125,'CERT. COR'!$A$4:$E$2200,4,0))</f>
        <v>-</v>
      </c>
      <c r="AI125" s="87" t="str">
        <f t="shared" si="3"/>
        <v>PN</v>
      </c>
      <c r="AJ125" s="121">
        <f t="shared" si="4"/>
        <v>0</v>
      </c>
      <c r="AK125" s="84">
        <f t="shared" si="5"/>
        <v>0</v>
      </c>
    </row>
    <row r="126" spans="1:37" x14ac:dyDescent="0.25">
      <c r="A126" s="82">
        <v>124</v>
      </c>
      <c r="B126" s="89">
        <f>'plan de data'!B126</f>
        <v>0</v>
      </c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115" t="str">
        <f>IF(Y126="","-",VLOOKUP(Y126,'CERT. COR'!$A$4:$E$2200,3,0))</f>
        <v>-</v>
      </c>
      <c r="AA126" s="117" t="str">
        <f>IF(Y126="","-",VLOOKUP(Y126,'CERT. COR'!$A$4:$E$2200,2,0))</f>
        <v>-</v>
      </c>
      <c r="AB126" s="84"/>
      <c r="AC126" s="115" t="str">
        <f>IF(AB126="","-",VLOOKUP(AB126,'CERT. COR'!$A$4:$E$2200,3,0))</f>
        <v>-</v>
      </c>
      <c r="AD126" s="117" t="str">
        <f>IF(AB126="","-",VLOOKUP(AB126,'CERT. COR'!$A$4:$E$2200,2,0))</f>
        <v>-</v>
      </c>
      <c r="AE126" s="116" t="str">
        <f>IF(Y126="","-",VLOOKUP(Y126,'CERT. COR'!$A$4:$E$2200,5,0))</f>
        <v>-</v>
      </c>
      <c r="AF126" s="116" t="str">
        <f>IF(Y126="","-",VLOOKUP(Y126,'CERT. COR'!$A$4:$E$2200,4,0))</f>
        <v>-</v>
      </c>
      <c r="AG126" s="116" t="str">
        <f>IF(AB126="","-",VLOOKUP(AB126,'CERT. COR'!$A$4:$E$2200,5,0))</f>
        <v>-</v>
      </c>
      <c r="AH126" s="120" t="str">
        <f>IF(AB126="","-",VLOOKUP(AB126,'CERT. COR'!$A$4:$E$2200,4,0))</f>
        <v>-</v>
      </c>
      <c r="AI126" s="87" t="str">
        <f t="shared" si="3"/>
        <v>PN</v>
      </c>
      <c r="AJ126" s="121">
        <f t="shared" si="4"/>
        <v>0</v>
      </c>
      <c r="AK126" s="84">
        <f t="shared" si="5"/>
        <v>0</v>
      </c>
    </row>
    <row r="127" spans="1:37" x14ac:dyDescent="0.25">
      <c r="A127" s="82">
        <v>125</v>
      </c>
      <c r="B127" s="89">
        <f>'plan de data'!B127</f>
        <v>0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115" t="str">
        <f>IF(Y127="","-",VLOOKUP(Y127,'CERT. COR'!$A$4:$E$2200,3,0))</f>
        <v>-</v>
      </c>
      <c r="AA127" s="117" t="str">
        <f>IF(Y127="","-",VLOOKUP(Y127,'CERT. COR'!$A$4:$E$2200,2,0))</f>
        <v>-</v>
      </c>
      <c r="AB127" s="84"/>
      <c r="AC127" s="115" t="str">
        <f>IF(AB127="","-",VLOOKUP(AB127,'CERT. COR'!$A$4:$E$2200,3,0))</f>
        <v>-</v>
      </c>
      <c r="AD127" s="117" t="str">
        <f>IF(AB127="","-",VLOOKUP(AB127,'CERT. COR'!$A$4:$E$2200,2,0))</f>
        <v>-</v>
      </c>
      <c r="AE127" s="116" t="str">
        <f>IF(Y127="","-",VLOOKUP(Y127,'CERT. COR'!$A$4:$E$2200,5,0))</f>
        <v>-</v>
      </c>
      <c r="AF127" s="116" t="str">
        <f>IF(Y127="","-",VLOOKUP(Y127,'CERT. COR'!$A$4:$E$2200,4,0))</f>
        <v>-</v>
      </c>
      <c r="AG127" s="116" t="str">
        <f>IF(AB127="","-",VLOOKUP(AB127,'CERT. COR'!$A$4:$E$2200,5,0))</f>
        <v>-</v>
      </c>
      <c r="AH127" s="120" t="str">
        <f>IF(AB127="","-",VLOOKUP(AB127,'CERT. COR'!$A$4:$E$2200,4,0))</f>
        <v>-</v>
      </c>
      <c r="AI127" s="87" t="str">
        <f t="shared" si="3"/>
        <v>PN</v>
      </c>
      <c r="AJ127" s="121">
        <f t="shared" si="4"/>
        <v>0</v>
      </c>
      <c r="AK127" s="84">
        <f t="shared" si="5"/>
        <v>0</v>
      </c>
    </row>
    <row r="128" spans="1:37" x14ac:dyDescent="0.25">
      <c r="A128" s="82">
        <v>126</v>
      </c>
      <c r="B128" s="89">
        <f>'plan de data'!B128</f>
        <v>0</v>
      </c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115" t="str">
        <f>IF(Y128="","-",VLOOKUP(Y128,'CERT. COR'!$A$4:$E$2200,3,0))</f>
        <v>-</v>
      </c>
      <c r="AA128" s="117" t="str">
        <f>IF(Y128="","-",VLOOKUP(Y128,'CERT. COR'!$A$4:$E$2200,2,0))</f>
        <v>-</v>
      </c>
      <c r="AB128" s="84"/>
      <c r="AC128" s="115" t="str">
        <f>IF(AB128="","-",VLOOKUP(AB128,'CERT. COR'!$A$4:$E$2200,3,0))</f>
        <v>-</v>
      </c>
      <c r="AD128" s="117" t="str">
        <f>IF(AB128="","-",VLOOKUP(AB128,'CERT. COR'!$A$4:$E$2200,2,0))</f>
        <v>-</v>
      </c>
      <c r="AE128" s="116" t="str">
        <f>IF(Y128="","-",VLOOKUP(Y128,'CERT. COR'!$A$4:$E$2200,5,0))</f>
        <v>-</v>
      </c>
      <c r="AF128" s="116" t="str">
        <f>IF(Y128="","-",VLOOKUP(Y128,'CERT. COR'!$A$4:$E$2200,4,0))</f>
        <v>-</v>
      </c>
      <c r="AG128" s="116" t="str">
        <f>IF(AB128="","-",VLOOKUP(AB128,'CERT. COR'!$A$4:$E$2200,5,0))</f>
        <v>-</v>
      </c>
      <c r="AH128" s="120" t="str">
        <f>IF(AB128="","-",VLOOKUP(AB128,'CERT. COR'!$A$4:$E$2200,4,0))</f>
        <v>-</v>
      </c>
      <c r="AI128" s="87" t="str">
        <f t="shared" si="3"/>
        <v>PN</v>
      </c>
      <c r="AJ128" s="121">
        <f t="shared" si="4"/>
        <v>0</v>
      </c>
      <c r="AK128" s="84">
        <f t="shared" si="5"/>
        <v>0</v>
      </c>
    </row>
    <row r="129" spans="1:37" x14ac:dyDescent="0.25">
      <c r="A129" s="82">
        <v>127</v>
      </c>
      <c r="B129" s="89">
        <f>'plan de data'!B129</f>
        <v>0</v>
      </c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115" t="str">
        <f>IF(Y129="","-",VLOOKUP(Y129,'CERT. COR'!$A$4:$E$2200,3,0))</f>
        <v>-</v>
      </c>
      <c r="AA129" s="117" t="str">
        <f>IF(Y129="","-",VLOOKUP(Y129,'CERT. COR'!$A$4:$E$2200,2,0))</f>
        <v>-</v>
      </c>
      <c r="AB129" s="84"/>
      <c r="AC129" s="115" t="str">
        <f>IF(AB129="","-",VLOOKUP(AB129,'CERT. COR'!$A$4:$E$2200,3,0))</f>
        <v>-</v>
      </c>
      <c r="AD129" s="117" t="str">
        <f>IF(AB129="","-",VLOOKUP(AB129,'CERT. COR'!$A$4:$E$2200,2,0))</f>
        <v>-</v>
      </c>
      <c r="AE129" s="116" t="str">
        <f>IF(Y129="","-",VLOOKUP(Y129,'CERT. COR'!$A$4:$E$2200,5,0))</f>
        <v>-</v>
      </c>
      <c r="AF129" s="116" t="str">
        <f>IF(Y129="","-",VLOOKUP(Y129,'CERT. COR'!$A$4:$E$2200,4,0))</f>
        <v>-</v>
      </c>
      <c r="AG129" s="116" t="str">
        <f>IF(AB129="","-",VLOOKUP(AB129,'CERT. COR'!$A$4:$E$2200,5,0))</f>
        <v>-</v>
      </c>
      <c r="AH129" s="120" t="str">
        <f>IF(AB129="","-",VLOOKUP(AB129,'CERT. COR'!$A$4:$E$2200,4,0))</f>
        <v>-</v>
      </c>
      <c r="AI129" s="87" t="str">
        <f t="shared" si="3"/>
        <v>PN</v>
      </c>
      <c r="AJ129" s="121">
        <f t="shared" si="4"/>
        <v>0</v>
      </c>
      <c r="AK129" s="84">
        <f t="shared" si="5"/>
        <v>0</v>
      </c>
    </row>
    <row r="130" spans="1:37" x14ac:dyDescent="0.25">
      <c r="A130" s="82">
        <v>128</v>
      </c>
      <c r="B130" s="89">
        <f>'plan de data'!B130</f>
        <v>0</v>
      </c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115" t="str">
        <f>IF(Y130="","-",VLOOKUP(Y130,'CERT. COR'!$A$4:$E$2200,3,0))</f>
        <v>-</v>
      </c>
      <c r="AA130" s="117" t="str">
        <f>IF(Y130="","-",VLOOKUP(Y130,'CERT. COR'!$A$4:$E$2200,2,0))</f>
        <v>-</v>
      </c>
      <c r="AB130" s="84"/>
      <c r="AC130" s="115" t="str">
        <f>IF(AB130="","-",VLOOKUP(AB130,'CERT. COR'!$A$4:$E$2200,3,0))</f>
        <v>-</v>
      </c>
      <c r="AD130" s="117" t="str">
        <f>IF(AB130="","-",VLOOKUP(AB130,'CERT. COR'!$A$4:$E$2200,2,0))</f>
        <v>-</v>
      </c>
      <c r="AE130" s="116" t="str">
        <f>IF(Y130="","-",VLOOKUP(Y130,'CERT. COR'!$A$4:$E$2200,5,0))</f>
        <v>-</v>
      </c>
      <c r="AF130" s="116" t="str">
        <f>IF(Y130="","-",VLOOKUP(Y130,'CERT. COR'!$A$4:$E$2200,4,0))</f>
        <v>-</v>
      </c>
      <c r="AG130" s="116" t="str">
        <f>IF(AB130="","-",VLOOKUP(AB130,'CERT. COR'!$A$4:$E$2200,5,0))</f>
        <v>-</v>
      </c>
      <c r="AH130" s="120" t="str">
        <f>IF(AB130="","-",VLOOKUP(AB130,'CERT. COR'!$A$4:$E$2200,4,0))</f>
        <v>-</v>
      </c>
      <c r="AI130" s="87" t="str">
        <f t="shared" si="3"/>
        <v>PN</v>
      </c>
      <c r="AJ130" s="121">
        <f t="shared" si="4"/>
        <v>0</v>
      </c>
      <c r="AK130" s="84">
        <f t="shared" si="5"/>
        <v>0</v>
      </c>
    </row>
    <row r="131" spans="1:37" x14ac:dyDescent="0.25">
      <c r="A131" s="82">
        <v>129</v>
      </c>
      <c r="B131" s="89">
        <f>'plan de data'!B131</f>
        <v>0</v>
      </c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115" t="str">
        <f>IF(Y131="","-",VLOOKUP(Y131,'CERT. COR'!$A$4:$E$2200,3,0))</f>
        <v>-</v>
      </c>
      <c r="AA131" s="117" t="str">
        <f>IF(Y131="","-",VLOOKUP(Y131,'CERT. COR'!$A$4:$E$2200,2,0))</f>
        <v>-</v>
      </c>
      <c r="AB131" s="84"/>
      <c r="AC131" s="115" t="str">
        <f>IF(AB131="","-",VLOOKUP(AB131,'CERT. COR'!$A$4:$E$2200,3,0))</f>
        <v>-</v>
      </c>
      <c r="AD131" s="117" t="str">
        <f>IF(AB131="","-",VLOOKUP(AB131,'CERT. COR'!$A$4:$E$2200,2,0))</f>
        <v>-</v>
      </c>
      <c r="AE131" s="116" t="str">
        <f>IF(Y131="","-",VLOOKUP(Y131,'CERT. COR'!$A$4:$E$2200,5,0))</f>
        <v>-</v>
      </c>
      <c r="AF131" s="116" t="str">
        <f>IF(Y131="","-",VLOOKUP(Y131,'CERT. COR'!$A$4:$E$2200,4,0))</f>
        <v>-</v>
      </c>
      <c r="AG131" s="116" t="str">
        <f>IF(AB131="","-",VLOOKUP(AB131,'CERT. COR'!$A$4:$E$2200,5,0))</f>
        <v>-</v>
      </c>
      <c r="AH131" s="120" t="str">
        <f>IF(AB131="","-",VLOOKUP(AB131,'CERT. COR'!$A$4:$E$2200,4,0))</f>
        <v>-</v>
      </c>
      <c r="AI131" s="87" t="str">
        <f t="shared" si="3"/>
        <v>PN</v>
      </c>
      <c r="AJ131" s="121">
        <f t="shared" si="4"/>
        <v>0</v>
      </c>
      <c r="AK131" s="84">
        <f t="shared" si="5"/>
        <v>0</v>
      </c>
    </row>
    <row r="132" spans="1:37" x14ac:dyDescent="0.25">
      <c r="A132" s="82">
        <v>130</v>
      </c>
      <c r="B132" s="89">
        <f>'plan de data'!B132</f>
        <v>0</v>
      </c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115" t="str">
        <f>IF(Y132="","-",VLOOKUP(Y132,'CERT. COR'!$A$4:$E$2200,3,0))</f>
        <v>-</v>
      </c>
      <c r="AA132" s="117" t="str">
        <f>IF(Y132="","-",VLOOKUP(Y132,'CERT. COR'!$A$4:$E$2200,2,0))</f>
        <v>-</v>
      </c>
      <c r="AB132" s="84"/>
      <c r="AC132" s="115" t="str">
        <f>IF(AB132="","-",VLOOKUP(AB132,'CERT. COR'!$A$4:$E$2200,3,0))</f>
        <v>-</v>
      </c>
      <c r="AD132" s="117" t="str">
        <f>IF(AB132="","-",VLOOKUP(AB132,'CERT. COR'!$A$4:$E$2200,2,0))</f>
        <v>-</v>
      </c>
      <c r="AE132" s="116" t="str">
        <f>IF(Y132="","-",VLOOKUP(Y132,'CERT. COR'!$A$4:$E$2200,5,0))</f>
        <v>-</v>
      </c>
      <c r="AF132" s="116" t="str">
        <f>IF(Y132="","-",VLOOKUP(Y132,'CERT. COR'!$A$4:$E$2200,4,0))</f>
        <v>-</v>
      </c>
      <c r="AG132" s="116" t="str">
        <f>IF(AB132="","-",VLOOKUP(AB132,'CERT. COR'!$A$4:$E$2200,5,0))</f>
        <v>-</v>
      </c>
      <c r="AH132" s="120" t="str">
        <f>IF(AB132="","-",VLOOKUP(AB132,'CERT. COR'!$A$4:$E$2200,4,0))</f>
        <v>-</v>
      </c>
      <c r="AI132" s="87" t="str">
        <f t="shared" ref="AI132:AI139" si="6">IF(T132="","PN","PF")</f>
        <v>PN</v>
      </c>
      <c r="AJ132" s="121">
        <f t="shared" ref="AJ132:AJ139" si="7">IF(AI132="PN",SUM(C132:R132),0)</f>
        <v>0</v>
      </c>
      <c r="AK132" s="84">
        <f t="shared" ref="AK132:AK139" si="8">IF(AI132="PF",SUM(C132:T132),0)</f>
        <v>0</v>
      </c>
    </row>
    <row r="133" spans="1:37" x14ac:dyDescent="0.25">
      <c r="A133" s="82">
        <v>131</v>
      </c>
      <c r="B133" s="89">
        <f>'plan de data'!B133</f>
        <v>0</v>
      </c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115" t="str">
        <f>IF(Y133="","-",VLOOKUP(Y133,'CERT. COR'!$A$4:$E$2200,3,0))</f>
        <v>-</v>
      </c>
      <c r="AA133" s="117" t="str">
        <f>IF(Y133="","-",VLOOKUP(Y133,'CERT. COR'!$A$4:$E$2200,2,0))</f>
        <v>-</v>
      </c>
      <c r="AB133" s="84"/>
      <c r="AC133" s="115" t="str">
        <f>IF(AB133="","-",VLOOKUP(AB133,'CERT. COR'!$A$4:$E$2200,3,0))</f>
        <v>-</v>
      </c>
      <c r="AD133" s="117" t="str">
        <f>IF(AB133="","-",VLOOKUP(AB133,'CERT. COR'!$A$4:$E$2200,2,0))</f>
        <v>-</v>
      </c>
      <c r="AE133" s="116" t="str">
        <f>IF(Y133="","-",VLOOKUP(Y133,'CERT. COR'!$A$4:$E$2200,5,0))</f>
        <v>-</v>
      </c>
      <c r="AF133" s="116" t="str">
        <f>IF(Y133="","-",VLOOKUP(Y133,'CERT. COR'!$A$4:$E$2200,4,0))</f>
        <v>-</v>
      </c>
      <c r="AG133" s="116" t="str">
        <f>IF(AB133="","-",VLOOKUP(AB133,'CERT. COR'!$A$4:$E$2200,5,0))</f>
        <v>-</v>
      </c>
      <c r="AH133" s="120" t="str">
        <f>IF(AB133="","-",VLOOKUP(AB133,'CERT. COR'!$A$4:$E$2200,4,0))</f>
        <v>-</v>
      </c>
      <c r="AI133" s="87" t="str">
        <f t="shared" si="6"/>
        <v>PN</v>
      </c>
      <c r="AJ133" s="121">
        <f t="shared" si="7"/>
        <v>0</v>
      </c>
      <c r="AK133" s="84">
        <f t="shared" si="8"/>
        <v>0</v>
      </c>
    </row>
    <row r="134" spans="1:37" x14ac:dyDescent="0.25">
      <c r="A134" s="82">
        <v>132</v>
      </c>
      <c r="B134" s="89">
        <f>'plan de data'!B134</f>
        <v>0</v>
      </c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115" t="str">
        <f>IF(Y134="","-",VLOOKUP(Y134,'CERT. COR'!$A$4:$E$2200,3,0))</f>
        <v>-</v>
      </c>
      <c r="AA134" s="117" t="str">
        <f>IF(Y134="","-",VLOOKUP(Y134,'CERT. COR'!$A$4:$E$2200,2,0))</f>
        <v>-</v>
      </c>
      <c r="AB134" s="84"/>
      <c r="AC134" s="115" t="str">
        <f>IF(AB134="","-",VLOOKUP(AB134,'CERT. COR'!$A$4:$E$2200,3,0))</f>
        <v>-</v>
      </c>
      <c r="AD134" s="117" t="str">
        <f>IF(AB134="","-",VLOOKUP(AB134,'CERT. COR'!$A$4:$E$2200,2,0))</f>
        <v>-</v>
      </c>
      <c r="AE134" s="116" t="str">
        <f>IF(Y134="","-",VLOOKUP(Y134,'CERT. COR'!$A$4:$E$2200,5,0))</f>
        <v>-</v>
      </c>
      <c r="AF134" s="116" t="str">
        <f>IF(Y134="","-",VLOOKUP(Y134,'CERT. COR'!$A$4:$E$2200,4,0))</f>
        <v>-</v>
      </c>
      <c r="AG134" s="116" t="str">
        <f>IF(AB134="","-",VLOOKUP(AB134,'CERT. COR'!$A$4:$E$2200,5,0))</f>
        <v>-</v>
      </c>
      <c r="AH134" s="120" t="str">
        <f>IF(AB134="","-",VLOOKUP(AB134,'CERT. COR'!$A$4:$E$2200,4,0))</f>
        <v>-</v>
      </c>
      <c r="AI134" s="87" t="str">
        <f t="shared" si="6"/>
        <v>PN</v>
      </c>
      <c r="AJ134" s="121">
        <f t="shared" si="7"/>
        <v>0</v>
      </c>
      <c r="AK134" s="84">
        <f t="shared" si="8"/>
        <v>0</v>
      </c>
    </row>
    <row r="135" spans="1:37" x14ac:dyDescent="0.25">
      <c r="A135" s="82">
        <v>133</v>
      </c>
      <c r="B135" s="89">
        <f>'plan de data'!B135</f>
        <v>0</v>
      </c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115" t="str">
        <f>IF(Y135="","-",VLOOKUP(Y135,'CERT. COR'!$A$4:$E$2200,3,0))</f>
        <v>-</v>
      </c>
      <c r="AA135" s="117" t="str">
        <f>IF(Y135="","-",VLOOKUP(Y135,'CERT. COR'!$A$4:$E$2200,2,0))</f>
        <v>-</v>
      </c>
      <c r="AB135" s="84"/>
      <c r="AC135" s="115" t="str">
        <f>IF(AB135="","-",VLOOKUP(AB135,'CERT. COR'!$A$4:$E$2200,3,0))</f>
        <v>-</v>
      </c>
      <c r="AD135" s="117" t="str">
        <f>IF(AB135="","-",VLOOKUP(AB135,'CERT. COR'!$A$4:$E$2200,2,0))</f>
        <v>-</v>
      </c>
      <c r="AE135" s="116" t="str">
        <f>IF(Y135="","-",VLOOKUP(Y135,'CERT. COR'!$A$4:$E$2200,5,0))</f>
        <v>-</v>
      </c>
      <c r="AF135" s="116" t="str">
        <f>IF(Y135="","-",VLOOKUP(Y135,'CERT. COR'!$A$4:$E$2200,4,0))</f>
        <v>-</v>
      </c>
      <c r="AG135" s="116" t="str">
        <f>IF(AB135="","-",VLOOKUP(AB135,'CERT. COR'!$A$4:$E$2200,5,0))</f>
        <v>-</v>
      </c>
      <c r="AH135" s="120" t="str">
        <f>IF(AB135="","-",VLOOKUP(AB135,'CERT. COR'!$A$4:$E$2200,4,0))</f>
        <v>-</v>
      </c>
      <c r="AI135" s="87" t="str">
        <f t="shared" si="6"/>
        <v>PN</v>
      </c>
      <c r="AJ135" s="121">
        <f t="shared" si="7"/>
        <v>0</v>
      </c>
      <c r="AK135" s="84">
        <f t="shared" si="8"/>
        <v>0</v>
      </c>
    </row>
    <row r="136" spans="1:37" x14ac:dyDescent="0.25">
      <c r="A136" s="82">
        <v>134</v>
      </c>
      <c r="B136" s="89">
        <f>'plan de data'!B136</f>
        <v>0</v>
      </c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115" t="str">
        <f>IF(Y136="","-",VLOOKUP(Y136,'CERT. COR'!$A$4:$E$2200,3,0))</f>
        <v>-</v>
      </c>
      <c r="AA136" s="117" t="str">
        <f>IF(Y136="","-",VLOOKUP(Y136,'CERT. COR'!$A$4:$E$2200,2,0))</f>
        <v>-</v>
      </c>
      <c r="AB136" s="84"/>
      <c r="AC136" s="115" t="str">
        <f>IF(AB136="","-",VLOOKUP(AB136,'CERT. COR'!$A$4:$E$2200,3,0))</f>
        <v>-</v>
      </c>
      <c r="AD136" s="117" t="str">
        <f>IF(AB136="","-",VLOOKUP(AB136,'CERT. COR'!$A$4:$E$2200,2,0))</f>
        <v>-</v>
      </c>
      <c r="AE136" s="116" t="str">
        <f>IF(Y136="","-",VLOOKUP(Y136,'CERT. COR'!$A$4:$E$2200,5,0))</f>
        <v>-</v>
      </c>
      <c r="AF136" s="116" t="str">
        <f>IF(Y136="","-",VLOOKUP(Y136,'CERT. COR'!$A$4:$E$2200,4,0))</f>
        <v>-</v>
      </c>
      <c r="AG136" s="116" t="str">
        <f>IF(AB136="","-",VLOOKUP(AB136,'CERT. COR'!$A$4:$E$2200,5,0))</f>
        <v>-</v>
      </c>
      <c r="AH136" s="120" t="str">
        <f>IF(AB136="","-",VLOOKUP(AB136,'CERT. COR'!$A$4:$E$2200,4,0))</f>
        <v>-</v>
      </c>
      <c r="AI136" s="87" t="str">
        <f t="shared" si="6"/>
        <v>PN</v>
      </c>
      <c r="AJ136" s="121">
        <f t="shared" si="7"/>
        <v>0</v>
      </c>
      <c r="AK136" s="84">
        <f t="shared" si="8"/>
        <v>0</v>
      </c>
    </row>
    <row r="137" spans="1:37" x14ac:dyDescent="0.25">
      <c r="A137" s="82">
        <v>135</v>
      </c>
      <c r="B137" s="89">
        <f>'plan de data'!B137</f>
        <v>0</v>
      </c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115" t="str">
        <f>IF(Y137="","-",VLOOKUP(Y137,'CERT. COR'!$A$4:$E$2200,3,0))</f>
        <v>-</v>
      </c>
      <c r="AA137" s="117" t="str">
        <f>IF(Y137="","-",VLOOKUP(Y137,'CERT. COR'!$A$4:$E$2200,2,0))</f>
        <v>-</v>
      </c>
      <c r="AB137" s="84"/>
      <c r="AC137" s="115" t="str">
        <f>IF(AB137="","-",VLOOKUP(AB137,'CERT. COR'!$A$4:$E$2200,3,0))</f>
        <v>-</v>
      </c>
      <c r="AD137" s="117" t="str">
        <f>IF(AB137="","-",VLOOKUP(AB137,'CERT. COR'!$A$4:$E$2200,2,0))</f>
        <v>-</v>
      </c>
      <c r="AE137" s="116" t="str">
        <f>IF(Y137="","-",VLOOKUP(Y137,'CERT. COR'!$A$4:$E$2200,5,0))</f>
        <v>-</v>
      </c>
      <c r="AF137" s="116" t="str">
        <f>IF(Y137="","-",VLOOKUP(Y137,'CERT. COR'!$A$4:$E$2200,4,0))</f>
        <v>-</v>
      </c>
      <c r="AG137" s="116" t="str">
        <f>IF(AB137="","-",VLOOKUP(AB137,'CERT. COR'!$A$4:$E$2200,5,0))</f>
        <v>-</v>
      </c>
      <c r="AH137" s="120" t="str">
        <f>IF(AB137="","-",VLOOKUP(AB137,'CERT. COR'!$A$4:$E$2200,4,0))</f>
        <v>-</v>
      </c>
      <c r="AI137" s="87" t="str">
        <f t="shared" si="6"/>
        <v>PN</v>
      </c>
      <c r="AJ137" s="121">
        <f t="shared" si="7"/>
        <v>0</v>
      </c>
      <c r="AK137" s="84">
        <f t="shared" si="8"/>
        <v>0</v>
      </c>
    </row>
    <row r="138" spans="1:37" x14ac:dyDescent="0.25">
      <c r="A138" s="82">
        <v>136</v>
      </c>
      <c r="B138" s="89">
        <f>'plan de data'!B138</f>
        <v>0</v>
      </c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115" t="str">
        <f>IF(Y138="","-",VLOOKUP(Y138,'CERT. COR'!$A$4:$E$2200,3,0))</f>
        <v>-</v>
      </c>
      <c r="AA138" s="117" t="str">
        <f>IF(Y138="","-",VLOOKUP(Y138,'CERT. COR'!$A$4:$E$2200,2,0))</f>
        <v>-</v>
      </c>
      <c r="AB138" s="84"/>
      <c r="AC138" s="115" t="str">
        <f>IF(AB138="","-",VLOOKUP(AB138,'CERT. COR'!$A$4:$E$2200,3,0))</f>
        <v>-</v>
      </c>
      <c r="AD138" s="117" t="str">
        <f>IF(AB138="","-",VLOOKUP(AB138,'CERT. COR'!$A$4:$E$2200,2,0))</f>
        <v>-</v>
      </c>
      <c r="AE138" s="116" t="str">
        <f>IF(Y138="","-",VLOOKUP(Y138,'CERT. COR'!$A$4:$E$2200,5,0))</f>
        <v>-</v>
      </c>
      <c r="AF138" s="116" t="str">
        <f>IF(Y138="","-",VLOOKUP(Y138,'CERT. COR'!$A$4:$E$2200,4,0))</f>
        <v>-</v>
      </c>
      <c r="AG138" s="116" t="str">
        <f>IF(AB138="","-",VLOOKUP(AB138,'CERT. COR'!$A$4:$E$2200,5,0))</f>
        <v>-</v>
      </c>
      <c r="AH138" s="120" t="str">
        <f>IF(AB138="","-",VLOOKUP(AB138,'CERT. COR'!$A$4:$E$2200,4,0))</f>
        <v>-</v>
      </c>
      <c r="AI138" s="87" t="str">
        <f t="shared" si="6"/>
        <v>PN</v>
      </c>
      <c r="AJ138" s="121">
        <f t="shared" si="7"/>
        <v>0</v>
      </c>
      <c r="AK138" s="84">
        <f t="shared" si="8"/>
        <v>0</v>
      </c>
    </row>
    <row r="139" spans="1:37" x14ac:dyDescent="0.25">
      <c r="A139" s="82">
        <v>137</v>
      </c>
      <c r="B139" s="89">
        <f>'plan de data'!B139</f>
        <v>0</v>
      </c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115" t="str">
        <f>IF(Y139="","-",VLOOKUP(Y139,'CERT. COR'!$A$4:$E$2200,3,0))</f>
        <v>-</v>
      </c>
      <c r="AA139" s="117" t="str">
        <f>IF(Y139="","-",VLOOKUP(Y139,'CERT. COR'!$A$4:$E$2200,2,0))</f>
        <v>-</v>
      </c>
      <c r="AB139" s="84"/>
      <c r="AC139" s="115" t="str">
        <f>IF(AB139="","-",VLOOKUP(AB139,'CERT. COR'!$A$4:$E$2200,3,0))</f>
        <v>-</v>
      </c>
      <c r="AD139" s="117" t="str">
        <f>IF(AB139="","-",VLOOKUP(AB139,'CERT. COR'!$A$4:$E$2200,2,0))</f>
        <v>-</v>
      </c>
      <c r="AE139" s="116" t="str">
        <f>IF(Y139="","-",VLOOKUP(Y139,'CERT. COR'!$A$4:$E$2200,5,0))</f>
        <v>-</v>
      </c>
      <c r="AF139" s="116" t="str">
        <f>IF(Y139="","-",VLOOKUP(Y139,'CERT. COR'!$A$4:$E$2200,4,0))</f>
        <v>-</v>
      </c>
      <c r="AG139" s="116" t="str">
        <f>IF(AB139="","-",VLOOKUP(AB139,'CERT. COR'!$A$4:$E$2200,5,0))</f>
        <v>-</v>
      </c>
      <c r="AH139" s="120" t="str">
        <f>IF(AB139="","-",VLOOKUP(AB139,'CERT. COR'!$A$4:$E$2200,4,0))</f>
        <v>-</v>
      </c>
      <c r="AI139" s="87" t="str">
        <f t="shared" si="6"/>
        <v>PN</v>
      </c>
      <c r="AJ139" s="121">
        <f t="shared" si="7"/>
        <v>0</v>
      </c>
      <c r="AK139" s="84">
        <f t="shared" si="8"/>
        <v>0</v>
      </c>
    </row>
  </sheetData>
  <autoFilter ref="Y1:AH139" xr:uid="{1FCE971B-749D-49DC-880B-CCA6ED5B9084}"/>
  <mergeCells count="12">
    <mergeCell ref="C1:X1"/>
    <mergeCell ref="B1:B2"/>
    <mergeCell ref="Y1:Y2"/>
    <mergeCell ref="Z1:Z2"/>
    <mergeCell ref="AA1:AA2"/>
    <mergeCell ref="AE1:AE2"/>
    <mergeCell ref="AF1:AF2"/>
    <mergeCell ref="AG1:AG2"/>
    <mergeCell ref="AH1:AH2"/>
    <mergeCell ref="AB1:AB2"/>
    <mergeCell ref="AC1:AC2"/>
    <mergeCell ref="AD1:AD2"/>
  </mergeCells>
  <phoneticPr fontId="22" type="noConversion"/>
  <conditionalFormatting sqref="C3:X138 C4:R139">
    <cfRule type="cellIs" dxfId="9" priority="19" operator="greaterThan">
      <formula>356</formula>
    </cfRule>
  </conditionalFormatting>
  <conditionalFormatting sqref="C3:X139">
    <cfRule type="cellIs" dxfId="8" priority="18" operator="equal">
      <formula>356</formula>
    </cfRule>
  </conditionalFormatting>
  <conditionalFormatting sqref="AJ2:AJ2000">
    <cfRule type="cellIs" dxfId="7" priority="2" operator="greaterThan">
      <formula>5573</formula>
    </cfRule>
  </conditionalFormatting>
  <conditionalFormatting sqref="AK2:AK1048576">
    <cfRule type="cellIs" dxfId="6" priority="1" operator="greaterThan">
      <formula>2100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F262A-67B3-4D6C-8123-22748047CFB5}">
  <dimension ref="A3:I31"/>
  <sheetViews>
    <sheetView zoomScale="115" zoomScaleNormal="115" workbookViewId="0">
      <pane ySplit="3" topLeftCell="A15" activePane="bottomLeft" state="frozen"/>
      <selection pane="bottomLeft" activeCell="I31" sqref="I31"/>
    </sheetView>
  </sheetViews>
  <sheetFormatPr defaultRowHeight="15" x14ac:dyDescent="0.25"/>
  <cols>
    <col min="1" max="1" width="20.140625" customWidth="1"/>
    <col min="3" max="3" width="14.7109375" customWidth="1"/>
    <col min="4" max="4" width="14.85546875" customWidth="1"/>
    <col min="5" max="5" width="14.7109375" customWidth="1"/>
    <col min="9" max="9" width="24.28515625" customWidth="1"/>
  </cols>
  <sheetData>
    <row r="3" spans="1:9" x14ac:dyDescent="0.25">
      <c r="A3" t="s">
        <v>403</v>
      </c>
      <c r="B3" t="s">
        <v>404</v>
      </c>
      <c r="C3" t="s">
        <v>405</v>
      </c>
      <c r="D3" t="s">
        <v>406</v>
      </c>
      <c r="E3" t="s">
        <v>407</v>
      </c>
    </row>
    <row r="4" spans="1:9" x14ac:dyDescent="0.25">
      <c r="A4" s="119">
        <v>1062072197</v>
      </c>
      <c r="B4">
        <v>81985</v>
      </c>
      <c r="C4" s="114">
        <v>45737</v>
      </c>
      <c r="D4">
        <v>197.1</v>
      </c>
      <c r="E4">
        <v>100</v>
      </c>
      <c r="I4" s="90"/>
    </row>
    <row r="5" spans="1:9" x14ac:dyDescent="0.25">
      <c r="A5" s="118">
        <v>1062076102</v>
      </c>
      <c r="B5">
        <v>81985</v>
      </c>
      <c r="C5" s="114">
        <v>45737</v>
      </c>
      <c r="D5">
        <v>198.8</v>
      </c>
      <c r="E5">
        <v>100</v>
      </c>
      <c r="I5" s="90"/>
    </row>
    <row r="6" spans="1:9" x14ac:dyDescent="0.25">
      <c r="A6" s="118">
        <v>1062393027</v>
      </c>
      <c r="B6">
        <v>81985</v>
      </c>
      <c r="C6" s="114">
        <v>45737</v>
      </c>
      <c r="D6">
        <v>201.7</v>
      </c>
      <c r="E6">
        <v>99.5</v>
      </c>
      <c r="I6" s="90"/>
    </row>
    <row r="7" spans="1:9" x14ac:dyDescent="0.25">
      <c r="A7" s="118">
        <v>1062437954</v>
      </c>
      <c r="B7">
        <v>81985</v>
      </c>
      <c r="C7" s="114">
        <v>45737</v>
      </c>
      <c r="D7">
        <v>201.6</v>
      </c>
      <c r="E7">
        <v>100</v>
      </c>
      <c r="I7" s="90"/>
    </row>
    <row r="8" spans="1:9" x14ac:dyDescent="0.25">
      <c r="A8" s="118">
        <v>1061132929</v>
      </c>
      <c r="B8">
        <v>109623</v>
      </c>
      <c r="C8" s="114">
        <v>45539</v>
      </c>
      <c r="D8">
        <v>198</v>
      </c>
      <c r="E8">
        <v>100</v>
      </c>
      <c r="I8" s="90"/>
    </row>
    <row r="9" spans="1:9" x14ac:dyDescent="0.25">
      <c r="A9" s="118">
        <v>1062153482</v>
      </c>
      <c r="B9">
        <v>81795</v>
      </c>
      <c r="C9" s="114">
        <v>45716</v>
      </c>
      <c r="D9">
        <v>198.7</v>
      </c>
      <c r="E9">
        <v>99.7</v>
      </c>
      <c r="I9" s="87"/>
    </row>
    <row r="10" spans="1:9" x14ac:dyDescent="0.25">
      <c r="A10" s="118">
        <v>1062265533</v>
      </c>
      <c r="B10">
        <v>81795</v>
      </c>
      <c r="C10" s="114">
        <v>45716</v>
      </c>
      <c r="D10">
        <v>192.3</v>
      </c>
      <c r="E10">
        <v>100</v>
      </c>
      <c r="I10" s="87"/>
    </row>
    <row r="11" spans="1:9" x14ac:dyDescent="0.25">
      <c r="A11" s="118">
        <v>1062266407</v>
      </c>
      <c r="B11">
        <v>81795</v>
      </c>
      <c r="C11" s="114">
        <v>45716</v>
      </c>
      <c r="D11">
        <v>201.5</v>
      </c>
      <c r="E11">
        <v>100</v>
      </c>
      <c r="I11" s="87"/>
    </row>
    <row r="12" spans="1:9" x14ac:dyDescent="0.25">
      <c r="A12" s="118">
        <v>1062279616</v>
      </c>
      <c r="B12">
        <v>81795</v>
      </c>
      <c r="C12" s="114">
        <v>45716</v>
      </c>
      <c r="D12">
        <v>200.9</v>
      </c>
      <c r="E12">
        <v>99.9</v>
      </c>
      <c r="I12" s="87"/>
    </row>
    <row r="13" spans="1:9" x14ac:dyDescent="0.25">
      <c r="A13" s="118">
        <v>1062149086</v>
      </c>
      <c r="B13">
        <v>81902</v>
      </c>
      <c r="C13" s="114">
        <v>45730</v>
      </c>
      <c r="D13">
        <v>197.9</v>
      </c>
      <c r="E13">
        <v>99.7</v>
      </c>
      <c r="I13" s="87"/>
    </row>
    <row r="14" spans="1:9" x14ac:dyDescent="0.25">
      <c r="A14" s="118">
        <v>1062265764</v>
      </c>
      <c r="B14">
        <v>81902</v>
      </c>
      <c r="C14" s="114">
        <v>45730</v>
      </c>
      <c r="D14">
        <v>199.3</v>
      </c>
      <c r="E14">
        <v>99.6</v>
      </c>
      <c r="I14" s="87"/>
    </row>
    <row r="15" spans="1:9" x14ac:dyDescent="0.25">
      <c r="A15" s="118">
        <v>1062269468</v>
      </c>
      <c r="B15">
        <v>81902</v>
      </c>
      <c r="C15" s="114">
        <v>45730</v>
      </c>
      <c r="D15">
        <v>200.9</v>
      </c>
      <c r="E15">
        <v>100</v>
      </c>
      <c r="I15" s="87"/>
    </row>
    <row r="16" spans="1:9" x14ac:dyDescent="0.25">
      <c r="A16" s="118">
        <v>1062279615</v>
      </c>
      <c r="B16">
        <v>81902</v>
      </c>
      <c r="C16" s="114">
        <v>45730</v>
      </c>
      <c r="D16">
        <v>200.9</v>
      </c>
      <c r="E16">
        <v>99.9</v>
      </c>
      <c r="I16" s="87"/>
    </row>
    <row r="17" spans="1:9" x14ac:dyDescent="0.25">
      <c r="A17" s="118">
        <v>1062552789</v>
      </c>
      <c r="B17">
        <v>82245</v>
      </c>
      <c r="C17" s="114">
        <v>45764</v>
      </c>
      <c r="D17">
        <v>199.9</v>
      </c>
      <c r="E17">
        <v>100</v>
      </c>
      <c r="I17" s="87"/>
    </row>
    <row r="18" spans="1:9" x14ac:dyDescent="0.25">
      <c r="A18" s="118">
        <v>1062592775</v>
      </c>
      <c r="B18">
        <v>82245</v>
      </c>
      <c r="C18" s="114">
        <v>45764</v>
      </c>
      <c r="D18">
        <v>201.3</v>
      </c>
      <c r="E18">
        <v>99.9</v>
      </c>
      <c r="I18" s="87"/>
    </row>
    <row r="19" spans="1:9" x14ac:dyDescent="0.25">
      <c r="A19" s="118">
        <v>1062630742</v>
      </c>
      <c r="B19">
        <v>82245</v>
      </c>
      <c r="C19" s="114">
        <v>45764</v>
      </c>
      <c r="D19">
        <v>200.5</v>
      </c>
      <c r="E19">
        <v>99.8</v>
      </c>
      <c r="I19" s="87"/>
    </row>
    <row r="20" spans="1:9" x14ac:dyDescent="0.25">
      <c r="A20" s="118">
        <v>1062631306</v>
      </c>
      <c r="B20">
        <v>82245</v>
      </c>
      <c r="C20" s="114">
        <v>45764</v>
      </c>
      <c r="D20">
        <v>202.7</v>
      </c>
      <c r="E20">
        <v>99.4</v>
      </c>
      <c r="I20" s="87"/>
    </row>
    <row r="21" spans="1:9" x14ac:dyDescent="0.25">
      <c r="A21" s="118">
        <v>1061132962</v>
      </c>
      <c r="B21">
        <v>109622</v>
      </c>
      <c r="C21" s="114">
        <v>45539</v>
      </c>
      <c r="D21">
        <v>197</v>
      </c>
      <c r="E21">
        <v>99.5</v>
      </c>
      <c r="I21" s="87"/>
    </row>
    <row r="22" spans="1:9" x14ac:dyDescent="0.25">
      <c r="A22" s="118">
        <v>1062253639</v>
      </c>
      <c r="B22">
        <v>81911</v>
      </c>
      <c r="C22" s="114">
        <v>45730</v>
      </c>
      <c r="D22">
        <v>201.5</v>
      </c>
      <c r="E22">
        <v>100</v>
      </c>
      <c r="I22" s="87"/>
    </row>
    <row r="23" spans="1:9" x14ac:dyDescent="0.25">
      <c r="A23" s="118">
        <v>1062870650</v>
      </c>
      <c r="B23">
        <v>82938</v>
      </c>
      <c r="C23" s="114">
        <v>45859</v>
      </c>
      <c r="D23">
        <v>194.3</v>
      </c>
      <c r="E23">
        <v>100</v>
      </c>
      <c r="I23" s="87"/>
    </row>
    <row r="24" spans="1:9" x14ac:dyDescent="0.25">
      <c r="A24" s="118">
        <v>1063047150</v>
      </c>
      <c r="B24">
        <v>82938</v>
      </c>
      <c r="C24" s="114">
        <v>45859</v>
      </c>
      <c r="D24">
        <v>197.9</v>
      </c>
      <c r="E24">
        <v>100</v>
      </c>
      <c r="I24" s="87"/>
    </row>
    <row r="25" spans="1:9" x14ac:dyDescent="0.25">
      <c r="A25" s="118">
        <v>1063047223</v>
      </c>
      <c r="B25">
        <v>82938</v>
      </c>
      <c r="C25" s="114">
        <v>45859</v>
      </c>
      <c r="D25">
        <v>202</v>
      </c>
      <c r="E25">
        <v>99.9</v>
      </c>
      <c r="I25" s="87"/>
    </row>
    <row r="26" spans="1:9" x14ac:dyDescent="0.25">
      <c r="A26" s="118">
        <v>1063058129</v>
      </c>
      <c r="B26">
        <v>82938</v>
      </c>
      <c r="C26" s="114">
        <v>45859</v>
      </c>
      <c r="D26">
        <v>199.2</v>
      </c>
      <c r="E26">
        <v>101</v>
      </c>
      <c r="I26" s="87"/>
    </row>
    <row r="27" spans="1:9" x14ac:dyDescent="0.25">
      <c r="A27" s="118">
        <v>1062636512</v>
      </c>
      <c r="B27">
        <v>83025</v>
      </c>
      <c r="C27" s="114">
        <v>45873</v>
      </c>
      <c r="D27">
        <v>200.2</v>
      </c>
      <c r="E27">
        <v>100</v>
      </c>
      <c r="I27" s="87"/>
    </row>
    <row r="28" spans="1:9" x14ac:dyDescent="0.25">
      <c r="A28" s="118">
        <v>1062641107</v>
      </c>
      <c r="B28">
        <v>83025</v>
      </c>
      <c r="C28" s="114">
        <v>45873</v>
      </c>
      <c r="D28">
        <v>195.1</v>
      </c>
      <c r="E28">
        <v>99.4</v>
      </c>
      <c r="I28" s="87"/>
    </row>
    <row r="29" spans="1:9" x14ac:dyDescent="0.25">
      <c r="A29" s="118">
        <v>1062801588</v>
      </c>
      <c r="B29">
        <v>83025</v>
      </c>
      <c r="C29" s="114">
        <v>45873</v>
      </c>
      <c r="D29">
        <v>194.4</v>
      </c>
      <c r="E29">
        <v>100</v>
      </c>
      <c r="I29" s="87"/>
    </row>
    <row r="30" spans="1:9" x14ac:dyDescent="0.25">
      <c r="A30" s="118">
        <v>1062789754</v>
      </c>
      <c r="B30">
        <v>83027</v>
      </c>
      <c r="C30" s="114">
        <v>45873</v>
      </c>
      <c r="D30">
        <v>194</v>
      </c>
      <c r="E30">
        <v>99.9</v>
      </c>
      <c r="I30" s="87"/>
    </row>
    <row r="31" spans="1:9" x14ac:dyDescent="0.25">
      <c r="A31" s="118">
        <v>1062870714</v>
      </c>
      <c r="B31">
        <v>83027</v>
      </c>
      <c r="C31" s="114">
        <v>45873</v>
      </c>
      <c r="D31">
        <v>194.8</v>
      </c>
      <c r="E31">
        <v>100</v>
      </c>
    </row>
  </sheetData>
  <conditionalFormatting sqref="A61:A1048576 I4:I30 A1:A31">
    <cfRule type="duplicateValues" dxfId="5" priority="78"/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3994-38F7-454E-BFDD-10E7F183C588}">
  <sheetPr filterMode="1">
    <tabColor rgb="FFFFFF00"/>
  </sheetPr>
  <dimension ref="A1:DQ83"/>
  <sheetViews>
    <sheetView showGridLines="0" showZeros="0" view="pageBreakPreview" zoomScale="115" zoomScaleNormal="130" zoomScaleSheetLayoutView="115" workbookViewId="0">
      <selection activeCell="BO38" sqref="BO38"/>
    </sheetView>
  </sheetViews>
  <sheetFormatPr defaultRowHeight="15" x14ac:dyDescent="0.25"/>
  <cols>
    <col min="1" max="1" width="6" customWidth="1"/>
    <col min="2" max="2" width="2" customWidth="1"/>
    <col min="3" max="8" width="2.5703125" customWidth="1"/>
    <col min="9" max="9" width="3.140625" customWidth="1"/>
    <col min="10" max="25" width="2.5703125" customWidth="1"/>
    <col min="26" max="26" width="2.85546875" customWidth="1"/>
    <col min="27" max="29" width="2.5703125" customWidth="1"/>
    <col min="30" max="30" width="2.85546875" customWidth="1"/>
    <col min="31" max="42" width="2.5703125" customWidth="1"/>
    <col min="43" max="43" width="3.85546875" customWidth="1"/>
    <col min="44" max="45" width="1.42578125" customWidth="1"/>
    <col min="46" max="46" width="1.5703125" customWidth="1"/>
    <col min="47" max="49" width="1.42578125" customWidth="1"/>
    <col min="50" max="50" width="2.85546875" customWidth="1"/>
    <col min="51" max="51" width="1.5703125" customWidth="1"/>
    <col min="52" max="58" width="1.42578125" customWidth="1"/>
    <col min="59" max="59" width="3.5703125" customWidth="1"/>
    <col min="60" max="78" width="1.42578125" customWidth="1"/>
    <col min="79" max="79" width="1.85546875" customWidth="1"/>
    <col min="80" max="80" width="0.85546875" customWidth="1"/>
    <col min="81" max="82" width="1.42578125" customWidth="1"/>
    <col min="83" max="95" width="1.85546875" customWidth="1"/>
    <col min="96" max="123" width="1.42578125" customWidth="1"/>
  </cols>
  <sheetData>
    <row r="1" spans="1:83" ht="14.1" customHeight="1" x14ac:dyDescent="0.25">
      <c r="B1" s="287"/>
      <c r="C1" s="288"/>
      <c r="D1" s="288"/>
      <c r="E1" s="288"/>
      <c r="F1" s="288"/>
      <c r="G1" s="288"/>
      <c r="H1" s="288"/>
      <c r="I1" s="288"/>
      <c r="J1" s="288"/>
      <c r="K1" s="289"/>
      <c r="L1" s="293" t="s">
        <v>0</v>
      </c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5"/>
      <c r="AD1" s="296" t="s">
        <v>99</v>
      </c>
      <c r="AE1" s="297"/>
      <c r="AF1" s="297"/>
      <c r="AG1" s="297"/>
      <c r="AH1" s="297" t="s">
        <v>82</v>
      </c>
      <c r="AI1" s="297"/>
      <c r="AJ1" s="298">
        <v>1</v>
      </c>
      <c r="AK1" s="298"/>
      <c r="AL1" s="298"/>
      <c r="AM1" s="61" t="s">
        <v>98</v>
      </c>
      <c r="AN1" s="299">
        <v>83</v>
      </c>
      <c r="AO1" s="299"/>
      <c r="AP1" s="300"/>
      <c r="BD1" t="s">
        <v>78</v>
      </c>
      <c r="BM1" t="s">
        <v>133</v>
      </c>
      <c r="BU1" t="s">
        <v>189</v>
      </c>
    </row>
    <row r="2" spans="1:83" ht="14.45" customHeight="1" x14ac:dyDescent="0.25">
      <c r="B2" s="210"/>
      <c r="C2" s="165"/>
      <c r="D2" s="165"/>
      <c r="E2" s="165"/>
      <c r="F2" s="165"/>
      <c r="G2" s="165"/>
      <c r="H2" s="165"/>
      <c r="I2" s="165"/>
      <c r="J2" s="165"/>
      <c r="K2" s="191"/>
      <c r="L2" s="301" t="s">
        <v>1</v>
      </c>
      <c r="M2" s="302"/>
      <c r="N2" s="302"/>
      <c r="O2" s="302"/>
      <c r="P2" s="303" t="str">
        <f>VLOOKUP($AN$1,'plan de data'!$A$3:$AF$289,32,0)</f>
        <v>CONSÓRCIO NOVA ETE - PARQUE NOVO MUNDO</v>
      </c>
      <c r="Q2" s="303"/>
      <c r="R2" s="303"/>
      <c r="S2" s="303"/>
      <c r="T2" s="303"/>
      <c r="U2" s="303"/>
      <c r="V2" s="303"/>
      <c r="W2" s="303"/>
      <c r="X2" s="303"/>
      <c r="Y2" s="303"/>
      <c r="Z2" s="303"/>
      <c r="AA2" s="303"/>
      <c r="AB2" s="303"/>
      <c r="AC2" s="304"/>
      <c r="AD2" s="305" t="s">
        <v>3</v>
      </c>
      <c r="AE2" s="306"/>
      <c r="AF2" s="306"/>
      <c r="AG2" s="307" t="s">
        <v>166</v>
      </c>
      <c r="AH2" s="307"/>
      <c r="AI2" s="307"/>
      <c r="AJ2" s="307"/>
      <c r="AK2" s="307"/>
      <c r="AL2" s="307"/>
      <c r="AM2" s="307"/>
      <c r="AN2" s="307"/>
      <c r="AO2" s="307"/>
      <c r="AP2" s="308"/>
      <c r="AW2" t="s">
        <v>14</v>
      </c>
      <c r="BD2" t="s">
        <v>77</v>
      </c>
      <c r="BM2" t="s">
        <v>134</v>
      </c>
    </row>
    <row r="3" spans="1:83" ht="14.45" customHeight="1" thickBot="1" x14ac:dyDescent="0.3">
      <c r="B3" s="290"/>
      <c r="C3" s="291"/>
      <c r="D3" s="291"/>
      <c r="E3" s="291"/>
      <c r="F3" s="291"/>
      <c r="G3" s="291"/>
      <c r="H3" s="291"/>
      <c r="I3" s="291"/>
      <c r="J3" s="291"/>
      <c r="K3" s="292"/>
      <c r="L3" s="263" t="s">
        <v>2</v>
      </c>
      <c r="M3" s="264"/>
      <c r="N3" s="264"/>
      <c r="O3" s="264"/>
      <c r="P3" s="265" t="str">
        <f>VLOOKUP($AN$1,'plan de data'!$A$3:$AG$289,33,0)</f>
        <v>ETE - PARQUE NOVO MUNDO</v>
      </c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6"/>
      <c r="AW3" t="s">
        <v>76</v>
      </c>
      <c r="BD3" t="s">
        <v>7</v>
      </c>
    </row>
    <row r="4" spans="1:83" ht="5.0999999999999996" customHeight="1" thickBot="1" x14ac:dyDescent="0.3"/>
    <row r="5" spans="1:83" ht="15.95" customHeight="1" x14ac:dyDescent="0.25">
      <c r="A5" s="39" t="s">
        <v>81</v>
      </c>
      <c r="B5" s="267" t="s">
        <v>4</v>
      </c>
      <c r="C5" s="268"/>
      <c r="D5" s="268"/>
      <c r="E5" s="268"/>
      <c r="F5" s="268"/>
      <c r="G5" s="268"/>
      <c r="H5" s="269"/>
      <c r="I5" s="270" t="s">
        <v>5</v>
      </c>
      <c r="J5" s="271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  <c r="AA5" s="271"/>
      <c r="AB5" s="271"/>
      <c r="AC5" s="272"/>
      <c r="AD5" s="273" t="s">
        <v>6</v>
      </c>
      <c r="AE5" s="274"/>
      <c r="AF5" s="274"/>
      <c r="AG5" s="274"/>
      <c r="AH5" s="274"/>
      <c r="AI5" s="274"/>
      <c r="AJ5" s="274"/>
      <c r="AK5" s="274"/>
      <c r="AL5" s="274"/>
      <c r="AM5" s="274"/>
      <c r="AN5" s="274"/>
      <c r="AO5" s="274"/>
      <c r="AP5" s="275"/>
    </row>
    <row r="6" spans="1:83" ht="15.95" customHeight="1" thickBot="1" x14ac:dyDescent="0.3">
      <c r="B6" s="276">
        <f>VLOOKUP($AN$1,'plan de data'!$A$3:$B$189,2,0)</f>
        <v>45909</v>
      </c>
      <c r="C6" s="277"/>
      <c r="D6" s="277"/>
      <c r="E6" s="277"/>
      <c r="F6" s="277"/>
      <c r="G6" s="277"/>
      <c r="H6" s="278"/>
      <c r="I6" s="279" t="str">
        <f>VLOOKUP($AN$1,'plan de data'!$A$3:$AH$189,34,0)</f>
        <v>REATORES NEREDA</v>
      </c>
      <c r="J6" s="280"/>
      <c r="K6" s="280"/>
      <c r="L6" s="280"/>
      <c r="M6" s="280"/>
      <c r="N6" s="280"/>
      <c r="O6" s="280"/>
      <c r="P6" s="280"/>
      <c r="Q6" s="280"/>
      <c r="R6" s="280"/>
      <c r="S6" s="280"/>
      <c r="T6" s="280"/>
      <c r="U6" s="280"/>
      <c r="V6" s="280"/>
      <c r="W6" s="280"/>
      <c r="X6" s="280"/>
      <c r="Y6" s="280"/>
      <c r="Z6" s="280"/>
      <c r="AA6" s="280"/>
      <c r="AB6" s="280"/>
      <c r="AC6" s="281"/>
      <c r="AD6" s="282" t="s">
        <v>8</v>
      </c>
      <c r="AE6" s="283"/>
      <c r="AF6" s="283"/>
      <c r="AG6" s="284" t="s">
        <v>77</v>
      </c>
      <c r="AH6" s="284"/>
      <c r="AI6" s="285"/>
      <c r="AJ6" s="286" t="s">
        <v>9</v>
      </c>
      <c r="AK6" s="284"/>
      <c r="AL6" s="284"/>
      <c r="AM6" s="284" t="str">
        <f>VLOOKUP(AN1,'plan de data'!A3:$AE$500,31,0)</f>
        <v>PF-001</v>
      </c>
      <c r="AN6" s="284"/>
      <c r="AO6" s="284"/>
      <c r="AP6" s="309"/>
      <c r="AR6" s="138" t="s">
        <v>79</v>
      </c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39"/>
      <c r="BK6" s="139"/>
      <c r="BL6" s="139"/>
      <c r="BM6" s="139"/>
      <c r="BN6" s="139"/>
      <c r="BO6" s="139"/>
      <c r="BP6" s="139"/>
      <c r="BQ6" s="139"/>
      <c r="BR6" s="139"/>
      <c r="BS6" s="139"/>
      <c r="BT6" s="139"/>
      <c r="BU6" s="139"/>
      <c r="BV6" s="139"/>
      <c r="BW6" s="139"/>
      <c r="BX6" s="139"/>
      <c r="BY6" s="139"/>
      <c r="BZ6" s="139"/>
      <c r="CA6" s="140"/>
    </row>
    <row r="7" spans="1:83" ht="5.45" customHeight="1" thickBot="1" x14ac:dyDescent="0.3">
      <c r="A7" s="38" t="s">
        <v>13</v>
      </c>
    </row>
    <row r="8" spans="1:83" ht="14.1" customHeight="1" x14ac:dyDescent="0.25">
      <c r="A8" s="2" t="str">
        <f>IF($CC$9&gt;0,"X",0)</f>
        <v>X</v>
      </c>
      <c r="B8" s="250" t="s">
        <v>10</v>
      </c>
      <c r="C8" s="251"/>
      <c r="D8" s="251"/>
      <c r="E8" s="251"/>
      <c r="F8" s="251"/>
      <c r="G8" s="260">
        <f t="shared" ref="G8" si="0">IF(G9=0,"",AR8)</f>
        <v>1</v>
      </c>
      <c r="H8" s="261"/>
      <c r="I8" s="262"/>
      <c r="J8" s="260" t="str">
        <f t="shared" ref="J8" si="1">IF(J9=0,"",AU8)</f>
        <v/>
      </c>
      <c r="K8" s="261"/>
      <c r="L8" s="262"/>
      <c r="M8" s="258" t="str">
        <f t="shared" ref="M8" si="2">IF(M9=0,"",AX8)</f>
        <v/>
      </c>
      <c r="N8" s="258"/>
      <c r="O8" s="258"/>
      <c r="P8" s="258" t="str">
        <f t="shared" ref="P8" si="3">IF(P9=0,"",BA8)</f>
        <v/>
      </c>
      <c r="Q8" s="258"/>
      <c r="R8" s="258"/>
      <c r="S8" s="258" t="str">
        <f t="shared" ref="S8" si="4">IF(S9=0,"",BD8)</f>
        <v/>
      </c>
      <c r="T8" s="258"/>
      <c r="U8" s="258"/>
      <c r="V8" s="258" t="str">
        <f t="shared" ref="V8" si="5">IF(V9=0,"",BG8)</f>
        <v/>
      </c>
      <c r="W8" s="258"/>
      <c r="X8" s="258"/>
      <c r="Y8" s="258" t="str">
        <f t="shared" ref="Y8" si="6">IF(Y9=0,"",BJ8)</f>
        <v/>
      </c>
      <c r="Z8" s="258"/>
      <c r="AA8" s="258"/>
      <c r="AB8" s="258" t="str">
        <f t="shared" ref="AB8" si="7">IF(AB9=0,"",BM8)</f>
        <v/>
      </c>
      <c r="AC8" s="258"/>
      <c r="AD8" s="258"/>
      <c r="AE8" s="258" t="str">
        <f t="shared" ref="AE8" si="8">IF(AE9=0,"",BP8)</f>
        <v/>
      </c>
      <c r="AF8" s="258"/>
      <c r="AG8" s="258"/>
      <c r="AH8" s="258" t="str">
        <f t="shared" ref="AH8" si="9">IF(AH9=0,"",BS8)</f>
        <v/>
      </c>
      <c r="AI8" s="258"/>
      <c r="AJ8" s="258"/>
      <c r="AK8" s="258" t="str">
        <f t="shared" ref="AK8" si="10">IF(AK9=0,"",BV8)</f>
        <v/>
      </c>
      <c r="AL8" s="258"/>
      <c r="AM8" s="258"/>
      <c r="AN8" s="258" t="str">
        <f t="shared" ref="AN8" si="11">IF(AN9=0,"",BY8)</f>
        <v/>
      </c>
      <c r="AO8" s="258"/>
      <c r="AP8" s="259"/>
      <c r="AR8" s="151">
        <v>1</v>
      </c>
      <c r="AS8" s="151"/>
      <c r="AT8" s="151"/>
      <c r="AU8" s="151">
        <v>2</v>
      </c>
      <c r="AV8" s="151"/>
      <c r="AW8" s="151"/>
      <c r="AX8" s="151">
        <v>3</v>
      </c>
      <c r="AY8" s="151"/>
      <c r="AZ8" s="151"/>
      <c r="BA8" s="151">
        <v>4</v>
      </c>
      <c r="BB8" s="151"/>
      <c r="BC8" s="151"/>
      <c r="BD8" s="151">
        <v>5</v>
      </c>
      <c r="BE8" s="151"/>
      <c r="BF8" s="151"/>
      <c r="BG8" s="151">
        <v>6</v>
      </c>
      <c r="BH8" s="151"/>
      <c r="BI8" s="151"/>
      <c r="BJ8" s="151">
        <v>7</v>
      </c>
      <c r="BK8" s="151"/>
      <c r="BL8" s="151"/>
      <c r="BM8" s="151">
        <v>8</v>
      </c>
      <c r="BN8" s="151"/>
      <c r="BO8" s="151"/>
      <c r="BP8" s="151">
        <v>9</v>
      </c>
      <c r="BQ8" s="151"/>
      <c r="BR8" s="151"/>
      <c r="BS8" s="151">
        <v>10</v>
      </c>
      <c r="BT8" s="151"/>
      <c r="BU8" s="151"/>
      <c r="BV8" s="151">
        <v>11</v>
      </c>
      <c r="BW8" s="151"/>
      <c r="BX8" s="151"/>
      <c r="BY8" s="151">
        <v>12</v>
      </c>
      <c r="BZ8" s="151"/>
      <c r="CA8" s="151"/>
      <c r="CC8" s="182" t="s">
        <v>80</v>
      </c>
      <c r="CD8" s="183"/>
      <c r="CE8" s="184"/>
    </row>
    <row r="9" spans="1:83" ht="14.1" customHeight="1" x14ac:dyDescent="0.25">
      <c r="A9" s="2" t="str">
        <f t="shared" ref="A9" si="12">IF($CC$9&gt;0,"X",0)</f>
        <v>X</v>
      </c>
      <c r="B9" s="246" t="s">
        <v>11</v>
      </c>
      <c r="C9" s="247"/>
      <c r="D9" s="247"/>
      <c r="E9" s="247"/>
      <c r="F9" s="247"/>
      <c r="G9" s="253" t="str">
        <f>VLOOKUP($AN$1,'plan de data'!$A$3:$V$189,4,0)</f>
        <v>PF-373</v>
      </c>
      <c r="H9" s="253"/>
      <c r="I9" s="253"/>
      <c r="J9" s="253">
        <f>VLOOKUP($AN$1,'plan de data'!$A$3:$V$189,6,0)</f>
        <v>0</v>
      </c>
      <c r="K9" s="253"/>
      <c r="L9" s="253"/>
      <c r="M9" s="253">
        <f>VLOOKUP($AN$1,'plan de data'!$A$3:$V$189,8,0)</f>
        <v>0</v>
      </c>
      <c r="N9" s="253"/>
      <c r="O9" s="253"/>
      <c r="P9" s="253">
        <f>VLOOKUP($AN$1,'plan de data'!$A$3:$V$189,10,0)</f>
        <v>0</v>
      </c>
      <c r="Q9" s="253"/>
      <c r="R9" s="253"/>
      <c r="S9" s="253">
        <f>VLOOKUP($AN$1,'plan de data'!$A$3:$V$189,12,0)</f>
        <v>0</v>
      </c>
      <c r="T9" s="253"/>
      <c r="U9" s="253"/>
      <c r="V9" s="253">
        <f>VLOOKUP($AN$1,'plan de data'!$A$3:$V$189,14,0)</f>
        <v>0</v>
      </c>
      <c r="W9" s="253"/>
      <c r="X9" s="253"/>
      <c r="Y9" s="253">
        <f>VLOOKUP($AN$1,'plan de data'!$A$3:$V$189,16,0)</f>
        <v>0</v>
      </c>
      <c r="Z9" s="253"/>
      <c r="AA9" s="253"/>
      <c r="AB9" s="253">
        <f>VLOOKUP($AN$1,'plan de data'!$A$3:$V$189,18,0)</f>
        <v>0</v>
      </c>
      <c r="AC9" s="253"/>
      <c r="AD9" s="253"/>
      <c r="AE9" s="253">
        <f>VLOOKUP($AN$1,'plan de data'!$A$3:$V$189,20,0)</f>
        <v>0</v>
      </c>
      <c r="AF9" s="253"/>
      <c r="AG9" s="253"/>
      <c r="AH9" s="253">
        <f>VLOOKUP($AN$1,'plan de data'!$A$3:$AA$189,22,0)</f>
        <v>0</v>
      </c>
      <c r="AI9" s="253"/>
      <c r="AJ9" s="253"/>
      <c r="AK9" s="253">
        <f>VLOOKUP($AN$1,'plan de data'!$A$3:$AA$189,24,0)</f>
        <v>0</v>
      </c>
      <c r="AL9" s="253"/>
      <c r="AM9" s="253"/>
      <c r="AN9" s="253">
        <f>VLOOKUP($AN$1,'plan de data'!$A$3:$AA$189,26,0)</f>
        <v>0</v>
      </c>
      <c r="AO9" s="253"/>
      <c r="AP9" s="254"/>
      <c r="AR9" s="151" t="s">
        <v>58</v>
      </c>
      <c r="AS9" s="151"/>
      <c r="AT9" s="151"/>
      <c r="AU9" s="151" t="s">
        <v>58</v>
      </c>
      <c r="AV9" s="151"/>
      <c r="AW9" s="151"/>
      <c r="AX9" s="151" t="s">
        <v>58</v>
      </c>
      <c r="AY9" s="151"/>
      <c r="AZ9" s="151"/>
      <c r="BA9" s="151" t="s">
        <v>13</v>
      </c>
      <c r="BB9" s="151"/>
      <c r="BC9" s="151"/>
      <c r="BD9" s="151" t="s">
        <v>13</v>
      </c>
      <c r="BE9" s="151"/>
      <c r="BF9" s="151"/>
      <c r="BG9" s="151" t="s">
        <v>13</v>
      </c>
      <c r="BH9" s="151"/>
      <c r="BI9" s="151"/>
      <c r="BJ9" s="151" t="s">
        <v>13</v>
      </c>
      <c r="BK9" s="151"/>
      <c r="BL9" s="151"/>
      <c r="BM9" s="151" t="s">
        <v>58</v>
      </c>
      <c r="BN9" s="151"/>
      <c r="BO9" s="151"/>
      <c r="BP9" s="151"/>
      <c r="BQ9" s="151"/>
      <c r="BR9" s="151"/>
      <c r="BS9" s="151"/>
      <c r="BT9" s="151"/>
      <c r="BU9" s="151"/>
      <c r="BV9" s="151"/>
      <c r="BW9" s="151"/>
      <c r="BX9" s="151"/>
      <c r="BY9" s="151"/>
      <c r="BZ9" s="151"/>
      <c r="CA9" s="151"/>
      <c r="CC9" s="178">
        <f>COUNTIF(AR9:CA9,"X")</f>
        <v>8</v>
      </c>
      <c r="CD9" s="179"/>
      <c r="CE9" s="180"/>
    </row>
    <row r="10" spans="1:83" ht="14.1" customHeight="1" x14ac:dyDescent="0.25">
      <c r="A10" s="2"/>
      <c r="B10" s="255" t="s">
        <v>154</v>
      </c>
      <c r="C10" s="256"/>
      <c r="D10" s="256"/>
      <c r="E10" s="256"/>
      <c r="F10" s="257"/>
      <c r="G10" s="253" t="str">
        <f>IF(G9="","",VLOOKUP($AN$1,'plan de data'!$A$3:$V$189,5,0))</f>
        <v>PF</v>
      </c>
      <c r="H10" s="253"/>
      <c r="I10" s="253"/>
      <c r="J10" s="253"/>
      <c r="K10" s="253"/>
      <c r="L10" s="253"/>
      <c r="M10" s="253"/>
      <c r="N10" s="253"/>
      <c r="O10" s="253"/>
      <c r="P10" s="253"/>
      <c r="Q10" s="253"/>
      <c r="R10" s="253"/>
      <c r="S10" s="253"/>
      <c r="T10" s="253"/>
      <c r="U10" s="253"/>
      <c r="V10" s="253"/>
      <c r="W10" s="253"/>
      <c r="X10" s="253"/>
      <c r="Y10" s="253"/>
      <c r="Z10" s="253"/>
      <c r="AA10" s="253"/>
      <c r="AB10" s="253"/>
      <c r="AC10" s="253"/>
      <c r="AD10" s="253"/>
      <c r="AE10" s="253">
        <f>VLOOKUP($AN$1,'plan de data'!$A$3:$V$189,21,0)</f>
        <v>0</v>
      </c>
      <c r="AF10" s="253"/>
      <c r="AG10" s="253"/>
      <c r="AH10" s="253">
        <f>VLOOKUP($AN$1,'plan de data'!$A$3:$V$189,21,0)</f>
        <v>0</v>
      </c>
      <c r="AI10" s="253"/>
      <c r="AJ10" s="253"/>
      <c r="AK10" s="253">
        <f>VLOOKUP($AN$1,'plan de data'!$A$3:$V$189,21,0)</f>
        <v>0</v>
      </c>
      <c r="AL10" s="253"/>
      <c r="AM10" s="253"/>
      <c r="AN10" s="253">
        <f>VLOOKUP($AN$1,'plan de data'!$A$3:$V$189,21,0)</f>
        <v>0</v>
      </c>
      <c r="AO10" s="253"/>
      <c r="AP10" s="254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C10" s="79"/>
      <c r="CD10" s="79"/>
      <c r="CE10" s="79"/>
    </row>
    <row r="11" spans="1:83" ht="13.9" customHeight="1" thickBot="1" x14ac:dyDescent="0.3">
      <c r="A11" s="2" t="str">
        <f>IF($CC$9&gt;0,"X",0)</f>
        <v>X</v>
      </c>
      <c r="B11" s="242" t="s">
        <v>12</v>
      </c>
      <c r="C11" s="243"/>
      <c r="D11" s="243"/>
      <c r="E11" s="243"/>
      <c r="F11" s="243"/>
      <c r="G11" s="252" t="str">
        <f t="shared" ref="G11" si="13">IF(G10="","",IF(G10="P","Normal","Especial"))</f>
        <v>Especial</v>
      </c>
      <c r="H11" s="252"/>
      <c r="I11" s="252"/>
      <c r="J11" s="252"/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2"/>
    </row>
    <row r="12" spans="1:83" ht="3" customHeight="1" x14ac:dyDescent="0.25">
      <c r="A12" t="str">
        <f>IF($CC$9&gt;0,"X",0)</f>
        <v>X</v>
      </c>
    </row>
    <row r="13" spans="1:83" ht="14.1" hidden="1" customHeight="1" x14ac:dyDescent="0.25">
      <c r="A13" s="2">
        <f>IF($CC$14&gt;0,"X",0)</f>
        <v>0</v>
      </c>
      <c r="B13" s="250" t="s">
        <v>10</v>
      </c>
      <c r="C13" s="251"/>
      <c r="D13" s="251"/>
      <c r="E13" s="251"/>
      <c r="F13" s="251"/>
      <c r="G13" s="248">
        <f>IF(AR14="X",AR13,0)</f>
        <v>0</v>
      </c>
      <c r="H13" s="248"/>
      <c r="I13" s="248"/>
      <c r="J13" s="248">
        <f t="shared" ref="J13" si="14">IF(AU14="X",AU13,0)</f>
        <v>0</v>
      </c>
      <c r="K13" s="248"/>
      <c r="L13" s="248"/>
      <c r="M13" s="248">
        <f t="shared" ref="M13" si="15">IF(AX14="X",AX13,0)</f>
        <v>0</v>
      </c>
      <c r="N13" s="248"/>
      <c r="O13" s="248"/>
      <c r="P13" s="248">
        <f t="shared" ref="P13" si="16">IF(BA14="X",BA13,0)</f>
        <v>0</v>
      </c>
      <c r="Q13" s="248"/>
      <c r="R13" s="248"/>
      <c r="S13" s="248">
        <f t="shared" ref="S13" si="17">IF(BD14="X",BD13,0)</f>
        <v>0</v>
      </c>
      <c r="T13" s="248"/>
      <c r="U13" s="248"/>
      <c r="V13" s="248">
        <f t="shared" ref="V13" si="18">IF(BG14="X",BG13,0)</f>
        <v>0</v>
      </c>
      <c r="W13" s="248"/>
      <c r="X13" s="248"/>
      <c r="Y13" s="248">
        <f t="shared" ref="Y13" si="19">IF(BJ14="X",BJ13,0)</f>
        <v>0</v>
      </c>
      <c r="Z13" s="248"/>
      <c r="AA13" s="248"/>
      <c r="AB13" s="248">
        <f t="shared" ref="AB13" si="20">IF(BM14="X",BM13,0)</f>
        <v>0</v>
      </c>
      <c r="AC13" s="248"/>
      <c r="AD13" s="248"/>
      <c r="AE13" s="248">
        <f t="shared" ref="AE13" si="21">IF(BP14="X",BP13,0)</f>
        <v>0</v>
      </c>
      <c r="AF13" s="248"/>
      <c r="AG13" s="248"/>
      <c r="AH13" s="248">
        <f t="shared" ref="AH13" si="22">IF(BS14="X",BS13,0)</f>
        <v>0</v>
      </c>
      <c r="AI13" s="248"/>
      <c r="AJ13" s="248"/>
      <c r="AK13" s="248">
        <f t="shared" ref="AK13" si="23">IF(BV14="X",BV13,0)</f>
        <v>0</v>
      </c>
      <c r="AL13" s="248"/>
      <c r="AM13" s="248"/>
      <c r="AN13" s="248">
        <f t="shared" ref="AN13" si="24">IF(BY14="X",BY13,0)</f>
        <v>0</v>
      </c>
      <c r="AO13" s="248"/>
      <c r="AP13" s="249"/>
      <c r="AR13" s="151">
        <v>13</v>
      </c>
      <c r="AS13" s="151"/>
      <c r="AT13" s="151"/>
      <c r="AU13" s="151">
        <v>14</v>
      </c>
      <c r="AV13" s="151"/>
      <c r="AW13" s="151"/>
      <c r="AX13" s="151">
        <v>15</v>
      </c>
      <c r="AY13" s="151"/>
      <c r="AZ13" s="151"/>
      <c r="BA13" s="151">
        <v>16</v>
      </c>
      <c r="BB13" s="151"/>
      <c r="BC13" s="151"/>
      <c r="BD13" s="151">
        <v>17</v>
      </c>
      <c r="BE13" s="151"/>
      <c r="BF13" s="151"/>
      <c r="BG13" s="151">
        <v>18</v>
      </c>
      <c r="BH13" s="151"/>
      <c r="BI13" s="151"/>
      <c r="BJ13" s="151">
        <v>19</v>
      </c>
      <c r="BK13" s="151"/>
      <c r="BL13" s="151"/>
      <c r="BM13" s="151">
        <v>20</v>
      </c>
      <c r="BN13" s="151"/>
      <c r="BO13" s="151"/>
      <c r="BP13" s="151">
        <v>21</v>
      </c>
      <c r="BQ13" s="151"/>
      <c r="BR13" s="151"/>
      <c r="BS13" s="151">
        <v>22</v>
      </c>
      <c r="BT13" s="151"/>
      <c r="BU13" s="151"/>
      <c r="BV13" s="151">
        <v>23</v>
      </c>
      <c r="BW13" s="151"/>
      <c r="BX13" s="151"/>
      <c r="BY13" s="151">
        <v>24</v>
      </c>
      <c r="BZ13" s="151"/>
      <c r="CA13" s="151"/>
      <c r="CC13" s="182" t="s">
        <v>80</v>
      </c>
      <c r="CD13" s="183"/>
      <c r="CE13" s="184"/>
    </row>
    <row r="14" spans="1:83" ht="14.1" hidden="1" customHeight="1" x14ac:dyDescent="0.25">
      <c r="A14" s="2">
        <f t="shared" ref="A14" si="25">IF($CC$14&gt;0,"X",0)</f>
        <v>0</v>
      </c>
      <c r="B14" s="246" t="s">
        <v>11</v>
      </c>
      <c r="C14" s="247"/>
      <c r="D14" s="247"/>
      <c r="E14" s="247"/>
      <c r="F14" s="247"/>
      <c r="G14" s="244"/>
      <c r="H14" s="244"/>
      <c r="I14" s="244"/>
      <c r="J14" s="244"/>
      <c r="K14" s="244"/>
      <c r="L14" s="244"/>
      <c r="M14" s="244"/>
      <c r="N14" s="244"/>
      <c r="O14" s="244"/>
      <c r="P14" s="244"/>
      <c r="Q14" s="244"/>
      <c r="R14" s="244"/>
      <c r="S14" s="244"/>
      <c r="T14" s="244"/>
      <c r="U14" s="244"/>
      <c r="V14" s="244"/>
      <c r="W14" s="244"/>
      <c r="X14" s="244"/>
      <c r="Y14" s="244"/>
      <c r="Z14" s="244"/>
      <c r="AA14" s="244"/>
      <c r="AB14" s="244"/>
      <c r="AC14" s="244"/>
      <c r="AD14" s="244"/>
      <c r="AE14" s="244"/>
      <c r="AF14" s="244"/>
      <c r="AG14" s="244"/>
      <c r="AH14" s="244"/>
      <c r="AI14" s="244"/>
      <c r="AJ14" s="244"/>
      <c r="AK14" s="244"/>
      <c r="AL14" s="244"/>
      <c r="AM14" s="244"/>
      <c r="AN14" s="244"/>
      <c r="AO14" s="244"/>
      <c r="AP14" s="245"/>
      <c r="AR14" s="151"/>
      <c r="AS14" s="151"/>
      <c r="AT14" s="151"/>
      <c r="AU14" s="151"/>
      <c r="AV14" s="151"/>
      <c r="AW14" s="151"/>
      <c r="AX14" s="151"/>
      <c r="AY14" s="151"/>
      <c r="AZ14" s="151"/>
      <c r="BA14" s="151"/>
      <c r="BB14" s="151"/>
      <c r="BC14" s="151"/>
      <c r="BD14" s="151"/>
      <c r="BE14" s="151"/>
      <c r="BF14" s="151"/>
      <c r="BG14" s="151"/>
      <c r="BH14" s="151"/>
      <c r="BI14" s="151"/>
      <c r="BJ14" s="151"/>
      <c r="BK14" s="151"/>
      <c r="BL14" s="151"/>
      <c r="BM14" s="151"/>
      <c r="BN14" s="151"/>
      <c r="BO14" s="151"/>
      <c r="BP14" s="151"/>
      <c r="BQ14" s="151"/>
      <c r="BR14" s="151"/>
      <c r="BS14" s="151"/>
      <c r="BT14" s="151"/>
      <c r="BU14" s="151"/>
      <c r="BV14" s="151"/>
      <c r="BW14" s="151"/>
      <c r="BX14" s="151"/>
      <c r="BY14" s="151"/>
      <c r="BZ14" s="151"/>
      <c r="CA14" s="151"/>
      <c r="CC14" s="178">
        <f>COUNTIF(AR14:CA14,"X")</f>
        <v>0</v>
      </c>
      <c r="CD14" s="179"/>
      <c r="CE14" s="180"/>
    </row>
    <row r="15" spans="1:83" ht="14.1" hidden="1" customHeight="1" thickBot="1" x14ac:dyDescent="0.3">
      <c r="A15" s="2">
        <f>IF($CC$14&gt;0,"X",0)</f>
        <v>0</v>
      </c>
      <c r="B15" s="242" t="s">
        <v>12</v>
      </c>
      <c r="C15" s="243"/>
      <c r="D15" s="243"/>
      <c r="E15" s="243"/>
      <c r="F15" s="243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  <c r="AO15" s="240"/>
      <c r="AP15" s="241"/>
    </row>
    <row r="16" spans="1:83" ht="3" hidden="1" customHeight="1" thickBot="1" x14ac:dyDescent="0.3">
      <c r="A16">
        <f>IF($CC$14&gt;0,"X",0)</f>
        <v>0</v>
      </c>
    </row>
    <row r="17" spans="1:83" ht="14.1" hidden="1" customHeight="1" x14ac:dyDescent="0.25">
      <c r="A17" s="2">
        <f>IF($CC$18&gt;0,"X",0)</f>
        <v>0</v>
      </c>
      <c r="B17" s="250" t="s">
        <v>10</v>
      </c>
      <c r="C17" s="251"/>
      <c r="D17" s="251"/>
      <c r="E17" s="251"/>
      <c r="F17" s="251"/>
      <c r="G17" s="248">
        <f>IF(AR18="X",AR17,0)</f>
        <v>0</v>
      </c>
      <c r="H17" s="248"/>
      <c r="I17" s="248"/>
      <c r="J17" s="248">
        <f t="shared" ref="J17" si="26">IF(AU18="X",AU17,0)</f>
        <v>0</v>
      </c>
      <c r="K17" s="248"/>
      <c r="L17" s="248"/>
      <c r="M17" s="248">
        <f t="shared" ref="M17" si="27">IF(AX18="X",AX17,0)</f>
        <v>0</v>
      </c>
      <c r="N17" s="248"/>
      <c r="O17" s="248"/>
      <c r="P17" s="248">
        <f t="shared" ref="P17" si="28">IF(BA18="X",BA17,0)</f>
        <v>0</v>
      </c>
      <c r="Q17" s="248"/>
      <c r="R17" s="248"/>
      <c r="S17" s="248">
        <f t="shared" ref="S17" si="29">IF(BD18="X",BD17,0)</f>
        <v>0</v>
      </c>
      <c r="T17" s="248"/>
      <c r="U17" s="248"/>
      <c r="V17" s="248">
        <f t="shared" ref="V17" si="30">IF(BG18="X",BG17,0)</f>
        <v>0</v>
      </c>
      <c r="W17" s="248"/>
      <c r="X17" s="248"/>
      <c r="Y17" s="248">
        <f t="shared" ref="Y17" si="31">IF(BJ18="X",BJ17,0)</f>
        <v>0</v>
      </c>
      <c r="Z17" s="248"/>
      <c r="AA17" s="248"/>
      <c r="AB17" s="248">
        <f t="shared" ref="AB17" si="32">IF(BM18="X",BM17,0)</f>
        <v>0</v>
      </c>
      <c r="AC17" s="248"/>
      <c r="AD17" s="248"/>
      <c r="AE17" s="248">
        <f t="shared" ref="AE17" si="33">IF(BP18="X",BP17,0)</f>
        <v>0</v>
      </c>
      <c r="AF17" s="248"/>
      <c r="AG17" s="248"/>
      <c r="AH17" s="248">
        <f t="shared" ref="AH17" si="34">IF(BS18="X",BS17,0)</f>
        <v>0</v>
      </c>
      <c r="AI17" s="248"/>
      <c r="AJ17" s="248"/>
      <c r="AK17" s="248">
        <f t="shared" ref="AK17" si="35">IF(BV18="X",BV17,0)</f>
        <v>0</v>
      </c>
      <c r="AL17" s="248"/>
      <c r="AM17" s="248"/>
      <c r="AN17" s="248">
        <f t="shared" ref="AN17" si="36">IF(BY18="X",BY17,0)</f>
        <v>0</v>
      </c>
      <c r="AO17" s="248"/>
      <c r="AP17" s="249"/>
      <c r="AR17" s="151">
        <v>25</v>
      </c>
      <c r="AS17" s="151"/>
      <c r="AT17" s="151"/>
      <c r="AU17" s="151">
        <v>26</v>
      </c>
      <c r="AV17" s="151"/>
      <c r="AW17" s="151"/>
      <c r="AX17" s="151">
        <v>27</v>
      </c>
      <c r="AY17" s="151"/>
      <c r="AZ17" s="151"/>
      <c r="BA17" s="151">
        <v>28</v>
      </c>
      <c r="BB17" s="151"/>
      <c r="BC17" s="151"/>
      <c r="BD17" s="151">
        <v>29</v>
      </c>
      <c r="BE17" s="151"/>
      <c r="BF17" s="151"/>
      <c r="BG17" s="151">
        <v>30</v>
      </c>
      <c r="BH17" s="151"/>
      <c r="BI17" s="151"/>
      <c r="BJ17" s="151">
        <v>31</v>
      </c>
      <c r="BK17" s="151"/>
      <c r="BL17" s="151"/>
      <c r="BM17" s="151">
        <v>32</v>
      </c>
      <c r="BN17" s="151"/>
      <c r="BO17" s="151"/>
      <c r="BP17" s="151">
        <v>33</v>
      </c>
      <c r="BQ17" s="151"/>
      <c r="BR17" s="151"/>
      <c r="BS17" s="151">
        <v>34</v>
      </c>
      <c r="BT17" s="151"/>
      <c r="BU17" s="151"/>
      <c r="BV17" s="151">
        <v>35</v>
      </c>
      <c r="BW17" s="151"/>
      <c r="BX17" s="151"/>
      <c r="BY17" s="151">
        <v>36</v>
      </c>
      <c r="BZ17" s="151"/>
      <c r="CA17" s="151"/>
      <c r="CC17" s="182" t="s">
        <v>80</v>
      </c>
      <c r="CD17" s="183"/>
      <c r="CE17" s="184"/>
    </row>
    <row r="18" spans="1:83" ht="14.1" hidden="1" customHeight="1" x14ac:dyDescent="0.25">
      <c r="A18" s="2">
        <f t="shared" ref="A18:A19" si="37">IF($CC$18&gt;0,"X",0)</f>
        <v>0</v>
      </c>
      <c r="B18" s="246" t="s">
        <v>11</v>
      </c>
      <c r="C18" s="247"/>
      <c r="D18" s="247"/>
      <c r="E18" s="247"/>
      <c r="F18" s="247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44"/>
      <c r="Y18" s="244"/>
      <c r="Z18" s="244"/>
      <c r="AA18" s="244"/>
      <c r="AB18" s="244"/>
      <c r="AC18" s="244"/>
      <c r="AD18" s="244"/>
      <c r="AE18" s="244"/>
      <c r="AF18" s="244"/>
      <c r="AG18" s="244"/>
      <c r="AH18" s="244"/>
      <c r="AI18" s="244"/>
      <c r="AJ18" s="244"/>
      <c r="AK18" s="244"/>
      <c r="AL18" s="244"/>
      <c r="AM18" s="244"/>
      <c r="AN18" s="244"/>
      <c r="AO18" s="244"/>
      <c r="AP18" s="245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  <c r="BB18" s="151"/>
      <c r="BC18" s="151"/>
      <c r="BD18" s="151"/>
      <c r="BE18" s="151"/>
      <c r="BF18" s="151"/>
      <c r="BG18" s="151"/>
      <c r="BH18" s="151"/>
      <c r="BI18" s="151"/>
      <c r="BJ18" s="151"/>
      <c r="BK18" s="151"/>
      <c r="BL18" s="151"/>
      <c r="BM18" s="151"/>
      <c r="BN18" s="151"/>
      <c r="BO18" s="151"/>
      <c r="BP18" s="151"/>
      <c r="BQ18" s="151"/>
      <c r="BR18" s="151"/>
      <c r="BS18" s="151"/>
      <c r="BT18" s="151"/>
      <c r="BU18" s="151"/>
      <c r="BV18" s="151"/>
      <c r="BW18" s="151"/>
      <c r="BX18" s="151"/>
      <c r="BY18" s="151"/>
      <c r="BZ18" s="151"/>
      <c r="CA18" s="151"/>
      <c r="CC18" s="178">
        <f>COUNTIF(AR18:CA18,"X")</f>
        <v>0</v>
      </c>
      <c r="CD18" s="179"/>
      <c r="CE18" s="180"/>
    </row>
    <row r="19" spans="1:83" ht="14.1" hidden="1" customHeight="1" thickBot="1" x14ac:dyDescent="0.3">
      <c r="A19" s="2">
        <f t="shared" si="37"/>
        <v>0</v>
      </c>
      <c r="B19" s="242" t="s">
        <v>12</v>
      </c>
      <c r="C19" s="243"/>
      <c r="D19" s="243"/>
      <c r="E19" s="243"/>
      <c r="F19" s="243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  <c r="AH19" s="240"/>
      <c r="AI19" s="240"/>
      <c r="AJ19" s="240"/>
      <c r="AK19" s="240"/>
      <c r="AL19" s="240"/>
      <c r="AM19" s="240"/>
      <c r="AN19" s="240"/>
      <c r="AO19" s="240"/>
      <c r="AP19" s="241"/>
    </row>
    <row r="20" spans="1:83" ht="3" customHeight="1" thickBot="1" x14ac:dyDescent="0.3"/>
    <row r="21" spans="1:83" ht="14.1" customHeight="1" x14ac:dyDescent="0.25">
      <c r="B21" s="157" t="s">
        <v>15</v>
      </c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9"/>
      <c r="AE21" s="160" t="s">
        <v>16</v>
      </c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2"/>
    </row>
    <row r="22" spans="1:83" ht="14.1" customHeight="1" x14ac:dyDescent="0.25">
      <c r="B22" s="16"/>
      <c r="C22" s="113" t="s">
        <v>85</v>
      </c>
      <c r="D22" s="6"/>
      <c r="E22" s="5"/>
      <c r="F22" s="5"/>
      <c r="G22" s="5"/>
      <c r="H22" s="5"/>
      <c r="I22" s="5"/>
      <c r="J22" s="5"/>
      <c r="K22" s="6"/>
      <c r="L22" s="6"/>
      <c r="M22" s="6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8"/>
      <c r="AE22" s="2"/>
      <c r="AF22" s="3"/>
      <c r="AG22" s="48" t="s">
        <v>58</v>
      </c>
      <c r="AH22" s="44" t="s">
        <v>17</v>
      </c>
      <c r="AI22" s="45"/>
      <c r="AJ22" s="46"/>
      <c r="AK22" s="47"/>
      <c r="AL22" s="48"/>
      <c r="AM22" s="44" t="s">
        <v>18</v>
      </c>
      <c r="AN22" s="45"/>
      <c r="AO22" s="14"/>
      <c r="AP22" s="17"/>
    </row>
    <row r="23" spans="1:83" ht="14.1" customHeight="1" x14ac:dyDescent="0.25">
      <c r="B23" s="18"/>
      <c r="C23" s="10" t="s">
        <v>63</v>
      </c>
      <c r="D23" s="10"/>
      <c r="E23" s="9"/>
      <c r="F23" s="9"/>
      <c r="G23" s="9"/>
      <c r="H23" s="9"/>
      <c r="I23" s="9"/>
      <c r="J23" s="9"/>
      <c r="K23" s="10"/>
      <c r="L23" s="10"/>
      <c r="M23" s="10"/>
      <c r="AD23" s="11"/>
      <c r="AE23" s="138" t="s">
        <v>65</v>
      </c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64"/>
    </row>
    <row r="24" spans="1:83" ht="14.1" customHeight="1" x14ac:dyDescent="0.25">
      <c r="B24" s="19"/>
      <c r="C24" t="s">
        <v>113</v>
      </c>
      <c r="AD24" s="1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216"/>
    </row>
    <row r="25" spans="1:83" ht="14.1" customHeight="1" x14ac:dyDescent="0.25">
      <c r="B25" s="239" t="s">
        <v>64</v>
      </c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1"/>
      <c r="AE25" s="138" t="s">
        <v>19</v>
      </c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64"/>
    </row>
    <row r="26" spans="1:83" ht="14.1" customHeight="1" thickBot="1" x14ac:dyDescent="0.3">
      <c r="B26" s="213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  <c r="Y26" s="214"/>
      <c r="Z26" s="214"/>
      <c r="AA26" s="214"/>
      <c r="AB26" s="214"/>
      <c r="AC26" s="214"/>
      <c r="AD26" s="215"/>
      <c r="AE26" s="49"/>
      <c r="AF26" s="21" t="s">
        <v>20</v>
      </c>
      <c r="AG26" s="21"/>
      <c r="AH26" s="21"/>
      <c r="AI26" s="49"/>
      <c r="AJ26" s="21" t="s">
        <v>21</v>
      </c>
      <c r="AK26" s="21"/>
      <c r="AL26" s="21"/>
      <c r="AM26" s="49"/>
      <c r="AN26" s="21" t="s">
        <v>22</v>
      </c>
      <c r="AO26" s="21"/>
      <c r="AP26" s="22"/>
    </row>
    <row r="27" spans="1:83" ht="3.95" customHeight="1" thickBot="1" x14ac:dyDescent="0.3"/>
    <row r="28" spans="1:83" ht="14.1" customHeight="1" x14ac:dyDescent="0.25">
      <c r="B28" s="157" t="s">
        <v>23</v>
      </c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 t="s">
        <v>93</v>
      </c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9"/>
      <c r="AE28" s="160" t="s">
        <v>16</v>
      </c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2"/>
    </row>
    <row r="29" spans="1:83" ht="14.1" customHeight="1" x14ac:dyDescent="0.25">
      <c r="B29" s="112" t="s">
        <v>235</v>
      </c>
      <c r="C29" s="111"/>
      <c r="D29" s="111"/>
      <c r="E29" s="111"/>
      <c r="F29" s="111"/>
      <c r="G29" s="228" t="s">
        <v>399</v>
      </c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9"/>
      <c r="Y29" s="230" t="s">
        <v>75</v>
      </c>
      <c r="Z29" s="231"/>
      <c r="AA29" s="231"/>
      <c r="AB29" s="231"/>
      <c r="AC29" s="231"/>
      <c r="AD29" s="232"/>
      <c r="AE29" s="2"/>
      <c r="AF29" s="3"/>
      <c r="AG29" s="48" t="s">
        <v>58</v>
      </c>
      <c r="AH29" s="44" t="s">
        <v>17</v>
      </c>
      <c r="AI29" s="45"/>
      <c r="AJ29" s="46"/>
      <c r="AK29" s="47"/>
      <c r="AL29" s="48"/>
      <c r="AM29" s="44" t="s">
        <v>18</v>
      </c>
      <c r="AN29" s="45"/>
      <c r="AO29" s="14"/>
      <c r="AP29" s="17"/>
    </row>
    <row r="30" spans="1:83" ht="14.1" customHeight="1" x14ac:dyDescent="0.25">
      <c r="B30" s="225" t="s">
        <v>398</v>
      </c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7"/>
      <c r="Y30" s="233"/>
      <c r="Z30" s="234"/>
      <c r="AA30" s="234"/>
      <c r="AB30" s="234"/>
      <c r="AC30" s="234"/>
      <c r="AD30" s="235"/>
      <c r="AE30" s="138" t="s">
        <v>65</v>
      </c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64"/>
    </row>
    <row r="31" spans="1:83" ht="14.1" customHeight="1" x14ac:dyDescent="0.25">
      <c r="B31" s="225" t="s">
        <v>401</v>
      </c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7"/>
      <c r="Y31" s="233"/>
      <c r="Z31" s="234"/>
      <c r="AA31" s="234"/>
      <c r="AB31" s="234"/>
      <c r="AC31" s="234"/>
      <c r="AD31" s="235"/>
      <c r="AE31" s="138"/>
      <c r="AF31" s="140"/>
      <c r="AG31" s="138"/>
      <c r="AH31" s="140"/>
      <c r="AI31" s="138"/>
      <c r="AJ31" s="140"/>
      <c r="AK31" s="138"/>
      <c r="AL31" s="140"/>
      <c r="AM31" s="138"/>
      <c r="AN31" s="140"/>
      <c r="AO31" s="138"/>
      <c r="AP31" s="140"/>
    </row>
    <row r="32" spans="1:83" ht="14.1" customHeight="1" x14ac:dyDescent="0.25">
      <c r="B32" s="225" t="s">
        <v>400</v>
      </c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7"/>
      <c r="Y32" s="233"/>
      <c r="Z32" s="234"/>
      <c r="AA32" s="234"/>
      <c r="AB32" s="234"/>
      <c r="AC32" s="234"/>
      <c r="AD32" s="235"/>
      <c r="AE32" s="138"/>
      <c r="AF32" s="140"/>
      <c r="AG32" s="138"/>
      <c r="AH32" s="140"/>
      <c r="AI32" s="138"/>
      <c r="AJ32" s="140"/>
      <c r="AK32" s="138"/>
      <c r="AL32" s="140"/>
      <c r="AM32" s="138"/>
      <c r="AN32" s="140"/>
      <c r="AO32" s="138"/>
      <c r="AP32" s="140"/>
    </row>
    <row r="33" spans="1:101" ht="14.1" customHeight="1" x14ac:dyDescent="0.25">
      <c r="B33" s="217" t="s">
        <v>402</v>
      </c>
      <c r="C33" s="218"/>
      <c r="D33" s="218"/>
      <c r="E33" s="218"/>
      <c r="F33" s="218"/>
      <c r="G33" s="218"/>
      <c r="H33" s="218"/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9"/>
      <c r="Y33" s="236"/>
      <c r="Z33" s="237"/>
      <c r="AA33" s="237"/>
      <c r="AB33" s="237"/>
      <c r="AC33" s="237"/>
      <c r="AD33" s="238"/>
      <c r="AE33" s="59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60"/>
    </row>
    <row r="34" spans="1:101" x14ac:dyDescent="0.25">
      <c r="B34" s="196" t="s">
        <v>64</v>
      </c>
      <c r="C34" s="183"/>
      <c r="D34" s="183"/>
      <c r="E34" s="183"/>
      <c r="F34" s="183"/>
      <c r="G34" s="183"/>
      <c r="H34" s="183"/>
      <c r="I34" s="183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1"/>
      <c r="AE34" s="138" t="s">
        <v>19</v>
      </c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64"/>
    </row>
    <row r="35" spans="1:101" ht="14.1" customHeight="1" thickBot="1" x14ac:dyDescent="0.3">
      <c r="B35" s="213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214"/>
      <c r="Y35" s="214"/>
      <c r="Z35" s="214"/>
      <c r="AA35" s="214"/>
      <c r="AB35" s="214"/>
      <c r="AC35" s="214"/>
      <c r="AD35" s="215"/>
      <c r="AE35" s="49"/>
      <c r="AF35" s="21" t="s">
        <v>20</v>
      </c>
      <c r="AG35" s="21"/>
      <c r="AH35" s="21"/>
      <c r="AI35" s="49"/>
      <c r="AJ35" s="21" t="s">
        <v>21</v>
      </c>
      <c r="AK35" s="21"/>
      <c r="AL35" s="21"/>
      <c r="AM35" s="49"/>
      <c r="AN35" s="21" t="s">
        <v>22</v>
      </c>
      <c r="AO35" s="21"/>
      <c r="AP35" s="22"/>
    </row>
    <row r="36" spans="1:101" ht="3.95" customHeight="1" thickBot="1" x14ac:dyDescent="0.3"/>
    <row r="37" spans="1:101" ht="14.1" customHeight="1" x14ac:dyDescent="0.25">
      <c r="B37" s="222" t="s">
        <v>24</v>
      </c>
      <c r="C37" s="223"/>
      <c r="D37" s="223"/>
      <c r="E37" s="223"/>
      <c r="F37" s="223"/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3"/>
      <c r="AA37" s="223"/>
      <c r="AB37" s="223"/>
      <c r="AC37" s="223"/>
      <c r="AD37" s="224"/>
      <c r="AE37" s="160" t="s">
        <v>16</v>
      </c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2"/>
      <c r="AV37" s="182" t="s">
        <v>102</v>
      </c>
      <c r="AW37" s="183"/>
      <c r="AX37" s="183"/>
      <c r="AY37" s="182" t="s">
        <v>103</v>
      </c>
      <c r="AZ37" s="183"/>
      <c r="BA37" s="183"/>
      <c r="BB37" s="184"/>
      <c r="CQ37" s="182" t="s">
        <v>102</v>
      </c>
      <c r="CR37" s="183"/>
      <c r="CS37" s="183"/>
      <c r="CT37" s="182" t="s">
        <v>103</v>
      </c>
      <c r="CU37" s="183"/>
      <c r="CV37" s="183"/>
      <c r="CW37" s="184"/>
    </row>
    <row r="38" spans="1:101" ht="14.1" customHeight="1" x14ac:dyDescent="0.25">
      <c r="A38" s="64"/>
      <c r="B38" s="73" t="str">
        <f>IF(A38="X","Embutidos FTK e chapas inox estão com dimensionais e posições conforme pré-estabelecido","Embutidos FTK  estão com dimensionais e posições conforme pré-estabelecido")</f>
        <v>Embutidos FTK  estão com dimensionais e posições conforme pré-estabelecido</v>
      </c>
      <c r="C38" s="15"/>
      <c r="D38" s="6"/>
      <c r="E38" s="5"/>
      <c r="F38" s="5"/>
      <c r="G38" s="5"/>
      <c r="H38" s="5"/>
      <c r="I38" s="5"/>
      <c r="J38" s="5"/>
      <c r="K38" s="6"/>
      <c r="L38" s="6"/>
      <c r="M38" s="6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8"/>
      <c r="AE38" s="3"/>
      <c r="AF38" s="3"/>
      <c r="AG38" s="48" t="s">
        <v>58</v>
      </c>
      <c r="AH38" s="44" t="s">
        <v>17</v>
      </c>
      <c r="AI38" s="45"/>
      <c r="AJ38" s="46"/>
      <c r="AK38" s="47"/>
      <c r="AL38" s="48"/>
      <c r="AM38" s="44" t="s">
        <v>18</v>
      </c>
      <c r="AN38" s="45"/>
      <c r="AO38" s="14"/>
      <c r="AP38" s="17"/>
      <c r="AV38" s="178">
        <f>VLOOKUP($B$46,CA!$Y$3:$AF$188,8,0)</f>
        <v>197.9</v>
      </c>
      <c r="AW38" s="179"/>
      <c r="AX38" s="179"/>
      <c r="AY38" s="178">
        <f>VLOOKUP($B$46,CA!$Y$3:$AF$188,7,0)</f>
        <v>99.7</v>
      </c>
      <c r="AZ38" s="179"/>
      <c r="BA38" s="179"/>
      <c r="BB38" s="180"/>
      <c r="CQ38" s="178">
        <f>IF(AV38=0,AY46,AV38)</f>
        <v>197.9</v>
      </c>
      <c r="CR38" s="179"/>
      <c r="CS38" s="179"/>
      <c r="CT38" s="178">
        <f>IF(AY38=0,AY45,AY38)</f>
        <v>99.7</v>
      </c>
      <c r="CU38" s="179"/>
      <c r="CV38" s="179"/>
      <c r="CW38" s="180"/>
    </row>
    <row r="39" spans="1:101" ht="14.1" customHeight="1" x14ac:dyDescent="0.25">
      <c r="B39" s="72" t="s">
        <v>100</v>
      </c>
      <c r="C39" s="10"/>
      <c r="D39" s="10"/>
      <c r="E39" s="9"/>
      <c r="F39" s="9"/>
      <c r="G39" s="9"/>
      <c r="H39" s="9"/>
      <c r="I39" s="9"/>
      <c r="J39" s="9"/>
      <c r="K39" s="10"/>
      <c r="L39" s="10"/>
      <c r="M39" s="10"/>
      <c r="AD39" s="11"/>
      <c r="AE39" s="139" t="s">
        <v>65</v>
      </c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64"/>
    </row>
    <row r="40" spans="1:101" ht="14.1" customHeight="1" x14ac:dyDescent="0.25">
      <c r="B40" s="71" t="s">
        <v>101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3"/>
      <c r="AE40" s="140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216"/>
    </row>
    <row r="41" spans="1:101" ht="14.1" customHeight="1" x14ac:dyDescent="0.25">
      <c r="B41" s="210" t="s">
        <v>64</v>
      </c>
      <c r="C41" s="165"/>
      <c r="D41" s="165"/>
      <c r="E41" s="165"/>
      <c r="F41" s="165"/>
      <c r="G41" s="165"/>
      <c r="H41" s="165"/>
      <c r="I41" s="165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2"/>
      <c r="AE41" s="138" t="s">
        <v>19</v>
      </c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64"/>
      <c r="BA41" s="165">
        <v>197.7</v>
      </c>
      <c r="BB41" s="165"/>
      <c r="BC41" s="165"/>
      <c r="BD41" s="165"/>
      <c r="BE41" s="165"/>
    </row>
    <row r="42" spans="1:101" ht="14.1" customHeight="1" thickBot="1" x14ac:dyDescent="0.3">
      <c r="B42" s="213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214"/>
      <c r="S42" s="214"/>
      <c r="T42" s="214"/>
      <c r="U42" s="214"/>
      <c r="V42" s="214"/>
      <c r="W42" s="214"/>
      <c r="X42" s="214"/>
      <c r="Y42" s="214"/>
      <c r="Z42" s="214"/>
      <c r="AA42" s="214"/>
      <c r="AB42" s="214"/>
      <c r="AC42" s="214"/>
      <c r="AD42" s="215"/>
      <c r="AE42" s="49"/>
      <c r="AF42" s="21" t="s">
        <v>20</v>
      </c>
      <c r="AG42" s="21"/>
      <c r="AH42" s="21"/>
      <c r="AI42" s="49"/>
      <c r="AJ42" s="21" t="s">
        <v>21</v>
      </c>
      <c r="AK42" s="21"/>
      <c r="AL42" s="21"/>
      <c r="AM42" s="49"/>
      <c r="AN42" s="21" t="s">
        <v>22</v>
      </c>
      <c r="AO42" s="21"/>
      <c r="AP42" s="22"/>
      <c r="BA42" s="165">
        <v>99.9</v>
      </c>
      <c r="BB42" s="165"/>
      <c r="BC42" s="165"/>
      <c r="BD42" s="165"/>
      <c r="BE42" s="165"/>
    </row>
    <row r="43" spans="1:101" ht="4.5" customHeight="1" thickBot="1" x14ac:dyDescent="0.3"/>
    <row r="44" spans="1:101" ht="14.1" customHeight="1" x14ac:dyDescent="0.25">
      <c r="B44" s="205" t="s">
        <v>25</v>
      </c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7" t="s">
        <v>26</v>
      </c>
      <c r="N44" s="208"/>
      <c r="O44" s="208"/>
      <c r="P44" s="161">
        <v>12.7</v>
      </c>
      <c r="Q44" s="161"/>
      <c r="R44" s="161"/>
      <c r="S44" s="161" t="s">
        <v>27</v>
      </c>
      <c r="T44" s="161"/>
      <c r="U44" s="209"/>
      <c r="V44" s="207" t="s">
        <v>28</v>
      </c>
      <c r="W44" s="208"/>
      <c r="X44" s="208"/>
      <c r="Y44" s="208"/>
      <c r="Z44" s="208"/>
      <c r="AA44" s="208"/>
      <c r="AB44" s="161" t="s">
        <v>83</v>
      </c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2"/>
      <c r="AU44" t="s">
        <v>108</v>
      </c>
    </row>
    <row r="45" spans="1:101" ht="14.1" customHeight="1" x14ac:dyDescent="0.25">
      <c r="B45" s="196" t="s">
        <v>29</v>
      </c>
      <c r="C45" s="183"/>
      <c r="D45" s="183"/>
      <c r="E45" s="183"/>
      <c r="F45" s="183"/>
      <c r="G45" s="183"/>
      <c r="H45" s="183"/>
      <c r="I45" s="183"/>
      <c r="J45" s="183"/>
      <c r="K45" s="183"/>
      <c r="L45" s="184"/>
      <c r="M45" s="182" t="s">
        <v>30</v>
      </c>
      <c r="N45" s="183"/>
      <c r="O45" s="183"/>
      <c r="P45" s="183"/>
      <c r="Q45" s="183"/>
      <c r="R45" s="183"/>
      <c r="S45" s="183"/>
      <c r="T45" s="183"/>
      <c r="U45" s="184"/>
      <c r="V45" s="182" t="s">
        <v>29</v>
      </c>
      <c r="W45" s="183"/>
      <c r="X45" s="183"/>
      <c r="Y45" s="183"/>
      <c r="Z45" s="183"/>
      <c r="AA45" s="183"/>
      <c r="AB45" s="183"/>
      <c r="AC45" s="183"/>
      <c r="AD45" s="183"/>
      <c r="AE45" s="183"/>
      <c r="AF45" s="184"/>
      <c r="AG45" s="182" t="s">
        <v>30</v>
      </c>
      <c r="AH45" s="183"/>
      <c r="AI45" s="183"/>
      <c r="AJ45" s="183"/>
      <c r="AK45" s="183"/>
      <c r="AL45" s="183"/>
      <c r="AM45" s="183"/>
      <c r="AN45" s="183"/>
      <c r="AO45" s="183"/>
      <c r="AP45" s="197"/>
      <c r="AV45" t="s">
        <v>104</v>
      </c>
      <c r="AY45" s="165" t="s">
        <v>98</v>
      </c>
      <c r="AZ45" s="165"/>
      <c r="BA45" s="165"/>
      <c r="BB45" s="165"/>
      <c r="BC45" s="165"/>
      <c r="BD45" t="s">
        <v>106</v>
      </c>
    </row>
    <row r="46" spans="1:101" ht="14.1" customHeight="1" x14ac:dyDescent="0.25">
      <c r="B46" s="198">
        <f>VLOOKUP($AN$1,CA!$A$3:$Y$282,25,0)</f>
        <v>1062149086</v>
      </c>
      <c r="C46" s="199"/>
      <c r="D46" s="199"/>
      <c r="E46" s="199"/>
      <c r="F46" s="199"/>
      <c r="G46" s="199"/>
      <c r="H46" s="199"/>
      <c r="I46" s="199"/>
      <c r="J46" s="199"/>
      <c r="K46" s="199"/>
      <c r="L46" s="200"/>
      <c r="M46" s="201">
        <f>VLOOKUP($AN$1,CA!$A$3:$Z$282,26,0)</f>
        <v>45730</v>
      </c>
      <c r="N46" s="202"/>
      <c r="O46" s="202"/>
      <c r="P46" s="202"/>
      <c r="Q46" s="202"/>
      <c r="R46" s="202"/>
      <c r="S46" s="202"/>
      <c r="T46" s="202"/>
      <c r="U46" s="203"/>
      <c r="V46" s="179">
        <f>VLOOKUP($AN$1,CA!$A$3:$AB$282,28,0)</f>
        <v>0</v>
      </c>
      <c r="W46" s="179"/>
      <c r="X46" s="179"/>
      <c r="Y46" s="179"/>
      <c r="Z46" s="179"/>
      <c r="AA46" s="179"/>
      <c r="AB46" s="179"/>
      <c r="AC46" s="179"/>
      <c r="AD46" s="179"/>
      <c r="AE46" s="179"/>
      <c r="AF46" s="180"/>
      <c r="AG46" s="201" t="str">
        <f>VLOOKUP($AN$1,CA!$A$3:$AC$188,29,0)</f>
        <v>-</v>
      </c>
      <c r="AH46" s="202"/>
      <c r="AI46" s="202"/>
      <c r="AJ46" s="202"/>
      <c r="AK46" s="202"/>
      <c r="AL46" s="202"/>
      <c r="AM46" s="202"/>
      <c r="AN46" s="202"/>
      <c r="AO46" s="202"/>
      <c r="AP46" s="204"/>
      <c r="AV46" t="s">
        <v>105</v>
      </c>
      <c r="AY46" s="165" t="s">
        <v>98</v>
      </c>
      <c r="AZ46" s="165"/>
      <c r="BA46" s="165"/>
      <c r="BB46" s="165"/>
      <c r="BC46" s="165"/>
      <c r="BD46" t="s">
        <v>107</v>
      </c>
    </row>
    <row r="47" spans="1:101" ht="14.1" customHeight="1" x14ac:dyDescent="0.25">
      <c r="B47" s="163" t="s">
        <v>96</v>
      </c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92">
        <f>VLOOKUP(B46,CA!$Y$3:$AA$139,3,0)</f>
        <v>81902</v>
      </c>
      <c r="N47" s="193"/>
      <c r="O47" s="193"/>
      <c r="P47" s="193"/>
      <c r="Q47" s="193"/>
      <c r="R47" s="193"/>
      <c r="S47" s="193"/>
      <c r="T47" s="193"/>
      <c r="U47" s="194"/>
      <c r="V47" s="138" t="s">
        <v>96</v>
      </c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42" t="str">
        <f>VLOOKUP($AN$1,CA!$A$3:$AD$188,30,0)</f>
        <v>-</v>
      </c>
      <c r="AH47" s="142"/>
      <c r="AI47" s="142"/>
      <c r="AJ47" s="142"/>
      <c r="AK47" s="142"/>
      <c r="AL47" s="142"/>
      <c r="AM47" s="142"/>
      <c r="AN47" s="142"/>
      <c r="AO47" s="142"/>
      <c r="AP47" s="195"/>
      <c r="AS47" t="s">
        <v>109</v>
      </c>
      <c r="BC47" s="165" t="e">
        <f>IF(CQ38+CT38=0,0,((AY45/CT38)+(AY46/CQ38))/2)*1.02</f>
        <v>#VALUE!</v>
      </c>
      <c r="BD47" s="165"/>
      <c r="BE47" s="165"/>
      <c r="BF47" s="165"/>
      <c r="BG47" s="165"/>
    </row>
    <row r="48" spans="1:101" ht="4.5" customHeight="1" x14ac:dyDescent="0.25">
      <c r="B48" s="19"/>
      <c r="AP48" s="23"/>
    </row>
    <row r="49" spans="2:121" ht="14.1" customHeight="1" x14ac:dyDescent="0.25">
      <c r="B49" s="35"/>
      <c r="C49" s="139" t="s">
        <v>31</v>
      </c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7"/>
      <c r="AR49" s="138" t="s">
        <v>66</v>
      </c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39"/>
      <c r="BF49" s="139"/>
      <c r="BG49" s="139"/>
      <c r="BH49" s="139"/>
      <c r="BI49" s="139"/>
      <c r="BJ49" s="139"/>
      <c r="BK49" s="139"/>
      <c r="BL49" s="139"/>
      <c r="BM49" s="139"/>
      <c r="BN49" s="139"/>
      <c r="BO49" s="139"/>
      <c r="BP49" s="139"/>
      <c r="BQ49" s="139"/>
      <c r="BR49" s="139"/>
      <c r="BS49" s="139"/>
      <c r="BT49" s="139"/>
      <c r="BU49" s="139"/>
      <c r="BV49" s="139"/>
      <c r="BW49" s="139"/>
      <c r="BX49" s="139"/>
      <c r="BY49" s="139"/>
      <c r="BZ49" s="139"/>
      <c r="CA49" s="139"/>
      <c r="CB49" s="139"/>
      <c r="CC49" s="139"/>
      <c r="CD49" s="140"/>
    </row>
    <row r="50" spans="2:121" ht="14.1" customHeight="1" x14ac:dyDescent="0.25">
      <c r="B50" s="19"/>
      <c r="C50" s="190" t="str">
        <f>IF(AR51="x",AR50,0)</f>
        <v>C-1</v>
      </c>
      <c r="D50" s="165"/>
      <c r="E50" s="191"/>
      <c r="F50" s="190" t="str">
        <f t="shared" ref="F50" si="38">IF(AU51="x",AU50,0)</f>
        <v>C-2</v>
      </c>
      <c r="G50" s="165"/>
      <c r="H50" s="191"/>
      <c r="I50" s="190" t="str">
        <f t="shared" ref="I50" si="39">IF(AX51="x",AX50,0)</f>
        <v>C-3</v>
      </c>
      <c r="J50" s="165"/>
      <c r="K50" s="191"/>
      <c r="L50" s="190" t="str">
        <f t="shared" ref="L50" si="40">IF(BA51="x",BA50,0)</f>
        <v>C-4</v>
      </c>
      <c r="M50" s="165"/>
      <c r="N50" s="191"/>
      <c r="O50" s="190" t="str">
        <f t="shared" ref="O50" si="41">IF(BD51="x",BD50,0)</f>
        <v>C-5</v>
      </c>
      <c r="P50" s="165"/>
      <c r="Q50" s="191"/>
      <c r="R50" s="190" t="str">
        <f t="shared" ref="R50" si="42">IF(BG51="x",BG50,0)</f>
        <v>C-6</v>
      </c>
      <c r="S50" s="165"/>
      <c r="T50" s="191"/>
      <c r="U50" s="190" t="str">
        <f t="shared" ref="U50" si="43">IF(BJ51="x",BJ50,0)</f>
        <v>C-7</v>
      </c>
      <c r="V50" s="165"/>
      <c r="W50" s="191"/>
      <c r="X50" s="190" t="str">
        <f t="shared" ref="X50" si="44">IF(BM51="x",BM50,0)</f>
        <v>C-8</v>
      </c>
      <c r="Y50" s="165"/>
      <c r="Z50" s="191"/>
      <c r="AA50" s="190" t="str">
        <f t="shared" ref="AA50" si="45">IF(BP51="x",BP50,0)</f>
        <v>C-9</v>
      </c>
      <c r="AB50" s="165"/>
      <c r="AC50" s="191"/>
      <c r="AD50" s="190" t="str">
        <f t="shared" ref="AD50" si="46">IF(BS51="x",BS50,0)</f>
        <v>C-10</v>
      </c>
      <c r="AE50" s="165"/>
      <c r="AF50" s="191"/>
      <c r="AG50" s="190" t="str">
        <f t="shared" ref="AG50" si="47">IF(BV51="x",BV50,0)</f>
        <v>C-11</v>
      </c>
      <c r="AH50" s="165"/>
      <c r="AI50" s="191"/>
      <c r="AJ50" s="190" t="str">
        <f t="shared" ref="AJ50" si="48">IF(BY51="x",BY50,0)</f>
        <v>C-12</v>
      </c>
      <c r="AK50" s="165"/>
      <c r="AL50" s="191"/>
      <c r="AM50" s="190" t="str">
        <f t="shared" ref="AM50" si="49">IF(CB51="x",CB50,0)</f>
        <v>C-13</v>
      </c>
      <c r="AN50" s="165"/>
      <c r="AO50" s="191"/>
      <c r="AP50" s="23"/>
      <c r="AR50" s="189" t="s">
        <v>32</v>
      </c>
      <c r="AS50" s="189"/>
      <c r="AT50" s="189"/>
      <c r="AU50" s="189" t="s">
        <v>33</v>
      </c>
      <c r="AV50" s="189"/>
      <c r="AW50" s="189"/>
      <c r="AX50" s="189" t="s">
        <v>34</v>
      </c>
      <c r="AY50" s="189"/>
      <c r="AZ50" s="189"/>
      <c r="BA50" s="189" t="s">
        <v>35</v>
      </c>
      <c r="BB50" s="189"/>
      <c r="BC50" s="189"/>
      <c r="BD50" s="189" t="s">
        <v>36</v>
      </c>
      <c r="BE50" s="189"/>
      <c r="BF50" s="189"/>
      <c r="BG50" s="189" t="s">
        <v>37</v>
      </c>
      <c r="BH50" s="189"/>
      <c r="BI50" s="189"/>
      <c r="BJ50" s="189" t="s">
        <v>38</v>
      </c>
      <c r="BK50" s="189"/>
      <c r="BL50" s="189"/>
      <c r="BM50" s="189" t="s">
        <v>39</v>
      </c>
      <c r="BN50" s="189"/>
      <c r="BO50" s="189"/>
      <c r="BP50" s="189" t="s">
        <v>40</v>
      </c>
      <c r="BQ50" s="189"/>
      <c r="BR50" s="189"/>
      <c r="BS50" s="189" t="s">
        <v>41</v>
      </c>
      <c r="BT50" s="189"/>
      <c r="BU50" s="189"/>
      <c r="BV50" s="189" t="s">
        <v>42</v>
      </c>
      <c r="BW50" s="189"/>
      <c r="BX50" s="189"/>
      <c r="BY50" s="189" t="s">
        <v>43</v>
      </c>
      <c r="BZ50" s="189"/>
      <c r="CA50" s="189"/>
      <c r="CB50" s="189" t="s">
        <v>44</v>
      </c>
      <c r="CC50" s="189"/>
      <c r="CD50" s="189"/>
    </row>
    <row r="51" spans="2:121" ht="14.1" customHeight="1" x14ac:dyDescent="0.25">
      <c r="B51" s="19"/>
      <c r="C51" s="178">
        <f>VLOOKUP($AN$1,CA!$A$3:$X$188,3,0)</f>
        <v>113</v>
      </c>
      <c r="D51" s="179"/>
      <c r="E51" s="180"/>
      <c r="F51" s="178">
        <f>VLOOKUP($AN$1,CA!$A$3:$X$188,4,0)</f>
        <v>113</v>
      </c>
      <c r="G51" s="179"/>
      <c r="H51" s="180"/>
      <c r="I51" s="178">
        <f>VLOOKUP($AN$1,CA!$A$3:$X$188,5,0)</f>
        <v>112</v>
      </c>
      <c r="J51" s="179"/>
      <c r="K51" s="180"/>
      <c r="L51" s="178">
        <f>VLOOKUP($AN$1,CA!$A$3:$X$188,6,0)</f>
        <v>112</v>
      </c>
      <c r="M51" s="179"/>
      <c r="N51" s="180"/>
      <c r="O51" s="178">
        <f>VLOOKUP($AN$1,CA!$A$3:$X$188,7,0)</f>
        <v>115</v>
      </c>
      <c r="P51" s="179"/>
      <c r="Q51" s="180"/>
      <c r="R51" s="178">
        <f>VLOOKUP($AN$1,CA!$A$3:$X$188,8,0)</f>
        <v>115</v>
      </c>
      <c r="S51" s="179"/>
      <c r="T51" s="180"/>
      <c r="U51" s="178">
        <f>VLOOKUP($AN$1,CA!$A$3:$X$188,9,0)</f>
        <v>114</v>
      </c>
      <c r="V51" s="179"/>
      <c r="W51" s="180"/>
      <c r="X51" s="178">
        <f>VLOOKUP($AN$1,CA!$A$3:$X$188,10,0)</f>
        <v>114</v>
      </c>
      <c r="Y51" s="179"/>
      <c r="Z51" s="180"/>
      <c r="AA51" s="178">
        <f>VLOOKUP($AN$1,CA!$A$3:$X$188,11,0)</f>
        <v>114</v>
      </c>
      <c r="AB51" s="179"/>
      <c r="AC51" s="180"/>
      <c r="AD51" s="178">
        <f>VLOOKUP($AN$1,CA!$A$3:$X$188,12,0)</f>
        <v>114</v>
      </c>
      <c r="AE51" s="179"/>
      <c r="AF51" s="180"/>
      <c r="AG51" s="178">
        <f>VLOOKUP($AN$1,CA!$A$3:$X$188,13,0)</f>
        <v>116</v>
      </c>
      <c r="AH51" s="179"/>
      <c r="AI51" s="180"/>
      <c r="AJ51" s="178">
        <f>VLOOKUP($AN$1,CA!$A$3:$X$188,14,0)</f>
        <v>117</v>
      </c>
      <c r="AK51" s="179"/>
      <c r="AL51" s="180"/>
      <c r="AM51" s="178">
        <f>VLOOKUP($AN$1,CA!$A$3:$X$188,15,0)</f>
        <v>116</v>
      </c>
      <c r="AN51" s="179"/>
      <c r="AO51" s="180"/>
      <c r="AP51" s="23"/>
      <c r="AR51" s="151" t="s">
        <v>58</v>
      </c>
      <c r="AS51" s="151"/>
      <c r="AT51" s="151"/>
      <c r="AU51" s="151" t="s">
        <v>58</v>
      </c>
      <c r="AV51" s="151"/>
      <c r="AW51" s="151"/>
      <c r="AX51" s="151" t="s">
        <v>58</v>
      </c>
      <c r="AY51" s="151"/>
      <c r="AZ51" s="151"/>
      <c r="BA51" s="151" t="s">
        <v>58</v>
      </c>
      <c r="BB51" s="151"/>
      <c r="BC51" s="151"/>
      <c r="BD51" s="151" t="s">
        <v>58</v>
      </c>
      <c r="BE51" s="151"/>
      <c r="BF51" s="151"/>
      <c r="BG51" s="151" t="s">
        <v>58</v>
      </c>
      <c r="BH51" s="151"/>
      <c r="BI51" s="151"/>
      <c r="BJ51" s="151" t="s">
        <v>58</v>
      </c>
      <c r="BK51" s="151"/>
      <c r="BL51" s="151"/>
      <c r="BM51" s="151" t="s">
        <v>58</v>
      </c>
      <c r="BN51" s="151"/>
      <c r="BO51" s="151"/>
      <c r="BP51" s="151" t="s">
        <v>58</v>
      </c>
      <c r="BQ51" s="151"/>
      <c r="BR51" s="151"/>
      <c r="BS51" s="151" t="s">
        <v>58</v>
      </c>
      <c r="BT51" s="151"/>
      <c r="BU51" s="151"/>
      <c r="BV51" s="151" t="s">
        <v>58</v>
      </c>
      <c r="BW51" s="151"/>
      <c r="BX51" s="151"/>
      <c r="BY51" s="151" t="s">
        <v>58</v>
      </c>
      <c r="BZ51" s="151"/>
      <c r="CA51" s="151"/>
      <c r="CB51" s="151" t="s">
        <v>58</v>
      </c>
      <c r="CC51" s="151"/>
      <c r="CD51" s="151"/>
    </row>
    <row r="52" spans="2:121" ht="14.1" customHeight="1" x14ac:dyDescent="0.25">
      <c r="B52" s="19"/>
      <c r="C52" s="182" t="str">
        <f>IF(AR53="x",AR52,0)</f>
        <v>C-14</v>
      </c>
      <c r="D52" s="183"/>
      <c r="E52" s="184"/>
      <c r="F52" s="182" t="str">
        <f t="shared" ref="F52" si="50">IF(AU53="x",AU52,0)</f>
        <v>C-15</v>
      </c>
      <c r="G52" s="183"/>
      <c r="H52" s="184"/>
      <c r="I52" s="182" t="str">
        <f>IF(AX53="x",AX52,0)</f>
        <v>C-16</v>
      </c>
      <c r="J52" s="183"/>
      <c r="K52" s="184"/>
      <c r="L52" s="182" t="str">
        <f t="shared" ref="L52" si="51">IF(BA53="x",BA52,0)</f>
        <v>C-17</v>
      </c>
      <c r="M52" s="183"/>
      <c r="N52" s="184"/>
      <c r="O52" s="182" t="str">
        <f t="shared" ref="O52" si="52">IF(BD53="x",BD52,0)</f>
        <v>C-18</v>
      </c>
      <c r="P52" s="183"/>
      <c r="Q52" s="184"/>
      <c r="R52" s="182">
        <f t="shared" ref="R52" si="53">IF(BG53="x",BG52,0)</f>
        <v>0</v>
      </c>
      <c r="S52" s="183"/>
      <c r="T52" s="184"/>
      <c r="U52" s="182">
        <f t="shared" ref="U52" si="54">IF(BJ53="x",BJ52,0)</f>
        <v>0</v>
      </c>
      <c r="V52" s="183"/>
      <c r="W52" s="184"/>
      <c r="X52" s="182">
        <f t="shared" ref="X52" si="55">IF(BM53="x",BM52,0)</f>
        <v>0</v>
      </c>
      <c r="Y52" s="183"/>
      <c r="Z52" s="184"/>
      <c r="AA52" s="182">
        <f t="shared" ref="AA52" si="56">IF(BP53="x",BP52,0)</f>
        <v>0</v>
      </c>
      <c r="AB52" s="183"/>
      <c r="AC52" s="184"/>
      <c r="AD52" s="182">
        <f t="shared" ref="AD52" si="57">IF(BS53="x",BS52,0)</f>
        <v>0</v>
      </c>
      <c r="AE52" s="183"/>
      <c r="AF52" s="184"/>
      <c r="AG52" s="182">
        <f t="shared" ref="AG52" si="58">IF(BV53="x",BV52,0)</f>
        <v>0</v>
      </c>
      <c r="AH52" s="183"/>
      <c r="AI52" s="184"/>
      <c r="AJ52" s="182">
        <f t="shared" ref="AJ52" si="59">IF(BY53="x",BY52,0)</f>
        <v>0</v>
      </c>
      <c r="AK52" s="183"/>
      <c r="AL52" s="184"/>
      <c r="AM52" s="182">
        <f t="shared" ref="AM52" si="60">IF(CB53="x",CB52,0)</f>
        <v>0</v>
      </c>
      <c r="AN52" s="183"/>
      <c r="AO52" s="184"/>
      <c r="AP52" s="23"/>
      <c r="AR52" s="189" t="s">
        <v>45</v>
      </c>
      <c r="AS52" s="189"/>
      <c r="AT52" s="189"/>
      <c r="AU52" s="189" t="s">
        <v>46</v>
      </c>
      <c r="AV52" s="189"/>
      <c r="AW52" s="189"/>
      <c r="AX52" s="189" t="s">
        <v>47</v>
      </c>
      <c r="AY52" s="189"/>
      <c r="AZ52" s="189"/>
      <c r="BA52" s="189" t="s">
        <v>48</v>
      </c>
      <c r="BB52" s="189"/>
      <c r="BC52" s="189"/>
      <c r="BD52" s="189" t="s">
        <v>49</v>
      </c>
      <c r="BE52" s="189"/>
      <c r="BF52" s="189"/>
      <c r="BG52" s="189" t="s">
        <v>50</v>
      </c>
      <c r="BH52" s="189"/>
      <c r="BI52" s="189"/>
      <c r="BJ52" s="189" t="s">
        <v>51</v>
      </c>
      <c r="BK52" s="189"/>
      <c r="BL52" s="189"/>
      <c r="BM52" s="189" t="s">
        <v>52</v>
      </c>
      <c r="BN52" s="189"/>
      <c r="BO52" s="189"/>
      <c r="BP52" s="189" t="s">
        <v>53</v>
      </c>
      <c r="BQ52" s="189"/>
      <c r="BR52" s="189"/>
      <c r="BS52" s="189" t="s">
        <v>54</v>
      </c>
      <c r="BT52" s="189"/>
      <c r="BU52" s="189"/>
      <c r="BV52" s="189" t="s">
        <v>55</v>
      </c>
      <c r="BW52" s="189"/>
      <c r="BX52" s="189"/>
      <c r="BY52" s="189" t="s">
        <v>56</v>
      </c>
      <c r="BZ52" s="189"/>
      <c r="CA52" s="189"/>
      <c r="CB52" s="189" t="s">
        <v>57</v>
      </c>
      <c r="CC52" s="189"/>
      <c r="CD52" s="189"/>
    </row>
    <row r="53" spans="2:121" ht="14.1" customHeight="1" x14ac:dyDescent="0.25">
      <c r="B53" s="20"/>
      <c r="C53" s="178">
        <f>VLOOKUP($AN$1,CA!$A$3:$X$188,16,0)</f>
        <v>115</v>
      </c>
      <c r="D53" s="179"/>
      <c r="E53" s="180"/>
      <c r="F53" s="178">
        <f>VLOOKUP($AN$1,CA!$A$3:$X$188,17,0)</f>
        <v>118</v>
      </c>
      <c r="G53" s="179"/>
      <c r="H53" s="180"/>
      <c r="I53" s="178">
        <f>VLOOKUP($AN$1,CA!$A$3:$X$188,18,0)</f>
        <v>118</v>
      </c>
      <c r="J53" s="179"/>
      <c r="K53" s="180"/>
      <c r="L53" s="178">
        <f>VLOOKUP($AN$1,CA!$A$3:$X$188,19,0)</f>
        <v>117</v>
      </c>
      <c r="M53" s="179"/>
      <c r="N53" s="180"/>
      <c r="O53" s="178">
        <f>VLOOKUP($AN$1,CA!$A$3:$X$188,20,0)</f>
        <v>117</v>
      </c>
      <c r="P53" s="179"/>
      <c r="Q53" s="180"/>
      <c r="R53" s="178">
        <f>VLOOKUP($AN$1,CA!$A$3:$X$188,21,0)</f>
        <v>0</v>
      </c>
      <c r="S53" s="179"/>
      <c r="T53" s="180"/>
      <c r="U53" s="178">
        <f>VLOOKUP($AN$1,CA!$A$3:$X$188,22,0)</f>
        <v>0</v>
      </c>
      <c r="V53" s="179"/>
      <c r="W53" s="180"/>
      <c r="X53" s="178">
        <f>VLOOKUP($AN$1,CA!$A$3:$X$188,23,0)</f>
        <v>0</v>
      </c>
      <c r="Y53" s="179"/>
      <c r="Z53" s="180"/>
      <c r="AA53" s="178">
        <f>VLOOKUP($AN$1,CA!$A$3:$X$188,24,0)</f>
        <v>0</v>
      </c>
      <c r="AB53" s="179"/>
      <c r="AC53" s="180"/>
      <c r="AD53" s="178"/>
      <c r="AE53" s="179"/>
      <c r="AF53" s="180"/>
      <c r="AG53" s="178"/>
      <c r="AH53" s="179"/>
      <c r="AI53" s="180"/>
      <c r="AJ53" s="178"/>
      <c r="AK53" s="179"/>
      <c r="AL53" s="180"/>
      <c r="AM53" s="178"/>
      <c r="AN53" s="179"/>
      <c r="AO53" s="180"/>
      <c r="AP53" s="24"/>
      <c r="AR53" s="151" t="s">
        <v>58</v>
      </c>
      <c r="AS53" s="151"/>
      <c r="AT53" s="151"/>
      <c r="AU53" s="151" t="s">
        <v>58</v>
      </c>
      <c r="AV53" s="151"/>
      <c r="AW53" s="151"/>
      <c r="AX53" s="151" t="s">
        <v>58</v>
      </c>
      <c r="AY53" s="151"/>
      <c r="AZ53" s="151"/>
      <c r="BA53" s="151" t="s">
        <v>58</v>
      </c>
      <c r="BB53" s="151"/>
      <c r="BC53" s="151"/>
      <c r="BD53" s="151" t="s">
        <v>58</v>
      </c>
      <c r="BE53" s="151"/>
      <c r="BF53" s="151"/>
      <c r="BG53" s="151"/>
      <c r="BH53" s="151"/>
      <c r="BI53" s="151"/>
      <c r="BJ53" s="151"/>
      <c r="BK53" s="151"/>
      <c r="BL53" s="151"/>
      <c r="BM53" s="151"/>
      <c r="BN53" s="151"/>
      <c r="BO53" s="151"/>
      <c r="BP53" s="151"/>
      <c r="BQ53" s="151"/>
      <c r="BR53" s="151"/>
      <c r="BS53" s="151"/>
      <c r="BT53" s="151"/>
      <c r="BU53" s="151"/>
      <c r="BV53" s="151"/>
      <c r="BW53" s="151"/>
      <c r="BX53" s="151"/>
      <c r="BY53" s="151"/>
      <c r="BZ53" s="151"/>
      <c r="CA53" s="151"/>
      <c r="CB53" s="151"/>
      <c r="CC53" s="151"/>
      <c r="CD53" s="151"/>
    </row>
    <row r="54" spans="2:121" ht="14.1" customHeight="1" x14ac:dyDescent="0.25">
      <c r="B54" s="163" t="s">
        <v>59</v>
      </c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>
        <f>SUM(C51:AO51)+SUM(C53:AO53)</f>
        <v>2070</v>
      </c>
      <c r="Y54" s="139"/>
      <c r="Z54" s="139"/>
      <c r="AA54" s="139"/>
      <c r="AB54" s="139"/>
      <c r="AC54" s="3" t="s">
        <v>27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17"/>
      <c r="CE54" s="182" t="str">
        <f>C50</f>
        <v>C-1</v>
      </c>
      <c r="CF54" s="183"/>
      <c r="CG54" s="184"/>
      <c r="CH54" s="182" t="str">
        <f>F50</f>
        <v>C-2</v>
      </c>
      <c r="CI54" s="183"/>
      <c r="CJ54" s="184"/>
      <c r="CK54" s="182" t="str">
        <f>I50</f>
        <v>C-3</v>
      </c>
      <c r="CL54" s="183"/>
      <c r="CM54" s="184"/>
      <c r="CN54" s="182" t="str">
        <f>L50</f>
        <v>C-4</v>
      </c>
      <c r="CO54" s="183"/>
      <c r="CP54" s="184"/>
      <c r="CQ54" s="182" t="str">
        <f>O50</f>
        <v>C-5</v>
      </c>
      <c r="CR54" s="183"/>
      <c r="CS54" s="184"/>
      <c r="CT54" s="182" t="str">
        <f>R50</f>
        <v>C-6</v>
      </c>
      <c r="CU54" s="183"/>
      <c r="CV54" s="184"/>
      <c r="CW54" s="182" t="str">
        <f>U50</f>
        <v>C-7</v>
      </c>
      <c r="CX54" s="183"/>
      <c r="CY54" s="184"/>
      <c r="CZ54" s="182" t="str">
        <f>X50</f>
        <v>C-8</v>
      </c>
      <c r="DA54" s="183"/>
      <c r="DB54" s="184"/>
      <c r="DC54" s="182" t="str">
        <f>AA50</f>
        <v>C-9</v>
      </c>
      <c r="DD54" s="183"/>
      <c r="DE54" s="184"/>
      <c r="DF54" s="182" t="str">
        <f>AD50</f>
        <v>C-10</v>
      </c>
      <c r="DG54" s="183"/>
      <c r="DH54" s="184"/>
      <c r="DI54" s="182" t="str">
        <f>AG50</f>
        <v>C-11</v>
      </c>
      <c r="DJ54" s="183"/>
      <c r="DK54" s="184"/>
      <c r="DL54" s="182" t="str">
        <f>AJ50</f>
        <v>C-12</v>
      </c>
      <c r="DM54" s="183"/>
      <c r="DN54" s="184"/>
      <c r="DO54" s="182" t="str">
        <f>AM50</f>
        <v>C-13</v>
      </c>
      <c r="DP54" s="183"/>
      <c r="DQ54" s="184"/>
    </row>
    <row r="55" spans="2:121" ht="5.45" customHeight="1" x14ac:dyDescent="0.25">
      <c r="B55" s="19"/>
      <c r="AP55" s="23"/>
      <c r="CE55" s="78"/>
      <c r="CF55" s="79"/>
      <c r="CG55" s="80"/>
      <c r="CH55" s="78"/>
      <c r="CI55" s="79"/>
      <c r="CJ55" s="80"/>
      <c r="CK55" s="78"/>
      <c r="CL55" s="79"/>
      <c r="CM55" s="80"/>
      <c r="CN55" s="78"/>
      <c r="CO55" s="79"/>
      <c r="CP55" s="80"/>
      <c r="CQ55" s="78"/>
      <c r="CR55" s="79"/>
      <c r="CS55" s="80"/>
      <c r="CT55" s="78"/>
      <c r="CU55" s="79"/>
      <c r="CV55" s="80"/>
      <c r="CW55" s="78"/>
      <c r="CX55" s="79"/>
      <c r="CY55" s="80"/>
      <c r="CZ55" s="78"/>
      <c r="DA55" s="79"/>
      <c r="DB55" s="80"/>
      <c r="DC55" s="78"/>
      <c r="DD55" s="79"/>
      <c r="DE55" s="80"/>
      <c r="DF55" s="78"/>
      <c r="DG55" s="79"/>
      <c r="DH55" s="80"/>
      <c r="DI55" s="78"/>
      <c r="DJ55" s="79"/>
      <c r="DK55" s="80"/>
      <c r="DL55" s="78"/>
      <c r="DM55" s="79"/>
      <c r="DN55" s="80"/>
      <c r="DO55" s="78"/>
      <c r="DP55" s="79"/>
      <c r="DQ55" s="80"/>
    </row>
    <row r="56" spans="2:121" ht="14.1" customHeight="1" x14ac:dyDescent="0.25">
      <c r="B56" s="185" t="s">
        <v>60</v>
      </c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6" t="s">
        <v>94</v>
      </c>
      <c r="X56" s="186"/>
      <c r="Y56" s="186"/>
      <c r="Z56" s="186"/>
      <c r="AA56" s="186" t="s">
        <v>95</v>
      </c>
      <c r="AB56" s="186"/>
      <c r="AC56" s="186"/>
      <c r="AD56" s="186"/>
      <c r="AE56" s="187" t="s">
        <v>16</v>
      </c>
      <c r="AF56" s="181"/>
      <c r="AG56" s="181"/>
      <c r="AH56" s="181"/>
      <c r="AI56" s="181"/>
      <c r="AJ56" s="181"/>
      <c r="AK56" s="181"/>
      <c r="AL56" s="181"/>
      <c r="AM56" s="181"/>
      <c r="AN56" s="181"/>
      <c r="AO56" s="181"/>
      <c r="AP56" s="188"/>
      <c r="CE56" s="178" t="b">
        <f>IF(C51="-"";""",IF(C51=0,0,IF(AND(C51&gt;=$W$57,C51&lt;=$AA$57),0,1)))</f>
        <v>0</v>
      </c>
      <c r="CF56" s="179"/>
      <c r="CG56" s="180"/>
      <c r="CH56" s="178" t="b">
        <f t="shared" ref="CH56" si="61">IF(F51="-"";""",IF(F51=0,0,IF(AND(F51&gt;=$W$57,F51&lt;=$AA$57),0,1)))</f>
        <v>0</v>
      </c>
      <c r="CI56" s="179"/>
      <c r="CJ56" s="180"/>
      <c r="CK56" s="178" t="b">
        <f t="shared" ref="CK56" si="62">IF(I51="-"";""",IF(I51=0,0,IF(AND(I51&gt;=$W$57,I51&lt;=$AA$57),0,1)))</f>
        <v>0</v>
      </c>
      <c r="CL56" s="179"/>
      <c r="CM56" s="180"/>
      <c r="CN56" s="178" t="b">
        <f t="shared" ref="CN56" si="63">IF(L51="-"";""",IF(L51=0,0,IF(AND(L51&gt;=$W$57,L51&lt;=$AA$57),0,1)))</f>
        <v>0</v>
      </c>
      <c r="CO56" s="179"/>
      <c r="CP56" s="180"/>
      <c r="CQ56" s="178" t="b">
        <f t="shared" ref="CQ56" si="64">IF(O51="-"";""",IF(O51=0,0,IF(AND(O51&gt;=$W$57,O51&lt;=$AA$57),0,1)))</f>
        <v>0</v>
      </c>
      <c r="CR56" s="179"/>
      <c r="CS56" s="180"/>
      <c r="CT56" s="178" t="b">
        <f t="shared" ref="CT56" si="65">IF(R51="-"";""",IF(R51=0,0,IF(AND(R51&gt;=$W$57,R51&lt;=$AA$57),0,1)))</f>
        <v>0</v>
      </c>
      <c r="CU56" s="179"/>
      <c r="CV56" s="180"/>
      <c r="CW56" s="178" t="b">
        <f t="shared" ref="CW56" si="66">IF(U51="-"";""",IF(U51=0,0,IF(AND(U51&gt;=$W$57,U51&lt;=$AA$57),0,1)))</f>
        <v>0</v>
      </c>
      <c r="CX56" s="179"/>
      <c r="CY56" s="180"/>
      <c r="CZ56" s="178" t="b">
        <f t="shared" ref="CZ56" si="67">IF(X51="-"";""",IF(X51=0,0,IF(AND(X51&gt;=$W$57,X51&lt;=$AA$57),0,1)))</f>
        <v>0</v>
      </c>
      <c r="DA56" s="179"/>
      <c r="DB56" s="180"/>
      <c r="DC56" s="178" t="b">
        <f t="shared" ref="DC56" si="68">IF(AA51="-"";""",IF(AA51=0,0,IF(AND(AA51&gt;=$W$57,AA51&lt;=$AA$57),0,1)))</f>
        <v>0</v>
      </c>
      <c r="DD56" s="179"/>
      <c r="DE56" s="180"/>
      <c r="DF56" s="178" t="b">
        <f t="shared" ref="DF56" si="69">IF(AD51="-"";""",IF(AD51=0,0,IF(AND(AD51&gt;=$W$57,AD51&lt;=$AA$57),0,1)))</f>
        <v>0</v>
      </c>
      <c r="DG56" s="179"/>
      <c r="DH56" s="180"/>
      <c r="DI56" s="178" t="b">
        <f t="shared" ref="DI56" si="70">IF(AG51="-"";""",IF(AG51=0,0,IF(AND(AG51&gt;=$W$57,AG51&lt;=$AA$57),0,1)))</f>
        <v>0</v>
      </c>
      <c r="DJ56" s="179"/>
      <c r="DK56" s="180"/>
      <c r="DL56" s="178" t="b">
        <f t="shared" ref="DL56" si="71">IF(AJ51="-"";""",IF(AJ51=0,0,IF(AND(AJ51&gt;=$W$57,AJ51&lt;=$AA$57),0,1)))</f>
        <v>0</v>
      </c>
      <c r="DM56" s="179"/>
      <c r="DN56" s="180"/>
      <c r="DO56" s="178" t="b">
        <f t="shared" ref="DO56" si="72">IF(AM51="-"";""",IF(AM51=0,0,IF(AND(AM51&gt;=$W$57,AM51&lt;=$AA$57),0,1)))</f>
        <v>0</v>
      </c>
      <c r="DP56" s="179"/>
      <c r="DQ56" s="180"/>
    </row>
    <row r="57" spans="2:121" ht="14.1" customHeight="1" x14ac:dyDescent="0.25">
      <c r="B57" s="163" t="s">
        <v>61</v>
      </c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40"/>
      <c r="W57" s="177">
        <f>IF(AV58="X",BA58,IF(AV60="X",BA60,0))</f>
        <v>100</v>
      </c>
      <c r="X57" s="177"/>
      <c r="Y57" s="177"/>
      <c r="Z57" s="177"/>
      <c r="AA57" s="177">
        <f>IF(AV58="X",BH58,IF(AV60="X",BH60,0))</f>
        <v>120</v>
      </c>
      <c r="AB57" s="177"/>
      <c r="AC57" s="177"/>
      <c r="AD57" s="177"/>
      <c r="AE57" s="2"/>
      <c r="AF57" s="3"/>
      <c r="AG57" s="48" t="str">
        <f>IF(SUM(C51:AO51)+SUM(C53:AO53)=0,0,IF(CE60=0,"X",0))</f>
        <v>X</v>
      </c>
      <c r="AH57" s="44" t="s">
        <v>17</v>
      </c>
      <c r="AI57" s="45"/>
      <c r="AJ57" s="46"/>
      <c r="AK57" s="47"/>
      <c r="AL57" s="48">
        <f>IF(SUM(C51:AO51)+SUM(C53:AO53)=0,0,IF(CE60&gt;0,"X",0))</f>
        <v>0</v>
      </c>
      <c r="AM57" s="44" t="s">
        <v>18</v>
      </c>
      <c r="AN57" s="45"/>
      <c r="AO57" s="45"/>
      <c r="AP57" s="17"/>
      <c r="CE57" s="182" t="str">
        <f>C52</f>
        <v>C-14</v>
      </c>
      <c r="CF57" s="183"/>
      <c r="CG57" s="184"/>
      <c r="CH57" s="182" t="str">
        <f>F52</f>
        <v>C-15</v>
      </c>
      <c r="CI57" s="183"/>
      <c r="CJ57" s="184"/>
      <c r="CK57" s="182" t="str">
        <f>I52</f>
        <v>C-16</v>
      </c>
      <c r="CL57" s="183"/>
      <c r="CM57" s="184"/>
      <c r="CN57" s="182" t="str">
        <f>L52</f>
        <v>C-17</v>
      </c>
      <c r="CO57" s="183"/>
      <c r="CP57" s="184"/>
      <c r="CQ57" s="182" t="str">
        <f>O52</f>
        <v>C-18</v>
      </c>
      <c r="CR57" s="183"/>
      <c r="CS57" s="184"/>
      <c r="CT57" s="182">
        <f>R52</f>
        <v>0</v>
      </c>
      <c r="CU57" s="183"/>
      <c r="CV57" s="184"/>
      <c r="CW57" s="182">
        <f>U52</f>
        <v>0</v>
      </c>
      <c r="CX57" s="183"/>
      <c r="CY57" s="184"/>
      <c r="CZ57" s="182">
        <f>X52</f>
        <v>0</v>
      </c>
      <c r="DA57" s="183"/>
      <c r="DB57" s="184"/>
      <c r="DC57" s="182">
        <f>AA52</f>
        <v>0</v>
      </c>
      <c r="DD57" s="183"/>
      <c r="DE57" s="184"/>
      <c r="DF57" s="182">
        <f>AD52</f>
        <v>0</v>
      </c>
      <c r="DG57" s="183"/>
      <c r="DH57" s="184"/>
      <c r="DI57" s="182">
        <f>AG52</f>
        <v>0</v>
      </c>
      <c r="DJ57" s="183"/>
      <c r="DK57" s="184"/>
      <c r="DL57" s="182">
        <f>AJ52</f>
        <v>0</v>
      </c>
      <c r="DM57" s="183"/>
      <c r="DN57" s="184"/>
      <c r="DO57" s="182">
        <f>AM52</f>
        <v>0</v>
      </c>
      <c r="DP57" s="183"/>
      <c r="DQ57" s="184"/>
    </row>
    <row r="58" spans="2:121" ht="14.1" customHeight="1" x14ac:dyDescent="0.25">
      <c r="B58" s="75"/>
      <c r="C58" s="181" t="s">
        <v>67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77">
        <f>IF(CE70=1,CE69,0)</f>
        <v>0</v>
      </c>
      <c r="O58" s="77">
        <f t="shared" ref="O58:Z58" si="73">IF(CF70=1,CF69,0)</f>
        <v>0</v>
      </c>
      <c r="P58" s="77">
        <f t="shared" si="73"/>
        <v>0</v>
      </c>
      <c r="Q58" s="77">
        <f t="shared" si="73"/>
        <v>0</v>
      </c>
      <c r="R58" s="77">
        <f t="shared" si="73"/>
        <v>0</v>
      </c>
      <c r="S58" s="77">
        <f t="shared" si="73"/>
        <v>0</v>
      </c>
      <c r="T58" s="77">
        <f t="shared" si="73"/>
        <v>0</v>
      </c>
      <c r="U58" s="77">
        <f t="shared" si="73"/>
        <v>0</v>
      </c>
      <c r="V58" s="77">
        <f t="shared" si="73"/>
        <v>0</v>
      </c>
      <c r="W58" s="77">
        <f>IF(CN70=1,CN69,0)</f>
        <v>0</v>
      </c>
      <c r="X58" s="77">
        <f>IF(CO70=1,CO69,0)</f>
        <v>0</v>
      </c>
      <c r="Y58" s="77">
        <f t="shared" si="73"/>
        <v>0</v>
      </c>
      <c r="Z58" s="77">
        <f t="shared" si="73"/>
        <v>0</v>
      </c>
      <c r="AA58" s="77">
        <f t="shared" ref="AA58:AP58" si="74">IF(CE77=1,CE76,0)</f>
        <v>0</v>
      </c>
      <c r="AB58" s="77">
        <f t="shared" si="74"/>
        <v>0</v>
      </c>
      <c r="AC58" s="77">
        <f t="shared" si="74"/>
        <v>0</v>
      </c>
      <c r="AD58" s="77">
        <f t="shared" si="74"/>
        <v>0</v>
      </c>
      <c r="AE58" s="77">
        <f t="shared" si="74"/>
        <v>0</v>
      </c>
      <c r="AF58" s="77">
        <f t="shared" si="74"/>
        <v>0</v>
      </c>
      <c r="AG58" s="77">
        <f t="shared" si="74"/>
        <v>0</v>
      </c>
      <c r="AH58" s="77">
        <f t="shared" si="74"/>
        <v>0</v>
      </c>
      <c r="AI58" s="77">
        <f t="shared" si="74"/>
        <v>0</v>
      </c>
      <c r="AJ58" s="77">
        <f t="shared" si="74"/>
        <v>0</v>
      </c>
      <c r="AK58" s="77">
        <f t="shared" si="74"/>
        <v>0</v>
      </c>
      <c r="AL58" s="77">
        <f t="shared" si="74"/>
        <v>0</v>
      </c>
      <c r="AM58" s="77">
        <f t="shared" si="74"/>
        <v>0</v>
      </c>
      <c r="AN58" s="77">
        <f t="shared" si="74"/>
        <v>0</v>
      </c>
      <c r="AO58" s="77">
        <f t="shared" si="74"/>
        <v>0</v>
      </c>
      <c r="AP58" s="30">
        <f t="shared" si="74"/>
        <v>0</v>
      </c>
      <c r="AV58" s="151"/>
      <c r="AW58" s="151"/>
      <c r="AX58" t="s">
        <v>137</v>
      </c>
      <c r="BA58" s="151">
        <v>321</v>
      </c>
      <c r="BB58" s="151"/>
      <c r="BC58" s="151"/>
      <c r="BD58" s="151"/>
      <c r="BF58" t="s">
        <v>188</v>
      </c>
      <c r="BH58" s="151">
        <v>356</v>
      </c>
      <c r="BI58" s="151"/>
      <c r="BJ58" s="151"/>
      <c r="BK58" s="151"/>
      <c r="CE58" s="178" t="b">
        <f>IF(C53="-"";""",IF(C53=0,0,IF(AND(C53&gt;=$W$57,C53&lt;=$AA$57),0,1)))</f>
        <v>0</v>
      </c>
      <c r="CF58" s="179"/>
      <c r="CG58" s="180"/>
      <c r="CH58" s="178" t="b">
        <f t="shared" ref="CH58" si="75">IF(F53="-"";""",IF(F53=0,0,IF(AND(F53&gt;=$W$57,F53&lt;=$AA$57),0,1)))</f>
        <v>0</v>
      </c>
      <c r="CI58" s="179"/>
      <c r="CJ58" s="180"/>
      <c r="CK58" s="178" t="b">
        <f t="shared" ref="CK58" si="76">IF(I53="-"";""",IF(I53=0,0,IF(AND(I53&gt;=$W$57,I53&lt;=$AA$57),0,1)))</f>
        <v>0</v>
      </c>
      <c r="CL58" s="179"/>
      <c r="CM58" s="180"/>
      <c r="CN58" s="178" t="b">
        <f t="shared" ref="CN58" si="77">IF(L53="-"";""",IF(L53=0,0,IF(AND(L53&gt;=$W$57,L53&lt;=$AA$57),0,1)))</f>
        <v>0</v>
      </c>
      <c r="CO58" s="179"/>
      <c r="CP58" s="180"/>
      <c r="CQ58" s="178" t="b">
        <f t="shared" ref="CQ58" si="78">IF(O53="-"";""",IF(O53=0,0,IF(AND(O53&gt;=$W$57,O53&lt;=$AA$57),0,1)))</f>
        <v>0</v>
      </c>
      <c r="CR58" s="179"/>
      <c r="CS58" s="180"/>
      <c r="CT58" s="178" t="b">
        <f t="shared" ref="CT58" si="79">IF(R53="-"";""",IF(R53=0,0,IF(AND(R53&gt;=$W$57,R53&lt;=$AA$57),0,1)))</f>
        <v>0</v>
      </c>
      <c r="CU58" s="179"/>
      <c r="CV58" s="180"/>
      <c r="CW58" s="178" t="b">
        <f t="shared" ref="CW58" si="80">IF(U53="-"";""",IF(U53=0,0,IF(AND(U53&gt;=$W$57,U53&lt;=$AA$57),0,1)))</f>
        <v>0</v>
      </c>
      <c r="CX58" s="179"/>
      <c r="CY58" s="180"/>
      <c r="CZ58" s="178" t="b">
        <f t="shared" ref="CZ58" si="81">IF(X53="-"";""",IF(X53=0,0,IF(AND(X53&gt;=$W$57,X53&lt;=$AA$57),0,1)))</f>
        <v>0</v>
      </c>
      <c r="DA58" s="179"/>
      <c r="DB58" s="180"/>
      <c r="DC58" s="178" t="b">
        <f t="shared" ref="DC58" si="82">IF(AA53="-"";""",IF(AA53=0,0,IF(AND(AA53&gt;=$W$57,AA53&lt;=$AA$57),0,1)))</f>
        <v>0</v>
      </c>
      <c r="DD58" s="179"/>
      <c r="DE58" s="180"/>
      <c r="DF58" s="178" t="b">
        <f t="shared" ref="DF58" si="83">IF(AD53="-"";""",IF(AD53=0,0,IF(AND(AD53&gt;=$W$57,AD53&lt;=$AA$57),0,1)))</f>
        <v>0</v>
      </c>
      <c r="DG58" s="179"/>
      <c r="DH58" s="180"/>
      <c r="DI58" s="178" t="b">
        <f t="shared" ref="DI58" si="84">IF(AG53="-"";""",IF(AG53=0,0,IF(AND(AG53&gt;=$W$57,AG53&lt;=$AA$57),0,1)))</f>
        <v>0</v>
      </c>
      <c r="DJ58" s="179"/>
      <c r="DK58" s="180"/>
      <c r="DL58" s="178" t="b">
        <f t="shared" ref="DL58" si="85">IF(AJ53="-"";""",IF(AJ53=0,0,IF(AND(AJ53&gt;=$W$57,AJ53&lt;=$AA$57),0,1)))</f>
        <v>0</v>
      </c>
      <c r="DM58" s="179"/>
      <c r="DN58" s="180"/>
      <c r="DO58" s="178" t="b">
        <f t="shared" ref="DO58" si="86">IF(AM53="-"";""",IF(AM53=0,0,IF(AND(AM53&gt;=$W$57,AM53&lt;=$AA$57),0,1)))</f>
        <v>0</v>
      </c>
      <c r="DP58" s="179"/>
      <c r="DQ58" s="180"/>
    </row>
    <row r="59" spans="2:121" ht="5.0999999999999996" customHeight="1" thickBot="1" x14ac:dyDescent="0.3">
      <c r="B59" s="19"/>
      <c r="AP59" s="23"/>
      <c r="AV59" s="165"/>
      <c r="AW59" s="165"/>
      <c r="CE59" s="74"/>
      <c r="CF59" s="74"/>
      <c r="CG59" s="74"/>
      <c r="CH59" s="79"/>
      <c r="CI59" s="79"/>
      <c r="CJ59" s="79"/>
      <c r="CK59" s="79"/>
      <c r="CL59" s="79"/>
      <c r="CM59" s="79"/>
      <c r="CN59" s="79"/>
      <c r="CO59" s="79"/>
      <c r="CP59" s="79"/>
      <c r="CQ59" s="79"/>
      <c r="CR59" s="79"/>
      <c r="CS59" s="79"/>
      <c r="CT59" s="79"/>
      <c r="CU59" s="79"/>
      <c r="CV59" s="79"/>
      <c r="CW59" s="79"/>
      <c r="CX59" s="79"/>
      <c r="CY59" s="79"/>
      <c r="CZ59" s="79"/>
      <c r="DA59" s="79"/>
      <c r="DB59" s="79"/>
      <c r="DC59" s="79"/>
      <c r="DD59" s="79"/>
      <c r="DE59" s="79"/>
      <c r="DF59" s="79"/>
      <c r="DG59" s="79"/>
      <c r="DH59" s="79"/>
      <c r="DI59" s="79"/>
      <c r="DJ59" s="79"/>
      <c r="DK59" s="79"/>
      <c r="DL59" s="79"/>
      <c r="DM59" s="79"/>
      <c r="DN59" s="79"/>
      <c r="DO59" s="79"/>
      <c r="DP59" s="79"/>
      <c r="DQ59" s="79"/>
    </row>
    <row r="60" spans="2:121" ht="14.1" customHeight="1" thickBot="1" x14ac:dyDescent="0.3">
      <c r="B60" s="163" t="s">
        <v>62</v>
      </c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40"/>
      <c r="W60" s="177">
        <f>IF(AW65="X",BB65,IF(AW67="X",BB67,IF(AW70="X",BB70,0)))</f>
        <v>1846</v>
      </c>
      <c r="X60" s="177"/>
      <c r="Y60" s="177"/>
      <c r="Z60" s="177"/>
      <c r="AA60" s="177">
        <f>IF(AW65="X",BI65,IF(AW67="X",BI67,IF(AW70="X",BI70,0)))</f>
        <v>2100</v>
      </c>
      <c r="AB60" s="177"/>
      <c r="AC60" s="177"/>
      <c r="AD60" s="177"/>
      <c r="AE60" s="2"/>
      <c r="AF60" s="3"/>
      <c r="AG60" s="48" t="str">
        <f>IF(X54=0,0,IF(AND(X54&gt;=W60,X54&lt;=AA60),"X",0))</f>
        <v>X</v>
      </c>
      <c r="AH60" s="44" t="s">
        <v>17</v>
      </c>
      <c r="AI60" s="45"/>
      <c r="AJ60" s="46"/>
      <c r="AK60" s="47"/>
      <c r="AL60" s="48">
        <f>IF(SUM(C51:AO51)+SUM(C53:AO53)=0,0,IF(AND(X54&gt;=W60,X54&lt;=AA60),0,"X"))</f>
        <v>0</v>
      </c>
      <c r="AM60" s="44" t="s">
        <v>18</v>
      </c>
      <c r="AN60" s="45"/>
      <c r="AO60" s="45"/>
      <c r="AP60" s="17"/>
      <c r="AV60" s="151" t="s">
        <v>13</v>
      </c>
      <c r="AW60" s="151"/>
      <c r="AX60" t="s">
        <v>187</v>
      </c>
      <c r="BA60" s="151">
        <v>100</v>
      </c>
      <c r="BB60" s="151"/>
      <c r="BC60" s="151"/>
      <c r="BD60" s="151"/>
      <c r="BF60" t="s">
        <v>188</v>
      </c>
      <c r="BH60" s="151">
        <v>120</v>
      </c>
      <c r="BI60" s="151"/>
      <c r="BJ60" s="151"/>
      <c r="BK60" s="151"/>
      <c r="CE60" s="166">
        <f>SUM(CE56:DQ58)</f>
        <v>0</v>
      </c>
      <c r="CF60" s="167"/>
      <c r="CG60" s="168"/>
    </row>
    <row r="61" spans="2:121" ht="3.95" customHeight="1" x14ac:dyDescent="0.25">
      <c r="B61" s="81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65"/>
      <c r="X61" s="65"/>
      <c r="Y61" s="65"/>
      <c r="Z61" s="65"/>
      <c r="AA61" s="65"/>
      <c r="AB61" s="65"/>
      <c r="AC61" s="65"/>
      <c r="AD61" s="65"/>
      <c r="AG61" s="66"/>
      <c r="AH61" s="67"/>
      <c r="AI61" s="68"/>
      <c r="AJ61" s="69"/>
      <c r="AK61" s="70"/>
      <c r="AL61" s="66"/>
      <c r="AM61" s="67"/>
      <c r="AN61" s="68"/>
      <c r="AO61" s="68"/>
      <c r="AP61" s="23"/>
      <c r="CE61" s="79"/>
      <c r="CF61" s="79"/>
      <c r="CG61" s="79"/>
    </row>
    <row r="62" spans="2:121" ht="14.1" customHeight="1" thickBot="1" x14ac:dyDescent="0.3">
      <c r="B62" s="169" t="s">
        <v>112</v>
      </c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1" t="s">
        <v>428</v>
      </c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2"/>
      <c r="CE62" s="79"/>
      <c r="CF62" s="79"/>
      <c r="CG62" s="79"/>
    </row>
    <row r="63" spans="2:121" ht="5.0999999999999996" customHeight="1" thickBot="1" x14ac:dyDescent="0.3"/>
    <row r="64" spans="2:121" x14ac:dyDescent="0.25">
      <c r="B64" s="157" t="s">
        <v>86</v>
      </c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73" t="s">
        <v>92</v>
      </c>
      <c r="O64" s="174"/>
      <c r="P64" s="174"/>
      <c r="Q64" s="174"/>
      <c r="R64" s="174"/>
      <c r="S64" s="174"/>
      <c r="T64" s="174"/>
      <c r="U64" s="174"/>
      <c r="V64" s="62" t="s">
        <v>91</v>
      </c>
      <c r="W64" s="63"/>
      <c r="X64" s="63"/>
      <c r="Y64" s="175">
        <f>VLOOKUP($AN$1,'plan de data'!$A$3:$C$189,3,0)</f>
        <v>1334</v>
      </c>
      <c r="Z64" s="175"/>
      <c r="AA64" s="175"/>
      <c r="AB64" s="175"/>
      <c r="AC64" s="175"/>
      <c r="AD64" s="176"/>
      <c r="AE64" s="160" t="s">
        <v>16</v>
      </c>
      <c r="AF64" s="161"/>
      <c r="AG64" s="161"/>
      <c r="AH64" s="161"/>
      <c r="AI64" s="161"/>
      <c r="AJ64" s="161"/>
      <c r="AK64" s="161"/>
      <c r="AL64" s="161"/>
      <c r="AM64" s="161"/>
      <c r="AN64" s="161"/>
      <c r="AO64" s="161"/>
      <c r="AP64" s="162"/>
    </row>
    <row r="65" spans="2:95" x14ac:dyDescent="0.25">
      <c r="B65" s="56"/>
      <c r="C65" s="31" t="s">
        <v>97</v>
      </c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8"/>
      <c r="AE65" s="76"/>
      <c r="AF65" s="3"/>
      <c r="AG65" s="48" t="s">
        <v>58</v>
      </c>
      <c r="AH65" s="44" t="s">
        <v>17</v>
      </c>
      <c r="AI65" s="45"/>
      <c r="AJ65" s="46"/>
      <c r="AK65" s="47"/>
      <c r="AL65" s="48"/>
      <c r="AM65" s="44" t="s">
        <v>18</v>
      </c>
      <c r="AN65" s="45"/>
      <c r="AO65" s="45"/>
      <c r="AP65" s="17"/>
      <c r="AW65" s="151"/>
      <c r="AX65" s="151"/>
      <c r="AY65" t="s">
        <v>137</v>
      </c>
      <c r="BB65" s="151">
        <v>5247</v>
      </c>
      <c r="BC65" s="151"/>
      <c r="BD65" s="151"/>
      <c r="BE65" s="151"/>
      <c r="BG65" t="s">
        <v>188</v>
      </c>
      <c r="BI65" s="151">
        <v>5573</v>
      </c>
      <c r="BJ65" s="151"/>
      <c r="BK65" s="151"/>
      <c r="BL65" s="151"/>
      <c r="BN65" t="s">
        <v>190</v>
      </c>
    </row>
    <row r="66" spans="2:95" x14ac:dyDescent="0.25">
      <c r="B66" s="36"/>
      <c r="C66" s="31" t="s">
        <v>110</v>
      </c>
      <c r="D66" s="32"/>
      <c r="E66" s="33"/>
      <c r="F66" s="33"/>
      <c r="G66" s="33"/>
      <c r="H66" s="33"/>
      <c r="I66" s="33"/>
      <c r="J66" s="33"/>
      <c r="K66" s="32"/>
      <c r="L66" s="32"/>
      <c r="M66" s="32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4"/>
      <c r="AE66" s="2"/>
      <c r="AF66" s="3"/>
      <c r="AG66" s="48" t="s">
        <v>58</v>
      </c>
      <c r="AH66" s="44" t="s">
        <v>17</v>
      </c>
      <c r="AI66" s="45"/>
      <c r="AJ66" s="46"/>
      <c r="AK66" s="47"/>
      <c r="AL66" s="48"/>
      <c r="AM66" s="44" t="s">
        <v>18</v>
      </c>
      <c r="AN66" s="45"/>
      <c r="AO66" s="45"/>
      <c r="AP66" s="17"/>
      <c r="AW66" s="165"/>
      <c r="AX66" s="165"/>
    </row>
    <row r="67" spans="2:95" ht="15.75" thickBot="1" x14ac:dyDescent="0.3">
      <c r="B67" s="51"/>
      <c r="C67" s="52" t="s">
        <v>111</v>
      </c>
      <c r="D67" s="53"/>
      <c r="E67" s="54"/>
      <c r="F67" s="54"/>
      <c r="G67" s="54"/>
      <c r="H67" s="54"/>
      <c r="I67" s="54"/>
      <c r="J67" s="54"/>
      <c r="K67" s="53"/>
      <c r="L67" s="53"/>
      <c r="M67" s="53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55"/>
      <c r="AE67" s="25"/>
      <c r="AF67" s="26"/>
      <c r="AG67" s="50" t="s">
        <v>58</v>
      </c>
      <c r="AH67" s="40" t="s">
        <v>17</v>
      </c>
      <c r="AI67" s="41"/>
      <c r="AJ67" s="42"/>
      <c r="AK67" s="43"/>
      <c r="AL67" s="50"/>
      <c r="AM67" s="40" t="s">
        <v>18</v>
      </c>
      <c r="AN67" s="41"/>
      <c r="AO67" s="41"/>
      <c r="AP67" s="27"/>
      <c r="AW67" s="151" t="s">
        <v>58</v>
      </c>
      <c r="AX67" s="151"/>
      <c r="AY67" t="s">
        <v>187</v>
      </c>
      <c r="BB67" s="151">
        <v>1846</v>
      </c>
      <c r="BC67" s="151"/>
      <c r="BD67" s="151"/>
      <c r="BE67" s="151"/>
      <c r="BG67" t="s">
        <v>188</v>
      </c>
      <c r="BI67" s="151">
        <v>2100</v>
      </c>
      <c r="BJ67" s="151"/>
      <c r="BK67" s="151"/>
      <c r="BL67" s="151"/>
      <c r="BN67" t="s">
        <v>190</v>
      </c>
    </row>
    <row r="68" spans="2:95" ht="5.0999999999999996" customHeight="1" thickBot="1" x14ac:dyDescent="0.3"/>
    <row r="69" spans="2:95" ht="14.1" customHeight="1" x14ac:dyDescent="0.25">
      <c r="B69" s="157" t="s">
        <v>68</v>
      </c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9"/>
      <c r="AE69" s="160" t="s">
        <v>16</v>
      </c>
      <c r="AF69" s="161"/>
      <c r="AG69" s="161"/>
      <c r="AH69" s="161"/>
      <c r="AI69" s="161"/>
      <c r="AJ69" s="161"/>
      <c r="AK69" s="161"/>
      <c r="AL69" s="161"/>
      <c r="AM69" s="161"/>
      <c r="AN69" s="161"/>
      <c r="AO69" s="161"/>
      <c r="AP69" s="162"/>
      <c r="CE69" s="29">
        <v>1</v>
      </c>
      <c r="CF69" s="29">
        <v>2</v>
      </c>
      <c r="CG69" s="29">
        <v>3</v>
      </c>
      <c r="CH69" s="29">
        <v>4</v>
      </c>
      <c r="CI69" s="29">
        <v>5</v>
      </c>
      <c r="CJ69" s="29">
        <v>6</v>
      </c>
      <c r="CK69" s="29">
        <v>7</v>
      </c>
      <c r="CL69" s="29">
        <v>8</v>
      </c>
      <c r="CM69" s="29">
        <v>9</v>
      </c>
      <c r="CN69" s="29">
        <v>10</v>
      </c>
      <c r="CO69" s="29">
        <v>11</v>
      </c>
      <c r="CP69" s="29">
        <v>12</v>
      </c>
      <c r="CQ69" s="29">
        <v>13</v>
      </c>
    </row>
    <row r="70" spans="2:95" ht="14.1" customHeight="1" x14ac:dyDescent="0.25">
      <c r="B70" s="36"/>
      <c r="C70" s="31" t="s">
        <v>69</v>
      </c>
      <c r="D70" s="32"/>
      <c r="E70" s="33"/>
      <c r="F70" s="33"/>
      <c r="G70" s="33"/>
      <c r="H70" s="33"/>
      <c r="I70" s="33"/>
      <c r="J70" s="33"/>
      <c r="K70" s="32"/>
      <c r="L70" s="32"/>
      <c r="M70" s="32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4"/>
      <c r="AE70" s="2"/>
      <c r="AF70" s="3"/>
      <c r="AG70" s="48" t="s">
        <v>58</v>
      </c>
      <c r="AH70" s="44" t="s">
        <v>17</v>
      </c>
      <c r="AI70" s="45"/>
      <c r="AJ70" s="46"/>
      <c r="AK70" s="47"/>
      <c r="AL70" s="48"/>
      <c r="AM70" s="44" t="s">
        <v>18</v>
      </c>
      <c r="AN70" s="45"/>
      <c r="AO70" s="45"/>
      <c r="AP70" s="17"/>
      <c r="AW70" s="151"/>
      <c r="AX70" s="151"/>
      <c r="AY70" t="s">
        <v>137</v>
      </c>
      <c r="BB70" s="151">
        <f>BA58*22</f>
        <v>7062</v>
      </c>
      <c r="BC70" s="151"/>
      <c r="BD70" s="151"/>
      <c r="BE70" s="151"/>
      <c r="BG70" t="s">
        <v>188</v>
      </c>
      <c r="BI70" s="151">
        <f>22*BH58</f>
        <v>7832</v>
      </c>
      <c r="BJ70" s="151"/>
      <c r="BK70" s="151"/>
      <c r="BL70" s="151"/>
      <c r="BN70" t="s">
        <v>191</v>
      </c>
      <c r="CE70" s="28" t="b">
        <f>CE56</f>
        <v>0</v>
      </c>
      <c r="CF70" s="28" t="b">
        <f>CH56</f>
        <v>0</v>
      </c>
      <c r="CG70" s="28" t="b">
        <f>CK56</f>
        <v>0</v>
      </c>
      <c r="CH70" s="28" t="b">
        <f>CN56</f>
        <v>0</v>
      </c>
      <c r="CI70" s="28" t="b">
        <f>CQ56</f>
        <v>0</v>
      </c>
      <c r="CJ70" s="28" t="b">
        <f>CT56</f>
        <v>0</v>
      </c>
      <c r="CK70" s="28" t="b">
        <f>CW56</f>
        <v>0</v>
      </c>
      <c r="CL70" s="28" t="b">
        <f>CZ56</f>
        <v>0</v>
      </c>
      <c r="CM70" s="28" t="b">
        <f>DC56</f>
        <v>0</v>
      </c>
      <c r="CN70" s="28">
        <f>DF57</f>
        <v>0</v>
      </c>
      <c r="CO70" s="28" t="b">
        <f>DI56</f>
        <v>0</v>
      </c>
      <c r="CP70" s="28" t="b">
        <f>DL56</f>
        <v>0</v>
      </c>
      <c r="CQ70" s="28" t="b">
        <f>DO56</f>
        <v>0</v>
      </c>
    </row>
    <row r="71" spans="2:95" ht="14.1" customHeight="1" x14ac:dyDescent="0.25">
      <c r="B71" s="36"/>
      <c r="C71" s="31" t="s">
        <v>70</v>
      </c>
      <c r="D71" s="32"/>
      <c r="E71" s="33"/>
      <c r="F71" s="33"/>
      <c r="G71" s="33"/>
      <c r="H71" s="33"/>
      <c r="I71" s="33"/>
      <c r="J71" s="33"/>
      <c r="K71" s="32"/>
      <c r="L71" s="32"/>
      <c r="M71" s="32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4"/>
      <c r="AE71" s="2"/>
      <c r="AF71" s="3"/>
      <c r="AG71" s="48" t="s">
        <v>58</v>
      </c>
      <c r="AH71" s="44" t="s">
        <v>17</v>
      </c>
      <c r="AI71" s="45"/>
      <c r="AJ71" s="46"/>
      <c r="AK71" s="47"/>
      <c r="AL71" s="48"/>
      <c r="AM71" s="44" t="s">
        <v>18</v>
      </c>
      <c r="AN71" s="45"/>
      <c r="AO71" s="45"/>
      <c r="AP71" s="17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</row>
    <row r="72" spans="2:95" ht="14.1" customHeight="1" x14ac:dyDescent="0.25">
      <c r="B72" s="36"/>
      <c r="C72" s="31" t="s">
        <v>84</v>
      </c>
      <c r="D72" s="32"/>
      <c r="E72" s="33"/>
      <c r="F72" s="33"/>
      <c r="G72" s="33"/>
      <c r="H72" s="33"/>
      <c r="I72" s="33"/>
      <c r="J72" s="33"/>
      <c r="K72" s="32"/>
      <c r="L72" s="32"/>
      <c r="M72" s="32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4"/>
      <c r="AE72" s="2"/>
      <c r="AF72" s="3"/>
      <c r="AG72" s="48" t="s">
        <v>58</v>
      </c>
      <c r="AH72" s="44" t="s">
        <v>17</v>
      </c>
      <c r="AI72" s="45"/>
      <c r="AJ72" s="46"/>
      <c r="AK72" s="47"/>
      <c r="AL72" s="48"/>
      <c r="AM72" s="44" t="s">
        <v>18</v>
      </c>
      <c r="AN72" s="45"/>
      <c r="AO72" s="45"/>
      <c r="AP72" s="17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</row>
    <row r="73" spans="2:95" ht="14.1" customHeight="1" x14ac:dyDescent="0.25">
      <c r="B73" s="36"/>
      <c r="C73" s="31" t="s">
        <v>71</v>
      </c>
      <c r="D73" s="32"/>
      <c r="E73" s="33"/>
      <c r="F73" s="33"/>
      <c r="G73" s="33"/>
      <c r="H73" s="33"/>
      <c r="I73" s="33"/>
      <c r="J73" s="33"/>
      <c r="K73" s="32"/>
      <c r="L73" s="32"/>
      <c r="M73" s="32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4"/>
      <c r="AE73" s="2"/>
      <c r="AF73" s="3"/>
      <c r="AG73" s="48" t="s">
        <v>58</v>
      </c>
      <c r="AH73" s="44" t="s">
        <v>17</v>
      </c>
      <c r="AI73" s="45"/>
      <c r="AJ73" s="46"/>
      <c r="AK73" s="47"/>
      <c r="AL73" s="48"/>
      <c r="AM73" s="44" t="s">
        <v>18</v>
      </c>
      <c r="AN73" s="45"/>
      <c r="AO73" s="45"/>
      <c r="AP73" s="17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</row>
    <row r="74" spans="2:95" ht="5.0999999999999996" customHeight="1" x14ac:dyDescent="0.25">
      <c r="B74" s="19"/>
      <c r="AP74" s="23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</row>
    <row r="75" spans="2:95" ht="14.1" customHeight="1" x14ac:dyDescent="0.25">
      <c r="B75" s="163" t="s">
        <v>72</v>
      </c>
      <c r="C75" s="139"/>
      <c r="D75" s="139"/>
      <c r="E75" s="139"/>
      <c r="F75" s="139"/>
      <c r="G75" s="139"/>
      <c r="H75" s="139"/>
      <c r="I75" s="139"/>
      <c r="J75" s="139"/>
      <c r="K75" s="140"/>
      <c r="L75" s="138" t="s">
        <v>73</v>
      </c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 t="s">
        <v>74</v>
      </c>
      <c r="Y75" s="139"/>
      <c r="Z75" s="139"/>
      <c r="AA75" s="139"/>
      <c r="AB75" s="139"/>
      <c r="AC75" s="139"/>
      <c r="AD75" s="139"/>
      <c r="AE75" s="139"/>
      <c r="AF75" s="139"/>
      <c r="AG75" s="139"/>
      <c r="AH75" s="139"/>
      <c r="AI75" s="139"/>
      <c r="AJ75" s="139"/>
      <c r="AK75" s="139"/>
      <c r="AL75" s="139"/>
      <c r="AM75" s="139"/>
      <c r="AN75" s="139"/>
      <c r="AO75" s="139"/>
      <c r="AP75" s="164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</row>
    <row r="76" spans="2:95" ht="14.1" customHeight="1" x14ac:dyDescent="0.25">
      <c r="B76" s="141"/>
      <c r="C76" s="142"/>
      <c r="D76" s="142"/>
      <c r="E76" s="142"/>
      <c r="F76" s="142"/>
      <c r="G76" s="142"/>
      <c r="H76" s="142"/>
      <c r="I76" s="142"/>
      <c r="J76" s="142"/>
      <c r="K76" s="143"/>
      <c r="L76" s="48"/>
      <c r="M76" s="1" t="s">
        <v>20</v>
      </c>
      <c r="N76" s="1"/>
      <c r="O76" s="1"/>
      <c r="P76" s="48"/>
      <c r="Q76" s="1" t="s">
        <v>21</v>
      </c>
      <c r="R76" s="1"/>
      <c r="S76" s="1"/>
      <c r="T76" s="48"/>
      <c r="U76" s="1" t="s">
        <v>22</v>
      </c>
      <c r="V76" s="1"/>
      <c r="W76" s="1"/>
      <c r="X76" s="144"/>
      <c r="Y76" s="144"/>
      <c r="Z76" s="144"/>
      <c r="AA76" s="144"/>
      <c r="AB76" s="144"/>
      <c r="AC76" s="144"/>
      <c r="AD76" s="144"/>
      <c r="AE76" s="144"/>
      <c r="AF76" s="144"/>
      <c r="AG76" s="144"/>
      <c r="AH76" s="144"/>
      <c r="AI76" s="144"/>
      <c r="AJ76" s="144"/>
      <c r="AK76" s="144"/>
      <c r="AL76" s="144"/>
      <c r="AM76" s="144"/>
      <c r="AN76" s="144"/>
      <c r="AO76" s="144"/>
      <c r="AP76" s="145"/>
      <c r="CE76" s="29">
        <v>14</v>
      </c>
      <c r="CF76" s="29">
        <v>15</v>
      </c>
      <c r="CG76" s="29">
        <v>16</v>
      </c>
      <c r="CH76" s="29">
        <v>17</v>
      </c>
      <c r="CI76" s="29">
        <v>18</v>
      </c>
      <c r="CJ76" s="29">
        <v>19</v>
      </c>
      <c r="CK76" s="29">
        <v>20</v>
      </c>
      <c r="CL76" s="29">
        <v>21</v>
      </c>
      <c r="CM76" s="29">
        <v>22</v>
      </c>
      <c r="CN76" s="29">
        <v>23</v>
      </c>
      <c r="CO76" s="29">
        <v>24</v>
      </c>
      <c r="CP76" s="29">
        <v>25</v>
      </c>
      <c r="CQ76" s="29">
        <v>26</v>
      </c>
    </row>
    <row r="77" spans="2:95" ht="14.1" customHeight="1" x14ac:dyDescent="0.25">
      <c r="B77" s="141"/>
      <c r="C77" s="142"/>
      <c r="D77" s="142"/>
      <c r="E77" s="142"/>
      <c r="F77" s="142"/>
      <c r="G77" s="142"/>
      <c r="H77" s="142"/>
      <c r="I77" s="142"/>
      <c r="J77" s="142"/>
      <c r="K77" s="143"/>
      <c r="L77" s="48"/>
      <c r="M77" s="1" t="s">
        <v>20</v>
      </c>
      <c r="N77" s="1"/>
      <c r="O77" s="1"/>
      <c r="P77" s="48"/>
      <c r="Q77" s="1" t="s">
        <v>21</v>
      </c>
      <c r="R77" s="1"/>
      <c r="S77" s="1"/>
      <c r="T77" s="48"/>
      <c r="U77" s="1" t="s">
        <v>22</v>
      </c>
      <c r="V77" s="1"/>
      <c r="W77" s="1"/>
      <c r="X77" s="144"/>
      <c r="Y77" s="144"/>
      <c r="Z77" s="144"/>
      <c r="AA77" s="144"/>
      <c r="AB77" s="144"/>
      <c r="AC77" s="144"/>
      <c r="AD77" s="144"/>
      <c r="AE77" s="144"/>
      <c r="AF77" s="144"/>
      <c r="AG77" s="144"/>
      <c r="AH77" s="144"/>
      <c r="AI77" s="144"/>
      <c r="AJ77" s="144"/>
      <c r="AK77" s="144"/>
      <c r="AL77" s="144"/>
      <c r="AM77" s="144"/>
      <c r="AN77" s="144"/>
      <c r="AO77" s="144"/>
      <c r="AP77" s="145"/>
      <c r="CE77" s="28" t="b">
        <f>CE58</f>
        <v>0</v>
      </c>
      <c r="CF77" s="28" t="b">
        <f>CH58</f>
        <v>0</v>
      </c>
      <c r="CG77" s="28" t="b">
        <f>CK58</f>
        <v>0</v>
      </c>
      <c r="CH77" s="28" t="b">
        <f>CN58</f>
        <v>0</v>
      </c>
      <c r="CI77" s="28" t="b">
        <f>CQ58</f>
        <v>0</v>
      </c>
      <c r="CJ77" s="28" t="b">
        <f>CT58</f>
        <v>0</v>
      </c>
      <c r="CK77" s="28" t="b">
        <f>CW58</f>
        <v>0</v>
      </c>
      <c r="CL77" s="28" t="b">
        <f>CZ58</f>
        <v>0</v>
      </c>
      <c r="CM77" s="28" t="b">
        <f>DC58</f>
        <v>0</v>
      </c>
      <c r="CN77" s="28" t="b">
        <f>DF58</f>
        <v>0</v>
      </c>
      <c r="CO77" s="28" t="b">
        <f>DI58</f>
        <v>0</v>
      </c>
      <c r="CP77" s="28" t="b">
        <f>DL58</f>
        <v>0</v>
      </c>
      <c r="CQ77" s="28" t="b">
        <f>DO58</f>
        <v>0</v>
      </c>
    </row>
    <row r="78" spans="2:95" ht="14.1" customHeight="1" x14ac:dyDescent="0.25">
      <c r="B78" s="141"/>
      <c r="C78" s="142"/>
      <c r="D78" s="142"/>
      <c r="E78" s="142"/>
      <c r="F78" s="142"/>
      <c r="G78" s="142"/>
      <c r="H78" s="142"/>
      <c r="I78" s="142"/>
      <c r="J78" s="142"/>
      <c r="K78" s="143"/>
      <c r="L78" s="48"/>
      <c r="M78" s="1" t="s">
        <v>20</v>
      </c>
      <c r="N78" s="1"/>
      <c r="O78" s="1"/>
      <c r="P78" s="48"/>
      <c r="Q78" s="1" t="s">
        <v>21</v>
      </c>
      <c r="R78" s="1"/>
      <c r="S78" s="1"/>
      <c r="T78" s="48"/>
      <c r="U78" s="1" t="s">
        <v>22</v>
      </c>
      <c r="V78" s="1"/>
      <c r="W78" s="1"/>
      <c r="X78" s="144"/>
      <c r="Y78" s="144"/>
      <c r="Z78" s="144"/>
      <c r="AA78" s="144"/>
      <c r="AB78" s="144"/>
      <c r="AC78" s="144"/>
      <c r="AD78" s="144"/>
      <c r="AE78" s="144"/>
      <c r="AF78" s="144"/>
      <c r="AG78" s="144"/>
      <c r="AH78" s="144"/>
      <c r="AI78" s="144"/>
      <c r="AJ78" s="144"/>
      <c r="AK78" s="144"/>
      <c r="AL78" s="144"/>
      <c r="AM78" s="144"/>
      <c r="AN78" s="144"/>
      <c r="AO78" s="144"/>
      <c r="AP78" s="145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</row>
    <row r="79" spans="2:95" ht="14.1" customHeight="1" x14ac:dyDescent="0.25">
      <c r="B79" s="141"/>
      <c r="C79" s="142"/>
      <c r="D79" s="142"/>
      <c r="E79" s="142"/>
      <c r="F79" s="142"/>
      <c r="G79" s="142"/>
      <c r="H79" s="142"/>
      <c r="I79" s="142"/>
      <c r="J79" s="142"/>
      <c r="K79" s="143"/>
      <c r="L79" s="48"/>
      <c r="M79" s="1" t="s">
        <v>20</v>
      </c>
      <c r="N79" s="1"/>
      <c r="O79" s="1"/>
      <c r="P79" s="48"/>
      <c r="Q79" s="1" t="s">
        <v>21</v>
      </c>
      <c r="R79" s="1"/>
      <c r="S79" s="1"/>
      <c r="T79" s="48"/>
      <c r="U79" s="1" t="s">
        <v>22</v>
      </c>
      <c r="V79" s="1"/>
      <c r="W79" s="1"/>
      <c r="X79" s="144"/>
      <c r="Y79" s="144"/>
      <c r="Z79" s="144"/>
      <c r="AA79" s="144"/>
      <c r="AB79" s="144"/>
      <c r="AC79" s="144"/>
      <c r="AD79" s="144"/>
      <c r="AE79" s="144"/>
      <c r="AF79" s="144"/>
      <c r="AG79" s="144"/>
      <c r="AH79" s="144"/>
      <c r="AI79" s="144"/>
      <c r="AJ79" s="144"/>
      <c r="AK79" s="144"/>
      <c r="AL79" s="144"/>
      <c r="AM79" s="144"/>
      <c r="AN79" s="144"/>
      <c r="AO79" s="144"/>
      <c r="AP79" s="145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</row>
    <row r="80" spans="2:95" ht="14.1" customHeight="1" thickBot="1" x14ac:dyDescent="0.3">
      <c r="B80" s="146"/>
      <c r="C80" s="147"/>
      <c r="D80" s="147"/>
      <c r="E80" s="147"/>
      <c r="F80" s="147"/>
      <c r="G80" s="147"/>
      <c r="H80" s="147"/>
      <c r="I80" s="147"/>
      <c r="J80" s="147"/>
      <c r="K80" s="148"/>
      <c r="L80" s="50"/>
      <c r="M80" s="37" t="s">
        <v>20</v>
      </c>
      <c r="N80" s="37"/>
      <c r="O80" s="37"/>
      <c r="P80" s="50"/>
      <c r="Q80" s="37" t="s">
        <v>21</v>
      </c>
      <c r="R80" s="37"/>
      <c r="S80" s="37"/>
      <c r="T80" s="50"/>
      <c r="U80" s="37" t="s">
        <v>22</v>
      </c>
      <c r="V80" s="37"/>
      <c r="W80" s="37"/>
      <c r="X80" s="149"/>
      <c r="Y80" s="149"/>
      <c r="Z80" s="149"/>
      <c r="AA80" s="149"/>
      <c r="AB80" s="149"/>
      <c r="AC80" s="149"/>
      <c r="AD80" s="149"/>
      <c r="AE80" s="149"/>
      <c r="AF80" s="149"/>
      <c r="AG80" s="149"/>
      <c r="AH80" s="149"/>
      <c r="AI80" s="149"/>
      <c r="AJ80" s="149"/>
      <c r="AK80" s="149"/>
      <c r="AL80" s="149"/>
      <c r="AM80" s="149"/>
      <c r="AN80" s="149"/>
      <c r="AO80" s="149"/>
      <c r="AP80" s="150"/>
    </row>
    <row r="81" spans="2:65" ht="5.0999999999999996" customHeight="1" thickBot="1" x14ac:dyDescent="0.3">
      <c r="AS81" s="151">
        <v>0</v>
      </c>
      <c r="AT81" s="151"/>
      <c r="AU81" s="151"/>
      <c r="AV81" s="151"/>
      <c r="AW81" s="151"/>
      <c r="AX81" s="151"/>
      <c r="AY81" s="151"/>
      <c r="AZ81" s="151"/>
      <c r="BA81" s="151"/>
      <c r="BB81" s="151"/>
    </row>
    <row r="82" spans="2:65" ht="14.45" customHeight="1" x14ac:dyDescent="0.25">
      <c r="B82" s="152" t="s">
        <v>90</v>
      </c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4"/>
      <c r="N82" s="155" t="s">
        <v>87</v>
      </c>
      <c r="O82" s="153"/>
      <c r="P82" s="153"/>
      <c r="Q82" s="153"/>
      <c r="R82" s="153"/>
      <c r="S82" s="153"/>
      <c r="T82" s="153"/>
      <c r="U82" s="153"/>
      <c r="V82" s="153"/>
      <c r="W82" s="154"/>
      <c r="X82" s="155" t="s">
        <v>88</v>
      </c>
      <c r="Y82" s="153"/>
      <c r="Z82" s="153"/>
      <c r="AA82" s="153"/>
      <c r="AB82" s="153"/>
      <c r="AC82" s="153"/>
      <c r="AD82" s="153"/>
      <c r="AE82" s="153"/>
      <c r="AF82" s="153"/>
      <c r="AG82" s="153"/>
      <c r="AH82" s="153"/>
      <c r="AI82" s="153"/>
      <c r="AJ82" s="154"/>
      <c r="AK82" s="155" t="s">
        <v>89</v>
      </c>
      <c r="AL82" s="153"/>
      <c r="AM82" s="153"/>
      <c r="AN82" s="153"/>
      <c r="AO82" s="153"/>
      <c r="AP82" s="156"/>
      <c r="AS82" s="151"/>
      <c r="AT82" s="151"/>
      <c r="AU82" s="151"/>
      <c r="AV82" s="151"/>
      <c r="AW82" s="151"/>
      <c r="AX82" s="151"/>
      <c r="AY82" s="151"/>
      <c r="AZ82" s="151"/>
      <c r="BA82" s="151"/>
      <c r="BB82" s="151"/>
      <c r="BD82" t="s">
        <v>408</v>
      </c>
    </row>
    <row r="83" spans="2:65" ht="24.6" customHeight="1" thickBot="1" x14ac:dyDescent="0.3">
      <c r="B83" s="128" t="s">
        <v>140</v>
      </c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30"/>
      <c r="N83" s="131" t="s">
        <v>141</v>
      </c>
      <c r="O83" s="129"/>
      <c r="P83" s="129"/>
      <c r="Q83" s="129"/>
      <c r="R83" s="129"/>
      <c r="S83" s="129"/>
      <c r="T83" s="129"/>
      <c r="U83" s="129"/>
      <c r="V83" s="129"/>
      <c r="W83" s="130"/>
      <c r="X83" s="131" t="e" vm="1">
        <v>#VALUE!</v>
      </c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30"/>
      <c r="AK83" s="132">
        <f>B6+28</f>
        <v>45937</v>
      </c>
      <c r="AL83" s="133"/>
      <c r="AM83" s="133"/>
      <c r="AN83" s="133"/>
      <c r="AO83" s="133"/>
      <c r="AP83" s="134"/>
      <c r="AS83" s="135">
        <f>AK83+AS81</f>
        <v>45937</v>
      </c>
      <c r="AT83" s="136"/>
      <c r="AU83" s="136"/>
      <c r="AV83" s="136"/>
      <c r="AW83" s="136"/>
      <c r="AX83" s="136"/>
      <c r="AY83" s="136"/>
      <c r="AZ83" s="136"/>
      <c r="BA83" s="136"/>
      <c r="BB83" s="137"/>
      <c r="BC83">
        <v>1</v>
      </c>
      <c r="BF83" s="138" t="str">
        <f>TEXT(AS83,"ddd")</f>
        <v>ter</v>
      </c>
      <c r="BG83" s="139"/>
      <c r="BH83" s="139"/>
      <c r="BI83" s="139"/>
      <c r="BJ83" s="139"/>
      <c r="BK83" s="139"/>
      <c r="BL83" s="139"/>
      <c r="BM83" s="140"/>
    </row>
  </sheetData>
  <sheetProtection autoFilter="0"/>
  <protectedRanges>
    <protectedRange sqref="AG6 AM6 B29:S33 AG70:AG73 AL70:AL73 AL65:AL67 AG65:AG67 AE42 AI42 AM42 AG38 AL38 AG29 AL29 AG22 AL22 P2 G11:AP11" name="Intervalo2"/>
    <protectedRange sqref="AG2" name="Intervalo1_1"/>
  </protectedRanges>
  <autoFilter ref="A6:A19" xr:uid="{00000000-0009-0000-0000-000001000000}">
    <filterColumn colId="0">
      <customFilters>
        <customFilter operator="notEqual" val=" "/>
      </customFilters>
    </filterColumn>
  </autoFilter>
  <mergeCells count="533">
    <mergeCell ref="L3:O3"/>
    <mergeCell ref="P3:AP3"/>
    <mergeCell ref="B5:H5"/>
    <mergeCell ref="I5:AC5"/>
    <mergeCell ref="AD5:AP5"/>
    <mergeCell ref="B6:H6"/>
    <mergeCell ref="I6:AC6"/>
    <mergeCell ref="AD6:AF6"/>
    <mergeCell ref="AG6:AI6"/>
    <mergeCell ref="AJ6:AL6"/>
    <mergeCell ref="B1:K3"/>
    <mergeCell ref="L1:AC1"/>
    <mergeCell ref="AD1:AG1"/>
    <mergeCell ref="AH1:AI1"/>
    <mergeCell ref="AJ1:AL1"/>
    <mergeCell ref="AN1:AP1"/>
    <mergeCell ref="L2:O2"/>
    <mergeCell ref="P2:AC2"/>
    <mergeCell ref="AD2:AF2"/>
    <mergeCell ref="AG2:AP2"/>
    <mergeCell ref="AM6:AP6"/>
    <mergeCell ref="AR6:CA6"/>
    <mergeCell ref="B8:F8"/>
    <mergeCell ref="G8:I8"/>
    <mergeCell ref="J8:L8"/>
    <mergeCell ref="M8:O8"/>
    <mergeCell ref="P8:R8"/>
    <mergeCell ref="S8:U8"/>
    <mergeCell ref="V8:X8"/>
    <mergeCell ref="Y8:AA8"/>
    <mergeCell ref="BM8:BO8"/>
    <mergeCell ref="BP8:BR8"/>
    <mergeCell ref="BS8:BU8"/>
    <mergeCell ref="BV8:BX8"/>
    <mergeCell ref="BY8:CA8"/>
    <mergeCell ref="CC8:CE8"/>
    <mergeCell ref="AU8:AW8"/>
    <mergeCell ref="AX8:AZ8"/>
    <mergeCell ref="BA8:BC8"/>
    <mergeCell ref="BD8:BF8"/>
    <mergeCell ref="BG8:BI8"/>
    <mergeCell ref="BJ8:BL8"/>
    <mergeCell ref="AB9:AD9"/>
    <mergeCell ref="AE9:AG9"/>
    <mergeCell ref="AH9:AJ9"/>
    <mergeCell ref="AK9:AM9"/>
    <mergeCell ref="AU9:AW9"/>
    <mergeCell ref="AX9:AZ9"/>
    <mergeCell ref="BA9:BC9"/>
    <mergeCell ref="BD9:BF9"/>
    <mergeCell ref="AB8:AD8"/>
    <mergeCell ref="AE8:AG8"/>
    <mergeCell ref="AH8:AJ8"/>
    <mergeCell ref="AK8:AM8"/>
    <mergeCell ref="AN8:AP8"/>
    <mergeCell ref="AR8:AT8"/>
    <mergeCell ref="BY9:CA9"/>
    <mergeCell ref="CC9:CE9"/>
    <mergeCell ref="BJ9:BL9"/>
    <mergeCell ref="V9:X9"/>
    <mergeCell ref="Y9:AA9"/>
    <mergeCell ref="AB10:AD10"/>
    <mergeCell ref="AE10:AG10"/>
    <mergeCell ref="AH10:AJ10"/>
    <mergeCell ref="AK10:AM10"/>
    <mergeCell ref="AN10:AP10"/>
    <mergeCell ref="B10:F10"/>
    <mergeCell ref="G10:I10"/>
    <mergeCell ref="J10:L10"/>
    <mergeCell ref="M10:O10"/>
    <mergeCell ref="P10:R10"/>
    <mergeCell ref="S10:U10"/>
    <mergeCell ref="V10:X10"/>
    <mergeCell ref="Y10:AA10"/>
    <mergeCell ref="B9:F9"/>
    <mergeCell ref="G9:I9"/>
    <mergeCell ref="J9:L9"/>
    <mergeCell ref="M9:O9"/>
    <mergeCell ref="P9:R9"/>
    <mergeCell ref="S9:U9"/>
    <mergeCell ref="AK11:AM11"/>
    <mergeCell ref="AN11:AP11"/>
    <mergeCell ref="AB11:AD11"/>
    <mergeCell ref="AE11:AG11"/>
    <mergeCell ref="AH11:AJ11"/>
    <mergeCell ref="BM9:BO9"/>
    <mergeCell ref="BP9:BR9"/>
    <mergeCell ref="BS9:BU9"/>
    <mergeCell ref="BV9:BX9"/>
    <mergeCell ref="AN9:AP9"/>
    <mergeCell ref="AR9:AT9"/>
    <mergeCell ref="BG9:BI9"/>
    <mergeCell ref="B13:F13"/>
    <mergeCell ref="G13:I13"/>
    <mergeCell ref="J13:L13"/>
    <mergeCell ref="M13:O13"/>
    <mergeCell ref="P13:R13"/>
    <mergeCell ref="S13:U13"/>
    <mergeCell ref="V13:X13"/>
    <mergeCell ref="Y13:AA13"/>
    <mergeCell ref="S11:U11"/>
    <mergeCell ref="V11:X11"/>
    <mergeCell ref="Y11:AA11"/>
    <mergeCell ref="B11:F11"/>
    <mergeCell ref="G11:I11"/>
    <mergeCell ref="J11:L11"/>
    <mergeCell ref="M11:O11"/>
    <mergeCell ref="P11:R11"/>
    <mergeCell ref="BV13:BX13"/>
    <mergeCell ref="BY13:CA13"/>
    <mergeCell ref="CC13:CE13"/>
    <mergeCell ref="AU13:AW13"/>
    <mergeCell ref="AX13:AZ13"/>
    <mergeCell ref="BA13:BC13"/>
    <mergeCell ref="BD13:BF13"/>
    <mergeCell ref="BG13:BI13"/>
    <mergeCell ref="BJ13:BL13"/>
    <mergeCell ref="B14:F14"/>
    <mergeCell ref="G14:I14"/>
    <mergeCell ref="J14:L14"/>
    <mergeCell ref="M14:O14"/>
    <mergeCell ref="P14:R14"/>
    <mergeCell ref="S14:U14"/>
    <mergeCell ref="BM13:BO13"/>
    <mergeCell ref="BP13:BR13"/>
    <mergeCell ref="BS13:BU13"/>
    <mergeCell ref="AB13:AD13"/>
    <mergeCell ref="AE13:AG13"/>
    <mergeCell ref="AH13:AJ13"/>
    <mergeCell ref="AK13:AM13"/>
    <mergeCell ref="AN13:AP13"/>
    <mergeCell ref="AR13:AT13"/>
    <mergeCell ref="AX14:AZ14"/>
    <mergeCell ref="BA14:BC14"/>
    <mergeCell ref="BD14:BF14"/>
    <mergeCell ref="V14:X14"/>
    <mergeCell ref="Y14:AA14"/>
    <mergeCell ref="AB14:AD14"/>
    <mergeCell ref="AE14:AG14"/>
    <mergeCell ref="AH14:AJ14"/>
    <mergeCell ref="AK14:AM14"/>
    <mergeCell ref="B17:F17"/>
    <mergeCell ref="G17:I17"/>
    <mergeCell ref="J17:L17"/>
    <mergeCell ref="M17:O17"/>
    <mergeCell ref="P17:R17"/>
    <mergeCell ref="BY14:CA14"/>
    <mergeCell ref="CC14:CE14"/>
    <mergeCell ref="B15:F15"/>
    <mergeCell ref="G15:I15"/>
    <mergeCell ref="J15:L15"/>
    <mergeCell ref="M15:O15"/>
    <mergeCell ref="P15:R15"/>
    <mergeCell ref="S15:U15"/>
    <mergeCell ref="V15:X15"/>
    <mergeCell ref="Y15:AA15"/>
    <mergeCell ref="BG14:BI14"/>
    <mergeCell ref="BJ14:BL14"/>
    <mergeCell ref="BM14:BO14"/>
    <mergeCell ref="BP14:BR14"/>
    <mergeCell ref="BS14:BU14"/>
    <mergeCell ref="BV14:BX14"/>
    <mergeCell ref="AN14:AP14"/>
    <mergeCell ref="AR14:AT14"/>
    <mergeCell ref="AU14:AW14"/>
    <mergeCell ref="Y17:AA17"/>
    <mergeCell ref="AB17:AD17"/>
    <mergeCell ref="AE17:AG17"/>
    <mergeCell ref="AH17:AJ17"/>
    <mergeCell ref="AB15:AD15"/>
    <mergeCell ref="AE15:AG15"/>
    <mergeCell ref="AH15:AJ15"/>
    <mergeCell ref="AK15:AM15"/>
    <mergeCell ref="AN15:AP15"/>
    <mergeCell ref="BV17:BX17"/>
    <mergeCell ref="BY17:CA17"/>
    <mergeCell ref="CC17:CE17"/>
    <mergeCell ref="B18:F18"/>
    <mergeCell ref="G18:I18"/>
    <mergeCell ref="J18:L18"/>
    <mergeCell ref="M18:O18"/>
    <mergeCell ref="P18:R18"/>
    <mergeCell ref="S18:U18"/>
    <mergeCell ref="V18:X18"/>
    <mergeCell ref="BD17:BF17"/>
    <mergeCell ref="BG17:BI17"/>
    <mergeCell ref="BJ17:BL17"/>
    <mergeCell ref="BM17:BO17"/>
    <mergeCell ref="BP17:BR17"/>
    <mergeCell ref="BS17:BU17"/>
    <mergeCell ref="AK17:AM17"/>
    <mergeCell ref="AN17:AP17"/>
    <mergeCell ref="AR17:AT17"/>
    <mergeCell ref="AU17:AW17"/>
    <mergeCell ref="AX17:AZ17"/>
    <mergeCell ref="BA17:BC17"/>
    <mergeCell ref="S17:U17"/>
    <mergeCell ref="V17:X17"/>
    <mergeCell ref="AX18:AZ18"/>
    <mergeCell ref="BA18:BC18"/>
    <mergeCell ref="BD18:BF18"/>
    <mergeCell ref="BG18:BI18"/>
    <mergeCell ref="Y18:AA18"/>
    <mergeCell ref="AB18:AD18"/>
    <mergeCell ref="AE18:AG18"/>
    <mergeCell ref="AH18:AJ18"/>
    <mergeCell ref="AK18:AM18"/>
    <mergeCell ref="AN18:AP18"/>
    <mergeCell ref="AE19:AG19"/>
    <mergeCell ref="AH19:AJ19"/>
    <mergeCell ref="AK19:AM19"/>
    <mergeCell ref="AN19:AP19"/>
    <mergeCell ref="B21:AD21"/>
    <mergeCell ref="AE21:AP21"/>
    <mergeCell ref="CC18:CE18"/>
    <mergeCell ref="B19:F19"/>
    <mergeCell ref="G19:I19"/>
    <mergeCell ref="J19:L19"/>
    <mergeCell ref="M19:O19"/>
    <mergeCell ref="P19:R19"/>
    <mergeCell ref="S19:U19"/>
    <mergeCell ref="V19:X19"/>
    <mergeCell ref="Y19:AA19"/>
    <mergeCell ref="AB19:AD19"/>
    <mergeCell ref="BJ18:BL18"/>
    <mergeCell ref="BM18:BO18"/>
    <mergeCell ref="BP18:BR18"/>
    <mergeCell ref="BS18:BU18"/>
    <mergeCell ref="BV18:BX18"/>
    <mergeCell ref="BY18:CA18"/>
    <mergeCell ref="AR18:AT18"/>
    <mergeCell ref="AU18:AW18"/>
    <mergeCell ref="B25:I25"/>
    <mergeCell ref="J25:AD25"/>
    <mergeCell ref="AE25:AP25"/>
    <mergeCell ref="B26:AD26"/>
    <mergeCell ref="B28:AD28"/>
    <mergeCell ref="AE28:AP28"/>
    <mergeCell ref="AE23:AP23"/>
    <mergeCell ref="AE24:AF24"/>
    <mergeCell ref="AG24:AH24"/>
    <mergeCell ref="AI24:AJ24"/>
    <mergeCell ref="AK24:AL24"/>
    <mergeCell ref="AM24:AN24"/>
    <mergeCell ref="AO24:AP24"/>
    <mergeCell ref="AO31:AP31"/>
    <mergeCell ref="B32:X32"/>
    <mergeCell ref="AE32:AF32"/>
    <mergeCell ref="AG32:AH32"/>
    <mergeCell ref="AI32:AJ32"/>
    <mergeCell ref="AK32:AL32"/>
    <mergeCell ref="AM32:AN32"/>
    <mergeCell ref="AO32:AP32"/>
    <mergeCell ref="G29:X29"/>
    <mergeCell ref="Y29:AD33"/>
    <mergeCell ref="B30:X30"/>
    <mergeCell ref="AE30:AP30"/>
    <mergeCell ref="B31:X31"/>
    <mergeCell ref="AE31:AF31"/>
    <mergeCell ref="AG31:AH31"/>
    <mergeCell ref="AI31:AJ31"/>
    <mergeCell ref="AK31:AL31"/>
    <mergeCell ref="AM31:AN31"/>
    <mergeCell ref="AV37:AX37"/>
    <mergeCell ref="AY37:BB37"/>
    <mergeCell ref="CQ37:CS37"/>
    <mergeCell ref="CT37:CW37"/>
    <mergeCell ref="AV38:AX38"/>
    <mergeCell ref="AY38:BB38"/>
    <mergeCell ref="CQ38:CS38"/>
    <mergeCell ref="CT38:CW38"/>
    <mergeCell ref="B33:X33"/>
    <mergeCell ref="B34:I34"/>
    <mergeCell ref="J34:AD34"/>
    <mergeCell ref="AE34:AP34"/>
    <mergeCell ref="B35:AD35"/>
    <mergeCell ref="B37:AD37"/>
    <mergeCell ref="AE37:AP37"/>
    <mergeCell ref="BA41:BE41"/>
    <mergeCell ref="B42:AD42"/>
    <mergeCell ref="BA42:BE42"/>
    <mergeCell ref="AE39:AP39"/>
    <mergeCell ref="AE40:AF40"/>
    <mergeCell ref="AG40:AH40"/>
    <mergeCell ref="AI40:AJ40"/>
    <mergeCell ref="AK40:AL40"/>
    <mergeCell ref="AM40:AN40"/>
    <mergeCell ref="AO40:AP40"/>
    <mergeCell ref="B44:L44"/>
    <mergeCell ref="M44:O44"/>
    <mergeCell ref="P44:R44"/>
    <mergeCell ref="S44:U44"/>
    <mergeCell ref="V44:AA44"/>
    <mergeCell ref="AB44:AP44"/>
    <mergeCell ref="B41:I41"/>
    <mergeCell ref="J41:AD41"/>
    <mergeCell ref="AE41:AP41"/>
    <mergeCell ref="B47:L47"/>
    <mergeCell ref="M47:U47"/>
    <mergeCell ref="V47:AF47"/>
    <mergeCell ref="AG47:AP47"/>
    <mergeCell ref="BC47:BG47"/>
    <mergeCell ref="C49:AO49"/>
    <mergeCell ref="AR49:CD49"/>
    <mergeCell ref="B45:L45"/>
    <mergeCell ref="M45:U45"/>
    <mergeCell ref="V45:AF45"/>
    <mergeCell ref="AG45:AP45"/>
    <mergeCell ref="AY45:BC45"/>
    <mergeCell ref="B46:L46"/>
    <mergeCell ref="M46:U46"/>
    <mergeCell ref="V46:AF46"/>
    <mergeCell ref="AG46:AP46"/>
    <mergeCell ref="AY46:BC46"/>
    <mergeCell ref="AA50:AC50"/>
    <mergeCell ref="AD50:AF50"/>
    <mergeCell ref="AG50:AI50"/>
    <mergeCell ref="AJ50:AL50"/>
    <mergeCell ref="C50:E50"/>
    <mergeCell ref="F50:H50"/>
    <mergeCell ref="I50:K50"/>
    <mergeCell ref="L50:N50"/>
    <mergeCell ref="O50:Q50"/>
    <mergeCell ref="R50:T50"/>
    <mergeCell ref="BY50:CA50"/>
    <mergeCell ref="CB50:CD50"/>
    <mergeCell ref="C51:E51"/>
    <mergeCell ref="F51:H51"/>
    <mergeCell ref="I51:K51"/>
    <mergeCell ref="L51:N51"/>
    <mergeCell ref="O51:Q51"/>
    <mergeCell ref="R51:T51"/>
    <mergeCell ref="U51:W51"/>
    <mergeCell ref="X51:Z51"/>
    <mergeCell ref="BG50:BI50"/>
    <mergeCell ref="BJ50:BL50"/>
    <mergeCell ref="BM50:BO50"/>
    <mergeCell ref="BP50:BR50"/>
    <mergeCell ref="BS50:BU50"/>
    <mergeCell ref="BV50:BX50"/>
    <mergeCell ref="AM50:AO50"/>
    <mergeCell ref="AR50:AT50"/>
    <mergeCell ref="AU50:AW50"/>
    <mergeCell ref="AX50:AZ50"/>
    <mergeCell ref="BA50:BC50"/>
    <mergeCell ref="BD50:BF50"/>
    <mergeCell ref="U50:W50"/>
    <mergeCell ref="X50:Z50"/>
    <mergeCell ref="BV51:BX51"/>
    <mergeCell ref="BY51:CA51"/>
    <mergeCell ref="CB51:CD51"/>
    <mergeCell ref="AU51:AW51"/>
    <mergeCell ref="AX51:AZ51"/>
    <mergeCell ref="BA51:BC51"/>
    <mergeCell ref="BD51:BF51"/>
    <mergeCell ref="BG51:BI51"/>
    <mergeCell ref="BJ51:BL51"/>
    <mergeCell ref="F52:H52"/>
    <mergeCell ref="I52:K52"/>
    <mergeCell ref="L52:N52"/>
    <mergeCell ref="O52:Q52"/>
    <mergeCell ref="R52:T52"/>
    <mergeCell ref="BM51:BO51"/>
    <mergeCell ref="BP51:BR51"/>
    <mergeCell ref="BS51:BU51"/>
    <mergeCell ref="AA51:AC51"/>
    <mergeCell ref="AD51:AF51"/>
    <mergeCell ref="AG51:AI51"/>
    <mergeCell ref="AJ51:AL51"/>
    <mergeCell ref="AM51:AO51"/>
    <mergeCell ref="AR51:AT51"/>
    <mergeCell ref="AU52:AW52"/>
    <mergeCell ref="AX52:AZ52"/>
    <mergeCell ref="BA52:BC52"/>
    <mergeCell ref="BD52:BF52"/>
    <mergeCell ref="U52:W52"/>
    <mergeCell ref="X52:Z52"/>
    <mergeCell ref="AA52:AC52"/>
    <mergeCell ref="AD52:AF52"/>
    <mergeCell ref="AG52:AI52"/>
    <mergeCell ref="BY52:CA52"/>
    <mergeCell ref="CB52:CD52"/>
    <mergeCell ref="BJ52:BL52"/>
    <mergeCell ref="BM52:BO52"/>
    <mergeCell ref="BP52:BR52"/>
    <mergeCell ref="BS52:BU52"/>
    <mergeCell ref="BV52:BX52"/>
    <mergeCell ref="BM53:BO53"/>
    <mergeCell ref="BP53:BR53"/>
    <mergeCell ref="BS53:BU53"/>
    <mergeCell ref="BV53:BX53"/>
    <mergeCell ref="BY53:CA53"/>
    <mergeCell ref="CB53:CD53"/>
    <mergeCell ref="BJ53:BL53"/>
    <mergeCell ref="C53:E53"/>
    <mergeCell ref="F53:H53"/>
    <mergeCell ref="I53:K53"/>
    <mergeCell ref="L53:N53"/>
    <mergeCell ref="O53:Q53"/>
    <mergeCell ref="R53:T53"/>
    <mergeCell ref="U53:W53"/>
    <mergeCell ref="X53:Z53"/>
    <mergeCell ref="BG52:BI52"/>
    <mergeCell ref="AM52:AO52"/>
    <mergeCell ref="AR52:AT52"/>
    <mergeCell ref="AU53:AW53"/>
    <mergeCell ref="AX53:AZ53"/>
    <mergeCell ref="BA53:BC53"/>
    <mergeCell ref="BD53:BF53"/>
    <mergeCell ref="BG53:BI53"/>
    <mergeCell ref="AJ52:AL52"/>
    <mergeCell ref="AA53:AC53"/>
    <mergeCell ref="AD53:AF53"/>
    <mergeCell ref="AG53:AI53"/>
    <mergeCell ref="AJ53:AL53"/>
    <mergeCell ref="AM53:AO53"/>
    <mergeCell ref="AR53:AT53"/>
    <mergeCell ref="C52:E52"/>
    <mergeCell ref="DI54:DK54"/>
    <mergeCell ref="DL54:DN54"/>
    <mergeCell ref="DO54:DQ54"/>
    <mergeCell ref="B56:V56"/>
    <mergeCell ref="W56:Z56"/>
    <mergeCell ref="AA56:AD56"/>
    <mergeCell ref="AE56:AP56"/>
    <mergeCell ref="CE56:CG56"/>
    <mergeCell ref="CH56:CJ56"/>
    <mergeCell ref="CK56:CM56"/>
    <mergeCell ref="CQ54:CS54"/>
    <mergeCell ref="CT54:CV54"/>
    <mergeCell ref="CW54:CY54"/>
    <mergeCell ref="CZ54:DB54"/>
    <mergeCell ref="DC54:DE54"/>
    <mergeCell ref="DF54:DH54"/>
    <mergeCell ref="B54:W54"/>
    <mergeCell ref="X54:AB54"/>
    <mergeCell ref="CE54:CG54"/>
    <mergeCell ref="CH54:CJ54"/>
    <mergeCell ref="CK54:CM54"/>
    <mergeCell ref="CN54:CP54"/>
    <mergeCell ref="DF56:DH56"/>
    <mergeCell ref="DI56:DK56"/>
    <mergeCell ref="DL56:DN56"/>
    <mergeCell ref="DO56:DQ56"/>
    <mergeCell ref="B57:V57"/>
    <mergeCell ref="W57:Z57"/>
    <mergeCell ref="AA57:AD57"/>
    <mergeCell ref="CE57:CG57"/>
    <mergeCell ref="CH57:CJ57"/>
    <mergeCell ref="CK57:CM57"/>
    <mergeCell ref="CN56:CP56"/>
    <mergeCell ref="CQ56:CS56"/>
    <mergeCell ref="CT56:CV56"/>
    <mergeCell ref="CW56:CY56"/>
    <mergeCell ref="CZ56:DB56"/>
    <mergeCell ref="DC56:DE56"/>
    <mergeCell ref="DF57:DH57"/>
    <mergeCell ref="DI57:DK57"/>
    <mergeCell ref="DL57:DN57"/>
    <mergeCell ref="DO57:DQ57"/>
    <mergeCell ref="CW57:CY57"/>
    <mergeCell ref="CZ57:DB57"/>
    <mergeCell ref="DC57:DE57"/>
    <mergeCell ref="C58:M58"/>
    <mergeCell ref="AV58:AW58"/>
    <mergeCell ref="BA58:BD58"/>
    <mergeCell ref="BH58:BK58"/>
    <mergeCell ref="CE58:CG58"/>
    <mergeCell ref="CH58:CJ58"/>
    <mergeCell ref="CN57:CP57"/>
    <mergeCell ref="CQ57:CS57"/>
    <mergeCell ref="CT57:CV57"/>
    <mergeCell ref="DC58:DE58"/>
    <mergeCell ref="DF58:DH58"/>
    <mergeCell ref="DI58:DK58"/>
    <mergeCell ref="DL58:DN58"/>
    <mergeCell ref="DO58:DQ58"/>
    <mergeCell ref="AV59:AW59"/>
    <mergeCell ref="CK58:CM58"/>
    <mergeCell ref="CN58:CP58"/>
    <mergeCell ref="CQ58:CS58"/>
    <mergeCell ref="CT58:CV58"/>
    <mergeCell ref="CW58:CY58"/>
    <mergeCell ref="CZ58:DB58"/>
    <mergeCell ref="CE60:CG60"/>
    <mergeCell ref="B62:Z62"/>
    <mergeCell ref="AA62:AP62"/>
    <mergeCell ref="B64:M64"/>
    <mergeCell ref="N64:U64"/>
    <mergeCell ref="Y64:AD64"/>
    <mergeCell ref="AE64:AP64"/>
    <mergeCell ref="B60:V60"/>
    <mergeCell ref="W60:Z60"/>
    <mergeCell ref="AA60:AD60"/>
    <mergeCell ref="AV60:AW60"/>
    <mergeCell ref="BA60:BD60"/>
    <mergeCell ref="BH60:BK60"/>
    <mergeCell ref="BB70:BE70"/>
    <mergeCell ref="BI70:BL70"/>
    <mergeCell ref="B75:K75"/>
    <mergeCell ref="L75:W75"/>
    <mergeCell ref="X75:AP75"/>
    <mergeCell ref="AW65:AX65"/>
    <mergeCell ref="BB65:BE65"/>
    <mergeCell ref="BI65:BL65"/>
    <mergeCell ref="AW66:AX66"/>
    <mergeCell ref="AW67:AX67"/>
    <mergeCell ref="BB67:BE67"/>
    <mergeCell ref="BI67:BL67"/>
    <mergeCell ref="B76:K76"/>
    <mergeCell ref="X76:AP76"/>
    <mergeCell ref="B77:K77"/>
    <mergeCell ref="X77:AP77"/>
    <mergeCell ref="B78:K78"/>
    <mergeCell ref="X78:AP78"/>
    <mergeCell ref="B69:AD69"/>
    <mergeCell ref="AE69:AP69"/>
    <mergeCell ref="AW70:AX70"/>
    <mergeCell ref="B83:M83"/>
    <mergeCell ref="N83:W83"/>
    <mergeCell ref="X83:AJ83"/>
    <mergeCell ref="AK83:AP83"/>
    <mergeCell ref="AS83:BB83"/>
    <mergeCell ref="BF83:BM83"/>
    <mergeCell ref="B79:K79"/>
    <mergeCell ref="X79:AP79"/>
    <mergeCell ref="B80:K80"/>
    <mergeCell ref="X80:AP80"/>
    <mergeCell ref="AS81:BB82"/>
    <mergeCell ref="B82:M82"/>
    <mergeCell ref="N82:W82"/>
    <mergeCell ref="X82:AJ82"/>
    <mergeCell ref="AK82:AP82"/>
  </mergeCells>
  <conditionalFormatting sqref="AV38:BB38">
    <cfRule type="cellIs" dxfId="4" priority="1" operator="equal">
      <formula>0</formula>
    </cfRule>
  </conditionalFormatting>
  <dataValidations count="1">
    <dataValidation type="list" allowBlank="1" showInputMessage="1" showErrorMessage="1" sqref="AG6:AI6" xr:uid="{747FAA97-04F1-4587-9519-D66A5689BBA3}">
      <formula1>$BD$1:$BD$3</formula1>
    </dataValidation>
  </dataValidations>
  <printOptions horizontalCentered="1" verticalCentered="1"/>
  <pageMargins left="0.6692913385826772" right="0" top="0" bottom="0" header="0.31496062992125984" footer="0.31496062992125984"/>
  <pageSetup paperSize="9" scale="85" orientation="portrait" r:id="rId1"/>
  <colBreaks count="1" manualBreakCount="1">
    <brk id="42" max="1048575" man="1"/>
  </col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A285-4F2F-490B-947E-85FEE04D4232}">
  <sheetPr filterMode="1"/>
  <dimension ref="A1:DQ83"/>
  <sheetViews>
    <sheetView showGridLines="0" showZeros="0" tabSelected="1" view="pageBreakPreview" zoomScale="205" zoomScaleNormal="130" zoomScaleSheetLayoutView="205" workbookViewId="0">
      <selection activeCell="I6" sqref="I6:AC6"/>
    </sheetView>
  </sheetViews>
  <sheetFormatPr defaultRowHeight="15" x14ac:dyDescent="0.25"/>
  <cols>
    <col min="1" max="1" width="6" customWidth="1"/>
    <col min="2" max="2" width="2" customWidth="1"/>
    <col min="3" max="8" width="2.5703125" customWidth="1"/>
    <col min="9" max="9" width="3.140625" customWidth="1"/>
    <col min="10" max="25" width="2.5703125" customWidth="1"/>
    <col min="26" max="26" width="2.85546875" customWidth="1"/>
    <col min="27" max="29" width="2.5703125" customWidth="1"/>
    <col min="30" max="30" width="3.140625" customWidth="1"/>
    <col min="31" max="42" width="2.5703125" customWidth="1"/>
    <col min="43" max="43" width="3.85546875" customWidth="1"/>
    <col min="44" max="45" width="1.42578125" customWidth="1"/>
    <col min="46" max="46" width="1.5703125" customWidth="1"/>
    <col min="47" max="49" width="1.42578125" customWidth="1"/>
    <col min="50" max="50" width="2.85546875" customWidth="1"/>
    <col min="51" max="51" width="1.5703125" customWidth="1"/>
    <col min="52" max="58" width="1.42578125" customWidth="1"/>
    <col min="59" max="59" width="3.5703125" customWidth="1"/>
    <col min="60" max="78" width="1.42578125" customWidth="1"/>
    <col min="79" max="79" width="1.85546875" customWidth="1"/>
    <col min="80" max="80" width="0.85546875" customWidth="1"/>
    <col min="81" max="82" width="1.42578125" customWidth="1"/>
    <col min="83" max="95" width="1.85546875" customWidth="1"/>
    <col min="96" max="123" width="1.42578125" customWidth="1"/>
  </cols>
  <sheetData>
    <row r="1" spans="1:83" ht="14.1" customHeight="1" x14ac:dyDescent="0.25">
      <c r="B1" s="287"/>
      <c r="C1" s="288"/>
      <c r="D1" s="288"/>
      <c r="E1" s="288"/>
      <c r="F1" s="288"/>
      <c r="G1" s="288"/>
      <c r="H1" s="288"/>
      <c r="I1" s="288"/>
      <c r="J1" s="288"/>
      <c r="K1" s="289"/>
      <c r="L1" s="293" t="s">
        <v>0</v>
      </c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5"/>
      <c r="AD1" s="296" t="s">
        <v>99</v>
      </c>
      <c r="AE1" s="297"/>
      <c r="AF1" s="297"/>
      <c r="AG1" s="297"/>
      <c r="AH1" s="297" t="s">
        <v>82</v>
      </c>
      <c r="AI1" s="297"/>
      <c r="AJ1" s="298">
        <v>1</v>
      </c>
      <c r="AK1" s="298"/>
      <c r="AL1" s="298"/>
      <c r="AM1" s="61" t="s">
        <v>98</v>
      </c>
      <c r="AN1" s="329">
        <v>56</v>
      </c>
      <c r="AO1" s="329"/>
      <c r="AP1" s="330"/>
      <c r="BD1" t="s">
        <v>78</v>
      </c>
      <c r="BM1" t="s">
        <v>133</v>
      </c>
      <c r="BU1" t="s">
        <v>189</v>
      </c>
    </row>
    <row r="2" spans="1:83" ht="14.45" customHeight="1" x14ac:dyDescent="0.25">
      <c r="B2" s="210"/>
      <c r="C2" s="165"/>
      <c r="D2" s="165"/>
      <c r="E2" s="165"/>
      <c r="F2" s="165"/>
      <c r="G2" s="165"/>
      <c r="H2" s="165"/>
      <c r="I2" s="165"/>
      <c r="J2" s="165"/>
      <c r="K2" s="191"/>
      <c r="L2" s="301" t="s">
        <v>1</v>
      </c>
      <c r="M2" s="302"/>
      <c r="N2" s="302"/>
      <c r="O2" s="302"/>
      <c r="P2" s="353" t="str">
        <f>VLOOKUP($AN$1,'plan de data'!$A$3:$AF$289,32,0)</f>
        <v>CONSÓRCIO NOVA ETE - PARQUE NOVO MUNDO</v>
      </c>
      <c r="Q2" s="353"/>
      <c r="R2" s="353"/>
      <c r="S2" s="353"/>
      <c r="T2" s="353"/>
      <c r="U2" s="353"/>
      <c r="V2" s="353"/>
      <c r="W2" s="353"/>
      <c r="X2" s="353"/>
      <c r="Y2" s="353"/>
      <c r="Z2" s="353"/>
      <c r="AA2" s="353"/>
      <c r="AB2" s="353"/>
      <c r="AC2" s="354"/>
      <c r="AD2" s="305" t="s">
        <v>3</v>
      </c>
      <c r="AE2" s="306"/>
      <c r="AF2" s="306"/>
      <c r="AG2" s="357" t="s">
        <v>166</v>
      </c>
      <c r="AH2" s="357"/>
      <c r="AI2" s="357"/>
      <c r="AJ2" s="357"/>
      <c r="AK2" s="357"/>
      <c r="AL2" s="357"/>
      <c r="AM2" s="357"/>
      <c r="AN2" s="357"/>
      <c r="AO2" s="357"/>
      <c r="AP2" s="358"/>
      <c r="AW2" t="s">
        <v>14</v>
      </c>
      <c r="BD2" t="s">
        <v>77</v>
      </c>
      <c r="BM2" t="s">
        <v>134</v>
      </c>
    </row>
    <row r="3" spans="1:83" ht="14.45" customHeight="1" thickBot="1" x14ac:dyDescent="0.3">
      <c r="B3" s="290"/>
      <c r="C3" s="291"/>
      <c r="D3" s="291"/>
      <c r="E3" s="291"/>
      <c r="F3" s="291"/>
      <c r="G3" s="291"/>
      <c r="H3" s="291"/>
      <c r="I3" s="291"/>
      <c r="J3" s="291"/>
      <c r="K3" s="292"/>
      <c r="L3" s="263" t="s">
        <v>2</v>
      </c>
      <c r="M3" s="264"/>
      <c r="N3" s="264"/>
      <c r="O3" s="264"/>
      <c r="P3" s="355" t="str">
        <f>VLOOKUP($AN$1,'plan de data'!$A$3:$AG$289,33,0)</f>
        <v>ETE - PARQUE NOVO MUNDO</v>
      </c>
      <c r="Q3" s="355"/>
      <c r="R3" s="355"/>
      <c r="S3" s="355"/>
      <c r="T3" s="355"/>
      <c r="U3" s="355"/>
      <c r="V3" s="355"/>
      <c r="W3" s="355"/>
      <c r="X3" s="355"/>
      <c r="Y3" s="355"/>
      <c r="Z3" s="355"/>
      <c r="AA3" s="355"/>
      <c r="AB3" s="355"/>
      <c r="AC3" s="355"/>
      <c r="AD3" s="355"/>
      <c r="AE3" s="355"/>
      <c r="AF3" s="355"/>
      <c r="AG3" s="355"/>
      <c r="AH3" s="355"/>
      <c r="AI3" s="355"/>
      <c r="AJ3" s="355"/>
      <c r="AK3" s="355"/>
      <c r="AL3" s="355"/>
      <c r="AM3" s="355"/>
      <c r="AN3" s="355"/>
      <c r="AO3" s="355"/>
      <c r="AP3" s="356"/>
      <c r="AW3" t="s">
        <v>76</v>
      </c>
      <c r="BD3" t="s">
        <v>7</v>
      </c>
    </row>
    <row r="4" spans="1:83" ht="5.0999999999999996" customHeight="1" thickBot="1" x14ac:dyDescent="0.3"/>
    <row r="5" spans="1:83" ht="15.95" customHeight="1" x14ac:dyDescent="0.25">
      <c r="A5" s="39" t="s">
        <v>81</v>
      </c>
      <c r="B5" s="267" t="s">
        <v>4</v>
      </c>
      <c r="C5" s="268"/>
      <c r="D5" s="268"/>
      <c r="E5" s="268"/>
      <c r="F5" s="268"/>
      <c r="G5" s="268"/>
      <c r="H5" s="269"/>
      <c r="I5" s="270" t="s">
        <v>5</v>
      </c>
      <c r="J5" s="271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  <c r="AA5" s="271"/>
      <c r="AB5" s="271"/>
      <c r="AC5" s="272"/>
      <c r="AD5" s="273" t="s">
        <v>6</v>
      </c>
      <c r="AE5" s="274"/>
      <c r="AF5" s="274"/>
      <c r="AG5" s="274"/>
      <c r="AH5" s="274"/>
      <c r="AI5" s="274"/>
      <c r="AJ5" s="274"/>
      <c r="AK5" s="274"/>
      <c r="AL5" s="274"/>
      <c r="AM5" s="274"/>
      <c r="AN5" s="274"/>
      <c r="AO5" s="274"/>
      <c r="AP5" s="275"/>
    </row>
    <row r="6" spans="1:83" ht="15.95" customHeight="1" thickBot="1" x14ac:dyDescent="0.3">
      <c r="B6" s="326">
        <f>VLOOKUP($AN$1,'plan de data'!$A$3:$B$189,2,0)</f>
        <v>45868</v>
      </c>
      <c r="C6" s="327"/>
      <c r="D6" s="327"/>
      <c r="E6" s="327"/>
      <c r="F6" s="327"/>
      <c r="G6" s="327"/>
      <c r="H6" s="328"/>
      <c r="I6" s="359" t="str">
        <f>VLOOKUP($AN$1,'plan de data'!$A$3:$AH$189,34,0)</f>
        <v>REATORES NEREDA</v>
      </c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  <c r="V6" s="360"/>
      <c r="W6" s="360"/>
      <c r="X6" s="360"/>
      <c r="Y6" s="360"/>
      <c r="Z6" s="360"/>
      <c r="AA6" s="360"/>
      <c r="AB6" s="360"/>
      <c r="AC6" s="361"/>
      <c r="AD6" s="282" t="s">
        <v>8</v>
      </c>
      <c r="AE6" s="283"/>
      <c r="AF6" s="283"/>
      <c r="AG6" s="331" t="s">
        <v>77</v>
      </c>
      <c r="AH6" s="331"/>
      <c r="AI6" s="333"/>
      <c r="AJ6" s="286" t="s">
        <v>9</v>
      </c>
      <c r="AK6" s="284"/>
      <c r="AL6" s="284"/>
      <c r="AM6" s="331" t="str">
        <f>VLOOKUP(AN1,'plan de data'!A3:$AE$500,31,0)</f>
        <v>PN-002</v>
      </c>
      <c r="AN6" s="331"/>
      <c r="AO6" s="331"/>
      <c r="AP6" s="332"/>
      <c r="AR6" s="138" t="s">
        <v>79</v>
      </c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39"/>
      <c r="BK6" s="139"/>
      <c r="BL6" s="139"/>
      <c r="BM6" s="139"/>
      <c r="BN6" s="139"/>
      <c r="BO6" s="139"/>
      <c r="BP6" s="139"/>
      <c r="BQ6" s="139"/>
      <c r="BR6" s="139"/>
      <c r="BS6" s="139"/>
      <c r="BT6" s="139"/>
      <c r="BU6" s="139"/>
      <c r="BV6" s="139"/>
      <c r="BW6" s="139"/>
      <c r="BX6" s="139"/>
      <c r="BY6" s="139"/>
      <c r="BZ6" s="139"/>
      <c r="CA6" s="140"/>
    </row>
    <row r="7" spans="1:83" ht="5.45" customHeight="1" thickBot="1" x14ac:dyDescent="0.3">
      <c r="A7" s="38" t="s">
        <v>13</v>
      </c>
    </row>
    <row r="8" spans="1:83" ht="14.1" customHeight="1" x14ac:dyDescent="0.25">
      <c r="A8" s="2" t="str">
        <f>IF($CC$9&gt;0,"X",0)</f>
        <v>X</v>
      </c>
      <c r="B8" s="250" t="s">
        <v>10</v>
      </c>
      <c r="C8" s="251"/>
      <c r="D8" s="251"/>
      <c r="E8" s="251"/>
      <c r="F8" s="251"/>
      <c r="G8" s="260" t="str">
        <f t="shared" ref="G8" si="0">IF(G9=0,"",AR8)</f>
        <v/>
      </c>
      <c r="H8" s="261"/>
      <c r="I8" s="262"/>
      <c r="J8" s="320">
        <f t="shared" ref="J8" si="1">IF(J9=0,"",AU8)</f>
        <v>2</v>
      </c>
      <c r="K8" s="321"/>
      <c r="L8" s="322"/>
      <c r="M8" s="323">
        <f t="shared" ref="M8" si="2">IF(M9=0,"",AX8)</f>
        <v>3</v>
      </c>
      <c r="N8" s="323"/>
      <c r="O8" s="323"/>
      <c r="P8" s="323">
        <f t="shared" ref="P8" si="3">IF(P9=0,"",BA8)</f>
        <v>4</v>
      </c>
      <c r="Q8" s="323"/>
      <c r="R8" s="323"/>
      <c r="S8" s="323">
        <f t="shared" ref="S8" si="4">IF(S9=0,"",BD8)</f>
        <v>5</v>
      </c>
      <c r="T8" s="323"/>
      <c r="U8" s="323"/>
      <c r="V8" s="323">
        <f t="shared" ref="V8" si="5">IF(V9=0,"",BG8)</f>
        <v>6</v>
      </c>
      <c r="W8" s="323"/>
      <c r="X8" s="323"/>
      <c r="Y8" s="323">
        <f t="shared" ref="Y8" si="6">IF(Y9=0,"",BJ8)</f>
        <v>7</v>
      </c>
      <c r="Z8" s="323"/>
      <c r="AA8" s="323"/>
      <c r="AB8" s="323">
        <f t="shared" ref="AB8" si="7">IF(AB9=0,"",BM8)</f>
        <v>8</v>
      </c>
      <c r="AC8" s="323"/>
      <c r="AD8" s="323"/>
      <c r="AE8" s="258" t="str">
        <f t="shared" ref="AE8" si="8">IF(AE9=0,"",BP8)</f>
        <v/>
      </c>
      <c r="AF8" s="258"/>
      <c r="AG8" s="258"/>
      <c r="AH8" s="258" t="str">
        <f t="shared" ref="AH8" si="9">IF(AH9=0,"",BS8)</f>
        <v/>
      </c>
      <c r="AI8" s="258"/>
      <c r="AJ8" s="258"/>
      <c r="AK8" s="258" t="str">
        <f t="shared" ref="AK8" si="10">IF(AK9=0,"",BV8)</f>
        <v/>
      </c>
      <c r="AL8" s="258"/>
      <c r="AM8" s="258"/>
      <c r="AN8" s="258" t="str">
        <f t="shared" ref="AN8" si="11">IF(AN9=0,"",BY8)</f>
        <v/>
      </c>
      <c r="AO8" s="258"/>
      <c r="AP8" s="259"/>
      <c r="AR8" s="151">
        <v>1</v>
      </c>
      <c r="AS8" s="151"/>
      <c r="AT8" s="151"/>
      <c r="AU8" s="151">
        <v>2</v>
      </c>
      <c r="AV8" s="151"/>
      <c r="AW8" s="151"/>
      <c r="AX8" s="151">
        <v>3</v>
      </c>
      <c r="AY8" s="151"/>
      <c r="AZ8" s="151"/>
      <c r="BA8" s="151">
        <v>4</v>
      </c>
      <c r="BB8" s="151"/>
      <c r="BC8" s="151"/>
      <c r="BD8" s="151">
        <v>5</v>
      </c>
      <c r="BE8" s="151"/>
      <c r="BF8" s="151"/>
      <c r="BG8" s="151">
        <v>6</v>
      </c>
      <c r="BH8" s="151"/>
      <c r="BI8" s="151"/>
      <c r="BJ8" s="151">
        <v>7</v>
      </c>
      <c r="BK8" s="151"/>
      <c r="BL8" s="151"/>
      <c r="BM8" s="151">
        <v>8</v>
      </c>
      <c r="BN8" s="151"/>
      <c r="BO8" s="151"/>
      <c r="BP8" s="151">
        <v>9</v>
      </c>
      <c r="BQ8" s="151"/>
      <c r="BR8" s="151"/>
      <c r="BS8" s="151">
        <v>10</v>
      </c>
      <c r="BT8" s="151"/>
      <c r="BU8" s="151"/>
      <c r="BV8" s="151">
        <v>11</v>
      </c>
      <c r="BW8" s="151"/>
      <c r="BX8" s="151"/>
      <c r="BY8" s="151">
        <v>12</v>
      </c>
      <c r="BZ8" s="151"/>
      <c r="CA8" s="151"/>
      <c r="CC8" s="182" t="s">
        <v>80</v>
      </c>
      <c r="CD8" s="183"/>
      <c r="CE8" s="184"/>
    </row>
    <row r="9" spans="1:83" ht="14.1" customHeight="1" x14ac:dyDescent="0.25">
      <c r="A9" s="2" t="str">
        <f t="shared" ref="A9" si="12">IF($CC$9&gt;0,"X",0)</f>
        <v>X</v>
      </c>
      <c r="B9" s="246" t="s">
        <v>11</v>
      </c>
      <c r="C9" s="247"/>
      <c r="D9" s="247"/>
      <c r="E9" s="247"/>
      <c r="F9" s="247"/>
      <c r="G9" s="253">
        <f>VLOOKUP($AN$1,'plan de data'!$A$3:$V$189,4,0)</f>
        <v>0</v>
      </c>
      <c r="H9" s="253"/>
      <c r="I9" s="253"/>
      <c r="J9" s="324" t="str">
        <f>VLOOKUP($AN$1,'plan de data'!$A$3:$V$189,6,0)</f>
        <v>PN-354</v>
      </c>
      <c r="K9" s="324"/>
      <c r="L9" s="324"/>
      <c r="M9" s="324" t="str">
        <f>VLOOKUP($AN$1,'plan de data'!$A$3:$V$189,8,0)</f>
        <v>PN-355</v>
      </c>
      <c r="N9" s="324"/>
      <c r="O9" s="324"/>
      <c r="P9" s="324" t="str">
        <f>VLOOKUP($AN$1,'plan de data'!$A$3:$V$189,10,0)</f>
        <v>PN-356</v>
      </c>
      <c r="Q9" s="324"/>
      <c r="R9" s="324"/>
      <c r="S9" s="324" t="str">
        <f>VLOOKUP($AN$1,'plan de data'!$A$3:$V$189,12,0)</f>
        <v>PN-357</v>
      </c>
      <c r="T9" s="324"/>
      <c r="U9" s="324"/>
      <c r="V9" s="324" t="str">
        <f>VLOOKUP($AN$1,'plan de data'!$A$3:$V$189,14,0)</f>
        <v>PN-358</v>
      </c>
      <c r="W9" s="324"/>
      <c r="X9" s="324"/>
      <c r="Y9" s="324" t="str">
        <f>VLOOKUP($AN$1,'plan de data'!$A$3:$V$189,16,0)</f>
        <v>PN-359</v>
      </c>
      <c r="Z9" s="324"/>
      <c r="AA9" s="324"/>
      <c r="AB9" s="324" t="str">
        <f>VLOOKUP($AN$1,'plan de data'!$A$3:$V$189,18,0)</f>
        <v>PN-360</v>
      </c>
      <c r="AC9" s="324"/>
      <c r="AD9" s="324"/>
      <c r="AE9" s="253">
        <f>VLOOKUP($AN$1,'plan de data'!$A$3:$V$189,20,0)</f>
        <v>0</v>
      </c>
      <c r="AF9" s="253"/>
      <c r="AG9" s="253"/>
      <c r="AH9" s="253">
        <f>VLOOKUP($AN$1,'plan de data'!$A$3:$AA$189,22,0)</f>
        <v>0</v>
      </c>
      <c r="AI9" s="253"/>
      <c r="AJ9" s="253"/>
      <c r="AK9" s="253">
        <f>VLOOKUP($AN$1,'plan de data'!$A$3:$AA$189,24,0)</f>
        <v>0</v>
      </c>
      <c r="AL9" s="253"/>
      <c r="AM9" s="253"/>
      <c r="AN9" s="253">
        <f>VLOOKUP($AN$1,'plan de data'!$A$3:$AA$189,26,0)</f>
        <v>0</v>
      </c>
      <c r="AO9" s="253"/>
      <c r="AP9" s="254"/>
      <c r="AR9" s="151" t="s">
        <v>58</v>
      </c>
      <c r="AS9" s="151"/>
      <c r="AT9" s="151"/>
      <c r="AU9" s="151" t="s">
        <v>58</v>
      </c>
      <c r="AV9" s="151"/>
      <c r="AW9" s="151"/>
      <c r="AX9" s="151" t="s">
        <v>58</v>
      </c>
      <c r="AY9" s="151"/>
      <c r="AZ9" s="151"/>
      <c r="BA9" s="151" t="s">
        <v>13</v>
      </c>
      <c r="BB9" s="151"/>
      <c r="BC9" s="151"/>
      <c r="BD9" s="151" t="s">
        <v>13</v>
      </c>
      <c r="BE9" s="151"/>
      <c r="BF9" s="151"/>
      <c r="BG9" s="151" t="s">
        <v>13</v>
      </c>
      <c r="BH9" s="151"/>
      <c r="BI9" s="151"/>
      <c r="BJ9" s="151" t="s">
        <v>13</v>
      </c>
      <c r="BK9" s="151"/>
      <c r="BL9" s="151"/>
      <c r="BM9" s="151" t="s">
        <v>58</v>
      </c>
      <c r="BN9" s="151"/>
      <c r="BO9" s="151"/>
      <c r="BP9" s="151"/>
      <c r="BQ9" s="151"/>
      <c r="BR9" s="151"/>
      <c r="BS9" s="151"/>
      <c r="BT9" s="151"/>
      <c r="BU9" s="151"/>
      <c r="BV9" s="151"/>
      <c r="BW9" s="151"/>
      <c r="BX9" s="151"/>
      <c r="BY9" s="151"/>
      <c r="BZ9" s="151"/>
      <c r="CA9" s="151"/>
      <c r="CC9" s="178">
        <f>COUNTIF(AR9:CA9,"X")</f>
        <v>8</v>
      </c>
      <c r="CD9" s="179"/>
      <c r="CE9" s="180"/>
    </row>
    <row r="10" spans="1:83" ht="14.1" customHeight="1" x14ac:dyDescent="0.25">
      <c r="A10" s="2"/>
      <c r="B10" s="255" t="s">
        <v>154</v>
      </c>
      <c r="C10" s="256"/>
      <c r="D10" s="256"/>
      <c r="E10" s="256"/>
      <c r="F10" s="257"/>
      <c r="G10" s="253">
        <f>IF(G9="","",VLOOKUP($AN$1,'plan de data'!$A$3:$V$189,5,0))</f>
        <v>0</v>
      </c>
      <c r="H10" s="253"/>
      <c r="I10" s="253"/>
      <c r="J10" s="324" t="str">
        <f>VLOOKUP($AN$1,'plan de data'!$A$3:$V$189,7,0)</f>
        <v>P</v>
      </c>
      <c r="K10" s="324"/>
      <c r="L10" s="324"/>
      <c r="M10" s="324" t="str">
        <f>VLOOKUP($AN$1,'plan de data'!$A$3:$V$189,9,0)</f>
        <v>P</v>
      </c>
      <c r="N10" s="324"/>
      <c r="O10" s="324"/>
      <c r="P10" s="324" t="str">
        <f>VLOOKUP($AN$1,'plan de data'!$A$3:$V$189,11,0)</f>
        <v>P</v>
      </c>
      <c r="Q10" s="324"/>
      <c r="R10" s="324"/>
      <c r="S10" s="324" t="str">
        <f>VLOOKUP($AN$1,'plan de data'!$A$3:$V$189,13,0)</f>
        <v>P</v>
      </c>
      <c r="T10" s="324"/>
      <c r="U10" s="324"/>
      <c r="V10" s="324" t="str">
        <f>VLOOKUP($AN$1,'plan de data'!$A$3:$V$189,15,0)</f>
        <v>P</v>
      </c>
      <c r="W10" s="324"/>
      <c r="X10" s="324"/>
      <c r="Y10" s="324" t="str">
        <f>VLOOKUP($AN$1,'plan de data'!$A$3:$V$189,17,0)</f>
        <v>P</v>
      </c>
      <c r="Z10" s="324"/>
      <c r="AA10" s="324"/>
      <c r="AB10" s="324" t="str">
        <f>VLOOKUP($AN$1,'plan de data'!$A$3:$V$189,19,0)</f>
        <v>P</v>
      </c>
      <c r="AC10" s="324"/>
      <c r="AD10" s="324"/>
      <c r="AE10" s="253">
        <f>VLOOKUP($AN$1,'plan de data'!$A$3:$V$189,21,0)</f>
        <v>0</v>
      </c>
      <c r="AF10" s="253"/>
      <c r="AG10" s="253"/>
      <c r="AH10" s="253">
        <f>VLOOKUP($AN$1,'plan de data'!$A$3:$V$189,21,0)</f>
        <v>0</v>
      </c>
      <c r="AI10" s="253"/>
      <c r="AJ10" s="253"/>
      <c r="AK10" s="253">
        <f>VLOOKUP($AN$1,'plan de data'!$A$3:$V$189,21,0)</f>
        <v>0</v>
      </c>
      <c r="AL10" s="253"/>
      <c r="AM10" s="253"/>
      <c r="AN10" s="253">
        <f>VLOOKUP($AN$1,'plan de data'!$A$3:$V$189,21,0)</f>
        <v>0</v>
      </c>
      <c r="AO10" s="253"/>
      <c r="AP10" s="254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C10" s="79"/>
      <c r="CD10" s="79"/>
      <c r="CE10" s="79"/>
    </row>
    <row r="11" spans="1:83" ht="13.9" customHeight="1" thickBot="1" x14ac:dyDescent="0.3">
      <c r="A11" s="2" t="str">
        <f>IF($CC$9&gt;0,"X",0)</f>
        <v>X</v>
      </c>
      <c r="B11" s="242" t="s">
        <v>12</v>
      </c>
      <c r="C11" s="243"/>
      <c r="D11" s="243"/>
      <c r="E11" s="243"/>
      <c r="F11" s="243"/>
      <c r="G11" s="252"/>
      <c r="H11" s="252"/>
      <c r="I11" s="252"/>
      <c r="J11" s="325" t="str">
        <f t="shared" ref="J11" si="13">IF(J10="","",IF(J10="P","Normal","Especial"))</f>
        <v>Normal</v>
      </c>
      <c r="K11" s="325"/>
      <c r="L11" s="325"/>
      <c r="M11" s="325" t="str">
        <f t="shared" ref="M11" si="14">IF(M10="","",IF(M10="P","Normal","Especial"))</f>
        <v>Normal</v>
      </c>
      <c r="N11" s="325"/>
      <c r="O11" s="325"/>
      <c r="P11" s="325" t="str">
        <f t="shared" ref="P11" si="15">IF(P10="","",IF(P10="P","Normal","Especial"))</f>
        <v>Normal</v>
      </c>
      <c r="Q11" s="325"/>
      <c r="R11" s="325"/>
      <c r="S11" s="325" t="str">
        <f t="shared" ref="S11" si="16">IF(S10="","",IF(S10="P","Normal","Especial"))</f>
        <v>Normal</v>
      </c>
      <c r="T11" s="325"/>
      <c r="U11" s="325"/>
      <c r="V11" s="325" t="str">
        <f t="shared" ref="V11" si="17">IF(V10="","",IF(V10="P","Normal","Especial"))</f>
        <v>Normal</v>
      </c>
      <c r="W11" s="325"/>
      <c r="X11" s="325"/>
      <c r="Y11" s="325" t="str">
        <f t="shared" ref="Y11" si="18">IF(Y10="","",IF(Y10="P","Normal","Especial"))</f>
        <v>Normal</v>
      </c>
      <c r="Z11" s="325"/>
      <c r="AA11" s="325"/>
      <c r="AB11" s="325" t="str">
        <f t="shared" ref="AB11" si="19">IF(AB10="","",IF(AB10="P","Normal","Especial"))</f>
        <v>Normal</v>
      </c>
      <c r="AC11" s="325"/>
      <c r="AD11" s="325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2"/>
    </row>
    <row r="12" spans="1:83" ht="3" customHeight="1" x14ac:dyDescent="0.25">
      <c r="A12" t="str">
        <f>IF($CC$9&gt;0,"X",0)</f>
        <v>X</v>
      </c>
    </row>
    <row r="13" spans="1:83" ht="14.1" hidden="1" customHeight="1" x14ac:dyDescent="0.25">
      <c r="A13" s="2">
        <f>IF($CC$14&gt;0,"X",0)</f>
        <v>0</v>
      </c>
      <c r="B13" s="250" t="s">
        <v>10</v>
      </c>
      <c r="C13" s="251"/>
      <c r="D13" s="251"/>
      <c r="E13" s="251"/>
      <c r="F13" s="251"/>
      <c r="G13" s="248">
        <f>IF(AR14="X",AR13,0)</f>
        <v>0</v>
      </c>
      <c r="H13" s="248"/>
      <c r="I13" s="248"/>
      <c r="J13" s="248">
        <f t="shared" ref="J13" si="20">IF(AU14="X",AU13,0)</f>
        <v>0</v>
      </c>
      <c r="K13" s="248"/>
      <c r="L13" s="248"/>
      <c r="M13" s="248">
        <f t="shared" ref="M13" si="21">IF(AX14="X",AX13,0)</f>
        <v>0</v>
      </c>
      <c r="N13" s="248"/>
      <c r="O13" s="248"/>
      <c r="P13" s="248">
        <f t="shared" ref="P13" si="22">IF(BA14="X",BA13,0)</f>
        <v>0</v>
      </c>
      <c r="Q13" s="248"/>
      <c r="R13" s="248"/>
      <c r="S13" s="248">
        <f t="shared" ref="S13" si="23">IF(BD14="X",BD13,0)</f>
        <v>0</v>
      </c>
      <c r="T13" s="248"/>
      <c r="U13" s="248"/>
      <c r="V13" s="248">
        <f t="shared" ref="V13" si="24">IF(BG14="X",BG13,0)</f>
        <v>0</v>
      </c>
      <c r="W13" s="248"/>
      <c r="X13" s="248"/>
      <c r="Y13" s="248">
        <f t="shared" ref="Y13" si="25">IF(BJ14="X",BJ13,0)</f>
        <v>0</v>
      </c>
      <c r="Z13" s="248"/>
      <c r="AA13" s="248"/>
      <c r="AB13" s="248">
        <f t="shared" ref="AB13" si="26">IF(BM14="X",BM13,0)</f>
        <v>0</v>
      </c>
      <c r="AC13" s="248"/>
      <c r="AD13" s="248"/>
      <c r="AE13" s="248">
        <f t="shared" ref="AE13" si="27">IF(BP14="X",BP13,0)</f>
        <v>0</v>
      </c>
      <c r="AF13" s="248"/>
      <c r="AG13" s="248"/>
      <c r="AH13" s="248">
        <f t="shared" ref="AH13" si="28">IF(BS14="X",BS13,0)</f>
        <v>0</v>
      </c>
      <c r="AI13" s="248"/>
      <c r="AJ13" s="248"/>
      <c r="AK13" s="248">
        <f t="shared" ref="AK13" si="29">IF(BV14="X",BV13,0)</f>
        <v>0</v>
      </c>
      <c r="AL13" s="248"/>
      <c r="AM13" s="248"/>
      <c r="AN13" s="248">
        <f t="shared" ref="AN13" si="30">IF(BY14="X",BY13,0)</f>
        <v>0</v>
      </c>
      <c r="AO13" s="248"/>
      <c r="AP13" s="249"/>
      <c r="AR13" s="151">
        <v>13</v>
      </c>
      <c r="AS13" s="151"/>
      <c r="AT13" s="151"/>
      <c r="AU13" s="151">
        <v>14</v>
      </c>
      <c r="AV13" s="151"/>
      <c r="AW13" s="151"/>
      <c r="AX13" s="151">
        <v>15</v>
      </c>
      <c r="AY13" s="151"/>
      <c r="AZ13" s="151"/>
      <c r="BA13" s="151">
        <v>16</v>
      </c>
      <c r="BB13" s="151"/>
      <c r="BC13" s="151"/>
      <c r="BD13" s="151">
        <v>17</v>
      </c>
      <c r="BE13" s="151"/>
      <c r="BF13" s="151"/>
      <c r="BG13" s="151">
        <v>18</v>
      </c>
      <c r="BH13" s="151"/>
      <c r="BI13" s="151"/>
      <c r="BJ13" s="151">
        <v>19</v>
      </c>
      <c r="BK13" s="151"/>
      <c r="BL13" s="151"/>
      <c r="BM13" s="151">
        <v>20</v>
      </c>
      <c r="BN13" s="151"/>
      <c r="BO13" s="151"/>
      <c r="BP13" s="151">
        <v>21</v>
      </c>
      <c r="BQ13" s="151"/>
      <c r="BR13" s="151"/>
      <c r="BS13" s="151">
        <v>22</v>
      </c>
      <c r="BT13" s="151"/>
      <c r="BU13" s="151"/>
      <c r="BV13" s="151">
        <v>23</v>
      </c>
      <c r="BW13" s="151"/>
      <c r="BX13" s="151"/>
      <c r="BY13" s="151">
        <v>24</v>
      </c>
      <c r="BZ13" s="151"/>
      <c r="CA13" s="151"/>
      <c r="CC13" s="182" t="s">
        <v>80</v>
      </c>
      <c r="CD13" s="183"/>
      <c r="CE13" s="184"/>
    </row>
    <row r="14" spans="1:83" ht="14.1" hidden="1" customHeight="1" x14ac:dyDescent="0.25">
      <c r="A14" s="2">
        <f t="shared" ref="A14" si="31">IF($CC$14&gt;0,"X",0)</f>
        <v>0</v>
      </c>
      <c r="B14" s="246" t="s">
        <v>11</v>
      </c>
      <c r="C14" s="247"/>
      <c r="D14" s="247"/>
      <c r="E14" s="247"/>
      <c r="F14" s="247"/>
      <c r="G14" s="244"/>
      <c r="H14" s="244"/>
      <c r="I14" s="244"/>
      <c r="J14" s="244"/>
      <c r="K14" s="244"/>
      <c r="L14" s="244"/>
      <c r="M14" s="244"/>
      <c r="N14" s="244"/>
      <c r="O14" s="244"/>
      <c r="P14" s="244"/>
      <c r="Q14" s="244"/>
      <c r="R14" s="244"/>
      <c r="S14" s="244"/>
      <c r="T14" s="244"/>
      <c r="U14" s="244"/>
      <c r="V14" s="244"/>
      <c r="W14" s="244"/>
      <c r="X14" s="244"/>
      <c r="Y14" s="244"/>
      <c r="Z14" s="244"/>
      <c r="AA14" s="244"/>
      <c r="AB14" s="244"/>
      <c r="AC14" s="244"/>
      <c r="AD14" s="244"/>
      <c r="AE14" s="244"/>
      <c r="AF14" s="244"/>
      <c r="AG14" s="244"/>
      <c r="AH14" s="244"/>
      <c r="AI14" s="244"/>
      <c r="AJ14" s="244"/>
      <c r="AK14" s="244"/>
      <c r="AL14" s="244"/>
      <c r="AM14" s="244"/>
      <c r="AN14" s="244"/>
      <c r="AO14" s="244"/>
      <c r="AP14" s="245"/>
      <c r="AR14" s="151"/>
      <c r="AS14" s="151"/>
      <c r="AT14" s="151"/>
      <c r="AU14" s="151"/>
      <c r="AV14" s="151"/>
      <c r="AW14" s="151"/>
      <c r="AX14" s="151"/>
      <c r="AY14" s="151"/>
      <c r="AZ14" s="151"/>
      <c r="BA14" s="151"/>
      <c r="BB14" s="151"/>
      <c r="BC14" s="151"/>
      <c r="BD14" s="151"/>
      <c r="BE14" s="151"/>
      <c r="BF14" s="151"/>
      <c r="BG14" s="151"/>
      <c r="BH14" s="151"/>
      <c r="BI14" s="151"/>
      <c r="BJ14" s="151"/>
      <c r="BK14" s="151"/>
      <c r="BL14" s="151"/>
      <c r="BM14" s="151"/>
      <c r="BN14" s="151"/>
      <c r="BO14" s="151"/>
      <c r="BP14" s="151"/>
      <c r="BQ14" s="151"/>
      <c r="BR14" s="151"/>
      <c r="BS14" s="151"/>
      <c r="BT14" s="151"/>
      <c r="BU14" s="151"/>
      <c r="BV14" s="151"/>
      <c r="BW14" s="151"/>
      <c r="BX14" s="151"/>
      <c r="BY14" s="151"/>
      <c r="BZ14" s="151"/>
      <c r="CA14" s="151"/>
      <c r="CC14" s="178">
        <f>COUNTIF(AR14:CA14,"X")</f>
        <v>0</v>
      </c>
      <c r="CD14" s="179"/>
      <c r="CE14" s="180"/>
    </row>
    <row r="15" spans="1:83" ht="14.1" hidden="1" customHeight="1" thickBot="1" x14ac:dyDescent="0.3">
      <c r="A15" s="2">
        <f>IF($CC$14&gt;0,"X",0)</f>
        <v>0</v>
      </c>
      <c r="B15" s="242" t="s">
        <v>12</v>
      </c>
      <c r="C15" s="243"/>
      <c r="D15" s="243"/>
      <c r="E15" s="243"/>
      <c r="F15" s="243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  <c r="AO15" s="240"/>
      <c r="AP15" s="241"/>
    </row>
    <row r="16" spans="1:83" ht="3" hidden="1" customHeight="1" thickBot="1" x14ac:dyDescent="0.3">
      <c r="A16">
        <f>IF($CC$14&gt;0,"X",0)</f>
        <v>0</v>
      </c>
    </row>
    <row r="17" spans="1:83" ht="14.1" hidden="1" customHeight="1" x14ac:dyDescent="0.25">
      <c r="A17" s="2">
        <f>IF($CC$18&gt;0,"X",0)</f>
        <v>0</v>
      </c>
      <c r="B17" s="250" t="s">
        <v>10</v>
      </c>
      <c r="C17" s="251"/>
      <c r="D17" s="251"/>
      <c r="E17" s="251"/>
      <c r="F17" s="251"/>
      <c r="G17" s="248">
        <f>IF(AR18="X",AR17,0)</f>
        <v>0</v>
      </c>
      <c r="H17" s="248"/>
      <c r="I17" s="248"/>
      <c r="J17" s="248">
        <f t="shared" ref="J17" si="32">IF(AU18="X",AU17,0)</f>
        <v>0</v>
      </c>
      <c r="K17" s="248"/>
      <c r="L17" s="248"/>
      <c r="M17" s="248">
        <f t="shared" ref="M17" si="33">IF(AX18="X",AX17,0)</f>
        <v>0</v>
      </c>
      <c r="N17" s="248"/>
      <c r="O17" s="248"/>
      <c r="P17" s="248">
        <f t="shared" ref="P17" si="34">IF(BA18="X",BA17,0)</f>
        <v>0</v>
      </c>
      <c r="Q17" s="248"/>
      <c r="R17" s="248"/>
      <c r="S17" s="248">
        <f t="shared" ref="S17" si="35">IF(BD18="X",BD17,0)</f>
        <v>0</v>
      </c>
      <c r="T17" s="248"/>
      <c r="U17" s="248"/>
      <c r="V17" s="248">
        <f t="shared" ref="V17" si="36">IF(BG18="X",BG17,0)</f>
        <v>0</v>
      </c>
      <c r="W17" s="248"/>
      <c r="X17" s="248"/>
      <c r="Y17" s="248">
        <f t="shared" ref="Y17" si="37">IF(BJ18="X",BJ17,0)</f>
        <v>0</v>
      </c>
      <c r="Z17" s="248"/>
      <c r="AA17" s="248"/>
      <c r="AB17" s="248">
        <f t="shared" ref="AB17" si="38">IF(BM18="X",BM17,0)</f>
        <v>0</v>
      </c>
      <c r="AC17" s="248"/>
      <c r="AD17" s="248"/>
      <c r="AE17" s="248">
        <f t="shared" ref="AE17" si="39">IF(BP18="X",BP17,0)</f>
        <v>0</v>
      </c>
      <c r="AF17" s="248"/>
      <c r="AG17" s="248"/>
      <c r="AH17" s="248">
        <f t="shared" ref="AH17" si="40">IF(BS18="X",BS17,0)</f>
        <v>0</v>
      </c>
      <c r="AI17" s="248"/>
      <c r="AJ17" s="248"/>
      <c r="AK17" s="248">
        <f t="shared" ref="AK17" si="41">IF(BV18="X",BV17,0)</f>
        <v>0</v>
      </c>
      <c r="AL17" s="248"/>
      <c r="AM17" s="248"/>
      <c r="AN17" s="248">
        <f t="shared" ref="AN17" si="42">IF(BY18="X",BY17,0)</f>
        <v>0</v>
      </c>
      <c r="AO17" s="248"/>
      <c r="AP17" s="249"/>
      <c r="AR17" s="151">
        <v>25</v>
      </c>
      <c r="AS17" s="151"/>
      <c r="AT17" s="151"/>
      <c r="AU17" s="151">
        <v>26</v>
      </c>
      <c r="AV17" s="151"/>
      <c r="AW17" s="151"/>
      <c r="AX17" s="151">
        <v>27</v>
      </c>
      <c r="AY17" s="151"/>
      <c r="AZ17" s="151"/>
      <c r="BA17" s="151">
        <v>28</v>
      </c>
      <c r="BB17" s="151"/>
      <c r="BC17" s="151"/>
      <c r="BD17" s="151">
        <v>29</v>
      </c>
      <c r="BE17" s="151"/>
      <c r="BF17" s="151"/>
      <c r="BG17" s="151">
        <v>30</v>
      </c>
      <c r="BH17" s="151"/>
      <c r="BI17" s="151"/>
      <c r="BJ17" s="151">
        <v>31</v>
      </c>
      <c r="BK17" s="151"/>
      <c r="BL17" s="151"/>
      <c r="BM17" s="151">
        <v>32</v>
      </c>
      <c r="BN17" s="151"/>
      <c r="BO17" s="151"/>
      <c r="BP17" s="151">
        <v>33</v>
      </c>
      <c r="BQ17" s="151"/>
      <c r="BR17" s="151"/>
      <c r="BS17" s="151">
        <v>34</v>
      </c>
      <c r="BT17" s="151"/>
      <c r="BU17" s="151"/>
      <c r="BV17" s="151">
        <v>35</v>
      </c>
      <c r="BW17" s="151"/>
      <c r="BX17" s="151"/>
      <c r="BY17" s="151">
        <v>36</v>
      </c>
      <c r="BZ17" s="151"/>
      <c r="CA17" s="151"/>
      <c r="CC17" s="182" t="s">
        <v>80</v>
      </c>
      <c r="CD17" s="183"/>
      <c r="CE17" s="184"/>
    </row>
    <row r="18" spans="1:83" ht="14.1" hidden="1" customHeight="1" x14ac:dyDescent="0.25">
      <c r="A18" s="2">
        <f t="shared" ref="A18:A19" si="43">IF($CC$18&gt;0,"X",0)</f>
        <v>0</v>
      </c>
      <c r="B18" s="246" t="s">
        <v>11</v>
      </c>
      <c r="C18" s="247"/>
      <c r="D18" s="247"/>
      <c r="E18" s="247"/>
      <c r="F18" s="247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44"/>
      <c r="Y18" s="244"/>
      <c r="Z18" s="244"/>
      <c r="AA18" s="244"/>
      <c r="AB18" s="244"/>
      <c r="AC18" s="244"/>
      <c r="AD18" s="244"/>
      <c r="AE18" s="244"/>
      <c r="AF18" s="244"/>
      <c r="AG18" s="244"/>
      <c r="AH18" s="244"/>
      <c r="AI18" s="244"/>
      <c r="AJ18" s="244"/>
      <c r="AK18" s="244"/>
      <c r="AL18" s="244"/>
      <c r="AM18" s="244"/>
      <c r="AN18" s="244"/>
      <c r="AO18" s="244"/>
      <c r="AP18" s="245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  <c r="BB18" s="151"/>
      <c r="BC18" s="151"/>
      <c r="BD18" s="151"/>
      <c r="BE18" s="151"/>
      <c r="BF18" s="151"/>
      <c r="BG18" s="151"/>
      <c r="BH18" s="151"/>
      <c r="BI18" s="151"/>
      <c r="BJ18" s="151"/>
      <c r="BK18" s="151"/>
      <c r="BL18" s="151"/>
      <c r="BM18" s="151"/>
      <c r="BN18" s="151"/>
      <c r="BO18" s="151"/>
      <c r="BP18" s="151"/>
      <c r="BQ18" s="151"/>
      <c r="BR18" s="151"/>
      <c r="BS18" s="151"/>
      <c r="BT18" s="151"/>
      <c r="BU18" s="151"/>
      <c r="BV18" s="151"/>
      <c r="BW18" s="151"/>
      <c r="BX18" s="151"/>
      <c r="BY18" s="151"/>
      <c r="BZ18" s="151"/>
      <c r="CA18" s="151"/>
      <c r="CC18" s="178">
        <f>COUNTIF(AR18:CA18,"X")</f>
        <v>0</v>
      </c>
      <c r="CD18" s="179"/>
      <c r="CE18" s="180"/>
    </row>
    <row r="19" spans="1:83" ht="14.1" hidden="1" customHeight="1" thickBot="1" x14ac:dyDescent="0.3">
      <c r="A19" s="2">
        <f t="shared" si="43"/>
        <v>0</v>
      </c>
      <c r="B19" s="242" t="s">
        <v>12</v>
      </c>
      <c r="C19" s="243"/>
      <c r="D19" s="243"/>
      <c r="E19" s="243"/>
      <c r="F19" s="243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  <c r="AH19" s="240"/>
      <c r="AI19" s="240"/>
      <c r="AJ19" s="240"/>
      <c r="AK19" s="240"/>
      <c r="AL19" s="240"/>
      <c r="AM19" s="240"/>
      <c r="AN19" s="240"/>
      <c r="AO19" s="240"/>
      <c r="AP19" s="241"/>
    </row>
    <row r="20" spans="1:83" ht="3" customHeight="1" thickBot="1" x14ac:dyDescent="0.3"/>
    <row r="21" spans="1:83" ht="14.1" customHeight="1" x14ac:dyDescent="0.25">
      <c r="B21" s="157" t="s">
        <v>15</v>
      </c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9"/>
      <c r="AE21" s="160" t="s">
        <v>16</v>
      </c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2"/>
    </row>
    <row r="22" spans="1:83" ht="14.1" customHeight="1" x14ac:dyDescent="0.25">
      <c r="B22" s="16"/>
      <c r="C22" s="113" t="s">
        <v>85</v>
      </c>
      <c r="D22" s="6"/>
      <c r="E22" s="5"/>
      <c r="F22" s="5"/>
      <c r="G22" s="5"/>
      <c r="H22" s="5"/>
      <c r="I22" s="5"/>
      <c r="J22" s="5"/>
      <c r="K22" s="6"/>
      <c r="L22" s="6"/>
      <c r="M22" s="6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8"/>
      <c r="AE22" s="2"/>
      <c r="AF22" s="3"/>
      <c r="AG22" s="91" t="s">
        <v>58</v>
      </c>
      <c r="AH22" s="44" t="s">
        <v>17</v>
      </c>
      <c r="AI22" s="45"/>
      <c r="AJ22" s="46"/>
      <c r="AK22" s="47"/>
      <c r="AL22" s="48"/>
      <c r="AM22" s="44" t="s">
        <v>18</v>
      </c>
      <c r="AN22" s="45"/>
      <c r="AO22" s="14"/>
      <c r="AP22" s="17"/>
    </row>
    <row r="23" spans="1:83" ht="14.1" customHeight="1" x14ac:dyDescent="0.25">
      <c r="B23" s="18"/>
      <c r="C23" s="10" t="s">
        <v>63</v>
      </c>
      <c r="D23" s="10"/>
      <c r="E23" s="9"/>
      <c r="F23" s="9"/>
      <c r="G23" s="9"/>
      <c r="H23" s="9"/>
      <c r="I23" s="9"/>
      <c r="J23" s="9"/>
      <c r="K23" s="10"/>
      <c r="L23" s="10"/>
      <c r="M23" s="10"/>
      <c r="AD23" s="11"/>
      <c r="AE23" s="138" t="s">
        <v>65</v>
      </c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64"/>
    </row>
    <row r="24" spans="1:83" ht="14.1" customHeight="1" x14ac:dyDescent="0.25">
      <c r="B24" s="19"/>
      <c r="C24" t="s">
        <v>113</v>
      </c>
      <c r="AD24" s="1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216"/>
    </row>
    <row r="25" spans="1:83" ht="14.1" customHeight="1" x14ac:dyDescent="0.25">
      <c r="B25" s="239" t="s">
        <v>64</v>
      </c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1"/>
      <c r="AE25" s="138" t="s">
        <v>19</v>
      </c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64"/>
    </row>
    <row r="26" spans="1:83" ht="14.1" customHeight="1" thickBot="1" x14ac:dyDescent="0.3">
      <c r="B26" s="213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  <c r="Y26" s="214"/>
      <c r="Z26" s="214"/>
      <c r="AA26" s="214"/>
      <c r="AB26" s="214"/>
      <c r="AC26" s="214"/>
      <c r="AD26" s="215"/>
      <c r="AE26" s="49"/>
      <c r="AF26" s="21" t="s">
        <v>20</v>
      </c>
      <c r="AG26" s="21"/>
      <c r="AH26" s="21"/>
      <c r="AI26" s="49"/>
      <c r="AJ26" s="21" t="s">
        <v>21</v>
      </c>
      <c r="AK26" s="21"/>
      <c r="AL26" s="21"/>
      <c r="AM26" s="49"/>
      <c r="AN26" s="21" t="s">
        <v>22</v>
      </c>
      <c r="AO26" s="21"/>
      <c r="AP26" s="22"/>
    </row>
    <row r="27" spans="1:83" ht="3.95" customHeight="1" thickBot="1" x14ac:dyDescent="0.3"/>
    <row r="28" spans="1:83" ht="14.1" customHeight="1" x14ac:dyDescent="0.25">
      <c r="B28" s="157" t="s">
        <v>23</v>
      </c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 t="s">
        <v>93</v>
      </c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9"/>
      <c r="AE28" s="160" t="s">
        <v>16</v>
      </c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2"/>
    </row>
    <row r="29" spans="1:83" ht="14.1" customHeight="1" x14ac:dyDescent="0.25">
      <c r="B29" s="310" t="s">
        <v>235</v>
      </c>
      <c r="C29" s="311"/>
      <c r="D29" s="311"/>
      <c r="E29" s="311"/>
      <c r="F29" s="311"/>
      <c r="G29" s="312" t="s">
        <v>399</v>
      </c>
      <c r="H29" s="312"/>
      <c r="I29" s="312"/>
      <c r="J29" s="312"/>
      <c r="K29" s="312"/>
      <c r="L29" s="312"/>
      <c r="M29" s="312"/>
      <c r="N29" s="312"/>
      <c r="O29" s="312"/>
      <c r="P29" s="312"/>
      <c r="Q29" s="312"/>
      <c r="R29" s="312"/>
      <c r="S29" s="312"/>
      <c r="T29" s="312"/>
      <c r="U29" s="312"/>
      <c r="V29" s="312"/>
      <c r="W29" s="312"/>
      <c r="X29" s="313"/>
      <c r="Y29" s="230" t="s">
        <v>75</v>
      </c>
      <c r="Z29" s="231"/>
      <c r="AA29" s="231"/>
      <c r="AB29" s="231"/>
      <c r="AC29" s="231"/>
      <c r="AD29" s="232"/>
      <c r="AE29" s="2"/>
      <c r="AF29" s="3"/>
      <c r="AG29" s="91" t="s">
        <v>58</v>
      </c>
      <c r="AH29" s="44" t="s">
        <v>17</v>
      </c>
      <c r="AI29" s="45"/>
      <c r="AJ29" s="46"/>
      <c r="AK29" s="47"/>
      <c r="AL29" s="48"/>
      <c r="AM29" s="44" t="s">
        <v>18</v>
      </c>
      <c r="AN29" s="45"/>
      <c r="AO29" s="14"/>
      <c r="AP29" s="17"/>
    </row>
    <row r="30" spans="1:83" ht="14.1" customHeight="1" x14ac:dyDescent="0.25">
      <c r="B30" s="314" t="s">
        <v>398</v>
      </c>
      <c r="C30" s="315"/>
      <c r="D30" s="315"/>
      <c r="E30" s="315"/>
      <c r="F30" s="315"/>
      <c r="G30" s="315"/>
      <c r="H30" s="315"/>
      <c r="I30" s="315"/>
      <c r="J30" s="315"/>
      <c r="K30" s="315"/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15"/>
      <c r="X30" s="316"/>
      <c r="Y30" s="233"/>
      <c r="Z30" s="234"/>
      <c r="AA30" s="234"/>
      <c r="AB30" s="234"/>
      <c r="AC30" s="234"/>
      <c r="AD30" s="235"/>
      <c r="AE30" s="138" t="s">
        <v>65</v>
      </c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64"/>
    </row>
    <row r="31" spans="1:83" ht="14.1" customHeight="1" x14ac:dyDescent="0.25">
      <c r="B31" s="314" t="s">
        <v>401</v>
      </c>
      <c r="C31" s="315"/>
      <c r="D31" s="315"/>
      <c r="E31" s="315"/>
      <c r="F31" s="315"/>
      <c r="G31" s="315"/>
      <c r="H31" s="315"/>
      <c r="I31" s="315"/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5"/>
      <c r="U31" s="315"/>
      <c r="V31" s="315"/>
      <c r="W31" s="315"/>
      <c r="X31" s="316"/>
      <c r="Y31" s="233"/>
      <c r="Z31" s="234"/>
      <c r="AA31" s="234"/>
      <c r="AB31" s="234"/>
      <c r="AC31" s="234"/>
      <c r="AD31" s="235"/>
      <c r="AE31" s="138"/>
      <c r="AF31" s="140"/>
      <c r="AG31" s="138"/>
      <c r="AH31" s="140"/>
      <c r="AI31" s="138"/>
      <c r="AJ31" s="140"/>
      <c r="AK31" s="138"/>
      <c r="AL31" s="140"/>
      <c r="AM31" s="138"/>
      <c r="AN31" s="140"/>
      <c r="AO31" s="138"/>
      <c r="AP31" s="140"/>
    </row>
    <row r="32" spans="1:83" ht="14.1" customHeight="1" x14ac:dyDescent="0.25">
      <c r="B32" s="314" t="s">
        <v>400</v>
      </c>
      <c r="C32" s="315"/>
      <c r="D32" s="315"/>
      <c r="E32" s="315"/>
      <c r="F32" s="315"/>
      <c r="G32" s="315"/>
      <c r="H32" s="315"/>
      <c r="I32" s="315"/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15"/>
      <c r="X32" s="316"/>
      <c r="Y32" s="233"/>
      <c r="Z32" s="234"/>
      <c r="AA32" s="234"/>
      <c r="AB32" s="234"/>
      <c r="AC32" s="234"/>
      <c r="AD32" s="235"/>
      <c r="AE32" s="138"/>
      <c r="AF32" s="140"/>
      <c r="AG32" s="138"/>
      <c r="AH32" s="140"/>
      <c r="AI32" s="138"/>
      <c r="AJ32" s="140"/>
      <c r="AK32" s="138"/>
      <c r="AL32" s="140"/>
      <c r="AM32" s="138"/>
      <c r="AN32" s="140"/>
      <c r="AO32" s="138"/>
      <c r="AP32" s="140"/>
    </row>
    <row r="33" spans="1:101" ht="14.1" customHeight="1" x14ac:dyDescent="0.25">
      <c r="B33" s="317" t="s">
        <v>402</v>
      </c>
      <c r="C33" s="318"/>
      <c r="D33" s="318"/>
      <c r="E33" s="318"/>
      <c r="F33" s="318"/>
      <c r="G33" s="318"/>
      <c r="H33" s="318"/>
      <c r="I33" s="318"/>
      <c r="J33" s="318"/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9"/>
      <c r="Y33" s="236"/>
      <c r="Z33" s="237"/>
      <c r="AA33" s="237"/>
      <c r="AB33" s="237"/>
      <c r="AC33" s="237"/>
      <c r="AD33" s="238"/>
      <c r="AE33" s="59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60"/>
    </row>
    <row r="34" spans="1:101" x14ac:dyDescent="0.25">
      <c r="B34" s="196" t="s">
        <v>64</v>
      </c>
      <c r="C34" s="183"/>
      <c r="D34" s="183"/>
      <c r="E34" s="183"/>
      <c r="F34" s="183"/>
      <c r="G34" s="183"/>
      <c r="H34" s="183"/>
      <c r="I34" s="183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1"/>
      <c r="AE34" s="138" t="s">
        <v>19</v>
      </c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64"/>
    </row>
    <row r="35" spans="1:101" ht="14.1" customHeight="1" thickBot="1" x14ac:dyDescent="0.3">
      <c r="B35" s="213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214"/>
      <c r="Y35" s="214"/>
      <c r="Z35" s="214"/>
      <c r="AA35" s="214"/>
      <c r="AB35" s="214"/>
      <c r="AC35" s="214"/>
      <c r="AD35" s="215"/>
      <c r="AE35" s="49"/>
      <c r="AF35" s="21" t="s">
        <v>20</v>
      </c>
      <c r="AG35" s="21"/>
      <c r="AH35" s="21"/>
      <c r="AI35" s="49"/>
      <c r="AJ35" s="21" t="s">
        <v>21</v>
      </c>
      <c r="AK35" s="21"/>
      <c r="AL35" s="21"/>
      <c r="AM35" s="49"/>
      <c r="AN35" s="21" t="s">
        <v>22</v>
      </c>
      <c r="AO35" s="21"/>
      <c r="AP35" s="22"/>
    </row>
    <row r="36" spans="1:101" ht="3.95" customHeight="1" thickBot="1" x14ac:dyDescent="0.3"/>
    <row r="37" spans="1:101" ht="14.1" customHeight="1" x14ac:dyDescent="0.25">
      <c r="B37" s="222" t="s">
        <v>24</v>
      </c>
      <c r="C37" s="223"/>
      <c r="D37" s="223"/>
      <c r="E37" s="223"/>
      <c r="F37" s="223"/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3"/>
      <c r="AA37" s="223"/>
      <c r="AB37" s="223"/>
      <c r="AC37" s="223"/>
      <c r="AD37" s="224"/>
      <c r="AE37" s="160" t="s">
        <v>16</v>
      </c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2"/>
      <c r="AV37" s="182" t="s">
        <v>102</v>
      </c>
      <c r="AW37" s="183"/>
      <c r="AX37" s="183"/>
      <c r="AY37" s="182" t="s">
        <v>103</v>
      </c>
      <c r="AZ37" s="183"/>
      <c r="BA37" s="183"/>
      <c r="BB37" s="184"/>
      <c r="CQ37" s="182" t="s">
        <v>102</v>
      </c>
      <c r="CR37" s="183"/>
      <c r="CS37" s="183"/>
      <c r="CT37" s="182" t="s">
        <v>103</v>
      </c>
      <c r="CU37" s="183"/>
      <c r="CV37" s="183"/>
      <c r="CW37" s="184"/>
    </row>
    <row r="38" spans="1:101" ht="14.1" customHeight="1" x14ac:dyDescent="0.25">
      <c r="A38" s="64"/>
      <c r="B38" s="73" t="str">
        <f>IF(A38="X","Embutidos FTK e chapas inox estão com dimensionais e posições conforme pré-estabelecido","Embutidos FTK  estão com dimensionais e posições conforme pré-estabelecido")</f>
        <v>Embutidos FTK  estão com dimensionais e posições conforme pré-estabelecido</v>
      </c>
      <c r="C38" s="15"/>
      <c r="D38" s="6"/>
      <c r="E38" s="5"/>
      <c r="F38" s="5"/>
      <c r="G38" s="5"/>
      <c r="H38" s="5"/>
      <c r="I38" s="5"/>
      <c r="J38" s="5"/>
      <c r="K38" s="6"/>
      <c r="L38" s="6"/>
      <c r="M38" s="6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8"/>
      <c r="AE38" s="3"/>
      <c r="AF38" s="3"/>
      <c r="AG38" s="91" t="s">
        <v>58</v>
      </c>
      <c r="AH38" s="44" t="s">
        <v>17</v>
      </c>
      <c r="AI38" s="45"/>
      <c r="AJ38" s="46"/>
      <c r="AK38" s="47"/>
      <c r="AL38" s="48"/>
      <c r="AM38" s="44" t="s">
        <v>18</v>
      </c>
      <c r="AN38" s="45"/>
      <c r="AO38" s="14"/>
      <c r="AP38" s="17"/>
      <c r="AV38" s="178">
        <f>VLOOKUP($B$46,CA!$Y$3:$AF$188,8,0)</f>
        <v>197.9</v>
      </c>
      <c r="AW38" s="179"/>
      <c r="AX38" s="179"/>
      <c r="AY38" s="178">
        <f>VLOOKUP($B$46,CA!$Y$3:$AF$188,7,0)</f>
        <v>100</v>
      </c>
      <c r="AZ38" s="179"/>
      <c r="BA38" s="179"/>
      <c r="BB38" s="180"/>
      <c r="CQ38" s="178">
        <f>IF(AV38=0,AY46,AV38)</f>
        <v>197.9</v>
      </c>
      <c r="CR38" s="179"/>
      <c r="CS38" s="179"/>
      <c r="CT38" s="178">
        <f>IF(AY38=0,AY45,AY38)</f>
        <v>100</v>
      </c>
      <c r="CU38" s="179"/>
      <c r="CV38" s="179"/>
      <c r="CW38" s="180"/>
    </row>
    <row r="39" spans="1:101" ht="14.1" customHeight="1" x14ac:dyDescent="0.25">
      <c r="B39" s="72" t="s">
        <v>100</v>
      </c>
      <c r="C39" s="10"/>
      <c r="D39" s="10"/>
      <c r="E39" s="9"/>
      <c r="F39" s="9"/>
      <c r="G39" s="9"/>
      <c r="H39" s="9"/>
      <c r="I39" s="9"/>
      <c r="J39" s="9"/>
      <c r="K39" s="10"/>
      <c r="L39" s="10"/>
      <c r="M39" s="10"/>
      <c r="AD39" s="11"/>
      <c r="AE39" s="139" t="s">
        <v>65</v>
      </c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64"/>
    </row>
    <row r="40" spans="1:101" ht="14.1" customHeight="1" x14ac:dyDescent="0.25">
      <c r="B40" s="71" t="s">
        <v>101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3"/>
      <c r="AE40" s="140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216"/>
    </row>
    <row r="41" spans="1:101" ht="14.1" customHeight="1" x14ac:dyDescent="0.25">
      <c r="B41" s="210" t="s">
        <v>64</v>
      </c>
      <c r="C41" s="165"/>
      <c r="D41" s="165"/>
      <c r="E41" s="165"/>
      <c r="F41" s="165"/>
      <c r="G41" s="165"/>
      <c r="H41" s="165"/>
      <c r="I41" s="165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2"/>
      <c r="AE41" s="138" t="s">
        <v>19</v>
      </c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64"/>
      <c r="BA41" s="165">
        <v>197.7</v>
      </c>
      <c r="BB41" s="165"/>
      <c r="BC41" s="165"/>
      <c r="BD41" s="165"/>
      <c r="BE41" s="165"/>
    </row>
    <row r="42" spans="1:101" ht="14.1" customHeight="1" thickBot="1" x14ac:dyDescent="0.3">
      <c r="B42" s="213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214"/>
      <c r="S42" s="214"/>
      <c r="T42" s="214"/>
      <c r="U42" s="214"/>
      <c r="V42" s="214"/>
      <c r="W42" s="214"/>
      <c r="X42" s="214"/>
      <c r="Y42" s="214"/>
      <c r="Z42" s="214"/>
      <c r="AA42" s="214"/>
      <c r="AB42" s="214"/>
      <c r="AC42" s="214"/>
      <c r="AD42" s="215"/>
      <c r="AE42" s="49"/>
      <c r="AF42" s="21" t="s">
        <v>20</v>
      </c>
      <c r="AG42" s="21"/>
      <c r="AH42" s="21"/>
      <c r="AI42" s="49"/>
      <c r="AJ42" s="21" t="s">
        <v>21</v>
      </c>
      <c r="AK42" s="21"/>
      <c r="AL42" s="21"/>
      <c r="AM42" s="49"/>
      <c r="AN42" s="21" t="s">
        <v>22</v>
      </c>
      <c r="AO42" s="21"/>
      <c r="AP42" s="22"/>
      <c r="BA42" s="165">
        <v>99.9</v>
      </c>
      <c r="BB42" s="165"/>
      <c r="BC42" s="165"/>
      <c r="BD42" s="165"/>
      <c r="BE42" s="165"/>
    </row>
    <row r="43" spans="1:101" ht="4.5" customHeight="1" thickBot="1" x14ac:dyDescent="0.3"/>
    <row r="44" spans="1:101" ht="14.1" customHeight="1" x14ac:dyDescent="0.25">
      <c r="B44" s="205" t="s">
        <v>25</v>
      </c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7" t="s">
        <v>26</v>
      </c>
      <c r="N44" s="208"/>
      <c r="O44" s="208"/>
      <c r="P44" s="161">
        <v>12.7</v>
      </c>
      <c r="Q44" s="161"/>
      <c r="R44" s="161"/>
      <c r="S44" s="161" t="s">
        <v>27</v>
      </c>
      <c r="T44" s="161"/>
      <c r="U44" s="209"/>
      <c r="V44" s="207" t="s">
        <v>28</v>
      </c>
      <c r="W44" s="208"/>
      <c r="X44" s="208"/>
      <c r="Y44" s="208"/>
      <c r="Z44" s="208"/>
      <c r="AA44" s="208"/>
      <c r="AB44" s="161" t="s">
        <v>83</v>
      </c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2"/>
      <c r="AU44" t="s">
        <v>108</v>
      </c>
    </row>
    <row r="45" spans="1:101" ht="14.1" customHeight="1" x14ac:dyDescent="0.25">
      <c r="B45" s="196" t="s">
        <v>29</v>
      </c>
      <c r="C45" s="183"/>
      <c r="D45" s="183"/>
      <c r="E45" s="183"/>
      <c r="F45" s="183"/>
      <c r="G45" s="183"/>
      <c r="H45" s="183"/>
      <c r="I45" s="183"/>
      <c r="J45" s="183"/>
      <c r="K45" s="183"/>
      <c r="L45" s="184"/>
      <c r="M45" s="182" t="s">
        <v>30</v>
      </c>
      <c r="N45" s="183"/>
      <c r="O45" s="183"/>
      <c r="P45" s="183"/>
      <c r="Q45" s="183"/>
      <c r="R45" s="183"/>
      <c r="S45" s="183"/>
      <c r="T45" s="183"/>
      <c r="U45" s="184"/>
      <c r="V45" s="182" t="s">
        <v>29</v>
      </c>
      <c r="W45" s="183"/>
      <c r="X45" s="183"/>
      <c r="Y45" s="183"/>
      <c r="Z45" s="183"/>
      <c r="AA45" s="183"/>
      <c r="AB45" s="183"/>
      <c r="AC45" s="183"/>
      <c r="AD45" s="183"/>
      <c r="AE45" s="183"/>
      <c r="AF45" s="184"/>
      <c r="AG45" s="182" t="s">
        <v>30</v>
      </c>
      <c r="AH45" s="183"/>
      <c r="AI45" s="183"/>
      <c r="AJ45" s="183"/>
      <c r="AK45" s="183"/>
      <c r="AL45" s="183"/>
      <c r="AM45" s="183"/>
      <c r="AN45" s="183"/>
      <c r="AO45" s="183"/>
      <c r="AP45" s="197"/>
      <c r="AV45" t="s">
        <v>104</v>
      </c>
      <c r="AY45" s="165" t="s">
        <v>98</v>
      </c>
      <c r="AZ45" s="165"/>
      <c r="BA45" s="165"/>
      <c r="BB45" s="165"/>
      <c r="BC45" s="165"/>
      <c r="BD45" t="s">
        <v>106</v>
      </c>
    </row>
    <row r="46" spans="1:101" ht="14.1" customHeight="1" x14ac:dyDescent="0.25">
      <c r="B46" s="334">
        <f>VLOOKUP($AN$1,CA!$A$3:$Y$282,25,0)</f>
        <v>1063047150</v>
      </c>
      <c r="C46" s="335"/>
      <c r="D46" s="335"/>
      <c r="E46" s="335"/>
      <c r="F46" s="335"/>
      <c r="G46" s="335"/>
      <c r="H46" s="335"/>
      <c r="I46" s="335"/>
      <c r="J46" s="335"/>
      <c r="K46" s="335"/>
      <c r="L46" s="336"/>
      <c r="M46" s="337">
        <f>VLOOKUP($AN$1,CA!$A$3:$Z$282,26,0)</f>
        <v>45859</v>
      </c>
      <c r="N46" s="338"/>
      <c r="O46" s="338"/>
      <c r="P46" s="338"/>
      <c r="Q46" s="338"/>
      <c r="R46" s="338"/>
      <c r="S46" s="338"/>
      <c r="T46" s="338"/>
      <c r="U46" s="339"/>
      <c r="V46" s="340">
        <f>VLOOKUP($AN$1,CA!$A$3:$AB$282,28,0)</f>
        <v>0</v>
      </c>
      <c r="W46" s="340"/>
      <c r="X46" s="340"/>
      <c r="Y46" s="340"/>
      <c r="Z46" s="340"/>
      <c r="AA46" s="340"/>
      <c r="AB46" s="340"/>
      <c r="AC46" s="340"/>
      <c r="AD46" s="340"/>
      <c r="AE46" s="340"/>
      <c r="AF46" s="341"/>
      <c r="AG46" s="337" t="str">
        <f>VLOOKUP($AN$1,CA!$A$3:$AC$188,29,0)</f>
        <v>-</v>
      </c>
      <c r="AH46" s="338"/>
      <c r="AI46" s="338"/>
      <c r="AJ46" s="338"/>
      <c r="AK46" s="338"/>
      <c r="AL46" s="338"/>
      <c r="AM46" s="338"/>
      <c r="AN46" s="338"/>
      <c r="AO46" s="338"/>
      <c r="AP46" s="342"/>
      <c r="AV46" t="s">
        <v>105</v>
      </c>
      <c r="AY46" s="165" t="s">
        <v>98</v>
      </c>
      <c r="AZ46" s="165"/>
      <c r="BA46" s="165"/>
      <c r="BB46" s="165"/>
      <c r="BC46" s="165"/>
      <c r="BD46" t="s">
        <v>107</v>
      </c>
    </row>
    <row r="47" spans="1:101" ht="14.1" customHeight="1" x14ac:dyDescent="0.25">
      <c r="B47" s="163" t="s">
        <v>96</v>
      </c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343">
        <f>VLOOKUP(B46,CA!$Y$3:$AA$139,3,0)</f>
        <v>82938</v>
      </c>
      <c r="N47" s="344"/>
      <c r="O47" s="344"/>
      <c r="P47" s="344"/>
      <c r="Q47" s="344"/>
      <c r="R47" s="344"/>
      <c r="S47" s="344"/>
      <c r="T47" s="344"/>
      <c r="U47" s="345"/>
      <c r="V47" s="138" t="s">
        <v>96</v>
      </c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346" t="str">
        <f>VLOOKUP($AN$1,CA!$A$3:$AD$188,30,0)</f>
        <v>-</v>
      </c>
      <c r="AH47" s="346"/>
      <c r="AI47" s="346"/>
      <c r="AJ47" s="346"/>
      <c r="AK47" s="346"/>
      <c r="AL47" s="346"/>
      <c r="AM47" s="346"/>
      <c r="AN47" s="346"/>
      <c r="AO47" s="346"/>
      <c r="AP47" s="347"/>
      <c r="AS47" t="s">
        <v>109</v>
      </c>
      <c r="BC47" s="165" t="e">
        <f>IF(CQ38+CT38=0,0,((AY45/CT38)+(AY46/CQ38))/2)*1.02</f>
        <v>#VALUE!</v>
      </c>
      <c r="BD47" s="165"/>
      <c r="BE47" s="165"/>
      <c r="BF47" s="165"/>
      <c r="BG47" s="165"/>
    </row>
    <row r="48" spans="1:101" ht="4.5" customHeight="1" x14ac:dyDescent="0.25">
      <c r="B48" s="19"/>
      <c r="AP48" s="23"/>
    </row>
    <row r="49" spans="2:121" ht="14.1" customHeight="1" x14ac:dyDescent="0.25">
      <c r="B49" s="35"/>
      <c r="C49" s="139" t="s">
        <v>31</v>
      </c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7"/>
      <c r="AR49" s="138" t="s">
        <v>66</v>
      </c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39"/>
      <c r="BF49" s="139"/>
      <c r="BG49" s="139"/>
      <c r="BH49" s="139"/>
      <c r="BI49" s="139"/>
      <c r="BJ49" s="139"/>
      <c r="BK49" s="139"/>
      <c r="BL49" s="139"/>
      <c r="BM49" s="139"/>
      <c r="BN49" s="139"/>
      <c r="BO49" s="139"/>
      <c r="BP49" s="139"/>
      <c r="BQ49" s="139"/>
      <c r="BR49" s="139"/>
      <c r="BS49" s="139"/>
      <c r="BT49" s="139"/>
      <c r="BU49" s="139"/>
      <c r="BV49" s="139"/>
      <c r="BW49" s="139"/>
      <c r="BX49" s="139"/>
      <c r="BY49" s="139"/>
      <c r="BZ49" s="139"/>
      <c r="CA49" s="139"/>
      <c r="CB49" s="139"/>
      <c r="CC49" s="139"/>
      <c r="CD49" s="140"/>
    </row>
    <row r="50" spans="2:121" ht="14.1" customHeight="1" x14ac:dyDescent="0.25">
      <c r="B50" s="19"/>
      <c r="C50" s="190" t="str">
        <f>IF(AR51="x",AR50,0)</f>
        <v>C-1</v>
      </c>
      <c r="D50" s="165"/>
      <c r="E50" s="191"/>
      <c r="F50" s="190" t="str">
        <f t="shared" ref="F50" si="44">IF(AU51="x",AU50,0)</f>
        <v>C-2</v>
      </c>
      <c r="G50" s="165"/>
      <c r="H50" s="191"/>
      <c r="I50" s="190" t="str">
        <f t="shared" ref="I50" si="45">IF(AX51="x",AX50,0)</f>
        <v>C-3</v>
      </c>
      <c r="J50" s="165"/>
      <c r="K50" s="191"/>
      <c r="L50" s="190" t="str">
        <f t="shared" ref="L50" si="46">IF(BA51="x",BA50,0)</f>
        <v>C-4</v>
      </c>
      <c r="M50" s="165"/>
      <c r="N50" s="191"/>
      <c r="O50" s="190" t="str">
        <f t="shared" ref="O50" si="47">IF(BD51="x",BD50,0)</f>
        <v>C-5</v>
      </c>
      <c r="P50" s="165"/>
      <c r="Q50" s="191"/>
      <c r="R50" s="190" t="str">
        <f t="shared" ref="R50" si="48">IF(BG51="x",BG50,0)</f>
        <v>C-6</v>
      </c>
      <c r="S50" s="165"/>
      <c r="T50" s="191"/>
      <c r="U50" s="190" t="str">
        <f t="shared" ref="U50" si="49">IF(BJ51="x",BJ50,0)</f>
        <v>C-7</v>
      </c>
      <c r="V50" s="165"/>
      <c r="W50" s="191"/>
      <c r="X50" s="190" t="str">
        <f t="shared" ref="X50" si="50">IF(BM51="x",BM50,0)</f>
        <v>C-8</v>
      </c>
      <c r="Y50" s="165"/>
      <c r="Z50" s="191"/>
      <c r="AA50" s="190" t="str">
        <f t="shared" ref="AA50" si="51">IF(BP51="x",BP50,0)</f>
        <v>C-9</v>
      </c>
      <c r="AB50" s="165"/>
      <c r="AC50" s="191"/>
      <c r="AD50" s="190" t="str">
        <f t="shared" ref="AD50" si="52">IF(BS51="x",BS50,0)</f>
        <v>C-10</v>
      </c>
      <c r="AE50" s="165"/>
      <c r="AF50" s="191"/>
      <c r="AG50" s="190" t="str">
        <f t="shared" ref="AG50" si="53">IF(BV51="x",BV50,0)</f>
        <v>C-11</v>
      </c>
      <c r="AH50" s="165"/>
      <c r="AI50" s="191"/>
      <c r="AJ50" s="190" t="str">
        <f t="shared" ref="AJ50" si="54">IF(BY51="x",BY50,0)</f>
        <v>C-12</v>
      </c>
      <c r="AK50" s="165"/>
      <c r="AL50" s="191"/>
      <c r="AM50" s="190" t="str">
        <f t="shared" ref="AM50" si="55">IF(CB51="x",CB50,0)</f>
        <v>C-13</v>
      </c>
      <c r="AN50" s="165"/>
      <c r="AO50" s="191"/>
      <c r="AP50" s="23"/>
      <c r="AR50" s="189" t="s">
        <v>32</v>
      </c>
      <c r="AS50" s="189"/>
      <c r="AT50" s="189"/>
      <c r="AU50" s="189" t="s">
        <v>33</v>
      </c>
      <c r="AV50" s="189"/>
      <c r="AW50" s="189"/>
      <c r="AX50" s="189" t="s">
        <v>34</v>
      </c>
      <c r="AY50" s="189"/>
      <c r="AZ50" s="189"/>
      <c r="BA50" s="189" t="s">
        <v>35</v>
      </c>
      <c r="BB50" s="189"/>
      <c r="BC50" s="189"/>
      <c r="BD50" s="189" t="s">
        <v>36</v>
      </c>
      <c r="BE50" s="189"/>
      <c r="BF50" s="189"/>
      <c r="BG50" s="189" t="s">
        <v>37</v>
      </c>
      <c r="BH50" s="189"/>
      <c r="BI50" s="189"/>
      <c r="BJ50" s="189" t="s">
        <v>38</v>
      </c>
      <c r="BK50" s="189"/>
      <c r="BL50" s="189"/>
      <c r="BM50" s="189" t="s">
        <v>39</v>
      </c>
      <c r="BN50" s="189"/>
      <c r="BO50" s="189"/>
      <c r="BP50" s="189" t="s">
        <v>40</v>
      </c>
      <c r="BQ50" s="189"/>
      <c r="BR50" s="189"/>
      <c r="BS50" s="189" t="s">
        <v>41</v>
      </c>
      <c r="BT50" s="189"/>
      <c r="BU50" s="189"/>
      <c r="BV50" s="189" t="s">
        <v>42</v>
      </c>
      <c r="BW50" s="189"/>
      <c r="BX50" s="189"/>
      <c r="BY50" s="189" t="s">
        <v>43</v>
      </c>
      <c r="BZ50" s="189"/>
      <c r="CA50" s="189"/>
      <c r="CB50" s="189" t="s">
        <v>44</v>
      </c>
      <c r="CC50" s="189"/>
      <c r="CD50" s="189"/>
    </row>
    <row r="51" spans="2:121" ht="14.1" customHeight="1" x14ac:dyDescent="0.25">
      <c r="B51" s="19"/>
      <c r="C51" s="348">
        <f>VLOOKUP($AN$1,CA!$A$3:$X$188,3,0)</f>
        <v>341</v>
      </c>
      <c r="D51" s="340"/>
      <c r="E51" s="341"/>
      <c r="F51" s="348">
        <f>VLOOKUP($AN$1,CA!$A$3:$X$188,4,0)</f>
        <v>340</v>
      </c>
      <c r="G51" s="340"/>
      <c r="H51" s="341"/>
      <c r="I51" s="348">
        <f>VLOOKUP($AN$1,CA!$A$3:$X$188,5,0)</f>
        <v>340</v>
      </c>
      <c r="J51" s="340"/>
      <c r="K51" s="341"/>
      <c r="L51" s="348">
        <f>VLOOKUP($AN$1,CA!$A$3:$X$188,6,0)</f>
        <v>340</v>
      </c>
      <c r="M51" s="340"/>
      <c r="N51" s="341"/>
      <c r="O51" s="348">
        <f>VLOOKUP($AN$1,CA!$A$3:$X$188,7,0)</f>
        <v>338</v>
      </c>
      <c r="P51" s="340"/>
      <c r="Q51" s="341"/>
      <c r="R51" s="348">
        <f>VLOOKUP($AN$1,CA!$A$3:$X$188,8,0)</f>
        <v>340</v>
      </c>
      <c r="S51" s="340"/>
      <c r="T51" s="341"/>
      <c r="U51" s="348">
        <f>VLOOKUP($AN$1,CA!$A$3:$X$188,9,0)</f>
        <v>340</v>
      </c>
      <c r="V51" s="340"/>
      <c r="W51" s="341"/>
      <c r="X51" s="348">
        <f>VLOOKUP($AN$1,CA!$A$3:$X$188,10,0)</f>
        <v>340</v>
      </c>
      <c r="Y51" s="340"/>
      <c r="Z51" s="341"/>
      <c r="AA51" s="348">
        <f>VLOOKUP($AN$1,CA!$A$3:$X$188,11,0)</f>
        <v>342</v>
      </c>
      <c r="AB51" s="340"/>
      <c r="AC51" s="341"/>
      <c r="AD51" s="348">
        <f>VLOOKUP($AN$1,CA!$A$3:$X$188,12,0)</f>
        <v>342</v>
      </c>
      <c r="AE51" s="340"/>
      <c r="AF51" s="341"/>
      <c r="AG51" s="348">
        <f>VLOOKUP($AN$1,CA!$A$3:$X$188,13,0)</f>
        <v>342</v>
      </c>
      <c r="AH51" s="340"/>
      <c r="AI51" s="341"/>
      <c r="AJ51" s="348">
        <f>VLOOKUP($AN$1,CA!$A$3:$X$188,14,0)</f>
        <v>340</v>
      </c>
      <c r="AK51" s="340"/>
      <c r="AL51" s="341"/>
      <c r="AM51" s="348">
        <f>VLOOKUP($AN$1,CA!$A$3:$X$188,15,0)</f>
        <v>340</v>
      </c>
      <c r="AN51" s="340"/>
      <c r="AO51" s="341"/>
      <c r="AP51" s="23"/>
      <c r="AR51" s="151" t="s">
        <v>58</v>
      </c>
      <c r="AS51" s="151"/>
      <c r="AT51" s="151"/>
      <c r="AU51" s="151" t="s">
        <v>58</v>
      </c>
      <c r="AV51" s="151"/>
      <c r="AW51" s="151"/>
      <c r="AX51" s="151" t="s">
        <v>58</v>
      </c>
      <c r="AY51" s="151"/>
      <c r="AZ51" s="151"/>
      <c r="BA51" s="151" t="s">
        <v>58</v>
      </c>
      <c r="BB51" s="151"/>
      <c r="BC51" s="151"/>
      <c r="BD51" s="151" t="s">
        <v>58</v>
      </c>
      <c r="BE51" s="151"/>
      <c r="BF51" s="151"/>
      <c r="BG51" s="151" t="s">
        <v>58</v>
      </c>
      <c r="BH51" s="151"/>
      <c r="BI51" s="151"/>
      <c r="BJ51" s="151" t="s">
        <v>58</v>
      </c>
      <c r="BK51" s="151"/>
      <c r="BL51" s="151"/>
      <c r="BM51" s="151" t="s">
        <v>58</v>
      </c>
      <c r="BN51" s="151"/>
      <c r="BO51" s="151"/>
      <c r="BP51" s="151" t="s">
        <v>58</v>
      </c>
      <c r="BQ51" s="151"/>
      <c r="BR51" s="151"/>
      <c r="BS51" s="151" t="s">
        <v>58</v>
      </c>
      <c r="BT51" s="151"/>
      <c r="BU51" s="151"/>
      <c r="BV51" s="151" t="s">
        <v>58</v>
      </c>
      <c r="BW51" s="151"/>
      <c r="BX51" s="151"/>
      <c r="BY51" s="151" t="s">
        <v>58</v>
      </c>
      <c r="BZ51" s="151"/>
      <c r="CA51" s="151"/>
      <c r="CB51" s="151" t="s">
        <v>58</v>
      </c>
      <c r="CC51" s="151"/>
      <c r="CD51" s="151"/>
    </row>
    <row r="52" spans="2:121" ht="14.1" customHeight="1" x14ac:dyDescent="0.25">
      <c r="B52" s="19"/>
      <c r="C52" s="182" t="str">
        <f>IF(AR53="x",AR52,0)</f>
        <v>C-14</v>
      </c>
      <c r="D52" s="183"/>
      <c r="E52" s="184"/>
      <c r="F52" s="182" t="str">
        <f t="shared" ref="F52" si="56">IF(AU53="x",AU52,0)</f>
        <v>C-15</v>
      </c>
      <c r="G52" s="183"/>
      <c r="H52" s="184"/>
      <c r="I52" s="182" t="str">
        <f>IF(AX53="x",AX52,0)</f>
        <v>C-16</v>
      </c>
      <c r="J52" s="183"/>
      <c r="K52" s="184"/>
      <c r="L52" s="182">
        <f t="shared" ref="L52" si="57">IF(BA53="x",BA52,0)</f>
        <v>0</v>
      </c>
      <c r="M52" s="183"/>
      <c r="N52" s="184"/>
      <c r="O52" s="182">
        <f t="shared" ref="O52" si="58">IF(BD53="x",BD52,0)</f>
        <v>0</v>
      </c>
      <c r="P52" s="183"/>
      <c r="Q52" s="184"/>
      <c r="R52" s="182">
        <f t="shared" ref="R52" si="59">IF(BG53="x",BG52,0)</f>
        <v>0</v>
      </c>
      <c r="S52" s="183"/>
      <c r="T52" s="184"/>
      <c r="U52" s="182">
        <f t="shared" ref="U52" si="60">IF(BJ53="x",BJ52,0)</f>
        <v>0</v>
      </c>
      <c r="V52" s="183"/>
      <c r="W52" s="184"/>
      <c r="X52" s="182">
        <f t="shared" ref="X52" si="61">IF(BM53="x",BM52,0)</f>
        <v>0</v>
      </c>
      <c r="Y52" s="183"/>
      <c r="Z52" s="184"/>
      <c r="AA52" s="182">
        <f t="shared" ref="AA52" si="62">IF(BP53="x",BP52,0)</f>
        <v>0</v>
      </c>
      <c r="AB52" s="183"/>
      <c r="AC52" s="184"/>
      <c r="AD52" s="182">
        <f t="shared" ref="AD52" si="63">IF(BS53="x",BS52,0)</f>
        <v>0</v>
      </c>
      <c r="AE52" s="183"/>
      <c r="AF52" s="184"/>
      <c r="AG52" s="182">
        <f t="shared" ref="AG52" si="64">IF(BV53="x",BV52,0)</f>
        <v>0</v>
      </c>
      <c r="AH52" s="183"/>
      <c r="AI52" s="184"/>
      <c r="AJ52" s="182">
        <f t="shared" ref="AJ52" si="65">IF(BY53="x",BY52,0)</f>
        <v>0</v>
      </c>
      <c r="AK52" s="183"/>
      <c r="AL52" s="184"/>
      <c r="AM52" s="182">
        <f t="shared" ref="AM52" si="66">IF(CB53="x",CB52,0)</f>
        <v>0</v>
      </c>
      <c r="AN52" s="183"/>
      <c r="AO52" s="184"/>
      <c r="AP52" s="23"/>
      <c r="AR52" s="189" t="s">
        <v>45</v>
      </c>
      <c r="AS52" s="189"/>
      <c r="AT52" s="189"/>
      <c r="AU52" s="189" t="s">
        <v>46</v>
      </c>
      <c r="AV52" s="189"/>
      <c r="AW52" s="189"/>
      <c r="AX52" s="189" t="s">
        <v>47</v>
      </c>
      <c r="AY52" s="189"/>
      <c r="AZ52" s="189"/>
      <c r="BA52" s="189" t="s">
        <v>48</v>
      </c>
      <c r="BB52" s="189"/>
      <c r="BC52" s="189"/>
      <c r="BD52" s="189" t="s">
        <v>49</v>
      </c>
      <c r="BE52" s="189"/>
      <c r="BF52" s="189"/>
      <c r="BG52" s="189" t="s">
        <v>50</v>
      </c>
      <c r="BH52" s="189"/>
      <c r="BI52" s="189"/>
      <c r="BJ52" s="189" t="s">
        <v>51</v>
      </c>
      <c r="BK52" s="189"/>
      <c r="BL52" s="189"/>
      <c r="BM52" s="189" t="s">
        <v>52</v>
      </c>
      <c r="BN52" s="189"/>
      <c r="BO52" s="189"/>
      <c r="BP52" s="189" t="s">
        <v>53</v>
      </c>
      <c r="BQ52" s="189"/>
      <c r="BR52" s="189"/>
      <c r="BS52" s="189" t="s">
        <v>54</v>
      </c>
      <c r="BT52" s="189"/>
      <c r="BU52" s="189"/>
      <c r="BV52" s="189" t="s">
        <v>55</v>
      </c>
      <c r="BW52" s="189"/>
      <c r="BX52" s="189"/>
      <c r="BY52" s="189" t="s">
        <v>56</v>
      </c>
      <c r="BZ52" s="189"/>
      <c r="CA52" s="189"/>
      <c r="CB52" s="189" t="s">
        <v>57</v>
      </c>
      <c r="CC52" s="189"/>
      <c r="CD52" s="189"/>
    </row>
    <row r="53" spans="2:121" ht="14.1" customHeight="1" x14ac:dyDescent="0.25">
      <c r="B53" s="20"/>
      <c r="C53" s="348">
        <f>VLOOKUP($AN$1,CA!$A$3:$X$188,16,0)</f>
        <v>338</v>
      </c>
      <c r="D53" s="340"/>
      <c r="E53" s="341"/>
      <c r="F53" s="348">
        <f>VLOOKUP($AN$1,CA!$A$3:$X$188,17,0)</f>
        <v>343</v>
      </c>
      <c r="G53" s="340"/>
      <c r="H53" s="341"/>
      <c r="I53" s="348">
        <f>VLOOKUP($AN$1,CA!$A$3:$X$188,18,0)</f>
        <v>342</v>
      </c>
      <c r="J53" s="340"/>
      <c r="K53" s="341"/>
      <c r="L53" s="178">
        <f>VLOOKUP($AN$1,CA!$A$3:$X$188,19,0)</f>
        <v>0</v>
      </c>
      <c r="M53" s="179"/>
      <c r="N53" s="180"/>
      <c r="O53" s="178">
        <f>VLOOKUP($AN$1,CA!$A$3:$X$188,20,0)</f>
        <v>0</v>
      </c>
      <c r="P53" s="179"/>
      <c r="Q53" s="180"/>
      <c r="R53" s="178">
        <f>VLOOKUP($AN$1,CA!$A$3:$X$188,21,0)</f>
        <v>0</v>
      </c>
      <c r="S53" s="179"/>
      <c r="T53" s="180"/>
      <c r="U53" s="178">
        <f>VLOOKUP($AN$1,CA!$A$3:$X$188,22,0)</f>
        <v>0</v>
      </c>
      <c r="V53" s="179"/>
      <c r="W53" s="180"/>
      <c r="X53" s="178">
        <f>VLOOKUP($AN$1,CA!$A$3:$X$188,23,0)</f>
        <v>0</v>
      </c>
      <c r="Y53" s="179"/>
      <c r="Z53" s="180"/>
      <c r="AA53" s="178">
        <f>VLOOKUP($AN$1,CA!$A$3:$X$188,24,0)</f>
        <v>0</v>
      </c>
      <c r="AB53" s="179"/>
      <c r="AC53" s="180"/>
      <c r="AD53" s="178"/>
      <c r="AE53" s="179"/>
      <c r="AF53" s="180"/>
      <c r="AG53" s="178"/>
      <c r="AH53" s="179"/>
      <c r="AI53" s="180"/>
      <c r="AJ53" s="178"/>
      <c r="AK53" s="179"/>
      <c r="AL53" s="180"/>
      <c r="AM53" s="178"/>
      <c r="AN53" s="179"/>
      <c r="AO53" s="180"/>
      <c r="AP53" s="24"/>
      <c r="AR53" s="151" t="s">
        <v>58</v>
      </c>
      <c r="AS53" s="151"/>
      <c r="AT53" s="151"/>
      <c r="AU53" s="151" t="s">
        <v>58</v>
      </c>
      <c r="AV53" s="151"/>
      <c r="AW53" s="151"/>
      <c r="AX53" s="151" t="s">
        <v>58</v>
      </c>
      <c r="AY53" s="151"/>
      <c r="AZ53" s="151"/>
      <c r="BA53" s="151"/>
      <c r="BB53" s="151"/>
      <c r="BC53" s="151"/>
      <c r="BD53" s="151"/>
      <c r="BE53" s="151"/>
      <c r="BF53" s="151"/>
      <c r="BG53" s="151"/>
      <c r="BH53" s="151"/>
      <c r="BI53" s="151"/>
      <c r="BJ53" s="151"/>
      <c r="BK53" s="151"/>
      <c r="BL53" s="151"/>
      <c r="BM53" s="151"/>
      <c r="BN53" s="151"/>
      <c r="BO53" s="151"/>
      <c r="BP53" s="151"/>
      <c r="BQ53" s="151"/>
      <c r="BR53" s="151"/>
      <c r="BS53" s="151"/>
      <c r="BT53" s="151"/>
      <c r="BU53" s="151"/>
      <c r="BV53" s="151"/>
      <c r="BW53" s="151"/>
      <c r="BX53" s="151"/>
      <c r="BY53" s="151"/>
      <c r="BZ53" s="151"/>
      <c r="CA53" s="151"/>
      <c r="CB53" s="151"/>
      <c r="CC53" s="151"/>
      <c r="CD53" s="151"/>
    </row>
    <row r="54" spans="2:121" ht="14.1" customHeight="1" x14ac:dyDescent="0.25">
      <c r="B54" s="163" t="s">
        <v>59</v>
      </c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>
        <f>SUM(C51:AO51)+SUM(C53:AO53)</f>
        <v>5448</v>
      </c>
      <c r="Y54" s="139"/>
      <c r="Z54" s="139"/>
      <c r="AA54" s="139"/>
      <c r="AB54" s="139"/>
      <c r="AC54" s="3" t="s">
        <v>27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17"/>
      <c r="CE54" s="182" t="str">
        <f>C50</f>
        <v>C-1</v>
      </c>
      <c r="CF54" s="183"/>
      <c r="CG54" s="184"/>
      <c r="CH54" s="182" t="str">
        <f>F50</f>
        <v>C-2</v>
      </c>
      <c r="CI54" s="183"/>
      <c r="CJ54" s="184"/>
      <c r="CK54" s="182" t="str">
        <f>I50</f>
        <v>C-3</v>
      </c>
      <c r="CL54" s="183"/>
      <c r="CM54" s="184"/>
      <c r="CN54" s="182" t="str">
        <f>L50</f>
        <v>C-4</v>
      </c>
      <c r="CO54" s="183"/>
      <c r="CP54" s="184"/>
      <c r="CQ54" s="182" t="str">
        <f>O50</f>
        <v>C-5</v>
      </c>
      <c r="CR54" s="183"/>
      <c r="CS54" s="184"/>
      <c r="CT54" s="182" t="str">
        <f>R50</f>
        <v>C-6</v>
      </c>
      <c r="CU54" s="183"/>
      <c r="CV54" s="184"/>
      <c r="CW54" s="182" t="str">
        <f>U50</f>
        <v>C-7</v>
      </c>
      <c r="CX54" s="183"/>
      <c r="CY54" s="184"/>
      <c r="CZ54" s="182" t="str">
        <f>X50</f>
        <v>C-8</v>
      </c>
      <c r="DA54" s="183"/>
      <c r="DB54" s="184"/>
      <c r="DC54" s="182" t="str">
        <f>AA50</f>
        <v>C-9</v>
      </c>
      <c r="DD54" s="183"/>
      <c r="DE54" s="184"/>
      <c r="DF54" s="182" t="str">
        <f>AD50</f>
        <v>C-10</v>
      </c>
      <c r="DG54" s="183"/>
      <c r="DH54" s="184"/>
      <c r="DI54" s="182" t="str">
        <f>AG50</f>
        <v>C-11</v>
      </c>
      <c r="DJ54" s="183"/>
      <c r="DK54" s="184"/>
      <c r="DL54" s="182" t="str">
        <f>AJ50</f>
        <v>C-12</v>
      </c>
      <c r="DM54" s="183"/>
      <c r="DN54" s="184"/>
      <c r="DO54" s="182" t="str">
        <f>AM50</f>
        <v>C-13</v>
      </c>
      <c r="DP54" s="183"/>
      <c r="DQ54" s="184"/>
    </row>
    <row r="55" spans="2:121" ht="5.45" customHeight="1" x14ac:dyDescent="0.25">
      <c r="B55" s="19"/>
      <c r="AP55" s="23"/>
      <c r="CE55" s="78"/>
      <c r="CF55" s="79"/>
      <c r="CG55" s="80"/>
      <c r="CH55" s="78"/>
      <c r="CI55" s="79"/>
      <c r="CJ55" s="80"/>
      <c r="CK55" s="78"/>
      <c r="CL55" s="79"/>
      <c r="CM55" s="80"/>
      <c r="CN55" s="78"/>
      <c r="CO55" s="79"/>
      <c r="CP55" s="80"/>
      <c r="CQ55" s="78"/>
      <c r="CR55" s="79"/>
      <c r="CS55" s="80"/>
      <c r="CT55" s="78"/>
      <c r="CU55" s="79"/>
      <c r="CV55" s="80"/>
      <c r="CW55" s="78"/>
      <c r="CX55" s="79"/>
      <c r="CY55" s="80"/>
      <c r="CZ55" s="78"/>
      <c r="DA55" s="79"/>
      <c r="DB55" s="80"/>
      <c r="DC55" s="78"/>
      <c r="DD55" s="79"/>
      <c r="DE55" s="80"/>
      <c r="DF55" s="78"/>
      <c r="DG55" s="79"/>
      <c r="DH55" s="80"/>
      <c r="DI55" s="78"/>
      <c r="DJ55" s="79"/>
      <c r="DK55" s="80"/>
      <c r="DL55" s="78"/>
      <c r="DM55" s="79"/>
      <c r="DN55" s="80"/>
      <c r="DO55" s="78"/>
      <c r="DP55" s="79"/>
      <c r="DQ55" s="80"/>
    </row>
    <row r="56" spans="2:121" ht="14.1" customHeight="1" x14ac:dyDescent="0.25">
      <c r="B56" s="185" t="s">
        <v>60</v>
      </c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6" t="s">
        <v>94</v>
      </c>
      <c r="X56" s="186"/>
      <c r="Y56" s="186"/>
      <c r="Z56" s="186"/>
      <c r="AA56" s="186" t="s">
        <v>95</v>
      </c>
      <c r="AB56" s="186"/>
      <c r="AC56" s="186"/>
      <c r="AD56" s="186"/>
      <c r="AE56" s="187" t="s">
        <v>16</v>
      </c>
      <c r="AF56" s="181"/>
      <c r="AG56" s="181"/>
      <c r="AH56" s="181"/>
      <c r="AI56" s="181"/>
      <c r="AJ56" s="181"/>
      <c r="AK56" s="181"/>
      <c r="AL56" s="181"/>
      <c r="AM56" s="181"/>
      <c r="AN56" s="181"/>
      <c r="AO56" s="181"/>
      <c r="AP56" s="188"/>
      <c r="CE56" s="178" t="b">
        <f>IF(C51="-"";""",IF(C51=0,0,IF(AND(C51&gt;=$W$57,C51&lt;=$AA$57),0,1)))</f>
        <v>0</v>
      </c>
      <c r="CF56" s="179"/>
      <c r="CG56" s="180"/>
      <c r="CH56" s="178" t="b">
        <f t="shared" ref="CH56" si="67">IF(F51="-"";""",IF(F51=0,0,IF(AND(F51&gt;=$W$57,F51&lt;=$AA$57),0,1)))</f>
        <v>0</v>
      </c>
      <c r="CI56" s="179"/>
      <c r="CJ56" s="180"/>
      <c r="CK56" s="178" t="b">
        <f t="shared" ref="CK56" si="68">IF(I51="-"";""",IF(I51=0,0,IF(AND(I51&gt;=$W$57,I51&lt;=$AA$57),0,1)))</f>
        <v>0</v>
      </c>
      <c r="CL56" s="179"/>
      <c r="CM56" s="180"/>
      <c r="CN56" s="178" t="b">
        <f t="shared" ref="CN56" si="69">IF(L51="-"";""",IF(L51=0,0,IF(AND(L51&gt;=$W$57,L51&lt;=$AA$57),0,1)))</f>
        <v>0</v>
      </c>
      <c r="CO56" s="179"/>
      <c r="CP56" s="180"/>
      <c r="CQ56" s="178" t="b">
        <f t="shared" ref="CQ56" si="70">IF(O51="-"";""",IF(O51=0,0,IF(AND(O51&gt;=$W$57,O51&lt;=$AA$57),0,1)))</f>
        <v>0</v>
      </c>
      <c r="CR56" s="179"/>
      <c r="CS56" s="180"/>
      <c r="CT56" s="178" t="b">
        <f t="shared" ref="CT56" si="71">IF(R51="-"";""",IF(R51=0,0,IF(AND(R51&gt;=$W$57,R51&lt;=$AA$57),0,1)))</f>
        <v>0</v>
      </c>
      <c r="CU56" s="179"/>
      <c r="CV56" s="180"/>
      <c r="CW56" s="178" t="b">
        <f t="shared" ref="CW56" si="72">IF(U51="-"";""",IF(U51=0,0,IF(AND(U51&gt;=$W$57,U51&lt;=$AA$57),0,1)))</f>
        <v>0</v>
      </c>
      <c r="CX56" s="179"/>
      <c r="CY56" s="180"/>
      <c r="CZ56" s="178" t="b">
        <f t="shared" ref="CZ56" si="73">IF(X51="-"";""",IF(X51=0,0,IF(AND(X51&gt;=$W$57,X51&lt;=$AA$57),0,1)))</f>
        <v>0</v>
      </c>
      <c r="DA56" s="179"/>
      <c r="DB56" s="180"/>
      <c r="DC56" s="178" t="b">
        <f t="shared" ref="DC56" si="74">IF(AA51="-"";""",IF(AA51=0,0,IF(AND(AA51&gt;=$W$57,AA51&lt;=$AA$57),0,1)))</f>
        <v>0</v>
      </c>
      <c r="DD56" s="179"/>
      <c r="DE56" s="180"/>
      <c r="DF56" s="178" t="b">
        <f t="shared" ref="DF56" si="75">IF(AD51="-"";""",IF(AD51=0,0,IF(AND(AD51&gt;=$W$57,AD51&lt;=$AA$57),0,1)))</f>
        <v>0</v>
      </c>
      <c r="DG56" s="179"/>
      <c r="DH56" s="180"/>
      <c r="DI56" s="178" t="b">
        <f t="shared" ref="DI56" si="76">IF(AG51="-"";""",IF(AG51=0,0,IF(AND(AG51&gt;=$W$57,AG51&lt;=$AA$57),0,1)))</f>
        <v>0</v>
      </c>
      <c r="DJ56" s="179"/>
      <c r="DK56" s="180"/>
      <c r="DL56" s="178" t="b">
        <f t="shared" ref="DL56" si="77">IF(AJ51="-"";""",IF(AJ51=0,0,IF(AND(AJ51&gt;=$W$57,AJ51&lt;=$AA$57),0,1)))</f>
        <v>0</v>
      </c>
      <c r="DM56" s="179"/>
      <c r="DN56" s="180"/>
      <c r="DO56" s="178" t="b">
        <f t="shared" ref="DO56" si="78">IF(AM51="-"";""",IF(AM51=0,0,IF(AND(AM51&gt;=$W$57,AM51&lt;=$AA$57),0,1)))</f>
        <v>0</v>
      </c>
      <c r="DP56" s="179"/>
      <c r="DQ56" s="180"/>
    </row>
    <row r="57" spans="2:121" ht="14.1" customHeight="1" x14ac:dyDescent="0.25">
      <c r="B57" s="163" t="s">
        <v>61</v>
      </c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40"/>
      <c r="W57" s="177">
        <f>IF(AV58="X",BA58,IF(AV60="X",BA60,0))</f>
        <v>321</v>
      </c>
      <c r="X57" s="177"/>
      <c r="Y57" s="177"/>
      <c r="Z57" s="177"/>
      <c r="AA57" s="177">
        <f>IF(AV58="X",BH58,IF(AV60="X",BH60,0))</f>
        <v>356</v>
      </c>
      <c r="AB57" s="177"/>
      <c r="AC57" s="177"/>
      <c r="AD57" s="177"/>
      <c r="AE57" s="2"/>
      <c r="AF57" s="3"/>
      <c r="AG57" s="91" t="str">
        <f>IF(SUM(C51:AO51)+SUM(C53:AO53)=0,0,IF(CE60=0,"X",0))</f>
        <v>X</v>
      </c>
      <c r="AH57" s="44" t="s">
        <v>17</v>
      </c>
      <c r="AI57" s="45"/>
      <c r="AJ57" s="46"/>
      <c r="AK57" s="47"/>
      <c r="AL57" s="48">
        <f>IF(SUM(C51:AO51)+SUM(C53:AO53)=0,0,IF(CE60&gt;0,"X",0))</f>
        <v>0</v>
      </c>
      <c r="AM57" s="44" t="s">
        <v>18</v>
      </c>
      <c r="AN57" s="45"/>
      <c r="AO57" s="45"/>
      <c r="AP57" s="17"/>
      <c r="CE57" s="182" t="str">
        <f>C52</f>
        <v>C-14</v>
      </c>
      <c r="CF57" s="183"/>
      <c r="CG57" s="184"/>
      <c r="CH57" s="182" t="str">
        <f>F52</f>
        <v>C-15</v>
      </c>
      <c r="CI57" s="183"/>
      <c r="CJ57" s="184"/>
      <c r="CK57" s="182" t="str">
        <f>I52</f>
        <v>C-16</v>
      </c>
      <c r="CL57" s="183"/>
      <c r="CM57" s="184"/>
      <c r="CN57" s="182">
        <f>L52</f>
        <v>0</v>
      </c>
      <c r="CO57" s="183"/>
      <c r="CP57" s="184"/>
      <c r="CQ57" s="182">
        <f>O52</f>
        <v>0</v>
      </c>
      <c r="CR57" s="183"/>
      <c r="CS57" s="184"/>
      <c r="CT57" s="182">
        <f>R52</f>
        <v>0</v>
      </c>
      <c r="CU57" s="183"/>
      <c r="CV57" s="184"/>
      <c r="CW57" s="182">
        <f>U52</f>
        <v>0</v>
      </c>
      <c r="CX57" s="183"/>
      <c r="CY57" s="184"/>
      <c r="CZ57" s="182">
        <f>X52</f>
        <v>0</v>
      </c>
      <c r="DA57" s="183"/>
      <c r="DB57" s="184"/>
      <c r="DC57" s="182">
        <f>AA52</f>
        <v>0</v>
      </c>
      <c r="DD57" s="183"/>
      <c r="DE57" s="184"/>
      <c r="DF57" s="182">
        <f>AD52</f>
        <v>0</v>
      </c>
      <c r="DG57" s="183"/>
      <c r="DH57" s="184"/>
      <c r="DI57" s="182">
        <f>AG52</f>
        <v>0</v>
      </c>
      <c r="DJ57" s="183"/>
      <c r="DK57" s="184"/>
      <c r="DL57" s="182">
        <f>AJ52</f>
        <v>0</v>
      </c>
      <c r="DM57" s="183"/>
      <c r="DN57" s="184"/>
      <c r="DO57" s="182">
        <f>AM52</f>
        <v>0</v>
      </c>
      <c r="DP57" s="183"/>
      <c r="DQ57" s="184"/>
    </row>
    <row r="58" spans="2:121" ht="14.1" customHeight="1" x14ac:dyDescent="0.25">
      <c r="B58" s="75"/>
      <c r="C58" s="181" t="s">
        <v>67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77">
        <f>IF(CE70=1,CE69,0)</f>
        <v>0</v>
      </c>
      <c r="O58" s="77">
        <f t="shared" ref="O58:Z58" si="79">IF(CF70=1,CF69,0)</f>
        <v>0</v>
      </c>
      <c r="P58" s="77">
        <f t="shared" si="79"/>
        <v>0</v>
      </c>
      <c r="Q58" s="77">
        <f t="shared" si="79"/>
        <v>0</v>
      </c>
      <c r="R58" s="77">
        <f t="shared" si="79"/>
        <v>0</v>
      </c>
      <c r="S58" s="77">
        <f t="shared" si="79"/>
        <v>0</v>
      </c>
      <c r="T58" s="77">
        <f t="shared" si="79"/>
        <v>0</v>
      </c>
      <c r="U58" s="77">
        <f t="shared" si="79"/>
        <v>0</v>
      </c>
      <c r="V58" s="77">
        <f t="shared" si="79"/>
        <v>0</v>
      </c>
      <c r="W58" s="77">
        <f>IF(CN70=1,CN69,0)</f>
        <v>0</v>
      </c>
      <c r="X58" s="77">
        <f>IF(CO70=1,CO69,0)</f>
        <v>0</v>
      </c>
      <c r="Y58" s="77">
        <f t="shared" si="79"/>
        <v>0</v>
      </c>
      <c r="Z58" s="77">
        <f t="shared" si="79"/>
        <v>0</v>
      </c>
      <c r="AA58" s="77">
        <f t="shared" ref="AA58:AP58" si="80">IF(CE77=1,CE76,0)</f>
        <v>0</v>
      </c>
      <c r="AB58" s="77">
        <f t="shared" si="80"/>
        <v>0</v>
      </c>
      <c r="AC58" s="77">
        <f t="shared" si="80"/>
        <v>0</v>
      </c>
      <c r="AD58" s="77">
        <f t="shared" si="80"/>
        <v>0</v>
      </c>
      <c r="AE58" s="77">
        <f t="shared" si="80"/>
        <v>0</v>
      </c>
      <c r="AF58" s="77">
        <f t="shared" si="80"/>
        <v>0</v>
      </c>
      <c r="AG58" s="350">
        <f t="shared" si="80"/>
        <v>0</v>
      </c>
      <c r="AH58" s="77">
        <f t="shared" si="80"/>
        <v>0</v>
      </c>
      <c r="AI58" s="77">
        <f t="shared" si="80"/>
        <v>0</v>
      </c>
      <c r="AJ58" s="77">
        <f t="shared" si="80"/>
        <v>0</v>
      </c>
      <c r="AK58" s="77">
        <f t="shared" si="80"/>
        <v>0</v>
      </c>
      <c r="AL58" s="77">
        <f t="shared" si="80"/>
        <v>0</v>
      </c>
      <c r="AM58" s="77">
        <f t="shared" si="80"/>
        <v>0</v>
      </c>
      <c r="AN58" s="77">
        <f t="shared" si="80"/>
        <v>0</v>
      </c>
      <c r="AO58" s="77">
        <f t="shared" si="80"/>
        <v>0</v>
      </c>
      <c r="AP58" s="30">
        <f t="shared" si="80"/>
        <v>0</v>
      </c>
      <c r="AV58" s="151" t="s">
        <v>13</v>
      </c>
      <c r="AW58" s="151"/>
      <c r="AX58" t="s">
        <v>137</v>
      </c>
      <c r="BA58" s="151">
        <v>321</v>
      </c>
      <c r="BB58" s="151"/>
      <c r="BC58" s="151"/>
      <c r="BD58" s="151"/>
      <c r="BF58" t="s">
        <v>188</v>
      </c>
      <c r="BH58" s="151">
        <v>356</v>
      </c>
      <c r="BI58" s="151"/>
      <c r="BJ58" s="151"/>
      <c r="BK58" s="151"/>
      <c r="CE58" s="178" t="b">
        <f>IF(C53="-"";""",IF(C53=0,0,IF(AND(C53&gt;=$W$57,C53&lt;=$AA$57),0,1)))</f>
        <v>0</v>
      </c>
      <c r="CF58" s="179"/>
      <c r="CG58" s="180"/>
      <c r="CH58" s="178" t="b">
        <f t="shared" ref="CH58" si="81">IF(F53="-"";""",IF(F53=0,0,IF(AND(F53&gt;=$W$57,F53&lt;=$AA$57),0,1)))</f>
        <v>0</v>
      </c>
      <c r="CI58" s="179"/>
      <c r="CJ58" s="180"/>
      <c r="CK58" s="178" t="b">
        <f t="shared" ref="CK58" si="82">IF(I53="-"";""",IF(I53=0,0,IF(AND(I53&gt;=$W$57,I53&lt;=$AA$57),0,1)))</f>
        <v>0</v>
      </c>
      <c r="CL58" s="179"/>
      <c r="CM58" s="180"/>
      <c r="CN58" s="178" t="b">
        <f t="shared" ref="CN58" si="83">IF(L53="-"";""",IF(L53=0,0,IF(AND(L53&gt;=$W$57,L53&lt;=$AA$57),0,1)))</f>
        <v>0</v>
      </c>
      <c r="CO58" s="179"/>
      <c r="CP58" s="180"/>
      <c r="CQ58" s="178" t="b">
        <f t="shared" ref="CQ58" si="84">IF(O53="-"";""",IF(O53=0,0,IF(AND(O53&gt;=$W$57,O53&lt;=$AA$57),0,1)))</f>
        <v>0</v>
      </c>
      <c r="CR58" s="179"/>
      <c r="CS58" s="180"/>
      <c r="CT58" s="178" t="b">
        <f t="shared" ref="CT58" si="85">IF(R53="-"";""",IF(R53=0,0,IF(AND(R53&gt;=$W$57,R53&lt;=$AA$57),0,1)))</f>
        <v>0</v>
      </c>
      <c r="CU58" s="179"/>
      <c r="CV58" s="180"/>
      <c r="CW58" s="178" t="b">
        <f t="shared" ref="CW58" si="86">IF(U53="-"";""",IF(U53=0,0,IF(AND(U53&gt;=$W$57,U53&lt;=$AA$57),0,1)))</f>
        <v>0</v>
      </c>
      <c r="CX58" s="179"/>
      <c r="CY58" s="180"/>
      <c r="CZ58" s="178" t="b">
        <f t="shared" ref="CZ58" si="87">IF(X53="-"";""",IF(X53=0,0,IF(AND(X53&gt;=$W$57,X53&lt;=$AA$57),0,1)))</f>
        <v>0</v>
      </c>
      <c r="DA58" s="179"/>
      <c r="DB58" s="180"/>
      <c r="DC58" s="178" t="b">
        <f t="shared" ref="DC58" si="88">IF(AA53="-"";""",IF(AA53=0,0,IF(AND(AA53&gt;=$W$57,AA53&lt;=$AA$57),0,1)))</f>
        <v>0</v>
      </c>
      <c r="DD58" s="179"/>
      <c r="DE58" s="180"/>
      <c r="DF58" s="178" t="b">
        <f t="shared" ref="DF58" si="89">IF(AD53="-"";""",IF(AD53=0,0,IF(AND(AD53&gt;=$W$57,AD53&lt;=$AA$57),0,1)))</f>
        <v>0</v>
      </c>
      <c r="DG58" s="179"/>
      <c r="DH58" s="180"/>
      <c r="DI58" s="178" t="b">
        <f t="shared" ref="DI58" si="90">IF(AG53="-"";""",IF(AG53=0,0,IF(AND(AG53&gt;=$W$57,AG53&lt;=$AA$57),0,1)))</f>
        <v>0</v>
      </c>
      <c r="DJ58" s="179"/>
      <c r="DK58" s="180"/>
      <c r="DL58" s="178" t="b">
        <f t="shared" ref="DL58" si="91">IF(AJ53="-"";""",IF(AJ53=0,0,IF(AND(AJ53&gt;=$W$57,AJ53&lt;=$AA$57),0,1)))</f>
        <v>0</v>
      </c>
      <c r="DM58" s="179"/>
      <c r="DN58" s="180"/>
      <c r="DO58" s="178" t="b">
        <f t="shared" ref="DO58" si="92">IF(AM53="-"";""",IF(AM53=0,0,IF(AND(AM53&gt;=$W$57,AM53&lt;=$AA$57),0,1)))</f>
        <v>0</v>
      </c>
      <c r="DP58" s="179"/>
      <c r="DQ58" s="180"/>
    </row>
    <row r="59" spans="2:121" ht="5.0999999999999996" customHeight="1" thickBot="1" x14ac:dyDescent="0.3">
      <c r="B59" s="19"/>
      <c r="AG59" s="118"/>
      <c r="AP59" s="23"/>
      <c r="AV59" s="165"/>
      <c r="AW59" s="165"/>
      <c r="CE59" s="74"/>
      <c r="CF59" s="74"/>
      <c r="CG59" s="74"/>
      <c r="CH59" s="79"/>
      <c r="CI59" s="79"/>
      <c r="CJ59" s="79"/>
      <c r="CK59" s="79"/>
      <c r="CL59" s="79"/>
      <c r="CM59" s="79"/>
      <c r="CN59" s="79"/>
      <c r="CO59" s="79"/>
      <c r="CP59" s="79"/>
      <c r="CQ59" s="79"/>
      <c r="CR59" s="79"/>
      <c r="CS59" s="79"/>
      <c r="CT59" s="79"/>
      <c r="CU59" s="79"/>
      <c r="CV59" s="79"/>
      <c r="CW59" s="79"/>
      <c r="CX59" s="79"/>
      <c r="CY59" s="79"/>
      <c r="CZ59" s="79"/>
      <c r="DA59" s="79"/>
      <c r="DB59" s="79"/>
      <c r="DC59" s="79"/>
      <c r="DD59" s="79"/>
      <c r="DE59" s="79"/>
      <c r="DF59" s="79"/>
      <c r="DG59" s="79"/>
      <c r="DH59" s="79"/>
      <c r="DI59" s="79"/>
      <c r="DJ59" s="79"/>
      <c r="DK59" s="79"/>
      <c r="DL59" s="79"/>
      <c r="DM59" s="79"/>
      <c r="DN59" s="79"/>
      <c r="DO59" s="79"/>
      <c r="DP59" s="79"/>
      <c r="DQ59" s="79"/>
    </row>
    <row r="60" spans="2:121" ht="14.1" customHeight="1" thickBot="1" x14ac:dyDescent="0.3">
      <c r="B60" s="163" t="s">
        <v>62</v>
      </c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40"/>
      <c r="W60" s="177">
        <f>IF(AW65="X",BB65,IF(AW67="X",BB67,IF(AW70="X",BB70,0)))</f>
        <v>5247</v>
      </c>
      <c r="X60" s="177"/>
      <c r="Y60" s="177"/>
      <c r="Z60" s="177"/>
      <c r="AA60" s="177">
        <f>IF(AW65="X",BI65,IF(AW67="X",BI67,IF(AW70="X",BI70,0)))</f>
        <v>5573</v>
      </c>
      <c r="AB60" s="177"/>
      <c r="AC60" s="177"/>
      <c r="AD60" s="177"/>
      <c r="AE60" s="2"/>
      <c r="AF60" s="3"/>
      <c r="AG60" s="91" t="str">
        <f>IF(X54=0,0,IF(AND(X54&gt;=W60,X54&lt;=AA60),"X",0))</f>
        <v>X</v>
      </c>
      <c r="AH60" s="44" t="s">
        <v>17</v>
      </c>
      <c r="AI60" s="45"/>
      <c r="AJ60" s="46"/>
      <c r="AK60" s="47"/>
      <c r="AL60" s="48">
        <f>IF(SUM(C51:AO51)+SUM(C53:AO53)=0,0,IF(AND(X54&gt;=W60,X54&lt;=AA60),0,"X"))</f>
        <v>0</v>
      </c>
      <c r="AM60" s="44" t="s">
        <v>18</v>
      </c>
      <c r="AN60" s="45"/>
      <c r="AO60" s="45"/>
      <c r="AP60" s="17"/>
      <c r="AV60" s="151" t="s">
        <v>13</v>
      </c>
      <c r="AW60" s="151"/>
      <c r="AX60" t="s">
        <v>187</v>
      </c>
      <c r="BA60" s="151">
        <v>100</v>
      </c>
      <c r="BB60" s="151"/>
      <c r="BC60" s="151"/>
      <c r="BD60" s="151"/>
      <c r="BF60" t="s">
        <v>188</v>
      </c>
      <c r="BH60" s="151">
        <v>120</v>
      </c>
      <c r="BI60" s="151"/>
      <c r="BJ60" s="151"/>
      <c r="BK60" s="151"/>
      <c r="CE60" s="166">
        <f>SUM(CE56:DQ58)</f>
        <v>0</v>
      </c>
      <c r="CF60" s="167"/>
      <c r="CG60" s="168"/>
    </row>
    <row r="61" spans="2:121" ht="3.95" customHeight="1" x14ac:dyDescent="0.25">
      <c r="B61" s="81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65"/>
      <c r="X61" s="65"/>
      <c r="Y61" s="65"/>
      <c r="Z61" s="65"/>
      <c r="AA61" s="65"/>
      <c r="AB61" s="65"/>
      <c r="AC61" s="65"/>
      <c r="AD61" s="65"/>
      <c r="AG61" s="66"/>
      <c r="AH61" s="67"/>
      <c r="AI61" s="68"/>
      <c r="AJ61" s="69"/>
      <c r="AK61" s="70"/>
      <c r="AL61" s="66"/>
      <c r="AM61" s="67"/>
      <c r="AN61" s="68"/>
      <c r="AO61" s="68"/>
      <c r="AP61" s="23"/>
      <c r="CE61" s="79"/>
      <c r="CF61" s="79"/>
      <c r="CG61" s="79"/>
    </row>
    <row r="62" spans="2:121" ht="14.1" customHeight="1" thickBot="1" x14ac:dyDescent="0.3">
      <c r="B62" s="169" t="s">
        <v>112</v>
      </c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1" t="s">
        <v>428</v>
      </c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2"/>
      <c r="CE62" s="79"/>
      <c r="CF62" s="79"/>
      <c r="CG62" s="79"/>
    </row>
    <row r="63" spans="2:121" ht="5.0999999999999996" customHeight="1" thickBot="1" x14ac:dyDescent="0.3"/>
    <row r="64" spans="2:121" x14ac:dyDescent="0.25">
      <c r="B64" s="157" t="s">
        <v>86</v>
      </c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73" t="s">
        <v>92</v>
      </c>
      <c r="O64" s="174"/>
      <c r="P64" s="174"/>
      <c r="Q64" s="174"/>
      <c r="R64" s="174"/>
      <c r="S64" s="174"/>
      <c r="T64" s="174"/>
      <c r="U64" s="174"/>
      <c r="V64" s="62" t="s">
        <v>91</v>
      </c>
      <c r="W64" s="63"/>
      <c r="X64" s="63"/>
      <c r="Y64" s="351" t="str">
        <f>VLOOKUP($AN$1,'plan de data'!$A$3:$C$189,3,0)</f>
        <v>1238-1239-1240-1241</v>
      </c>
      <c r="Z64" s="351"/>
      <c r="AA64" s="351"/>
      <c r="AB64" s="351"/>
      <c r="AC64" s="351"/>
      <c r="AD64" s="352"/>
      <c r="AE64" s="160" t="s">
        <v>16</v>
      </c>
      <c r="AF64" s="161"/>
      <c r="AG64" s="161"/>
      <c r="AH64" s="161"/>
      <c r="AI64" s="161"/>
      <c r="AJ64" s="161"/>
      <c r="AK64" s="161"/>
      <c r="AL64" s="161"/>
      <c r="AM64" s="161"/>
      <c r="AN64" s="161"/>
      <c r="AO64" s="161"/>
      <c r="AP64" s="162"/>
    </row>
    <row r="65" spans="2:95" x14ac:dyDescent="0.25">
      <c r="B65" s="56"/>
      <c r="C65" s="31" t="s">
        <v>97</v>
      </c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8"/>
      <c r="AE65" s="76"/>
      <c r="AF65" s="3"/>
      <c r="AG65" s="91" t="s">
        <v>58</v>
      </c>
      <c r="AH65" s="44" t="s">
        <v>17</v>
      </c>
      <c r="AI65" s="45"/>
      <c r="AJ65" s="46"/>
      <c r="AK65" s="47"/>
      <c r="AL65" s="48"/>
      <c r="AM65" s="44" t="s">
        <v>18</v>
      </c>
      <c r="AN65" s="45"/>
      <c r="AO65" s="45"/>
      <c r="AP65" s="17"/>
      <c r="AW65" s="151" t="s">
        <v>13</v>
      </c>
      <c r="AX65" s="151"/>
      <c r="AY65" t="s">
        <v>137</v>
      </c>
      <c r="BB65" s="151">
        <v>5247</v>
      </c>
      <c r="BC65" s="151"/>
      <c r="BD65" s="151"/>
      <c r="BE65" s="151"/>
      <c r="BG65" t="s">
        <v>188</v>
      </c>
      <c r="BI65" s="151">
        <v>5573</v>
      </c>
      <c r="BJ65" s="151"/>
      <c r="BK65" s="151"/>
      <c r="BL65" s="151"/>
      <c r="BN65" t="s">
        <v>190</v>
      </c>
    </row>
    <row r="66" spans="2:95" x14ac:dyDescent="0.25">
      <c r="B66" s="36"/>
      <c r="C66" s="31" t="s">
        <v>110</v>
      </c>
      <c r="D66" s="32"/>
      <c r="E66" s="33"/>
      <c r="F66" s="33"/>
      <c r="G66" s="33"/>
      <c r="H66" s="33"/>
      <c r="I66" s="33"/>
      <c r="J66" s="33"/>
      <c r="K66" s="32"/>
      <c r="L66" s="32"/>
      <c r="M66" s="32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4"/>
      <c r="AE66" s="2"/>
      <c r="AF66" s="3"/>
      <c r="AG66" s="91" t="s">
        <v>58</v>
      </c>
      <c r="AH66" s="44" t="s">
        <v>17</v>
      </c>
      <c r="AI66" s="45"/>
      <c r="AJ66" s="46"/>
      <c r="AK66" s="47"/>
      <c r="AL66" s="48"/>
      <c r="AM66" s="44" t="s">
        <v>18</v>
      </c>
      <c r="AN66" s="45"/>
      <c r="AO66" s="45"/>
      <c r="AP66" s="17"/>
      <c r="AW66" s="165"/>
      <c r="AX66" s="165"/>
    </row>
    <row r="67" spans="2:95" ht="15.75" thickBot="1" x14ac:dyDescent="0.3">
      <c r="B67" s="51"/>
      <c r="C67" s="52" t="s">
        <v>111</v>
      </c>
      <c r="D67" s="53"/>
      <c r="E67" s="54"/>
      <c r="F67" s="54"/>
      <c r="G67" s="54"/>
      <c r="H67" s="54"/>
      <c r="I67" s="54"/>
      <c r="J67" s="54"/>
      <c r="K67" s="53"/>
      <c r="L67" s="53"/>
      <c r="M67" s="53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55"/>
      <c r="AE67" s="25"/>
      <c r="AF67" s="26"/>
      <c r="AG67" s="349" t="s">
        <v>58</v>
      </c>
      <c r="AH67" s="40" t="s">
        <v>17</v>
      </c>
      <c r="AI67" s="41"/>
      <c r="AJ67" s="42"/>
      <c r="AK67" s="43"/>
      <c r="AL67" s="50"/>
      <c r="AM67" s="40" t="s">
        <v>18</v>
      </c>
      <c r="AN67" s="41"/>
      <c r="AO67" s="41"/>
      <c r="AP67" s="27"/>
      <c r="AW67" s="151"/>
      <c r="AX67" s="151"/>
      <c r="AY67" t="s">
        <v>187</v>
      </c>
      <c r="BB67" s="151">
        <v>1846</v>
      </c>
      <c r="BC67" s="151"/>
      <c r="BD67" s="151"/>
      <c r="BE67" s="151"/>
      <c r="BG67" t="s">
        <v>188</v>
      </c>
      <c r="BI67" s="151">
        <v>2100</v>
      </c>
      <c r="BJ67" s="151"/>
      <c r="BK67" s="151"/>
      <c r="BL67" s="151"/>
      <c r="BN67" t="s">
        <v>190</v>
      </c>
    </row>
    <row r="68" spans="2:95" ht="5.0999999999999996" customHeight="1" thickBot="1" x14ac:dyDescent="0.3"/>
    <row r="69" spans="2:95" ht="14.1" customHeight="1" x14ac:dyDescent="0.25">
      <c r="B69" s="157" t="s">
        <v>68</v>
      </c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9"/>
      <c r="AE69" s="160" t="s">
        <v>16</v>
      </c>
      <c r="AF69" s="161"/>
      <c r="AG69" s="161"/>
      <c r="AH69" s="161"/>
      <c r="AI69" s="161"/>
      <c r="AJ69" s="161"/>
      <c r="AK69" s="161"/>
      <c r="AL69" s="161"/>
      <c r="AM69" s="161"/>
      <c r="AN69" s="161"/>
      <c r="AO69" s="161"/>
      <c r="AP69" s="162"/>
      <c r="CE69" s="29">
        <v>1</v>
      </c>
      <c r="CF69" s="29">
        <v>2</v>
      </c>
      <c r="CG69" s="29">
        <v>3</v>
      </c>
      <c r="CH69" s="29">
        <v>4</v>
      </c>
      <c r="CI69" s="29">
        <v>5</v>
      </c>
      <c r="CJ69" s="29">
        <v>6</v>
      </c>
      <c r="CK69" s="29">
        <v>7</v>
      </c>
      <c r="CL69" s="29">
        <v>8</v>
      </c>
      <c r="CM69" s="29">
        <v>9</v>
      </c>
      <c r="CN69" s="29">
        <v>10</v>
      </c>
      <c r="CO69" s="29">
        <v>11</v>
      </c>
      <c r="CP69" s="29">
        <v>12</v>
      </c>
      <c r="CQ69" s="29">
        <v>13</v>
      </c>
    </row>
    <row r="70" spans="2:95" ht="14.1" customHeight="1" x14ac:dyDescent="0.25">
      <c r="B70" s="36"/>
      <c r="C70" s="31" t="s">
        <v>69</v>
      </c>
      <c r="D70" s="32"/>
      <c r="E70" s="33"/>
      <c r="F70" s="33"/>
      <c r="G70" s="33"/>
      <c r="H70" s="33"/>
      <c r="I70" s="33"/>
      <c r="J70" s="33"/>
      <c r="K70" s="32"/>
      <c r="L70" s="32"/>
      <c r="M70" s="32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4"/>
      <c r="AE70" s="2"/>
      <c r="AF70" s="3"/>
      <c r="AG70" s="91" t="s">
        <v>58</v>
      </c>
      <c r="AH70" s="44" t="s">
        <v>17</v>
      </c>
      <c r="AI70" s="45"/>
      <c r="AJ70" s="46"/>
      <c r="AK70" s="47"/>
      <c r="AL70" s="48"/>
      <c r="AM70" s="44" t="s">
        <v>18</v>
      </c>
      <c r="AN70" s="45"/>
      <c r="AO70" s="45"/>
      <c r="AP70" s="17"/>
      <c r="AW70" s="151"/>
      <c r="AX70" s="151"/>
      <c r="AY70" t="s">
        <v>137</v>
      </c>
      <c r="BB70" s="151">
        <f>BA58*22</f>
        <v>7062</v>
      </c>
      <c r="BC70" s="151"/>
      <c r="BD70" s="151"/>
      <c r="BE70" s="151"/>
      <c r="BG70" t="s">
        <v>188</v>
      </c>
      <c r="BI70" s="151">
        <f>22*BH58</f>
        <v>7832</v>
      </c>
      <c r="BJ70" s="151"/>
      <c r="BK70" s="151"/>
      <c r="BL70" s="151"/>
      <c r="BN70" t="s">
        <v>191</v>
      </c>
      <c r="CE70" s="28" t="b">
        <f>CE56</f>
        <v>0</v>
      </c>
      <c r="CF70" s="28" t="b">
        <f>CH56</f>
        <v>0</v>
      </c>
      <c r="CG70" s="28" t="b">
        <f>CK56</f>
        <v>0</v>
      </c>
      <c r="CH70" s="28" t="b">
        <f>CN56</f>
        <v>0</v>
      </c>
      <c r="CI70" s="28" t="b">
        <f>CQ56</f>
        <v>0</v>
      </c>
      <c r="CJ70" s="28" t="b">
        <f>CT56</f>
        <v>0</v>
      </c>
      <c r="CK70" s="28" t="b">
        <f>CW56</f>
        <v>0</v>
      </c>
      <c r="CL70" s="28" t="b">
        <f>CZ56</f>
        <v>0</v>
      </c>
      <c r="CM70" s="28" t="b">
        <f>DC56</f>
        <v>0</v>
      </c>
      <c r="CN70" s="28">
        <f>DF57</f>
        <v>0</v>
      </c>
      <c r="CO70" s="28" t="b">
        <f>DI56</f>
        <v>0</v>
      </c>
      <c r="CP70" s="28" t="b">
        <f>DL56</f>
        <v>0</v>
      </c>
      <c r="CQ70" s="28" t="b">
        <f>DO56</f>
        <v>0</v>
      </c>
    </row>
    <row r="71" spans="2:95" ht="14.1" customHeight="1" x14ac:dyDescent="0.25">
      <c r="B71" s="36"/>
      <c r="C71" s="31" t="s">
        <v>70</v>
      </c>
      <c r="D71" s="32"/>
      <c r="E71" s="33"/>
      <c r="F71" s="33"/>
      <c r="G71" s="33"/>
      <c r="H71" s="33"/>
      <c r="I71" s="33"/>
      <c r="J71" s="33"/>
      <c r="K71" s="32"/>
      <c r="L71" s="32"/>
      <c r="M71" s="32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4"/>
      <c r="AE71" s="2"/>
      <c r="AF71" s="3"/>
      <c r="AG71" s="91" t="s">
        <v>58</v>
      </c>
      <c r="AH71" s="44" t="s">
        <v>17</v>
      </c>
      <c r="AI71" s="45"/>
      <c r="AJ71" s="46"/>
      <c r="AK71" s="47"/>
      <c r="AL71" s="48"/>
      <c r="AM71" s="44" t="s">
        <v>18</v>
      </c>
      <c r="AN71" s="45"/>
      <c r="AO71" s="45"/>
      <c r="AP71" s="17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</row>
    <row r="72" spans="2:95" ht="14.1" customHeight="1" x14ac:dyDescent="0.25">
      <c r="B72" s="36"/>
      <c r="C72" s="31" t="s">
        <v>84</v>
      </c>
      <c r="D72" s="32"/>
      <c r="E72" s="33"/>
      <c r="F72" s="33"/>
      <c r="G72" s="33"/>
      <c r="H72" s="33"/>
      <c r="I72" s="33"/>
      <c r="J72" s="33"/>
      <c r="K72" s="32"/>
      <c r="L72" s="32"/>
      <c r="M72" s="32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4"/>
      <c r="AE72" s="2"/>
      <c r="AF72" s="3"/>
      <c r="AG72" s="91" t="s">
        <v>58</v>
      </c>
      <c r="AH72" s="44" t="s">
        <v>17</v>
      </c>
      <c r="AI72" s="45"/>
      <c r="AJ72" s="46"/>
      <c r="AK72" s="47"/>
      <c r="AL72" s="48"/>
      <c r="AM72" s="44" t="s">
        <v>18</v>
      </c>
      <c r="AN72" s="45"/>
      <c r="AO72" s="45"/>
      <c r="AP72" s="17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</row>
    <row r="73" spans="2:95" ht="14.1" customHeight="1" x14ac:dyDescent="0.25">
      <c r="B73" s="36"/>
      <c r="C73" s="31" t="s">
        <v>71</v>
      </c>
      <c r="D73" s="32"/>
      <c r="E73" s="33"/>
      <c r="F73" s="33"/>
      <c r="G73" s="33"/>
      <c r="H73" s="33"/>
      <c r="I73" s="33"/>
      <c r="J73" s="33"/>
      <c r="K73" s="32"/>
      <c r="L73" s="32"/>
      <c r="M73" s="32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4"/>
      <c r="AE73" s="2"/>
      <c r="AF73" s="3"/>
      <c r="AG73" s="91" t="s">
        <v>58</v>
      </c>
      <c r="AH73" s="44" t="s">
        <v>17</v>
      </c>
      <c r="AI73" s="45"/>
      <c r="AJ73" s="46"/>
      <c r="AK73" s="47"/>
      <c r="AL73" s="48"/>
      <c r="AM73" s="44" t="s">
        <v>18</v>
      </c>
      <c r="AN73" s="45"/>
      <c r="AO73" s="45"/>
      <c r="AP73" s="17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</row>
    <row r="74" spans="2:95" ht="5.0999999999999996" customHeight="1" x14ac:dyDescent="0.25">
      <c r="B74" s="19"/>
      <c r="AP74" s="23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</row>
    <row r="75" spans="2:95" ht="14.1" customHeight="1" x14ac:dyDescent="0.25">
      <c r="B75" s="163" t="s">
        <v>72</v>
      </c>
      <c r="C75" s="139"/>
      <c r="D75" s="139"/>
      <c r="E75" s="139"/>
      <c r="F75" s="139"/>
      <c r="G75" s="139"/>
      <c r="H75" s="139"/>
      <c r="I75" s="139"/>
      <c r="J75" s="139"/>
      <c r="K75" s="140"/>
      <c r="L75" s="138" t="s">
        <v>73</v>
      </c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 t="s">
        <v>74</v>
      </c>
      <c r="Y75" s="139"/>
      <c r="Z75" s="139"/>
      <c r="AA75" s="139"/>
      <c r="AB75" s="139"/>
      <c r="AC75" s="139"/>
      <c r="AD75" s="139"/>
      <c r="AE75" s="139"/>
      <c r="AF75" s="139"/>
      <c r="AG75" s="139"/>
      <c r="AH75" s="139"/>
      <c r="AI75" s="139"/>
      <c r="AJ75" s="139"/>
      <c r="AK75" s="139"/>
      <c r="AL75" s="139"/>
      <c r="AM75" s="139"/>
      <c r="AN75" s="139"/>
      <c r="AO75" s="139"/>
      <c r="AP75" s="164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</row>
    <row r="76" spans="2:95" ht="14.1" customHeight="1" x14ac:dyDescent="0.25">
      <c r="B76" s="141"/>
      <c r="C76" s="142"/>
      <c r="D76" s="142"/>
      <c r="E76" s="142"/>
      <c r="F76" s="142"/>
      <c r="G76" s="142"/>
      <c r="H76" s="142"/>
      <c r="I76" s="142"/>
      <c r="J76" s="142"/>
      <c r="K76" s="143"/>
      <c r="L76" s="48"/>
      <c r="M76" s="1" t="s">
        <v>20</v>
      </c>
      <c r="N76" s="1"/>
      <c r="O76" s="1"/>
      <c r="P76" s="48"/>
      <c r="Q76" s="1" t="s">
        <v>21</v>
      </c>
      <c r="R76" s="1"/>
      <c r="S76" s="1"/>
      <c r="T76" s="48"/>
      <c r="U76" s="1" t="s">
        <v>22</v>
      </c>
      <c r="V76" s="1"/>
      <c r="W76" s="1"/>
      <c r="X76" s="144"/>
      <c r="Y76" s="144"/>
      <c r="Z76" s="144"/>
      <c r="AA76" s="144"/>
      <c r="AB76" s="144"/>
      <c r="AC76" s="144"/>
      <c r="AD76" s="144"/>
      <c r="AE76" s="144"/>
      <c r="AF76" s="144"/>
      <c r="AG76" s="144"/>
      <c r="AH76" s="144"/>
      <c r="AI76" s="144"/>
      <c r="AJ76" s="144"/>
      <c r="AK76" s="144"/>
      <c r="AL76" s="144"/>
      <c r="AM76" s="144"/>
      <c r="AN76" s="144"/>
      <c r="AO76" s="144"/>
      <c r="AP76" s="145"/>
      <c r="CE76" s="29">
        <v>14</v>
      </c>
      <c r="CF76" s="29">
        <v>15</v>
      </c>
      <c r="CG76" s="29">
        <v>16</v>
      </c>
      <c r="CH76" s="29">
        <v>17</v>
      </c>
      <c r="CI76" s="29">
        <v>18</v>
      </c>
      <c r="CJ76" s="29">
        <v>19</v>
      </c>
      <c r="CK76" s="29">
        <v>20</v>
      </c>
      <c r="CL76" s="29">
        <v>21</v>
      </c>
      <c r="CM76" s="29">
        <v>22</v>
      </c>
      <c r="CN76" s="29">
        <v>23</v>
      </c>
      <c r="CO76" s="29">
        <v>24</v>
      </c>
      <c r="CP76" s="29">
        <v>25</v>
      </c>
      <c r="CQ76" s="29">
        <v>26</v>
      </c>
    </row>
    <row r="77" spans="2:95" ht="14.1" customHeight="1" x14ac:dyDescent="0.25">
      <c r="B77" s="141"/>
      <c r="C77" s="142"/>
      <c r="D77" s="142"/>
      <c r="E77" s="142"/>
      <c r="F77" s="142"/>
      <c r="G77" s="142"/>
      <c r="H77" s="142"/>
      <c r="I77" s="142"/>
      <c r="J77" s="142"/>
      <c r="K77" s="143"/>
      <c r="L77" s="48"/>
      <c r="M77" s="1" t="s">
        <v>20</v>
      </c>
      <c r="N77" s="1"/>
      <c r="O77" s="1"/>
      <c r="P77" s="48"/>
      <c r="Q77" s="1" t="s">
        <v>21</v>
      </c>
      <c r="R77" s="1"/>
      <c r="S77" s="1"/>
      <c r="T77" s="48"/>
      <c r="U77" s="1" t="s">
        <v>22</v>
      </c>
      <c r="V77" s="1"/>
      <c r="W77" s="1"/>
      <c r="X77" s="144"/>
      <c r="Y77" s="144"/>
      <c r="Z77" s="144"/>
      <c r="AA77" s="144"/>
      <c r="AB77" s="144"/>
      <c r="AC77" s="144"/>
      <c r="AD77" s="144"/>
      <c r="AE77" s="144"/>
      <c r="AF77" s="144"/>
      <c r="AG77" s="144"/>
      <c r="AH77" s="144"/>
      <c r="AI77" s="144"/>
      <c r="AJ77" s="144"/>
      <c r="AK77" s="144"/>
      <c r="AL77" s="144"/>
      <c r="AM77" s="144"/>
      <c r="AN77" s="144"/>
      <c r="AO77" s="144"/>
      <c r="AP77" s="145"/>
      <c r="CE77" s="28" t="b">
        <f>CE58</f>
        <v>0</v>
      </c>
      <c r="CF77" s="28" t="b">
        <f>CH58</f>
        <v>0</v>
      </c>
      <c r="CG77" s="28" t="b">
        <f>CK58</f>
        <v>0</v>
      </c>
      <c r="CH77" s="28" t="b">
        <f>CN58</f>
        <v>0</v>
      </c>
      <c r="CI77" s="28" t="b">
        <f>CQ58</f>
        <v>0</v>
      </c>
      <c r="CJ77" s="28" t="b">
        <f>CT58</f>
        <v>0</v>
      </c>
      <c r="CK77" s="28" t="b">
        <f>CW58</f>
        <v>0</v>
      </c>
      <c r="CL77" s="28" t="b">
        <f>CZ58</f>
        <v>0</v>
      </c>
      <c r="CM77" s="28" t="b">
        <f>DC58</f>
        <v>0</v>
      </c>
      <c r="CN77" s="28" t="b">
        <f>DF58</f>
        <v>0</v>
      </c>
      <c r="CO77" s="28" t="b">
        <f>DI58</f>
        <v>0</v>
      </c>
      <c r="CP77" s="28" t="b">
        <f>DL58</f>
        <v>0</v>
      </c>
      <c r="CQ77" s="28" t="b">
        <f>DO58</f>
        <v>0</v>
      </c>
    </row>
    <row r="78" spans="2:95" ht="14.1" customHeight="1" x14ac:dyDescent="0.25">
      <c r="B78" s="141"/>
      <c r="C78" s="142"/>
      <c r="D78" s="142"/>
      <c r="E78" s="142"/>
      <c r="F78" s="142"/>
      <c r="G78" s="142"/>
      <c r="H78" s="142"/>
      <c r="I78" s="142"/>
      <c r="J78" s="142"/>
      <c r="K78" s="143"/>
      <c r="L78" s="48"/>
      <c r="M78" s="1" t="s">
        <v>20</v>
      </c>
      <c r="N78" s="1"/>
      <c r="O78" s="1"/>
      <c r="P78" s="48"/>
      <c r="Q78" s="1" t="s">
        <v>21</v>
      </c>
      <c r="R78" s="1"/>
      <c r="S78" s="1"/>
      <c r="T78" s="48"/>
      <c r="U78" s="1" t="s">
        <v>22</v>
      </c>
      <c r="V78" s="1"/>
      <c r="W78" s="1"/>
      <c r="X78" s="144"/>
      <c r="Y78" s="144"/>
      <c r="Z78" s="144"/>
      <c r="AA78" s="144"/>
      <c r="AB78" s="144"/>
      <c r="AC78" s="144"/>
      <c r="AD78" s="144"/>
      <c r="AE78" s="144"/>
      <c r="AF78" s="144"/>
      <c r="AG78" s="144"/>
      <c r="AH78" s="144"/>
      <c r="AI78" s="144"/>
      <c r="AJ78" s="144"/>
      <c r="AK78" s="144"/>
      <c r="AL78" s="144"/>
      <c r="AM78" s="144"/>
      <c r="AN78" s="144"/>
      <c r="AO78" s="144"/>
      <c r="AP78" s="145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</row>
    <row r="79" spans="2:95" ht="14.1" customHeight="1" x14ac:dyDescent="0.25">
      <c r="B79" s="141"/>
      <c r="C79" s="142"/>
      <c r="D79" s="142"/>
      <c r="E79" s="142"/>
      <c r="F79" s="142"/>
      <c r="G79" s="142"/>
      <c r="H79" s="142"/>
      <c r="I79" s="142"/>
      <c r="J79" s="142"/>
      <c r="K79" s="143"/>
      <c r="L79" s="48"/>
      <c r="M79" s="1" t="s">
        <v>20</v>
      </c>
      <c r="N79" s="1"/>
      <c r="O79" s="1"/>
      <c r="P79" s="48"/>
      <c r="Q79" s="1" t="s">
        <v>21</v>
      </c>
      <c r="R79" s="1"/>
      <c r="S79" s="1"/>
      <c r="T79" s="48"/>
      <c r="U79" s="1" t="s">
        <v>22</v>
      </c>
      <c r="V79" s="1"/>
      <c r="W79" s="1"/>
      <c r="X79" s="144"/>
      <c r="Y79" s="144"/>
      <c r="Z79" s="144"/>
      <c r="AA79" s="144"/>
      <c r="AB79" s="144"/>
      <c r="AC79" s="144"/>
      <c r="AD79" s="144"/>
      <c r="AE79" s="144"/>
      <c r="AF79" s="144"/>
      <c r="AG79" s="144"/>
      <c r="AH79" s="144"/>
      <c r="AI79" s="144"/>
      <c r="AJ79" s="144"/>
      <c r="AK79" s="144"/>
      <c r="AL79" s="144"/>
      <c r="AM79" s="144"/>
      <c r="AN79" s="144"/>
      <c r="AO79" s="144"/>
      <c r="AP79" s="145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</row>
    <row r="80" spans="2:95" ht="14.1" customHeight="1" thickBot="1" x14ac:dyDescent="0.3">
      <c r="B80" s="146"/>
      <c r="C80" s="147"/>
      <c r="D80" s="147"/>
      <c r="E80" s="147"/>
      <c r="F80" s="147"/>
      <c r="G80" s="147"/>
      <c r="H80" s="147"/>
      <c r="I80" s="147"/>
      <c r="J80" s="147"/>
      <c r="K80" s="148"/>
      <c r="L80" s="50"/>
      <c r="M80" s="37" t="s">
        <v>20</v>
      </c>
      <c r="N80" s="37"/>
      <c r="O80" s="37"/>
      <c r="P80" s="50"/>
      <c r="Q80" s="37" t="s">
        <v>21</v>
      </c>
      <c r="R80" s="37"/>
      <c r="S80" s="37"/>
      <c r="T80" s="50"/>
      <c r="U80" s="37" t="s">
        <v>22</v>
      </c>
      <c r="V80" s="37"/>
      <c r="W80" s="37"/>
      <c r="X80" s="149"/>
      <c r="Y80" s="149"/>
      <c r="Z80" s="149"/>
      <c r="AA80" s="149"/>
      <c r="AB80" s="149"/>
      <c r="AC80" s="149"/>
      <c r="AD80" s="149"/>
      <c r="AE80" s="149"/>
      <c r="AF80" s="149"/>
      <c r="AG80" s="149"/>
      <c r="AH80" s="149"/>
      <c r="AI80" s="149"/>
      <c r="AJ80" s="149"/>
      <c r="AK80" s="149"/>
      <c r="AL80" s="149"/>
      <c r="AM80" s="149"/>
      <c r="AN80" s="149"/>
      <c r="AO80" s="149"/>
      <c r="AP80" s="150"/>
    </row>
    <row r="81" spans="2:65" ht="5.0999999999999996" customHeight="1" thickBot="1" x14ac:dyDescent="0.3">
      <c r="AS81" s="151">
        <v>0</v>
      </c>
      <c r="AT81" s="151"/>
      <c r="AU81" s="151"/>
      <c r="AV81" s="151"/>
      <c r="AW81" s="151"/>
      <c r="AX81" s="151"/>
      <c r="AY81" s="151"/>
      <c r="AZ81" s="151"/>
      <c r="BA81" s="151"/>
      <c r="BB81" s="151"/>
    </row>
    <row r="82" spans="2:65" ht="14.45" customHeight="1" x14ac:dyDescent="0.25">
      <c r="B82" s="152" t="s">
        <v>90</v>
      </c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4"/>
      <c r="N82" s="155" t="s">
        <v>87</v>
      </c>
      <c r="O82" s="153"/>
      <c r="P82" s="153"/>
      <c r="Q82" s="153"/>
      <c r="R82" s="153"/>
      <c r="S82" s="153"/>
      <c r="T82" s="153"/>
      <c r="U82" s="153"/>
      <c r="V82" s="153"/>
      <c r="W82" s="154"/>
      <c r="X82" s="155" t="s">
        <v>88</v>
      </c>
      <c r="Y82" s="153"/>
      <c r="Z82" s="153"/>
      <c r="AA82" s="153"/>
      <c r="AB82" s="153"/>
      <c r="AC82" s="153"/>
      <c r="AD82" s="153"/>
      <c r="AE82" s="153"/>
      <c r="AF82" s="153"/>
      <c r="AG82" s="153"/>
      <c r="AH82" s="153"/>
      <c r="AI82" s="153"/>
      <c r="AJ82" s="154"/>
      <c r="AK82" s="155" t="s">
        <v>89</v>
      </c>
      <c r="AL82" s="153"/>
      <c r="AM82" s="153"/>
      <c r="AN82" s="153"/>
      <c r="AO82" s="153"/>
      <c r="AP82" s="156"/>
      <c r="AS82" s="151"/>
      <c r="AT82" s="151"/>
      <c r="AU82" s="151"/>
      <c r="AV82" s="151"/>
      <c r="AW82" s="151"/>
      <c r="AX82" s="151"/>
      <c r="AY82" s="151"/>
      <c r="AZ82" s="151"/>
      <c r="BA82" s="151"/>
      <c r="BB82" s="151"/>
      <c r="BD82" t="s">
        <v>408</v>
      </c>
    </row>
    <row r="83" spans="2:65" ht="24.6" customHeight="1" thickBot="1" x14ac:dyDescent="0.3">
      <c r="B83" s="128" t="s">
        <v>140</v>
      </c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30"/>
      <c r="N83" s="131" t="s">
        <v>141</v>
      </c>
      <c r="O83" s="129"/>
      <c r="P83" s="129"/>
      <c r="Q83" s="129"/>
      <c r="R83" s="129"/>
      <c r="S83" s="129"/>
      <c r="T83" s="129"/>
      <c r="U83" s="129"/>
      <c r="V83" s="129"/>
      <c r="W83" s="130"/>
      <c r="X83" s="131" t="e" vm="1">
        <v>#VALUE!</v>
      </c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30"/>
      <c r="AK83" s="132">
        <f>B6+28</f>
        <v>45896</v>
      </c>
      <c r="AL83" s="133"/>
      <c r="AM83" s="133"/>
      <c r="AN83" s="133"/>
      <c r="AO83" s="133"/>
      <c r="AP83" s="134"/>
      <c r="AS83" s="135">
        <f>AK83+AS81</f>
        <v>45896</v>
      </c>
      <c r="AT83" s="136"/>
      <c r="AU83" s="136"/>
      <c r="AV83" s="136"/>
      <c r="AW83" s="136"/>
      <c r="AX83" s="136"/>
      <c r="AY83" s="136"/>
      <c r="AZ83" s="136"/>
      <c r="BA83" s="136"/>
      <c r="BB83" s="137"/>
      <c r="BC83">
        <v>1</v>
      </c>
      <c r="BF83" s="138" t="str">
        <f>TEXT(AS83,"ddd")</f>
        <v>qua</v>
      </c>
      <c r="BG83" s="139"/>
      <c r="BH83" s="139"/>
      <c r="BI83" s="139"/>
      <c r="BJ83" s="139"/>
      <c r="BK83" s="139"/>
      <c r="BL83" s="139"/>
      <c r="BM83" s="140"/>
    </row>
  </sheetData>
  <sheetProtection autoFilter="0"/>
  <protectedRanges>
    <protectedRange sqref="AG6 AM6 B29:S33 AG70:AG73 AL70:AL73 AL65:AL67 AG65:AG67 AE42 AI42 AM42 AG38 AL38 AG29 AL29 AG22 AL22 P2 G11:AP11" name="Intervalo2"/>
    <protectedRange sqref="AG2" name="Intervalo1_1_1"/>
  </protectedRanges>
  <autoFilter ref="A6:A19" xr:uid="{00000000-0009-0000-0000-000001000000}">
    <filterColumn colId="0">
      <customFilters>
        <customFilter operator="notEqual" val=" "/>
      </customFilters>
    </filterColumn>
  </autoFilter>
  <mergeCells count="533">
    <mergeCell ref="B83:M83"/>
    <mergeCell ref="N83:W83"/>
    <mergeCell ref="X83:AJ83"/>
    <mergeCell ref="AK83:AP83"/>
    <mergeCell ref="AS83:BB83"/>
    <mergeCell ref="BF83:BM83"/>
    <mergeCell ref="B79:K79"/>
    <mergeCell ref="X79:AP79"/>
    <mergeCell ref="B80:K80"/>
    <mergeCell ref="X80:AP80"/>
    <mergeCell ref="AS81:BB82"/>
    <mergeCell ref="B82:M82"/>
    <mergeCell ref="N82:W82"/>
    <mergeCell ref="X82:AJ82"/>
    <mergeCell ref="AK82:AP82"/>
    <mergeCell ref="B76:K76"/>
    <mergeCell ref="X76:AP76"/>
    <mergeCell ref="B77:K77"/>
    <mergeCell ref="X77:AP77"/>
    <mergeCell ref="B78:K78"/>
    <mergeCell ref="X78:AP78"/>
    <mergeCell ref="B69:AD69"/>
    <mergeCell ref="AE69:AP69"/>
    <mergeCell ref="AW70:AX70"/>
    <mergeCell ref="BB70:BE70"/>
    <mergeCell ref="BI70:BL70"/>
    <mergeCell ref="B75:K75"/>
    <mergeCell ref="L75:W75"/>
    <mergeCell ref="X75:AP75"/>
    <mergeCell ref="AW65:AX65"/>
    <mergeCell ref="BB65:BE65"/>
    <mergeCell ref="BI65:BL65"/>
    <mergeCell ref="AW66:AX66"/>
    <mergeCell ref="AW67:AX67"/>
    <mergeCell ref="BB67:BE67"/>
    <mergeCell ref="BI67:BL67"/>
    <mergeCell ref="CE60:CG60"/>
    <mergeCell ref="B62:Z62"/>
    <mergeCell ref="AA62:AP62"/>
    <mergeCell ref="B64:M64"/>
    <mergeCell ref="N64:U64"/>
    <mergeCell ref="Y64:AD64"/>
    <mergeCell ref="AE64:AP64"/>
    <mergeCell ref="B60:V60"/>
    <mergeCell ref="W60:Z60"/>
    <mergeCell ref="AA60:AD60"/>
    <mergeCell ref="AV60:AW60"/>
    <mergeCell ref="BA60:BD60"/>
    <mergeCell ref="BH60:BK60"/>
    <mergeCell ref="DC58:DE58"/>
    <mergeCell ref="DF58:DH58"/>
    <mergeCell ref="DI58:DK58"/>
    <mergeCell ref="DL58:DN58"/>
    <mergeCell ref="DO58:DQ58"/>
    <mergeCell ref="AV59:AW59"/>
    <mergeCell ref="CK58:CM58"/>
    <mergeCell ref="CN58:CP58"/>
    <mergeCell ref="CQ58:CS58"/>
    <mergeCell ref="CT58:CV58"/>
    <mergeCell ref="CW58:CY58"/>
    <mergeCell ref="CZ58:DB58"/>
    <mergeCell ref="C58:M58"/>
    <mergeCell ref="AV58:AW58"/>
    <mergeCell ref="BA58:BD58"/>
    <mergeCell ref="BH58:BK58"/>
    <mergeCell ref="CE58:CG58"/>
    <mergeCell ref="CH58:CJ58"/>
    <mergeCell ref="CN57:CP57"/>
    <mergeCell ref="CQ57:CS57"/>
    <mergeCell ref="CT57:CV57"/>
    <mergeCell ref="DL56:DN56"/>
    <mergeCell ref="DO56:DQ56"/>
    <mergeCell ref="B57:V57"/>
    <mergeCell ref="W57:Z57"/>
    <mergeCell ref="AA57:AD57"/>
    <mergeCell ref="CE57:CG57"/>
    <mergeCell ref="CH57:CJ57"/>
    <mergeCell ref="CK57:CM57"/>
    <mergeCell ref="CN56:CP56"/>
    <mergeCell ref="CQ56:CS56"/>
    <mergeCell ref="CT56:CV56"/>
    <mergeCell ref="CW56:CY56"/>
    <mergeCell ref="CZ56:DB56"/>
    <mergeCell ref="DC56:DE56"/>
    <mergeCell ref="DF57:DH57"/>
    <mergeCell ref="DI57:DK57"/>
    <mergeCell ref="DL57:DN57"/>
    <mergeCell ref="DO57:DQ57"/>
    <mergeCell ref="CW57:CY57"/>
    <mergeCell ref="CZ57:DB57"/>
    <mergeCell ref="DC57:DE57"/>
    <mergeCell ref="DI54:DK54"/>
    <mergeCell ref="DL54:DN54"/>
    <mergeCell ref="DO54:DQ54"/>
    <mergeCell ref="B56:V56"/>
    <mergeCell ref="W56:Z56"/>
    <mergeCell ref="AA56:AD56"/>
    <mergeCell ref="AE56:AP56"/>
    <mergeCell ref="CE56:CG56"/>
    <mergeCell ref="CH56:CJ56"/>
    <mergeCell ref="CK56:CM56"/>
    <mergeCell ref="CQ54:CS54"/>
    <mergeCell ref="CT54:CV54"/>
    <mergeCell ref="CW54:CY54"/>
    <mergeCell ref="CZ54:DB54"/>
    <mergeCell ref="DC54:DE54"/>
    <mergeCell ref="DF54:DH54"/>
    <mergeCell ref="B54:W54"/>
    <mergeCell ref="X54:AB54"/>
    <mergeCell ref="CE54:CG54"/>
    <mergeCell ref="CH54:CJ54"/>
    <mergeCell ref="CK54:CM54"/>
    <mergeCell ref="CN54:CP54"/>
    <mergeCell ref="DF56:DH56"/>
    <mergeCell ref="DI56:DK56"/>
    <mergeCell ref="C53:E53"/>
    <mergeCell ref="F53:H53"/>
    <mergeCell ref="I53:K53"/>
    <mergeCell ref="L53:N53"/>
    <mergeCell ref="O53:Q53"/>
    <mergeCell ref="R53:T53"/>
    <mergeCell ref="U53:W53"/>
    <mergeCell ref="X53:Z53"/>
    <mergeCell ref="BG52:BI52"/>
    <mergeCell ref="AM52:AO52"/>
    <mergeCell ref="AR52:AT52"/>
    <mergeCell ref="AU53:AW53"/>
    <mergeCell ref="AX53:AZ53"/>
    <mergeCell ref="BA53:BC53"/>
    <mergeCell ref="BD53:BF53"/>
    <mergeCell ref="BG53:BI53"/>
    <mergeCell ref="AJ52:AL52"/>
    <mergeCell ref="AA53:AC53"/>
    <mergeCell ref="AD53:AF53"/>
    <mergeCell ref="AG53:AI53"/>
    <mergeCell ref="AJ53:AL53"/>
    <mergeCell ref="AM53:AO53"/>
    <mergeCell ref="AR53:AT53"/>
    <mergeCell ref="BY52:CA52"/>
    <mergeCell ref="CB52:CD52"/>
    <mergeCell ref="BJ52:BL52"/>
    <mergeCell ref="BM52:BO52"/>
    <mergeCell ref="BP52:BR52"/>
    <mergeCell ref="BS52:BU52"/>
    <mergeCell ref="BV52:BX52"/>
    <mergeCell ref="BM53:BO53"/>
    <mergeCell ref="BP53:BR53"/>
    <mergeCell ref="BS53:BU53"/>
    <mergeCell ref="BV53:BX53"/>
    <mergeCell ref="BY53:CA53"/>
    <mergeCell ref="CB53:CD53"/>
    <mergeCell ref="BJ53:BL53"/>
    <mergeCell ref="C52:E52"/>
    <mergeCell ref="F52:H52"/>
    <mergeCell ref="I52:K52"/>
    <mergeCell ref="L52:N52"/>
    <mergeCell ref="O52:Q52"/>
    <mergeCell ref="R52:T52"/>
    <mergeCell ref="BM51:BO51"/>
    <mergeCell ref="BP51:BR51"/>
    <mergeCell ref="BS51:BU51"/>
    <mergeCell ref="AA51:AC51"/>
    <mergeCell ref="AD51:AF51"/>
    <mergeCell ref="AG51:AI51"/>
    <mergeCell ref="AJ51:AL51"/>
    <mergeCell ref="AM51:AO51"/>
    <mergeCell ref="AR51:AT51"/>
    <mergeCell ref="AU52:AW52"/>
    <mergeCell ref="AX52:AZ52"/>
    <mergeCell ref="BA52:BC52"/>
    <mergeCell ref="BD52:BF52"/>
    <mergeCell ref="U52:W52"/>
    <mergeCell ref="X52:Z52"/>
    <mergeCell ref="AA52:AC52"/>
    <mergeCell ref="AD52:AF52"/>
    <mergeCell ref="AG52:AI52"/>
    <mergeCell ref="BV51:BX51"/>
    <mergeCell ref="BY51:CA51"/>
    <mergeCell ref="CB51:CD51"/>
    <mergeCell ref="AU51:AW51"/>
    <mergeCell ref="AX51:AZ51"/>
    <mergeCell ref="BA51:BC51"/>
    <mergeCell ref="BD51:BF51"/>
    <mergeCell ref="BG51:BI51"/>
    <mergeCell ref="BJ51:BL51"/>
    <mergeCell ref="BY50:CA50"/>
    <mergeCell ref="CB50:CD50"/>
    <mergeCell ref="C51:E51"/>
    <mergeCell ref="F51:H51"/>
    <mergeCell ref="I51:K51"/>
    <mergeCell ref="L51:N51"/>
    <mergeCell ref="O51:Q51"/>
    <mergeCell ref="R51:T51"/>
    <mergeCell ref="U51:W51"/>
    <mergeCell ref="X51:Z51"/>
    <mergeCell ref="BG50:BI50"/>
    <mergeCell ref="BJ50:BL50"/>
    <mergeCell ref="BM50:BO50"/>
    <mergeCell ref="BP50:BR50"/>
    <mergeCell ref="BS50:BU50"/>
    <mergeCell ref="BV50:BX50"/>
    <mergeCell ref="AM50:AO50"/>
    <mergeCell ref="AR50:AT50"/>
    <mergeCell ref="AU50:AW50"/>
    <mergeCell ref="AX50:AZ50"/>
    <mergeCell ref="BA50:BC50"/>
    <mergeCell ref="BD50:BF50"/>
    <mergeCell ref="U50:W50"/>
    <mergeCell ref="X50:Z50"/>
    <mergeCell ref="AA50:AC50"/>
    <mergeCell ref="AD50:AF50"/>
    <mergeCell ref="AG50:AI50"/>
    <mergeCell ref="AJ50:AL50"/>
    <mergeCell ref="C50:E50"/>
    <mergeCell ref="F50:H50"/>
    <mergeCell ref="I50:K50"/>
    <mergeCell ref="L50:N50"/>
    <mergeCell ref="O50:Q50"/>
    <mergeCell ref="R50:T50"/>
    <mergeCell ref="B47:L47"/>
    <mergeCell ref="M47:U47"/>
    <mergeCell ref="V47:AF47"/>
    <mergeCell ref="AG47:AP47"/>
    <mergeCell ref="BC47:BG47"/>
    <mergeCell ref="C49:AO49"/>
    <mergeCell ref="AR49:CD49"/>
    <mergeCell ref="B45:L45"/>
    <mergeCell ref="M45:U45"/>
    <mergeCell ref="V45:AF45"/>
    <mergeCell ref="AG45:AP45"/>
    <mergeCell ref="AY45:BC45"/>
    <mergeCell ref="B46:L46"/>
    <mergeCell ref="M46:U46"/>
    <mergeCell ref="V46:AF46"/>
    <mergeCell ref="AG46:AP46"/>
    <mergeCell ref="AY46:BC46"/>
    <mergeCell ref="B44:L44"/>
    <mergeCell ref="M44:O44"/>
    <mergeCell ref="P44:R44"/>
    <mergeCell ref="S44:U44"/>
    <mergeCell ref="V44:AA44"/>
    <mergeCell ref="AB44:AP44"/>
    <mergeCell ref="B41:I41"/>
    <mergeCell ref="J41:AD41"/>
    <mergeCell ref="AE41:AP41"/>
    <mergeCell ref="BA41:BE41"/>
    <mergeCell ref="B42:AD42"/>
    <mergeCell ref="BA42:BE42"/>
    <mergeCell ref="AE39:AP39"/>
    <mergeCell ref="AE40:AF40"/>
    <mergeCell ref="AG40:AH40"/>
    <mergeCell ref="AI40:AJ40"/>
    <mergeCell ref="AK40:AL40"/>
    <mergeCell ref="AM40:AN40"/>
    <mergeCell ref="AO40:AP40"/>
    <mergeCell ref="AV37:AX37"/>
    <mergeCell ref="AY37:BB37"/>
    <mergeCell ref="CQ37:CS37"/>
    <mergeCell ref="CT37:CW37"/>
    <mergeCell ref="AV38:AX38"/>
    <mergeCell ref="AY38:BB38"/>
    <mergeCell ref="CQ38:CS38"/>
    <mergeCell ref="CT38:CW38"/>
    <mergeCell ref="B33:X33"/>
    <mergeCell ref="B34:I34"/>
    <mergeCell ref="J34:AD34"/>
    <mergeCell ref="AE34:AP34"/>
    <mergeCell ref="B35:AD35"/>
    <mergeCell ref="B37:AD37"/>
    <mergeCell ref="AE37:AP37"/>
    <mergeCell ref="AO31:AP31"/>
    <mergeCell ref="B32:X32"/>
    <mergeCell ref="AE32:AF32"/>
    <mergeCell ref="AG32:AH32"/>
    <mergeCell ref="AI32:AJ32"/>
    <mergeCell ref="AK32:AL32"/>
    <mergeCell ref="AM32:AN32"/>
    <mergeCell ref="AO32:AP32"/>
    <mergeCell ref="G29:X29"/>
    <mergeCell ref="Y29:AD33"/>
    <mergeCell ref="B30:X30"/>
    <mergeCell ref="AE30:AP30"/>
    <mergeCell ref="B31:X31"/>
    <mergeCell ref="AE31:AF31"/>
    <mergeCell ref="AG31:AH31"/>
    <mergeCell ref="AI31:AJ31"/>
    <mergeCell ref="AK31:AL31"/>
    <mergeCell ref="AM31:AN31"/>
    <mergeCell ref="B25:I25"/>
    <mergeCell ref="J25:AD25"/>
    <mergeCell ref="AE25:AP25"/>
    <mergeCell ref="B26:AD26"/>
    <mergeCell ref="B28:AD28"/>
    <mergeCell ref="AE28:AP28"/>
    <mergeCell ref="AE23:AP23"/>
    <mergeCell ref="AE24:AF24"/>
    <mergeCell ref="AG24:AH24"/>
    <mergeCell ref="AI24:AJ24"/>
    <mergeCell ref="AK24:AL24"/>
    <mergeCell ref="AM24:AN24"/>
    <mergeCell ref="AO24:AP24"/>
    <mergeCell ref="AE19:AG19"/>
    <mergeCell ref="AH19:AJ19"/>
    <mergeCell ref="AK19:AM19"/>
    <mergeCell ref="AN19:AP19"/>
    <mergeCell ref="B21:AD21"/>
    <mergeCell ref="AE21:AP21"/>
    <mergeCell ref="CC18:CE18"/>
    <mergeCell ref="B19:F19"/>
    <mergeCell ref="G19:I19"/>
    <mergeCell ref="J19:L19"/>
    <mergeCell ref="M19:O19"/>
    <mergeCell ref="P19:R19"/>
    <mergeCell ref="S19:U19"/>
    <mergeCell ref="V19:X19"/>
    <mergeCell ref="Y19:AA19"/>
    <mergeCell ref="AB19:AD19"/>
    <mergeCell ref="BJ18:BL18"/>
    <mergeCell ref="BM18:BO18"/>
    <mergeCell ref="BP18:BR18"/>
    <mergeCell ref="BS18:BU18"/>
    <mergeCell ref="BV18:BX18"/>
    <mergeCell ref="BY18:CA18"/>
    <mergeCell ref="AR18:AT18"/>
    <mergeCell ref="AU18:AW18"/>
    <mergeCell ref="AX18:AZ18"/>
    <mergeCell ref="BA18:BC18"/>
    <mergeCell ref="BD18:BF18"/>
    <mergeCell ref="BG18:BI18"/>
    <mergeCell ref="Y18:AA18"/>
    <mergeCell ref="AB18:AD18"/>
    <mergeCell ref="AE18:AG18"/>
    <mergeCell ref="AH18:AJ18"/>
    <mergeCell ref="AK18:AM18"/>
    <mergeCell ref="AN18:AP18"/>
    <mergeCell ref="BV17:BX17"/>
    <mergeCell ref="BY17:CA17"/>
    <mergeCell ref="CC17:CE17"/>
    <mergeCell ref="B18:F18"/>
    <mergeCell ref="G18:I18"/>
    <mergeCell ref="J18:L18"/>
    <mergeCell ref="M18:O18"/>
    <mergeCell ref="P18:R18"/>
    <mergeCell ref="S18:U18"/>
    <mergeCell ref="V18:X18"/>
    <mergeCell ref="BD17:BF17"/>
    <mergeCell ref="BG17:BI17"/>
    <mergeCell ref="BJ17:BL17"/>
    <mergeCell ref="BM17:BO17"/>
    <mergeCell ref="BP17:BR17"/>
    <mergeCell ref="BS17:BU17"/>
    <mergeCell ref="AK17:AM17"/>
    <mergeCell ref="AN17:AP17"/>
    <mergeCell ref="AR17:AT17"/>
    <mergeCell ref="AU17:AW17"/>
    <mergeCell ref="AX17:AZ17"/>
    <mergeCell ref="BA17:BC17"/>
    <mergeCell ref="S17:U17"/>
    <mergeCell ref="V17:X17"/>
    <mergeCell ref="Y17:AA17"/>
    <mergeCell ref="AB17:AD17"/>
    <mergeCell ref="AE17:AG17"/>
    <mergeCell ref="AH17:AJ17"/>
    <mergeCell ref="AB15:AD15"/>
    <mergeCell ref="AE15:AG15"/>
    <mergeCell ref="AH15:AJ15"/>
    <mergeCell ref="AK15:AM15"/>
    <mergeCell ref="AN15:AP15"/>
    <mergeCell ref="B17:F17"/>
    <mergeCell ref="G17:I17"/>
    <mergeCell ref="J17:L17"/>
    <mergeCell ref="M17:O17"/>
    <mergeCell ref="P17:R17"/>
    <mergeCell ref="BY14:CA14"/>
    <mergeCell ref="CC14:CE14"/>
    <mergeCell ref="B15:F15"/>
    <mergeCell ref="G15:I15"/>
    <mergeCell ref="J15:L15"/>
    <mergeCell ref="M15:O15"/>
    <mergeCell ref="P15:R15"/>
    <mergeCell ref="S15:U15"/>
    <mergeCell ref="V15:X15"/>
    <mergeCell ref="Y15:AA15"/>
    <mergeCell ref="BG14:BI14"/>
    <mergeCell ref="BJ14:BL14"/>
    <mergeCell ref="BM14:BO14"/>
    <mergeCell ref="BP14:BR14"/>
    <mergeCell ref="BS14:BU14"/>
    <mergeCell ref="BV14:BX14"/>
    <mergeCell ref="AN14:AP14"/>
    <mergeCell ref="AR14:AT14"/>
    <mergeCell ref="AU14:AW14"/>
    <mergeCell ref="B14:F14"/>
    <mergeCell ref="G14:I14"/>
    <mergeCell ref="J14:L14"/>
    <mergeCell ref="M14:O14"/>
    <mergeCell ref="P14:R14"/>
    <mergeCell ref="S14:U14"/>
    <mergeCell ref="BM13:BO13"/>
    <mergeCell ref="BP13:BR13"/>
    <mergeCell ref="BS13:BU13"/>
    <mergeCell ref="AB13:AD13"/>
    <mergeCell ref="AE13:AG13"/>
    <mergeCell ref="AH13:AJ13"/>
    <mergeCell ref="AK13:AM13"/>
    <mergeCell ref="AN13:AP13"/>
    <mergeCell ref="AR13:AT13"/>
    <mergeCell ref="AX14:AZ14"/>
    <mergeCell ref="BA14:BC14"/>
    <mergeCell ref="BD14:BF14"/>
    <mergeCell ref="V14:X14"/>
    <mergeCell ref="Y14:AA14"/>
    <mergeCell ref="AB14:AD14"/>
    <mergeCell ref="AE14:AG14"/>
    <mergeCell ref="AH14:AJ14"/>
    <mergeCell ref="AK14:AM14"/>
    <mergeCell ref="BV13:BX13"/>
    <mergeCell ref="BY13:CA13"/>
    <mergeCell ref="CC13:CE13"/>
    <mergeCell ref="AU13:AW13"/>
    <mergeCell ref="AX13:AZ13"/>
    <mergeCell ref="BA13:BC13"/>
    <mergeCell ref="BD13:BF13"/>
    <mergeCell ref="BG13:BI13"/>
    <mergeCell ref="BJ13:BL13"/>
    <mergeCell ref="B13:F13"/>
    <mergeCell ref="G13:I13"/>
    <mergeCell ref="J13:L13"/>
    <mergeCell ref="M13:O13"/>
    <mergeCell ref="P13:R13"/>
    <mergeCell ref="S13:U13"/>
    <mergeCell ref="V13:X13"/>
    <mergeCell ref="Y13:AA13"/>
    <mergeCell ref="S11:U11"/>
    <mergeCell ref="V11:X11"/>
    <mergeCell ref="Y11:AA11"/>
    <mergeCell ref="V9:X9"/>
    <mergeCell ref="Y9:AA9"/>
    <mergeCell ref="AB10:AD10"/>
    <mergeCell ref="AE10:AG10"/>
    <mergeCell ref="AH10:AJ10"/>
    <mergeCell ref="AK10:AM10"/>
    <mergeCell ref="AN10:AP10"/>
    <mergeCell ref="B11:F11"/>
    <mergeCell ref="G11:I11"/>
    <mergeCell ref="J11:L11"/>
    <mergeCell ref="M11:O11"/>
    <mergeCell ref="P11:R11"/>
    <mergeCell ref="AK11:AM11"/>
    <mergeCell ref="AN11:AP11"/>
    <mergeCell ref="AB11:AD11"/>
    <mergeCell ref="AE11:AG11"/>
    <mergeCell ref="AH11:AJ11"/>
    <mergeCell ref="B9:F9"/>
    <mergeCell ref="G9:I9"/>
    <mergeCell ref="J9:L9"/>
    <mergeCell ref="M9:O9"/>
    <mergeCell ref="P9:R9"/>
    <mergeCell ref="S9:U9"/>
    <mergeCell ref="BY9:CA9"/>
    <mergeCell ref="CC9:CE9"/>
    <mergeCell ref="B10:F10"/>
    <mergeCell ref="G10:I10"/>
    <mergeCell ref="J10:L10"/>
    <mergeCell ref="M10:O10"/>
    <mergeCell ref="P10:R10"/>
    <mergeCell ref="S10:U10"/>
    <mergeCell ref="V10:X10"/>
    <mergeCell ref="Y10:AA10"/>
    <mergeCell ref="BG9:BI9"/>
    <mergeCell ref="BJ9:BL9"/>
    <mergeCell ref="BM9:BO9"/>
    <mergeCell ref="BP9:BR9"/>
    <mergeCell ref="BS9:BU9"/>
    <mergeCell ref="BV9:BX9"/>
    <mergeCell ref="AN9:AP9"/>
    <mergeCell ref="AR9:AT9"/>
    <mergeCell ref="CC8:CE8"/>
    <mergeCell ref="AU8:AW8"/>
    <mergeCell ref="AX8:AZ8"/>
    <mergeCell ref="BA8:BC8"/>
    <mergeCell ref="BD8:BF8"/>
    <mergeCell ref="BG8:BI8"/>
    <mergeCell ref="BJ8:BL8"/>
    <mergeCell ref="AB9:AD9"/>
    <mergeCell ref="AE9:AG9"/>
    <mergeCell ref="AH9:AJ9"/>
    <mergeCell ref="AK9:AM9"/>
    <mergeCell ref="AU9:AW9"/>
    <mergeCell ref="AX9:AZ9"/>
    <mergeCell ref="BA9:BC9"/>
    <mergeCell ref="BD9:BF9"/>
    <mergeCell ref="AB8:AD8"/>
    <mergeCell ref="AE8:AG8"/>
    <mergeCell ref="AH8:AJ8"/>
    <mergeCell ref="AK8:AM8"/>
    <mergeCell ref="AN8:AP8"/>
    <mergeCell ref="AR8:AT8"/>
    <mergeCell ref="AM6:AP6"/>
    <mergeCell ref="AR6:CA6"/>
    <mergeCell ref="B8:F8"/>
    <mergeCell ref="G8:I8"/>
    <mergeCell ref="J8:L8"/>
    <mergeCell ref="M8:O8"/>
    <mergeCell ref="P8:R8"/>
    <mergeCell ref="S8:U8"/>
    <mergeCell ref="V8:X8"/>
    <mergeCell ref="Y8:AA8"/>
    <mergeCell ref="BM8:BO8"/>
    <mergeCell ref="BP8:BR8"/>
    <mergeCell ref="BS8:BU8"/>
    <mergeCell ref="BV8:BX8"/>
    <mergeCell ref="BY8:CA8"/>
    <mergeCell ref="L3:O3"/>
    <mergeCell ref="P3:AP3"/>
    <mergeCell ref="B5:H5"/>
    <mergeCell ref="I5:AC5"/>
    <mergeCell ref="AD5:AP5"/>
    <mergeCell ref="B6:H6"/>
    <mergeCell ref="I6:AC6"/>
    <mergeCell ref="AD6:AF6"/>
    <mergeCell ref="AG6:AI6"/>
    <mergeCell ref="AJ6:AL6"/>
    <mergeCell ref="B1:K3"/>
    <mergeCell ref="L1:AC1"/>
    <mergeCell ref="AD1:AG1"/>
    <mergeCell ref="AH1:AI1"/>
    <mergeCell ref="AJ1:AL1"/>
    <mergeCell ref="AN1:AP1"/>
    <mergeCell ref="L2:O2"/>
    <mergeCell ref="P2:AC2"/>
    <mergeCell ref="AD2:AF2"/>
    <mergeCell ref="AG2:AP2"/>
  </mergeCells>
  <conditionalFormatting sqref="AV38:BB38">
    <cfRule type="cellIs" dxfId="3" priority="1" operator="equal">
      <formula>0</formula>
    </cfRule>
  </conditionalFormatting>
  <dataValidations disablePrompts="1" count="1">
    <dataValidation type="list" allowBlank="1" showInputMessage="1" showErrorMessage="1" sqref="AG6:AI6" xr:uid="{CE40CA3C-77EB-4D95-93E4-B831A36AA7CD}">
      <formula1>$BD$1:$BD$3</formula1>
    </dataValidation>
  </dataValidations>
  <printOptions horizontalCentered="1" verticalCentered="1"/>
  <pageMargins left="0.6692913385826772" right="0" top="0" bottom="0" header="0.31496062992125984" footer="0.31496062992125984"/>
  <pageSetup paperSize="9" scale="85" orientation="portrait" r:id="rId1"/>
  <colBreaks count="1" manualBreakCount="1">
    <brk id="42" max="1048575" man="1"/>
  </col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E954-7884-475E-A840-F4BA69D3F48C}">
  <sheetPr filterMode="1"/>
  <dimension ref="A1:DQ83"/>
  <sheetViews>
    <sheetView showGridLines="0" showZeros="0" tabSelected="1" view="pageBreakPreview" topLeftCell="AA10" zoomScale="205" zoomScaleNormal="130" zoomScaleSheetLayoutView="205" workbookViewId="0">
      <selection activeCell="I6" sqref="I6:AC6"/>
    </sheetView>
  </sheetViews>
  <sheetFormatPr defaultRowHeight="15" x14ac:dyDescent="0.25"/>
  <cols>
    <col min="1" max="1" width="6" customWidth="1"/>
    <col min="2" max="2" width="2" customWidth="1"/>
    <col min="3" max="8" width="2.5703125" customWidth="1"/>
    <col min="9" max="9" width="3.140625" customWidth="1"/>
    <col min="10" max="25" width="2.5703125" customWidth="1"/>
    <col min="26" max="26" width="2.85546875" customWidth="1"/>
    <col min="27" max="29" width="2.5703125" customWidth="1"/>
    <col min="30" max="30" width="3.140625" customWidth="1"/>
    <col min="31" max="42" width="2.5703125" customWidth="1"/>
    <col min="43" max="43" width="3.85546875" customWidth="1"/>
    <col min="44" max="45" width="1.42578125" customWidth="1"/>
    <col min="46" max="46" width="1.5703125" customWidth="1"/>
    <col min="47" max="49" width="1.42578125" customWidth="1"/>
    <col min="50" max="50" width="2.85546875" customWidth="1"/>
    <col min="51" max="51" width="1.5703125" customWidth="1"/>
    <col min="52" max="58" width="1.42578125" customWidth="1"/>
    <col min="59" max="59" width="3.5703125" customWidth="1"/>
    <col min="60" max="78" width="1.42578125" customWidth="1"/>
    <col min="79" max="79" width="1.85546875" customWidth="1"/>
    <col min="80" max="80" width="0.85546875" customWidth="1"/>
    <col min="81" max="82" width="1.42578125" customWidth="1"/>
    <col min="83" max="95" width="1.85546875" customWidth="1"/>
    <col min="96" max="123" width="1.42578125" customWidth="1"/>
  </cols>
  <sheetData>
    <row r="1" spans="1:83" ht="14.1" customHeight="1" x14ac:dyDescent="0.25">
      <c r="B1" s="287"/>
      <c r="C1" s="288"/>
      <c r="D1" s="288"/>
      <c r="E1" s="288"/>
      <c r="F1" s="288"/>
      <c r="G1" s="288"/>
      <c r="H1" s="288"/>
      <c r="I1" s="288"/>
      <c r="J1" s="288"/>
      <c r="K1" s="289"/>
      <c r="L1" s="293" t="s">
        <v>0</v>
      </c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5"/>
      <c r="AD1" s="296" t="s">
        <v>99</v>
      </c>
      <c r="AE1" s="297"/>
      <c r="AF1" s="297"/>
      <c r="AG1" s="297"/>
      <c r="AH1" s="297" t="s">
        <v>82</v>
      </c>
      <c r="AI1" s="297"/>
      <c r="AJ1" s="298">
        <v>1</v>
      </c>
      <c r="AK1" s="298"/>
      <c r="AL1" s="298"/>
      <c r="AM1" s="61" t="s">
        <v>98</v>
      </c>
      <c r="AN1" s="329">
        <v>60</v>
      </c>
      <c r="AO1" s="329"/>
      <c r="AP1" s="330"/>
      <c r="BD1" t="s">
        <v>78</v>
      </c>
      <c r="BM1" t="s">
        <v>133</v>
      </c>
      <c r="BU1" t="s">
        <v>189</v>
      </c>
    </row>
    <row r="2" spans="1:83" ht="14.45" customHeight="1" x14ac:dyDescent="0.25">
      <c r="B2" s="210"/>
      <c r="C2" s="165"/>
      <c r="D2" s="165"/>
      <c r="E2" s="165"/>
      <c r="F2" s="165"/>
      <c r="G2" s="165"/>
      <c r="H2" s="165"/>
      <c r="I2" s="165"/>
      <c r="J2" s="165"/>
      <c r="K2" s="191"/>
      <c r="L2" s="301" t="s">
        <v>1</v>
      </c>
      <c r="M2" s="302"/>
      <c r="N2" s="302"/>
      <c r="O2" s="302"/>
      <c r="P2" s="353" t="str">
        <f>VLOOKUP($AN$1,'plan de data'!$A$3:$AF$289,32,0)</f>
        <v>CONSÓRCIO NOVA ETE - PARQUE NOVO MUNDO</v>
      </c>
      <c r="Q2" s="353"/>
      <c r="R2" s="353"/>
      <c r="S2" s="353"/>
      <c r="T2" s="353"/>
      <c r="U2" s="353"/>
      <c r="V2" s="353"/>
      <c r="W2" s="353"/>
      <c r="X2" s="353"/>
      <c r="Y2" s="353"/>
      <c r="Z2" s="353"/>
      <c r="AA2" s="353"/>
      <c r="AB2" s="353"/>
      <c r="AC2" s="354"/>
      <c r="AD2" s="305" t="s">
        <v>3</v>
      </c>
      <c r="AE2" s="306"/>
      <c r="AF2" s="306"/>
      <c r="AG2" s="357" t="s">
        <v>166</v>
      </c>
      <c r="AH2" s="357"/>
      <c r="AI2" s="357"/>
      <c r="AJ2" s="357"/>
      <c r="AK2" s="357"/>
      <c r="AL2" s="357"/>
      <c r="AM2" s="357"/>
      <c r="AN2" s="357"/>
      <c r="AO2" s="357"/>
      <c r="AP2" s="358"/>
      <c r="AW2" t="s">
        <v>14</v>
      </c>
      <c r="BD2" t="s">
        <v>77</v>
      </c>
      <c r="BM2" t="s">
        <v>134</v>
      </c>
    </row>
    <row r="3" spans="1:83" ht="14.45" customHeight="1" thickBot="1" x14ac:dyDescent="0.3">
      <c r="B3" s="290"/>
      <c r="C3" s="291"/>
      <c r="D3" s="291"/>
      <c r="E3" s="291"/>
      <c r="F3" s="291"/>
      <c r="G3" s="291"/>
      <c r="H3" s="291"/>
      <c r="I3" s="291"/>
      <c r="J3" s="291"/>
      <c r="K3" s="292"/>
      <c r="L3" s="263" t="s">
        <v>2</v>
      </c>
      <c r="M3" s="264"/>
      <c r="N3" s="264"/>
      <c r="O3" s="264"/>
      <c r="P3" s="355" t="str">
        <f>VLOOKUP($AN$1,'plan de data'!$A$3:$AG$289,33,0)</f>
        <v>ETE - PARQUE NOVO MUNDO</v>
      </c>
      <c r="Q3" s="355"/>
      <c r="R3" s="355"/>
      <c r="S3" s="355"/>
      <c r="T3" s="355"/>
      <c r="U3" s="355"/>
      <c r="V3" s="355"/>
      <c r="W3" s="355"/>
      <c r="X3" s="355"/>
      <c r="Y3" s="355"/>
      <c r="Z3" s="355"/>
      <c r="AA3" s="355"/>
      <c r="AB3" s="355"/>
      <c r="AC3" s="355"/>
      <c r="AD3" s="355"/>
      <c r="AE3" s="355"/>
      <c r="AF3" s="355"/>
      <c r="AG3" s="355"/>
      <c r="AH3" s="355"/>
      <c r="AI3" s="355"/>
      <c r="AJ3" s="355"/>
      <c r="AK3" s="355"/>
      <c r="AL3" s="355"/>
      <c r="AM3" s="355"/>
      <c r="AN3" s="355"/>
      <c r="AO3" s="355"/>
      <c r="AP3" s="356"/>
      <c r="AW3" t="s">
        <v>76</v>
      </c>
      <c r="BD3" t="s">
        <v>7</v>
      </c>
    </row>
    <row r="4" spans="1:83" ht="5.0999999999999996" customHeight="1" thickBot="1" x14ac:dyDescent="0.3"/>
    <row r="5" spans="1:83" ht="15.95" customHeight="1" x14ac:dyDescent="0.25">
      <c r="A5" s="39" t="s">
        <v>81</v>
      </c>
      <c r="B5" s="267" t="s">
        <v>4</v>
      </c>
      <c r="C5" s="268"/>
      <c r="D5" s="268"/>
      <c r="E5" s="268"/>
      <c r="F5" s="268"/>
      <c r="G5" s="268"/>
      <c r="H5" s="269"/>
      <c r="I5" s="270" t="s">
        <v>5</v>
      </c>
      <c r="J5" s="271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  <c r="AA5" s="271"/>
      <c r="AB5" s="271"/>
      <c r="AC5" s="272"/>
      <c r="AD5" s="273" t="s">
        <v>6</v>
      </c>
      <c r="AE5" s="274"/>
      <c r="AF5" s="274"/>
      <c r="AG5" s="274"/>
      <c r="AH5" s="274"/>
      <c r="AI5" s="274"/>
      <c r="AJ5" s="274"/>
      <c r="AK5" s="274"/>
      <c r="AL5" s="274"/>
      <c r="AM5" s="274"/>
      <c r="AN5" s="274"/>
      <c r="AO5" s="274"/>
      <c r="AP5" s="275"/>
    </row>
    <row r="6" spans="1:83" ht="15.95" customHeight="1" thickBot="1" x14ac:dyDescent="0.3">
      <c r="B6" s="326">
        <f>VLOOKUP($AN$1,'plan de data'!$A$3:$B$189,2,0)</f>
        <v>45874</v>
      </c>
      <c r="C6" s="327"/>
      <c r="D6" s="327"/>
      <c r="E6" s="327"/>
      <c r="F6" s="327"/>
      <c r="G6" s="327"/>
      <c r="H6" s="328"/>
      <c r="I6" s="359" t="str">
        <f>VLOOKUP($AN$1,'plan de data'!$A$3:$AH$189,34,0)</f>
        <v>REATORES NEREDA</v>
      </c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  <c r="V6" s="360"/>
      <c r="W6" s="360"/>
      <c r="X6" s="360"/>
      <c r="Y6" s="360"/>
      <c r="Z6" s="360"/>
      <c r="AA6" s="360"/>
      <c r="AB6" s="360"/>
      <c r="AC6" s="361"/>
      <c r="AD6" s="282" t="s">
        <v>8</v>
      </c>
      <c r="AE6" s="283"/>
      <c r="AF6" s="283"/>
      <c r="AG6" s="331" t="s">
        <v>77</v>
      </c>
      <c r="AH6" s="331"/>
      <c r="AI6" s="333"/>
      <c r="AJ6" s="286" t="s">
        <v>9</v>
      </c>
      <c r="AK6" s="284"/>
      <c r="AL6" s="284"/>
      <c r="AM6" s="331" t="str">
        <f>VLOOKUP(AN1,'plan de data'!A3:$AE$500,31,0)</f>
        <v>PN-002</v>
      </c>
      <c r="AN6" s="331"/>
      <c r="AO6" s="331"/>
      <c r="AP6" s="332"/>
      <c r="AR6" s="138" t="s">
        <v>79</v>
      </c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39"/>
      <c r="BK6" s="139"/>
      <c r="BL6" s="139"/>
      <c r="BM6" s="139"/>
      <c r="BN6" s="139"/>
      <c r="BO6" s="139"/>
      <c r="BP6" s="139"/>
      <c r="BQ6" s="139"/>
      <c r="BR6" s="139"/>
      <c r="BS6" s="139"/>
      <c r="BT6" s="139"/>
      <c r="BU6" s="139"/>
      <c r="BV6" s="139"/>
      <c r="BW6" s="139"/>
      <c r="BX6" s="139"/>
      <c r="BY6" s="139"/>
      <c r="BZ6" s="139"/>
      <c r="CA6" s="140"/>
    </row>
    <row r="7" spans="1:83" ht="5.45" customHeight="1" thickBot="1" x14ac:dyDescent="0.3">
      <c r="A7" s="38" t="s">
        <v>13</v>
      </c>
    </row>
    <row r="8" spans="1:83" ht="14.1" customHeight="1" x14ac:dyDescent="0.25">
      <c r="A8" s="2" t="str">
        <f>IF($CC$9&gt;0,"X",0)</f>
        <v>X</v>
      </c>
      <c r="B8" s="250" t="s">
        <v>10</v>
      </c>
      <c r="C8" s="251"/>
      <c r="D8" s="251"/>
      <c r="E8" s="251"/>
      <c r="F8" s="251"/>
      <c r="G8" s="260" t="str">
        <f t="shared" ref="G8" si="0">IF(G9=0,"",AR8)</f>
        <v/>
      </c>
      <c r="H8" s="261"/>
      <c r="I8" s="262"/>
      <c r="J8" s="320">
        <f t="shared" ref="J8" si="1">IF(J9=0,"",AU8)</f>
        <v>2</v>
      </c>
      <c r="K8" s="321"/>
      <c r="L8" s="322"/>
      <c r="M8" s="323">
        <f t="shared" ref="M8" si="2">IF(M9=0,"",AX8)</f>
        <v>3</v>
      </c>
      <c r="N8" s="323"/>
      <c r="O8" s="323"/>
      <c r="P8" s="323">
        <f t="shared" ref="P8" si="3">IF(P9=0,"",BA8)</f>
        <v>4</v>
      </c>
      <c r="Q8" s="323"/>
      <c r="R8" s="323"/>
      <c r="S8" s="323">
        <f t="shared" ref="S8" si="4">IF(S9=0,"",BD8)</f>
        <v>5</v>
      </c>
      <c r="T8" s="323"/>
      <c r="U8" s="323"/>
      <c r="V8" s="323">
        <f t="shared" ref="V8" si="5">IF(V9=0,"",BG8)</f>
        <v>6</v>
      </c>
      <c r="W8" s="323"/>
      <c r="X8" s="323"/>
      <c r="Y8" s="323">
        <f t="shared" ref="Y8" si="6">IF(Y9=0,"",BJ8)</f>
        <v>7</v>
      </c>
      <c r="Z8" s="323"/>
      <c r="AA8" s="323"/>
      <c r="AB8" s="323">
        <f t="shared" ref="AB8" si="7">IF(AB9=0,"",BM8)</f>
        <v>8</v>
      </c>
      <c r="AC8" s="323"/>
      <c r="AD8" s="323"/>
      <c r="AE8" s="258" t="str">
        <f t="shared" ref="AE8" si="8">IF(AE9=0,"",BP8)</f>
        <v/>
      </c>
      <c r="AF8" s="258"/>
      <c r="AG8" s="258"/>
      <c r="AH8" s="258" t="str">
        <f t="shared" ref="AH8" si="9">IF(AH9=0,"",BS8)</f>
        <v/>
      </c>
      <c r="AI8" s="258"/>
      <c r="AJ8" s="258"/>
      <c r="AK8" s="258" t="str">
        <f t="shared" ref="AK8" si="10">IF(AK9=0,"",BV8)</f>
        <v/>
      </c>
      <c r="AL8" s="258"/>
      <c r="AM8" s="258"/>
      <c r="AN8" s="258" t="str">
        <f t="shared" ref="AN8" si="11">IF(AN9=0,"",BY8)</f>
        <v/>
      </c>
      <c r="AO8" s="258"/>
      <c r="AP8" s="259"/>
      <c r="AR8" s="151">
        <v>1</v>
      </c>
      <c r="AS8" s="151"/>
      <c r="AT8" s="151"/>
      <c r="AU8" s="151">
        <v>2</v>
      </c>
      <c r="AV8" s="151"/>
      <c r="AW8" s="151"/>
      <c r="AX8" s="151">
        <v>3</v>
      </c>
      <c r="AY8" s="151"/>
      <c r="AZ8" s="151"/>
      <c r="BA8" s="151">
        <v>4</v>
      </c>
      <c r="BB8" s="151"/>
      <c r="BC8" s="151"/>
      <c r="BD8" s="151">
        <v>5</v>
      </c>
      <c r="BE8" s="151"/>
      <c r="BF8" s="151"/>
      <c r="BG8" s="151">
        <v>6</v>
      </c>
      <c r="BH8" s="151"/>
      <c r="BI8" s="151"/>
      <c r="BJ8" s="151">
        <v>7</v>
      </c>
      <c r="BK8" s="151"/>
      <c r="BL8" s="151"/>
      <c r="BM8" s="151">
        <v>8</v>
      </c>
      <c r="BN8" s="151"/>
      <c r="BO8" s="151"/>
      <c r="BP8" s="151">
        <v>9</v>
      </c>
      <c r="BQ8" s="151"/>
      <c r="BR8" s="151"/>
      <c r="BS8" s="151">
        <v>10</v>
      </c>
      <c r="BT8" s="151"/>
      <c r="BU8" s="151"/>
      <c r="BV8" s="151">
        <v>11</v>
      </c>
      <c r="BW8" s="151"/>
      <c r="BX8" s="151"/>
      <c r="BY8" s="151">
        <v>12</v>
      </c>
      <c r="BZ8" s="151"/>
      <c r="CA8" s="151"/>
      <c r="CC8" s="182" t="s">
        <v>80</v>
      </c>
      <c r="CD8" s="183"/>
      <c r="CE8" s="184"/>
    </row>
    <row r="9" spans="1:83" ht="14.1" customHeight="1" x14ac:dyDescent="0.25">
      <c r="A9" s="2" t="str">
        <f t="shared" ref="A9" si="12">IF($CC$9&gt;0,"X",0)</f>
        <v>X</v>
      </c>
      <c r="B9" s="246" t="s">
        <v>11</v>
      </c>
      <c r="C9" s="247"/>
      <c r="D9" s="247"/>
      <c r="E9" s="247"/>
      <c r="F9" s="247"/>
      <c r="G9" s="253">
        <f>VLOOKUP($AN$1,'plan de data'!$A$3:$V$189,4,0)</f>
        <v>0</v>
      </c>
      <c r="H9" s="253"/>
      <c r="I9" s="253"/>
      <c r="J9" s="324" t="str">
        <f>VLOOKUP($AN$1,'plan de data'!$A$3:$V$189,6,0)</f>
        <v>PN-387</v>
      </c>
      <c r="K9" s="324"/>
      <c r="L9" s="324"/>
      <c r="M9" s="324" t="str">
        <f>VLOOKUP($AN$1,'plan de data'!$A$3:$V$189,8,0)</f>
        <v>PN-388</v>
      </c>
      <c r="N9" s="324"/>
      <c r="O9" s="324"/>
      <c r="P9" s="324" t="str">
        <f>VLOOKUP($AN$1,'plan de data'!$A$3:$V$189,10,0)</f>
        <v>PN-389</v>
      </c>
      <c r="Q9" s="324"/>
      <c r="R9" s="324"/>
      <c r="S9" s="324" t="str">
        <f>VLOOKUP($AN$1,'plan de data'!$A$3:$V$189,12,0)</f>
        <v>PN-390</v>
      </c>
      <c r="T9" s="324"/>
      <c r="U9" s="324"/>
      <c r="V9" s="324" t="str">
        <f>VLOOKUP($AN$1,'plan de data'!$A$3:$V$189,14,0)</f>
        <v>PN-391</v>
      </c>
      <c r="W9" s="324"/>
      <c r="X9" s="324"/>
      <c r="Y9" s="324" t="str">
        <f>VLOOKUP($AN$1,'plan de data'!$A$3:$V$189,16,0)</f>
        <v>PN-392</v>
      </c>
      <c r="Z9" s="324"/>
      <c r="AA9" s="324"/>
      <c r="AB9" s="324" t="str">
        <f>VLOOKUP($AN$1,'plan de data'!$A$3:$V$189,18,0)</f>
        <v>PN-393</v>
      </c>
      <c r="AC9" s="324"/>
      <c r="AD9" s="324"/>
      <c r="AE9" s="253">
        <f>VLOOKUP($AN$1,'plan de data'!$A$3:$V$189,20,0)</f>
        <v>0</v>
      </c>
      <c r="AF9" s="253"/>
      <c r="AG9" s="253"/>
      <c r="AH9" s="253">
        <f>VLOOKUP($AN$1,'plan de data'!$A$3:$AA$189,22,0)</f>
        <v>0</v>
      </c>
      <c r="AI9" s="253"/>
      <c r="AJ9" s="253"/>
      <c r="AK9" s="253">
        <f>VLOOKUP($AN$1,'plan de data'!$A$3:$AA$189,24,0)</f>
        <v>0</v>
      </c>
      <c r="AL9" s="253"/>
      <c r="AM9" s="253"/>
      <c r="AN9" s="253">
        <f>VLOOKUP($AN$1,'plan de data'!$A$3:$AA$189,26,0)</f>
        <v>0</v>
      </c>
      <c r="AO9" s="253"/>
      <c r="AP9" s="254"/>
      <c r="AR9" s="151" t="s">
        <v>58</v>
      </c>
      <c r="AS9" s="151"/>
      <c r="AT9" s="151"/>
      <c r="AU9" s="151" t="s">
        <v>58</v>
      </c>
      <c r="AV9" s="151"/>
      <c r="AW9" s="151"/>
      <c r="AX9" s="151" t="s">
        <v>58</v>
      </c>
      <c r="AY9" s="151"/>
      <c r="AZ9" s="151"/>
      <c r="BA9" s="151" t="s">
        <v>13</v>
      </c>
      <c r="BB9" s="151"/>
      <c r="BC9" s="151"/>
      <c r="BD9" s="151" t="s">
        <v>13</v>
      </c>
      <c r="BE9" s="151"/>
      <c r="BF9" s="151"/>
      <c r="BG9" s="151" t="s">
        <v>13</v>
      </c>
      <c r="BH9" s="151"/>
      <c r="BI9" s="151"/>
      <c r="BJ9" s="151" t="s">
        <v>13</v>
      </c>
      <c r="BK9" s="151"/>
      <c r="BL9" s="151"/>
      <c r="BM9" s="151" t="s">
        <v>58</v>
      </c>
      <c r="BN9" s="151"/>
      <c r="BO9" s="151"/>
      <c r="BP9" s="151"/>
      <c r="BQ9" s="151"/>
      <c r="BR9" s="151"/>
      <c r="BS9" s="151"/>
      <c r="BT9" s="151"/>
      <c r="BU9" s="151"/>
      <c r="BV9" s="151"/>
      <c r="BW9" s="151"/>
      <c r="BX9" s="151"/>
      <c r="BY9" s="151"/>
      <c r="BZ9" s="151"/>
      <c r="CA9" s="151"/>
      <c r="CC9" s="178">
        <f>COUNTIF(AR9:CA9,"X")</f>
        <v>8</v>
      </c>
      <c r="CD9" s="179"/>
      <c r="CE9" s="180"/>
    </row>
    <row r="10" spans="1:83" ht="14.1" customHeight="1" x14ac:dyDescent="0.25">
      <c r="A10" s="2"/>
      <c r="B10" s="255" t="s">
        <v>154</v>
      </c>
      <c r="C10" s="256"/>
      <c r="D10" s="256"/>
      <c r="E10" s="256"/>
      <c r="F10" s="257"/>
      <c r="G10" s="253">
        <f>IF(G9="","",VLOOKUP($AN$1,'plan de data'!$A$3:$V$189,5,0))</f>
        <v>0</v>
      </c>
      <c r="H10" s="253"/>
      <c r="I10" s="253"/>
      <c r="J10" s="324" t="str">
        <f>VLOOKUP($AN$1,'plan de data'!$A$3:$V$189,7,0)</f>
        <v>P</v>
      </c>
      <c r="K10" s="324"/>
      <c r="L10" s="324"/>
      <c r="M10" s="324" t="str">
        <f>VLOOKUP($AN$1,'plan de data'!$A$3:$V$189,9,0)</f>
        <v>P</v>
      </c>
      <c r="N10" s="324"/>
      <c r="O10" s="324"/>
      <c r="P10" s="324" t="str">
        <f>VLOOKUP($AN$1,'plan de data'!$A$3:$V$189,11,0)</f>
        <v>P</v>
      </c>
      <c r="Q10" s="324"/>
      <c r="R10" s="324"/>
      <c r="S10" s="324" t="str">
        <f>VLOOKUP($AN$1,'plan de data'!$A$3:$V$189,13,0)</f>
        <v>P</v>
      </c>
      <c r="T10" s="324"/>
      <c r="U10" s="324"/>
      <c r="V10" s="324" t="str">
        <f>VLOOKUP($AN$1,'plan de data'!$A$3:$V$189,15,0)</f>
        <v>P</v>
      </c>
      <c r="W10" s="324"/>
      <c r="X10" s="324"/>
      <c r="Y10" s="324" t="str">
        <f>VLOOKUP($AN$1,'plan de data'!$A$3:$V$189,17,0)</f>
        <v>P</v>
      </c>
      <c r="Z10" s="324"/>
      <c r="AA10" s="324"/>
      <c r="AB10" s="324" t="str">
        <f>VLOOKUP($AN$1,'plan de data'!$A$3:$V$189,19,0)</f>
        <v>P</v>
      </c>
      <c r="AC10" s="324"/>
      <c r="AD10" s="324"/>
      <c r="AE10" s="253">
        <f>VLOOKUP($AN$1,'plan de data'!$A$3:$V$189,21,0)</f>
        <v>0</v>
      </c>
      <c r="AF10" s="253"/>
      <c r="AG10" s="253"/>
      <c r="AH10" s="253">
        <f>VLOOKUP($AN$1,'plan de data'!$A$3:$V$189,21,0)</f>
        <v>0</v>
      </c>
      <c r="AI10" s="253"/>
      <c r="AJ10" s="253"/>
      <c r="AK10" s="253">
        <f>VLOOKUP($AN$1,'plan de data'!$A$3:$V$189,21,0)</f>
        <v>0</v>
      </c>
      <c r="AL10" s="253"/>
      <c r="AM10" s="253"/>
      <c r="AN10" s="253">
        <f>VLOOKUP($AN$1,'plan de data'!$A$3:$V$189,21,0)</f>
        <v>0</v>
      </c>
      <c r="AO10" s="253"/>
      <c r="AP10" s="254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C10" s="79"/>
      <c r="CD10" s="79"/>
      <c r="CE10" s="79"/>
    </row>
    <row r="11" spans="1:83" ht="13.9" customHeight="1" thickBot="1" x14ac:dyDescent="0.3">
      <c r="A11" s="2" t="str">
        <f>IF($CC$9&gt;0,"X",0)</f>
        <v>X</v>
      </c>
      <c r="B11" s="242" t="s">
        <v>12</v>
      </c>
      <c r="C11" s="243"/>
      <c r="D11" s="243"/>
      <c r="E11" s="243"/>
      <c r="F11" s="243"/>
      <c r="G11" s="252"/>
      <c r="H11" s="252"/>
      <c r="I11" s="252"/>
      <c r="J11" s="325" t="str">
        <f t="shared" ref="J11" si="13">IF(J10="","",IF(J10="P","Normal","Especial"))</f>
        <v>Normal</v>
      </c>
      <c r="K11" s="325"/>
      <c r="L11" s="325"/>
      <c r="M11" s="325" t="str">
        <f t="shared" ref="M11" si="14">IF(M10="","",IF(M10="P","Normal","Especial"))</f>
        <v>Normal</v>
      </c>
      <c r="N11" s="325"/>
      <c r="O11" s="325"/>
      <c r="P11" s="325" t="str">
        <f t="shared" ref="P11" si="15">IF(P10="","",IF(P10="P","Normal","Especial"))</f>
        <v>Normal</v>
      </c>
      <c r="Q11" s="325"/>
      <c r="R11" s="325"/>
      <c r="S11" s="325" t="str">
        <f t="shared" ref="S11" si="16">IF(S10="","",IF(S10="P","Normal","Especial"))</f>
        <v>Normal</v>
      </c>
      <c r="T11" s="325"/>
      <c r="U11" s="325"/>
      <c r="V11" s="325" t="str">
        <f t="shared" ref="V11" si="17">IF(V10="","",IF(V10="P","Normal","Especial"))</f>
        <v>Normal</v>
      </c>
      <c r="W11" s="325"/>
      <c r="X11" s="325"/>
      <c r="Y11" s="325" t="str">
        <f t="shared" ref="Y11" si="18">IF(Y10="","",IF(Y10="P","Normal","Especial"))</f>
        <v>Normal</v>
      </c>
      <c r="Z11" s="325"/>
      <c r="AA11" s="325"/>
      <c r="AB11" s="325" t="str">
        <f t="shared" ref="AB11" si="19">IF(AB10="","",IF(AB10="P","Normal","Especial"))</f>
        <v>Normal</v>
      </c>
      <c r="AC11" s="325"/>
      <c r="AD11" s="325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2"/>
    </row>
    <row r="12" spans="1:83" ht="3" customHeight="1" x14ac:dyDescent="0.25">
      <c r="A12" t="str">
        <f>IF($CC$9&gt;0,"X",0)</f>
        <v>X</v>
      </c>
    </row>
    <row r="13" spans="1:83" ht="14.1" hidden="1" customHeight="1" x14ac:dyDescent="0.25">
      <c r="A13" s="2">
        <f>IF($CC$14&gt;0,"X",0)</f>
        <v>0</v>
      </c>
      <c r="B13" s="250" t="s">
        <v>10</v>
      </c>
      <c r="C13" s="251"/>
      <c r="D13" s="251"/>
      <c r="E13" s="251"/>
      <c r="F13" s="251"/>
      <c r="G13" s="248">
        <f>IF(AR14="X",AR13,0)</f>
        <v>0</v>
      </c>
      <c r="H13" s="248"/>
      <c r="I13" s="248"/>
      <c r="J13" s="248">
        <f t="shared" ref="J13" si="20">IF(AU14="X",AU13,0)</f>
        <v>0</v>
      </c>
      <c r="K13" s="248"/>
      <c r="L13" s="248"/>
      <c r="M13" s="248">
        <f t="shared" ref="M13" si="21">IF(AX14="X",AX13,0)</f>
        <v>0</v>
      </c>
      <c r="N13" s="248"/>
      <c r="O13" s="248"/>
      <c r="P13" s="248">
        <f t="shared" ref="P13" si="22">IF(BA14="X",BA13,0)</f>
        <v>0</v>
      </c>
      <c r="Q13" s="248"/>
      <c r="R13" s="248"/>
      <c r="S13" s="248">
        <f t="shared" ref="S13" si="23">IF(BD14="X",BD13,0)</f>
        <v>0</v>
      </c>
      <c r="T13" s="248"/>
      <c r="U13" s="248"/>
      <c r="V13" s="248">
        <f t="shared" ref="V13" si="24">IF(BG14="X",BG13,0)</f>
        <v>0</v>
      </c>
      <c r="W13" s="248"/>
      <c r="X13" s="248"/>
      <c r="Y13" s="248">
        <f t="shared" ref="Y13" si="25">IF(BJ14="X",BJ13,0)</f>
        <v>0</v>
      </c>
      <c r="Z13" s="248"/>
      <c r="AA13" s="248"/>
      <c r="AB13" s="248">
        <f t="shared" ref="AB13" si="26">IF(BM14="X",BM13,0)</f>
        <v>0</v>
      </c>
      <c r="AC13" s="248"/>
      <c r="AD13" s="248"/>
      <c r="AE13" s="248">
        <f t="shared" ref="AE13" si="27">IF(BP14="X",BP13,0)</f>
        <v>0</v>
      </c>
      <c r="AF13" s="248"/>
      <c r="AG13" s="248"/>
      <c r="AH13" s="248">
        <f t="shared" ref="AH13" si="28">IF(BS14="X",BS13,0)</f>
        <v>0</v>
      </c>
      <c r="AI13" s="248"/>
      <c r="AJ13" s="248"/>
      <c r="AK13" s="248">
        <f t="shared" ref="AK13" si="29">IF(BV14="X",BV13,0)</f>
        <v>0</v>
      </c>
      <c r="AL13" s="248"/>
      <c r="AM13" s="248"/>
      <c r="AN13" s="248">
        <f t="shared" ref="AN13" si="30">IF(BY14="X",BY13,0)</f>
        <v>0</v>
      </c>
      <c r="AO13" s="248"/>
      <c r="AP13" s="249"/>
      <c r="AR13" s="151">
        <v>13</v>
      </c>
      <c r="AS13" s="151"/>
      <c r="AT13" s="151"/>
      <c r="AU13" s="151">
        <v>14</v>
      </c>
      <c r="AV13" s="151"/>
      <c r="AW13" s="151"/>
      <c r="AX13" s="151">
        <v>15</v>
      </c>
      <c r="AY13" s="151"/>
      <c r="AZ13" s="151"/>
      <c r="BA13" s="151">
        <v>16</v>
      </c>
      <c r="BB13" s="151"/>
      <c r="BC13" s="151"/>
      <c r="BD13" s="151">
        <v>17</v>
      </c>
      <c r="BE13" s="151"/>
      <c r="BF13" s="151"/>
      <c r="BG13" s="151">
        <v>18</v>
      </c>
      <c r="BH13" s="151"/>
      <c r="BI13" s="151"/>
      <c r="BJ13" s="151">
        <v>19</v>
      </c>
      <c r="BK13" s="151"/>
      <c r="BL13" s="151"/>
      <c r="BM13" s="151">
        <v>20</v>
      </c>
      <c r="BN13" s="151"/>
      <c r="BO13" s="151"/>
      <c r="BP13" s="151">
        <v>21</v>
      </c>
      <c r="BQ13" s="151"/>
      <c r="BR13" s="151"/>
      <c r="BS13" s="151">
        <v>22</v>
      </c>
      <c r="BT13" s="151"/>
      <c r="BU13" s="151"/>
      <c r="BV13" s="151">
        <v>23</v>
      </c>
      <c r="BW13" s="151"/>
      <c r="BX13" s="151"/>
      <c r="BY13" s="151">
        <v>24</v>
      </c>
      <c r="BZ13" s="151"/>
      <c r="CA13" s="151"/>
      <c r="CC13" s="182" t="s">
        <v>80</v>
      </c>
      <c r="CD13" s="183"/>
      <c r="CE13" s="184"/>
    </row>
    <row r="14" spans="1:83" ht="14.1" hidden="1" customHeight="1" x14ac:dyDescent="0.25">
      <c r="A14" s="2">
        <f t="shared" ref="A14" si="31">IF($CC$14&gt;0,"X",0)</f>
        <v>0</v>
      </c>
      <c r="B14" s="246" t="s">
        <v>11</v>
      </c>
      <c r="C14" s="247"/>
      <c r="D14" s="247"/>
      <c r="E14" s="247"/>
      <c r="F14" s="247"/>
      <c r="G14" s="244"/>
      <c r="H14" s="244"/>
      <c r="I14" s="244"/>
      <c r="J14" s="244"/>
      <c r="K14" s="244"/>
      <c r="L14" s="244"/>
      <c r="M14" s="244"/>
      <c r="N14" s="244"/>
      <c r="O14" s="244"/>
      <c r="P14" s="244"/>
      <c r="Q14" s="244"/>
      <c r="R14" s="244"/>
      <c r="S14" s="244"/>
      <c r="T14" s="244"/>
      <c r="U14" s="244"/>
      <c r="V14" s="244"/>
      <c r="W14" s="244"/>
      <c r="X14" s="244"/>
      <c r="Y14" s="244"/>
      <c r="Z14" s="244"/>
      <c r="AA14" s="244"/>
      <c r="AB14" s="244"/>
      <c r="AC14" s="244"/>
      <c r="AD14" s="244"/>
      <c r="AE14" s="244"/>
      <c r="AF14" s="244"/>
      <c r="AG14" s="244"/>
      <c r="AH14" s="244"/>
      <c r="AI14" s="244"/>
      <c r="AJ14" s="244"/>
      <c r="AK14" s="244"/>
      <c r="AL14" s="244"/>
      <c r="AM14" s="244"/>
      <c r="AN14" s="244"/>
      <c r="AO14" s="244"/>
      <c r="AP14" s="245"/>
      <c r="AR14" s="151"/>
      <c r="AS14" s="151"/>
      <c r="AT14" s="151"/>
      <c r="AU14" s="151"/>
      <c r="AV14" s="151"/>
      <c r="AW14" s="151"/>
      <c r="AX14" s="151"/>
      <c r="AY14" s="151"/>
      <c r="AZ14" s="151"/>
      <c r="BA14" s="151"/>
      <c r="BB14" s="151"/>
      <c r="BC14" s="151"/>
      <c r="BD14" s="151"/>
      <c r="BE14" s="151"/>
      <c r="BF14" s="151"/>
      <c r="BG14" s="151"/>
      <c r="BH14" s="151"/>
      <c r="BI14" s="151"/>
      <c r="BJ14" s="151"/>
      <c r="BK14" s="151"/>
      <c r="BL14" s="151"/>
      <c r="BM14" s="151"/>
      <c r="BN14" s="151"/>
      <c r="BO14" s="151"/>
      <c r="BP14" s="151"/>
      <c r="BQ14" s="151"/>
      <c r="BR14" s="151"/>
      <c r="BS14" s="151"/>
      <c r="BT14" s="151"/>
      <c r="BU14" s="151"/>
      <c r="BV14" s="151"/>
      <c r="BW14" s="151"/>
      <c r="BX14" s="151"/>
      <c r="BY14" s="151"/>
      <c r="BZ14" s="151"/>
      <c r="CA14" s="151"/>
      <c r="CC14" s="178">
        <f>COUNTIF(AR14:CA14,"X")</f>
        <v>0</v>
      </c>
      <c r="CD14" s="179"/>
      <c r="CE14" s="180"/>
    </row>
    <row r="15" spans="1:83" ht="14.1" hidden="1" customHeight="1" thickBot="1" x14ac:dyDescent="0.3">
      <c r="A15" s="2">
        <f>IF($CC$14&gt;0,"X",0)</f>
        <v>0</v>
      </c>
      <c r="B15" s="242" t="s">
        <v>12</v>
      </c>
      <c r="C15" s="243"/>
      <c r="D15" s="243"/>
      <c r="E15" s="243"/>
      <c r="F15" s="243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  <c r="AO15" s="240"/>
      <c r="AP15" s="241"/>
    </row>
    <row r="16" spans="1:83" ht="3" hidden="1" customHeight="1" thickBot="1" x14ac:dyDescent="0.3">
      <c r="A16">
        <f>IF($CC$14&gt;0,"X",0)</f>
        <v>0</v>
      </c>
    </row>
    <row r="17" spans="1:83" ht="14.1" hidden="1" customHeight="1" x14ac:dyDescent="0.25">
      <c r="A17" s="2">
        <f>IF($CC$18&gt;0,"X",0)</f>
        <v>0</v>
      </c>
      <c r="B17" s="250" t="s">
        <v>10</v>
      </c>
      <c r="C17" s="251"/>
      <c r="D17" s="251"/>
      <c r="E17" s="251"/>
      <c r="F17" s="251"/>
      <c r="G17" s="248">
        <f>IF(AR18="X",AR17,0)</f>
        <v>0</v>
      </c>
      <c r="H17" s="248"/>
      <c r="I17" s="248"/>
      <c r="J17" s="248">
        <f t="shared" ref="J17" si="32">IF(AU18="X",AU17,0)</f>
        <v>0</v>
      </c>
      <c r="K17" s="248"/>
      <c r="L17" s="248"/>
      <c r="M17" s="248">
        <f t="shared" ref="M17" si="33">IF(AX18="X",AX17,0)</f>
        <v>0</v>
      </c>
      <c r="N17" s="248"/>
      <c r="O17" s="248"/>
      <c r="P17" s="248">
        <f t="shared" ref="P17" si="34">IF(BA18="X",BA17,0)</f>
        <v>0</v>
      </c>
      <c r="Q17" s="248"/>
      <c r="R17" s="248"/>
      <c r="S17" s="248">
        <f t="shared" ref="S17" si="35">IF(BD18="X",BD17,0)</f>
        <v>0</v>
      </c>
      <c r="T17" s="248"/>
      <c r="U17" s="248"/>
      <c r="V17" s="248">
        <f t="shared" ref="V17" si="36">IF(BG18="X",BG17,0)</f>
        <v>0</v>
      </c>
      <c r="W17" s="248"/>
      <c r="X17" s="248"/>
      <c r="Y17" s="248">
        <f t="shared" ref="Y17" si="37">IF(BJ18="X",BJ17,0)</f>
        <v>0</v>
      </c>
      <c r="Z17" s="248"/>
      <c r="AA17" s="248"/>
      <c r="AB17" s="248">
        <f t="shared" ref="AB17" si="38">IF(BM18="X",BM17,0)</f>
        <v>0</v>
      </c>
      <c r="AC17" s="248"/>
      <c r="AD17" s="248"/>
      <c r="AE17" s="248">
        <f t="shared" ref="AE17" si="39">IF(BP18="X",BP17,0)</f>
        <v>0</v>
      </c>
      <c r="AF17" s="248"/>
      <c r="AG17" s="248"/>
      <c r="AH17" s="248">
        <f t="shared" ref="AH17" si="40">IF(BS18="X",BS17,0)</f>
        <v>0</v>
      </c>
      <c r="AI17" s="248"/>
      <c r="AJ17" s="248"/>
      <c r="AK17" s="248">
        <f t="shared" ref="AK17" si="41">IF(BV18="X",BV17,0)</f>
        <v>0</v>
      </c>
      <c r="AL17" s="248"/>
      <c r="AM17" s="248"/>
      <c r="AN17" s="248">
        <f t="shared" ref="AN17" si="42">IF(BY18="X",BY17,0)</f>
        <v>0</v>
      </c>
      <c r="AO17" s="248"/>
      <c r="AP17" s="249"/>
      <c r="AR17" s="151">
        <v>25</v>
      </c>
      <c r="AS17" s="151"/>
      <c r="AT17" s="151"/>
      <c r="AU17" s="151">
        <v>26</v>
      </c>
      <c r="AV17" s="151"/>
      <c r="AW17" s="151"/>
      <c r="AX17" s="151">
        <v>27</v>
      </c>
      <c r="AY17" s="151"/>
      <c r="AZ17" s="151"/>
      <c r="BA17" s="151">
        <v>28</v>
      </c>
      <c r="BB17" s="151"/>
      <c r="BC17" s="151"/>
      <c r="BD17" s="151">
        <v>29</v>
      </c>
      <c r="BE17" s="151"/>
      <c r="BF17" s="151"/>
      <c r="BG17" s="151">
        <v>30</v>
      </c>
      <c r="BH17" s="151"/>
      <c r="BI17" s="151"/>
      <c r="BJ17" s="151">
        <v>31</v>
      </c>
      <c r="BK17" s="151"/>
      <c r="BL17" s="151"/>
      <c r="BM17" s="151">
        <v>32</v>
      </c>
      <c r="BN17" s="151"/>
      <c r="BO17" s="151"/>
      <c r="BP17" s="151">
        <v>33</v>
      </c>
      <c r="BQ17" s="151"/>
      <c r="BR17" s="151"/>
      <c r="BS17" s="151">
        <v>34</v>
      </c>
      <c r="BT17" s="151"/>
      <c r="BU17" s="151"/>
      <c r="BV17" s="151">
        <v>35</v>
      </c>
      <c r="BW17" s="151"/>
      <c r="BX17" s="151"/>
      <c r="BY17" s="151">
        <v>36</v>
      </c>
      <c r="BZ17" s="151"/>
      <c r="CA17" s="151"/>
      <c r="CC17" s="182" t="s">
        <v>80</v>
      </c>
      <c r="CD17" s="183"/>
      <c r="CE17" s="184"/>
    </row>
    <row r="18" spans="1:83" ht="14.1" hidden="1" customHeight="1" x14ac:dyDescent="0.25">
      <c r="A18" s="2">
        <f t="shared" ref="A18:A19" si="43">IF($CC$18&gt;0,"X",0)</f>
        <v>0</v>
      </c>
      <c r="B18" s="246" t="s">
        <v>11</v>
      </c>
      <c r="C18" s="247"/>
      <c r="D18" s="247"/>
      <c r="E18" s="247"/>
      <c r="F18" s="247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44"/>
      <c r="Y18" s="244"/>
      <c r="Z18" s="244"/>
      <c r="AA18" s="244"/>
      <c r="AB18" s="244"/>
      <c r="AC18" s="244"/>
      <c r="AD18" s="244"/>
      <c r="AE18" s="244"/>
      <c r="AF18" s="244"/>
      <c r="AG18" s="244"/>
      <c r="AH18" s="244"/>
      <c r="AI18" s="244"/>
      <c r="AJ18" s="244"/>
      <c r="AK18" s="244"/>
      <c r="AL18" s="244"/>
      <c r="AM18" s="244"/>
      <c r="AN18" s="244"/>
      <c r="AO18" s="244"/>
      <c r="AP18" s="245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  <c r="BB18" s="151"/>
      <c r="BC18" s="151"/>
      <c r="BD18" s="151"/>
      <c r="BE18" s="151"/>
      <c r="BF18" s="151"/>
      <c r="BG18" s="151"/>
      <c r="BH18" s="151"/>
      <c r="BI18" s="151"/>
      <c r="BJ18" s="151"/>
      <c r="BK18" s="151"/>
      <c r="BL18" s="151"/>
      <c r="BM18" s="151"/>
      <c r="BN18" s="151"/>
      <c r="BO18" s="151"/>
      <c r="BP18" s="151"/>
      <c r="BQ18" s="151"/>
      <c r="BR18" s="151"/>
      <c r="BS18" s="151"/>
      <c r="BT18" s="151"/>
      <c r="BU18" s="151"/>
      <c r="BV18" s="151"/>
      <c r="BW18" s="151"/>
      <c r="BX18" s="151"/>
      <c r="BY18" s="151"/>
      <c r="BZ18" s="151"/>
      <c r="CA18" s="151"/>
      <c r="CC18" s="178">
        <f>COUNTIF(AR18:CA18,"X")</f>
        <v>0</v>
      </c>
      <c r="CD18" s="179"/>
      <c r="CE18" s="180"/>
    </row>
    <row r="19" spans="1:83" ht="14.1" hidden="1" customHeight="1" thickBot="1" x14ac:dyDescent="0.3">
      <c r="A19" s="2">
        <f t="shared" si="43"/>
        <v>0</v>
      </c>
      <c r="B19" s="242" t="s">
        <v>12</v>
      </c>
      <c r="C19" s="243"/>
      <c r="D19" s="243"/>
      <c r="E19" s="243"/>
      <c r="F19" s="243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  <c r="AH19" s="240"/>
      <c r="AI19" s="240"/>
      <c r="AJ19" s="240"/>
      <c r="AK19" s="240"/>
      <c r="AL19" s="240"/>
      <c r="AM19" s="240"/>
      <c r="AN19" s="240"/>
      <c r="AO19" s="240"/>
      <c r="AP19" s="241"/>
    </row>
    <row r="20" spans="1:83" ht="3" customHeight="1" thickBot="1" x14ac:dyDescent="0.3"/>
    <row r="21" spans="1:83" ht="14.1" customHeight="1" x14ac:dyDescent="0.25">
      <c r="B21" s="157" t="s">
        <v>15</v>
      </c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9"/>
      <c r="AE21" s="160" t="s">
        <v>16</v>
      </c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2"/>
    </row>
    <row r="22" spans="1:83" ht="14.1" customHeight="1" x14ac:dyDescent="0.25">
      <c r="B22" s="16"/>
      <c r="C22" s="113" t="s">
        <v>85</v>
      </c>
      <c r="D22" s="6"/>
      <c r="E22" s="5"/>
      <c r="F22" s="5"/>
      <c r="G22" s="5"/>
      <c r="H22" s="5"/>
      <c r="I22" s="5"/>
      <c r="J22" s="5"/>
      <c r="K22" s="6"/>
      <c r="L22" s="6"/>
      <c r="M22" s="6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8"/>
      <c r="AE22" s="2"/>
      <c r="AF22" s="3"/>
      <c r="AG22" s="91" t="s">
        <v>58</v>
      </c>
      <c r="AH22" s="44" t="s">
        <v>17</v>
      </c>
      <c r="AI22" s="45"/>
      <c r="AJ22" s="46"/>
      <c r="AK22" s="47"/>
      <c r="AL22" s="48"/>
      <c r="AM22" s="44" t="s">
        <v>18</v>
      </c>
      <c r="AN22" s="45"/>
      <c r="AO22" s="14"/>
      <c r="AP22" s="17"/>
    </row>
    <row r="23" spans="1:83" ht="14.1" customHeight="1" x14ac:dyDescent="0.25">
      <c r="B23" s="18"/>
      <c r="C23" s="10" t="s">
        <v>63</v>
      </c>
      <c r="D23" s="10"/>
      <c r="E23" s="9"/>
      <c r="F23" s="9"/>
      <c r="G23" s="9"/>
      <c r="H23" s="9"/>
      <c r="I23" s="9"/>
      <c r="J23" s="9"/>
      <c r="K23" s="10"/>
      <c r="L23" s="10"/>
      <c r="M23" s="10"/>
      <c r="AD23" s="11"/>
      <c r="AE23" s="138" t="s">
        <v>65</v>
      </c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64"/>
    </row>
    <row r="24" spans="1:83" ht="14.1" customHeight="1" x14ac:dyDescent="0.25">
      <c r="B24" s="19"/>
      <c r="C24" t="s">
        <v>113</v>
      </c>
      <c r="AD24" s="1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216"/>
    </row>
    <row r="25" spans="1:83" ht="14.1" customHeight="1" x14ac:dyDescent="0.25">
      <c r="B25" s="239" t="s">
        <v>64</v>
      </c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1"/>
      <c r="AE25" s="138" t="s">
        <v>19</v>
      </c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64"/>
    </row>
    <row r="26" spans="1:83" ht="14.1" customHeight="1" thickBot="1" x14ac:dyDescent="0.3">
      <c r="B26" s="213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  <c r="Y26" s="214"/>
      <c r="Z26" s="214"/>
      <c r="AA26" s="214"/>
      <c r="AB26" s="214"/>
      <c r="AC26" s="214"/>
      <c r="AD26" s="215"/>
      <c r="AE26" s="49"/>
      <c r="AF26" s="21" t="s">
        <v>20</v>
      </c>
      <c r="AG26" s="21"/>
      <c r="AH26" s="21"/>
      <c r="AI26" s="49"/>
      <c r="AJ26" s="21" t="s">
        <v>21</v>
      </c>
      <c r="AK26" s="21"/>
      <c r="AL26" s="21"/>
      <c r="AM26" s="49"/>
      <c r="AN26" s="21" t="s">
        <v>22</v>
      </c>
      <c r="AO26" s="21"/>
      <c r="AP26" s="22"/>
    </row>
    <row r="27" spans="1:83" ht="3.95" customHeight="1" thickBot="1" x14ac:dyDescent="0.3"/>
    <row r="28" spans="1:83" ht="14.1" customHeight="1" x14ac:dyDescent="0.25">
      <c r="B28" s="157" t="s">
        <v>23</v>
      </c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 t="s">
        <v>93</v>
      </c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9"/>
      <c r="AE28" s="160" t="s">
        <v>16</v>
      </c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2"/>
    </row>
    <row r="29" spans="1:83" ht="14.1" customHeight="1" x14ac:dyDescent="0.25">
      <c r="B29" s="310" t="s">
        <v>235</v>
      </c>
      <c r="C29" s="311"/>
      <c r="D29" s="311"/>
      <c r="E29" s="311"/>
      <c r="F29" s="311"/>
      <c r="G29" s="312" t="s">
        <v>399</v>
      </c>
      <c r="H29" s="312"/>
      <c r="I29" s="312"/>
      <c r="J29" s="312"/>
      <c r="K29" s="312"/>
      <c r="L29" s="312"/>
      <c r="M29" s="312"/>
      <c r="N29" s="312"/>
      <c r="O29" s="312"/>
      <c r="P29" s="312"/>
      <c r="Q29" s="312"/>
      <c r="R29" s="312"/>
      <c r="S29" s="312"/>
      <c r="T29" s="312"/>
      <c r="U29" s="312"/>
      <c r="V29" s="312"/>
      <c r="W29" s="312"/>
      <c r="X29" s="313"/>
      <c r="Y29" s="230" t="s">
        <v>75</v>
      </c>
      <c r="Z29" s="231"/>
      <c r="AA29" s="231"/>
      <c r="AB29" s="231"/>
      <c r="AC29" s="231"/>
      <c r="AD29" s="232"/>
      <c r="AE29" s="2"/>
      <c r="AF29" s="3"/>
      <c r="AG29" s="91" t="s">
        <v>58</v>
      </c>
      <c r="AH29" s="44" t="s">
        <v>17</v>
      </c>
      <c r="AI29" s="45"/>
      <c r="AJ29" s="46"/>
      <c r="AK29" s="47"/>
      <c r="AL29" s="48"/>
      <c r="AM29" s="44" t="s">
        <v>18</v>
      </c>
      <c r="AN29" s="45"/>
      <c r="AO29" s="14"/>
      <c r="AP29" s="17"/>
    </row>
    <row r="30" spans="1:83" ht="14.1" customHeight="1" x14ac:dyDescent="0.25">
      <c r="B30" s="314" t="s">
        <v>398</v>
      </c>
      <c r="C30" s="315"/>
      <c r="D30" s="315"/>
      <c r="E30" s="315"/>
      <c r="F30" s="315"/>
      <c r="G30" s="315"/>
      <c r="H30" s="315"/>
      <c r="I30" s="315"/>
      <c r="J30" s="315"/>
      <c r="K30" s="315"/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15"/>
      <c r="X30" s="316"/>
      <c r="Y30" s="233"/>
      <c r="Z30" s="234"/>
      <c r="AA30" s="234"/>
      <c r="AB30" s="234"/>
      <c r="AC30" s="234"/>
      <c r="AD30" s="235"/>
      <c r="AE30" s="138" t="s">
        <v>65</v>
      </c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64"/>
    </row>
    <row r="31" spans="1:83" ht="14.1" customHeight="1" x14ac:dyDescent="0.25">
      <c r="B31" s="314" t="s">
        <v>401</v>
      </c>
      <c r="C31" s="315"/>
      <c r="D31" s="315"/>
      <c r="E31" s="315"/>
      <c r="F31" s="315"/>
      <c r="G31" s="315"/>
      <c r="H31" s="315"/>
      <c r="I31" s="315"/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5"/>
      <c r="U31" s="315"/>
      <c r="V31" s="315"/>
      <c r="W31" s="315"/>
      <c r="X31" s="316"/>
      <c r="Y31" s="233"/>
      <c r="Z31" s="234"/>
      <c r="AA31" s="234"/>
      <c r="AB31" s="234"/>
      <c r="AC31" s="234"/>
      <c r="AD31" s="235"/>
      <c r="AE31" s="138"/>
      <c r="AF31" s="140"/>
      <c r="AG31" s="138"/>
      <c r="AH31" s="140"/>
      <c r="AI31" s="138"/>
      <c r="AJ31" s="140"/>
      <c r="AK31" s="138"/>
      <c r="AL31" s="140"/>
      <c r="AM31" s="138"/>
      <c r="AN31" s="140"/>
      <c r="AO31" s="138"/>
      <c r="AP31" s="140"/>
    </row>
    <row r="32" spans="1:83" ht="14.1" customHeight="1" x14ac:dyDescent="0.25">
      <c r="B32" s="314" t="s">
        <v>400</v>
      </c>
      <c r="C32" s="315"/>
      <c r="D32" s="315"/>
      <c r="E32" s="315"/>
      <c r="F32" s="315"/>
      <c r="G32" s="315"/>
      <c r="H32" s="315"/>
      <c r="I32" s="315"/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15"/>
      <c r="X32" s="316"/>
      <c r="Y32" s="233"/>
      <c r="Z32" s="234"/>
      <c r="AA32" s="234"/>
      <c r="AB32" s="234"/>
      <c r="AC32" s="234"/>
      <c r="AD32" s="235"/>
      <c r="AE32" s="138"/>
      <c r="AF32" s="140"/>
      <c r="AG32" s="138"/>
      <c r="AH32" s="140"/>
      <c r="AI32" s="138"/>
      <c r="AJ32" s="140"/>
      <c r="AK32" s="138"/>
      <c r="AL32" s="140"/>
      <c r="AM32" s="138"/>
      <c r="AN32" s="140"/>
      <c r="AO32" s="138"/>
      <c r="AP32" s="140"/>
    </row>
    <row r="33" spans="1:101" ht="14.1" customHeight="1" x14ac:dyDescent="0.25">
      <c r="B33" s="317" t="s">
        <v>402</v>
      </c>
      <c r="C33" s="318"/>
      <c r="D33" s="318"/>
      <c r="E33" s="318"/>
      <c r="F33" s="318"/>
      <c r="G33" s="318"/>
      <c r="H33" s="318"/>
      <c r="I33" s="318"/>
      <c r="J33" s="318"/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9"/>
      <c r="Y33" s="236"/>
      <c r="Z33" s="237"/>
      <c r="AA33" s="237"/>
      <c r="AB33" s="237"/>
      <c r="AC33" s="237"/>
      <c r="AD33" s="238"/>
      <c r="AE33" s="59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60"/>
    </row>
    <row r="34" spans="1:101" x14ac:dyDescent="0.25">
      <c r="B34" s="196" t="s">
        <v>64</v>
      </c>
      <c r="C34" s="183"/>
      <c r="D34" s="183"/>
      <c r="E34" s="183"/>
      <c r="F34" s="183"/>
      <c r="G34" s="183"/>
      <c r="H34" s="183"/>
      <c r="I34" s="183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1"/>
      <c r="AE34" s="138" t="s">
        <v>19</v>
      </c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64"/>
    </row>
    <row r="35" spans="1:101" ht="14.1" customHeight="1" thickBot="1" x14ac:dyDescent="0.3">
      <c r="B35" s="213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214"/>
      <c r="Y35" s="214"/>
      <c r="Z35" s="214"/>
      <c r="AA35" s="214"/>
      <c r="AB35" s="214"/>
      <c r="AC35" s="214"/>
      <c r="AD35" s="215"/>
      <c r="AE35" s="49"/>
      <c r="AF35" s="21" t="s">
        <v>20</v>
      </c>
      <c r="AG35" s="21"/>
      <c r="AH35" s="21"/>
      <c r="AI35" s="49"/>
      <c r="AJ35" s="21" t="s">
        <v>21</v>
      </c>
      <c r="AK35" s="21"/>
      <c r="AL35" s="21"/>
      <c r="AM35" s="49"/>
      <c r="AN35" s="21" t="s">
        <v>22</v>
      </c>
      <c r="AO35" s="21"/>
      <c r="AP35" s="22"/>
    </row>
    <row r="36" spans="1:101" ht="3.95" customHeight="1" thickBot="1" x14ac:dyDescent="0.3"/>
    <row r="37" spans="1:101" ht="14.1" customHeight="1" x14ac:dyDescent="0.25">
      <c r="B37" s="222" t="s">
        <v>24</v>
      </c>
      <c r="C37" s="223"/>
      <c r="D37" s="223"/>
      <c r="E37" s="223"/>
      <c r="F37" s="223"/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3"/>
      <c r="AA37" s="223"/>
      <c r="AB37" s="223"/>
      <c r="AC37" s="223"/>
      <c r="AD37" s="224"/>
      <c r="AE37" s="160" t="s">
        <v>16</v>
      </c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2"/>
      <c r="AV37" s="182" t="s">
        <v>102</v>
      </c>
      <c r="AW37" s="183"/>
      <c r="AX37" s="183"/>
      <c r="AY37" s="182" t="s">
        <v>103</v>
      </c>
      <c r="AZ37" s="183"/>
      <c r="BA37" s="183"/>
      <c r="BB37" s="184"/>
      <c r="CQ37" s="182" t="s">
        <v>102</v>
      </c>
      <c r="CR37" s="183"/>
      <c r="CS37" s="183"/>
      <c r="CT37" s="182" t="s">
        <v>103</v>
      </c>
      <c r="CU37" s="183"/>
      <c r="CV37" s="183"/>
      <c r="CW37" s="184"/>
    </row>
    <row r="38" spans="1:101" ht="14.1" customHeight="1" x14ac:dyDescent="0.25">
      <c r="A38" s="64"/>
      <c r="B38" s="73" t="str">
        <f>IF(A38="X","Embutidos FTK e chapas inox estão com dimensionais e posições conforme pré-estabelecido","Embutidos FTK  estão com dimensionais e posições conforme pré-estabelecido")</f>
        <v>Embutidos FTK  estão com dimensionais e posições conforme pré-estabelecido</v>
      </c>
      <c r="C38" s="15"/>
      <c r="D38" s="6"/>
      <c r="E38" s="5"/>
      <c r="F38" s="5"/>
      <c r="G38" s="5"/>
      <c r="H38" s="5"/>
      <c r="I38" s="5"/>
      <c r="J38" s="5"/>
      <c r="K38" s="6"/>
      <c r="L38" s="6"/>
      <c r="M38" s="6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8"/>
      <c r="AE38" s="3"/>
      <c r="AF38" s="3"/>
      <c r="AG38" s="91" t="s">
        <v>58</v>
      </c>
      <c r="AH38" s="44" t="s">
        <v>17</v>
      </c>
      <c r="AI38" s="45"/>
      <c r="AJ38" s="46"/>
      <c r="AK38" s="47"/>
      <c r="AL38" s="48"/>
      <c r="AM38" s="44" t="s">
        <v>18</v>
      </c>
      <c r="AN38" s="45"/>
      <c r="AO38" s="14"/>
      <c r="AP38" s="17"/>
      <c r="AV38" s="178">
        <f>VLOOKUP($B$46,CA!$Y$3:$AF$188,8,0)</f>
        <v>202</v>
      </c>
      <c r="AW38" s="179"/>
      <c r="AX38" s="179"/>
      <c r="AY38" s="178">
        <f>VLOOKUP($B$46,CA!$Y$3:$AF$188,7,0)</f>
        <v>99.9</v>
      </c>
      <c r="AZ38" s="179"/>
      <c r="BA38" s="179"/>
      <c r="BB38" s="180"/>
      <c r="CQ38" s="178">
        <f>IF(AV38=0,AY46,AV38)</f>
        <v>202</v>
      </c>
      <c r="CR38" s="179"/>
      <c r="CS38" s="179"/>
      <c r="CT38" s="178">
        <f>IF(AY38=0,AY45,AY38)</f>
        <v>99.9</v>
      </c>
      <c r="CU38" s="179"/>
      <c r="CV38" s="179"/>
      <c r="CW38" s="180"/>
    </row>
    <row r="39" spans="1:101" ht="14.1" customHeight="1" x14ac:dyDescent="0.25">
      <c r="B39" s="72" t="s">
        <v>100</v>
      </c>
      <c r="C39" s="10"/>
      <c r="D39" s="10"/>
      <c r="E39" s="9"/>
      <c r="F39" s="9"/>
      <c r="G39" s="9"/>
      <c r="H39" s="9"/>
      <c r="I39" s="9"/>
      <c r="J39" s="9"/>
      <c r="K39" s="10"/>
      <c r="L39" s="10"/>
      <c r="M39" s="10"/>
      <c r="AD39" s="11"/>
      <c r="AE39" s="139" t="s">
        <v>65</v>
      </c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64"/>
    </row>
    <row r="40" spans="1:101" ht="14.1" customHeight="1" x14ac:dyDescent="0.25">
      <c r="B40" s="71" t="s">
        <v>101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3"/>
      <c r="AE40" s="140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216"/>
    </row>
    <row r="41" spans="1:101" ht="14.1" customHeight="1" x14ac:dyDescent="0.25">
      <c r="B41" s="210" t="s">
        <v>64</v>
      </c>
      <c r="C41" s="165"/>
      <c r="D41" s="165"/>
      <c r="E41" s="165"/>
      <c r="F41" s="165"/>
      <c r="G41" s="165"/>
      <c r="H41" s="165"/>
      <c r="I41" s="165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2"/>
      <c r="AE41" s="138" t="s">
        <v>19</v>
      </c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64"/>
      <c r="BA41" s="165">
        <v>197.7</v>
      </c>
      <c r="BB41" s="165"/>
      <c r="BC41" s="165"/>
      <c r="BD41" s="165"/>
      <c r="BE41" s="165"/>
    </row>
    <row r="42" spans="1:101" ht="14.1" customHeight="1" thickBot="1" x14ac:dyDescent="0.3">
      <c r="B42" s="213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214"/>
      <c r="S42" s="214"/>
      <c r="T42" s="214"/>
      <c r="U42" s="214"/>
      <c r="V42" s="214"/>
      <c r="W42" s="214"/>
      <c r="X42" s="214"/>
      <c r="Y42" s="214"/>
      <c r="Z42" s="214"/>
      <c r="AA42" s="214"/>
      <c r="AB42" s="214"/>
      <c r="AC42" s="214"/>
      <c r="AD42" s="215"/>
      <c r="AE42" s="49"/>
      <c r="AF42" s="21" t="s">
        <v>20</v>
      </c>
      <c r="AG42" s="21"/>
      <c r="AH42" s="21"/>
      <c r="AI42" s="49"/>
      <c r="AJ42" s="21" t="s">
        <v>21</v>
      </c>
      <c r="AK42" s="21"/>
      <c r="AL42" s="21"/>
      <c r="AM42" s="49"/>
      <c r="AN42" s="21" t="s">
        <v>22</v>
      </c>
      <c r="AO42" s="21"/>
      <c r="AP42" s="22"/>
      <c r="BA42" s="165">
        <v>99.9</v>
      </c>
      <c r="BB42" s="165"/>
      <c r="BC42" s="165"/>
      <c r="BD42" s="165"/>
      <c r="BE42" s="165"/>
    </row>
    <row r="43" spans="1:101" ht="4.5" customHeight="1" thickBot="1" x14ac:dyDescent="0.3"/>
    <row r="44" spans="1:101" ht="14.1" customHeight="1" x14ac:dyDescent="0.25">
      <c r="B44" s="205" t="s">
        <v>25</v>
      </c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7" t="s">
        <v>26</v>
      </c>
      <c r="N44" s="208"/>
      <c r="O44" s="208"/>
      <c r="P44" s="161">
        <v>12.7</v>
      </c>
      <c r="Q44" s="161"/>
      <c r="R44" s="161"/>
      <c r="S44" s="161" t="s">
        <v>27</v>
      </c>
      <c r="T44" s="161"/>
      <c r="U44" s="209"/>
      <c r="V44" s="207" t="s">
        <v>28</v>
      </c>
      <c r="W44" s="208"/>
      <c r="X44" s="208"/>
      <c r="Y44" s="208"/>
      <c r="Z44" s="208"/>
      <c r="AA44" s="208"/>
      <c r="AB44" s="161" t="s">
        <v>83</v>
      </c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2"/>
      <c r="AU44" t="s">
        <v>108</v>
      </c>
    </row>
    <row r="45" spans="1:101" ht="14.1" customHeight="1" x14ac:dyDescent="0.25">
      <c r="B45" s="196" t="s">
        <v>29</v>
      </c>
      <c r="C45" s="183"/>
      <c r="D45" s="183"/>
      <c r="E45" s="183"/>
      <c r="F45" s="183"/>
      <c r="G45" s="183"/>
      <c r="H45" s="183"/>
      <c r="I45" s="183"/>
      <c r="J45" s="183"/>
      <c r="K45" s="183"/>
      <c r="L45" s="184"/>
      <c r="M45" s="182" t="s">
        <v>30</v>
      </c>
      <c r="N45" s="183"/>
      <c r="O45" s="183"/>
      <c r="P45" s="183"/>
      <c r="Q45" s="183"/>
      <c r="R45" s="183"/>
      <c r="S45" s="183"/>
      <c r="T45" s="183"/>
      <c r="U45" s="184"/>
      <c r="V45" s="182" t="s">
        <v>29</v>
      </c>
      <c r="W45" s="183"/>
      <c r="X45" s="183"/>
      <c r="Y45" s="183"/>
      <c r="Z45" s="183"/>
      <c r="AA45" s="183"/>
      <c r="AB45" s="183"/>
      <c r="AC45" s="183"/>
      <c r="AD45" s="183"/>
      <c r="AE45" s="183"/>
      <c r="AF45" s="184"/>
      <c r="AG45" s="182" t="s">
        <v>30</v>
      </c>
      <c r="AH45" s="183"/>
      <c r="AI45" s="183"/>
      <c r="AJ45" s="183"/>
      <c r="AK45" s="183"/>
      <c r="AL45" s="183"/>
      <c r="AM45" s="183"/>
      <c r="AN45" s="183"/>
      <c r="AO45" s="183"/>
      <c r="AP45" s="197"/>
      <c r="AV45" t="s">
        <v>104</v>
      </c>
      <c r="AY45" s="165" t="s">
        <v>98</v>
      </c>
      <c r="AZ45" s="165"/>
      <c r="BA45" s="165"/>
      <c r="BB45" s="165"/>
      <c r="BC45" s="165"/>
      <c r="BD45" t="s">
        <v>106</v>
      </c>
    </row>
    <row r="46" spans="1:101" ht="14.1" customHeight="1" x14ac:dyDescent="0.25">
      <c r="B46" s="334">
        <f>VLOOKUP($AN$1,CA!$A$3:$Y$282,25,0)</f>
        <v>1063047223</v>
      </c>
      <c r="C46" s="335"/>
      <c r="D46" s="335"/>
      <c r="E46" s="335"/>
      <c r="F46" s="335"/>
      <c r="G46" s="335"/>
      <c r="H46" s="335"/>
      <c r="I46" s="335"/>
      <c r="J46" s="335"/>
      <c r="K46" s="335"/>
      <c r="L46" s="336"/>
      <c r="M46" s="337">
        <f>VLOOKUP($AN$1,CA!$A$3:$Z$282,26,0)</f>
        <v>45859</v>
      </c>
      <c r="N46" s="338"/>
      <c r="O46" s="338"/>
      <c r="P46" s="338"/>
      <c r="Q46" s="338"/>
      <c r="R46" s="338"/>
      <c r="S46" s="338"/>
      <c r="T46" s="338"/>
      <c r="U46" s="339"/>
      <c r="V46" s="340">
        <f>VLOOKUP($AN$1,CA!$A$3:$AB$282,28,0)</f>
        <v>0</v>
      </c>
      <c r="W46" s="340"/>
      <c r="X46" s="340"/>
      <c r="Y46" s="340"/>
      <c r="Z46" s="340"/>
      <c r="AA46" s="340"/>
      <c r="AB46" s="340"/>
      <c r="AC46" s="340"/>
      <c r="AD46" s="340"/>
      <c r="AE46" s="340"/>
      <c r="AF46" s="341"/>
      <c r="AG46" s="337" t="str">
        <f>VLOOKUP($AN$1,CA!$A$3:$AC$188,29,0)</f>
        <v>-</v>
      </c>
      <c r="AH46" s="338"/>
      <c r="AI46" s="338"/>
      <c r="AJ46" s="338"/>
      <c r="AK46" s="338"/>
      <c r="AL46" s="338"/>
      <c r="AM46" s="338"/>
      <c r="AN46" s="338"/>
      <c r="AO46" s="338"/>
      <c r="AP46" s="342"/>
      <c r="AV46" t="s">
        <v>105</v>
      </c>
      <c r="AY46" s="165" t="s">
        <v>98</v>
      </c>
      <c r="AZ46" s="165"/>
      <c r="BA46" s="165"/>
      <c r="BB46" s="165"/>
      <c r="BC46" s="165"/>
      <c r="BD46" t="s">
        <v>107</v>
      </c>
    </row>
    <row r="47" spans="1:101" ht="14.1" customHeight="1" x14ac:dyDescent="0.25">
      <c r="B47" s="163" t="s">
        <v>96</v>
      </c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343">
        <f>VLOOKUP(B46,CA!$Y$3:$AA$139,3,0)</f>
        <v>82938</v>
      </c>
      <c r="N47" s="344"/>
      <c r="O47" s="344"/>
      <c r="P47" s="344"/>
      <c r="Q47" s="344"/>
      <c r="R47" s="344"/>
      <c r="S47" s="344"/>
      <c r="T47" s="344"/>
      <c r="U47" s="345"/>
      <c r="V47" s="138" t="s">
        <v>96</v>
      </c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346" t="str">
        <f>VLOOKUP($AN$1,CA!$A$3:$AD$188,30,0)</f>
        <v>-</v>
      </c>
      <c r="AH47" s="346"/>
      <c r="AI47" s="346"/>
      <c r="AJ47" s="346"/>
      <c r="AK47" s="346"/>
      <c r="AL47" s="346"/>
      <c r="AM47" s="346"/>
      <c r="AN47" s="346"/>
      <c r="AO47" s="346"/>
      <c r="AP47" s="347"/>
      <c r="AS47" t="s">
        <v>109</v>
      </c>
      <c r="BC47" s="165" t="e">
        <f>IF(CQ38+CT38=0,0,((AY45/CT38)+(AY46/CQ38))/2)*1.02</f>
        <v>#VALUE!</v>
      </c>
      <c r="BD47" s="165"/>
      <c r="BE47" s="165"/>
      <c r="BF47" s="165"/>
      <c r="BG47" s="165"/>
    </row>
    <row r="48" spans="1:101" ht="4.5" customHeight="1" x14ac:dyDescent="0.25">
      <c r="B48" s="19"/>
      <c r="AP48" s="23"/>
    </row>
    <row r="49" spans="2:121" ht="14.1" customHeight="1" x14ac:dyDescent="0.25">
      <c r="B49" s="35"/>
      <c r="C49" s="139" t="s">
        <v>31</v>
      </c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7"/>
      <c r="AR49" s="138" t="s">
        <v>66</v>
      </c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39"/>
      <c r="BF49" s="139"/>
      <c r="BG49" s="139"/>
      <c r="BH49" s="139"/>
      <c r="BI49" s="139"/>
      <c r="BJ49" s="139"/>
      <c r="BK49" s="139"/>
      <c r="BL49" s="139"/>
      <c r="BM49" s="139"/>
      <c r="BN49" s="139"/>
      <c r="BO49" s="139"/>
      <c r="BP49" s="139"/>
      <c r="BQ49" s="139"/>
      <c r="BR49" s="139"/>
      <c r="BS49" s="139"/>
      <c r="BT49" s="139"/>
      <c r="BU49" s="139"/>
      <c r="BV49" s="139"/>
      <c r="BW49" s="139"/>
      <c r="BX49" s="139"/>
      <c r="BY49" s="139"/>
      <c r="BZ49" s="139"/>
      <c r="CA49" s="139"/>
      <c r="CB49" s="139"/>
      <c r="CC49" s="139"/>
      <c r="CD49" s="140"/>
    </row>
    <row r="50" spans="2:121" ht="14.1" customHeight="1" x14ac:dyDescent="0.25">
      <c r="B50" s="19"/>
      <c r="C50" s="190" t="str">
        <f>IF(AR51="x",AR50,0)</f>
        <v>C-1</v>
      </c>
      <c r="D50" s="165"/>
      <c r="E50" s="191"/>
      <c r="F50" s="190" t="str">
        <f t="shared" ref="F50" si="44">IF(AU51="x",AU50,0)</f>
        <v>C-2</v>
      </c>
      <c r="G50" s="165"/>
      <c r="H50" s="191"/>
      <c r="I50" s="190" t="str">
        <f t="shared" ref="I50" si="45">IF(AX51="x",AX50,0)</f>
        <v>C-3</v>
      </c>
      <c r="J50" s="165"/>
      <c r="K50" s="191"/>
      <c r="L50" s="190" t="str">
        <f t="shared" ref="L50" si="46">IF(BA51="x",BA50,0)</f>
        <v>C-4</v>
      </c>
      <c r="M50" s="165"/>
      <c r="N50" s="191"/>
      <c r="O50" s="190" t="str">
        <f t="shared" ref="O50" si="47">IF(BD51="x",BD50,0)</f>
        <v>C-5</v>
      </c>
      <c r="P50" s="165"/>
      <c r="Q50" s="191"/>
      <c r="R50" s="190" t="str">
        <f t="shared" ref="R50" si="48">IF(BG51="x",BG50,0)</f>
        <v>C-6</v>
      </c>
      <c r="S50" s="165"/>
      <c r="T50" s="191"/>
      <c r="U50" s="190" t="str">
        <f t="shared" ref="U50" si="49">IF(BJ51="x",BJ50,0)</f>
        <v>C-7</v>
      </c>
      <c r="V50" s="165"/>
      <c r="W50" s="191"/>
      <c r="X50" s="190" t="str">
        <f t="shared" ref="X50" si="50">IF(BM51="x",BM50,0)</f>
        <v>C-8</v>
      </c>
      <c r="Y50" s="165"/>
      <c r="Z50" s="191"/>
      <c r="AA50" s="190" t="str">
        <f t="shared" ref="AA50" si="51">IF(BP51="x",BP50,0)</f>
        <v>C-9</v>
      </c>
      <c r="AB50" s="165"/>
      <c r="AC50" s="191"/>
      <c r="AD50" s="190" t="str">
        <f t="shared" ref="AD50" si="52">IF(BS51="x",BS50,0)</f>
        <v>C-10</v>
      </c>
      <c r="AE50" s="165"/>
      <c r="AF50" s="191"/>
      <c r="AG50" s="190" t="str">
        <f t="shared" ref="AG50" si="53">IF(BV51="x",BV50,0)</f>
        <v>C-11</v>
      </c>
      <c r="AH50" s="165"/>
      <c r="AI50" s="191"/>
      <c r="AJ50" s="190" t="str">
        <f t="shared" ref="AJ50" si="54">IF(BY51="x",BY50,0)</f>
        <v>C-12</v>
      </c>
      <c r="AK50" s="165"/>
      <c r="AL50" s="191"/>
      <c r="AM50" s="190" t="str">
        <f t="shared" ref="AM50" si="55">IF(CB51="x",CB50,0)</f>
        <v>C-13</v>
      </c>
      <c r="AN50" s="165"/>
      <c r="AO50" s="191"/>
      <c r="AP50" s="23"/>
      <c r="AR50" s="189" t="s">
        <v>32</v>
      </c>
      <c r="AS50" s="189"/>
      <c r="AT50" s="189"/>
      <c r="AU50" s="189" t="s">
        <v>33</v>
      </c>
      <c r="AV50" s="189"/>
      <c r="AW50" s="189"/>
      <c r="AX50" s="189" t="s">
        <v>34</v>
      </c>
      <c r="AY50" s="189"/>
      <c r="AZ50" s="189"/>
      <c r="BA50" s="189" t="s">
        <v>35</v>
      </c>
      <c r="BB50" s="189"/>
      <c r="BC50" s="189"/>
      <c r="BD50" s="189" t="s">
        <v>36</v>
      </c>
      <c r="BE50" s="189"/>
      <c r="BF50" s="189"/>
      <c r="BG50" s="189" t="s">
        <v>37</v>
      </c>
      <c r="BH50" s="189"/>
      <c r="BI50" s="189"/>
      <c r="BJ50" s="189" t="s">
        <v>38</v>
      </c>
      <c r="BK50" s="189"/>
      <c r="BL50" s="189"/>
      <c r="BM50" s="189" t="s">
        <v>39</v>
      </c>
      <c r="BN50" s="189"/>
      <c r="BO50" s="189"/>
      <c r="BP50" s="189" t="s">
        <v>40</v>
      </c>
      <c r="BQ50" s="189"/>
      <c r="BR50" s="189"/>
      <c r="BS50" s="189" t="s">
        <v>41</v>
      </c>
      <c r="BT50" s="189"/>
      <c r="BU50" s="189"/>
      <c r="BV50" s="189" t="s">
        <v>42</v>
      </c>
      <c r="BW50" s="189"/>
      <c r="BX50" s="189"/>
      <c r="BY50" s="189" t="s">
        <v>43</v>
      </c>
      <c r="BZ50" s="189"/>
      <c r="CA50" s="189"/>
      <c r="CB50" s="189" t="s">
        <v>44</v>
      </c>
      <c r="CC50" s="189"/>
      <c r="CD50" s="189"/>
    </row>
    <row r="51" spans="2:121" ht="14.1" customHeight="1" x14ac:dyDescent="0.25">
      <c r="B51" s="19"/>
      <c r="C51" s="348">
        <f>VLOOKUP($AN$1,CA!$A$3:$X$188,3,0)</f>
        <v>350</v>
      </c>
      <c r="D51" s="340"/>
      <c r="E51" s="341"/>
      <c r="F51" s="348">
        <f>VLOOKUP($AN$1,CA!$A$3:$X$188,4,0)</f>
        <v>350</v>
      </c>
      <c r="G51" s="340"/>
      <c r="H51" s="341"/>
      <c r="I51" s="348">
        <f>VLOOKUP($AN$1,CA!$A$3:$X$188,5,0)</f>
        <v>340</v>
      </c>
      <c r="J51" s="340"/>
      <c r="K51" s="341"/>
      <c r="L51" s="348">
        <f>VLOOKUP($AN$1,CA!$A$3:$X$188,6,0)</f>
        <v>345</v>
      </c>
      <c r="M51" s="340"/>
      <c r="N51" s="341"/>
      <c r="O51" s="348">
        <f>VLOOKUP($AN$1,CA!$A$3:$X$188,7,0)</f>
        <v>345</v>
      </c>
      <c r="P51" s="340"/>
      <c r="Q51" s="341"/>
      <c r="R51" s="348">
        <f>VLOOKUP($AN$1,CA!$A$3:$X$188,8,0)</f>
        <v>345</v>
      </c>
      <c r="S51" s="340"/>
      <c r="T51" s="341"/>
      <c r="U51" s="348">
        <f>VLOOKUP($AN$1,CA!$A$3:$X$188,9,0)</f>
        <v>343</v>
      </c>
      <c r="V51" s="340"/>
      <c r="W51" s="341"/>
      <c r="X51" s="348">
        <f>VLOOKUP($AN$1,CA!$A$3:$X$188,10,0)</f>
        <v>342</v>
      </c>
      <c r="Y51" s="340"/>
      <c r="Z51" s="341"/>
      <c r="AA51" s="348">
        <f>VLOOKUP($AN$1,CA!$A$3:$X$188,11,0)</f>
        <v>345</v>
      </c>
      <c r="AB51" s="340"/>
      <c r="AC51" s="341"/>
      <c r="AD51" s="348">
        <f>VLOOKUP($AN$1,CA!$A$3:$X$188,12,0)</f>
        <v>343</v>
      </c>
      <c r="AE51" s="340"/>
      <c r="AF51" s="341"/>
      <c r="AG51" s="348">
        <f>VLOOKUP($AN$1,CA!$A$3:$X$188,13,0)</f>
        <v>344</v>
      </c>
      <c r="AH51" s="340"/>
      <c r="AI51" s="341"/>
      <c r="AJ51" s="348">
        <f>VLOOKUP($AN$1,CA!$A$3:$X$188,14,0)</f>
        <v>344</v>
      </c>
      <c r="AK51" s="340"/>
      <c r="AL51" s="341"/>
      <c r="AM51" s="348">
        <f>VLOOKUP($AN$1,CA!$A$3:$X$188,15,0)</f>
        <v>345</v>
      </c>
      <c r="AN51" s="340"/>
      <c r="AO51" s="341"/>
      <c r="AP51" s="23"/>
      <c r="AR51" s="151" t="s">
        <v>58</v>
      </c>
      <c r="AS51" s="151"/>
      <c r="AT51" s="151"/>
      <c r="AU51" s="151" t="s">
        <v>58</v>
      </c>
      <c r="AV51" s="151"/>
      <c r="AW51" s="151"/>
      <c r="AX51" s="151" t="s">
        <v>58</v>
      </c>
      <c r="AY51" s="151"/>
      <c r="AZ51" s="151"/>
      <c r="BA51" s="151" t="s">
        <v>58</v>
      </c>
      <c r="BB51" s="151"/>
      <c r="BC51" s="151"/>
      <c r="BD51" s="151" t="s">
        <v>58</v>
      </c>
      <c r="BE51" s="151"/>
      <c r="BF51" s="151"/>
      <c r="BG51" s="151" t="s">
        <v>58</v>
      </c>
      <c r="BH51" s="151"/>
      <c r="BI51" s="151"/>
      <c r="BJ51" s="151" t="s">
        <v>58</v>
      </c>
      <c r="BK51" s="151"/>
      <c r="BL51" s="151"/>
      <c r="BM51" s="151" t="s">
        <v>58</v>
      </c>
      <c r="BN51" s="151"/>
      <c r="BO51" s="151"/>
      <c r="BP51" s="151" t="s">
        <v>58</v>
      </c>
      <c r="BQ51" s="151"/>
      <c r="BR51" s="151"/>
      <c r="BS51" s="151" t="s">
        <v>58</v>
      </c>
      <c r="BT51" s="151"/>
      <c r="BU51" s="151"/>
      <c r="BV51" s="151" t="s">
        <v>58</v>
      </c>
      <c r="BW51" s="151"/>
      <c r="BX51" s="151"/>
      <c r="BY51" s="151" t="s">
        <v>58</v>
      </c>
      <c r="BZ51" s="151"/>
      <c r="CA51" s="151"/>
      <c r="CB51" s="151" t="s">
        <v>58</v>
      </c>
      <c r="CC51" s="151"/>
      <c r="CD51" s="151"/>
    </row>
    <row r="52" spans="2:121" ht="14.1" customHeight="1" x14ac:dyDescent="0.25">
      <c r="B52" s="19"/>
      <c r="C52" s="182" t="str">
        <f>IF(AR53="x",AR52,0)</f>
        <v>C-14</v>
      </c>
      <c r="D52" s="183"/>
      <c r="E52" s="184"/>
      <c r="F52" s="182" t="str">
        <f t="shared" ref="F52" si="56">IF(AU53="x",AU52,0)</f>
        <v>C-15</v>
      </c>
      <c r="G52" s="183"/>
      <c r="H52" s="184"/>
      <c r="I52" s="182" t="str">
        <f>IF(AX53="x",AX52,0)</f>
        <v>C-16</v>
      </c>
      <c r="J52" s="183"/>
      <c r="K52" s="184"/>
      <c r="L52" s="182">
        <f t="shared" ref="L52" si="57">IF(BA53="x",BA52,0)</f>
        <v>0</v>
      </c>
      <c r="M52" s="183"/>
      <c r="N52" s="184"/>
      <c r="O52" s="182">
        <f t="shared" ref="O52" si="58">IF(BD53="x",BD52,0)</f>
        <v>0</v>
      </c>
      <c r="P52" s="183"/>
      <c r="Q52" s="184"/>
      <c r="R52" s="182">
        <f t="shared" ref="R52" si="59">IF(BG53="x",BG52,0)</f>
        <v>0</v>
      </c>
      <c r="S52" s="183"/>
      <c r="T52" s="184"/>
      <c r="U52" s="182">
        <f t="shared" ref="U52" si="60">IF(BJ53="x",BJ52,0)</f>
        <v>0</v>
      </c>
      <c r="V52" s="183"/>
      <c r="W52" s="184"/>
      <c r="X52" s="182">
        <f t="shared" ref="X52" si="61">IF(BM53="x",BM52,0)</f>
        <v>0</v>
      </c>
      <c r="Y52" s="183"/>
      <c r="Z52" s="184"/>
      <c r="AA52" s="182">
        <f t="shared" ref="AA52" si="62">IF(BP53="x",BP52,0)</f>
        <v>0</v>
      </c>
      <c r="AB52" s="183"/>
      <c r="AC52" s="184"/>
      <c r="AD52" s="182">
        <f t="shared" ref="AD52" si="63">IF(BS53="x",BS52,0)</f>
        <v>0</v>
      </c>
      <c r="AE52" s="183"/>
      <c r="AF52" s="184"/>
      <c r="AG52" s="182">
        <f t="shared" ref="AG52" si="64">IF(BV53="x",BV52,0)</f>
        <v>0</v>
      </c>
      <c r="AH52" s="183"/>
      <c r="AI52" s="184"/>
      <c r="AJ52" s="182">
        <f t="shared" ref="AJ52" si="65">IF(BY53="x",BY52,0)</f>
        <v>0</v>
      </c>
      <c r="AK52" s="183"/>
      <c r="AL52" s="184"/>
      <c r="AM52" s="182">
        <f t="shared" ref="AM52" si="66">IF(CB53="x",CB52,0)</f>
        <v>0</v>
      </c>
      <c r="AN52" s="183"/>
      <c r="AO52" s="184"/>
      <c r="AP52" s="23"/>
      <c r="AR52" s="189" t="s">
        <v>45</v>
      </c>
      <c r="AS52" s="189"/>
      <c r="AT52" s="189"/>
      <c r="AU52" s="189" t="s">
        <v>46</v>
      </c>
      <c r="AV52" s="189"/>
      <c r="AW52" s="189"/>
      <c r="AX52" s="189" t="s">
        <v>47</v>
      </c>
      <c r="AY52" s="189"/>
      <c r="AZ52" s="189"/>
      <c r="BA52" s="189" t="s">
        <v>48</v>
      </c>
      <c r="BB52" s="189"/>
      <c r="BC52" s="189"/>
      <c r="BD52" s="189" t="s">
        <v>49</v>
      </c>
      <c r="BE52" s="189"/>
      <c r="BF52" s="189"/>
      <c r="BG52" s="189" t="s">
        <v>50</v>
      </c>
      <c r="BH52" s="189"/>
      <c r="BI52" s="189"/>
      <c r="BJ52" s="189" t="s">
        <v>51</v>
      </c>
      <c r="BK52" s="189"/>
      <c r="BL52" s="189"/>
      <c r="BM52" s="189" t="s">
        <v>52</v>
      </c>
      <c r="BN52" s="189"/>
      <c r="BO52" s="189"/>
      <c r="BP52" s="189" t="s">
        <v>53</v>
      </c>
      <c r="BQ52" s="189"/>
      <c r="BR52" s="189"/>
      <c r="BS52" s="189" t="s">
        <v>54</v>
      </c>
      <c r="BT52" s="189"/>
      <c r="BU52" s="189"/>
      <c r="BV52" s="189" t="s">
        <v>55</v>
      </c>
      <c r="BW52" s="189"/>
      <c r="BX52" s="189"/>
      <c r="BY52" s="189" t="s">
        <v>56</v>
      </c>
      <c r="BZ52" s="189"/>
      <c r="CA52" s="189"/>
      <c r="CB52" s="189" t="s">
        <v>57</v>
      </c>
      <c r="CC52" s="189"/>
      <c r="CD52" s="189"/>
    </row>
    <row r="53" spans="2:121" ht="14.1" customHeight="1" x14ac:dyDescent="0.25">
      <c r="B53" s="20"/>
      <c r="C53" s="348">
        <f>VLOOKUP($AN$1,CA!$A$3:$X$188,16,0)</f>
        <v>345</v>
      </c>
      <c r="D53" s="340"/>
      <c r="E53" s="341"/>
      <c r="F53" s="348">
        <f>VLOOKUP($AN$1,CA!$A$3:$X$188,17,0)</f>
        <v>346</v>
      </c>
      <c r="G53" s="340"/>
      <c r="H53" s="341"/>
      <c r="I53" s="348">
        <f>VLOOKUP($AN$1,CA!$A$3:$X$188,18,0)</f>
        <v>345</v>
      </c>
      <c r="J53" s="340"/>
      <c r="K53" s="341"/>
      <c r="L53" s="178">
        <f>VLOOKUP($AN$1,CA!$A$3:$X$188,19,0)</f>
        <v>0</v>
      </c>
      <c r="M53" s="179"/>
      <c r="N53" s="180"/>
      <c r="O53" s="178">
        <f>VLOOKUP($AN$1,CA!$A$3:$X$188,20,0)</f>
        <v>0</v>
      </c>
      <c r="P53" s="179"/>
      <c r="Q53" s="180"/>
      <c r="R53" s="178">
        <f>VLOOKUP($AN$1,CA!$A$3:$X$188,21,0)</f>
        <v>0</v>
      </c>
      <c r="S53" s="179"/>
      <c r="T53" s="180"/>
      <c r="U53" s="178">
        <f>VLOOKUP($AN$1,CA!$A$3:$X$188,22,0)</f>
        <v>0</v>
      </c>
      <c r="V53" s="179"/>
      <c r="W53" s="180"/>
      <c r="X53" s="178">
        <f>VLOOKUP($AN$1,CA!$A$3:$X$188,23,0)</f>
        <v>0</v>
      </c>
      <c r="Y53" s="179"/>
      <c r="Z53" s="180"/>
      <c r="AA53" s="178">
        <f>VLOOKUP($AN$1,CA!$A$3:$X$188,24,0)</f>
        <v>0</v>
      </c>
      <c r="AB53" s="179"/>
      <c r="AC53" s="180"/>
      <c r="AD53" s="178"/>
      <c r="AE53" s="179"/>
      <c r="AF53" s="180"/>
      <c r="AG53" s="178"/>
      <c r="AH53" s="179"/>
      <c r="AI53" s="180"/>
      <c r="AJ53" s="178"/>
      <c r="AK53" s="179"/>
      <c r="AL53" s="180"/>
      <c r="AM53" s="178"/>
      <c r="AN53" s="179"/>
      <c r="AO53" s="180"/>
      <c r="AP53" s="24"/>
      <c r="AR53" s="151" t="s">
        <v>58</v>
      </c>
      <c r="AS53" s="151"/>
      <c r="AT53" s="151"/>
      <c r="AU53" s="151" t="s">
        <v>58</v>
      </c>
      <c r="AV53" s="151"/>
      <c r="AW53" s="151"/>
      <c r="AX53" s="151" t="s">
        <v>58</v>
      </c>
      <c r="AY53" s="151"/>
      <c r="AZ53" s="151"/>
      <c r="BA53" s="151"/>
      <c r="BB53" s="151"/>
      <c r="BC53" s="151"/>
      <c r="BD53" s="151"/>
      <c r="BE53" s="151"/>
      <c r="BF53" s="151"/>
      <c r="BG53" s="151"/>
      <c r="BH53" s="151"/>
      <c r="BI53" s="151"/>
      <c r="BJ53" s="151"/>
      <c r="BK53" s="151"/>
      <c r="BL53" s="151"/>
      <c r="BM53" s="151"/>
      <c r="BN53" s="151"/>
      <c r="BO53" s="151"/>
      <c r="BP53" s="151"/>
      <c r="BQ53" s="151"/>
      <c r="BR53" s="151"/>
      <c r="BS53" s="151"/>
      <c r="BT53" s="151"/>
      <c r="BU53" s="151"/>
      <c r="BV53" s="151"/>
      <c r="BW53" s="151"/>
      <c r="BX53" s="151"/>
      <c r="BY53" s="151"/>
      <c r="BZ53" s="151"/>
      <c r="CA53" s="151"/>
      <c r="CB53" s="151"/>
      <c r="CC53" s="151"/>
      <c r="CD53" s="151"/>
    </row>
    <row r="54" spans="2:121" ht="14.1" customHeight="1" x14ac:dyDescent="0.25">
      <c r="B54" s="163" t="s">
        <v>59</v>
      </c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>
        <f>SUM(C51:AO51)+SUM(C53:AO53)</f>
        <v>5517</v>
      </c>
      <c r="Y54" s="139"/>
      <c r="Z54" s="139"/>
      <c r="AA54" s="139"/>
      <c r="AB54" s="139"/>
      <c r="AC54" s="3" t="s">
        <v>27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17"/>
      <c r="CE54" s="182" t="str">
        <f>C50</f>
        <v>C-1</v>
      </c>
      <c r="CF54" s="183"/>
      <c r="CG54" s="184"/>
      <c r="CH54" s="182" t="str">
        <f>F50</f>
        <v>C-2</v>
      </c>
      <c r="CI54" s="183"/>
      <c r="CJ54" s="184"/>
      <c r="CK54" s="182" t="str">
        <f>I50</f>
        <v>C-3</v>
      </c>
      <c r="CL54" s="183"/>
      <c r="CM54" s="184"/>
      <c r="CN54" s="182" t="str">
        <f>L50</f>
        <v>C-4</v>
      </c>
      <c r="CO54" s="183"/>
      <c r="CP54" s="184"/>
      <c r="CQ54" s="182" t="str">
        <f>O50</f>
        <v>C-5</v>
      </c>
      <c r="CR54" s="183"/>
      <c r="CS54" s="184"/>
      <c r="CT54" s="182" t="str">
        <f>R50</f>
        <v>C-6</v>
      </c>
      <c r="CU54" s="183"/>
      <c r="CV54" s="184"/>
      <c r="CW54" s="182" t="str">
        <f>U50</f>
        <v>C-7</v>
      </c>
      <c r="CX54" s="183"/>
      <c r="CY54" s="184"/>
      <c r="CZ54" s="182" t="str">
        <f>X50</f>
        <v>C-8</v>
      </c>
      <c r="DA54" s="183"/>
      <c r="DB54" s="184"/>
      <c r="DC54" s="182" t="str">
        <f>AA50</f>
        <v>C-9</v>
      </c>
      <c r="DD54" s="183"/>
      <c r="DE54" s="184"/>
      <c r="DF54" s="182" t="str">
        <f>AD50</f>
        <v>C-10</v>
      </c>
      <c r="DG54" s="183"/>
      <c r="DH54" s="184"/>
      <c r="DI54" s="182" t="str">
        <f>AG50</f>
        <v>C-11</v>
      </c>
      <c r="DJ54" s="183"/>
      <c r="DK54" s="184"/>
      <c r="DL54" s="182" t="str">
        <f>AJ50</f>
        <v>C-12</v>
      </c>
      <c r="DM54" s="183"/>
      <c r="DN54" s="184"/>
      <c r="DO54" s="182" t="str">
        <f>AM50</f>
        <v>C-13</v>
      </c>
      <c r="DP54" s="183"/>
      <c r="DQ54" s="184"/>
    </row>
    <row r="55" spans="2:121" ht="5.45" customHeight="1" x14ac:dyDescent="0.25">
      <c r="B55" s="19"/>
      <c r="AP55" s="23"/>
      <c r="CE55" s="78"/>
      <c r="CF55" s="79"/>
      <c r="CG55" s="80"/>
      <c r="CH55" s="78"/>
      <c r="CI55" s="79"/>
      <c r="CJ55" s="80"/>
      <c r="CK55" s="78"/>
      <c r="CL55" s="79"/>
      <c r="CM55" s="80"/>
      <c r="CN55" s="78"/>
      <c r="CO55" s="79"/>
      <c r="CP55" s="80"/>
      <c r="CQ55" s="78"/>
      <c r="CR55" s="79"/>
      <c r="CS55" s="80"/>
      <c r="CT55" s="78"/>
      <c r="CU55" s="79"/>
      <c r="CV55" s="80"/>
      <c r="CW55" s="78"/>
      <c r="CX55" s="79"/>
      <c r="CY55" s="80"/>
      <c r="CZ55" s="78"/>
      <c r="DA55" s="79"/>
      <c r="DB55" s="80"/>
      <c r="DC55" s="78"/>
      <c r="DD55" s="79"/>
      <c r="DE55" s="80"/>
      <c r="DF55" s="78"/>
      <c r="DG55" s="79"/>
      <c r="DH55" s="80"/>
      <c r="DI55" s="78"/>
      <c r="DJ55" s="79"/>
      <c r="DK55" s="80"/>
      <c r="DL55" s="78"/>
      <c r="DM55" s="79"/>
      <c r="DN55" s="80"/>
      <c r="DO55" s="78"/>
      <c r="DP55" s="79"/>
      <c r="DQ55" s="80"/>
    </row>
    <row r="56" spans="2:121" ht="14.1" customHeight="1" x14ac:dyDescent="0.25">
      <c r="B56" s="185" t="s">
        <v>60</v>
      </c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6" t="s">
        <v>94</v>
      </c>
      <c r="X56" s="186"/>
      <c r="Y56" s="186"/>
      <c r="Z56" s="186"/>
      <c r="AA56" s="186" t="s">
        <v>95</v>
      </c>
      <c r="AB56" s="186"/>
      <c r="AC56" s="186"/>
      <c r="AD56" s="186"/>
      <c r="AE56" s="187" t="s">
        <v>16</v>
      </c>
      <c r="AF56" s="181"/>
      <c r="AG56" s="181"/>
      <c r="AH56" s="181"/>
      <c r="AI56" s="181"/>
      <c r="AJ56" s="181"/>
      <c r="AK56" s="181"/>
      <c r="AL56" s="181"/>
      <c r="AM56" s="181"/>
      <c r="AN56" s="181"/>
      <c r="AO56" s="181"/>
      <c r="AP56" s="188"/>
      <c r="CE56" s="178" t="b">
        <f>IF(C51="-"";""",IF(C51=0,0,IF(AND(C51&gt;=$W$57,C51&lt;=$AA$57),0,1)))</f>
        <v>0</v>
      </c>
      <c r="CF56" s="179"/>
      <c r="CG56" s="180"/>
      <c r="CH56" s="178" t="b">
        <f t="shared" ref="CH56" si="67">IF(F51="-"";""",IF(F51=0,0,IF(AND(F51&gt;=$W$57,F51&lt;=$AA$57),0,1)))</f>
        <v>0</v>
      </c>
      <c r="CI56" s="179"/>
      <c r="CJ56" s="180"/>
      <c r="CK56" s="178" t="b">
        <f t="shared" ref="CK56" si="68">IF(I51="-"";""",IF(I51=0,0,IF(AND(I51&gt;=$W$57,I51&lt;=$AA$57),0,1)))</f>
        <v>0</v>
      </c>
      <c r="CL56" s="179"/>
      <c r="CM56" s="180"/>
      <c r="CN56" s="178" t="b">
        <f t="shared" ref="CN56" si="69">IF(L51="-"";""",IF(L51=0,0,IF(AND(L51&gt;=$W$57,L51&lt;=$AA$57),0,1)))</f>
        <v>0</v>
      </c>
      <c r="CO56" s="179"/>
      <c r="CP56" s="180"/>
      <c r="CQ56" s="178" t="b">
        <f t="shared" ref="CQ56" si="70">IF(O51="-"";""",IF(O51=0,0,IF(AND(O51&gt;=$W$57,O51&lt;=$AA$57),0,1)))</f>
        <v>0</v>
      </c>
      <c r="CR56" s="179"/>
      <c r="CS56" s="180"/>
      <c r="CT56" s="178" t="b">
        <f t="shared" ref="CT56" si="71">IF(R51="-"";""",IF(R51=0,0,IF(AND(R51&gt;=$W$57,R51&lt;=$AA$57),0,1)))</f>
        <v>0</v>
      </c>
      <c r="CU56" s="179"/>
      <c r="CV56" s="180"/>
      <c r="CW56" s="178" t="b">
        <f t="shared" ref="CW56" si="72">IF(U51="-"";""",IF(U51=0,0,IF(AND(U51&gt;=$W$57,U51&lt;=$AA$57),0,1)))</f>
        <v>0</v>
      </c>
      <c r="CX56" s="179"/>
      <c r="CY56" s="180"/>
      <c r="CZ56" s="178" t="b">
        <f t="shared" ref="CZ56" si="73">IF(X51="-"";""",IF(X51=0,0,IF(AND(X51&gt;=$W$57,X51&lt;=$AA$57),0,1)))</f>
        <v>0</v>
      </c>
      <c r="DA56" s="179"/>
      <c r="DB56" s="180"/>
      <c r="DC56" s="178" t="b">
        <f t="shared" ref="DC56" si="74">IF(AA51="-"";""",IF(AA51=0,0,IF(AND(AA51&gt;=$W$57,AA51&lt;=$AA$57),0,1)))</f>
        <v>0</v>
      </c>
      <c r="DD56" s="179"/>
      <c r="DE56" s="180"/>
      <c r="DF56" s="178" t="b">
        <f t="shared" ref="DF56" si="75">IF(AD51="-"";""",IF(AD51=0,0,IF(AND(AD51&gt;=$W$57,AD51&lt;=$AA$57),0,1)))</f>
        <v>0</v>
      </c>
      <c r="DG56" s="179"/>
      <c r="DH56" s="180"/>
      <c r="DI56" s="178" t="b">
        <f t="shared" ref="DI56" si="76">IF(AG51="-"";""",IF(AG51=0,0,IF(AND(AG51&gt;=$W$57,AG51&lt;=$AA$57),0,1)))</f>
        <v>0</v>
      </c>
      <c r="DJ56" s="179"/>
      <c r="DK56" s="180"/>
      <c r="DL56" s="178" t="b">
        <f t="shared" ref="DL56" si="77">IF(AJ51="-"";""",IF(AJ51=0,0,IF(AND(AJ51&gt;=$W$57,AJ51&lt;=$AA$57),0,1)))</f>
        <v>0</v>
      </c>
      <c r="DM56" s="179"/>
      <c r="DN56" s="180"/>
      <c r="DO56" s="178" t="b">
        <f t="shared" ref="DO56" si="78">IF(AM51="-"";""",IF(AM51=0,0,IF(AND(AM51&gt;=$W$57,AM51&lt;=$AA$57),0,1)))</f>
        <v>0</v>
      </c>
      <c r="DP56" s="179"/>
      <c r="DQ56" s="180"/>
    </row>
    <row r="57" spans="2:121" ht="14.1" customHeight="1" x14ac:dyDescent="0.25">
      <c r="B57" s="163" t="s">
        <v>61</v>
      </c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40"/>
      <c r="W57" s="177">
        <f>IF(AV58="X",BA58,IF(AV60="X",BA60,0))</f>
        <v>321</v>
      </c>
      <c r="X57" s="177"/>
      <c r="Y57" s="177"/>
      <c r="Z57" s="177"/>
      <c r="AA57" s="177">
        <f>IF(AV58="X",BH58,IF(AV60="X",BH60,0))</f>
        <v>356</v>
      </c>
      <c r="AB57" s="177"/>
      <c r="AC57" s="177"/>
      <c r="AD57" s="177"/>
      <c r="AE57" s="2"/>
      <c r="AF57" s="3"/>
      <c r="AG57" s="91" t="str">
        <f>IF(SUM(C51:AO51)+SUM(C53:AO53)=0,0,IF(CE60=0,"X",0))</f>
        <v>X</v>
      </c>
      <c r="AH57" s="44" t="s">
        <v>17</v>
      </c>
      <c r="AI57" s="45"/>
      <c r="AJ57" s="46"/>
      <c r="AK57" s="47"/>
      <c r="AL57" s="48">
        <f>IF(SUM(C51:AO51)+SUM(C53:AO53)=0,0,IF(CE60&gt;0,"X",0))</f>
        <v>0</v>
      </c>
      <c r="AM57" s="44" t="s">
        <v>18</v>
      </c>
      <c r="AN57" s="45"/>
      <c r="AO57" s="45"/>
      <c r="AP57" s="17"/>
      <c r="CE57" s="182" t="str">
        <f>C52</f>
        <v>C-14</v>
      </c>
      <c r="CF57" s="183"/>
      <c r="CG57" s="184"/>
      <c r="CH57" s="182" t="str">
        <f>F52</f>
        <v>C-15</v>
      </c>
      <c r="CI57" s="183"/>
      <c r="CJ57" s="184"/>
      <c r="CK57" s="182" t="str">
        <f>I52</f>
        <v>C-16</v>
      </c>
      <c r="CL57" s="183"/>
      <c r="CM57" s="184"/>
      <c r="CN57" s="182">
        <f>L52</f>
        <v>0</v>
      </c>
      <c r="CO57" s="183"/>
      <c r="CP57" s="184"/>
      <c r="CQ57" s="182">
        <f>O52</f>
        <v>0</v>
      </c>
      <c r="CR57" s="183"/>
      <c r="CS57" s="184"/>
      <c r="CT57" s="182">
        <f>R52</f>
        <v>0</v>
      </c>
      <c r="CU57" s="183"/>
      <c r="CV57" s="184"/>
      <c r="CW57" s="182">
        <f>U52</f>
        <v>0</v>
      </c>
      <c r="CX57" s="183"/>
      <c r="CY57" s="184"/>
      <c r="CZ57" s="182">
        <f>X52</f>
        <v>0</v>
      </c>
      <c r="DA57" s="183"/>
      <c r="DB57" s="184"/>
      <c r="DC57" s="182">
        <f>AA52</f>
        <v>0</v>
      </c>
      <c r="DD57" s="183"/>
      <c r="DE57" s="184"/>
      <c r="DF57" s="182">
        <f>AD52</f>
        <v>0</v>
      </c>
      <c r="DG57" s="183"/>
      <c r="DH57" s="184"/>
      <c r="DI57" s="182">
        <f>AG52</f>
        <v>0</v>
      </c>
      <c r="DJ57" s="183"/>
      <c r="DK57" s="184"/>
      <c r="DL57" s="182">
        <f>AJ52</f>
        <v>0</v>
      </c>
      <c r="DM57" s="183"/>
      <c r="DN57" s="184"/>
      <c r="DO57" s="182">
        <f>AM52</f>
        <v>0</v>
      </c>
      <c r="DP57" s="183"/>
      <c r="DQ57" s="184"/>
    </row>
    <row r="58" spans="2:121" ht="14.1" customHeight="1" x14ac:dyDescent="0.25">
      <c r="B58" s="75"/>
      <c r="C58" s="181" t="s">
        <v>67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77">
        <f>IF(CE70=1,CE69,0)</f>
        <v>0</v>
      </c>
      <c r="O58" s="77">
        <f t="shared" ref="O58:Z58" si="79">IF(CF70=1,CF69,0)</f>
        <v>0</v>
      </c>
      <c r="P58" s="77">
        <f t="shared" si="79"/>
        <v>0</v>
      </c>
      <c r="Q58" s="77">
        <f t="shared" si="79"/>
        <v>0</v>
      </c>
      <c r="R58" s="77">
        <f t="shared" si="79"/>
        <v>0</v>
      </c>
      <c r="S58" s="77">
        <f t="shared" si="79"/>
        <v>0</v>
      </c>
      <c r="T58" s="77">
        <f t="shared" si="79"/>
        <v>0</v>
      </c>
      <c r="U58" s="77">
        <f t="shared" si="79"/>
        <v>0</v>
      </c>
      <c r="V58" s="77">
        <f t="shared" si="79"/>
        <v>0</v>
      </c>
      <c r="W58" s="77">
        <f>IF(CN70=1,CN69,0)</f>
        <v>0</v>
      </c>
      <c r="X58" s="77">
        <f>IF(CO70=1,CO69,0)</f>
        <v>0</v>
      </c>
      <c r="Y58" s="77">
        <f t="shared" si="79"/>
        <v>0</v>
      </c>
      <c r="Z58" s="77">
        <f t="shared" si="79"/>
        <v>0</v>
      </c>
      <c r="AA58" s="77">
        <f t="shared" ref="AA58:AP58" si="80">IF(CE77=1,CE76,0)</f>
        <v>0</v>
      </c>
      <c r="AB58" s="77">
        <f t="shared" si="80"/>
        <v>0</v>
      </c>
      <c r="AC58" s="77">
        <f t="shared" si="80"/>
        <v>0</v>
      </c>
      <c r="AD58" s="77">
        <f t="shared" si="80"/>
        <v>0</v>
      </c>
      <c r="AE58" s="77">
        <f t="shared" si="80"/>
        <v>0</v>
      </c>
      <c r="AF58" s="77">
        <f t="shared" si="80"/>
        <v>0</v>
      </c>
      <c r="AG58" s="350">
        <f t="shared" si="80"/>
        <v>0</v>
      </c>
      <c r="AH58" s="77">
        <f t="shared" si="80"/>
        <v>0</v>
      </c>
      <c r="AI58" s="77">
        <f t="shared" si="80"/>
        <v>0</v>
      </c>
      <c r="AJ58" s="77">
        <f t="shared" si="80"/>
        <v>0</v>
      </c>
      <c r="AK58" s="77">
        <f t="shared" si="80"/>
        <v>0</v>
      </c>
      <c r="AL58" s="77">
        <f t="shared" si="80"/>
        <v>0</v>
      </c>
      <c r="AM58" s="77">
        <f t="shared" si="80"/>
        <v>0</v>
      </c>
      <c r="AN58" s="77">
        <f t="shared" si="80"/>
        <v>0</v>
      </c>
      <c r="AO58" s="77">
        <f t="shared" si="80"/>
        <v>0</v>
      </c>
      <c r="AP58" s="30">
        <f t="shared" si="80"/>
        <v>0</v>
      </c>
      <c r="AV58" s="151" t="s">
        <v>13</v>
      </c>
      <c r="AW58" s="151"/>
      <c r="AX58" t="s">
        <v>137</v>
      </c>
      <c r="BA58" s="151">
        <v>321</v>
      </c>
      <c r="BB58" s="151"/>
      <c r="BC58" s="151"/>
      <c r="BD58" s="151"/>
      <c r="BF58" t="s">
        <v>188</v>
      </c>
      <c r="BH58" s="151">
        <v>356</v>
      </c>
      <c r="BI58" s="151"/>
      <c r="BJ58" s="151"/>
      <c r="BK58" s="151"/>
      <c r="CE58" s="178" t="b">
        <f>IF(C53="-"";""",IF(C53=0,0,IF(AND(C53&gt;=$W$57,C53&lt;=$AA$57),0,1)))</f>
        <v>0</v>
      </c>
      <c r="CF58" s="179"/>
      <c r="CG58" s="180"/>
      <c r="CH58" s="178" t="b">
        <f t="shared" ref="CH58" si="81">IF(F53="-"";""",IF(F53=0,0,IF(AND(F53&gt;=$W$57,F53&lt;=$AA$57),0,1)))</f>
        <v>0</v>
      </c>
      <c r="CI58" s="179"/>
      <c r="CJ58" s="180"/>
      <c r="CK58" s="178" t="b">
        <f t="shared" ref="CK58" si="82">IF(I53="-"";""",IF(I53=0,0,IF(AND(I53&gt;=$W$57,I53&lt;=$AA$57),0,1)))</f>
        <v>0</v>
      </c>
      <c r="CL58" s="179"/>
      <c r="CM58" s="180"/>
      <c r="CN58" s="178" t="b">
        <f t="shared" ref="CN58" si="83">IF(L53="-"";""",IF(L53=0,0,IF(AND(L53&gt;=$W$57,L53&lt;=$AA$57),0,1)))</f>
        <v>0</v>
      </c>
      <c r="CO58" s="179"/>
      <c r="CP58" s="180"/>
      <c r="CQ58" s="178" t="b">
        <f t="shared" ref="CQ58" si="84">IF(O53="-"";""",IF(O53=0,0,IF(AND(O53&gt;=$W$57,O53&lt;=$AA$57),0,1)))</f>
        <v>0</v>
      </c>
      <c r="CR58" s="179"/>
      <c r="CS58" s="180"/>
      <c r="CT58" s="178" t="b">
        <f t="shared" ref="CT58" si="85">IF(R53="-"";""",IF(R53=0,0,IF(AND(R53&gt;=$W$57,R53&lt;=$AA$57),0,1)))</f>
        <v>0</v>
      </c>
      <c r="CU58" s="179"/>
      <c r="CV58" s="180"/>
      <c r="CW58" s="178" t="b">
        <f t="shared" ref="CW58" si="86">IF(U53="-"";""",IF(U53=0,0,IF(AND(U53&gt;=$W$57,U53&lt;=$AA$57),0,1)))</f>
        <v>0</v>
      </c>
      <c r="CX58" s="179"/>
      <c r="CY58" s="180"/>
      <c r="CZ58" s="178" t="b">
        <f t="shared" ref="CZ58" si="87">IF(X53="-"";""",IF(X53=0,0,IF(AND(X53&gt;=$W$57,X53&lt;=$AA$57),0,1)))</f>
        <v>0</v>
      </c>
      <c r="DA58" s="179"/>
      <c r="DB58" s="180"/>
      <c r="DC58" s="178" t="b">
        <f t="shared" ref="DC58" si="88">IF(AA53="-"";""",IF(AA53=0,0,IF(AND(AA53&gt;=$W$57,AA53&lt;=$AA$57),0,1)))</f>
        <v>0</v>
      </c>
      <c r="DD58" s="179"/>
      <c r="DE58" s="180"/>
      <c r="DF58" s="178" t="b">
        <f t="shared" ref="DF58" si="89">IF(AD53="-"";""",IF(AD53=0,0,IF(AND(AD53&gt;=$W$57,AD53&lt;=$AA$57),0,1)))</f>
        <v>0</v>
      </c>
      <c r="DG58" s="179"/>
      <c r="DH58" s="180"/>
      <c r="DI58" s="178" t="b">
        <f t="shared" ref="DI58" si="90">IF(AG53="-"";""",IF(AG53=0,0,IF(AND(AG53&gt;=$W$57,AG53&lt;=$AA$57),0,1)))</f>
        <v>0</v>
      </c>
      <c r="DJ58" s="179"/>
      <c r="DK58" s="180"/>
      <c r="DL58" s="178" t="b">
        <f t="shared" ref="DL58" si="91">IF(AJ53="-"";""",IF(AJ53=0,0,IF(AND(AJ53&gt;=$W$57,AJ53&lt;=$AA$57),0,1)))</f>
        <v>0</v>
      </c>
      <c r="DM58" s="179"/>
      <c r="DN58" s="180"/>
      <c r="DO58" s="178" t="b">
        <f t="shared" ref="DO58" si="92">IF(AM53="-"";""",IF(AM53=0,0,IF(AND(AM53&gt;=$W$57,AM53&lt;=$AA$57),0,1)))</f>
        <v>0</v>
      </c>
      <c r="DP58" s="179"/>
      <c r="DQ58" s="180"/>
    </row>
    <row r="59" spans="2:121" ht="5.0999999999999996" customHeight="1" thickBot="1" x14ac:dyDescent="0.3">
      <c r="B59" s="19"/>
      <c r="AG59" s="118"/>
      <c r="AP59" s="23"/>
      <c r="AV59" s="165"/>
      <c r="AW59" s="165"/>
      <c r="CE59" s="74"/>
      <c r="CF59" s="74"/>
      <c r="CG59" s="74"/>
      <c r="CH59" s="79"/>
      <c r="CI59" s="79"/>
      <c r="CJ59" s="79"/>
      <c r="CK59" s="79"/>
      <c r="CL59" s="79"/>
      <c r="CM59" s="79"/>
      <c r="CN59" s="79"/>
      <c r="CO59" s="79"/>
      <c r="CP59" s="79"/>
      <c r="CQ59" s="79"/>
      <c r="CR59" s="79"/>
      <c r="CS59" s="79"/>
      <c r="CT59" s="79"/>
      <c r="CU59" s="79"/>
      <c r="CV59" s="79"/>
      <c r="CW59" s="79"/>
      <c r="CX59" s="79"/>
      <c r="CY59" s="79"/>
      <c r="CZ59" s="79"/>
      <c r="DA59" s="79"/>
      <c r="DB59" s="79"/>
      <c r="DC59" s="79"/>
      <c r="DD59" s="79"/>
      <c r="DE59" s="79"/>
      <c r="DF59" s="79"/>
      <c r="DG59" s="79"/>
      <c r="DH59" s="79"/>
      <c r="DI59" s="79"/>
      <c r="DJ59" s="79"/>
      <c r="DK59" s="79"/>
      <c r="DL59" s="79"/>
      <c r="DM59" s="79"/>
      <c r="DN59" s="79"/>
      <c r="DO59" s="79"/>
      <c r="DP59" s="79"/>
      <c r="DQ59" s="79"/>
    </row>
    <row r="60" spans="2:121" ht="14.1" customHeight="1" thickBot="1" x14ac:dyDescent="0.3">
      <c r="B60" s="163" t="s">
        <v>62</v>
      </c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40"/>
      <c r="W60" s="177">
        <f>IF(AW65="X",BB65,IF(AW67="X",BB67,IF(AW70="X",BB70,0)))</f>
        <v>5247</v>
      </c>
      <c r="X60" s="177"/>
      <c r="Y60" s="177"/>
      <c r="Z60" s="177"/>
      <c r="AA60" s="177">
        <f>IF(AW65="X",BI65,IF(AW67="X",BI67,IF(AW70="X",BI70,0)))</f>
        <v>5573</v>
      </c>
      <c r="AB60" s="177"/>
      <c r="AC60" s="177"/>
      <c r="AD60" s="177"/>
      <c r="AE60" s="2"/>
      <c r="AF60" s="3"/>
      <c r="AG60" s="91" t="str">
        <f>IF(X54=0,0,IF(AND(X54&gt;=W60,X54&lt;=AA60),"X",0))</f>
        <v>X</v>
      </c>
      <c r="AH60" s="44" t="s">
        <v>17</v>
      </c>
      <c r="AI60" s="45"/>
      <c r="AJ60" s="46"/>
      <c r="AK60" s="47"/>
      <c r="AL60" s="48">
        <f>IF(SUM(C51:AO51)+SUM(C53:AO53)=0,0,IF(AND(X54&gt;=W60,X54&lt;=AA60),0,"X"))</f>
        <v>0</v>
      </c>
      <c r="AM60" s="44" t="s">
        <v>18</v>
      </c>
      <c r="AN60" s="45"/>
      <c r="AO60" s="45"/>
      <c r="AP60" s="17"/>
      <c r="AV60" s="151" t="s">
        <v>13</v>
      </c>
      <c r="AW60" s="151"/>
      <c r="AX60" t="s">
        <v>187</v>
      </c>
      <c r="BA60" s="151">
        <v>100</v>
      </c>
      <c r="BB60" s="151"/>
      <c r="BC60" s="151"/>
      <c r="BD60" s="151"/>
      <c r="BF60" t="s">
        <v>188</v>
      </c>
      <c r="BH60" s="151">
        <v>120</v>
      </c>
      <c r="BI60" s="151"/>
      <c r="BJ60" s="151"/>
      <c r="BK60" s="151"/>
      <c r="CE60" s="166">
        <f>SUM(CE56:DQ58)</f>
        <v>0</v>
      </c>
      <c r="CF60" s="167"/>
      <c r="CG60" s="168"/>
    </row>
    <row r="61" spans="2:121" ht="3.95" customHeight="1" x14ac:dyDescent="0.25">
      <c r="B61" s="81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65"/>
      <c r="X61" s="65"/>
      <c r="Y61" s="65"/>
      <c r="Z61" s="65"/>
      <c r="AA61" s="65"/>
      <c r="AB61" s="65"/>
      <c r="AC61" s="65"/>
      <c r="AD61" s="65"/>
      <c r="AG61" s="66"/>
      <c r="AH61" s="67"/>
      <c r="AI61" s="68"/>
      <c r="AJ61" s="69"/>
      <c r="AK61" s="70"/>
      <c r="AL61" s="66"/>
      <c r="AM61" s="67"/>
      <c r="AN61" s="68"/>
      <c r="AO61" s="68"/>
      <c r="AP61" s="23"/>
      <c r="CE61" s="79"/>
      <c r="CF61" s="79"/>
      <c r="CG61" s="79"/>
    </row>
    <row r="62" spans="2:121" ht="14.1" customHeight="1" thickBot="1" x14ac:dyDescent="0.3">
      <c r="B62" s="169" t="s">
        <v>112</v>
      </c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1" t="s">
        <v>428</v>
      </c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2"/>
      <c r="CE62" s="79"/>
      <c r="CF62" s="79"/>
      <c r="CG62" s="79"/>
    </row>
    <row r="63" spans="2:121" ht="5.0999999999999996" customHeight="1" thickBot="1" x14ac:dyDescent="0.3"/>
    <row r="64" spans="2:121" x14ac:dyDescent="0.25">
      <c r="B64" s="157" t="s">
        <v>86</v>
      </c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73" t="s">
        <v>92</v>
      </c>
      <c r="O64" s="174"/>
      <c r="P64" s="174"/>
      <c r="Q64" s="174"/>
      <c r="R64" s="174"/>
      <c r="S64" s="174"/>
      <c r="T64" s="174"/>
      <c r="U64" s="174"/>
      <c r="V64" s="62" t="s">
        <v>91</v>
      </c>
      <c r="W64" s="63"/>
      <c r="X64" s="63"/>
      <c r="Y64" s="351" t="str">
        <f>VLOOKUP($AN$1,'plan de data'!$A$3:$C$189,3,0)</f>
        <v>1255-1256-1257-1258</v>
      </c>
      <c r="Z64" s="351"/>
      <c r="AA64" s="351"/>
      <c r="AB64" s="351"/>
      <c r="AC64" s="351"/>
      <c r="AD64" s="352"/>
      <c r="AE64" s="160" t="s">
        <v>16</v>
      </c>
      <c r="AF64" s="161"/>
      <c r="AG64" s="161"/>
      <c r="AH64" s="161"/>
      <c r="AI64" s="161"/>
      <c r="AJ64" s="161"/>
      <c r="AK64" s="161"/>
      <c r="AL64" s="161"/>
      <c r="AM64" s="161"/>
      <c r="AN64" s="161"/>
      <c r="AO64" s="161"/>
      <c r="AP64" s="162"/>
    </row>
    <row r="65" spans="2:95" x14ac:dyDescent="0.25">
      <c r="B65" s="56"/>
      <c r="C65" s="31" t="s">
        <v>97</v>
      </c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8"/>
      <c r="AE65" s="76"/>
      <c r="AF65" s="3"/>
      <c r="AG65" s="91" t="s">
        <v>58</v>
      </c>
      <c r="AH65" s="44" t="s">
        <v>17</v>
      </c>
      <c r="AI65" s="45"/>
      <c r="AJ65" s="46"/>
      <c r="AK65" s="47"/>
      <c r="AL65" s="48"/>
      <c r="AM65" s="44" t="s">
        <v>18</v>
      </c>
      <c r="AN65" s="45"/>
      <c r="AO65" s="45"/>
      <c r="AP65" s="17"/>
      <c r="AW65" s="151" t="s">
        <v>13</v>
      </c>
      <c r="AX65" s="151"/>
      <c r="AY65" t="s">
        <v>137</v>
      </c>
      <c r="BB65" s="151">
        <v>5247</v>
      </c>
      <c r="BC65" s="151"/>
      <c r="BD65" s="151"/>
      <c r="BE65" s="151"/>
      <c r="BG65" t="s">
        <v>188</v>
      </c>
      <c r="BI65" s="151">
        <v>5573</v>
      </c>
      <c r="BJ65" s="151"/>
      <c r="BK65" s="151"/>
      <c r="BL65" s="151"/>
      <c r="BN65" t="s">
        <v>190</v>
      </c>
    </row>
    <row r="66" spans="2:95" x14ac:dyDescent="0.25">
      <c r="B66" s="36"/>
      <c r="C66" s="31" t="s">
        <v>110</v>
      </c>
      <c r="D66" s="32"/>
      <c r="E66" s="33"/>
      <c r="F66" s="33"/>
      <c r="G66" s="33"/>
      <c r="H66" s="33"/>
      <c r="I66" s="33"/>
      <c r="J66" s="33"/>
      <c r="K66" s="32"/>
      <c r="L66" s="32"/>
      <c r="M66" s="32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4"/>
      <c r="AE66" s="2"/>
      <c r="AF66" s="3"/>
      <c r="AG66" s="91" t="s">
        <v>58</v>
      </c>
      <c r="AH66" s="44" t="s">
        <v>17</v>
      </c>
      <c r="AI66" s="45"/>
      <c r="AJ66" s="46"/>
      <c r="AK66" s="47"/>
      <c r="AL66" s="48"/>
      <c r="AM66" s="44" t="s">
        <v>18</v>
      </c>
      <c r="AN66" s="45"/>
      <c r="AO66" s="45"/>
      <c r="AP66" s="17"/>
      <c r="AW66" s="165"/>
      <c r="AX66" s="165"/>
    </row>
    <row r="67" spans="2:95" ht="15.75" thickBot="1" x14ac:dyDescent="0.3">
      <c r="B67" s="51"/>
      <c r="C67" s="52" t="s">
        <v>111</v>
      </c>
      <c r="D67" s="53"/>
      <c r="E67" s="54"/>
      <c r="F67" s="54"/>
      <c r="G67" s="54"/>
      <c r="H67" s="54"/>
      <c r="I67" s="54"/>
      <c r="J67" s="54"/>
      <c r="K67" s="53"/>
      <c r="L67" s="53"/>
      <c r="M67" s="53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55"/>
      <c r="AE67" s="25"/>
      <c r="AF67" s="26"/>
      <c r="AG67" s="349" t="s">
        <v>58</v>
      </c>
      <c r="AH67" s="40" t="s">
        <v>17</v>
      </c>
      <c r="AI67" s="41"/>
      <c r="AJ67" s="42"/>
      <c r="AK67" s="43"/>
      <c r="AL67" s="50"/>
      <c r="AM67" s="40" t="s">
        <v>18</v>
      </c>
      <c r="AN67" s="41"/>
      <c r="AO67" s="41"/>
      <c r="AP67" s="27"/>
      <c r="AW67" s="151"/>
      <c r="AX67" s="151"/>
      <c r="AY67" t="s">
        <v>187</v>
      </c>
      <c r="BB67" s="151">
        <v>1846</v>
      </c>
      <c r="BC67" s="151"/>
      <c r="BD67" s="151"/>
      <c r="BE67" s="151"/>
      <c r="BG67" t="s">
        <v>188</v>
      </c>
      <c r="BI67" s="151">
        <v>2100</v>
      </c>
      <c r="BJ67" s="151"/>
      <c r="BK67" s="151"/>
      <c r="BL67" s="151"/>
      <c r="BN67" t="s">
        <v>190</v>
      </c>
    </row>
    <row r="68" spans="2:95" ht="5.0999999999999996" customHeight="1" thickBot="1" x14ac:dyDescent="0.3"/>
    <row r="69" spans="2:95" ht="14.1" customHeight="1" x14ac:dyDescent="0.25">
      <c r="B69" s="157" t="s">
        <v>68</v>
      </c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9"/>
      <c r="AE69" s="160" t="s">
        <v>16</v>
      </c>
      <c r="AF69" s="161"/>
      <c r="AG69" s="161"/>
      <c r="AH69" s="161"/>
      <c r="AI69" s="161"/>
      <c r="AJ69" s="161"/>
      <c r="AK69" s="161"/>
      <c r="AL69" s="161"/>
      <c r="AM69" s="161"/>
      <c r="AN69" s="161"/>
      <c r="AO69" s="161"/>
      <c r="AP69" s="162"/>
      <c r="CE69" s="29">
        <v>1</v>
      </c>
      <c r="CF69" s="29">
        <v>2</v>
      </c>
      <c r="CG69" s="29">
        <v>3</v>
      </c>
      <c r="CH69" s="29">
        <v>4</v>
      </c>
      <c r="CI69" s="29">
        <v>5</v>
      </c>
      <c r="CJ69" s="29">
        <v>6</v>
      </c>
      <c r="CK69" s="29">
        <v>7</v>
      </c>
      <c r="CL69" s="29">
        <v>8</v>
      </c>
      <c r="CM69" s="29">
        <v>9</v>
      </c>
      <c r="CN69" s="29">
        <v>10</v>
      </c>
      <c r="CO69" s="29">
        <v>11</v>
      </c>
      <c r="CP69" s="29">
        <v>12</v>
      </c>
      <c r="CQ69" s="29">
        <v>13</v>
      </c>
    </row>
    <row r="70" spans="2:95" ht="14.1" customHeight="1" x14ac:dyDescent="0.25">
      <c r="B70" s="36"/>
      <c r="C70" s="31" t="s">
        <v>69</v>
      </c>
      <c r="D70" s="32"/>
      <c r="E70" s="33"/>
      <c r="F70" s="33"/>
      <c r="G70" s="33"/>
      <c r="H70" s="33"/>
      <c r="I70" s="33"/>
      <c r="J70" s="33"/>
      <c r="K70" s="32"/>
      <c r="L70" s="32"/>
      <c r="M70" s="32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4"/>
      <c r="AE70" s="2"/>
      <c r="AF70" s="3"/>
      <c r="AG70" s="91" t="s">
        <v>58</v>
      </c>
      <c r="AH70" s="44" t="s">
        <v>17</v>
      </c>
      <c r="AI70" s="45"/>
      <c r="AJ70" s="46"/>
      <c r="AK70" s="47"/>
      <c r="AL70" s="48"/>
      <c r="AM70" s="44" t="s">
        <v>18</v>
      </c>
      <c r="AN70" s="45"/>
      <c r="AO70" s="45"/>
      <c r="AP70" s="17"/>
      <c r="AW70" s="151"/>
      <c r="AX70" s="151"/>
      <c r="AY70" t="s">
        <v>137</v>
      </c>
      <c r="BB70" s="151">
        <f>BA58*22</f>
        <v>7062</v>
      </c>
      <c r="BC70" s="151"/>
      <c r="BD70" s="151"/>
      <c r="BE70" s="151"/>
      <c r="BG70" t="s">
        <v>188</v>
      </c>
      <c r="BI70" s="151">
        <f>22*BH58</f>
        <v>7832</v>
      </c>
      <c r="BJ70" s="151"/>
      <c r="BK70" s="151"/>
      <c r="BL70" s="151"/>
      <c r="BN70" t="s">
        <v>191</v>
      </c>
      <c r="CE70" s="28" t="b">
        <f>CE56</f>
        <v>0</v>
      </c>
      <c r="CF70" s="28" t="b">
        <f>CH56</f>
        <v>0</v>
      </c>
      <c r="CG70" s="28" t="b">
        <f>CK56</f>
        <v>0</v>
      </c>
      <c r="CH70" s="28" t="b">
        <f>CN56</f>
        <v>0</v>
      </c>
      <c r="CI70" s="28" t="b">
        <f>CQ56</f>
        <v>0</v>
      </c>
      <c r="CJ70" s="28" t="b">
        <f>CT56</f>
        <v>0</v>
      </c>
      <c r="CK70" s="28" t="b">
        <f>CW56</f>
        <v>0</v>
      </c>
      <c r="CL70" s="28" t="b">
        <f>CZ56</f>
        <v>0</v>
      </c>
      <c r="CM70" s="28" t="b">
        <f>DC56</f>
        <v>0</v>
      </c>
      <c r="CN70" s="28">
        <f>DF57</f>
        <v>0</v>
      </c>
      <c r="CO70" s="28" t="b">
        <f>DI56</f>
        <v>0</v>
      </c>
      <c r="CP70" s="28" t="b">
        <f>DL56</f>
        <v>0</v>
      </c>
      <c r="CQ70" s="28" t="b">
        <f>DO56</f>
        <v>0</v>
      </c>
    </row>
    <row r="71" spans="2:95" ht="14.1" customHeight="1" x14ac:dyDescent="0.25">
      <c r="B71" s="36"/>
      <c r="C71" s="31" t="s">
        <v>70</v>
      </c>
      <c r="D71" s="32"/>
      <c r="E71" s="33"/>
      <c r="F71" s="33"/>
      <c r="G71" s="33"/>
      <c r="H71" s="33"/>
      <c r="I71" s="33"/>
      <c r="J71" s="33"/>
      <c r="K71" s="32"/>
      <c r="L71" s="32"/>
      <c r="M71" s="32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4"/>
      <c r="AE71" s="2"/>
      <c r="AF71" s="3"/>
      <c r="AG71" s="91" t="s">
        <v>58</v>
      </c>
      <c r="AH71" s="44" t="s">
        <v>17</v>
      </c>
      <c r="AI71" s="45"/>
      <c r="AJ71" s="46"/>
      <c r="AK71" s="47"/>
      <c r="AL71" s="48"/>
      <c r="AM71" s="44" t="s">
        <v>18</v>
      </c>
      <c r="AN71" s="45"/>
      <c r="AO71" s="45"/>
      <c r="AP71" s="17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</row>
    <row r="72" spans="2:95" ht="14.1" customHeight="1" x14ac:dyDescent="0.25">
      <c r="B72" s="36"/>
      <c r="C72" s="31" t="s">
        <v>84</v>
      </c>
      <c r="D72" s="32"/>
      <c r="E72" s="33"/>
      <c r="F72" s="33"/>
      <c r="G72" s="33"/>
      <c r="H72" s="33"/>
      <c r="I72" s="33"/>
      <c r="J72" s="33"/>
      <c r="K72" s="32"/>
      <c r="L72" s="32"/>
      <c r="M72" s="32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4"/>
      <c r="AE72" s="2"/>
      <c r="AF72" s="3"/>
      <c r="AG72" s="91" t="s">
        <v>58</v>
      </c>
      <c r="AH72" s="44" t="s">
        <v>17</v>
      </c>
      <c r="AI72" s="45"/>
      <c r="AJ72" s="46"/>
      <c r="AK72" s="47"/>
      <c r="AL72" s="48"/>
      <c r="AM72" s="44" t="s">
        <v>18</v>
      </c>
      <c r="AN72" s="45"/>
      <c r="AO72" s="45"/>
      <c r="AP72" s="17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</row>
    <row r="73" spans="2:95" ht="14.1" customHeight="1" x14ac:dyDescent="0.25">
      <c r="B73" s="36"/>
      <c r="C73" s="31" t="s">
        <v>71</v>
      </c>
      <c r="D73" s="32"/>
      <c r="E73" s="33"/>
      <c r="F73" s="33"/>
      <c r="G73" s="33"/>
      <c r="H73" s="33"/>
      <c r="I73" s="33"/>
      <c r="J73" s="33"/>
      <c r="K73" s="32"/>
      <c r="L73" s="32"/>
      <c r="M73" s="32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4"/>
      <c r="AE73" s="2"/>
      <c r="AF73" s="3"/>
      <c r="AG73" s="91" t="s">
        <v>58</v>
      </c>
      <c r="AH73" s="44" t="s">
        <v>17</v>
      </c>
      <c r="AI73" s="45"/>
      <c r="AJ73" s="46"/>
      <c r="AK73" s="47"/>
      <c r="AL73" s="48"/>
      <c r="AM73" s="44" t="s">
        <v>18</v>
      </c>
      <c r="AN73" s="45"/>
      <c r="AO73" s="45"/>
      <c r="AP73" s="17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</row>
    <row r="74" spans="2:95" ht="5.0999999999999996" customHeight="1" x14ac:dyDescent="0.25">
      <c r="B74" s="19"/>
      <c r="AP74" s="23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</row>
    <row r="75" spans="2:95" ht="14.1" customHeight="1" x14ac:dyDescent="0.25">
      <c r="B75" s="163" t="s">
        <v>72</v>
      </c>
      <c r="C75" s="139"/>
      <c r="D75" s="139"/>
      <c r="E75" s="139"/>
      <c r="F75" s="139"/>
      <c r="G75" s="139"/>
      <c r="H75" s="139"/>
      <c r="I75" s="139"/>
      <c r="J75" s="139"/>
      <c r="K75" s="140"/>
      <c r="L75" s="138" t="s">
        <v>73</v>
      </c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 t="s">
        <v>74</v>
      </c>
      <c r="Y75" s="139"/>
      <c r="Z75" s="139"/>
      <c r="AA75" s="139"/>
      <c r="AB75" s="139"/>
      <c r="AC75" s="139"/>
      <c r="AD75" s="139"/>
      <c r="AE75" s="139"/>
      <c r="AF75" s="139"/>
      <c r="AG75" s="139"/>
      <c r="AH75" s="139"/>
      <c r="AI75" s="139"/>
      <c r="AJ75" s="139"/>
      <c r="AK75" s="139"/>
      <c r="AL75" s="139"/>
      <c r="AM75" s="139"/>
      <c r="AN75" s="139"/>
      <c r="AO75" s="139"/>
      <c r="AP75" s="164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</row>
    <row r="76" spans="2:95" ht="14.1" customHeight="1" x14ac:dyDescent="0.25">
      <c r="B76" s="141"/>
      <c r="C76" s="142"/>
      <c r="D76" s="142"/>
      <c r="E76" s="142"/>
      <c r="F76" s="142"/>
      <c r="G76" s="142"/>
      <c r="H76" s="142"/>
      <c r="I76" s="142"/>
      <c r="J76" s="142"/>
      <c r="K76" s="143"/>
      <c r="L76" s="48"/>
      <c r="M76" s="1" t="s">
        <v>20</v>
      </c>
      <c r="N76" s="1"/>
      <c r="O76" s="1"/>
      <c r="P76" s="48"/>
      <c r="Q76" s="1" t="s">
        <v>21</v>
      </c>
      <c r="R76" s="1"/>
      <c r="S76" s="1"/>
      <c r="T76" s="48"/>
      <c r="U76" s="1" t="s">
        <v>22</v>
      </c>
      <c r="V76" s="1"/>
      <c r="W76" s="1"/>
      <c r="X76" s="144"/>
      <c r="Y76" s="144"/>
      <c r="Z76" s="144"/>
      <c r="AA76" s="144"/>
      <c r="AB76" s="144"/>
      <c r="AC76" s="144"/>
      <c r="AD76" s="144"/>
      <c r="AE76" s="144"/>
      <c r="AF76" s="144"/>
      <c r="AG76" s="144"/>
      <c r="AH76" s="144"/>
      <c r="AI76" s="144"/>
      <c r="AJ76" s="144"/>
      <c r="AK76" s="144"/>
      <c r="AL76" s="144"/>
      <c r="AM76" s="144"/>
      <c r="AN76" s="144"/>
      <c r="AO76" s="144"/>
      <c r="AP76" s="145"/>
      <c r="CE76" s="29">
        <v>14</v>
      </c>
      <c r="CF76" s="29">
        <v>15</v>
      </c>
      <c r="CG76" s="29">
        <v>16</v>
      </c>
      <c r="CH76" s="29">
        <v>17</v>
      </c>
      <c r="CI76" s="29">
        <v>18</v>
      </c>
      <c r="CJ76" s="29">
        <v>19</v>
      </c>
      <c r="CK76" s="29">
        <v>20</v>
      </c>
      <c r="CL76" s="29">
        <v>21</v>
      </c>
      <c r="CM76" s="29">
        <v>22</v>
      </c>
      <c r="CN76" s="29">
        <v>23</v>
      </c>
      <c r="CO76" s="29">
        <v>24</v>
      </c>
      <c r="CP76" s="29">
        <v>25</v>
      </c>
      <c r="CQ76" s="29">
        <v>26</v>
      </c>
    </row>
    <row r="77" spans="2:95" ht="14.1" customHeight="1" x14ac:dyDescent="0.25">
      <c r="B77" s="141"/>
      <c r="C77" s="142"/>
      <c r="D77" s="142"/>
      <c r="E77" s="142"/>
      <c r="F77" s="142"/>
      <c r="G77" s="142"/>
      <c r="H77" s="142"/>
      <c r="I77" s="142"/>
      <c r="J77" s="142"/>
      <c r="K77" s="143"/>
      <c r="L77" s="48"/>
      <c r="M77" s="1" t="s">
        <v>20</v>
      </c>
      <c r="N77" s="1"/>
      <c r="O77" s="1"/>
      <c r="P77" s="48"/>
      <c r="Q77" s="1" t="s">
        <v>21</v>
      </c>
      <c r="R77" s="1"/>
      <c r="S77" s="1"/>
      <c r="T77" s="48"/>
      <c r="U77" s="1" t="s">
        <v>22</v>
      </c>
      <c r="V77" s="1"/>
      <c r="W77" s="1"/>
      <c r="X77" s="144"/>
      <c r="Y77" s="144"/>
      <c r="Z77" s="144"/>
      <c r="AA77" s="144"/>
      <c r="AB77" s="144"/>
      <c r="AC77" s="144"/>
      <c r="AD77" s="144"/>
      <c r="AE77" s="144"/>
      <c r="AF77" s="144"/>
      <c r="AG77" s="144"/>
      <c r="AH77" s="144"/>
      <c r="AI77" s="144"/>
      <c r="AJ77" s="144"/>
      <c r="AK77" s="144"/>
      <c r="AL77" s="144"/>
      <c r="AM77" s="144"/>
      <c r="AN77" s="144"/>
      <c r="AO77" s="144"/>
      <c r="AP77" s="145"/>
      <c r="CE77" s="28" t="b">
        <f>CE58</f>
        <v>0</v>
      </c>
      <c r="CF77" s="28" t="b">
        <f>CH58</f>
        <v>0</v>
      </c>
      <c r="CG77" s="28" t="b">
        <f>CK58</f>
        <v>0</v>
      </c>
      <c r="CH77" s="28" t="b">
        <f>CN58</f>
        <v>0</v>
      </c>
      <c r="CI77" s="28" t="b">
        <f>CQ58</f>
        <v>0</v>
      </c>
      <c r="CJ77" s="28" t="b">
        <f>CT58</f>
        <v>0</v>
      </c>
      <c r="CK77" s="28" t="b">
        <f>CW58</f>
        <v>0</v>
      </c>
      <c r="CL77" s="28" t="b">
        <f>CZ58</f>
        <v>0</v>
      </c>
      <c r="CM77" s="28" t="b">
        <f>DC58</f>
        <v>0</v>
      </c>
      <c r="CN77" s="28" t="b">
        <f>DF58</f>
        <v>0</v>
      </c>
      <c r="CO77" s="28" t="b">
        <f>DI58</f>
        <v>0</v>
      </c>
      <c r="CP77" s="28" t="b">
        <f>DL58</f>
        <v>0</v>
      </c>
      <c r="CQ77" s="28" t="b">
        <f>DO58</f>
        <v>0</v>
      </c>
    </row>
    <row r="78" spans="2:95" ht="14.1" customHeight="1" x14ac:dyDescent="0.25">
      <c r="B78" s="141"/>
      <c r="C78" s="142"/>
      <c r="D78" s="142"/>
      <c r="E78" s="142"/>
      <c r="F78" s="142"/>
      <c r="G78" s="142"/>
      <c r="H78" s="142"/>
      <c r="I78" s="142"/>
      <c r="J78" s="142"/>
      <c r="K78" s="143"/>
      <c r="L78" s="48"/>
      <c r="M78" s="1" t="s">
        <v>20</v>
      </c>
      <c r="N78" s="1"/>
      <c r="O78" s="1"/>
      <c r="P78" s="48"/>
      <c r="Q78" s="1" t="s">
        <v>21</v>
      </c>
      <c r="R78" s="1"/>
      <c r="S78" s="1"/>
      <c r="T78" s="48"/>
      <c r="U78" s="1" t="s">
        <v>22</v>
      </c>
      <c r="V78" s="1"/>
      <c r="W78" s="1"/>
      <c r="X78" s="144"/>
      <c r="Y78" s="144"/>
      <c r="Z78" s="144"/>
      <c r="AA78" s="144"/>
      <c r="AB78" s="144"/>
      <c r="AC78" s="144"/>
      <c r="AD78" s="144"/>
      <c r="AE78" s="144"/>
      <c r="AF78" s="144"/>
      <c r="AG78" s="144"/>
      <c r="AH78" s="144"/>
      <c r="AI78" s="144"/>
      <c r="AJ78" s="144"/>
      <c r="AK78" s="144"/>
      <c r="AL78" s="144"/>
      <c r="AM78" s="144"/>
      <c r="AN78" s="144"/>
      <c r="AO78" s="144"/>
      <c r="AP78" s="145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</row>
    <row r="79" spans="2:95" ht="14.1" customHeight="1" x14ac:dyDescent="0.25">
      <c r="B79" s="141"/>
      <c r="C79" s="142"/>
      <c r="D79" s="142"/>
      <c r="E79" s="142"/>
      <c r="F79" s="142"/>
      <c r="G79" s="142"/>
      <c r="H79" s="142"/>
      <c r="I79" s="142"/>
      <c r="J79" s="142"/>
      <c r="K79" s="143"/>
      <c r="L79" s="48"/>
      <c r="M79" s="1" t="s">
        <v>20</v>
      </c>
      <c r="N79" s="1"/>
      <c r="O79" s="1"/>
      <c r="P79" s="48"/>
      <c r="Q79" s="1" t="s">
        <v>21</v>
      </c>
      <c r="R79" s="1"/>
      <c r="S79" s="1"/>
      <c r="T79" s="48"/>
      <c r="U79" s="1" t="s">
        <v>22</v>
      </c>
      <c r="V79" s="1"/>
      <c r="W79" s="1"/>
      <c r="X79" s="144"/>
      <c r="Y79" s="144"/>
      <c r="Z79" s="144"/>
      <c r="AA79" s="144"/>
      <c r="AB79" s="144"/>
      <c r="AC79" s="144"/>
      <c r="AD79" s="144"/>
      <c r="AE79" s="144"/>
      <c r="AF79" s="144"/>
      <c r="AG79" s="144"/>
      <c r="AH79" s="144"/>
      <c r="AI79" s="144"/>
      <c r="AJ79" s="144"/>
      <c r="AK79" s="144"/>
      <c r="AL79" s="144"/>
      <c r="AM79" s="144"/>
      <c r="AN79" s="144"/>
      <c r="AO79" s="144"/>
      <c r="AP79" s="145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</row>
    <row r="80" spans="2:95" ht="14.1" customHeight="1" thickBot="1" x14ac:dyDescent="0.3">
      <c r="B80" s="146"/>
      <c r="C80" s="147"/>
      <c r="D80" s="147"/>
      <c r="E80" s="147"/>
      <c r="F80" s="147"/>
      <c r="G80" s="147"/>
      <c r="H80" s="147"/>
      <c r="I80" s="147"/>
      <c r="J80" s="147"/>
      <c r="K80" s="148"/>
      <c r="L80" s="50"/>
      <c r="M80" s="37" t="s">
        <v>20</v>
      </c>
      <c r="N80" s="37"/>
      <c r="O80" s="37"/>
      <c r="P80" s="50"/>
      <c r="Q80" s="37" t="s">
        <v>21</v>
      </c>
      <c r="R80" s="37"/>
      <c r="S80" s="37"/>
      <c r="T80" s="50"/>
      <c r="U80" s="37" t="s">
        <v>22</v>
      </c>
      <c r="V80" s="37"/>
      <c r="W80" s="37"/>
      <c r="X80" s="149"/>
      <c r="Y80" s="149"/>
      <c r="Z80" s="149"/>
      <c r="AA80" s="149"/>
      <c r="AB80" s="149"/>
      <c r="AC80" s="149"/>
      <c r="AD80" s="149"/>
      <c r="AE80" s="149"/>
      <c r="AF80" s="149"/>
      <c r="AG80" s="149"/>
      <c r="AH80" s="149"/>
      <c r="AI80" s="149"/>
      <c r="AJ80" s="149"/>
      <c r="AK80" s="149"/>
      <c r="AL80" s="149"/>
      <c r="AM80" s="149"/>
      <c r="AN80" s="149"/>
      <c r="AO80" s="149"/>
      <c r="AP80" s="150"/>
    </row>
    <row r="81" spans="2:65" ht="5.0999999999999996" customHeight="1" thickBot="1" x14ac:dyDescent="0.3">
      <c r="AS81" s="151">
        <v>0</v>
      </c>
      <c r="AT81" s="151"/>
      <c r="AU81" s="151"/>
      <c r="AV81" s="151"/>
      <c r="AW81" s="151"/>
      <c r="AX81" s="151"/>
      <c r="AY81" s="151"/>
      <c r="AZ81" s="151"/>
      <c r="BA81" s="151"/>
      <c r="BB81" s="151"/>
    </row>
    <row r="82" spans="2:65" ht="14.45" customHeight="1" x14ac:dyDescent="0.25">
      <c r="B82" s="152" t="s">
        <v>90</v>
      </c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4"/>
      <c r="N82" s="155" t="s">
        <v>87</v>
      </c>
      <c r="O82" s="153"/>
      <c r="P82" s="153"/>
      <c r="Q82" s="153"/>
      <c r="R82" s="153"/>
      <c r="S82" s="153"/>
      <c r="T82" s="153"/>
      <c r="U82" s="153"/>
      <c r="V82" s="153"/>
      <c r="W82" s="154"/>
      <c r="X82" s="155" t="s">
        <v>88</v>
      </c>
      <c r="Y82" s="153"/>
      <c r="Z82" s="153"/>
      <c r="AA82" s="153"/>
      <c r="AB82" s="153"/>
      <c r="AC82" s="153"/>
      <c r="AD82" s="153"/>
      <c r="AE82" s="153"/>
      <c r="AF82" s="153"/>
      <c r="AG82" s="153"/>
      <c r="AH82" s="153"/>
      <c r="AI82" s="153"/>
      <c r="AJ82" s="154"/>
      <c r="AK82" s="155" t="s">
        <v>89</v>
      </c>
      <c r="AL82" s="153"/>
      <c r="AM82" s="153"/>
      <c r="AN82" s="153"/>
      <c r="AO82" s="153"/>
      <c r="AP82" s="156"/>
      <c r="AS82" s="151"/>
      <c r="AT82" s="151"/>
      <c r="AU82" s="151"/>
      <c r="AV82" s="151"/>
      <c r="AW82" s="151"/>
      <c r="AX82" s="151"/>
      <c r="AY82" s="151"/>
      <c r="AZ82" s="151"/>
      <c r="BA82" s="151"/>
      <c r="BB82" s="151"/>
      <c r="BD82" t="s">
        <v>408</v>
      </c>
    </row>
    <row r="83" spans="2:65" ht="24.6" customHeight="1" thickBot="1" x14ac:dyDescent="0.3">
      <c r="B83" s="128" t="s">
        <v>140</v>
      </c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30"/>
      <c r="N83" s="131" t="s">
        <v>141</v>
      </c>
      <c r="O83" s="129"/>
      <c r="P83" s="129"/>
      <c r="Q83" s="129"/>
      <c r="R83" s="129"/>
      <c r="S83" s="129"/>
      <c r="T83" s="129"/>
      <c r="U83" s="129"/>
      <c r="V83" s="129"/>
      <c r="W83" s="130"/>
      <c r="X83" s="131" t="e" vm="1">
        <v>#VALUE!</v>
      </c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30"/>
      <c r="AK83" s="132">
        <f>B6+28</f>
        <v>45902</v>
      </c>
      <c r="AL83" s="133"/>
      <c r="AM83" s="133"/>
      <c r="AN83" s="133"/>
      <c r="AO83" s="133"/>
      <c r="AP83" s="134"/>
      <c r="AS83" s="135">
        <f>AK83+AS81</f>
        <v>45902</v>
      </c>
      <c r="AT83" s="136"/>
      <c r="AU83" s="136"/>
      <c r="AV83" s="136"/>
      <c r="AW83" s="136"/>
      <c r="AX83" s="136"/>
      <c r="AY83" s="136"/>
      <c r="AZ83" s="136"/>
      <c r="BA83" s="136"/>
      <c r="BB83" s="137"/>
      <c r="BC83">
        <v>1</v>
      </c>
      <c r="BF83" s="138" t="str">
        <f>TEXT(AS83,"ddd")</f>
        <v>ter</v>
      </c>
      <c r="BG83" s="139"/>
      <c r="BH83" s="139"/>
      <c r="BI83" s="139"/>
      <c r="BJ83" s="139"/>
      <c r="BK83" s="139"/>
      <c r="BL83" s="139"/>
      <c r="BM83" s="140"/>
    </row>
  </sheetData>
  <sheetProtection autoFilter="0"/>
  <protectedRanges>
    <protectedRange sqref="AG6 AM6 B29:S33 AG70:AG73 AL70:AL73 AL65:AL67 AG65:AG67 AE42 AI42 AM42 AG38 AL38 AG29 AL29 AG22 AL22 P2 G11:AP11" name="Intervalo2"/>
    <protectedRange sqref="AG2" name="Intervalo1_1_1"/>
  </protectedRanges>
  <autoFilter ref="A6:A19" xr:uid="{00000000-0009-0000-0000-000001000000}">
    <filterColumn colId="0">
      <customFilters>
        <customFilter operator="notEqual" val=" "/>
      </customFilters>
    </filterColumn>
  </autoFilter>
  <mergeCells count="533">
    <mergeCell ref="L3:O3"/>
    <mergeCell ref="P3:AP3"/>
    <mergeCell ref="B5:H5"/>
    <mergeCell ref="I5:AC5"/>
    <mergeCell ref="AD5:AP5"/>
    <mergeCell ref="B6:H6"/>
    <mergeCell ref="I6:AC6"/>
    <mergeCell ref="AD6:AF6"/>
    <mergeCell ref="AG6:AI6"/>
    <mergeCell ref="AJ6:AL6"/>
    <mergeCell ref="B1:K3"/>
    <mergeCell ref="L1:AC1"/>
    <mergeCell ref="AD1:AG1"/>
    <mergeCell ref="AH1:AI1"/>
    <mergeCell ref="AJ1:AL1"/>
    <mergeCell ref="AN1:AP1"/>
    <mergeCell ref="L2:O2"/>
    <mergeCell ref="P2:AC2"/>
    <mergeCell ref="AD2:AF2"/>
    <mergeCell ref="AG2:AP2"/>
    <mergeCell ref="AM6:AP6"/>
    <mergeCell ref="AR6:CA6"/>
    <mergeCell ref="B8:F8"/>
    <mergeCell ref="G8:I8"/>
    <mergeCell ref="J8:L8"/>
    <mergeCell ref="M8:O8"/>
    <mergeCell ref="P8:R8"/>
    <mergeCell ref="S8:U8"/>
    <mergeCell ref="V8:X8"/>
    <mergeCell ref="Y8:AA8"/>
    <mergeCell ref="BM8:BO8"/>
    <mergeCell ref="BP8:BR8"/>
    <mergeCell ref="BS8:BU8"/>
    <mergeCell ref="BV8:BX8"/>
    <mergeCell ref="BY8:CA8"/>
    <mergeCell ref="CC8:CE8"/>
    <mergeCell ref="AU8:AW8"/>
    <mergeCell ref="AX8:AZ8"/>
    <mergeCell ref="BA8:BC8"/>
    <mergeCell ref="BD8:BF8"/>
    <mergeCell ref="BG8:BI8"/>
    <mergeCell ref="BJ8:BL8"/>
    <mergeCell ref="AB9:AD9"/>
    <mergeCell ref="AE9:AG9"/>
    <mergeCell ref="AH9:AJ9"/>
    <mergeCell ref="AK9:AM9"/>
    <mergeCell ref="AU9:AW9"/>
    <mergeCell ref="AX9:AZ9"/>
    <mergeCell ref="BA9:BC9"/>
    <mergeCell ref="BD9:BF9"/>
    <mergeCell ref="AB8:AD8"/>
    <mergeCell ref="AE8:AG8"/>
    <mergeCell ref="AH8:AJ8"/>
    <mergeCell ref="AK8:AM8"/>
    <mergeCell ref="AN8:AP8"/>
    <mergeCell ref="AR8:AT8"/>
    <mergeCell ref="BY9:CA9"/>
    <mergeCell ref="CC9:CE9"/>
    <mergeCell ref="B10:F10"/>
    <mergeCell ref="G10:I10"/>
    <mergeCell ref="J10:L10"/>
    <mergeCell ref="M10:O10"/>
    <mergeCell ref="P10:R10"/>
    <mergeCell ref="S10:U10"/>
    <mergeCell ref="V10:X10"/>
    <mergeCell ref="Y10:AA10"/>
    <mergeCell ref="BG9:BI9"/>
    <mergeCell ref="BJ9:BL9"/>
    <mergeCell ref="BM9:BO9"/>
    <mergeCell ref="BP9:BR9"/>
    <mergeCell ref="BS9:BU9"/>
    <mergeCell ref="BV9:BX9"/>
    <mergeCell ref="AN9:AP9"/>
    <mergeCell ref="AR9:AT9"/>
    <mergeCell ref="V9:X9"/>
    <mergeCell ref="Y9:AA9"/>
    <mergeCell ref="AB10:AD10"/>
    <mergeCell ref="AE10:AG10"/>
    <mergeCell ref="AH10:AJ10"/>
    <mergeCell ref="AK10:AM10"/>
    <mergeCell ref="AN10:AP10"/>
    <mergeCell ref="B11:F11"/>
    <mergeCell ref="G11:I11"/>
    <mergeCell ref="J11:L11"/>
    <mergeCell ref="M11:O11"/>
    <mergeCell ref="P11:R11"/>
    <mergeCell ref="AK11:AM11"/>
    <mergeCell ref="AN11:AP11"/>
    <mergeCell ref="AB11:AD11"/>
    <mergeCell ref="AE11:AG11"/>
    <mergeCell ref="AH11:AJ11"/>
    <mergeCell ref="B9:F9"/>
    <mergeCell ref="G9:I9"/>
    <mergeCell ref="J9:L9"/>
    <mergeCell ref="M9:O9"/>
    <mergeCell ref="P9:R9"/>
    <mergeCell ref="S9:U9"/>
    <mergeCell ref="B13:F13"/>
    <mergeCell ref="G13:I13"/>
    <mergeCell ref="J13:L13"/>
    <mergeCell ref="M13:O13"/>
    <mergeCell ref="P13:R13"/>
    <mergeCell ref="S13:U13"/>
    <mergeCell ref="V13:X13"/>
    <mergeCell ref="Y13:AA13"/>
    <mergeCell ref="S11:U11"/>
    <mergeCell ref="V11:X11"/>
    <mergeCell ref="Y11:AA11"/>
    <mergeCell ref="BV13:BX13"/>
    <mergeCell ref="BY13:CA13"/>
    <mergeCell ref="CC13:CE13"/>
    <mergeCell ref="AU13:AW13"/>
    <mergeCell ref="AX13:AZ13"/>
    <mergeCell ref="BA13:BC13"/>
    <mergeCell ref="BD13:BF13"/>
    <mergeCell ref="BG13:BI13"/>
    <mergeCell ref="BJ13:BL13"/>
    <mergeCell ref="B14:F14"/>
    <mergeCell ref="G14:I14"/>
    <mergeCell ref="J14:L14"/>
    <mergeCell ref="M14:O14"/>
    <mergeCell ref="P14:R14"/>
    <mergeCell ref="S14:U14"/>
    <mergeCell ref="BM13:BO13"/>
    <mergeCell ref="BP13:BR13"/>
    <mergeCell ref="BS13:BU13"/>
    <mergeCell ref="AB13:AD13"/>
    <mergeCell ref="AE13:AG13"/>
    <mergeCell ref="AH13:AJ13"/>
    <mergeCell ref="AK13:AM13"/>
    <mergeCell ref="AN13:AP13"/>
    <mergeCell ref="AR13:AT13"/>
    <mergeCell ref="AX14:AZ14"/>
    <mergeCell ref="BA14:BC14"/>
    <mergeCell ref="BD14:BF14"/>
    <mergeCell ref="V14:X14"/>
    <mergeCell ref="Y14:AA14"/>
    <mergeCell ref="AB14:AD14"/>
    <mergeCell ref="AE14:AG14"/>
    <mergeCell ref="AH14:AJ14"/>
    <mergeCell ref="AK14:AM14"/>
    <mergeCell ref="B17:F17"/>
    <mergeCell ref="G17:I17"/>
    <mergeCell ref="J17:L17"/>
    <mergeCell ref="M17:O17"/>
    <mergeCell ref="P17:R17"/>
    <mergeCell ref="BY14:CA14"/>
    <mergeCell ref="CC14:CE14"/>
    <mergeCell ref="B15:F15"/>
    <mergeCell ref="G15:I15"/>
    <mergeCell ref="J15:L15"/>
    <mergeCell ref="M15:O15"/>
    <mergeCell ref="P15:R15"/>
    <mergeCell ref="S15:U15"/>
    <mergeCell ref="V15:X15"/>
    <mergeCell ref="Y15:AA15"/>
    <mergeCell ref="BG14:BI14"/>
    <mergeCell ref="BJ14:BL14"/>
    <mergeCell ref="BM14:BO14"/>
    <mergeCell ref="BP14:BR14"/>
    <mergeCell ref="BS14:BU14"/>
    <mergeCell ref="BV14:BX14"/>
    <mergeCell ref="AN14:AP14"/>
    <mergeCell ref="AR14:AT14"/>
    <mergeCell ref="AU14:AW14"/>
    <mergeCell ref="Y17:AA17"/>
    <mergeCell ref="AB17:AD17"/>
    <mergeCell ref="AE17:AG17"/>
    <mergeCell ref="AH17:AJ17"/>
    <mergeCell ref="AB15:AD15"/>
    <mergeCell ref="AE15:AG15"/>
    <mergeCell ref="AH15:AJ15"/>
    <mergeCell ref="AK15:AM15"/>
    <mergeCell ref="AN15:AP15"/>
    <mergeCell ref="BV17:BX17"/>
    <mergeCell ref="BY17:CA17"/>
    <mergeCell ref="CC17:CE17"/>
    <mergeCell ref="B18:F18"/>
    <mergeCell ref="G18:I18"/>
    <mergeCell ref="J18:L18"/>
    <mergeCell ref="M18:O18"/>
    <mergeCell ref="P18:R18"/>
    <mergeCell ref="S18:U18"/>
    <mergeCell ref="V18:X18"/>
    <mergeCell ref="BD17:BF17"/>
    <mergeCell ref="BG17:BI17"/>
    <mergeCell ref="BJ17:BL17"/>
    <mergeCell ref="BM17:BO17"/>
    <mergeCell ref="BP17:BR17"/>
    <mergeCell ref="BS17:BU17"/>
    <mergeCell ref="AK17:AM17"/>
    <mergeCell ref="AN17:AP17"/>
    <mergeCell ref="AR17:AT17"/>
    <mergeCell ref="AU17:AW17"/>
    <mergeCell ref="AX17:AZ17"/>
    <mergeCell ref="BA17:BC17"/>
    <mergeCell ref="S17:U17"/>
    <mergeCell ref="V17:X17"/>
    <mergeCell ref="AX18:AZ18"/>
    <mergeCell ref="BA18:BC18"/>
    <mergeCell ref="BD18:BF18"/>
    <mergeCell ref="BG18:BI18"/>
    <mergeCell ref="Y18:AA18"/>
    <mergeCell ref="AB18:AD18"/>
    <mergeCell ref="AE18:AG18"/>
    <mergeCell ref="AH18:AJ18"/>
    <mergeCell ref="AK18:AM18"/>
    <mergeCell ref="AN18:AP18"/>
    <mergeCell ref="AE19:AG19"/>
    <mergeCell ref="AH19:AJ19"/>
    <mergeCell ref="AK19:AM19"/>
    <mergeCell ref="AN19:AP19"/>
    <mergeCell ref="B21:AD21"/>
    <mergeCell ref="AE21:AP21"/>
    <mergeCell ref="CC18:CE18"/>
    <mergeCell ref="B19:F19"/>
    <mergeCell ref="G19:I19"/>
    <mergeCell ref="J19:L19"/>
    <mergeCell ref="M19:O19"/>
    <mergeCell ref="P19:R19"/>
    <mergeCell ref="S19:U19"/>
    <mergeCell ref="V19:X19"/>
    <mergeCell ref="Y19:AA19"/>
    <mergeCell ref="AB19:AD19"/>
    <mergeCell ref="BJ18:BL18"/>
    <mergeCell ref="BM18:BO18"/>
    <mergeCell ref="BP18:BR18"/>
    <mergeCell ref="BS18:BU18"/>
    <mergeCell ref="BV18:BX18"/>
    <mergeCell ref="BY18:CA18"/>
    <mergeCell ref="AR18:AT18"/>
    <mergeCell ref="AU18:AW18"/>
    <mergeCell ref="B25:I25"/>
    <mergeCell ref="J25:AD25"/>
    <mergeCell ref="AE25:AP25"/>
    <mergeCell ref="B26:AD26"/>
    <mergeCell ref="B28:AD28"/>
    <mergeCell ref="AE28:AP28"/>
    <mergeCell ref="AE23:AP23"/>
    <mergeCell ref="AE24:AF24"/>
    <mergeCell ref="AG24:AH24"/>
    <mergeCell ref="AI24:AJ24"/>
    <mergeCell ref="AK24:AL24"/>
    <mergeCell ref="AM24:AN24"/>
    <mergeCell ref="AO24:AP24"/>
    <mergeCell ref="AO31:AP31"/>
    <mergeCell ref="B32:X32"/>
    <mergeCell ref="AE32:AF32"/>
    <mergeCell ref="AG32:AH32"/>
    <mergeCell ref="AI32:AJ32"/>
    <mergeCell ref="AK32:AL32"/>
    <mergeCell ref="AM32:AN32"/>
    <mergeCell ref="AO32:AP32"/>
    <mergeCell ref="G29:X29"/>
    <mergeCell ref="Y29:AD33"/>
    <mergeCell ref="B30:X30"/>
    <mergeCell ref="AE30:AP30"/>
    <mergeCell ref="B31:X31"/>
    <mergeCell ref="AE31:AF31"/>
    <mergeCell ref="AG31:AH31"/>
    <mergeCell ref="AI31:AJ31"/>
    <mergeCell ref="AK31:AL31"/>
    <mergeCell ref="AM31:AN31"/>
    <mergeCell ref="AV37:AX37"/>
    <mergeCell ref="AY37:BB37"/>
    <mergeCell ref="CQ37:CS37"/>
    <mergeCell ref="CT37:CW37"/>
    <mergeCell ref="AV38:AX38"/>
    <mergeCell ref="AY38:BB38"/>
    <mergeCell ref="CQ38:CS38"/>
    <mergeCell ref="CT38:CW38"/>
    <mergeCell ref="B33:X33"/>
    <mergeCell ref="B34:I34"/>
    <mergeCell ref="J34:AD34"/>
    <mergeCell ref="AE34:AP34"/>
    <mergeCell ref="B35:AD35"/>
    <mergeCell ref="B37:AD37"/>
    <mergeCell ref="AE37:AP37"/>
    <mergeCell ref="BA41:BE41"/>
    <mergeCell ref="B42:AD42"/>
    <mergeCell ref="BA42:BE42"/>
    <mergeCell ref="AE39:AP39"/>
    <mergeCell ref="AE40:AF40"/>
    <mergeCell ref="AG40:AH40"/>
    <mergeCell ref="AI40:AJ40"/>
    <mergeCell ref="AK40:AL40"/>
    <mergeCell ref="AM40:AN40"/>
    <mergeCell ref="AO40:AP40"/>
    <mergeCell ref="B44:L44"/>
    <mergeCell ref="M44:O44"/>
    <mergeCell ref="P44:R44"/>
    <mergeCell ref="S44:U44"/>
    <mergeCell ref="V44:AA44"/>
    <mergeCell ref="AB44:AP44"/>
    <mergeCell ref="B41:I41"/>
    <mergeCell ref="J41:AD41"/>
    <mergeCell ref="AE41:AP41"/>
    <mergeCell ref="B47:L47"/>
    <mergeCell ref="M47:U47"/>
    <mergeCell ref="V47:AF47"/>
    <mergeCell ref="AG47:AP47"/>
    <mergeCell ref="BC47:BG47"/>
    <mergeCell ref="C49:AO49"/>
    <mergeCell ref="AR49:CD49"/>
    <mergeCell ref="B45:L45"/>
    <mergeCell ref="M45:U45"/>
    <mergeCell ref="V45:AF45"/>
    <mergeCell ref="AG45:AP45"/>
    <mergeCell ref="AY45:BC45"/>
    <mergeCell ref="B46:L46"/>
    <mergeCell ref="M46:U46"/>
    <mergeCell ref="V46:AF46"/>
    <mergeCell ref="AG46:AP46"/>
    <mergeCell ref="AY46:BC46"/>
    <mergeCell ref="AA50:AC50"/>
    <mergeCell ref="AD50:AF50"/>
    <mergeCell ref="AG50:AI50"/>
    <mergeCell ref="AJ50:AL50"/>
    <mergeCell ref="C50:E50"/>
    <mergeCell ref="F50:H50"/>
    <mergeCell ref="I50:K50"/>
    <mergeCell ref="L50:N50"/>
    <mergeCell ref="O50:Q50"/>
    <mergeCell ref="R50:T50"/>
    <mergeCell ref="BY50:CA50"/>
    <mergeCell ref="CB50:CD50"/>
    <mergeCell ref="C51:E51"/>
    <mergeCell ref="F51:H51"/>
    <mergeCell ref="I51:K51"/>
    <mergeCell ref="L51:N51"/>
    <mergeCell ref="O51:Q51"/>
    <mergeCell ref="R51:T51"/>
    <mergeCell ref="U51:W51"/>
    <mergeCell ref="X51:Z51"/>
    <mergeCell ref="BG50:BI50"/>
    <mergeCell ref="BJ50:BL50"/>
    <mergeCell ref="BM50:BO50"/>
    <mergeCell ref="BP50:BR50"/>
    <mergeCell ref="BS50:BU50"/>
    <mergeCell ref="BV50:BX50"/>
    <mergeCell ref="AM50:AO50"/>
    <mergeCell ref="AR50:AT50"/>
    <mergeCell ref="AU50:AW50"/>
    <mergeCell ref="AX50:AZ50"/>
    <mergeCell ref="BA50:BC50"/>
    <mergeCell ref="BD50:BF50"/>
    <mergeCell ref="U50:W50"/>
    <mergeCell ref="X50:Z50"/>
    <mergeCell ref="BV51:BX51"/>
    <mergeCell ref="BY51:CA51"/>
    <mergeCell ref="CB51:CD51"/>
    <mergeCell ref="AU51:AW51"/>
    <mergeCell ref="AX51:AZ51"/>
    <mergeCell ref="BA51:BC51"/>
    <mergeCell ref="BD51:BF51"/>
    <mergeCell ref="BG51:BI51"/>
    <mergeCell ref="BJ51:BL51"/>
    <mergeCell ref="F52:H52"/>
    <mergeCell ref="I52:K52"/>
    <mergeCell ref="L52:N52"/>
    <mergeCell ref="O52:Q52"/>
    <mergeCell ref="R52:T52"/>
    <mergeCell ref="BM51:BO51"/>
    <mergeCell ref="BP51:BR51"/>
    <mergeCell ref="BS51:BU51"/>
    <mergeCell ref="AA51:AC51"/>
    <mergeCell ref="AD51:AF51"/>
    <mergeCell ref="AG51:AI51"/>
    <mergeCell ref="AJ51:AL51"/>
    <mergeCell ref="AM51:AO51"/>
    <mergeCell ref="AR51:AT51"/>
    <mergeCell ref="AU52:AW52"/>
    <mergeCell ref="AX52:AZ52"/>
    <mergeCell ref="BA52:BC52"/>
    <mergeCell ref="BD52:BF52"/>
    <mergeCell ref="U52:W52"/>
    <mergeCell ref="X52:Z52"/>
    <mergeCell ref="AA52:AC52"/>
    <mergeCell ref="AD52:AF52"/>
    <mergeCell ref="AG52:AI52"/>
    <mergeCell ref="BY52:CA52"/>
    <mergeCell ref="CB52:CD52"/>
    <mergeCell ref="BJ52:BL52"/>
    <mergeCell ref="BM52:BO52"/>
    <mergeCell ref="BP52:BR52"/>
    <mergeCell ref="BS52:BU52"/>
    <mergeCell ref="BV52:BX52"/>
    <mergeCell ref="BM53:BO53"/>
    <mergeCell ref="BP53:BR53"/>
    <mergeCell ref="BS53:BU53"/>
    <mergeCell ref="BV53:BX53"/>
    <mergeCell ref="BY53:CA53"/>
    <mergeCell ref="CB53:CD53"/>
    <mergeCell ref="BJ53:BL53"/>
    <mergeCell ref="C53:E53"/>
    <mergeCell ref="F53:H53"/>
    <mergeCell ref="I53:K53"/>
    <mergeCell ref="L53:N53"/>
    <mergeCell ref="O53:Q53"/>
    <mergeCell ref="R53:T53"/>
    <mergeCell ref="U53:W53"/>
    <mergeCell ref="X53:Z53"/>
    <mergeCell ref="BG52:BI52"/>
    <mergeCell ref="AM52:AO52"/>
    <mergeCell ref="AR52:AT52"/>
    <mergeCell ref="AU53:AW53"/>
    <mergeCell ref="AX53:AZ53"/>
    <mergeCell ref="BA53:BC53"/>
    <mergeCell ref="BD53:BF53"/>
    <mergeCell ref="BG53:BI53"/>
    <mergeCell ref="AJ52:AL52"/>
    <mergeCell ref="AA53:AC53"/>
    <mergeCell ref="AD53:AF53"/>
    <mergeCell ref="AG53:AI53"/>
    <mergeCell ref="AJ53:AL53"/>
    <mergeCell ref="AM53:AO53"/>
    <mergeCell ref="AR53:AT53"/>
    <mergeCell ref="C52:E52"/>
    <mergeCell ref="DI54:DK54"/>
    <mergeCell ref="DL54:DN54"/>
    <mergeCell ref="DO54:DQ54"/>
    <mergeCell ref="B56:V56"/>
    <mergeCell ref="W56:Z56"/>
    <mergeCell ref="AA56:AD56"/>
    <mergeCell ref="AE56:AP56"/>
    <mergeCell ref="CE56:CG56"/>
    <mergeCell ref="CH56:CJ56"/>
    <mergeCell ref="CK56:CM56"/>
    <mergeCell ref="CQ54:CS54"/>
    <mergeCell ref="CT54:CV54"/>
    <mergeCell ref="CW54:CY54"/>
    <mergeCell ref="CZ54:DB54"/>
    <mergeCell ref="DC54:DE54"/>
    <mergeCell ref="DF54:DH54"/>
    <mergeCell ref="B54:W54"/>
    <mergeCell ref="X54:AB54"/>
    <mergeCell ref="CE54:CG54"/>
    <mergeCell ref="CH54:CJ54"/>
    <mergeCell ref="CK54:CM54"/>
    <mergeCell ref="CN54:CP54"/>
    <mergeCell ref="DF56:DH56"/>
    <mergeCell ref="DI56:DK56"/>
    <mergeCell ref="DL56:DN56"/>
    <mergeCell ref="DO56:DQ56"/>
    <mergeCell ref="B57:V57"/>
    <mergeCell ref="W57:Z57"/>
    <mergeCell ref="AA57:AD57"/>
    <mergeCell ref="CE57:CG57"/>
    <mergeCell ref="CH57:CJ57"/>
    <mergeCell ref="CK57:CM57"/>
    <mergeCell ref="CN56:CP56"/>
    <mergeCell ref="CQ56:CS56"/>
    <mergeCell ref="CT56:CV56"/>
    <mergeCell ref="CW56:CY56"/>
    <mergeCell ref="CZ56:DB56"/>
    <mergeCell ref="DC56:DE56"/>
    <mergeCell ref="DF57:DH57"/>
    <mergeCell ref="DI57:DK57"/>
    <mergeCell ref="DL57:DN57"/>
    <mergeCell ref="DO57:DQ57"/>
    <mergeCell ref="CW57:CY57"/>
    <mergeCell ref="CZ57:DB57"/>
    <mergeCell ref="DC57:DE57"/>
    <mergeCell ref="C58:M58"/>
    <mergeCell ref="AV58:AW58"/>
    <mergeCell ref="BA58:BD58"/>
    <mergeCell ref="BH58:BK58"/>
    <mergeCell ref="CE58:CG58"/>
    <mergeCell ref="CH58:CJ58"/>
    <mergeCell ref="CN57:CP57"/>
    <mergeCell ref="CQ57:CS57"/>
    <mergeCell ref="CT57:CV57"/>
    <mergeCell ref="DC58:DE58"/>
    <mergeCell ref="DF58:DH58"/>
    <mergeCell ref="DI58:DK58"/>
    <mergeCell ref="DL58:DN58"/>
    <mergeCell ref="DO58:DQ58"/>
    <mergeCell ref="AV59:AW59"/>
    <mergeCell ref="CK58:CM58"/>
    <mergeCell ref="CN58:CP58"/>
    <mergeCell ref="CQ58:CS58"/>
    <mergeCell ref="CT58:CV58"/>
    <mergeCell ref="CW58:CY58"/>
    <mergeCell ref="CZ58:DB58"/>
    <mergeCell ref="CE60:CG60"/>
    <mergeCell ref="B62:Z62"/>
    <mergeCell ref="AA62:AP62"/>
    <mergeCell ref="B64:M64"/>
    <mergeCell ref="N64:U64"/>
    <mergeCell ref="Y64:AD64"/>
    <mergeCell ref="AE64:AP64"/>
    <mergeCell ref="B60:V60"/>
    <mergeCell ref="W60:Z60"/>
    <mergeCell ref="AA60:AD60"/>
    <mergeCell ref="AV60:AW60"/>
    <mergeCell ref="BA60:BD60"/>
    <mergeCell ref="BH60:BK60"/>
    <mergeCell ref="BB70:BE70"/>
    <mergeCell ref="BI70:BL70"/>
    <mergeCell ref="B75:K75"/>
    <mergeCell ref="L75:W75"/>
    <mergeCell ref="X75:AP75"/>
    <mergeCell ref="AW65:AX65"/>
    <mergeCell ref="BB65:BE65"/>
    <mergeCell ref="BI65:BL65"/>
    <mergeCell ref="AW66:AX66"/>
    <mergeCell ref="AW67:AX67"/>
    <mergeCell ref="BB67:BE67"/>
    <mergeCell ref="BI67:BL67"/>
    <mergeCell ref="B76:K76"/>
    <mergeCell ref="X76:AP76"/>
    <mergeCell ref="B77:K77"/>
    <mergeCell ref="X77:AP77"/>
    <mergeCell ref="B78:K78"/>
    <mergeCell ref="X78:AP78"/>
    <mergeCell ref="B69:AD69"/>
    <mergeCell ref="AE69:AP69"/>
    <mergeCell ref="AW70:AX70"/>
    <mergeCell ref="B83:M83"/>
    <mergeCell ref="N83:W83"/>
    <mergeCell ref="X83:AJ83"/>
    <mergeCell ref="AK83:AP83"/>
    <mergeCell ref="AS83:BB83"/>
    <mergeCell ref="BF83:BM83"/>
    <mergeCell ref="B79:K79"/>
    <mergeCell ref="X79:AP79"/>
    <mergeCell ref="B80:K80"/>
    <mergeCell ref="X80:AP80"/>
    <mergeCell ref="AS81:BB82"/>
    <mergeCell ref="B82:M82"/>
    <mergeCell ref="N82:W82"/>
    <mergeCell ref="X82:AJ82"/>
    <mergeCell ref="AK82:AP82"/>
  </mergeCells>
  <conditionalFormatting sqref="AV38:BB38">
    <cfRule type="cellIs" dxfId="2" priority="1" operator="equal">
      <formula>0</formula>
    </cfRule>
  </conditionalFormatting>
  <dataValidations disablePrompts="1" count="1">
    <dataValidation type="list" allowBlank="1" showInputMessage="1" showErrorMessage="1" sqref="AG6:AI6" xr:uid="{E481EF16-B17D-4232-BA02-767DBB15C8B2}">
      <formula1>$BD$1:$BD$3</formula1>
    </dataValidation>
  </dataValidations>
  <printOptions horizontalCentered="1" verticalCentered="1"/>
  <pageMargins left="0.6692913385826772" right="0" top="0" bottom="0" header="0.31496062992125984" footer="0.31496062992125984"/>
  <pageSetup paperSize="9" scale="85" orientation="portrait" r:id="rId1"/>
  <colBreaks count="1" manualBreakCount="1">
    <brk id="42" max="1048575" man="1"/>
  </col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AA051-3DEC-4E24-BF6B-C5E99F88AC27}">
  <sheetPr filterMode="1"/>
  <dimension ref="A1:DQ83"/>
  <sheetViews>
    <sheetView showGridLines="0" showZeros="0" tabSelected="1" view="pageBreakPreview" topLeftCell="A11" zoomScale="205" zoomScaleNormal="130" zoomScaleSheetLayoutView="205" workbookViewId="0">
      <selection activeCell="I6" sqref="I6:AC6"/>
    </sheetView>
  </sheetViews>
  <sheetFormatPr defaultRowHeight="15" x14ac:dyDescent="0.25"/>
  <cols>
    <col min="1" max="1" width="6" customWidth="1"/>
    <col min="2" max="2" width="2" customWidth="1"/>
    <col min="3" max="8" width="2.5703125" customWidth="1"/>
    <col min="9" max="9" width="3.140625" customWidth="1"/>
    <col min="10" max="25" width="2.5703125" customWidth="1"/>
    <col min="26" max="26" width="2.85546875" customWidth="1"/>
    <col min="27" max="29" width="2.5703125" customWidth="1"/>
    <col min="30" max="30" width="3.140625" customWidth="1"/>
    <col min="31" max="42" width="2.5703125" customWidth="1"/>
    <col min="43" max="43" width="3.85546875" customWidth="1"/>
    <col min="44" max="45" width="1.42578125" customWidth="1"/>
    <col min="46" max="46" width="1.5703125" customWidth="1"/>
    <col min="47" max="49" width="1.42578125" customWidth="1"/>
    <col min="50" max="50" width="2.85546875" customWidth="1"/>
    <col min="51" max="51" width="1.5703125" customWidth="1"/>
    <col min="52" max="58" width="1.42578125" customWidth="1"/>
    <col min="59" max="59" width="3.5703125" customWidth="1"/>
    <col min="60" max="78" width="1.42578125" customWidth="1"/>
    <col min="79" max="79" width="1.85546875" customWidth="1"/>
    <col min="80" max="80" width="0.85546875" customWidth="1"/>
    <col min="81" max="82" width="1.42578125" customWidth="1"/>
    <col min="83" max="95" width="1.85546875" customWidth="1"/>
    <col min="96" max="123" width="1.42578125" customWidth="1"/>
  </cols>
  <sheetData>
    <row r="1" spans="1:83" ht="14.1" customHeight="1" x14ac:dyDescent="0.25">
      <c r="B1" s="287"/>
      <c r="C1" s="288"/>
      <c r="D1" s="288"/>
      <c r="E1" s="288"/>
      <c r="F1" s="288"/>
      <c r="G1" s="288"/>
      <c r="H1" s="288"/>
      <c r="I1" s="288"/>
      <c r="J1" s="288"/>
      <c r="K1" s="289"/>
      <c r="L1" s="293" t="s">
        <v>0</v>
      </c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5"/>
      <c r="AD1" s="296" t="s">
        <v>99</v>
      </c>
      <c r="AE1" s="297"/>
      <c r="AF1" s="297"/>
      <c r="AG1" s="297"/>
      <c r="AH1" s="297" t="s">
        <v>82</v>
      </c>
      <c r="AI1" s="297"/>
      <c r="AJ1" s="298">
        <v>1</v>
      </c>
      <c r="AK1" s="298"/>
      <c r="AL1" s="298"/>
      <c r="AM1" s="61" t="s">
        <v>98</v>
      </c>
      <c r="AN1" s="329">
        <v>77</v>
      </c>
      <c r="AO1" s="329"/>
      <c r="AP1" s="330"/>
      <c r="BD1" t="s">
        <v>78</v>
      </c>
      <c r="BM1" t="s">
        <v>133</v>
      </c>
      <c r="BU1" t="s">
        <v>189</v>
      </c>
    </row>
    <row r="2" spans="1:83" ht="14.45" customHeight="1" x14ac:dyDescent="0.25">
      <c r="B2" s="210"/>
      <c r="C2" s="165"/>
      <c r="D2" s="165"/>
      <c r="E2" s="165"/>
      <c r="F2" s="165"/>
      <c r="G2" s="165"/>
      <c r="H2" s="165"/>
      <c r="I2" s="165"/>
      <c r="J2" s="165"/>
      <c r="K2" s="191"/>
      <c r="L2" s="301" t="s">
        <v>1</v>
      </c>
      <c r="M2" s="302"/>
      <c r="N2" s="302"/>
      <c r="O2" s="302"/>
      <c r="P2" s="353" t="str">
        <f>VLOOKUP($AN$1,'plan de data'!$A$3:$AF$289,32,0)</f>
        <v>CONSÓRCIO NOVA ETE - PARQUE NOVO MUNDO</v>
      </c>
      <c r="Q2" s="353"/>
      <c r="R2" s="353"/>
      <c r="S2" s="353"/>
      <c r="T2" s="353"/>
      <c r="U2" s="353"/>
      <c r="V2" s="353"/>
      <c r="W2" s="353"/>
      <c r="X2" s="353"/>
      <c r="Y2" s="353"/>
      <c r="Z2" s="353"/>
      <c r="AA2" s="353"/>
      <c r="AB2" s="353"/>
      <c r="AC2" s="354"/>
      <c r="AD2" s="305" t="s">
        <v>3</v>
      </c>
      <c r="AE2" s="306"/>
      <c r="AF2" s="306"/>
      <c r="AG2" s="357" t="s">
        <v>166</v>
      </c>
      <c r="AH2" s="357"/>
      <c r="AI2" s="357"/>
      <c r="AJ2" s="357"/>
      <c r="AK2" s="357"/>
      <c r="AL2" s="357"/>
      <c r="AM2" s="357"/>
      <c r="AN2" s="357"/>
      <c r="AO2" s="357"/>
      <c r="AP2" s="358"/>
      <c r="AW2" t="s">
        <v>14</v>
      </c>
      <c r="BD2" t="s">
        <v>77</v>
      </c>
      <c r="BM2" t="s">
        <v>134</v>
      </c>
    </row>
    <row r="3" spans="1:83" ht="14.45" customHeight="1" thickBot="1" x14ac:dyDescent="0.3">
      <c r="B3" s="290"/>
      <c r="C3" s="291"/>
      <c r="D3" s="291"/>
      <c r="E3" s="291"/>
      <c r="F3" s="291"/>
      <c r="G3" s="291"/>
      <c r="H3" s="291"/>
      <c r="I3" s="291"/>
      <c r="J3" s="291"/>
      <c r="K3" s="292"/>
      <c r="L3" s="263" t="s">
        <v>2</v>
      </c>
      <c r="M3" s="264"/>
      <c r="N3" s="264"/>
      <c r="O3" s="264"/>
      <c r="P3" s="355" t="str">
        <f>VLOOKUP($AN$1,'plan de data'!$A$3:$AG$289,33,0)</f>
        <v>ETE - PARQUE NOVO MUNDO</v>
      </c>
      <c r="Q3" s="355"/>
      <c r="R3" s="355"/>
      <c r="S3" s="355"/>
      <c r="T3" s="355"/>
      <c r="U3" s="355"/>
      <c r="V3" s="355"/>
      <c r="W3" s="355"/>
      <c r="X3" s="355"/>
      <c r="Y3" s="355"/>
      <c r="Z3" s="355"/>
      <c r="AA3" s="355"/>
      <c r="AB3" s="355"/>
      <c r="AC3" s="355"/>
      <c r="AD3" s="355"/>
      <c r="AE3" s="355"/>
      <c r="AF3" s="355"/>
      <c r="AG3" s="355"/>
      <c r="AH3" s="355"/>
      <c r="AI3" s="355"/>
      <c r="AJ3" s="355"/>
      <c r="AK3" s="355"/>
      <c r="AL3" s="355"/>
      <c r="AM3" s="355"/>
      <c r="AN3" s="355"/>
      <c r="AO3" s="355"/>
      <c r="AP3" s="356"/>
      <c r="AW3" t="s">
        <v>76</v>
      </c>
      <c r="BD3" t="s">
        <v>7</v>
      </c>
    </row>
    <row r="4" spans="1:83" ht="5.0999999999999996" customHeight="1" thickBot="1" x14ac:dyDescent="0.3"/>
    <row r="5" spans="1:83" ht="15.95" customHeight="1" x14ac:dyDescent="0.25">
      <c r="A5" s="39" t="s">
        <v>81</v>
      </c>
      <c r="B5" s="267" t="s">
        <v>4</v>
      </c>
      <c r="C5" s="268"/>
      <c r="D5" s="268"/>
      <c r="E5" s="268"/>
      <c r="F5" s="268"/>
      <c r="G5" s="268"/>
      <c r="H5" s="269"/>
      <c r="I5" s="270" t="s">
        <v>5</v>
      </c>
      <c r="J5" s="271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  <c r="AA5" s="271"/>
      <c r="AB5" s="271"/>
      <c r="AC5" s="272"/>
      <c r="AD5" s="273" t="s">
        <v>6</v>
      </c>
      <c r="AE5" s="274"/>
      <c r="AF5" s="274"/>
      <c r="AG5" s="274"/>
      <c r="AH5" s="274"/>
      <c r="AI5" s="274"/>
      <c r="AJ5" s="274"/>
      <c r="AK5" s="274"/>
      <c r="AL5" s="274"/>
      <c r="AM5" s="274"/>
      <c r="AN5" s="274"/>
      <c r="AO5" s="274"/>
      <c r="AP5" s="275"/>
    </row>
    <row r="6" spans="1:83" ht="15.95" customHeight="1" thickBot="1" x14ac:dyDescent="0.3">
      <c r="B6" s="326">
        <f>VLOOKUP($AN$1,'plan de data'!$A$3:$B$189,2,0)</f>
        <v>45899</v>
      </c>
      <c r="C6" s="327"/>
      <c r="D6" s="327"/>
      <c r="E6" s="327"/>
      <c r="F6" s="327"/>
      <c r="G6" s="327"/>
      <c r="H6" s="328"/>
      <c r="I6" s="359" t="str">
        <f>VLOOKUP($AN$1,'plan de data'!$A$3:$AH$189,34,0)</f>
        <v>REATORES NEREDA</v>
      </c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  <c r="V6" s="360"/>
      <c r="W6" s="360"/>
      <c r="X6" s="360"/>
      <c r="Y6" s="360"/>
      <c r="Z6" s="360"/>
      <c r="AA6" s="360"/>
      <c r="AB6" s="360"/>
      <c r="AC6" s="361"/>
      <c r="AD6" s="282" t="s">
        <v>8</v>
      </c>
      <c r="AE6" s="283"/>
      <c r="AF6" s="283"/>
      <c r="AG6" s="331" t="s">
        <v>77</v>
      </c>
      <c r="AH6" s="331"/>
      <c r="AI6" s="333"/>
      <c r="AJ6" s="286" t="s">
        <v>9</v>
      </c>
      <c r="AK6" s="284"/>
      <c r="AL6" s="284"/>
      <c r="AM6" s="331" t="str">
        <f>VLOOKUP(AN1,'plan de data'!A3:$AE$500,31,0)</f>
        <v>PN-002</v>
      </c>
      <c r="AN6" s="331"/>
      <c r="AO6" s="331"/>
      <c r="AP6" s="332"/>
      <c r="AR6" s="138" t="s">
        <v>79</v>
      </c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39"/>
      <c r="BK6" s="139"/>
      <c r="BL6" s="139"/>
      <c r="BM6" s="139"/>
      <c r="BN6" s="139"/>
      <c r="BO6" s="139"/>
      <c r="BP6" s="139"/>
      <c r="BQ6" s="139"/>
      <c r="BR6" s="139"/>
      <c r="BS6" s="139"/>
      <c r="BT6" s="139"/>
      <c r="BU6" s="139"/>
      <c r="BV6" s="139"/>
      <c r="BW6" s="139"/>
      <c r="BX6" s="139"/>
      <c r="BY6" s="139"/>
      <c r="BZ6" s="139"/>
      <c r="CA6" s="140"/>
    </row>
    <row r="7" spans="1:83" ht="5.45" customHeight="1" thickBot="1" x14ac:dyDescent="0.3">
      <c r="A7" s="38" t="s">
        <v>13</v>
      </c>
    </row>
    <row r="8" spans="1:83" ht="14.1" customHeight="1" x14ac:dyDescent="0.25">
      <c r="A8" s="2" t="str">
        <f>IF($CC$9&gt;0,"X",0)</f>
        <v>X</v>
      </c>
      <c r="B8" s="250" t="s">
        <v>10</v>
      </c>
      <c r="C8" s="251"/>
      <c r="D8" s="251"/>
      <c r="E8" s="251"/>
      <c r="F8" s="251"/>
      <c r="G8" s="260" t="str">
        <f t="shared" ref="G8" si="0">IF(G9=0,"",AR8)</f>
        <v/>
      </c>
      <c r="H8" s="261"/>
      <c r="I8" s="262"/>
      <c r="J8" s="320">
        <f t="shared" ref="J8" si="1">IF(J9=0,"",AU8)</f>
        <v>2</v>
      </c>
      <c r="K8" s="321"/>
      <c r="L8" s="322"/>
      <c r="M8" s="323">
        <f t="shared" ref="M8" si="2">IF(M9=0,"",AX8)</f>
        <v>3</v>
      </c>
      <c r="N8" s="323"/>
      <c r="O8" s="323"/>
      <c r="P8" s="323">
        <f t="shared" ref="P8" si="3">IF(P9=0,"",BA8)</f>
        <v>4</v>
      </c>
      <c r="Q8" s="323"/>
      <c r="R8" s="323"/>
      <c r="S8" s="323">
        <f t="shared" ref="S8" si="4">IF(S9=0,"",BD8)</f>
        <v>5</v>
      </c>
      <c r="T8" s="323"/>
      <c r="U8" s="323"/>
      <c r="V8" s="323">
        <f t="shared" ref="V8" si="5">IF(V9=0,"",BG8)</f>
        <v>6</v>
      </c>
      <c r="W8" s="323"/>
      <c r="X8" s="323"/>
      <c r="Y8" s="323">
        <f t="shared" ref="Y8" si="6">IF(Y9=0,"",BJ8)</f>
        <v>7</v>
      </c>
      <c r="Z8" s="323"/>
      <c r="AA8" s="323"/>
      <c r="AB8" s="323">
        <f t="shared" ref="AB8" si="7">IF(AB9=0,"",BM8)</f>
        <v>8</v>
      </c>
      <c r="AC8" s="323"/>
      <c r="AD8" s="323"/>
      <c r="AE8" s="258" t="str">
        <f t="shared" ref="AE8" si="8">IF(AE9=0,"",BP8)</f>
        <v/>
      </c>
      <c r="AF8" s="258"/>
      <c r="AG8" s="258"/>
      <c r="AH8" s="258" t="str">
        <f t="shared" ref="AH8" si="9">IF(AH9=0,"",BS8)</f>
        <v/>
      </c>
      <c r="AI8" s="258"/>
      <c r="AJ8" s="258"/>
      <c r="AK8" s="258" t="str">
        <f t="shared" ref="AK8" si="10">IF(AK9=0,"",BV8)</f>
        <v/>
      </c>
      <c r="AL8" s="258"/>
      <c r="AM8" s="258"/>
      <c r="AN8" s="258" t="str">
        <f t="shared" ref="AN8" si="11">IF(AN9=0,"",BY8)</f>
        <v/>
      </c>
      <c r="AO8" s="258"/>
      <c r="AP8" s="259"/>
      <c r="AR8" s="151">
        <v>1</v>
      </c>
      <c r="AS8" s="151"/>
      <c r="AT8" s="151"/>
      <c r="AU8" s="151">
        <v>2</v>
      </c>
      <c r="AV8" s="151"/>
      <c r="AW8" s="151"/>
      <c r="AX8" s="151">
        <v>3</v>
      </c>
      <c r="AY8" s="151"/>
      <c r="AZ8" s="151"/>
      <c r="BA8" s="151">
        <v>4</v>
      </c>
      <c r="BB8" s="151"/>
      <c r="BC8" s="151"/>
      <c r="BD8" s="151">
        <v>5</v>
      </c>
      <c r="BE8" s="151"/>
      <c r="BF8" s="151"/>
      <c r="BG8" s="151">
        <v>6</v>
      </c>
      <c r="BH8" s="151"/>
      <c r="BI8" s="151"/>
      <c r="BJ8" s="151">
        <v>7</v>
      </c>
      <c r="BK8" s="151"/>
      <c r="BL8" s="151"/>
      <c r="BM8" s="151">
        <v>8</v>
      </c>
      <c r="BN8" s="151"/>
      <c r="BO8" s="151"/>
      <c r="BP8" s="151">
        <v>9</v>
      </c>
      <c r="BQ8" s="151"/>
      <c r="BR8" s="151"/>
      <c r="BS8" s="151">
        <v>10</v>
      </c>
      <c r="BT8" s="151"/>
      <c r="BU8" s="151"/>
      <c r="BV8" s="151">
        <v>11</v>
      </c>
      <c r="BW8" s="151"/>
      <c r="BX8" s="151"/>
      <c r="BY8" s="151">
        <v>12</v>
      </c>
      <c r="BZ8" s="151"/>
      <c r="CA8" s="151"/>
      <c r="CC8" s="182" t="s">
        <v>80</v>
      </c>
      <c r="CD8" s="183"/>
      <c r="CE8" s="184"/>
    </row>
    <row r="9" spans="1:83" ht="14.1" customHeight="1" x14ac:dyDescent="0.25">
      <c r="A9" s="2" t="str">
        <f t="shared" ref="A9" si="12">IF($CC$9&gt;0,"X",0)</f>
        <v>X</v>
      </c>
      <c r="B9" s="246" t="s">
        <v>11</v>
      </c>
      <c r="C9" s="247"/>
      <c r="D9" s="247"/>
      <c r="E9" s="247"/>
      <c r="F9" s="247"/>
      <c r="G9" s="253">
        <f>VLOOKUP($AN$1,'plan de data'!$A$3:$V$189,4,0)</f>
        <v>0</v>
      </c>
      <c r="H9" s="253"/>
      <c r="I9" s="253"/>
      <c r="J9" s="324" t="str">
        <f>VLOOKUP($AN$1,'plan de data'!$A$3:$V$189,6,0)</f>
        <v>PN-495</v>
      </c>
      <c r="K9" s="324"/>
      <c r="L9" s="324"/>
      <c r="M9" s="324" t="str">
        <f>VLOOKUP($AN$1,'plan de data'!$A$3:$V$189,8,0)</f>
        <v>PE-350</v>
      </c>
      <c r="N9" s="324"/>
      <c r="O9" s="324"/>
      <c r="P9" s="324" t="str">
        <f>VLOOKUP($AN$1,'plan de data'!$A$3:$V$189,10,0)</f>
        <v>PE-318</v>
      </c>
      <c r="Q9" s="324"/>
      <c r="R9" s="324"/>
      <c r="S9" s="324" t="str">
        <f>VLOOKUP($AN$1,'plan de data'!$A$3:$V$189,12,0)</f>
        <v>PN-496</v>
      </c>
      <c r="T9" s="324"/>
      <c r="U9" s="324"/>
      <c r="V9" s="324" t="str">
        <f>VLOOKUP($AN$1,'plan de data'!$A$3:$V$189,14,0)</f>
        <v>PN-498</v>
      </c>
      <c r="W9" s="324"/>
      <c r="X9" s="324"/>
      <c r="Y9" s="324" t="str">
        <f>VLOOKUP($AN$1,'plan de data'!$A$3:$V$189,16,0)</f>
        <v>PN-499</v>
      </c>
      <c r="Z9" s="324"/>
      <c r="AA9" s="324"/>
      <c r="AB9" s="324" t="str">
        <f>VLOOKUP($AN$1,'plan de data'!$A$3:$V$189,18,0)</f>
        <v>PN-500</v>
      </c>
      <c r="AC9" s="324"/>
      <c r="AD9" s="324"/>
      <c r="AE9" s="253">
        <f>VLOOKUP($AN$1,'plan de data'!$A$3:$V$189,20,0)</f>
        <v>0</v>
      </c>
      <c r="AF9" s="253"/>
      <c r="AG9" s="253"/>
      <c r="AH9" s="253">
        <f>VLOOKUP($AN$1,'plan de data'!$A$3:$AA$189,22,0)</f>
        <v>0</v>
      </c>
      <c r="AI9" s="253"/>
      <c r="AJ9" s="253"/>
      <c r="AK9" s="253">
        <f>VLOOKUP($AN$1,'plan de data'!$A$3:$AA$189,24,0)</f>
        <v>0</v>
      </c>
      <c r="AL9" s="253"/>
      <c r="AM9" s="253"/>
      <c r="AN9" s="253">
        <f>VLOOKUP($AN$1,'plan de data'!$A$3:$AA$189,26,0)</f>
        <v>0</v>
      </c>
      <c r="AO9" s="253"/>
      <c r="AP9" s="254"/>
      <c r="AR9" s="151" t="s">
        <v>58</v>
      </c>
      <c r="AS9" s="151"/>
      <c r="AT9" s="151"/>
      <c r="AU9" s="151" t="s">
        <v>58</v>
      </c>
      <c r="AV9" s="151"/>
      <c r="AW9" s="151"/>
      <c r="AX9" s="151" t="s">
        <v>58</v>
      </c>
      <c r="AY9" s="151"/>
      <c r="AZ9" s="151"/>
      <c r="BA9" s="151" t="s">
        <v>13</v>
      </c>
      <c r="BB9" s="151"/>
      <c r="BC9" s="151"/>
      <c r="BD9" s="151" t="s">
        <v>13</v>
      </c>
      <c r="BE9" s="151"/>
      <c r="BF9" s="151"/>
      <c r="BG9" s="151" t="s">
        <v>13</v>
      </c>
      <c r="BH9" s="151"/>
      <c r="BI9" s="151"/>
      <c r="BJ9" s="151" t="s">
        <v>13</v>
      </c>
      <c r="BK9" s="151"/>
      <c r="BL9" s="151"/>
      <c r="BM9" s="151" t="s">
        <v>58</v>
      </c>
      <c r="BN9" s="151"/>
      <c r="BO9" s="151"/>
      <c r="BP9" s="151"/>
      <c r="BQ9" s="151"/>
      <c r="BR9" s="151"/>
      <c r="BS9" s="151"/>
      <c r="BT9" s="151"/>
      <c r="BU9" s="151"/>
      <c r="BV9" s="151"/>
      <c r="BW9" s="151"/>
      <c r="BX9" s="151"/>
      <c r="BY9" s="151"/>
      <c r="BZ9" s="151"/>
      <c r="CA9" s="151"/>
      <c r="CC9" s="178">
        <f>COUNTIF(AR9:CA9,"X")</f>
        <v>8</v>
      </c>
      <c r="CD9" s="179"/>
      <c r="CE9" s="180"/>
    </row>
    <row r="10" spans="1:83" ht="14.1" customHeight="1" x14ac:dyDescent="0.25">
      <c r="A10" s="2"/>
      <c r="B10" s="255" t="s">
        <v>154</v>
      </c>
      <c r="C10" s="256"/>
      <c r="D10" s="256"/>
      <c r="E10" s="256"/>
      <c r="F10" s="257"/>
      <c r="G10" s="253">
        <f>IF(G9="","",VLOOKUP($AN$1,'plan de data'!$A$3:$V$189,5,0))</f>
        <v>0</v>
      </c>
      <c r="H10" s="253"/>
      <c r="I10" s="253"/>
      <c r="J10" s="324" t="str">
        <f>VLOOKUP($AN$1,'plan de data'!$A$3:$V$189,7,0)</f>
        <v>P</v>
      </c>
      <c r="K10" s="324"/>
      <c r="L10" s="324"/>
      <c r="M10" s="324" t="str">
        <f>VLOOKUP($AN$1,'plan de data'!$A$3:$V$189,9,0)</f>
        <v>T3</v>
      </c>
      <c r="N10" s="324"/>
      <c r="O10" s="324"/>
      <c r="P10" s="324" t="str">
        <f>VLOOKUP($AN$1,'plan de data'!$A$3:$V$189,11,0)</f>
        <v>T2</v>
      </c>
      <c r="Q10" s="324"/>
      <c r="R10" s="324"/>
      <c r="S10" s="324" t="str">
        <f>VLOOKUP($AN$1,'plan de data'!$A$3:$V$189,13,0)</f>
        <v>P</v>
      </c>
      <c r="T10" s="324"/>
      <c r="U10" s="324"/>
      <c r="V10" s="324" t="str">
        <f>VLOOKUP($AN$1,'plan de data'!$A$3:$V$189,15,0)</f>
        <v>P</v>
      </c>
      <c r="W10" s="324"/>
      <c r="X10" s="324"/>
      <c r="Y10" s="324" t="str">
        <f>VLOOKUP($AN$1,'plan de data'!$A$3:$V$189,17,0)</f>
        <v>P</v>
      </c>
      <c r="Z10" s="324"/>
      <c r="AA10" s="324"/>
      <c r="AB10" s="324" t="str">
        <f>VLOOKUP($AN$1,'plan de data'!$A$3:$V$189,19,0)</f>
        <v>P</v>
      </c>
      <c r="AC10" s="324"/>
      <c r="AD10" s="324"/>
      <c r="AE10" s="253">
        <f>VLOOKUP($AN$1,'plan de data'!$A$3:$V$189,21,0)</f>
        <v>0</v>
      </c>
      <c r="AF10" s="253"/>
      <c r="AG10" s="253"/>
      <c r="AH10" s="253">
        <f>VLOOKUP($AN$1,'plan de data'!$A$3:$V$189,21,0)</f>
        <v>0</v>
      </c>
      <c r="AI10" s="253"/>
      <c r="AJ10" s="253"/>
      <c r="AK10" s="253">
        <f>VLOOKUP($AN$1,'plan de data'!$A$3:$V$189,21,0)</f>
        <v>0</v>
      </c>
      <c r="AL10" s="253"/>
      <c r="AM10" s="253"/>
      <c r="AN10" s="253">
        <f>VLOOKUP($AN$1,'plan de data'!$A$3:$V$189,21,0)</f>
        <v>0</v>
      </c>
      <c r="AO10" s="253"/>
      <c r="AP10" s="254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C10" s="79"/>
      <c r="CD10" s="79"/>
      <c r="CE10" s="79"/>
    </row>
    <row r="11" spans="1:83" ht="13.9" customHeight="1" thickBot="1" x14ac:dyDescent="0.3">
      <c r="A11" s="2" t="str">
        <f>IF($CC$9&gt;0,"X",0)</f>
        <v>X</v>
      </c>
      <c r="B11" s="242" t="s">
        <v>12</v>
      </c>
      <c r="C11" s="243"/>
      <c r="D11" s="243"/>
      <c r="E11" s="243"/>
      <c r="F11" s="243"/>
      <c r="G11" s="252"/>
      <c r="H11" s="252"/>
      <c r="I11" s="252"/>
      <c r="J11" s="325" t="str">
        <f t="shared" ref="J11" si="13">IF(J10="","",IF(J10="P","Normal","Especial"))</f>
        <v>Normal</v>
      </c>
      <c r="K11" s="325"/>
      <c r="L11" s="325"/>
      <c r="M11" s="325" t="str">
        <f t="shared" ref="M11" si="14">IF(M10="","",IF(M10="P","Normal","Especial"))</f>
        <v>Especial</v>
      </c>
      <c r="N11" s="325"/>
      <c r="O11" s="325"/>
      <c r="P11" s="325" t="str">
        <f t="shared" ref="P11" si="15">IF(P10="","",IF(P10="P","Normal","Especial"))</f>
        <v>Especial</v>
      </c>
      <c r="Q11" s="325"/>
      <c r="R11" s="325"/>
      <c r="S11" s="325" t="str">
        <f t="shared" ref="S11" si="16">IF(S10="","",IF(S10="P","Normal","Especial"))</f>
        <v>Normal</v>
      </c>
      <c r="T11" s="325"/>
      <c r="U11" s="325"/>
      <c r="V11" s="325" t="str">
        <f t="shared" ref="V11" si="17">IF(V10="","",IF(V10="P","Normal","Especial"))</f>
        <v>Normal</v>
      </c>
      <c r="W11" s="325"/>
      <c r="X11" s="325"/>
      <c r="Y11" s="325" t="str">
        <f t="shared" ref="Y11" si="18">IF(Y10="","",IF(Y10="P","Normal","Especial"))</f>
        <v>Normal</v>
      </c>
      <c r="Z11" s="325"/>
      <c r="AA11" s="325"/>
      <c r="AB11" s="325" t="str">
        <f t="shared" ref="AB11" si="19">IF(AB10="","",IF(AB10="P","Normal","Especial"))</f>
        <v>Normal</v>
      </c>
      <c r="AC11" s="325"/>
      <c r="AD11" s="325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2"/>
    </row>
    <row r="12" spans="1:83" ht="3" customHeight="1" x14ac:dyDescent="0.25">
      <c r="A12" t="str">
        <f>IF($CC$9&gt;0,"X",0)</f>
        <v>X</v>
      </c>
    </row>
    <row r="13" spans="1:83" ht="14.1" hidden="1" customHeight="1" x14ac:dyDescent="0.25">
      <c r="A13" s="2">
        <f>IF($CC$14&gt;0,"X",0)</f>
        <v>0</v>
      </c>
      <c r="B13" s="250" t="s">
        <v>10</v>
      </c>
      <c r="C13" s="251"/>
      <c r="D13" s="251"/>
      <c r="E13" s="251"/>
      <c r="F13" s="251"/>
      <c r="G13" s="248">
        <f>IF(AR14="X",AR13,0)</f>
        <v>0</v>
      </c>
      <c r="H13" s="248"/>
      <c r="I13" s="248"/>
      <c r="J13" s="248">
        <f t="shared" ref="J13" si="20">IF(AU14="X",AU13,0)</f>
        <v>0</v>
      </c>
      <c r="K13" s="248"/>
      <c r="L13" s="248"/>
      <c r="M13" s="248">
        <f t="shared" ref="M13" si="21">IF(AX14="X",AX13,0)</f>
        <v>0</v>
      </c>
      <c r="N13" s="248"/>
      <c r="O13" s="248"/>
      <c r="P13" s="248">
        <f t="shared" ref="P13" si="22">IF(BA14="X",BA13,0)</f>
        <v>0</v>
      </c>
      <c r="Q13" s="248"/>
      <c r="R13" s="248"/>
      <c r="S13" s="248">
        <f t="shared" ref="S13" si="23">IF(BD14="X",BD13,0)</f>
        <v>0</v>
      </c>
      <c r="T13" s="248"/>
      <c r="U13" s="248"/>
      <c r="V13" s="248">
        <f t="shared" ref="V13" si="24">IF(BG14="X",BG13,0)</f>
        <v>0</v>
      </c>
      <c r="W13" s="248"/>
      <c r="X13" s="248"/>
      <c r="Y13" s="248">
        <f t="shared" ref="Y13" si="25">IF(BJ14="X",BJ13,0)</f>
        <v>0</v>
      </c>
      <c r="Z13" s="248"/>
      <c r="AA13" s="248"/>
      <c r="AB13" s="248">
        <f t="shared" ref="AB13" si="26">IF(BM14="X",BM13,0)</f>
        <v>0</v>
      </c>
      <c r="AC13" s="248"/>
      <c r="AD13" s="248"/>
      <c r="AE13" s="248">
        <f t="shared" ref="AE13" si="27">IF(BP14="X",BP13,0)</f>
        <v>0</v>
      </c>
      <c r="AF13" s="248"/>
      <c r="AG13" s="248"/>
      <c r="AH13" s="248">
        <f t="shared" ref="AH13" si="28">IF(BS14="X",BS13,0)</f>
        <v>0</v>
      </c>
      <c r="AI13" s="248"/>
      <c r="AJ13" s="248"/>
      <c r="AK13" s="248">
        <f t="shared" ref="AK13" si="29">IF(BV14="X",BV13,0)</f>
        <v>0</v>
      </c>
      <c r="AL13" s="248"/>
      <c r="AM13" s="248"/>
      <c r="AN13" s="248">
        <f t="shared" ref="AN13" si="30">IF(BY14="X",BY13,0)</f>
        <v>0</v>
      </c>
      <c r="AO13" s="248"/>
      <c r="AP13" s="249"/>
      <c r="AR13" s="151">
        <v>13</v>
      </c>
      <c r="AS13" s="151"/>
      <c r="AT13" s="151"/>
      <c r="AU13" s="151">
        <v>14</v>
      </c>
      <c r="AV13" s="151"/>
      <c r="AW13" s="151"/>
      <c r="AX13" s="151">
        <v>15</v>
      </c>
      <c r="AY13" s="151"/>
      <c r="AZ13" s="151"/>
      <c r="BA13" s="151">
        <v>16</v>
      </c>
      <c r="BB13" s="151"/>
      <c r="BC13" s="151"/>
      <c r="BD13" s="151">
        <v>17</v>
      </c>
      <c r="BE13" s="151"/>
      <c r="BF13" s="151"/>
      <c r="BG13" s="151">
        <v>18</v>
      </c>
      <c r="BH13" s="151"/>
      <c r="BI13" s="151"/>
      <c r="BJ13" s="151">
        <v>19</v>
      </c>
      <c r="BK13" s="151"/>
      <c r="BL13" s="151"/>
      <c r="BM13" s="151">
        <v>20</v>
      </c>
      <c r="BN13" s="151"/>
      <c r="BO13" s="151"/>
      <c r="BP13" s="151">
        <v>21</v>
      </c>
      <c r="BQ13" s="151"/>
      <c r="BR13" s="151"/>
      <c r="BS13" s="151">
        <v>22</v>
      </c>
      <c r="BT13" s="151"/>
      <c r="BU13" s="151"/>
      <c r="BV13" s="151">
        <v>23</v>
      </c>
      <c r="BW13" s="151"/>
      <c r="BX13" s="151"/>
      <c r="BY13" s="151">
        <v>24</v>
      </c>
      <c r="BZ13" s="151"/>
      <c r="CA13" s="151"/>
      <c r="CC13" s="182" t="s">
        <v>80</v>
      </c>
      <c r="CD13" s="183"/>
      <c r="CE13" s="184"/>
    </row>
    <row r="14" spans="1:83" ht="14.1" hidden="1" customHeight="1" x14ac:dyDescent="0.25">
      <c r="A14" s="2">
        <f t="shared" ref="A14" si="31">IF($CC$14&gt;0,"X",0)</f>
        <v>0</v>
      </c>
      <c r="B14" s="246" t="s">
        <v>11</v>
      </c>
      <c r="C14" s="247"/>
      <c r="D14" s="247"/>
      <c r="E14" s="247"/>
      <c r="F14" s="247"/>
      <c r="G14" s="244"/>
      <c r="H14" s="244"/>
      <c r="I14" s="244"/>
      <c r="J14" s="244"/>
      <c r="K14" s="244"/>
      <c r="L14" s="244"/>
      <c r="M14" s="244"/>
      <c r="N14" s="244"/>
      <c r="O14" s="244"/>
      <c r="P14" s="244"/>
      <c r="Q14" s="244"/>
      <c r="R14" s="244"/>
      <c r="S14" s="244"/>
      <c r="T14" s="244"/>
      <c r="U14" s="244"/>
      <c r="V14" s="244"/>
      <c r="W14" s="244"/>
      <c r="X14" s="244"/>
      <c r="Y14" s="244"/>
      <c r="Z14" s="244"/>
      <c r="AA14" s="244"/>
      <c r="AB14" s="244"/>
      <c r="AC14" s="244"/>
      <c r="AD14" s="244"/>
      <c r="AE14" s="244"/>
      <c r="AF14" s="244"/>
      <c r="AG14" s="244"/>
      <c r="AH14" s="244"/>
      <c r="AI14" s="244"/>
      <c r="AJ14" s="244"/>
      <c r="AK14" s="244"/>
      <c r="AL14" s="244"/>
      <c r="AM14" s="244"/>
      <c r="AN14" s="244"/>
      <c r="AO14" s="244"/>
      <c r="AP14" s="245"/>
      <c r="AR14" s="151"/>
      <c r="AS14" s="151"/>
      <c r="AT14" s="151"/>
      <c r="AU14" s="151"/>
      <c r="AV14" s="151"/>
      <c r="AW14" s="151"/>
      <c r="AX14" s="151"/>
      <c r="AY14" s="151"/>
      <c r="AZ14" s="151"/>
      <c r="BA14" s="151"/>
      <c r="BB14" s="151"/>
      <c r="BC14" s="151"/>
      <c r="BD14" s="151"/>
      <c r="BE14" s="151"/>
      <c r="BF14" s="151"/>
      <c r="BG14" s="151"/>
      <c r="BH14" s="151"/>
      <c r="BI14" s="151"/>
      <c r="BJ14" s="151"/>
      <c r="BK14" s="151"/>
      <c r="BL14" s="151"/>
      <c r="BM14" s="151"/>
      <c r="BN14" s="151"/>
      <c r="BO14" s="151"/>
      <c r="BP14" s="151"/>
      <c r="BQ14" s="151"/>
      <c r="BR14" s="151"/>
      <c r="BS14" s="151"/>
      <c r="BT14" s="151"/>
      <c r="BU14" s="151"/>
      <c r="BV14" s="151"/>
      <c r="BW14" s="151"/>
      <c r="BX14" s="151"/>
      <c r="BY14" s="151"/>
      <c r="BZ14" s="151"/>
      <c r="CA14" s="151"/>
      <c r="CC14" s="178">
        <f>COUNTIF(AR14:CA14,"X")</f>
        <v>0</v>
      </c>
      <c r="CD14" s="179"/>
      <c r="CE14" s="180"/>
    </row>
    <row r="15" spans="1:83" ht="14.1" hidden="1" customHeight="1" thickBot="1" x14ac:dyDescent="0.3">
      <c r="A15" s="2">
        <f>IF($CC$14&gt;0,"X",0)</f>
        <v>0</v>
      </c>
      <c r="B15" s="242" t="s">
        <v>12</v>
      </c>
      <c r="C15" s="243"/>
      <c r="D15" s="243"/>
      <c r="E15" s="243"/>
      <c r="F15" s="243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  <c r="AO15" s="240"/>
      <c r="AP15" s="241"/>
    </row>
    <row r="16" spans="1:83" ht="3" hidden="1" customHeight="1" thickBot="1" x14ac:dyDescent="0.3">
      <c r="A16">
        <f>IF($CC$14&gt;0,"X",0)</f>
        <v>0</v>
      </c>
    </row>
    <row r="17" spans="1:83" ht="14.1" hidden="1" customHeight="1" x14ac:dyDescent="0.25">
      <c r="A17" s="2">
        <f>IF($CC$18&gt;0,"X",0)</f>
        <v>0</v>
      </c>
      <c r="B17" s="250" t="s">
        <v>10</v>
      </c>
      <c r="C17" s="251"/>
      <c r="D17" s="251"/>
      <c r="E17" s="251"/>
      <c r="F17" s="251"/>
      <c r="G17" s="248">
        <f>IF(AR18="X",AR17,0)</f>
        <v>0</v>
      </c>
      <c r="H17" s="248"/>
      <c r="I17" s="248"/>
      <c r="J17" s="248">
        <f t="shared" ref="J17" si="32">IF(AU18="X",AU17,0)</f>
        <v>0</v>
      </c>
      <c r="K17" s="248"/>
      <c r="L17" s="248"/>
      <c r="M17" s="248">
        <f t="shared" ref="M17" si="33">IF(AX18="X",AX17,0)</f>
        <v>0</v>
      </c>
      <c r="N17" s="248"/>
      <c r="O17" s="248"/>
      <c r="P17" s="248">
        <f t="shared" ref="P17" si="34">IF(BA18="X",BA17,0)</f>
        <v>0</v>
      </c>
      <c r="Q17" s="248"/>
      <c r="R17" s="248"/>
      <c r="S17" s="248">
        <f t="shared" ref="S17" si="35">IF(BD18="X",BD17,0)</f>
        <v>0</v>
      </c>
      <c r="T17" s="248"/>
      <c r="U17" s="248"/>
      <c r="V17" s="248">
        <f t="shared" ref="V17" si="36">IF(BG18="X",BG17,0)</f>
        <v>0</v>
      </c>
      <c r="W17" s="248"/>
      <c r="X17" s="248"/>
      <c r="Y17" s="248">
        <f t="shared" ref="Y17" si="37">IF(BJ18="X",BJ17,0)</f>
        <v>0</v>
      </c>
      <c r="Z17" s="248"/>
      <c r="AA17" s="248"/>
      <c r="AB17" s="248">
        <f t="shared" ref="AB17" si="38">IF(BM18="X",BM17,0)</f>
        <v>0</v>
      </c>
      <c r="AC17" s="248"/>
      <c r="AD17" s="248"/>
      <c r="AE17" s="248">
        <f t="shared" ref="AE17" si="39">IF(BP18="X",BP17,0)</f>
        <v>0</v>
      </c>
      <c r="AF17" s="248"/>
      <c r="AG17" s="248"/>
      <c r="AH17" s="248">
        <f t="shared" ref="AH17" si="40">IF(BS18="X",BS17,0)</f>
        <v>0</v>
      </c>
      <c r="AI17" s="248"/>
      <c r="AJ17" s="248"/>
      <c r="AK17" s="248">
        <f t="shared" ref="AK17" si="41">IF(BV18="X",BV17,0)</f>
        <v>0</v>
      </c>
      <c r="AL17" s="248"/>
      <c r="AM17" s="248"/>
      <c r="AN17" s="248">
        <f t="shared" ref="AN17" si="42">IF(BY18="X",BY17,0)</f>
        <v>0</v>
      </c>
      <c r="AO17" s="248"/>
      <c r="AP17" s="249"/>
      <c r="AR17" s="151">
        <v>25</v>
      </c>
      <c r="AS17" s="151"/>
      <c r="AT17" s="151"/>
      <c r="AU17" s="151">
        <v>26</v>
      </c>
      <c r="AV17" s="151"/>
      <c r="AW17" s="151"/>
      <c r="AX17" s="151">
        <v>27</v>
      </c>
      <c r="AY17" s="151"/>
      <c r="AZ17" s="151"/>
      <c r="BA17" s="151">
        <v>28</v>
      </c>
      <c r="BB17" s="151"/>
      <c r="BC17" s="151"/>
      <c r="BD17" s="151">
        <v>29</v>
      </c>
      <c r="BE17" s="151"/>
      <c r="BF17" s="151"/>
      <c r="BG17" s="151">
        <v>30</v>
      </c>
      <c r="BH17" s="151"/>
      <c r="BI17" s="151"/>
      <c r="BJ17" s="151">
        <v>31</v>
      </c>
      <c r="BK17" s="151"/>
      <c r="BL17" s="151"/>
      <c r="BM17" s="151">
        <v>32</v>
      </c>
      <c r="BN17" s="151"/>
      <c r="BO17" s="151"/>
      <c r="BP17" s="151">
        <v>33</v>
      </c>
      <c r="BQ17" s="151"/>
      <c r="BR17" s="151"/>
      <c r="BS17" s="151">
        <v>34</v>
      </c>
      <c r="BT17" s="151"/>
      <c r="BU17" s="151"/>
      <c r="BV17" s="151">
        <v>35</v>
      </c>
      <c r="BW17" s="151"/>
      <c r="BX17" s="151"/>
      <c r="BY17" s="151">
        <v>36</v>
      </c>
      <c r="BZ17" s="151"/>
      <c r="CA17" s="151"/>
      <c r="CC17" s="182" t="s">
        <v>80</v>
      </c>
      <c r="CD17" s="183"/>
      <c r="CE17" s="184"/>
    </row>
    <row r="18" spans="1:83" ht="14.1" hidden="1" customHeight="1" x14ac:dyDescent="0.25">
      <c r="A18" s="2">
        <f t="shared" ref="A18:A19" si="43">IF($CC$18&gt;0,"X",0)</f>
        <v>0</v>
      </c>
      <c r="B18" s="246" t="s">
        <v>11</v>
      </c>
      <c r="C18" s="247"/>
      <c r="D18" s="247"/>
      <c r="E18" s="247"/>
      <c r="F18" s="247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44"/>
      <c r="Y18" s="244"/>
      <c r="Z18" s="244"/>
      <c r="AA18" s="244"/>
      <c r="AB18" s="244"/>
      <c r="AC18" s="244"/>
      <c r="AD18" s="244"/>
      <c r="AE18" s="244"/>
      <c r="AF18" s="244"/>
      <c r="AG18" s="244"/>
      <c r="AH18" s="244"/>
      <c r="AI18" s="244"/>
      <c r="AJ18" s="244"/>
      <c r="AK18" s="244"/>
      <c r="AL18" s="244"/>
      <c r="AM18" s="244"/>
      <c r="AN18" s="244"/>
      <c r="AO18" s="244"/>
      <c r="AP18" s="245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  <c r="BB18" s="151"/>
      <c r="BC18" s="151"/>
      <c r="BD18" s="151"/>
      <c r="BE18" s="151"/>
      <c r="BF18" s="151"/>
      <c r="BG18" s="151"/>
      <c r="BH18" s="151"/>
      <c r="BI18" s="151"/>
      <c r="BJ18" s="151"/>
      <c r="BK18" s="151"/>
      <c r="BL18" s="151"/>
      <c r="BM18" s="151"/>
      <c r="BN18" s="151"/>
      <c r="BO18" s="151"/>
      <c r="BP18" s="151"/>
      <c r="BQ18" s="151"/>
      <c r="BR18" s="151"/>
      <c r="BS18" s="151"/>
      <c r="BT18" s="151"/>
      <c r="BU18" s="151"/>
      <c r="BV18" s="151"/>
      <c r="BW18" s="151"/>
      <c r="BX18" s="151"/>
      <c r="BY18" s="151"/>
      <c r="BZ18" s="151"/>
      <c r="CA18" s="151"/>
      <c r="CC18" s="178">
        <f>COUNTIF(AR18:CA18,"X")</f>
        <v>0</v>
      </c>
      <c r="CD18" s="179"/>
      <c r="CE18" s="180"/>
    </row>
    <row r="19" spans="1:83" ht="14.1" hidden="1" customHeight="1" thickBot="1" x14ac:dyDescent="0.3">
      <c r="A19" s="2">
        <f t="shared" si="43"/>
        <v>0</v>
      </c>
      <c r="B19" s="242" t="s">
        <v>12</v>
      </c>
      <c r="C19" s="243"/>
      <c r="D19" s="243"/>
      <c r="E19" s="243"/>
      <c r="F19" s="243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  <c r="AH19" s="240"/>
      <c r="AI19" s="240"/>
      <c r="AJ19" s="240"/>
      <c r="AK19" s="240"/>
      <c r="AL19" s="240"/>
      <c r="AM19" s="240"/>
      <c r="AN19" s="240"/>
      <c r="AO19" s="240"/>
      <c r="AP19" s="241"/>
    </row>
    <row r="20" spans="1:83" ht="3" customHeight="1" thickBot="1" x14ac:dyDescent="0.3"/>
    <row r="21" spans="1:83" ht="14.1" customHeight="1" x14ac:dyDescent="0.25">
      <c r="B21" s="157" t="s">
        <v>15</v>
      </c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9"/>
      <c r="AE21" s="160" t="s">
        <v>16</v>
      </c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2"/>
    </row>
    <row r="22" spans="1:83" ht="14.1" customHeight="1" x14ac:dyDescent="0.25">
      <c r="B22" s="16"/>
      <c r="C22" s="113" t="s">
        <v>85</v>
      </c>
      <c r="D22" s="6"/>
      <c r="E22" s="5"/>
      <c r="F22" s="5"/>
      <c r="G22" s="5"/>
      <c r="H22" s="5"/>
      <c r="I22" s="5"/>
      <c r="J22" s="5"/>
      <c r="K22" s="6"/>
      <c r="L22" s="6"/>
      <c r="M22" s="6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8"/>
      <c r="AE22" s="2"/>
      <c r="AF22" s="3"/>
      <c r="AG22" s="91" t="s">
        <v>58</v>
      </c>
      <c r="AH22" s="44" t="s">
        <v>17</v>
      </c>
      <c r="AI22" s="45"/>
      <c r="AJ22" s="46"/>
      <c r="AK22" s="47"/>
      <c r="AL22" s="48"/>
      <c r="AM22" s="44" t="s">
        <v>18</v>
      </c>
      <c r="AN22" s="45"/>
      <c r="AO22" s="14"/>
      <c r="AP22" s="17"/>
    </row>
    <row r="23" spans="1:83" ht="14.1" customHeight="1" x14ac:dyDescent="0.25">
      <c r="B23" s="18"/>
      <c r="C23" s="10" t="s">
        <v>63</v>
      </c>
      <c r="D23" s="10"/>
      <c r="E23" s="9"/>
      <c r="F23" s="9"/>
      <c r="G23" s="9"/>
      <c r="H23" s="9"/>
      <c r="I23" s="9"/>
      <c r="J23" s="9"/>
      <c r="K23" s="10"/>
      <c r="L23" s="10"/>
      <c r="M23" s="10"/>
      <c r="AD23" s="11"/>
      <c r="AE23" s="138" t="s">
        <v>65</v>
      </c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64"/>
    </row>
    <row r="24" spans="1:83" ht="14.1" customHeight="1" x14ac:dyDescent="0.25">
      <c r="B24" s="19"/>
      <c r="C24" t="s">
        <v>113</v>
      </c>
      <c r="AD24" s="1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216"/>
    </row>
    <row r="25" spans="1:83" ht="14.1" customHeight="1" x14ac:dyDescent="0.25">
      <c r="B25" s="239" t="s">
        <v>64</v>
      </c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1"/>
      <c r="AE25" s="138" t="s">
        <v>19</v>
      </c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64"/>
    </row>
    <row r="26" spans="1:83" ht="14.1" customHeight="1" thickBot="1" x14ac:dyDescent="0.3">
      <c r="B26" s="213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  <c r="Y26" s="214"/>
      <c r="Z26" s="214"/>
      <c r="AA26" s="214"/>
      <c r="AB26" s="214"/>
      <c r="AC26" s="214"/>
      <c r="AD26" s="215"/>
      <c r="AE26" s="49"/>
      <c r="AF26" s="21" t="s">
        <v>20</v>
      </c>
      <c r="AG26" s="21"/>
      <c r="AH26" s="21"/>
      <c r="AI26" s="49"/>
      <c r="AJ26" s="21" t="s">
        <v>21</v>
      </c>
      <c r="AK26" s="21"/>
      <c r="AL26" s="21"/>
      <c r="AM26" s="49"/>
      <c r="AN26" s="21" t="s">
        <v>22</v>
      </c>
      <c r="AO26" s="21"/>
      <c r="AP26" s="22"/>
    </row>
    <row r="27" spans="1:83" ht="3.95" customHeight="1" thickBot="1" x14ac:dyDescent="0.3"/>
    <row r="28" spans="1:83" ht="14.1" customHeight="1" x14ac:dyDescent="0.25">
      <c r="B28" s="157" t="s">
        <v>23</v>
      </c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 t="s">
        <v>93</v>
      </c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9"/>
      <c r="AE28" s="160" t="s">
        <v>16</v>
      </c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2"/>
    </row>
    <row r="29" spans="1:83" ht="14.1" customHeight="1" x14ac:dyDescent="0.25">
      <c r="B29" s="310" t="s">
        <v>235</v>
      </c>
      <c r="C29" s="311"/>
      <c r="D29" s="311"/>
      <c r="E29" s="311"/>
      <c r="F29" s="311"/>
      <c r="G29" s="312" t="s">
        <v>399</v>
      </c>
      <c r="H29" s="312"/>
      <c r="I29" s="312"/>
      <c r="J29" s="312"/>
      <c r="K29" s="312"/>
      <c r="L29" s="312"/>
      <c r="M29" s="312"/>
      <c r="N29" s="312"/>
      <c r="O29" s="312"/>
      <c r="P29" s="312"/>
      <c r="Q29" s="312"/>
      <c r="R29" s="312"/>
      <c r="S29" s="312"/>
      <c r="T29" s="312"/>
      <c r="U29" s="312"/>
      <c r="V29" s="312"/>
      <c r="W29" s="312"/>
      <c r="X29" s="313"/>
      <c r="Y29" s="230" t="s">
        <v>75</v>
      </c>
      <c r="Z29" s="231"/>
      <c r="AA29" s="231"/>
      <c r="AB29" s="231"/>
      <c r="AC29" s="231"/>
      <c r="AD29" s="232"/>
      <c r="AE29" s="2"/>
      <c r="AF29" s="3"/>
      <c r="AG29" s="91" t="s">
        <v>58</v>
      </c>
      <c r="AH29" s="44" t="s">
        <v>17</v>
      </c>
      <c r="AI29" s="45"/>
      <c r="AJ29" s="46"/>
      <c r="AK29" s="47"/>
      <c r="AL29" s="48"/>
      <c r="AM29" s="44" t="s">
        <v>18</v>
      </c>
      <c r="AN29" s="45"/>
      <c r="AO29" s="14"/>
      <c r="AP29" s="17"/>
    </row>
    <row r="30" spans="1:83" ht="14.1" customHeight="1" x14ac:dyDescent="0.25">
      <c r="B30" s="314" t="s">
        <v>398</v>
      </c>
      <c r="C30" s="315"/>
      <c r="D30" s="315"/>
      <c r="E30" s="315"/>
      <c r="F30" s="315"/>
      <c r="G30" s="315"/>
      <c r="H30" s="315"/>
      <c r="I30" s="315"/>
      <c r="J30" s="315"/>
      <c r="K30" s="315"/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15"/>
      <c r="X30" s="316"/>
      <c r="Y30" s="233"/>
      <c r="Z30" s="234"/>
      <c r="AA30" s="234"/>
      <c r="AB30" s="234"/>
      <c r="AC30" s="234"/>
      <c r="AD30" s="235"/>
      <c r="AE30" s="138" t="s">
        <v>65</v>
      </c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64"/>
    </row>
    <row r="31" spans="1:83" ht="14.1" customHeight="1" x14ac:dyDescent="0.25">
      <c r="B31" s="314" t="s">
        <v>401</v>
      </c>
      <c r="C31" s="315"/>
      <c r="D31" s="315"/>
      <c r="E31" s="315"/>
      <c r="F31" s="315"/>
      <c r="G31" s="315"/>
      <c r="H31" s="315"/>
      <c r="I31" s="315"/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5"/>
      <c r="U31" s="315"/>
      <c r="V31" s="315"/>
      <c r="W31" s="315"/>
      <c r="X31" s="316"/>
      <c r="Y31" s="233"/>
      <c r="Z31" s="234"/>
      <c r="AA31" s="234"/>
      <c r="AB31" s="234"/>
      <c r="AC31" s="234"/>
      <c r="AD31" s="235"/>
      <c r="AE31" s="138"/>
      <c r="AF31" s="140"/>
      <c r="AG31" s="138"/>
      <c r="AH31" s="140"/>
      <c r="AI31" s="138"/>
      <c r="AJ31" s="140"/>
      <c r="AK31" s="138"/>
      <c r="AL31" s="140"/>
      <c r="AM31" s="138"/>
      <c r="AN31" s="140"/>
      <c r="AO31" s="138"/>
      <c r="AP31" s="140"/>
    </row>
    <row r="32" spans="1:83" ht="14.1" customHeight="1" x14ac:dyDescent="0.25">
      <c r="B32" s="314" t="s">
        <v>400</v>
      </c>
      <c r="C32" s="315"/>
      <c r="D32" s="315"/>
      <c r="E32" s="315"/>
      <c r="F32" s="315"/>
      <c r="G32" s="315"/>
      <c r="H32" s="315"/>
      <c r="I32" s="315"/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15"/>
      <c r="X32" s="316"/>
      <c r="Y32" s="233"/>
      <c r="Z32" s="234"/>
      <c r="AA32" s="234"/>
      <c r="AB32" s="234"/>
      <c r="AC32" s="234"/>
      <c r="AD32" s="235"/>
      <c r="AE32" s="138"/>
      <c r="AF32" s="140"/>
      <c r="AG32" s="138"/>
      <c r="AH32" s="140"/>
      <c r="AI32" s="138"/>
      <c r="AJ32" s="140"/>
      <c r="AK32" s="138"/>
      <c r="AL32" s="140"/>
      <c r="AM32" s="138"/>
      <c r="AN32" s="140"/>
      <c r="AO32" s="138"/>
      <c r="AP32" s="140"/>
    </row>
    <row r="33" spans="1:101" ht="14.1" customHeight="1" x14ac:dyDescent="0.25">
      <c r="B33" s="317" t="s">
        <v>402</v>
      </c>
      <c r="C33" s="318"/>
      <c r="D33" s="318"/>
      <c r="E33" s="318"/>
      <c r="F33" s="318"/>
      <c r="G33" s="318"/>
      <c r="H33" s="318"/>
      <c r="I33" s="318"/>
      <c r="J33" s="318"/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9"/>
      <c r="Y33" s="236"/>
      <c r="Z33" s="237"/>
      <c r="AA33" s="237"/>
      <c r="AB33" s="237"/>
      <c r="AC33" s="237"/>
      <c r="AD33" s="238"/>
      <c r="AE33" s="59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60"/>
    </row>
    <row r="34" spans="1:101" x14ac:dyDescent="0.25">
      <c r="B34" s="196" t="s">
        <v>64</v>
      </c>
      <c r="C34" s="183"/>
      <c r="D34" s="183"/>
      <c r="E34" s="183"/>
      <c r="F34" s="183"/>
      <c r="G34" s="183"/>
      <c r="H34" s="183"/>
      <c r="I34" s="183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1"/>
      <c r="AE34" s="138" t="s">
        <v>19</v>
      </c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64"/>
    </row>
    <row r="35" spans="1:101" ht="14.1" customHeight="1" thickBot="1" x14ac:dyDescent="0.3">
      <c r="B35" s="213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214"/>
      <c r="Y35" s="214"/>
      <c r="Z35" s="214"/>
      <c r="AA35" s="214"/>
      <c r="AB35" s="214"/>
      <c r="AC35" s="214"/>
      <c r="AD35" s="215"/>
      <c r="AE35" s="49"/>
      <c r="AF35" s="21" t="s">
        <v>20</v>
      </c>
      <c r="AG35" s="21"/>
      <c r="AH35" s="21"/>
      <c r="AI35" s="49"/>
      <c r="AJ35" s="21" t="s">
        <v>21</v>
      </c>
      <c r="AK35" s="21"/>
      <c r="AL35" s="21"/>
      <c r="AM35" s="49"/>
      <c r="AN35" s="21" t="s">
        <v>22</v>
      </c>
      <c r="AO35" s="21"/>
      <c r="AP35" s="22"/>
    </row>
    <row r="36" spans="1:101" ht="3.95" customHeight="1" thickBot="1" x14ac:dyDescent="0.3"/>
    <row r="37" spans="1:101" ht="14.1" customHeight="1" x14ac:dyDescent="0.25">
      <c r="B37" s="222" t="s">
        <v>24</v>
      </c>
      <c r="C37" s="223"/>
      <c r="D37" s="223"/>
      <c r="E37" s="223"/>
      <c r="F37" s="223"/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3"/>
      <c r="AA37" s="223"/>
      <c r="AB37" s="223"/>
      <c r="AC37" s="223"/>
      <c r="AD37" s="224"/>
      <c r="AE37" s="160" t="s">
        <v>16</v>
      </c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2"/>
      <c r="AV37" s="182" t="s">
        <v>102</v>
      </c>
      <c r="AW37" s="183"/>
      <c r="AX37" s="183"/>
      <c r="AY37" s="182" t="s">
        <v>103</v>
      </c>
      <c r="AZ37" s="183"/>
      <c r="BA37" s="183"/>
      <c r="BB37" s="184"/>
      <c r="CQ37" s="182" t="s">
        <v>102</v>
      </c>
      <c r="CR37" s="183"/>
      <c r="CS37" s="183"/>
      <c r="CT37" s="182" t="s">
        <v>103</v>
      </c>
      <c r="CU37" s="183"/>
      <c r="CV37" s="183"/>
      <c r="CW37" s="184"/>
    </row>
    <row r="38" spans="1:101" ht="14.1" customHeight="1" x14ac:dyDescent="0.25">
      <c r="A38" s="64"/>
      <c r="B38" s="73" t="str">
        <f>IF(A38="X","Embutidos FTK e chapas inox estão com dimensionais e posições conforme pré-estabelecido","Embutidos FTK  estão com dimensionais e posições conforme pré-estabelecido")</f>
        <v>Embutidos FTK  estão com dimensionais e posições conforme pré-estabelecido</v>
      </c>
      <c r="C38" s="15"/>
      <c r="D38" s="6"/>
      <c r="E38" s="5"/>
      <c r="F38" s="5"/>
      <c r="G38" s="5"/>
      <c r="H38" s="5"/>
      <c r="I38" s="5"/>
      <c r="J38" s="5"/>
      <c r="K38" s="6"/>
      <c r="L38" s="6"/>
      <c r="M38" s="6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8"/>
      <c r="AE38" s="3"/>
      <c r="AF38" s="3"/>
      <c r="AG38" s="91" t="s">
        <v>58</v>
      </c>
      <c r="AH38" s="44" t="s">
        <v>17</v>
      </c>
      <c r="AI38" s="45"/>
      <c r="AJ38" s="46"/>
      <c r="AK38" s="47"/>
      <c r="AL38" s="48"/>
      <c r="AM38" s="44" t="s">
        <v>18</v>
      </c>
      <c r="AN38" s="45"/>
      <c r="AO38" s="14"/>
      <c r="AP38" s="17"/>
      <c r="AV38" s="178">
        <f>VLOOKUP($B$46,CA!$Y$3:$AF$188,8,0)</f>
        <v>194.8</v>
      </c>
      <c r="AW38" s="179"/>
      <c r="AX38" s="179"/>
      <c r="AY38" s="178">
        <f>VLOOKUP($B$46,CA!$Y$3:$AF$188,7,0)</f>
        <v>100</v>
      </c>
      <c r="AZ38" s="179"/>
      <c r="BA38" s="179"/>
      <c r="BB38" s="180"/>
      <c r="CQ38" s="178">
        <f>IF(AV38=0,AY46,AV38)</f>
        <v>194.8</v>
      </c>
      <c r="CR38" s="179"/>
      <c r="CS38" s="179"/>
      <c r="CT38" s="178">
        <f>IF(AY38=0,AY45,AY38)</f>
        <v>100</v>
      </c>
      <c r="CU38" s="179"/>
      <c r="CV38" s="179"/>
      <c r="CW38" s="180"/>
    </row>
    <row r="39" spans="1:101" ht="14.1" customHeight="1" x14ac:dyDescent="0.25">
      <c r="B39" s="72" t="s">
        <v>100</v>
      </c>
      <c r="C39" s="10"/>
      <c r="D39" s="10"/>
      <c r="E39" s="9"/>
      <c r="F39" s="9"/>
      <c r="G39" s="9"/>
      <c r="H39" s="9"/>
      <c r="I39" s="9"/>
      <c r="J39" s="9"/>
      <c r="K39" s="10"/>
      <c r="L39" s="10"/>
      <c r="M39" s="10"/>
      <c r="AD39" s="11"/>
      <c r="AE39" s="139" t="s">
        <v>65</v>
      </c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64"/>
    </row>
    <row r="40" spans="1:101" ht="14.1" customHeight="1" x14ac:dyDescent="0.25">
      <c r="B40" s="71" t="s">
        <v>101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3"/>
      <c r="AE40" s="140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216"/>
    </row>
    <row r="41" spans="1:101" ht="14.1" customHeight="1" x14ac:dyDescent="0.25">
      <c r="B41" s="210" t="s">
        <v>64</v>
      </c>
      <c r="C41" s="165"/>
      <c r="D41" s="165"/>
      <c r="E41" s="165"/>
      <c r="F41" s="165"/>
      <c r="G41" s="165"/>
      <c r="H41" s="165"/>
      <c r="I41" s="165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2"/>
      <c r="AE41" s="138" t="s">
        <v>19</v>
      </c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64"/>
      <c r="BA41" s="165">
        <v>197.7</v>
      </c>
      <c r="BB41" s="165"/>
      <c r="BC41" s="165"/>
      <c r="BD41" s="165"/>
      <c r="BE41" s="165"/>
    </row>
    <row r="42" spans="1:101" ht="14.1" customHeight="1" thickBot="1" x14ac:dyDescent="0.3">
      <c r="B42" s="213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214"/>
      <c r="S42" s="214"/>
      <c r="T42" s="214"/>
      <c r="U42" s="214"/>
      <c r="V42" s="214"/>
      <c r="W42" s="214"/>
      <c r="X42" s="214"/>
      <c r="Y42" s="214"/>
      <c r="Z42" s="214"/>
      <c r="AA42" s="214"/>
      <c r="AB42" s="214"/>
      <c r="AC42" s="214"/>
      <c r="AD42" s="215"/>
      <c r="AE42" s="49"/>
      <c r="AF42" s="21" t="s">
        <v>20</v>
      </c>
      <c r="AG42" s="21"/>
      <c r="AH42" s="21"/>
      <c r="AI42" s="49"/>
      <c r="AJ42" s="21" t="s">
        <v>21</v>
      </c>
      <c r="AK42" s="21"/>
      <c r="AL42" s="21"/>
      <c r="AM42" s="49"/>
      <c r="AN42" s="21" t="s">
        <v>22</v>
      </c>
      <c r="AO42" s="21"/>
      <c r="AP42" s="22"/>
      <c r="BA42" s="165">
        <v>99.9</v>
      </c>
      <c r="BB42" s="165"/>
      <c r="BC42" s="165"/>
      <c r="BD42" s="165"/>
      <c r="BE42" s="165"/>
    </row>
    <row r="43" spans="1:101" ht="4.5" customHeight="1" thickBot="1" x14ac:dyDescent="0.3"/>
    <row r="44" spans="1:101" ht="14.1" customHeight="1" x14ac:dyDescent="0.25">
      <c r="B44" s="205" t="s">
        <v>25</v>
      </c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7" t="s">
        <v>26</v>
      </c>
      <c r="N44" s="208"/>
      <c r="O44" s="208"/>
      <c r="P44" s="161">
        <v>12.7</v>
      </c>
      <c r="Q44" s="161"/>
      <c r="R44" s="161"/>
      <c r="S44" s="161" t="s">
        <v>27</v>
      </c>
      <c r="T44" s="161"/>
      <c r="U44" s="209"/>
      <c r="V44" s="207" t="s">
        <v>28</v>
      </c>
      <c r="W44" s="208"/>
      <c r="X44" s="208"/>
      <c r="Y44" s="208"/>
      <c r="Z44" s="208"/>
      <c r="AA44" s="208"/>
      <c r="AB44" s="161" t="s">
        <v>83</v>
      </c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2"/>
      <c r="AU44" t="s">
        <v>108</v>
      </c>
    </row>
    <row r="45" spans="1:101" ht="14.1" customHeight="1" x14ac:dyDescent="0.25">
      <c r="B45" s="196" t="s">
        <v>29</v>
      </c>
      <c r="C45" s="183"/>
      <c r="D45" s="183"/>
      <c r="E45" s="183"/>
      <c r="F45" s="183"/>
      <c r="G45" s="183"/>
      <c r="H45" s="183"/>
      <c r="I45" s="183"/>
      <c r="J45" s="183"/>
      <c r="K45" s="183"/>
      <c r="L45" s="184"/>
      <c r="M45" s="182" t="s">
        <v>30</v>
      </c>
      <c r="N45" s="183"/>
      <c r="O45" s="183"/>
      <c r="P45" s="183"/>
      <c r="Q45" s="183"/>
      <c r="R45" s="183"/>
      <c r="S45" s="183"/>
      <c r="T45" s="183"/>
      <c r="U45" s="184"/>
      <c r="V45" s="182" t="s">
        <v>29</v>
      </c>
      <c r="W45" s="183"/>
      <c r="X45" s="183"/>
      <c r="Y45" s="183"/>
      <c r="Z45" s="183"/>
      <c r="AA45" s="183"/>
      <c r="AB45" s="183"/>
      <c r="AC45" s="183"/>
      <c r="AD45" s="183"/>
      <c r="AE45" s="183"/>
      <c r="AF45" s="184"/>
      <c r="AG45" s="182" t="s">
        <v>30</v>
      </c>
      <c r="AH45" s="183"/>
      <c r="AI45" s="183"/>
      <c r="AJ45" s="183"/>
      <c r="AK45" s="183"/>
      <c r="AL45" s="183"/>
      <c r="AM45" s="183"/>
      <c r="AN45" s="183"/>
      <c r="AO45" s="183"/>
      <c r="AP45" s="197"/>
      <c r="AV45" t="s">
        <v>104</v>
      </c>
      <c r="AY45" s="165" t="s">
        <v>98</v>
      </c>
      <c r="AZ45" s="165"/>
      <c r="BA45" s="165"/>
      <c r="BB45" s="165"/>
      <c r="BC45" s="165"/>
      <c r="BD45" t="s">
        <v>106</v>
      </c>
    </row>
    <row r="46" spans="1:101" ht="14.1" customHeight="1" x14ac:dyDescent="0.25">
      <c r="B46" s="334">
        <f>VLOOKUP($AN$1,CA!$A$3:$Y$282,25,0)</f>
        <v>1062870714</v>
      </c>
      <c r="C46" s="335"/>
      <c r="D46" s="335"/>
      <c r="E46" s="335"/>
      <c r="F46" s="335"/>
      <c r="G46" s="335"/>
      <c r="H46" s="335"/>
      <c r="I46" s="335"/>
      <c r="J46" s="335"/>
      <c r="K46" s="335"/>
      <c r="L46" s="336"/>
      <c r="M46" s="337">
        <f>VLOOKUP($AN$1,CA!$A$3:$Z$282,26,0)</f>
        <v>45873</v>
      </c>
      <c r="N46" s="338"/>
      <c r="O46" s="338"/>
      <c r="P46" s="338"/>
      <c r="Q46" s="338"/>
      <c r="R46" s="338"/>
      <c r="S46" s="338"/>
      <c r="T46" s="338"/>
      <c r="U46" s="339"/>
      <c r="V46" s="340">
        <f>VLOOKUP($AN$1,CA!$A$3:$AB$282,28,0)</f>
        <v>0</v>
      </c>
      <c r="W46" s="340"/>
      <c r="X46" s="340"/>
      <c r="Y46" s="340"/>
      <c r="Z46" s="340"/>
      <c r="AA46" s="340"/>
      <c r="AB46" s="340"/>
      <c r="AC46" s="340"/>
      <c r="AD46" s="340"/>
      <c r="AE46" s="340"/>
      <c r="AF46" s="341"/>
      <c r="AG46" s="337" t="str">
        <f>VLOOKUP($AN$1,CA!$A$3:$AC$188,29,0)</f>
        <v>-</v>
      </c>
      <c r="AH46" s="338"/>
      <c r="AI46" s="338"/>
      <c r="AJ46" s="338"/>
      <c r="AK46" s="338"/>
      <c r="AL46" s="338"/>
      <c r="AM46" s="338"/>
      <c r="AN46" s="338"/>
      <c r="AO46" s="338"/>
      <c r="AP46" s="342"/>
      <c r="AV46" t="s">
        <v>105</v>
      </c>
      <c r="AY46" s="165" t="s">
        <v>98</v>
      </c>
      <c r="AZ46" s="165"/>
      <c r="BA46" s="165"/>
      <c r="BB46" s="165"/>
      <c r="BC46" s="165"/>
      <c r="BD46" t="s">
        <v>107</v>
      </c>
    </row>
    <row r="47" spans="1:101" ht="14.1" customHeight="1" x14ac:dyDescent="0.25">
      <c r="B47" s="163" t="s">
        <v>96</v>
      </c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343">
        <f>VLOOKUP(B46,CA!$Y$3:$AA$139,3,0)</f>
        <v>83027</v>
      </c>
      <c r="N47" s="344"/>
      <c r="O47" s="344"/>
      <c r="P47" s="344"/>
      <c r="Q47" s="344"/>
      <c r="R47" s="344"/>
      <c r="S47" s="344"/>
      <c r="T47" s="344"/>
      <c r="U47" s="345"/>
      <c r="V47" s="138" t="s">
        <v>96</v>
      </c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346" t="str">
        <f>VLOOKUP($AN$1,CA!$A$3:$AD$188,30,0)</f>
        <v>-</v>
      </c>
      <c r="AH47" s="346"/>
      <c r="AI47" s="346"/>
      <c r="AJ47" s="346"/>
      <c r="AK47" s="346"/>
      <c r="AL47" s="346"/>
      <c r="AM47" s="346"/>
      <c r="AN47" s="346"/>
      <c r="AO47" s="346"/>
      <c r="AP47" s="347"/>
      <c r="AS47" t="s">
        <v>109</v>
      </c>
      <c r="BC47" s="165" t="e">
        <f>IF(CQ38+CT38=0,0,((AY45/CT38)+(AY46/CQ38))/2)*1.02</f>
        <v>#VALUE!</v>
      </c>
      <c r="BD47" s="165"/>
      <c r="BE47" s="165"/>
      <c r="BF47" s="165"/>
      <c r="BG47" s="165"/>
    </row>
    <row r="48" spans="1:101" ht="4.5" customHeight="1" x14ac:dyDescent="0.25">
      <c r="B48" s="19"/>
      <c r="AP48" s="23"/>
    </row>
    <row r="49" spans="2:121" ht="14.1" customHeight="1" x14ac:dyDescent="0.25">
      <c r="B49" s="35"/>
      <c r="C49" s="139" t="s">
        <v>31</v>
      </c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7"/>
      <c r="AR49" s="138" t="s">
        <v>66</v>
      </c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39"/>
      <c r="BF49" s="139"/>
      <c r="BG49" s="139"/>
      <c r="BH49" s="139"/>
      <c r="BI49" s="139"/>
      <c r="BJ49" s="139"/>
      <c r="BK49" s="139"/>
      <c r="BL49" s="139"/>
      <c r="BM49" s="139"/>
      <c r="BN49" s="139"/>
      <c r="BO49" s="139"/>
      <c r="BP49" s="139"/>
      <c r="BQ49" s="139"/>
      <c r="BR49" s="139"/>
      <c r="BS49" s="139"/>
      <c r="BT49" s="139"/>
      <c r="BU49" s="139"/>
      <c r="BV49" s="139"/>
      <c r="BW49" s="139"/>
      <c r="BX49" s="139"/>
      <c r="BY49" s="139"/>
      <c r="BZ49" s="139"/>
      <c r="CA49" s="139"/>
      <c r="CB49" s="139"/>
      <c r="CC49" s="139"/>
      <c r="CD49" s="140"/>
    </row>
    <row r="50" spans="2:121" ht="14.1" customHeight="1" x14ac:dyDescent="0.25">
      <c r="B50" s="19"/>
      <c r="C50" s="190" t="str">
        <f>IF(AR51="x",AR50,0)</f>
        <v>C-1</v>
      </c>
      <c r="D50" s="165"/>
      <c r="E50" s="191"/>
      <c r="F50" s="190" t="str">
        <f t="shared" ref="F50" si="44">IF(AU51="x",AU50,0)</f>
        <v>C-2</v>
      </c>
      <c r="G50" s="165"/>
      <c r="H50" s="191"/>
      <c r="I50" s="190" t="str">
        <f t="shared" ref="I50" si="45">IF(AX51="x",AX50,0)</f>
        <v>C-3</v>
      </c>
      <c r="J50" s="165"/>
      <c r="K50" s="191"/>
      <c r="L50" s="190" t="str">
        <f t="shared" ref="L50" si="46">IF(BA51="x",BA50,0)</f>
        <v>C-4</v>
      </c>
      <c r="M50" s="165"/>
      <c r="N50" s="191"/>
      <c r="O50" s="190" t="str">
        <f t="shared" ref="O50" si="47">IF(BD51="x",BD50,0)</f>
        <v>C-5</v>
      </c>
      <c r="P50" s="165"/>
      <c r="Q50" s="191"/>
      <c r="R50" s="190" t="str">
        <f t="shared" ref="R50" si="48">IF(BG51="x",BG50,0)</f>
        <v>C-6</v>
      </c>
      <c r="S50" s="165"/>
      <c r="T50" s="191"/>
      <c r="U50" s="190" t="str">
        <f t="shared" ref="U50" si="49">IF(BJ51="x",BJ50,0)</f>
        <v>C-7</v>
      </c>
      <c r="V50" s="165"/>
      <c r="W50" s="191"/>
      <c r="X50" s="190" t="str">
        <f t="shared" ref="X50" si="50">IF(BM51="x",BM50,0)</f>
        <v>C-8</v>
      </c>
      <c r="Y50" s="165"/>
      <c r="Z50" s="191"/>
      <c r="AA50" s="190" t="str">
        <f t="shared" ref="AA50" si="51">IF(BP51="x",BP50,0)</f>
        <v>C-9</v>
      </c>
      <c r="AB50" s="165"/>
      <c r="AC50" s="191"/>
      <c r="AD50" s="190" t="str">
        <f t="shared" ref="AD50" si="52">IF(BS51="x",BS50,0)</f>
        <v>C-10</v>
      </c>
      <c r="AE50" s="165"/>
      <c r="AF50" s="191"/>
      <c r="AG50" s="190" t="str">
        <f t="shared" ref="AG50" si="53">IF(BV51="x",BV50,0)</f>
        <v>C-11</v>
      </c>
      <c r="AH50" s="165"/>
      <c r="AI50" s="191"/>
      <c r="AJ50" s="190" t="str">
        <f t="shared" ref="AJ50" si="54">IF(BY51="x",BY50,0)</f>
        <v>C-12</v>
      </c>
      <c r="AK50" s="165"/>
      <c r="AL50" s="191"/>
      <c r="AM50" s="190" t="str">
        <f t="shared" ref="AM50" si="55">IF(CB51="x",CB50,0)</f>
        <v>C-13</v>
      </c>
      <c r="AN50" s="165"/>
      <c r="AO50" s="191"/>
      <c r="AP50" s="23"/>
      <c r="AR50" s="189" t="s">
        <v>32</v>
      </c>
      <c r="AS50" s="189"/>
      <c r="AT50" s="189"/>
      <c r="AU50" s="189" t="s">
        <v>33</v>
      </c>
      <c r="AV50" s="189"/>
      <c r="AW50" s="189"/>
      <c r="AX50" s="189" t="s">
        <v>34</v>
      </c>
      <c r="AY50" s="189"/>
      <c r="AZ50" s="189"/>
      <c r="BA50" s="189" t="s">
        <v>35</v>
      </c>
      <c r="BB50" s="189"/>
      <c r="BC50" s="189"/>
      <c r="BD50" s="189" t="s">
        <v>36</v>
      </c>
      <c r="BE50" s="189"/>
      <c r="BF50" s="189"/>
      <c r="BG50" s="189" t="s">
        <v>37</v>
      </c>
      <c r="BH50" s="189"/>
      <c r="BI50" s="189"/>
      <c r="BJ50" s="189" t="s">
        <v>38</v>
      </c>
      <c r="BK50" s="189"/>
      <c r="BL50" s="189"/>
      <c r="BM50" s="189" t="s">
        <v>39</v>
      </c>
      <c r="BN50" s="189"/>
      <c r="BO50" s="189"/>
      <c r="BP50" s="189" t="s">
        <v>40</v>
      </c>
      <c r="BQ50" s="189"/>
      <c r="BR50" s="189"/>
      <c r="BS50" s="189" t="s">
        <v>41</v>
      </c>
      <c r="BT50" s="189"/>
      <c r="BU50" s="189"/>
      <c r="BV50" s="189" t="s">
        <v>42</v>
      </c>
      <c r="BW50" s="189"/>
      <c r="BX50" s="189"/>
      <c r="BY50" s="189" t="s">
        <v>43</v>
      </c>
      <c r="BZ50" s="189"/>
      <c r="CA50" s="189"/>
      <c r="CB50" s="189" t="s">
        <v>44</v>
      </c>
      <c r="CC50" s="189"/>
      <c r="CD50" s="189"/>
    </row>
    <row r="51" spans="2:121" ht="14.1" customHeight="1" x14ac:dyDescent="0.25">
      <c r="B51" s="19"/>
      <c r="C51" s="348">
        <f>VLOOKUP($AN$1,CA!$A$3:$X$188,3,0)</f>
        <v>341</v>
      </c>
      <c r="D51" s="340"/>
      <c r="E51" s="341"/>
      <c r="F51" s="348">
        <f>VLOOKUP($AN$1,CA!$A$3:$X$188,4,0)</f>
        <v>345</v>
      </c>
      <c r="G51" s="340"/>
      <c r="H51" s="341"/>
      <c r="I51" s="348">
        <f>VLOOKUP($AN$1,CA!$A$3:$X$188,5,0)</f>
        <v>344</v>
      </c>
      <c r="J51" s="340"/>
      <c r="K51" s="341"/>
      <c r="L51" s="348">
        <f>VLOOKUP($AN$1,CA!$A$3:$X$188,6,0)</f>
        <v>344</v>
      </c>
      <c r="M51" s="340"/>
      <c r="N51" s="341"/>
      <c r="O51" s="348">
        <f>VLOOKUP($AN$1,CA!$A$3:$X$188,7,0)</f>
        <v>342</v>
      </c>
      <c r="P51" s="340"/>
      <c r="Q51" s="341"/>
      <c r="R51" s="348">
        <f>VLOOKUP($AN$1,CA!$A$3:$X$188,8,0)</f>
        <v>344</v>
      </c>
      <c r="S51" s="340"/>
      <c r="T51" s="341"/>
      <c r="U51" s="348">
        <f>VLOOKUP($AN$1,CA!$A$3:$X$188,9,0)</f>
        <v>345</v>
      </c>
      <c r="V51" s="340"/>
      <c r="W51" s="341"/>
      <c r="X51" s="348">
        <f>VLOOKUP($AN$1,CA!$A$3:$X$188,10,0)</f>
        <v>344</v>
      </c>
      <c r="Y51" s="340"/>
      <c r="Z51" s="341"/>
      <c r="AA51" s="348">
        <f>VLOOKUP($AN$1,CA!$A$3:$X$188,11,0)</f>
        <v>345</v>
      </c>
      <c r="AB51" s="340"/>
      <c r="AC51" s="341"/>
      <c r="AD51" s="348">
        <f>VLOOKUP($AN$1,CA!$A$3:$X$188,12,0)</f>
        <v>345</v>
      </c>
      <c r="AE51" s="340"/>
      <c r="AF51" s="341"/>
      <c r="AG51" s="348">
        <f>VLOOKUP($AN$1,CA!$A$3:$X$188,13,0)</f>
        <v>345</v>
      </c>
      <c r="AH51" s="340"/>
      <c r="AI51" s="341"/>
      <c r="AJ51" s="348">
        <f>VLOOKUP($AN$1,CA!$A$3:$X$188,14,0)</f>
        <v>344</v>
      </c>
      <c r="AK51" s="340"/>
      <c r="AL51" s="341"/>
      <c r="AM51" s="348">
        <f>VLOOKUP($AN$1,CA!$A$3:$X$188,15,0)</f>
        <v>345</v>
      </c>
      <c r="AN51" s="340"/>
      <c r="AO51" s="341"/>
      <c r="AP51" s="23"/>
      <c r="AR51" s="151" t="s">
        <v>58</v>
      </c>
      <c r="AS51" s="151"/>
      <c r="AT51" s="151"/>
      <c r="AU51" s="151" t="s">
        <v>58</v>
      </c>
      <c r="AV51" s="151"/>
      <c r="AW51" s="151"/>
      <c r="AX51" s="151" t="s">
        <v>58</v>
      </c>
      <c r="AY51" s="151"/>
      <c r="AZ51" s="151"/>
      <c r="BA51" s="151" t="s">
        <v>58</v>
      </c>
      <c r="BB51" s="151"/>
      <c r="BC51" s="151"/>
      <c r="BD51" s="151" t="s">
        <v>58</v>
      </c>
      <c r="BE51" s="151"/>
      <c r="BF51" s="151"/>
      <c r="BG51" s="151" t="s">
        <v>58</v>
      </c>
      <c r="BH51" s="151"/>
      <c r="BI51" s="151"/>
      <c r="BJ51" s="151" t="s">
        <v>58</v>
      </c>
      <c r="BK51" s="151"/>
      <c r="BL51" s="151"/>
      <c r="BM51" s="151" t="s">
        <v>58</v>
      </c>
      <c r="BN51" s="151"/>
      <c r="BO51" s="151"/>
      <c r="BP51" s="151" t="s">
        <v>58</v>
      </c>
      <c r="BQ51" s="151"/>
      <c r="BR51" s="151"/>
      <c r="BS51" s="151" t="s">
        <v>58</v>
      </c>
      <c r="BT51" s="151"/>
      <c r="BU51" s="151"/>
      <c r="BV51" s="151" t="s">
        <v>58</v>
      </c>
      <c r="BW51" s="151"/>
      <c r="BX51" s="151"/>
      <c r="BY51" s="151" t="s">
        <v>58</v>
      </c>
      <c r="BZ51" s="151"/>
      <c r="CA51" s="151"/>
      <c r="CB51" s="151" t="s">
        <v>58</v>
      </c>
      <c r="CC51" s="151"/>
      <c r="CD51" s="151"/>
    </row>
    <row r="52" spans="2:121" ht="14.1" customHeight="1" x14ac:dyDescent="0.25">
      <c r="B52" s="19"/>
      <c r="C52" s="182" t="str">
        <f>IF(AR53="x",AR52,0)</f>
        <v>C-14</v>
      </c>
      <c r="D52" s="183"/>
      <c r="E52" s="184"/>
      <c r="F52" s="182" t="str">
        <f t="shared" ref="F52" si="56">IF(AU53="x",AU52,0)</f>
        <v>C-15</v>
      </c>
      <c r="G52" s="183"/>
      <c r="H52" s="184"/>
      <c r="I52" s="182" t="str">
        <f>IF(AX53="x",AX52,0)</f>
        <v>C-16</v>
      </c>
      <c r="J52" s="183"/>
      <c r="K52" s="184"/>
      <c r="L52" s="182">
        <f t="shared" ref="L52" si="57">IF(BA53="x",BA52,0)</f>
        <v>0</v>
      </c>
      <c r="M52" s="183"/>
      <c r="N52" s="184"/>
      <c r="O52" s="182">
        <f t="shared" ref="O52" si="58">IF(BD53="x",BD52,0)</f>
        <v>0</v>
      </c>
      <c r="P52" s="183"/>
      <c r="Q52" s="184"/>
      <c r="R52" s="182">
        <f t="shared" ref="R52" si="59">IF(BG53="x",BG52,0)</f>
        <v>0</v>
      </c>
      <c r="S52" s="183"/>
      <c r="T52" s="184"/>
      <c r="U52" s="182">
        <f t="shared" ref="U52" si="60">IF(BJ53="x",BJ52,0)</f>
        <v>0</v>
      </c>
      <c r="V52" s="183"/>
      <c r="W52" s="184"/>
      <c r="X52" s="182">
        <f t="shared" ref="X52" si="61">IF(BM53="x",BM52,0)</f>
        <v>0</v>
      </c>
      <c r="Y52" s="183"/>
      <c r="Z52" s="184"/>
      <c r="AA52" s="182">
        <f t="shared" ref="AA52" si="62">IF(BP53="x",BP52,0)</f>
        <v>0</v>
      </c>
      <c r="AB52" s="183"/>
      <c r="AC52" s="184"/>
      <c r="AD52" s="182">
        <f t="shared" ref="AD52" si="63">IF(BS53="x",BS52,0)</f>
        <v>0</v>
      </c>
      <c r="AE52" s="183"/>
      <c r="AF52" s="184"/>
      <c r="AG52" s="182">
        <f t="shared" ref="AG52" si="64">IF(BV53="x",BV52,0)</f>
        <v>0</v>
      </c>
      <c r="AH52" s="183"/>
      <c r="AI52" s="184"/>
      <c r="AJ52" s="182">
        <f t="shared" ref="AJ52" si="65">IF(BY53="x",BY52,0)</f>
        <v>0</v>
      </c>
      <c r="AK52" s="183"/>
      <c r="AL52" s="184"/>
      <c r="AM52" s="182">
        <f t="shared" ref="AM52" si="66">IF(CB53="x",CB52,0)</f>
        <v>0</v>
      </c>
      <c r="AN52" s="183"/>
      <c r="AO52" s="184"/>
      <c r="AP52" s="23"/>
      <c r="AR52" s="189" t="s">
        <v>45</v>
      </c>
      <c r="AS52" s="189"/>
      <c r="AT52" s="189"/>
      <c r="AU52" s="189" t="s">
        <v>46</v>
      </c>
      <c r="AV52" s="189"/>
      <c r="AW52" s="189"/>
      <c r="AX52" s="189" t="s">
        <v>47</v>
      </c>
      <c r="AY52" s="189"/>
      <c r="AZ52" s="189"/>
      <c r="BA52" s="189" t="s">
        <v>48</v>
      </c>
      <c r="BB52" s="189"/>
      <c r="BC52" s="189"/>
      <c r="BD52" s="189" t="s">
        <v>49</v>
      </c>
      <c r="BE52" s="189"/>
      <c r="BF52" s="189"/>
      <c r="BG52" s="189" t="s">
        <v>50</v>
      </c>
      <c r="BH52" s="189"/>
      <c r="BI52" s="189"/>
      <c r="BJ52" s="189" t="s">
        <v>51</v>
      </c>
      <c r="BK52" s="189"/>
      <c r="BL52" s="189"/>
      <c r="BM52" s="189" t="s">
        <v>52</v>
      </c>
      <c r="BN52" s="189"/>
      <c r="BO52" s="189"/>
      <c r="BP52" s="189" t="s">
        <v>53</v>
      </c>
      <c r="BQ52" s="189"/>
      <c r="BR52" s="189"/>
      <c r="BS52" s="189" t="s">
        <v>54</v>
      </c>
      <c r="BT52" s="189"/>
      <c r="BU52" s="189"/>
      <c r="BV52" s="189" t="s">
        <v>55</v>
      </c>
      <c r="BW52" s="189"/>
      <c r="BX52" s="189"/>
      <c r="BY52" s="189" t="s">
        <v>56</v>
      </c>
      <c r="BZ52" s="189"/>
      <c r="CA52" s="189"/>
      <c r="CB52" s="189" t="s">
        <v>57</v>
      </c>
      <c r="CC52" s="189"/>
      <c r="CD52" s="189"/>
    </row>
    <row r="53" spans="2:121" ht="14.1" customHeight="1" x14ac:dyDescent="0.25">
      <c r="B53" s="20"/>
      <c r="C53" s="348">
        <f>VLOOKUP($AN$1,CA!$A$3:$X$188,16,0)</f>
        <v>344</v>
      </c>
      <c r="D53" s="340"/>
      <c r="E53" s="341"/>
      <c r="F53" s="348">
        <f>VLOOKUP($AN$1,CA!$A$3:$X$188,17,0)</f>
        <v>345</v>
      </c>
      <c r="G53" s="340"/>
      <c r="H53" s="341"/>
      <c r="I53" s="348">
        <f>VLOOKUP($AN$1,CA!$A$3:$X$188,18,0)</f>
        <v>346</v>
      </c>
      <c r="J53" s="340"/>
      <c r="K53" s="341"/>
      <c r="L53" s="178">
        <f>VLOOKUP($AN$1,CA!$A$3:$X$188,19,0)</f>
        <v>0</v>
      </c>
      <c r="M53" s="179"/>
      <c r="N53" s="180"/>
      <c r="O53" s="178">
        <f>VLOOKUP($AN$1,CA!$A$3:$X$188,20,0)</f>
        <v>0</v>
      </c>
      <c r="P53" s="179"/>
      <c r="Q53" s="180"/>
      <c r="R53" s="178">
        <f>VLOOKUP($AN$1,CA!$A$3:$X$188,21,0)</f>
        <v>0</v>
      </c>
      <c r="S53" s="179"/>
      <c r="T53" s="180"/>
      <c r="U53" s="178">
        <f>VLOOKUP($AN$1,CA!$A$3:$X$188,22,0)</f>
        <v>0</v>
      </c>
      <c r="V53" s="179"/>
      <c r="W53" s="180"/>
      <c r="X53" s="178">
        <f>VLOOKUP($AN$1,CA!$A$3:$X$188,23,0)</f>
        <v>0</v>
      </c>
      <c r="Y53" s="179"/>
      <c r="Z53" s="180"/>
      <c r="AA53" s="178">
        <f>VLOOKUP($AN$1,CA!$A$3:$X$188,24,0)</f>
        <v>0</v>
      </c>
      <c r="AB53" s="179"/>
      <c r="AC53" s="180"/>
      <c r="AD53" s="178"/>
      <c r="AE53" s="179"/>
      <c r="AF53" s="180"/>
      <c r="AG53" s="178"/>
      <c r="AH53" s="179"/>
      <c r="AI53" s="180"/>
      <c r="AJ53" s="178"/>
      <c r="AK53" s="179"/>
      <c r="AL53" s="180"/>
      <c r="AM53" s="178"/>
      <c r="AN53" s="179"/>
      <c r="AO53" s="180"/>
      <c r="AP53" s="24"/>
      <c r="AR53" s="151" t="s">
        <v>58</v>
      </c>
      <c r="AS53" s="151"/>
      <c r="AT53" s="151"/>
      <c r="AU53" s="151" t="s">
        <v>58</v>
      </c>
      <c r="AV53" s="151"/>
      <c r="AW53" s="151"/>
      <c r="AX53" s="151" t="s">
        <v>58</v>
      </c>
      <c r="AY53" s="151"/>
      <c r="AZ53" s="151"/>
      <c r="BA53" s="151"/>
      <c r="BB53" s="151"/>
      <c r="BC53" s="151"/>
      <c r="BD53" s="151"/>
      <c r="BE53" s="151"/>
      <c r="BF53" s="151"/>
      <c r="BG53" s="151"/>
      <c r="BH53" s="151"/>
      <c r="BI53" s="151"/>
      <c r="BJ53" s="151"/>
      <c r="BK53" s="151"/>
      <c r="BL53" s="151"/>
      <c r="BM53" s="151"/>
      <c r="BN53" s="151"/>
      <c r="BO53" s="151"/>
      <c r="BP53" s="151"/>
      <c r="BQ53" s="151"/>
      <c r="BR53" s="151"/>
      <c r="BS53" s="151"/>
      <c r="BT53" s="151"/>
      <c r="BU53" s="151"/>
      <c r="BV53" s="151"/>
      <c r="BW53" s="151"/>
      <c r="BX53" s="151"/>
      <c r="BY53" s="151"/>
      <c r="BZ53" s="151"/>
      <c r="CA53" s="151"/>
      <c r="CB53" s="151"/>
      <c r="CC53" s="151"/>
      <c r="CD53" s="151"/>
    </row>
    <row r="54" spans="2:121" ht="14.1" customHeight="1" x14ac:dyDescent="0.25">
      <c r="B54" s="163" t="s">
        <v>59</v>
      </c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>
        <f>SUM(C51:AO51)+SUM(C53:AO53)</f>
        <v>5508</v>
      </c>
      <c r="Y54" s="139"/>
      <c r="Z54" s="139"/>
      <c r="AA54" s="139"/>
      <c r="AB54" s="139"/>
      <c r="AC54" s="3" t="s">
        <v>27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17"/>
      <c r="CE54" s="182" t="str">
        <f>C50</f>
        <v>C-1</v>
      </c>
      <c r="CF54" s="183"/>
      <c r="CG54" s="184"/>
      <c r="CH54" s="182" t="str">
        <f>F50</f>
        <v>C-2</v>
      </c>
      <c r="CI54" s="183"/>
      <c r="CJ54" s="184"/>
      <c r="CK54" s="182" t="str">
        <f>I50</f>
        <v>C-3</v>
      </c>
      <c r="CL54" s="183"/>
      <c r="CM54" s="184"/>
      <c r="CN54" s="182" t="str">
        <f>L50</f>
        <v>C-4</v>
      </c>
      <c r="CO54" s="183"/>
      <c r="CP54" s="184"/>
      <c r="CQ54" s="182" t="str">
        <f>O50</f>
        <v>C-5</v>
      </c>
      <c r="CR54" s="183"/>
      <c r="CS54" s="184"/>
      <c r="CT54" s="182" t="str">
        <f>R50</f>
        <v>C-6</v>
      </c>
      <c r="CU54" s="183"/>
      <c r="CV54" s="184"/>
      <c r="CW54" s="182" t="str">
        <f>U50</f>
        <v>C-7</v>
      </c>
      <c r="CX54" s="183"/>
      <c r="CY54" s="184"/>
      <c r="CZ54" s="182" t="str">
        <f>X50</f>
        <v>C-8</v>
      </c>
      <c r="DA54" s="183"/>
      <c r="DB54" s="184"/>
      <c r="DC54" s="182" t="str">
        <f>AA50</f>
        <v>C-9</v>
      </c>
      <c r="DD54" s="183"/>
      <c r="DE54" s="184"/>
      <c r="DF54" s="182" t="str">
        <f>AD50</f>
        <v>C-10</v>
      </c>
      <c r="DG54" s="183"/>
      <c r="DH54" s="184"/>
      <c r="DI54" s="182" t="str">
        <f>AG50</f>
        <v>C-11</v>
      </c>
      <c r="DJ54" s="183"/>
      <c r="DK54" s="184"/>
      <c r="DL54" s="182" t="str">
        <f>AJ50</f>
        <v>C-12</v>
      </c>
      <c r="DM54" s="183"/>
      <c r="DN54" s="184"/>
      <c r="DO54" s="182" t="str">
        <f>AM50</f>
        <v>C-13</v>
      </c>
      <c r="DP54" s="183"/>
      <c r="DQ54" s="184"/>
    </row>
    <row r="55" spans="2:121" ht="5.45" customHeight="1" x14ac:dyDescent="0.25">
      <c r="B55" s="19"/>
      <c r="AP55" s="23"/>
      <c r="CE55" s="78"/>
      <c r="CF55" s="79"/>
      <c r="CG55" s="80"/>
      <c r="CH55" s="78"/>
      <c r="CI55" s="79"/>
      <c r="CJ55" s="80"/>
      <c r="CK55" s="78"/>
      <c r="CL55" s="79"/>
      <c r="CM55" s="80"/>
      <c r="CN55" s="78"/>
      <c r="CO55" s="79"/>
      <c r="CP55" s="80"/>
      <c r="CQ55" s="78"/>
      <c r="CR55" s="79"/>
      <c r="CS55" s="80"/>
      <c r="CT55" s="78"/>
      <c r="CU55" s="79"/>
      <c r="CV55" s="80"/>
      <c r="CW55" s="78"/>
      <c r="CX55" s="79"/>
      <c r="CY55" s="80"/>
      <c r="CZ55" s="78"/>
      <c r="DA55" s="79"/>
      <c r="DB55" s="80"/>
      <c r="DC55" s="78"/>
      <c r="DD55" s="79"/>
      <c r="DE55" s="80"/>
      <c r="DF55" s="78"/>
      <c r="DG55" s="79"/>
      <c r="DH55" s="80"/>
      <c r="DI55" s="78"/>
      <c r="DJ55" s="79"/>
      <c r="DK55" s="80"/>
      <c r="DL55" s="78"/>
      <c r="DM55" s="79"/>
      <c r="DN55" s="80"/>
      <c r="DO55" s="78"/>
      <c r="DP55" s="79"/>
      <c r="DQ55" s="80"/>
    </row>
    <row r="56" spans="2:121" ht="14.1" customHeight="1" x14ac:dyDescent="0.25">
      <c r="B56" s="185" t="s">
        <v>60</v>
      </c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6" t="s">
        <v>94</v>
      </c>
      <c r="X56" s="186"/>
      <c r="Y56" s="186"/>
      <c r="Z56" s="186"/>
      <c r="AA56" s="186" t="s">
        <v>95</v>
      </c>
      <c r="AB56" s="186"/>
      <c r="AC56" s="186"/>
      <c r="AD56" s="186"/>
      <c r="AE56" s="187" t="s">
        <v>16</v>
      </c>
      <c r="AF56" s="181"/>
      <c r="AG56" s="181"/>
      <c r="AH56" s="181"/>
      <c r="AI56" s="181"/>
      <c r="AJ56" s="181"/>
      <c r="AK56" s="181"/>
      <c r="AL56" s="181"/>
      <c r="AM56" s="181"/>
      <c r="AN56" s="181"/>
      <c r="AO56" s="181"/>
      <c r="AP56" s="188"/>
      <c r="CE56" s="178" t="b">
        <f>IF(C51="-"";""",IF(C51=0,0,IF(AND(C51&gt;=$W$57,C51&lt;=$AA$57),0,1)))</f>
        <v>0</v>
      </c>
      <c r="CF56" s="179"/>
      <c r="CG56" s="180"/>
      <c r="CH56" s="178" t="b">
        <f t="shared" ref="CH56" si="67">IF(F51="-"";""",IF(F51=0,0,IF(AND(F51&gt;=$W$57,F51&lt;=$AA$57),0,1)))</f>
        <v>0</v>
      </c>
      <c r="CI56" s="179"/>
      <c r="CJ56" s="180"/>
      <c r="CK56" s="178" t="b">
        <f t="shared" ref="CK56" si="68">IF(I51="-"";""",IF(I51=0,0,IF(AND(I51&gt;=$W$57,I51&lt;=$AA$57),0,1)))</f>
        <v>0</v>
      </c>
      <c r="CL56" s="179"/>
      <c r="CM56" s="180"/>
      <c r="CN56" s="178" t="b">
        <f t="shared" ref="CN56" si="69">IF(L51="-"";""",IF(L51=0,0,IF(AND(L51&gt;=$W$57,L51&lt;=$AA$57),0,1)))</f>
        <v>0</v>
      </c>
      <c r="CO56" s="179"/>
      <c r="CP56" s="180"/>
      <c r="CQ56" s="178" t="b">
        <f t="shared" ref="CQ56" si="70">IF(O51="-"";""",IF(O51=0,0,IF(AND(O51&gt;=$W$57,O51&lt;=$AA$57),0,1)))</f>
        <v>0</v>
      </c>
      <c r="CR56" s="179"/>
      <c r="CS56" s="180"/>
      <c r="CT56" s="178" t="b">
        <f t="shared" ref="CT56" si="71">IF(R51="-"";""",IF(R51=0,0,IF(AND(R51&gt;=$W$57,R51&lt;=$AA$57),0,1)))</f>
        <v>0</v>
      </c>
      <c r="CU56" s="179"/>
      <c r="CV56" s="180"/>
      <c r="CW56" s="178" t="b">
        <f t="shared" ref="CW56" si="72">IF(U51="-"";""",IF(U51=0,0,IF(AND(U51&gt;=$W$57,U51&lt;=$AA$57),0,1)))</f>
        <v>0</v>
      </c>
      <c r="CX56" s="179"/>
      <c r="CY56" s="180"/>
      <c r="CZ56" s="178" t="b">
        <f t="shared" ref="CZ56" si="73">IF(X51="-"";""",IF(X51=0,0,IF(AND(X51&gt;=$W$57,X51&lt;=$AA$57),0,1)))</f>
        <v>0</v>
      </c>
      <c r="DA56" s="179"/>
      <c r="DB56" s="180"/>
      <c r="DC56" s="178" t="b">
        <f t="shared" ref="DC56" si="74">IF(AA51="-"";""",IF(AA51=0,0,IF(AND(AA51&gt;=$W$57,AA51&lt;=$AA$57),0,1)))</f>
        <v>0</v>
      </c>
      <c r="DD56" s="179"/>
      <c r="DE56" s="180"/>
      <c r="DF56" s="178" t="b">
        <f t="shared" ref="DF56" si="75">IF(AD51="-"";""",IF(AD51=0,0,IF(AND(AD51&gt;=$W$57,AD51&lt;=$AA$57),0,1)))</f>
        <v>0</v>
      </c>
      <c r="DG56" s="179"/>
      <c r="DH56" s="180"/>
      <c r="DI56" s="178" t="b">
        <f t="shared" ref="DI56" si="76">IF(AG51="-"";""",IF(AG51=0,0,IF(AND(AG51&gt;=$W$57,AG51&lt;=$AA$57),0,1)))</f>
        <v>0</v>
      </c>
      <c r="DJ56" s="179"/>
      <c r="DK56" s="180"/>
      <c r="DL56" s="178" t="b">
        <f t="shared" ref="DL56" si="77">IF(AJ51="-"";""",IF(AJ51=0,0,IF(AND(AJ51&gt;=$W$57,AJ51&lt;=$AA$57),0,1)))</f>
        <v>0</v>
      </c>
      <c r="DM56" s="179"/>
      <c r="DN56" s="180"/>
      <c r="DO56" s="178" t="b">
        <f t="shared" ref="DO56" si="78">IF(AM51="-"";""",IF(AM51=0,0,IF(AND(AM51&gt;=$W$57,AM51&lt;=$AA$57),0,1)))</f>
        <v>0</v>
      </c>
      <c r="DP56" s="179"/>
      <c r="DQ56" s="180"/>
    </row>
    <row r="57" spans="2:121" ht="14.1" customHeight="1" x14ac:dyDescent="0.25">
      <c r="B57" s="163" t="s">
        <v>61</v>
      </c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40"/>
      <c r="W57" s="177">
        <f>IF(AV58="X",BA58,IF(AV60="X",BA60,0))</f>
        <v>321</v>
      </c>
      <c r="X57" s="177"/>
      <c r="Y57" s="177"/>
      <c r="Z57" s="177"/>
      <c r="AA57" s="177">
        <f>IF(AV58="X",BH58,IF(AV60="X",BH60,0))</f>
        <v>356</v>
      </c>
      <c r="AB57" s="177"/>
      <c r="AC57" s="177"/>
      <c r="AD57" s="177"/>
      <c r="AE57" s="2"/>
      <c r="AF57" s="3"/>
      <c r="AG57" s="91" t="str">
        <f>IF(SUM(C51:AO51)+SUM(C53:AO53)=0,0,IF(CE60=0,"X",0))</f>
        <v>X</v>
      </c>
      <c r="AH57" s="44" t="s">
        <v>17</v>
      </c>
      <c r="AI57" s="45"/>
      <c r="AJ57" s="46"/>
      <c r="AK57" s="47"/>
      <c r="AL57" s="48">
        <f>IF(SUM(C51:AO51)+SUM(C53:AO53)=0,0,IF(CE60&gt;0,"X",0))</f>
        <v>0</v>
      </c>
      <c r="AM57" s="44" t="s">
        <v>18</v>
      </c>
      <c r="AN57" s="45"/>
      <c r="AO57" s="45"/>
      <c r="AP57" s="17"/>
      <c r="CE57" s="182" t="str">
        <f>C52</f>
        <v>C-14</v>
      </c>
      <c r="CF57" s="183"/>
      <c r="CG57" s="184"/>
      <c r="CH57" s="182" t="str">
        <f>F52</f>
        <v>C-15</v>
      </c>
      <c r="CI57" s="183"/>
      <c r="CJ57" s="184"/>
      <c r="CK57" s="182" t="str">
        <f>I52</f>
        <v>C-16</v>
      </c>
      <c r="CL57" s="183"/>
      <c r="CM57" s="184"/>
      <c r="CN57" s="182">
        <f>L52</f>
        <v>0</v>
      </c>
      <c r="CO57" s="183"/>
      <c r="CP57" s="184"/>
      <c r="CQ57" s="182">
        <f>O52</f>
        <v>0</v>
      </c>
      <c r="CR57" s="183"/>
      <c r="CS57" s="184"/>
      <c r="CT57" s="182">
        <f>R52</f>
        <v>0</v>
      </c>
      <c r="CU57" s="183"/>
      <c r="CV57" s="184"/>
      <c r="CW57" s="182">
        <f>U52</f>
        <v>0</v>
      </c>
      <c r="CX57" s="183"/>
      <c r="CY57" s="184"/>
      <c r="CZ57" s="182">
        <f>X52</f>
        <v>0</v>
      </c>
      <c r="DA57" s="183"/>
      <c r="DB57" s="184"/>
      <c r="DC57" s="182">
        <f>AA52</f>
        <v>0</v>
      </c>
      <c r="DD57" s="183"/>
      <c r="DE57" s="184"/>
      <c r="DF57" s="182">
        <f>AD52</f>
        <v>0</v>
      </c>
      <c r="DG57" s="183"/>
      <c r="DH57" s="184"/>
      <c r="DI57" s="182">
        <f>AG52</f>
        <v>0</v>
      </c>
      <c r="DJ57" s="183"/>
      <c r="DK57" s="184"/>
      <c r="DL57" s="182">
        <f>AJ52</f>
        <v>0</v>
      </c>
      <c r="DM57" s="183"/>
      <c r="DN57" s="184"/>
      <c r="DO57" s="182">
        <f>AM52</f>
        <v>0</v>
      </c>
      <c r="DP57" s="183"/>
      <c r="DQ57" s="184"/>
    </row>
    <row r="58" spans="2:121" ht="14.1" customHeight="1" x14ac:dyDescent="0.25">
      <c r="B58" s="75"/>
      <c r="C58" s="181" t="s">
        <v>67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77">
        <f>IF(CE70=1,CE69,0)</f>
        <v>0</v>
      </c>
      <c r="O58" s="77">
        <f t="shared" ref="O58:Z58" si="79">IF(CF70=1,CF69,0)</f>
        <v>0</v>
      </c>
      <c r="P58" s="77">
        <f t="shared" si="79"/>
        <v>0</v>
      </c>
      <c r="Q58" s="77">
        <f t="shared" si="79"/>
        <v>0</v>
      </c>
      <c r="R58" s="77">
        <f t="shared" si="79"/>
        <v>0</v>
      </c>
      <c r="S58" s="77">
        <f t="shared" si="79"/>
        <v>0</v>
      </c>
      <c r="T58" s="77">
        <f t="shared" si="79"/>
        <v>0</v>
      </c>
      <c r="U58" s="77">
        <f t="shared" si="79"/>
        <v>0</v>
      </c>
      <c r="V58" s="77">
        <f t="shared" si="79"/>
        <v>0</v>
      </c>
      <c r="W58" s="77">
        <f>IF(CN70=1,CN69,0)</f>
        <v>0</v>
      </c>
      <c r="X58" s="77">
        <f>IF(CO70=1,CO69,0)</f>
        <v>0</v>
      </c>
      <c r="Y58" s="77">
        <f t="shared" si="79"/>
        <v>0</v>
      </c>
      <c r="Z58" s="77">
        <f t="shared" si="79"/>
        <v>0</v>
      </c>
      <c r="AA58" s="77">
        <f t="shared" ref="AA58:AP58" si="80">IF(CE77=1,CE76,0)</f>
        <v>0</v>
      </c>
      <c r="AB58" s="77">
        <f t="shared" si="80"/>
        <v>0</v>
      </c>
      <c r="AC58" s="77">
        <f t="shared" si="80"/>
        <v>0</v>
      </c>
      <c r="AD58" s="77">
        <f t="shared" si="80"/>
        <v>0</v>
      </c>
      <c r="AE58" s="77">
        <f t="shared" si="80"/>
        <v>0</v>
      </c>
      <c r="AF58" s="77">
        <f t="shared" si="80"/>
        <v>0</v>
      </c>
      <c r="AG58" s="350">
        <f t="shared" si="80"/>
        <v>0</v>
      </c>
      <c r="AH58" s="77">
        <f t="shared" si="80"/>
        <v>0</v>
      </c>
      <c r="AI58" s="77">
        <f t="shared" si="80"/>
        <v>0</v>
      </c>
      <c r="AJ58" s="77">
        <f t="shared" si="80"/>
        <v>0</v>
      </c>
      <c r="AK58" s="77">
        <f t="shared" si="80"/>
        <v>0</v>
      </c>
      <c r="AL58" s="77">
        <f t="shared" si="80"/>
        <v>0</v>
      </c>
      <c r="AM58" s="77">
        <f t="shared" si="80"/>
        <v>0</v>
      </c>
      <c r="AN58" s="77">
        <f t="shared" si="80"/>
        <v>0</v>
      </c>
      <c r="AO58" s="77">
        <f t="shared" si="80"/>
        <v>0</v>
      </c>
      <c r="AP58" s="30">
        <f t="shared" si="80"/>
        <v>0</v>
      </c>
      <c r="AV58" s="151" t="s">
        <v>13</v>
      </c>
      <c r="AW58" s="151"/>
      <c r="AX58" t="s">
        <v>137</v>
      </c>
      <c r="BA58" s="151">
        <v>321</v>
      </c>
      <c r="BB58" s="151"/>
      <c r="BC58" s="151"/>
      <c r="BD58" s="151"/>
      <c r="BF58" t="s">
        <v>188</v>
      </c>
      <c r="BH58" s="151">
        <v>356</v>
      </c>
      <c r="BI58" s="151"/>
      <c r="BJ58" s="151"/>
      <c r="BK58" s="151"/>
      <c r="CE58" s="178" t="b">
        <f>IF(C53="-"";""",IF(C53=0,0,IF(AND(C53&gt;=$W$57,C53&lt;=$AA$57),0,1)))</f>
        <v>0</v>
      </c>
      <c r="CF58" s="179"/>
      <c r="CG58" s="180"/>
      <c r="CH58" s="178" t="b">
        <f t="shared" ref="CH58" si="81">IF(F53="-"";""",IF(F53=0,0,IF(AND(F53&gt;=$W$57,F53&lt;=$AA$57),0,1)))</f>
        <v>0</v>
      </c>
      <c r="CI58" s="179"/>
      <c r="CJ58" s="180"/>
      <c r="CK58" s="178" t="b">
        <f t="shared" ref="CK58" si="82">IF(I53="-"";""",IF(I53=0,0,IF(AND(I53&gt;=$W$57,I53&lt;=$AA$57),0,1)))</f>
        <v>0</v>
      </c>
      <c r="CL58" s="179"/>
      <c r="CM58" s="180"/>
      <c r="CN58" s="178" t="b">
        <f t="shared" ref="CN58" si="83">IF(L53="-"";""",IF(L53=0,0,IF(AND(L53&gt;=$W$57,L53&lt;=$AA$57),0,1)))</f>
        <v>0</v>
      </c>
      <c r="CO58" s="179"/>
      <c r="CP58" s="180"/>
      <c r="CQ58" s="178" t="b">
        <f t="shared" ref="CQ58" si="84">IF(O53="-"";""",IF(O53=0,0,IF(AND(O53&gt;=$W$57,O53&lt;=$AA$57),0,1)))</f>
        <v>0</v>
      </c>
      <c r="CR58" s="179"/>
      <c r="CS58" s="180"/>
      <c r="CT58" s="178" t="b">
        <f t="shared" ref="CT58" si="85">IF(R53="-"";""",IF(R53=0,0,IF(AND(R53&gt;=$W$57,R53&lt;=$AA$57),0,1)))</f>
        <v>0</v>
      </c>
      <c r="CU58" s="179"/>
      <c r="CV58" s="180"/>
      <c r="CW58" s="178" t="b">
        <f t="shared" ref="CW58" si="86">IF(U53="-"";""",IF(U53=0,0,IF(AND(U53&gt;=$W$57,U53&lt;=$AA$57),0,1)))</f>
        <v>0</v>
      </c>
      <c r="CX58" s="179"/>
      <c r="CY58" s="180"/>
      <c r="CZ58" s="178" t="b">
        <f t="shared" ref="CZ58" si="87">IF(X53="-"";""",IF(X53=0,0,IF(AND(X53&gt;=$W$57,X53&lt;=$AA$57),0,1)))</f>
        <v>0</v>
      </c>
      <c r="DA58" s="179"/>
      <c r="DB58" s="180"/>
      <c r="DC58" s="178" t="b">
        <f t="shared" ref="DC58" si="88">IF(AA53="-"";""",IF(AA53=0,0,IF(AND(AA53&gt;=$W$57,AA53&lt;=$AA$57),0,1)))</f>
        <v>0</v>
      </c>
      <c r="DD58" s="179"/>
      <c r="DE58" s="180"/>
      <c r="DF58" s="178" t="b">
        <f t="shared" ref="DF58" si="89">IF(AD53="-"";""",IF(AD53=0,0,IF(AND(AD53&gt;=$W$57,AD53&lt;=$AA$57),0,1)))</f>
        <v>0</v>
      </c>
      <c r="DG58" s="179"/>
      <c r="DH58" s="180"/>
      <c r="DI58" s="178" t="b">
        <f t="shared" ref="DI58" si="90">IF(AG53="-"";""",IF(AG53=0,0,IF(AND(AG53&gt;=$W$57,AG53&lt;=$AA$57),0,1)))</f>
        <v>0</v>
      </c>
      <c r="DJ58" s="179"/>
      <c r="DK58" s="180"/>
      <c r="DL58" s="178" t="b">
        <f t="shared" ref="DL58" si="91">IF(AJ53="-"";""",IF(AJ53=0,0,IF(AND(AJ53&gt;=$W$57,AJ53&lt;=$AA$57),0,1)))</f>
        <v>0</v>
      </c>
      <c r="DM58" s="179"/>
      <c r="DN58" s="180"/>
      <c r="DO58" s="178" t="b">
        <f t="shared" ref="DO58" si="92">IF(AM53="-"";""",IF(AM53=0,0,IF(AND(AM53&gt;=$W$57,AM53&lt;=$AA$57),0,1)))</f>
        <v>0</v>
      </c>
      <c r="DP58" s="179"/>
      <c r="DQ58" s="180"/>
    </row>
    <row r="59" spans="2:121" ht="5.0999999999999996" customHeight="1" thickBot="1" x14ac:dyDescent="0.3">
      <c r="B59" s="19"/>
      <c r="AG59" s="118"/>
      <c r="AP59" s="23"/>
      <c r="AV59" s="165"/>
      <c r="AW59" s="165"/>
      <c r="CE59" s="74"/>
      <c r="CF59" s="74"/>
      <c r="CG59" s="74"/>
      <c r="CH59" s="79"/>
      <c r="CI59" s="79"/>
      <c r="CJ59" s="79"/>
      <c r="CK59" s="79"/>
      <c r="CL59" s="79"/>
      <c r="CM59" s="79"/>
      <c r="CN59" s="79"/>
      <c r="CO59" s="79"/>
      <c r="CP59" s="79"/>
      <c r="CQ59" s="79"/>
      <c r="CR59" s="79"/>
      <c r="CS59" s="79"/>
      <c r="CT59" s="79"/>
      <c r="CU59" s="79"/>
      <c r="CV59" s="79"/>
      <c r="CW59" s="79"/>
      <c r="CX59" s="79"/>
      <c r="CY59" s="79"/>
      <c r="CZ59" s="79"/>
      <c r="DA59" s="79"/>
      <c r="DB59" s="79"/>
      <c r="DC59" s="79"/>
      <c r="DD59" s="79"/>
      <c r="DE59" s="79"/>
      <c r="DF59" s="79"/>
      <c r="DG59" s="79"/>
      <c r="DH59" s="79"/>
      <c r="DI59" s="79"/>
      <c r="DJ59" s="79"/>
      <c r="DK59" s="79"/>
      <c r="DL59" s="79"/>
      <c r="DM59" s="79"/>
      <c r="DN59" s="79"/>
      <c r="DO59" s="79"/>
      <c r="DP59" s="79"/>
      <c r="DQ59" s="79"/>
    </row>
    <row r="60" spans="2:121" ht="14.1" customHeight="1" thickBot="1" x14ac:dyDescent="0.3">
      <c r="B60" s="163" t="s">
        <v>62</v>
      </c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40"/>
      <c r="W60" s="177">
        <f>IF(AW65="X",BB65,IF(AW67="X",BB67,IF(AW70="X",BB70,0)))</f>
        <v>5247</v>
      </c>
      <c r="X60" s="177"/>
      <c r="Y60" s="177"/>
      <c r="Z60" s="177"/>
      <c r="AA60" s="177">
        <f>IF(AW65="X",BI65,IF(AW67="X",BI67,IF(AW70="X",BI70,0)))</f>
        <v>5573</v>
      </c>
      <c r="AB60" s="177"/>
      <c r="AC60" s="177"/>
      <c r="AD60" s="177"/>
      <c r="AE60" s="2"/>
      <c r="AF60" s="3"/>
      <c r="AG60" s="91" t="str">
        <f>IF(X54=0,0,IF(AND(X54&gt;=W60,X54&lt;=AA60),"X",0))</f>
        <v>X</v>
      </c>
      <c r="AH60" s="44" t="s">
        <v>17</v>
      </c>
      <c r="AI60" s="45"/>
      <c r="AJ60" s="46"/>
      <c r="AK60" s="47"/>
      <c r="AL60" s="48">
        <f>IF(SUM(C51:AO51)+SUM(C53:AO53)=0,0,IF(AND(X54&gt;=W60,X54&lt;=AA60),0,"X"))</f>
        <v>0</v>
      </c>
      <c r="AM60" s="44" t="s">
        <v>18</v>
      </c>
      <c r="AN60" s="45"/>
      <c r="AO60" s="45"/>
      <c r="AP60" s="17"/>
      <c r="AV60" s="151" t="s">
        <v>13</v>
      </c>
      <c r="AW60" s="151"/>
      <c r="AX60" t="s">
        <v>187</v>
      </c>
      <c r="BA60" s="151">
        <v>100</v>
      </c>
      <c r="BB60" s="151"/>
      <c r="BC60" s="151"/>
      <c r="BD60" s="151"/>
      <c r="BF60" t="s">
        <v>188</v>
      </c>
      <c r="BH60" s="151">
        <v>120</v>
      </c>
      <c r="BI60" s="151"/>
      <c r="BJ60" s="151"/>
      <c r="BK60" s="151"/>
      <c r="CE60" s="166">
        <f>SUM(CE56:DQ58)</f>
        <v>0</v>
      </c>
      <c r="CF60" s="167"/>
      <c r="CG60" s="168"/>
    </row>
    <row r="61" spans="2:121" ht="3.95" customHeight="1" x14ac:dyDescent="0.25">
      <c r="B61" s="81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65"/>
      <c r="X61" s="65"/>
      <c r="Y61" s="65"/>
      <c r="Z61" s="65"/>
      <c r="AA61" s="65"/>
      <c r="AB61" s="65"/>
      <c r="AC61" s="65"/>
      <c r="AD61" s="65"/>
      <c r="AG61" s="66"/>
      <c r="AH61" s="67"/>
      <c r="AI61" s="68"/>
      <c r="AJ61" s="69"/>
      <c r="AK61" s="70"/>
      <c r="AL61" s="66"/>
      <c r="AM61" s="67"/>
      <c r="AN61" s="68"/>
      <c r="AO61" s="68"/>
      <c r="AP61" s="23"/>
      <c r="CE61" s="79"/>
      <c r="CF61" s="79"/>
      <c r="CG61" s="79"/>
    </row>
    <row r="62" spans="2:121" ht="14.1" customHeight="1" thickBot="1" x14ac:dyDescent="0.3">
      <c r="B62" s="169" t="s">
        <v>112</v>
      </c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1" t="s">
        <v>428</v>
      </c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2"/>
      <c r="CE62" s="79"/>
      <c r="CF62" s="79"/>
      <c r="CG62" s="79"/>
    </row>
    <row r="63" spans="2:121" ht="5.0999999999999996" customHeight="1" thickBot="1" x14ac:dyDescent="0.3"/>
    <row r="64" spans="2:121" x14ac:dyDescent="0.25">
      <c r="B64" s="157" t="s">
        <v>86</v>
      </c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73" t="s">
        <v>92</v>
      </c>
      <c r="O64" s="174"/>
      <c r="P64" s="174"/>
      <c r="Q64" s="174"/>
      <c r="R64" s="174"/>
      <c r="S64" s="174"/>
      <c r="T64" s="174"/>
      <c r="U64" s="174"/>
      <c r="V64" s="62" t="s">
        <v>91</v>
      </c>
      <c r="W64" s="63"/>
      <c r="X64" s="63"/>
      <c r="Y64" s="351" t="str">
        <f>VLOOKUP($AN$1,'plan de data'!$A$3:$C$189,3,0)</f>
        <v>1316-1317-1318-1319</v>
      </c>
      <c r="Z64" s="351"/>
      <c r="AA64" s="351"/>
      <c r="AB64" s="351"/>
      <c r="AC64" s="351"/>
      <c r="AD64" s="352"/>
      <c r="AE64" s="160" t="s">
        <v>16</v>
      </c>
      <c r="AF64" s="161"/>
      <c r="AG64" s="161"/>
      <c r="AH64" s="161"/>
      <c r="AI64" s="161"/>
      <c r="AJ64" s="161"/>
      <c r="AK64" s="161"/>
      <c r="AL64" s="161"/>
      <c r="AM64" s="161"/>
      <c r="AN64" s="161"/>
      <c r="AO64" s="161"/>
      <c r="AP64" s="162"/>
    </row>
    <row r="65" spans="2:95" x14ac:dyDescent="0.25">
      <c r="B65" s="56"/>
      <c r="C65" s="31" t="s">
        <v>97</v>
      </c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8"/>
      <c r="AE65" s="76"/>
      <c r="AF65" s="3"/>
      <c r="AG65" s="91" t="s">
        <v>58</v>
      </c>
      <c r="AH65" s="44" t="s">
        <v>17</v>
      </c>
      <c r="AI65" s="45"/>
      <c r="AJ65" s="46"/>
      <c r="AK65" s="47"/>
      <c r="AL65" s="48"/>
      <c r="AM65" s="44" t="s">
        <v>18</v>
      </c>
      <c r="AN65" s="45"/>
      <c r="AO65" s="45"/>
      <c r="AP65" s="17"/>
      <c r="AW65" s="151" t="s">
        <v>13</v>
      </c>
      <c r="AX65" s="151"/>
      <c r="AY65" t="s">
        <v>137</v>
      </c>
      <c r="BB65" s="151">
        <v>5247</v>
      </c>
      <c r="BC65" s="151"/>
      <c r="BD65" s="151"/>
      <c r="BE65" s="151"/>
      <c r="BG65" t="s">
        <v>188</v>
      </c>
      <c r="BI65" s="151">
        <v>5573</v>
      </c>
      <c r="BJ65" s="151"/>
      <c r="BK65" s="151"/>
      <c r="BL65" s="151"/>
      <c r="BN65" t="s">
        <v>190</v>
      </c>
    </row>
    <row r="66" spans="2:95" x14ac:dyDescent="0.25">
      <c r="B66" s="36"/>
      <c r="C66" s="31" t="s">
        <v>110</v>
      </c>
      <c r="D66" s="32"/>
      <c r="E66" s="33"/>
      <c r="F66" s="33"/>
      <c r="G66" s="33"/>
      <c r="H66" s="33"/>
      <c r="I66" s="33"/>
      <c r="J66" s="33"/>
      <c r="K66" s="32"/>
      <c r="L66" s="32"/>
      <c r="M66" s="32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4"/>
      <c r="AE66" s="2"/>
      <c r="AF66" s="3"/>
      <c r="AG66" s="91" t="s">
        <v>58</v>
      </c>
      <c r="AH66" s="44" t="s">
        <v>17</v>
      </c>
      <c r="AI66" s="45"/>
      <c r="AJ66" s="46"/>
      <c r="AK66" s="47"/>
      <c r="AL66" s="48"/>
      <c r="AM66" s="44" t="s">
        <v>18</v>
      </c>
      <c r="AN66" s="45"/>
      <c r="AO66" s="45"/>
      <c r="AP66" s="17"/>
      <c r="AW66" s="165"/>
      <c r="AX66" s="165"/>
    </row>
    <row r="67" spans="2:95" ht="15.75" thickBot="1" x14ac:dyDescent="0.3">
      <c r="B67" s="51"/>
      <c r="C67" s="52" t="s">
        <v>111</v>
      </c>
      <c r="D67" s="53"/>
      <c r="E67" s="54"/>
      <c r="F67" s="54"/>
      <c r="G67" s="54"/>
      <c r="H67" s="54"/>
      <c r="I67" s="54"/>
      <c r="J67" s="54"/>
      <c r="K67" s="53"/>
      <c r="L67" s="53"/>
      <c r="M67" s="53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55"/>
      <c r="AE67" s="25"/>
      <c r="AF67" s="26"/>
      <c r="AG67" s="349" t="s">
        <v>58</v>
      </c>
      <c r="AH67" s="40" t="s">
        <v>17</v>
      </c>
      <c r="AI67" s="41"/>
      <c r="AJ67" s="42"/>
      <c r="AK67" s="43"/>
      <c r="AL67" s="50"/>
      <c r="AM67" s="40" t="s">
        <v>18</v>
      </c>
      <c r="AN67" s="41"/>
      <c r="AO67" s="41"/>
      <c r="AP67" s="27"/>
      <c r="AW67" s="151"/>
      <c r="AX67" s="151"/>
      <c r="AY67" t="s">
        <v>187</v>
      </c>
      <c r="BB67" s="151">
        <v>1846</v>
      </c>
      <c r="BC67" s="151"/>
      <c r="BD67" s="151"/>
      <c r="BE67" s="151"/>
      <c r="BG67" t="s">
        <v>188</v>
      </c>
      <c r="BI67" s="151">
        <v>2100</v>
      </c>
      <c r="BJ67" s="151"/>
      <c r="BK67" s="151"/>
      <c r="BL67" s="151"/>
      <c r="BN67" t="s">
        <v>190</v>
      </c>
    </row>
    <row r="68" spans="2:95" ht="5.0999999999999996" customHeight="1" thickBot="1" x14ac:dyDescent="0.3"/>
    <row r="69" spans="2:95" ht="14.1" customHeight="1" x14ac:dyDescent="0.25">
      <c r="B69" s="157" t="s">
        <v>68</v>
      </c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9"/>
      <c r="AE69" s="160" t="s">
        <v>16</v>
      </c>
      <c r="AF69" s="161"/>
      <c r="AG69" s="161"/>
      <c r="AH69" s="161"/>
      <c r="AI69" s="161"/>
      <c r="AJ69" s="161"/>
      <c r="AK69" s="161"/>
      <c r="AL69" s="161"/>
      <c r="AM69" s="161"/>
      <c r="AN69" s="161"/>
      <c r="AO69" s="161"/>
      <c r="AP69" s="162"/>
      <c r="CE69" s="29">
        <v>1</v>
      </c>
      <c r="CF69" s="29">
        <v>2</v>
      </c>
      <c r="CG69" s="29">
        <v>3</v>
      </c>
      <c r="CH69" s="29">
        <v>4</v>
      </c>
      <c r="CI69" s="29">
        <v>5</v>
      </c>
      <c r="CJ69" s="29">
        <v>6</v>
      </c>
      <c r="CK69" s="29">
        <v>7</v>
      </c>
      <c r="CL69" s="29">
        <v>8</v>
      </c>
      <c r="CM69" s="29">
        <v>9</v>
      </c>
      <c r="CN69" s="29">
        <v>10</v>
      </c>
      <c r="CO69" s="29">
        <v>11</v>
      </c>
      <c r="CP69" s="29">
        <v>12</v>
      </c>
      <c r="CQ69" s="29">
        <v>13</v>
      </c>
    </row>
    <row r="70" spans="2:95" ht="14.1" customHeight="1" x14ac:dyDescent="0.25">
      <c r="B70" s="36"/>
      <c r="C70" s="31" t="s">
        <v>69</v>
      </c>
      <c r="D70" s="32"/>
      <c r="E70" s="33"/>
      <c r="F70" s="33"/>
      <c r="G70" s="33"/>
      <c r="H70" s="33"/>
      <c r="I70" s="33"/>
      <c r="J70" s="33"/>
      <c r="K70" s="32"/>
      <c r="L70" s="32"/>
      <c r="M70" s="32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4"/>
      <c r="AE70" s="2"/>
      <c r="AF70" s="3"/>
      <c r="AG70" s="91" t="s">
        <v>58</v>
      </c>
      <c r="AH70" s="44" t="s">
        <v>17</v>
      </c>
      <c r="AI70" s="45"/>
      <c r="AJ70" s="46"/>
      <c r="AK70" s="47"/>
      <c r="AL70" s="48"/>
      <c r="AM70" s="44" t="s">
        <v>18</v>
      </c>
      <c r="AN70" s="45"/>
      <c r="AO70" s="45"/>
      <c r="AP70" s="17"/>
      <c r="AW70" s="151"/>
      <c r="AX70" s="151"/>
      <c r="AY70" t="s">
        <v>137</v>
      </c>
      <c r="BB70" s="151">
        <f>BA58*22</f>
        <v>7062</v>
      </c>
      <c r="BC70" s="151"/>
      <c r="BD70" s="151"/>
      <c r="BE70" s="151"/>
      <c r="BG70" t="s">
        <v>188</v>
      </c>
      <c r="BI70" s="151">
        <f>22*BH58</f>
        <v>7832</v>
      </c>
      <c r="BJ70" s="151"/>
      <c r="BK70" s="151"/>
      <c r="BL70" s="151"/>
      <c r="BN70" t="s">
        <v>191</v>
      </c>
      <c r="CE70" s="28" t="b">
        <f>CE56</f>
        <v>0</v>
      </c>
      <c r="CF70" s="28" t="b">
        <f>CH56</f>
        <v>0</v>
      </c>
      <c r="CG70" s="28" t="b">
        <f>CK56</f>
        <v>0</v>
      </c>
      <c r="CH70" s="28" t="b">
        <f>CN56</f>
        <v>0</v>
      </c>
      <c r="CI70" s="28" t="b">
        <f>CQ56</f>
        <v>0</v>
      </c>
      <c r="CJ70" s="28" t="b">
        <f>CT56</f>
        <v>0</v>
      </c>
      <c r="CK70" s="28" t="b">
        <f>CW56</f>
        <v>0</v>
      </c>
      <c r="CL70" s="28" t="b">
        <f>CZ56</f>
        <v>0</v>
      </c>
      <c r="CM70" s="28" t="b">
        <f>DC56</f>
        <v>0</v>
      </c>
      <c r="CN70" s="28">
        <f>DF57</f>
        <v>0</v>
      </c>
      <c r="CO70" s="28" t="b">
        <f>DI56</f>
        <v>0</v>
      </c>
      <c r="CP70" s="28" t="b">
        <f>DL56</f>
        <v>0</v>
      </c>
      <c r="CQ70" s="28" t="b">
        <f>DO56</f>
        <v>0</v>
      </c>
    </row>
    <row r="71" spans="2:95" ht="14.1" customHeight="1" x14ac:dyDescent="0.25">
      <c r="B71" s="36"/>
      <c r="C71" s="31" t="s">
        <v>70</v>
      </c>
      <c r="D71" s="32"/>
      <c r="E71" s="33"/>
      <c r="F71" s="33"/>
      <c r="G71" s="33"/>
      <c r="H71" s="33"/>
      <c r="I71" s="33"/>
      <c r="J71" s="33"/>
      <c r="K71" s="32"/>
      <c r="L71" s="32"/>
      <c r="M71" s="32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4"/>
      <c r="AE71" s="2"/>
      <c r="AF71" s="3"/>
      <c r="AG71" s="91" t="s">
        <v>58</v>
      </c>
      <c r="AH71" s="44" t="s">
        <v>17</v>
      </c>
      <c r="AI71" s="45"/>
      <c r="AJ71" s="46"/>
      <c r="AK71" s="47"/>
      <c r="AL71" s="48"/>
      <c r="AM71" s="44" t="s">
        <v>18</v>
      </c>
      <c r="AN71" s="45"/>
      <c r="AO71" s="45"/>
      <c r="AP71" s="17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</row>
    <row r="72" spans="2:95" ht="14.1" customHeight="1" x14ac:dyDescent="0.25">
      <c r="B72" s="36"/>
      <c r="C72" s="31" t="s">
        <v>84</v>
      </c>
      <c r="D72" s="32"/>
      <c r="E72" s="33"/>
      <c r="F72" s="33"/>
      <c r="G72" s="33"/>
      <c r="H72" s="33"/>
      <c r="I72" s="33"/>
      <c r="J72" s="33"/>
      <c r="K72" s="32"/>
      <c r="L72" s="32"/>
      <c r="M72" s="32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4"/>
      <c r="AE72" s="2"/>
      <c r="AF72" s="3"/>
      <c r="AG72" s="91" t="s">
        <v>58</v>
      </c>
      <c r="AH72" s="44" t="s">
        <v>17</v>
      </c>
      <c r="AI72" s="45"/>
      <c r="AJ72" s="46"/>
      <c r="AK72" s="47"/>
      <c r="AL72" s="48"/>
      <c r="AM72" s="44" t="s">
        <v>18</v>
      </c>
      <c r="AN72" s="45"/>
      <c r="AO72" s="45"/>
      <c r="AP72" s="17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</row>
    <row r="73" spans="2:95" ht="14.1" customHeight="1" x14ac:dyDescent="0.25">
      <c r="B73" s="36"/>
      <c r="C73" s="31" t="s">
        <v>71</v>
      </c>
      <c r="D73" s="32"/>
      <c r="E73" s="33"/>
      <c r="F73" s="33"/>
      <c r="G73" s="33"/>
      <c r="H73" s="33"/>
      <c r="I73" s="33"/>
      <c r="J73" s="33"/>
      <c r="K73" s="32"/>
      <c r="L73" s="32"/>
      <c r="M73" s="32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4"/>
      <c r="AE73" s="2"/>
      <c r="AF73" s="3"/>
      <c r="AG73" s="91" t="s">
        <v>58</v>
      </c>
      <c r="AH73" s="44" t="s">
        <v>17</v>
      </c>
      <c r="AI73" s="45"/>
      <c r="AJ73" s="46"/>
      <c r="AK73" s="47"/>
      <c r="AL73" s="48"/>
      <c r="AM73" s="44" t="s">
        <v>18</v>
      </c>
      <c r="AN73" s="45"/>
      <c r="AO73" s="45"/>
      <c r="AP73" s="17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</row>
    <row r="74" spans="2:95" ht="5.0999999999999996" customHeight="1" x14ac:dyDescent="0.25">
      <c r="B74" s="19"/>
      <c r="AP74" s="23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</row>
    <row r="75" spans="2:95" ht="14.1" customHeight="1" x14ac:dyDescent="0.25">
      <c r="B75" s="163" t="s">
        <v>72</v>
      </c>
      <c r="C75" s="139"/>
      <c r="D75" s="139"/>
      <c r="E75" s="139"/>
      <c r="F75" s="139"/>
      <c r="G75" s="139"/>
      <c r="H75" s="139"/>
      <c r="I75" s="139"/>
      <c r="J75" s="139"/>
      <c r="K75" s="140"/>
      <c r="L75" s="138" t="s">
        <v>73</v>
      </c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 t="s">
        <v>74</v>
      </c>
      <c r="Y75" s="139"/>
      <c r="Z75" s="139"/>
      <c r="AA75" s="139"/>
      <c r="AB75" s="139"/>
      <c r="AC75" s="139"/>
      <c r="AD75" s="139"/>
      <c r="AE75" s="139"/>
      <c r="AF75" s="139"/>
      <c r="AG75" s="139"/>
      <c r="AH75" s="139"/>
      <c r="AI75" s="139"/>
      <c r="AJ75" s="139"/>
      <c r="AK75" s="139"/>
      <c r="AL75" s="139"/>
      <c r="AM75" s="139"/>
      <c r="AN75" s="139"/>
      <c r="AO75" s="139"/>
      <c r="AP75" s="164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</row>
    <row r="76" spans="2:95" ht="14.1" customHeight="1" x14ac:dyDescent="0.25">
      <c r="B76" s="141"/>
      <c r="C76" s="142"/>
      <c r="D76" s="142"/>
      <c r="E76" s="142"/>
      <c r="F76" s="142"/>
      <c r="G76" s="142"/>
      <c r="H76" s="142"/>
      <c r="I76" s="142"/>
      <c r="J76" s="142"/>
      <c r="K76" s="143"/>
      <c r="L76" s="48"/>
      <c r="M76" s="1" t="s">
        <v>20</v>
      </c>
      <c r="N76" s="1"/>
      <c r="O76" s="1"/>
      <c r="P76" s="48"/>
      <c r="Q76" s="1" t="s">
        <v>21</v>
      </c>
      <c r="R76" s="1"/>
      <c r="S76" s="1"/>
      <c r="T76" s="48"/>
      <c r="U76" s="1" t="s">
        <v>22</v>
      </c>
      <c r="V76" s="1"/>
      <c r="W76" s="1"/>
      <c r="X76" s="144"/>
      <c r="Y76" s="144"/>
      <c r="Z76" s="144"/>
      <c r="AA76" s="144"/>
      <c r="AB76" s="144"/>
      <c r="AC76" s="144"/>
      <c r="AD76" s="144"/>
      <c r="AE76" s="144"/>
      <c r="AF76" s="144"/>
      <c r="AG76" s="144"/>
      <c r="AH76" s="144"/>
      <c r="AI76" s="144"/>
      <c r="AJ76" s="144"/>
      <c r="AK76" s="144"/>
      <c r="AL76" s="144"/>
      <c r="AM76" s="144"/>
      <c r="AN76" s="144"/>
      <c r="AO76" s="144"/>
      <c r="AP76" s="145"/>
      <c r="CE76" s="29">
        <v>14</v>
      </c>
      <c r="CF76" s="29">
        <v>15</v>
      </c>
      <c r="CG76" s="29">
        <v>16</v>
      </c>
      <c r="CH76" s="29">
        <v>17</v>
      </c>
      <c r="CI76" s="29">
        <v>18</v>
      </c>
      <c r="CJ76" s="29">
        <v>19</v>
      </c>
      <c r="CK76" s="29">
        <v>20</v>
      </c>
      <c r="CL76" s="29">
        <v>21</v>
      </c>
      <c r="CM76" s="29">
        <v>22</v>
      </c>
      <c r="CN76" s="29">
        <v>23</v>
      </c>
      <c r="CO76" s="29">
        <v>24</v>
      </c>
      <c r="CP76" s="29">
        <v>25</v>
      </c>
      <c r="CQ76" s="29">
        <v>26</v>
      </c>
    </row>
    <row r="77" spans="2:95" ht="14.1" customHeight="1" x14ac:dyDescent="0.25">
      <c r="B77" s="141"/>
      <c r="C77" s="142"/>
      <c r="D77" s="142"/>
      <c r="E77" s="142"/>
      <c r="F77" s="142"/>
      <c r="G77" s="142"/>
      <c r="H77" s="142"/>
      <c r="I77" s="142"/>
      <c r="J77" s="142"/>
      <c r="K77" s="143"/>
      <c r="L77" s="48"/>
      <c r="M77" s="1" t="s">
        <v>20</v>
      </c>
      <c r="N77" s="1"/>
      <c r="O77" s="1"/>
      <c r="P77" s="48"/>
      <c r="Q77" s="1" t="s">
        <v>21</v>
      </c>
      <c r="R77" s="1"/>
      <c r="S77" s="1"/>
      <c r="T77" s="48"/>
      <c r="U77" s="1" t="s">
        <v>22</v>
      </c>
      <c r="V77" s="1"/>
      <c r="W77" s="1"/>
      <c r="X77" s="144"/>
      <c r="Y77" s="144"/>
      <c r="Z77" s="144"/>
      <c r="AA77" s="144"/>
      <c r="AB77" s="144"/>
      <c r="AC77" s="144"/>
      <c r="AD77" s="144"/>
      <c r="AE77" s="144"/>
      <c r="AF77" s="144"/>
      <c r="AG77" s="144"/>
      <c r="AH77" s="144"/>
      <c r="AI77" s="144"/>
      <c r="AJ77" s="144"/>
      <c r="AK77" s="144"/>
      <c r="AL77" s="144"/>
      <c r="AM77" s="144"/>
      <c r="AN77" s="144"/>
      <c r="AO77" s="144"/>
      <c r="AP77" s="145"/>
      <c r="CE77" s="28" t="b">
        <f>CE58</f>
        <v>0</v>
      </c>
      <c r="CF77" s="28" t="b">
        <f>CH58</f>
        <v>0</v>
      </c>
      <c r="CG77" s="28" t="b">
        <f>CK58</f>
        <v>0</v>
      </c>
      <c r="CH77" s="28" t="b">
        <f>CN58</f>
        <v>0</v>
      </c>
      <c r="CI77" s="28" t="b">
        <f>CQ58</f>
        <v>0</v>
      </c>
      <c r="CJ77" s="28" t="b">
        <f>CT58</f>
        <v>0</v>
      </c>
      <c r="CK77" s="28" t="b">
        <f>CW58</f>
        <v>0</v>
      </c>
      <c r="CL77" s="28" t="b">
        <f>CZ58</f>
        <v>0</v>
      </c>
      <c r="CM77" s="28" t="b">
        <f>DC58</f>
        <v>0</v>
      </c>
      <c r="CN77" s="28" t="b">
        <f>DF58</f>
        <v>0</v>
      </c>
      <c r="CO77" s="28" t="b">
        <f>DI58</f>
        <v>0</v>
      </c>
      <c r="CP77" s="28" t="b">
        <f>DL58</f>
        <v>0</v>
      </c>
      <c r="CQ77" s="28" t="b">
        <f>DO58</f>
        <v>0</v>
      </c>
    </row>
    <row r="78" spans="2:95" ht="14.1" customHeight="1" x14ac:dyDescent="0.25">
      <c r="B78" s="141"/>
      <c r="C78" s="142"/>
      <c r="D78" s="142"/>
      <c r="E78" s="142"/>
      <c r="F78" s="142"/>
      <c r="G78" s="142"/>
      <c r="H78" s="142"/>
      <c r="I78" s="142"/>
      <c r="J78" s="142"/>
      <c r="K78" s="143"/>
      <c r="L78" s="48"/>
      <c r="M78" s="1" t="s">
        <v>20</v>
      </c>
      <c r="N78" s="1"/>
      <c r="O78" s="1"/>
      <c r="P78" s="48"/>
      <c r="Q78" s="1" t="s">
        <v>21</v>
      </c>
      <c r="R78" s="1"/>
      <c r="S78" s="1"/>
      <c r="T78" s="48"/>
      <c r="U78" s="1" t="s">
        <v>22</v>
      </c>
      <c r="V78" s="1"/>
      <c r="W78" s="1"/>
      <c r="X78" s="144"/>
      <c r="Y78" s="144"/>
      <c r="Z78" s="144"/>
      <c r="AA78" s="144"/>
      <c r="AB78" s="144"/>
      <c r="AC78" s="144"/>
      <c r="AD78" s="144"/>
      <c r="AE78" s="144"/>
      <c r="AF78" s="144"/>
      <c r="AG78" s="144"/>
      <c r="AH78" s="144"/>
      <c r="AI78" s="144"/>
      <c r="AJ78" s="144"/>
      <c r="AK78" s="144"/>
      <c r="AL78" s="144"/>
      <c r="AM78" s="144"/>
      <c r="AN78" s="144"/>
      <c r="AO78" s="144"/>
      <c r="AP78" s="145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</row>
    <row r="79" spans="2:95" ht="14.1" customHeight="1" x14ac:dyDescent="0.25">
      <c r="B79" s="141"/>
      <c r="C79" s="142"/>
      <c r="D79" s="142"/>
      <c r="E79" s="142"/>
      <c r="F79" s="142"/>
      <c r="G79" s="142"/>
      <c r="H79" s="142"/>
      <c r="I79" s="142"/>
      <c r="J79" s="142"/>
      <c r="K79" s="143"/>
      <c r="L79" s="48"/>
      <c r="M79" s="1" t="s">
        <v>20</v>
      </c>
      <c r="N79" s="1"/>
      <c r="O79" s="1"/>
      <c r="P79" s="48"/>
      <c r="Q79" s="1" t="s">
        <v>21</v>
      </c>
      <c r="R79" s="1"/>
      <c r="S79" s="1"/>
      <c r="T79" s="48"/>
      <c r="U79" s="1" t="s">
        <v>22</v>
      </c>
      <c r="V79" s="1"/>
      <c r="W79" s="1"/>
      <c r="X79" s="144"/>
      <c r="Y79" s="144"/>
      <c r="Z79" s="144"/>
      <c r="AA79" s="144"/>
      <c r="AB79" s="144"/>
      <c r="AC79" s="144"/>
      <c r="AD79" s="144"/>
      <c r="AE79" s="144"/>
      <c r="AF79" s="144"/>
      <c r="AG79" s="144"/>
      <c r="AH79" s="144"/>
      <c r="AI79" s="144"/>
      <c r="AJ79" s="144"/>
      <c r="AK79" s="144"/>
      <c r="AL79" s="144"/>
      <c r="AM79" s="144"/>
      <c r="AN79" s="144"/>
      <c r="AO79" s="144"/>
      <c r="AP79" s="145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</row>
    <row r="80" spans="2:95" ht="14.1" customHeight="1" thickBot="1" x14ac:dyDescent="0.3">
      <c r="B80" s="146"/>
      <c r="C80" s="147"/>
      <c r="D80" s="147"/>
      <c r="E80" s="147"/>
      <c r="F80" s="147"/>
      <c r="G80" s="147"/>
      <c r="H80" s="147"/>
      <c r="I80" s="147"/>
      <c r="J80" s="147"/>
      <c r="K80" s="148"/>
      <c r="L80" s="50"/>
      <c r="M80" s="37" t="s">
        <v>20</v>
      </c>
      <c r="N80" s="37"/>
      <c r="O80" s="37"/>
      <c r="P80" s="50"/>
      <c r="Q80" s="37" t="s">
        <v>21</v>
      </c>
      <c r="R80" s="37"/>
      <c r="S80" s="37"/>
      <c r="T80" s="50"/>
      <c r="U80" s="37" t="s">
        <v>22</v>
      </c>
      <c r="V80" s="37"/>
      <c r="W80" s="37"/>
      <c r="X80" s="149"/>
      <c r="Y80" s="149"/>
      <c r="Z80" s="149"/>
      <c r="AA80" s="149"/>
      <c r="AB80" s="149"/>
      <c r="AC80" s="149"/>
      <c r="AD80" s="149"/>
      <c r="AE80" s="149"/>
      <c r="AF80" s="149"/>
      <c r="AG80" s="149"/>
      <c r="AH80" s="149"/>
      <c r="AI80" s="149"/>
      <c r="AJ80" s="149"/>
      <c r="AK80" s="149"/>
      <c r="AL80" s="149"/>
      <c r="AM80" s="149"/>
      <c r="AN80" s="149"/>
      <c r="AO80" s="149"/>
      <c r="AP80" s="150"/>
    </row>
    <row r="81" spans="2:65" ht="5.0999999999999996" customHeight="1" thickBot="1" x14ac:dyDescent="0.3">
      <c r="AS81" s="151">
        <v>0</v>
      </c>
      <c r="AT81" s="151"/>
      <c r="AU81" s="151"/>
      <c r="AV81" s="151"/>
      <c r="AW81" s="151"/>
      <c r="AX81" s="151"/>
      <c r="AY81" s="151"/>
      <c r="AZ81" s="151"/>
      <c r="BA81" s="151"/>
      <c r="BB81" s="151"/>
    </row>
    <row r="82" spans="2:65" ht="14.45" customHeight="1" x14ac:dyDescent="0.25">
      <c r="B82" s="152" t="s">
        <v>90</v>
      </c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4"/>
      <c r="N82" s="155" t="s">
        <v>87</v>
      </c>
      <c r="O82" s="153"/>
      <c r="P82" s="153"/>
      <c r="Q82" s="153"/>
      <c r="R82" s="153"/>
      <c r="S82" s="153"/>
      <c r="T82" s="153"/>
      <c r="U82" s="153"/>
      <c r="V82" s="153"/>
      <c r="W82" s="154"/>
      <c r="X82" s="155" t="s">
        <v>88</v>
      </c>
      <c r="Y82" s="153"/>
      <c r="Z82" s="153"/>
      <c r="AA82" s="153"/>
      <c r="AB82" s="153"/>
      <c r="AC82" s="153"/>
      <c r="AD82" s="153"/>
      <c r="AE82" s="153"/>
      <c r="AF82" s="153"/>
      <c r="AG82" s="153"/>
      <c r="AH82" s="153"/>
      <c r="AI82" s="153"/>
      <c r="AJ82" s="154"/>
      <c r="AK82" s="155" t="s">
        <v>89</v>
      </c>
      <c r="AL82" s="153"/>
      <c r="AM82" s="153"/>
      <c r="AN82" s="153"/>
      <c r="AO82" s="153"/>
      <c r="AP82" s="156"/>
      <c r="AS82" s="151"/>
      <c r="AT82" s="151"/>
      <c r="AU82" s="151"/>
      <c r="AV82" s="151"/>
      <c r="AW82" s="151"/>
      <c r="AX82" s="151"/>
      <c r="AY82" s="151"/>
      <c r="AZ82" s="151"/>
      <c r="BA82" s="151"/>
      <c r="BB82" s="151"/>
      <c r="BD82" t="s">
        <v>408</v>
      </c>
    </row>
    <row r="83" spans="2:65" ht="24.6" customHeight="1" thickBot="1" x14ac:dyDescent="0.3">
      <c r="B83" s="128" t="s">
        <v>140</v>
      </c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30"/>
      <c r="N83" s="131" t="s">
        <v>141</v>
      </c>
      <c r="O83" s="129"/>
      <c r="P83" s="129"/>
      <c r="Q83" s="129"/>
      <c r="R83" s="129"/>
      <c r="S83" s="129"/>
      <c r="T83" s="129"/>
      <c r="U83" s="129"/>
      <c r="V83" s="129"/>
      <c r="W83" s="130"/>
      <c r="X83" s="131" t="e" vm="1">
        <v>#VALUE!</v>
      </c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30"/>
      <c r="AK83" s="132">
        <f>B6+28</f>
        <v>45927</v>
      </c>
      <c r="AL83" s="133"/>
      <c r="AM83" s="133"/>
      <c r="AN83" s="133"/>
      <c r="AO83" s="133"/>
      <c r="AP83" s="134"/>
      <c r="AS83" s="135">
        <f>AK83+AS81</f>
        <v>45927</v>
      </c>
      <c r="AT83" s="136"/>
      <c r="AU83" s="136"/>
      <c r="AV83" s="136"/>
      <c r="AW83" s="136"/>
      <c r="AX83" s="136"/>
      <c r="AY83" s="136"/>
      <c r="AZ83" s="136"/>
      <c r="BA83" s="136"/>
      <c r="BB83" s="137"/>
      <c r="BC83">
        <v>1</v>
      </c>
      <c r="BF83" s="138" t="str">
        <f>TEXT(AS83,"ddd")</f>
        <v>sáb</v>
      </c>
      <c r="BG83" s="139"/>
      <c r="BH83" s="139"/>
      <c r="BI83" s="139"/>
      <c r="BJ83" s="139"/>
      <c r="BK83" s="139"/>
      <c r="BL83" s="139"/>
      <c r="BM83" s="140"/>
    </row>
  </sheetData>
  <sheetProtection autoFilter="0"/>
  <protectedRanges>
    <protectedRange sqref="AG6 AM6 B29:S33 AG70:AG73 AL70:AL73 AL65:AL67 AG65:AG67 AE42 AI42 AM42 AG38 AL38 AG29 AL29 AG22 AL22 P2 G11:AP11" name="Intervalo2"/>
    <protectedRange sqref="AG2" name="Intervalo1_1"/>
  </protectedRanges>
  <autoFilter ref="A6:A19" xr:uid="{00000000-0009-0000-0000-000001000000}">
    <filterColumn colId="0">
      <customFilters>
        <customFilter operator="notEqual" val=" "/>
      </customFilters>
    </filterColumn>
  </autoFilter>
  <mergeCells count="533">
    <mergeCell ref="B83:M83"/>
    <mergeCell ref="N83:W83"/>
    <mergeCell ref="X83:AJ83"/>
    <mergeCell ref="AK83:AP83"/>
    <mergeCell ref="AS83:BB83"/>
    <mergeCell ref="BF83:BM83"/>
    <mergeCell ref="B79:K79"/>
    <mergeCell ref="X79:AP79"/>
    <mergeCell ref="B80:K80"/>
    <mergeCell ref="X80:AP80"/>
    <mergeCell ref="AS81:BB82"/>
    <mergeCell ref="B82:M82"/>
    <mergeCell ref="N82:W82"/>
    <mergeCell ref="X82:AJ82"/>
    <mergeCell ref="AK82:AP82"/>
    <mergeCell ref="B76:K76"/>
    <mergeCell ref="X76:AP76"/>
    <mergeCell ref="B77:K77"/>
    <mergeCell ref="X77:AP77"/>
    <mergeCell ref="B78:K78"/>
    <mergeCell ref="X78:AP78"/>
    <mergeCell ref="B69:AD69"/>
    <mergeCell ref="AE69:AP69"/>
    <mergeCell ref="AW70:AX70"/>
    <mergeCell ref="BB70:BE70"/>
    <mergeCell ref="BI70:BL70"/>
    <mergeCell ref="B75:K75"/>
    <mergeCell ref="L75:W75"/>
    <mergeCell ref="X75:AP75"/>
    <mergeCell ref="AW65:AX65"/>
    <mergeCell ref="BB65:BE65"/>
    <mergeCell ref="BI65:BL65"/>
    <mergeCell ref="AW66:AX66"/>
    <mergeCell ref="AW67:AX67"/>
    <mergeCell ref="BB67:BE67"/>
    <mergeCell ref="BI67:BL67"/>
    <mergeCell ref="CE60:CG60"/>
    <mergeCell ref="B62:Z62"/>
    <mergeCell ref="AA62:AP62"/>
    <mergeCell ref="B64:M64"/>
    <mergeCell ref="N64:U64"/>
    <mergeCell ref="Y64:AD64"/>
    <mergeCell ref="AE64:AP64"/>
    <mergeCell ref="B60:V60"/>
    <mergeCell ref="W60:Z60"/>
    <mergeCell ref="AA60:AD60"/>
    <mergeCell ref="AV60:AW60"/>
    <mergeCell ref="BA60:BD60"/>
    <mergeCell ref="BH60:BK60"/>
    <mergeCell ref="DC58:DE58"/>
    <mergeCell ref="DF58:DH58"/>
    <mergeCell ref="DI58:DK58"/>
    <mergeCell ref="DL58:DN58"/>
    <mergeCell ref="DO58:DQ58"/>
    <mergeCell ref="AV59:AW59"/>
    <mergeCell ref="CK58:CM58"/>
    <mergeCell ref="CN58:CP58"/>
    <mergeCell ref="CQ58:CS58"/>
    <mergeCell ref="CT58:CV58"/>
    <mergeCell ref="CW58:CY58"/>
    <mergeCell ref="CZ58:DB58"/>
    <mergeCell ref="C58:M58"/>
    <mergeCell ref="AV58:AW58"/>
    <mergeCell ref="BA58:BD58"/>
    <mergeCell ref="BH58:BK58"/>
    <mergeCell ref="CE58:CG58"/>
    <mergeCell ref="CH58:CJ58"/>
    <mergeCell ref="CN57:CP57"/>
    <mergeCell ref="CQ57:CS57"/>
    <mergeCell ref="CT57:CV57"/>
    <mergeCell ref="DL56:DN56"/>
    <mergeCell ref="DO56:DQ56"/>
    <mergeCell ref="B57:V57"/>
    <mergeCell ref="W57:Z57"/>
    <mergeCell ref="AA57:AD57"/>
    <mergeCell ref="CE57:CG57"/>
    <mergeCell ref="CH57:CJ57"/>
    <mergeCell ref="CK57:CM57"/>
    <mergeCell ref="CN56:CP56"/>
    <mergeCell ref="CQ56:CS56"/>
    <mergeCell ref="CT56:CV56"/>
    <mergeCell ref="CW56:CY56"/>
    <mergeCell ref="CZ56:DB56"/>
    <mergeCell ref="DC56:DE56"/>
    <mergeCell ref="DF57:DH57"/>
    <mergeCell ref="DI57:DK57"/>
    <mergeCell ref="DL57:DN57"/>
    <mergeCell ref="DO57:DQ57"/>
    <mergeCell ref="CW57:CY57"/>
    <mergeCell ref="CZ57:DB57"/>
    <mergeCell ref="DC57:DE57"/>
    <mergeCell ref="DI54:DK54"/>
    <mergeCell ref="DL54:DN54"/>
    <mergeCell ref="DO54:DQ54"/>
    <mergeCell ref="B56:V56"/>
    <mergeCell ref="W56:Z56"/>
    <mergeCell ref="AA56:AD56"/>
    <mergeCell ref="AE56:AP56"/>
    <mergeCell ref="CE56:CG56"/>
    <mergeCell ref="CH56:CJ56"/>
    <mergeCell ref="CK56:CM56"/>
    <mergeCell ref="CQ54:CS54"/>
    <mergeCell ref="CT54:CV54"/>
    <mergeCell ref="CW54:CY54"/>
    <mergeCell ref="CZ54:DB54"/>
    <mergeCell ref="DC54:DE54"/>
    <mergeCell ref="DF54:DH54"/>
    <mergeCell ref="B54:W54"/>
    <mergeCell ref="X54:AB54"/>
    <mergeCell ref="CE54:CG54"/>
    <mergeCell ref="CH54:CJ54"/>
    <mergeCell ref="CK54:CM54"/>
    <mergeCell ref="CN54:CP54"/>
    <mergeCell ref="DF56:DH56"/>
    <mergeCell ref="DI56:DK56"/>
    <mergeCell ref="C53:E53"/>
    <mergeCell ref="F53:H53"/>
    <mergeCell ref="I53:K53"/>
    <mergeCell ref="L53:N53"/>
    <mergeCell ref="O53:Q53"/>
    <mergeCell ref="R53:T53"/>
    <mergeCell ref="U53:W53"/>
    <mergeCell ref="X53:Z53"/>
    <mergeCell ref="BG52:BI52"/>
    <mergeCell ref="AM52:AO52"/>
    <mergeCell ref="AR52:AT52"/>
    <mergeCell ref="AU53:AW53"/>
    <mergeCell ref="AX53:AZ53"/>
    <mergeCell ref="BA53:BC53"/>
    <mergeCell ref="BD53:BF53"/>
    <mergeCell ref="BG53:BI53"/>
    <mergeCell ref="AJ52:AL52"/>
    <mergeCell ref="AA53:AC53"/>
    <mergeCell ref="AD53:AF53"/>
    <mergeCell ref="AG53:AI53"/>
    <mergeCell ref="AJ53:AL53"/>
    <mergeCell ref="AM53:AO53"/>
    <mergeCell ref="AR53:AT53"/>
    <mergeCell ref="BY52:CA52"/>
    <mergeCell ref="CB52:CD52"/>
    <mergeCell ref="BJ52:BL52"/>
    <mergeCell ref="BM52:BO52"/>
    <mergeCell ref="BP52:BR52"/>
    <mergeCell ref="BS52:BU52"/>
    <mergeCell ref="BV52:BX52"/>
    <mergeCell ref="BM53:BO53"/>
    <mergeCell ref="BP53:BR53"/>
    <mergeCell ref="BS53:BU53"/>
    <mergeCell ref="BV53:BX53"/>
    <mergeCell ref="BY53:CA53"/>
    <mergeCell ref="CB53:CD53"/>
    <mergeCell ref="BJ53:BL53"/>
    <mergeCell ref="C52:E52"/>
    <mergeCell ref="F52:H52"/>
    <mergeCell ref="I52:K52"/>
    <mergeCell ref="L52:N52"/>
    <mergeCell ref="O52:Q52"/>
    <mergeCell ref="R52:T52"/>
    <mergeCell ref="BM51:BO51"/>
    <mergeCell ref="BP51:BR51"/>
    <mergeCell ref="BS51:BU51"/>
    <mergeCell ref="AA51:AC51"/>
    <mergeCell ref="AD51:AF51"/>
    <mergeCell ref="AG51:AI51"/>
    <mergeCell ref="AJ51:AL51"/>
    <mergeCell ref="AM51:AO51"/>
    <mergeCell ref="AR51:AT51"/>
    <mergeCell ref="AU52:AW52"/>
    <mergeCell ref="AX52:AZ52"/>
    <mergeCell ref="BA52:BC52"/>
    <mergeCell ref="BD52:BF52"/>
    <mergeCell ref="U52:W52"/>
    <mergeCell ref="X52:Z52"/>
    <mergeCell ref="AA52:AC52"/>
    <mergeCell ref="AD52:AF52"/>
    <mergeCell ref="AG52:AI52"/>
    <mergeCell ref="BV51:BX51"/>
    <mergeCell ref="BY51:CA51"/>
    <mergeCell ref="CB51:CD51"/>
    <mergeCell ref="AU51:AW51"/>
    <mergeCell ref="AX51:AZ51"/>
    <mergeCell ref="BA51:BC51"/>
    <mergeCell ref="BD51:BF51"/>
    <mergeCell ref="BG51:BI51"/>
    <mergeCell ref="BJ51:BL51"/>
    <mergeCell ref="BY50:CA50"/>
    <mergeCell ref="CB50:CD50"/>
    <mergeCell ref="C51:E51"/>
    <mergeCell ref="F51:H51"/>
    <mergeCell ref="I51:K51"/>
    <mergeCell ref="L51:N51"/>
    <mergeCell ref="O51:Q51"/>
    <mergeCell ref="R51:T51"/>
    <mergeCell ref="U51:W51"/>
    <mergeCell ref="X51:Z51"/>
    <mergeCell ref="BG50:BI50"/>
    <mergeCell ref="BJ50:BL50"/>
    <mergeCell ref="BM50:BO50"/>
    <mergeCell ref="BP50:BR50"/>
    <mergeCell ref="BS50:BU50"/>
    <mergeCell ref="BV50:BX50"/>
    <mergeCell ref="AM50:AO50"/>
    <mergeCell ref="AR50:AT50"/>
    <mergeCell ref="AU50:AW50"/>
    <mergeCell ref="AX50:AZ50"/>
    <mergeCell ref="BA50:BC50"/>
    <mergeCell ref="BD50:BF50"/>
    <mergeCell ref="U50:W50"/>
    <mergeCell ref="X50:Z50"/>
    <mergeCell ref="AA50:AC50"/>
    <mergeCell ref="AD50:AF50"/>
    <mergeCell ref="AG50:AI50"/>
    <mergeCell ref="AJ50:AL50"/>
    <mergeCell ref="C50:E50"/>
    <mergeCell ref="F50:H50"/>
    <mergeCell ref="I50:K50"/>
    <mergeCell ref="L50:N50"/>
    <mergeCell ref="O50:Q50"/>
    <mergeCell ref="R50:T50"/>
    <mergeCell ref="B47:L47"/>
    <mergeCell ref="M47:U47"/>
    <mergeCell ref="V47:AF47"/>
    <mergeCell ref="AG47:AP47"/>
    <mergeCell ref="BC47:BG47"/>
    <mergeCell ref="C49:AO49"/>
    <mergeCell ref="AR49:CD49"/>
    <mergeCell ref="B45:L45"/>
    <mergeCell ref="M45:U45"/>
    <mergeCell ref="V45:AF45"/>
    <mergeCell ref="AG45:AP45"/>
    <mergeCell ref="AY45:BC45"/>
    <mergeCell ref="B46:L46"/>
    <mergeCell ref="M46:U46"/>
    <mergeCell ref="V46:AF46"/>
    <mergeCell ref="AG46:AP46"/>
    <mergeCell ref="AY46:BC46"/>
    <mergeCell ref="B44:L44"/>
    <mergeCell ref="M44:O44"/>
    <mergeCell ref="P44:R44"/>
    <mergeCell ref="S44:U44"/>
    <mergeCell ref="V44:AA44"/>
    <mergeCell ref="AB44:AP44"/>
    <mergeCell ref="B41:I41"/>
    <mergeCell ref="J41:AD41"/>
    <mergeCell ref="AE41:AP41"/>
    <mergeCell ref="BA41:BE41"/>
    <mergeCell ref="B42:AD42"/>
    <mergeCell ref="BA42:BE42"/>
    <mergeCell ref="AE39:AP39"/>
    <mergeCell ref="AE40:AF40"/>
    <mergeCell ref="AG40:AH40"/>
    <mergeCell ref="AI40:AJ40"/>
    <mergeCell ref="AK40:AL40"/>
    <mergeCell ref="AM40:AN40"/>
    <mergeCell ref="AO40:AP40"/>
    <mergeCell ref="AV37:AX37"/>
    <mergeCell ref="AY37:BB37"/>
    <mergeCell ref="CQ37:CS37"/>
    <mergeCell ref="CT37:CW37"/>
    <mergeCell ref="AV38:AX38"/>
    <mergeCell ref="AY38:BB38"/>
    <mergeCell ref="CQ38:CS38"/>
    <mergeCell ref="CT38:CW38"/>
    <mergeCell ref="B33:X33"/>
    <mergeCell ref="B34:I34"/>
    <mergeCell ref="J34:AD34"/>
    <mergeCell ref="AE34:AP34"/>
    <mergeCell ref="B35:AD35"/>
    <mergeCell ref="B37:AD37"/>
    <mergeCell ref="AE37:AP37"/>
    <mergeCell ref="AO31:AP31"/>
    <mergeCell ref="B32:X32"/>
    <mergeCell ref="AE32:AF32"/>
    <mergeCell ref="AG32:AH32"/>
    <mergeCell ref="AI32:AJ32"/>
    <mergeCell ref="AK32:AL32"/>
    <mergeCell ref="AM32:AN32"/>
    <mergeCell ref="AO32:AP32"/>
    <mergeCell ref="G29:X29"/>
    <mergeCell ref="Y29:AD33"/>
    <mergeCell ref="B30:X30"/>
    <mergeCell ref="AE30:AP30"/>
    <mergeCell ref="B31:X31"/>
    <mergeCell ref="AE31:AF31"/>
    <mergeCell ref="AG31:AH31"/>
    <mergeCell ref="AI31:AJ31"/>
    <mergeCell ref="AK31:AL31"/>
    <mergeCell ref="AM31:AN31"/>
    <mergeCell ref="B25:I25"/>
    <mergeCell ref="J25:AD25"/>
    <mergeCell ref="AE25:AP25"/>
    <mergeCell ref="B26:AD26"/>
    <mergeCell ref="B28:AD28"/>
    <mergeCell ref="AE28:AP28"/>
    <mergeCell ref="AE23:AP23"/>
    <mergeCell ref="AE24:AF24"/>
    <mergeCell ref="AG24:AH24"/>
    <mergeCell ref="AI24:AJ24"/>
    <mergeCell ref="AK24:AL24"/>
    <mergeCell ref="AM24:AN24"/>
    <mergeCell ref="AO24:AP24"/>
    <mergeCell ref="AE19:AG19"/>
    <mergeCell ref="AH19:AJ19"/>
    <mergeCell ref="AK19:AM19"/>
    <mergeCell ref="AN19:AP19"/>
    <mergeCell ref="B21:AD21"/>
    <mergeCell ref="AE21:AP21"/>
    <mergeCell ref="CC18:CE18"/>
    <mergeCell ref="B19:F19"/>
    <mergeCell ref="G19:I19"/>
    <mergeCell ref="J19:L19"/>
    <mergeCell ref="M19:O19"/>
    <mergeCell ref="P19:R19"/>
    <mergeCell ref="S19:U19"/>
    <mergeCell ref="V19:X19"/>
    <mergeCell ref="Y19:AA19"/>
    <mergeCell ref="AB19:AD19"/>
    <mergeCell ref="BJ18:BL18"/>
    <mergeCell ref="BM18:BO18"/>
    <mergeCell ref="BP18:BR18"/>
    <mergeCell ref="BS18:BU18"/>
    <mergeCell ref="BV18:BX18"/>
    <mergeCell ref="BY18:CA18"/>
    <mergeCell ref="AR18:AT18"/>
    <mergeCell ref="AU18:AW18"/>
    <mergeCell ref="AX18:AZ18"/>
    <mergeCell ref="BA18:BC18"/>
    <mergeCell ref="BD18:BF18"/>
    <mergeCell ref="BG18:BI18"/>
    <mergeCell ref="Y18:AA18"/>
    <mergeCell ref="AB18:AD18"/>
    <mergeCell ref="AE18:AG18"/>
    <mergeCell ref="AH18:AJ18"/>
    <mergeCell ref="AK18:AM18"/>
    <mergeCell ref="AN18:AP18"/>
    <mergeCell ref="BV17:BX17"/>
    <mergeCell ref="BY17:CA17"/>
    <mergeCell ref="CC17:CE17"/>
    <mergeCell ref="B18:F18"/>
    <mergeCell ref="G18:I18"/>
    <mergeCell ref="J18:L18"/>
    <mergeCell ref="M18:O18"/>
    <mergeCell ref="P18:R18"/>
    <mergeCell ref="S18:U18"/>
    <mergeCell ref="V18:X18"/>
    <mergeCell ref="BD17:BF17"/>
    <mergeCell ref="BG17:BI17"/>
    <mergeCell ref="BJ17:BL17"/>
    <mergeCell ref="BM17:BO17"/>
    <mergeCell ref="BP17:BR17"/>
    <mergeCell ref="BS17:BU17"/>
    <mergeCell ref="AK17:AM17"/>
    <mergeCell ref="AN17:AP17"/>
    <mergeCell ref="AR17:AT17"/>
    <mergeCell ref="AU17:AW17"/>
    <mergeCell ref="AX17:AZ17"/>
    <mergeCell ref="BA17:BC17"/>
    <mergeCell ref="S17:U17"/>
    <mergeCell ref="V17:X17"/>
    <mergeCell ref="Y17:AA17"/>
    <mergeCell ref="AB17:AD17"/>
    <mergeCell ref="AE17:AG17"/>
    <mergeCell ref="AH17:AJ17"/>
    <mergeCell ref="AB15:AD15"/>
    <mergeCell ref="AE15:AG15"/>
    <mergeCell ref="AH15:AJ15"/>
    <mergeCell ref="AK15:AM15"/>
    <mergeCell ref="AN15:AP15"/>
    <mergeCell ref="B17:F17"/>
    <mergeCell ref="G17:I17"/>
    <mergeCell ref="J17:L17"/>
    <mergeCell ref="M17:O17"/>
    <mergeCell ref="P17:R17"/>
    <mergeCell ref="BY14:CA14"/>
    <mergeCell ref="CC14:CE14"/>
    <mergeCell ref="B15:F15"/>
    <mergeCell ref="G15:I15"/>
    <mergeCell ref="J15:L15"/>
    <mergeCell ref="M15:O15"/>
    <mergeCell ref="P15:R15"/>
    <mergeCell ref="S15:U15"/>
    <mergeCell ref="V15:X15"/>
    <mergeCell ref="Y15:AA15"/>
    <mergeCell ref="BG14:BI14"/>
    <mergeCell ref="BJ14:BL14"/>
    <mergeCell ref="BM14:BO14"/>
    <mergeCell ref="BP14:BR14"/>
    <mergeCell ref="BS14:BU14"/>
    <mergeCell ref="BV14:BX14"/>
    <mergeCell ref="AN14:AP14"/>
    <mergeCell ref="AR14:AT14"/>
    <mergeCell ref="AU14:AW14"/>
    <mergeCell ref="B14:F14"/>
    <mergeCell ref="G14:I14"/>
    <mergeCell ref="J14:L14"/>
    <mergeCell ref="M14:O14"/>
    <mergeCell ref="P14:R14"/>
    <mergeCell ref="S14:U14"/>
    <mergeCell ref="BM13:BO13"/>
    <mergeCell ref="BP13:BR13"/>
    <mergeCell ref="BS13:BU13"/>
    <mergeCell ref="AB13:AD13"/>
    <mergeCell ref="AE13:AG13"/>
    <mergeCell ref="AH13:AJ13"/>
    <mergeCell ref="AK13:AM13"/>
    <mergeCell ref="AN13:AP13"/>
    <mergeCell ref="AR13:AT13"/>
    <mergeCell ref="AX14:AZ14"/>
    <mergeCell ref="BA14:BC14"/>
    <mergeCell ref="BD14:BF14"/>
    <mergeCell ref="V14:X14"/>
    <mergeCell ref="Y14:AA14"/>
    <mergeCell ref="AB14:AD14"/>
    <mergeCell ref="AE14:AG14"/>
    <mergeCell ref="AH14:AJ14"/>
    <mergeCell ref="AK14:AM14"/>
    <mergeCell ref="BV13:BX13"/>
    <mergeCell ref="BY13:CA13"/>
    <mergeCell ref="CC13:CE13"/>
    <mergeCell ref="AU13:AW13"/>
    <mergeCell ref="AX13:AZ13"/>
    <mergeCell ref="BA13:BC13"/>
    <mergeCell ref="BD13:BF13"/>
    <mergeCell ref="BG13:BI13"/>
    <mergeCell ref="BJ13:BL13"/>
    <mergeCell ref="B13:F13"/>
    <mergeCell ref="G13:I13"/>
    <mergeCell ref="J13:L13"/>
    <mergeCell ref="M13:O13"/>
    <mergeCell ref="P13:R13"/>
    <mergeCell ref="S13:U13"/>
    <mergeCell ref="V13:X13"/>
    <mergeCell ref="Y13:AA13"/>
    <mergeCell ref="S11:U11"/>
    <mergeCell ref="V11:X11"/>
    <mergeCell ref="Y11:AA11"/>
    <mergeCell ref="V9:X9"/>
    <mergeCell ref="Y9:AA9"/>
    <mergeCell ref="AB10:AD10"/>
    <mergeCell ref="AE10:AG10"/>
    <mergeCell ref="AH10:AJ10"/>
    <mergeCell ref="AK10:AM10"/>
    <mergeCell ref="AN10:AP10"/>
    <mergeCell ref="B11:F11"/>
    <mergeCell ref="G11:I11"/>
    <mergeCell ref="J11:L11"/>
    <mergeCell ref="M11:O11"/>
    <mergeCell ref="P11:R11"/>
    <mergeCell ref="AK11:AM11"/>
    <mergeCell ref="AN11:AP11"/>
    <mergeCell ref="AB11:AD11"/>
    <mergeCell ref="AE11:AG11"/>
    <mergeCell ref="AH11:AJ11"/>
    <mergeCell ref="B9:F9"/>
    <mergeCell ref="G9:I9"/>
    <mergeCell ref="J9:L9"/>
    <mergeCell ref="M9:O9"/>
    <mergeCell ref="P9:R9"/>
    <mergeCell ref="S9:U9"/>
    <mergeCell ref="BY9:CA9"/>
    <mergeCell ref="CC9:CE9"/>
    <mergeCell ref="B10:F10"/>
    <mergeCell ref="G10:I10"/>
    <mergeCell ref="J10:L10"/>
    <mergeCell ref="M10:O10"/>
    <mergeCell ref="P10:R10"/>
    <mergeCell ref="S10:U10"/>
    <mergeCell ref="V10:X10"/>
    <mergeCell ref="Y10:AA10"/>
    <mergeCell ref="BG9:BI9"/>
    <mergeCell ref="BJ9:BL9"/>
    <mergeCell ref="BM9:BO9"/>
    <mergeCell ref="BP9:BR9"/>
    <mergeCell ref="BS9:BU9"/>
    <mergeCell ref="BV9:BX9"/>
    <mergeCell ref="AN9:AP9"/>
    <mergeCell ref="AR9:AT9"/>
    <mergeCell ref="CC8:CE8"/>
    <mergeCell ref="AU8:AW8"/>
    <mergeCell ref="AX8:AZ8"/>
    <mergeCell ref="BA8:BC8"/>
    <mergeCell ref="BD8:BF8"/>
    <mergeCell ref="BG8:BI8"/>
    <mergeCell ref="BJ8:BL8"/>
    <mergeCell ref="AB9:AD9"/>
    <mergeCell ref="AE9:AG9"/>
    <mergeCell ref="AH9:AJ9"/>
    <mergeCell ref="AK9:AM9"/>
    <mergeCell ref="AU9:AW9"/>
    <mergeCell ref="AX9:AZ9"/>
    <mergeCell ref="BA9:BC9"/>
    <mergeCell ref="BD9:BF9"/>
    <mergeCell ref="AB8:AD8"/>
    <mergeCell ref="AE8:AG8"/>
    <mergeCell ref="AH8:AJ8"/>
    <mergeCell ref="AK8:AM8"/>
    <mergeCell ref="AN8:AP8"/>
    <mergeCell ref="AR8:AT8"/>
    <mergeCell ref="AM6:AP6"/>
    <mergeCell ref="AR6:CA6"/>
    <mergeCell ref="B8:F8"/>
    <mergeCell ref="G8:I8"/>
    <mergeCell ref="J8:L8"/>
    <mergeCell ref="M8:O8"/>
    <mergeCell ref="P8:R8"/>
    <mergeCell ref="S8:U8"/>
    <mergeCell ref="V8:X8"/>
    <mergeCell ref="Y8:AA8"/>
    <mergeCell ref="BM8:BO8"/>
    <mergeCell ref="BP8:BR8"/>
    <mergeCell ref="BS8:BU8"/>
    <mergeCell ref="BV8:BX8"/>
    <mergeCell ref="BY8:CA8"/>
    <mergeCell ref="L3:O3"/>
    <mergeCell ref="P3:AP3"/>
    <mergeCell ref="B5:H5"/>
    <mergeCell ref="I5:AC5"/>
    <mergeCell ref="AD5:AP5"/>
    <mergeCell ref="B6:H6"/>
    <mergeCell ref="I6:AC6"/>
    <mergeCell ref="AD6:AF6"/>
    <mergeCell ref="AG6:AI6"/>
    <mergeCell ref="AJ6:AL6"/>
    <mergeCell ref="B1:K3"/>
    <mergeCell ref="L1:AC1"/>
    <mergeCell ref="AD1:AG1"/>
    <mergeCell ref="AH1:AI1"/>
    <mergeCell ref="AJ1:AL1"/>
    <mergeCell ref="AN1:AP1"/>
    <mergeCell ref="L2:O2"/>
    <mergeCell ref="P2:AC2"/>
    <mergeCell ref="AD2:AF2"/>
    <mergeCell ref="AG2:AP2"/>
  </mergeCells>
  <conditionalFormatting sqref="AV38:BB38">
    <cfRule type="cellIs" dxfId="1" priority="1" operator="equal">
      <formula>0</formula>
    </cfRule>
  </conditionalFormatting>
  <dataValidations disablePrompts="1" count="1">
    <dataValidation type="list" allowBlank="1" showInputMessage="1" showErrorMessage="1" sqref="AG6:AI6" xr:uid="{58B8B20E-EA18-4257-AB08-B4F31426C653}">
      <formula1>$BD$1:$BD$3</formula1>
    </dataValidation>
  </dataValidations>
  <printOptions horizontalCentered="1" verticalCentered="1"/>
  <pageMargins left="0.6692913385826772" right="0" top="0" bottom="0" header="0.31496062992125984" footer="0.31496062992125984"/>
  <pageSetup paperSize="9" scale="85" orientation="portrait" r:id="rId1"/>
  <colBreaks count="1" manualBreakCount="1">
    <brk id="42" max="1048575" man="1"/>
  </col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9599-0946-4C21-A4B4-3F728BCADAB8}">
  <sheetPr filterMode="1"/>
  <dimension ref="A1:DQ83"/>
  <sheetViews>
    <sheetView showGridLines="0" showZeros="0" view="pageBreakPreview" topLeftCell="E35" zoomScale="115" zoomScaleNormal="130" zoomScaleSheetLayoutView="115" workbookViewId="0">
      <selection activeCell="AG2" sqref="AG2:AP2"/>
    </sheetView>
  </sheetViews>
  <sheetFormatPr defaultRowHeight="15" x14ac:dyDescent="0.25"/>
  <cols>
    <col min="1" max="1" width="6" customWidth="1"/>
    <col min="2" max="2" width="2" customWidth="1"/>
    <col min="3" max="8" width="2.5703125" customWidth="1"/>
    <col min="9" max="9" width="3.140625" customWidth="1"/>
    <col min="10" max="25" width="2.5703125" customWidth="1"/>
    <col min="26" max="26" width="2.85546875" customWidth="1"/>
    <col min="27" max="29" width="2.5703125" customWidth="1"/>
    <col min="30" max="30" width="2.85546875" customWidth="1"/>
    <col min="31" max="42" width="2.5703125" customWidth="1"/>
    <col min="43" max="43" width="3.85546875" customWidth="1"/>
    <col min="44" max="45" width="1.42578125" customWidth="1"/>
    <col min="46" max="46" width="1.5703125" customWidth="1"/>
    <col min="47" max="49" width="1.42578125" customWidth="1"/>
    <col min="50" max="50" width="2.85546875" customWidth="1"/>
    <col min="51" max="51" width="1.5703125" customWidth="1"/>
    <col min="52" max="58" width="1.42578125" customWidth="1"/>
    <col min="59" max="59" width="3.5703125" customWidth="1"/>
    <col min="60" max="78" width="1.42578125" customWidth="1"/>
    <col min="79" max="79" width="1.85546875" customWidth="1"/>
    <col min="80" max="80" width="0.85546875" customWidth="1"/>
    <col min="81" max="82" width="1.42578125" customWidth="1"/>
    <col min="83" max="95" width="1.85546875" customWidth="1"/>
    <col min="96" max="123" width="1.42578125" customWidth="1"/>
  </cols>
  <sheetData>
    <row r="1" spans="1:83" ht="14.1" customHeight="1" x14ac:dyDescent="0.25">
      <c r="B1" s="287"/>
      <c r="C1" s="288"/>
      <c r="D1" s="288"/>
      <c r="E1" s="288"/>
      <c r="F1" s="288"/>
      <c r="G1" s="288"/>
      <c r="H1" s="288"/>
      <c r="I1" s="288"/>
      <c r="J1" s="288"/>
      <c r="K1" s="289"/>
      <c r="L1" s="293" t="s">
        <v>0</v>
      </c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5"/>
      <c r="AD1" s="296" t="s">
        <v>99</v>
      </c>
      <c r="AE1" s="297"/>
      <c r="AF1" s="297"/>
      <c r="AG1" s="297"/>
      <c r="AH1" s="297" t="s">
        <v>82</v>
      </c>
      <c r="AI1" s="297"/>
      <c r="AJ1" s="298">
        <v>1</v>
      </c>
      <c r="AK1" s="298"/>
      <c r="AL1" s="298"/>
      <c r="AM1" s="61" t="s">
        <v>98</v>
      </c>
      <c r="AN1" s="299">
        <v>21</v>
      </c>
      <c r="AO1" s="299"/>
      <c r="AP1" s="300"/>
      <c r="BD1" t="s">
        <v>78</v>
      </c>
      <c r="BM1" t="s">
        <v>133</v>
      </c>
      <c r="BU1" t="s">
        <v>189</v>
      </c>
    </row>
    <row r="2" spans="1:83" ht="14.45" customHeight="1" x14ac:dyDescent="0.25">
      <c r="B2" s="210"/>
      <c r="C2" s="165"/>
      <c r="D2" s="165"/>
      <c r="E2" s="165"/>
      <c r="F2" s="165"/>
      <c r="G2" s="165"/>
      <c r="H2" s="165"/>
      <c r="I2" s="165"/>
      <c r="J2" s="165"/>
      <c r="K2" s="191"/>
      <c r="L2" s="301" t="s">
        <v>1</v>
      </c>
      <c r="M2" s="302"/>
      <c r="N2" s="302"/>
      <c r="O2" s="302"/>
      <c r="P2" s="303" t="str">
        <f>VLOOKUP($AN$1,'plan de data'!$A$3:$AF$289,32,0)</f>
        <v>CONSÓRCIO NOVA ETE - PARQUE NOVO MUNDO</v>
      </c>
      <c r="Q2" s="303"/>
      <c r="R2" s="303"/>
      <c r="S2" s="303"/>
      <c r="T2" s="303"/>
      <c r="U2" s="303"/>
      <c r="V2" s="303"/>
      <c r="W2" s="303"/>
      <c r="X2" s="303"/>
      <c r="Y2" s="303"/>
      <c r="Z2" s="303"/>
      <c r="AA2" s="303"/>
      <c r="AB2" s="303"/>
      <c r="AC2" s="304"/>
      <c r="AD2" s="305" t="s">
        <v>3</v>
      </c>
      <c r="AE2" s="306"/>
      <c r="AF2" s="306"/>
      <c r="AG2" s="307" t="s">
        <v>166</v>
      </c>
      <c r="AH2" s="307"/>
      <c r="AI2" s="307"/>
      <c r="AJ2" s="307"/>
      <c r="AK2" s="307"/>
      <c r="AL2" s="307"/>
      <c r="AM2" s="307"/>
      <c r="AN2" s="307"/>
      <c r="AO2" s="307"/>
      <c r="AP2" s="308"/>
      <c r="AW2" t="s">
        <v>14</v>
      </c>
      <c r="BD2" t="s">
        <v>77</v>
      </c>
      <c r="BM2" t="s">
        <v>134</v>
      </c>
    </row>
    <row r="3" spans="1:83" ht="14.45" customHeight="1" thickBot="1" x14ac:dyDescent="0.3">
      <c r="B3" s="290"/>
      <c r="C3" s="291"/>
      <c r="D3" s="291"/>
      <c r="E3" s="291"/>
      <c r="F3" s="291"/>
      <c r="G3" s="291"/>
      <c r="H3" s="291"/>
      <c r="I3" s="291"/>
      <c r="J3" s="291"/>
      <c r="K3" s="292"/>
      <c r="L3" s="263" t="s">
        <v>2</v>
      </c>
      <c r="M3" s="264"/>
      <c r="N3" s="264"/>
      <c r="O3" s="264"/>
      <c r="P3" s="265" t="str">
        <f>VLOOKUP($AN$1,'plan de data'!$A$3:$AG$289,33,0)</f>
        <v>ETE - PARQUE NOVO MUNDO</v>
      </c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6"/>
      <c r="AW3" t="s">
        <v>76</v>
      </c>
      <c r="BD3" t="s">
        <v>7</v>
      </c>
    </row>
    <row r="4" spans="1:83" ht="5.0999999999999996" customHeight="1" thickBot="1" x14ac:dyDescent="0.3"/>
    <row r="5" spans="1:83" ht="15.95" customHeight="1" x14ac:dyDescent="0.25">
      <c r="A5" s="39" t="s">
        <v>81</v>
      </c>
      <c r="B5" s="267" t="s">
        <v>4</v>
      </c>
      <c r="C5" s="268"/>
      <c r="D5" s="268"/>
      <c r="E5" s="268"/>
      <c r="F5" s="268"/>
      <c r="G5" s="268"/>
      <c r="H5" s="269"/>
      <c r="I5" s="270" t="s">
        <v>5</v>
      </c>
      <c r="J5" s="271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  <c r="AA5" s="271"/>
      <c r="AB5" s="271"/>
      <c r="AC5" s="272"/>
      <c r="AD5" s="273" t="s">
        <v>6</v>
      </c>
      <c r="AE5" s="274"/>
      <c r="AF5" s="274"/>
      <c r="AG5" s="274"/>
      <c r="AH5" s="274"/>
      <c r="AI5" s="274"/>
      <c r="AJ5" s="274"/>
      <c r="AK5" s="274"/>
      <c r="AL5" s="274"/>
      <c r="AM5" s="274"/>
      <c r="AN5" s="274"/>
      <c r="AO5" s="274"/>
      <c r="AP5" s="275"/>
    </row>
    <row r="6" spans="1:83" ht="15.95" customHeight="1" thickBot="1" x14ac:dyDescent="0.3">
      <c r="B6" s="276">
        <f>VLOOKUP($AN$1,'plan de data'!$A$3:$B$189,2,0)</f>
        <v>45776</v>
      </c>
      <c r="C6" s="277"/>
      <c r="D6" s="277"/>
      <c r="E6" s="277"/>
      <c r="F6" s="277"/>
      <c r="G6" s="277"/>
      <c r="H6" s="278"/>
      <c r="I6" s="279" t="str">
        <f>VLOOKUP($AN$1,'plan de data'!$A$3:$AH$189,34,0)</f>
        <v>REATORES NEREDA</v>
      </c>
      <c r="J6" s="280"/>
      <c r="K6" s="280"/>
      <c r="L6" s="280"/>
      <c r="M6" s="280"/>
      <c r="N6" s="280"/>
      <c r="O6" s="280"/>
      <c r="P6" s="280"/>
      <c r="Q6" s="280"/>
      <c r="R6" s="280"/>
      <c r="S6" s="280"/>
      <c r="T6" s="280"/>
      <c r="U6" s="280"/>
      <c r="V6" s="280"/>
      <c r="W6" s="280"/>
      <c r="X6" s="280"/>
      <c r="Y6" s="280"/>
      <c r="Z6" s="280"/>
      <c r="AA6" s="280"/>
      <c r="AB6" s="280"/>
      <c r="AC6" s="281"/>
      <c r="AD6" s="282" t="s">
        <v>8</v>
      </c>
      <c r="AE6" s="283"/>
      <c r="AF6" s="283"/>
      <c r="AG6" s="284" t="s">
        <v>77</v>
      </c>
      <c r="AH6" s="284"/>
      <c r="AI6" s="285"/>
      <c r="AJ6" s="286" t="s">
        <v>9</v>
      </c>
      <c r="AK6" s="284"/>
      <c r="AL6" s="284"/>
      <c r="AM6" s="284" t="str">
        <f>VLOOKUP(AN1,'plan de data'!A3:$AE$500,31,0)</f>
        <v>PN-001</v>
      </c>
      <c r="AN6" s="284"/>
      <c r="AO6" s="284"/>
      <c r="AP6" s="309"/>
      <c r="AR6" s="138" t="s">
        <v>79</v>
      </c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39"/>
      <c r="BK6" s="139"/>
      <c r="BL6" s="139"/>
      <c r="BM6" s="139"/>
      <c r="BN6" s="139"/>
      <c r="BO6" s="139"/>
      <c r="BP6" s="139"/>
      <c r="BQ6" s="139"/>
      <c r="BR6" s="139"/>
      <c r="BS6" s="139"/>
      <c r="BT6" s="139"/>
      <c r="BU6" s="139"/>
      <c r="BV6" s="139"/>
      <c r="BW6" s="139"/>
      <c r="BX6" s="139"/>
      <c r="BY6" s="139"/>
      <c r="BZ6" s="139"/>
      <c r="CA6" s="140"/>
    </row>
    <row r="7" spans="1:83" ht="5.45" customHeight="1" thickBot="1" x14ac:dyDescent="0.3">
      <c r="A7" s="38" t="s">
        <v>13</v>
      </c>
    </row>
    <row r="8" spans="1:83" ht="14.1" customHeight="1" x14ac:dyDescent="0.25">
      <c r="A8" s="2" t="str">
        <f>IF($CC$9&gt;0,"X",0)</f>
        <v>X</v>
      </c>
      <c r="B8" s="250" t="s">
        <v>10</v>
      </c>
      <c r="C8" s="251"/>
      <c r="D8" s="251"/>
      <c r="E8" s="251"/>
      <c r="F8" s="251"/>
      <c r="G8" s="260">
        <f t="shared" ref="G8" si="0">IF(G9=0,"",AR8)</f>
        <v>1</v>
      </c>
      <c r="H8" s="261"/>
      <c r="I8" s="262"/>
      <c r="J8" s="260">
        <f t="shared" ref="J8" si="1">IF(J9=0,"",AU8)</f>
        <v>2</v>
      </c>
      <c r="K8" s="261"/>
      <c r="L8" s="262"/>
      <c r="M8" s="258">
        <f t="shared" ref="M8" si="2">IF(M9=0,"",AX8)</f>
        <v>3</v>
      </c>
      <c r="N8" s="258"/>
      <c r="O8" s="258"/>
      <c r="P8" s="258">
        <f t="shared" ref="P8" si="3">IF(P9=0,"",BA8)</f>
        <v>4</v>
      </c>
      <c r="Q8" s="258"/>
      <c r="R8" s="258"/>
      <c r="S8" s="258">
        <f t="shared" ref="S8" si="4">IF(S9=0,"",BD8)</f>
        <v>5</v>
      </c>
      <c r="T8" s="258"/>
      <c r="U8" s="258"/>
      <c r="V8" s="258">
        <f t="shared" ref="V8" si="5">IF(V9=0,"",BG8)</f>
        <v>6</v>
      </c>
      <c r="W8" s="258"/>
      <c r="X8" s="258"/>
      <c r="Y8" s="258">
        <f t="shared" ref="Y8" si="6">IF(Y9=0,"",BJ8)</f>
        <v>7</v>
      </c>
      <c r="Z8" s="258"/>
      <c r="AA8" s="258"/>
      <c r="AB8" s="258" t="str">
        <f t="shared" ref="AB8" si="7">IF(AB9=0,"",BM8)</f>
        <v/>
      </c>
      <c r="AC8" s="258"/>
      <c r="AD8" s="258"/>
      <c r="AE8" s="258" t="str">
        <f t="shared" ref="AE8" si="8">IF(AE9=0,"",BP8)</f>
        <v/>
      </c>
      <c r="AF8" s="258"/>
      <c r="AG8" s="258"/>
      <c r="AH8" s="258" t="str">
        <f t="shared" ref="AH8" si="9">IF(AH9=0,"",BS8)</f>
        <v/>
      </c>
      <c r="AI8" s="258"/>
      <c r="AJ8" s="258"/>
      <c r="AK8" s="258" t="str">
        <f t="shared" ref="AK8" si="10">IF(AK9=0,"",BV8)</f>
        <v/>
      </c>
      <c r="AL8" s="258"/>
      <c r="AM8" s="258"/>
      <c r="AN8" s="258" t="str">
        <f t="shared" ref="AN8" si="11">IF(AN9=0,"",BY8)</f>
        <v/>
      </c>
      <c r="AO8" s="258"/>
      <c r="AP8" s="259"/>
      <c r="AR8" s="151">
        <v>1</v>
      </c>
      <c r="AS8" s="151"/>
      <c r="AT8" s="151"/>
      <c r="AU8" s="151">
        <v>2</v>
      </c>
      <c r="AV8" s="151"/>
      <c r="AW8" s="151"/>
      <c r="AX8" s="151">
        <v>3</v>
      </c>
      <c r="AY8" s="151"/>
      <c r="AZ8" s="151"/>
      <c r="BA8" s="151">
        <v>4</v>
      </c>
      <c r="BB8" s="151"/>
      <c r="BC8" s="151"/>
      <c r="BD8" s="151">
        <v>5</v>
      </c>
      <c r="BE8" s="151"/>
      <c r="BF8" s="151"/>
      <c r="BG8" s="151">
        <v>6</v>
      </c>
      <c r="BH8" s="151"/>
      <c r="BI8" s="151"/>
      <c r="BJ8" s="151">
        <v>7</v>
      </c>
      <c r="BK8" s="151"/>
      <c r="BL8" s="151"/>
      <c r="BM8" s="151">
        <v>8</v>
      </c>
      <c r="BN8" s="151"/>
      <c r="BO8" s="151"/>
      <c r="BP8" s="151">
        <v>9</v>
      </c>
      <c r="BQ8" s="151"/>
      <c r="BR8" s="151"/>
      <c r="BS8" s="151">
        <v>10</v>
      </c>
      <c r="BT8" s="151"/>
      <c r="BU8" s="151"/>
      <c r="BV8" s="151">
        <v>11</v>
      </c>
      <c r="BW8" s="151"/>
      <c r="BX8" s="151"/>
      <c r="BY8" s="151">
        <v>12</v>
      </c>
      <c r="BZ8" s="151"/>
      <c r="CA8" s="151"/>
      <c r="CC8" s="182" t="s">
        <v>80</v>
      </c>
      <c r="CD8" s="183"/>
      <c r="CE8" s="184"/>
    </row>
    <row r="9" spans="1:83" ht="14.1" customHeight="1" x14ac:dyDescent="0.25">
      <c r="A9" s="2" t="str">
        <f t="shared" ref="A9" si="12">IF($CC$9&gt;0,"X",0)</f>
        <v>X</v>
      </c>
      <c r="B9" s="246" t="s">
        <v>11</v>
      </c>
      <c r="C9" s="247"/>
      <c r="D9" s="247"/>
      <c r="E9" s="247"/>
      <c r="F9" s="247"/>
      <c r="G9" s="253" t="str">
        <f>VLOOKUP($AN$1,'plan de data'!$A$3:$V$189,4,0)</f>
        <v>PN-162</v>
      </c>
      <c r="H9" s="253"/>
      <c r="I9" s="253"/>
      <c r="J9" s="253" t="str">
        <f>VLOOKUP($AN$1,'plan de data'!$A$3:$V$189,6,0)</f>
        <v>PN-163</v>
      </c>
      <c r="K9" s="253"/>
      <c r="L9" s="253"/>
      <c r="M9" s="253" t="str">
        <f>VLOOKUP($AN$1,'plan de data'!$A$3:$V$189,8,0)</f>
        <v>PN-165</v>
      </c>
      <c r="N9" s="253"/>
      <c r="O9" s="253"/>
      <c r="P9" s="253" t="str">
        <f>VLOOKUP($AN$1,'plan de data'!$A$3:$V$189,10,0)</f>
        <v>PN-166</v>
      </c>
      <c r="Q9" s="253"/>
      <c r="R9" s="253"/>
      <c r="S9" s="253" t="str">
        <f>VLOOKUP($AN$1,'plan de data'!$A$3:$V$189,12,0)</f>
        <v>PN-167</v>
      </c>
      <c r="T9" s="253"/>
      <c r="U9" s="253"/>
      <c r="V9" s="253" t="str">
        <f>VLOOKUP($AN$1,'plan de data'!$A$3:$V$189,14,0)</f>
        <v>PN-168</v>
      </c>
      <c r="W9" s="253"/>
      <c r="X9" s="253"/>
      <c r="Y9" s="253" t="str">
        <f>VLOOKUP($AN$1,'plan de data'!$A$3:$V$189,16,0)</f>
        <v>PN-169</v>
      </c>
      <c r="Z9" s="253"/>
      <c r="AA9" s="253"/>
      <c r="AB9" s="253">
        <f>VLOOKUP($AN$1,'plan de data'!$A$3:$V$189,18,0)</f>
        <v>0</v>
      </c>
      <c r="AC9" s="253"/>
      <c r="AD9" s="253"/>
      <c r="AE9" s="253">
        <f>VLOOKUP($AN$1,'plan de data'!$A$3:$V$189,20,0)</f>
        <v>0</v>
      </c>
      <c r="AF9" s="253"/>
      <c r="AG9" s="253"/>
      <c r="AH9" s="253">
        <f>VLOOKUP($AN$1,'plan de data'!$A$3:$AA$189,22,0)</f>
        <v>0</v>
      </c>
      <c r="AI9" s="253"/>
      <c r="AJ9" s="253"/>
      <c r="AK9" s="253">
        <f>VLOOKUP($AN$1,'plan de data'!$A$3:$AA$189,24,0)</f>
        <v>0</v>
      </c>
      <c r="AL9" s="253"/>
      <c r="AM9" s="253"/>
      <c r="AN9" s="253">
        <f>VLOOKUP($AN$1,'plan de data'!$A$3:$AA$189,26,0)</f>
        <v>0</v>
      </c>
      <c r="AO9" s="253"/>
      <c r="AP9" s="254"/>
      <c r="AR9" s="151" t="s">
        <v>58</v>
      </c>
      <c r="AS9" s="151"/>
      <c r="AT9" s="151"/>
      <c r="AU9" s="151" t="s">
        <v>58</v>
      </c>
      <c r="AV9" s="151"/>
      <c r="AW9" s="151"/>
      <c r="AX9" s="151" t="s">
        <v>58</v>
      </c>
      <c r="AY9" s="151"/>
      <c r="AZ9" s="151"/>
      <c r="BA9" s="151" t="s">
        <v>13</v>
      </c>
      <c r="BB9" s="151"/>
      <c r="BC9" s="151"/>
      <c r="BD9" s="151" t="s">
        <v>13</v>
      </c>
      <c r="BE9" s="151"/>
      <c r="BF9" s="151"/>
      <c r="BG9" s="151" t="s">
        <v>13</v>
      </c>
      <c r="BH9" s="151"/>
      <c r="BI9" s="151"/>
      <c r="BJ9" s="151" t="s">
        <v>13</v>
      </c>
      <c r="BK9" s="151"/>
      <c r="BL9" s="151"/>
      <c r="BM9" s="151" t="s">
        <v>58</v>
      </c>
      <c r="BN9" s="151"/>
      <c r="BO9" s="151"/>
      <c r="BP9" s="151"/>
      <c r="BQ9" s="151"/>
      <c r="BR9" s="151"/>
      <c r="BS9" s="151"/>
      <c r="BT9" s="151"/>
      <c r="BU9" s="151"/>
      <c r="BV9" s="151"/>
      <c r="BW9" s="151"/>
      <c r="BX9" s="151"/>
      <c r="BY9" s="151"/>
      <c r="BZ9" s="151"/>
      <c r="CA9" s="151"/>
      <c r="CC9" s="178">
        <f>COUNTIF(AR9:CA9,"X")</f>
        <v>8</v>
      </c>
      <c r="CD9" s="179"/>
      <c r="CE9" s="180"/>
    </row>
    <row r="10" spans="1:83" ht="14.1" customHeight="1" x14ac:dyDescent="0.25">
      <c r="A10" s="2"/>
      <c r="B10" s="255" t="s">
        <v>154</v>
      </c>
      <c r="C10" s="256"/>
      <c r="D10" s="256"/>
      <c r="E10" s="256"/>
      <c r="F10" s="257"/>
      <c r="G10" s="253" t="str">
        <f>IF(G9="","",VLOOKUP($AN$1,'plan de data'!$A$3:$V$189,5,0))</f>
        <v>P</v>
      </c>
      <c r="H10" s="253"/>
      <c r="I10" s="253"/>
      <c r="J10" s="253" t="str">
        <f>VLOOKUP($AN$1,'plan de data'!$A$3:$V$189,7,0)</f>
        <v>P</v>
      </c>
      <c r="K10" s="253"/>
      <c r="L10" s="253"/>
      <c r="M10" s="253" t="str">
        <f>VLOOKUP($AN$1,'plan de data'!$A$3:$V$189,9,0)</f>
        <v>P</v>
      </c>
      <c r="N10" s="253"/>
      <c r="O10" s="253"/>
      <c r="P10" s="253" t="str">
        <f>VLOOKUP($AN$1,'plan de data'!$A$3:$V$189,11,0)</f>
        <v>P</v>
      </c>
      <c r="Q10" s="253"/>
      <c r="R10" s="253"/>
      <c r="S10" s="253" t="str">
        <f>VLOOKUP($AN$1,'plan de data'!$A$3:$V$189,13,0)</f>
        <v>P</v>
      </c>
      <c r="T10" s="253"/>
      <c r="U10" s="253"/>
      <c r="V10" s="253" t="str">
        <f>VLOOKUP($AN$1,'plan de data'!$A$3:$V$189,15,0)</f>
        <v>P</v>
      </c>
      <c r="W10" s="253"/>
      <c r="X10" s="253"/>
      <c r="Y10" s="253" t="str">
        <f>VLOOKUP($AN$1,'plan de data'!$A$3:$V$189,17,0)</f>
        <v>P</v>
      </c>
      <c r="Z10" s="253"/>
      <c r="AA10" s="253"/>
      <c r="AB10" s="253">
        <f>VLOOKUP($AN$1,'plan de data'!$A$3:$V$189,19,0)</f>
        <v>0</v>
      </c>
      <c r="AC10" s="253"/>
      <c r="AD10" s="253"/>
      <c r="AE10" s="253">
        <f>VLOOKUP($AN$1,'plan de data'!$A$3:$V$189,21,0)</f>
        <v>0</v>
      </c>
      <c r="AF10" s="253"/>
      <c r="AG10" s="253"/>
      <c r="AH10" s="253">
        <f>VLOOKUP($AN$1,'plan de data'!$A$3:$V$189,21,0)</f>
        <v>0</v>
      </c>
      <c r="AI10" s="253"/>
      <c r="AJ10" s="253"/>
      <c r="AK10" s="253">
        <f>VLOOKUP($AN$1,'plan de data'!$A$3:$V$189,21,0)</f>
        <v>0</v>
      </c>
      <c r="AL10" s="253"/>
      <c r="AM10" s="253"/>
      <c r="AN10" s="253">
        <f>VLOOKUP($AN$1,'plan de data'!$A$3:$V$189,21,0)</f>
        <v>0</v>
      </c>
      <c r="AO10" s="253"/>
      <c r="AP10" s="254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C10" s="79"/>
      <c r="CD10" s="79"/>
      <c r="CE10" s="79"/>
    </row>
    <row r="11" spans="1:83" ht="13.9" customHeight="1" thickBot="1" x14ac:dyDescent="0.3">
      <c r="A11" s="2" t="str">
        <f>IF($CC$9&gt;0,"X",0)</f>
        <v>X</v>
      </c>
      <c r="B11" s="242" t="s">
        <v>12</v>
      </c>
      <c r="C11" s="243"/>
      <c r="D11" s="243"/>
      <c r="E11" s="243"/>
      <c r="F11" s="243"/>
      <c r="G11" s="252" t="str">
        <f t="shared" ref="G11" si="13">IF(G10="","",IF(G10="P","Normal","Especial"))</f>
        <v>Normal</v>
      </c>
      <c r="H11" s="252"/>
      <c r="I11" s="252"/>
      <c r="J11" s="252" t="str">
        <f t="shared" ref="J11" si="14">IF(J10="","",IF(J10="P","Normal","Especial"))</f>
        <v>Normal</v>
      </c>
      <c r="K11" s="252"/>
      <c r="L11" s="252"/>
      <c r="M11" s="252" t="str">
        <f t="shared" ref="M11" si="15">IF(M10="","",IF(M10="P","Normal","Especial"))</f>
        <v>Normal</v>
      </c>
      <c r="N11" s="252"/>
      <c r="O11" s="252"/>
      <c r="P11" s="252" t="str">
        <f t="shared" ref="P11" si="16">IF(P10="","",IF(P10="P","Normal","Especial"))</f>
        <v>Normal</v>
      </c>
      <c r="Q11" s="252"/>
      <c r="R11" s="252"/>
      <c r="S11" s="252" t="str">
        <f t="shared" ref="S11" si="17">IF(S10="","",IF(S10="P","Normal","Especial"))</f>
        <v>Normal</v>
      </c>
      <c r="T11" s="252"/>
      <c r="U11" s="252"/>
      <c r="V11" s="252" t="str">
        <f t="shared" ref="V11" si="18">IF(V10="","",IF(V10="P","Normal","Especial"))</f>
        <v>Normal</v>
      </c>
      <c r="W11" s="252"/>
      <c r="X11" s="252"/>
      <c r="Y11" s="252" t="str">
        <f t="shared" ref="Y11" si="19">IF(Y10="","",IF(Y10="P","Normal","Especial"))</f>
        <v>Normal</v>
      </c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2"/>
    </row>
    <row r="12" spans="1:83" ht="3" customHeight="1" x14ac:dyDescent="0.25">
      <c r="A12" t="str">
        <f>IF($CC$9&gt;0,"X",0)</f>
        <v>X</v>
      </c>
    </row>
    <row r="13" spans="1:83" ht="14.1" hidden="1" customHeight="1" x14ac:dyDescent="0.25">
      <c r="A13" s="2">
        <f>IF($CC$14&gt;0,"X",0)</f>
        <v>0</v>
      </c>
      <c r="B13" s="250" t="s">
        <v>10</v>
      </c>
      <c r="C13" s="251"/>
      <c r="D13" s="251"/>
      <c r="E13" s="251"/>
      <c r="F13" s="251"/>
      <c r="G13" s="248">
        <f>IF(AR14="X",AR13,0)</f>
        <v>0</v>
      </c>
      <c r="H13" s="248"/>
      <c r="I13" s="248"/>
      <c r="J13" s="248">
        <f t="shared" ref="J13" si="20">IF(AU14="X",AU13,0)</f>
        <v>0</v>
      </c>
      <c r="K13" s="248"/>
      <c r="L13" s="248"/>
      <c r="M13" s="248">
        <f t="shared" ref="M13" si="21">IF(AX14="X",AX13,0)</f>
        <v>0</v>
      </c>
      <c r="N13" s="248"/>
      <c r="O13" s="248"/>
      <c r="P13" s="248">
        <f t="shared" ref="P13" si="22">IF(BA14="X",BA13,0)</f>
        <v>0</v>
      </c>
      <c r="Q13" s="248"/>
      <c r="R13" s="248"/>
      <c r="S13" s="248">
        <f t="shared" ref="S13" si="23">IF(BD14="X",BD13,0)</f>
        <v>0</v>
      </c>
      <c r="T13" s="248"/>
      <c r="U13" s="248"/>
      <c r="V13" s="248">
        <f t="shared" ref="V13" si="24">IF(BG14="X",BG13,0)</f>
        <v>0</v>
      </c>
      <c r="W13" s="248"/>
      <c r="X13" s="248"/>
      <c r="Y13" s="248">
        <f t="shared" ref="Y13" si="25">IF(BJ14="X",BJ13,0)</f>
        <v>0</v>
      </c>
      <c r="Z13" s="248"/>
      <c r="AA13" s="248"/>
      <c r="AB13" s="248">
        <f t="shared" ref="AB13" si="26">IF(BM14="X",BM13,0)</f>
        <v>0</v>
      </c>
      <c r="AC13" s="248"/>
      <c r="AD13" s="248"/>
      <c r="AE13" s="248">
        <f t="shared" ref="AE13" si="27">IF(BP14="X",BP13,0)</f>
        <v>0</v>
      </c>
      <c r="AF13" s="248"/>
      <c r="AG13" s="248"/>
      <c r="AH13" s="248">
        <f t="shared" ref="AH13" si="28">IF(BS14="X",BS13,0)</f>
        <v>0</v>
      </c>
      <c r="AI13" s="248"/>
      <c r="AJ13" s="248"/>
      <c r="AK13" s="248">
        <f t="shared" ref="AK13" si="29">IF(BV14="X",BV13,0)</f>
        <v>0</v>
      </c>
      <c r="AL13" s="248"/>
      <c r="AM13" s="248"/>
      <c r="AN13" s="248">
        <f t="shared" ref="AN13" si="30">IF(BY14="X",BY13,0)</f>
        <v>0</v>
      </c>
      <c r="AO13" s="248"/>
      <c r="AP13" s="249"/>
      <c r="AR13" s="151">
        <v>13</v>
      </c>
      <c r="AS13" s="151"/>
      <c r="AT13" s="151"/>
      <c r="AU13" s="151">
        <v>14</v>
      </c>
      <c r="AV13" s="151"/>
      <c r="AW13" s="151"/>
      <c r="AX13" s="151">
        <v>15</v>
      </c>
      <c r="AY13" s="151"/>
      <c r="AZ13" s="151"/>
      <c r="BA13" s="151">
        <v>16</v>
      </c>
      <c r="BB13" s="151"/>
      <c r="BC13" s="151"/>
      <c r="BD13" s="151">
        <v>17</v>
      </c>
      <c r="BE13" s="151"/>
      <c r="BF13" s="151"/>
      <c r="BG13" s="151">
        <v>18</v>
      </c>
      <c r="BH13" s="151"/>
      <c r="BI13" s="151"/>
      <c r="BJ13" s="151">
        <v>19</v>
      </c>
      <c r="BK13" s="151"/>
      <c r="BL13" s="151"/>
      <c r="BM13" s="151">
        <v>20</v>
      </c>
      <c r="BN13" s="151"/>
      <c r="BO13" s="151"/>
      <c r="BP13" s="151">
        <v>21</v>
      </c>
      <c r="BQ13" s="151"/>
      <c r="BR13" s="151"/>
      <c r="BS13" s="151">
        <v>22</v>
      </c>
      <c r="BT13" s="151"/>
      <c r="BU13" s="151"/>
      <c r="BV13" s="151">
        <v>23</v>
      </c>
      <c r="BW13" s="151"/>
      <c r="BX13" s="151"/>
      <c r="BY13" s="151">
        <v>24</v>
      </c>
      <c r="BZ13" s="151"/>
      <c r="CA13" s="151"/>
      <c r="CC13" s="182" t="s">
        <v>80</v>
      </c>
      <c r="CD13" s="183"/>
      <c r="CE13" s="184"/>
    </row>
    <row r="14" spans="1:83" ht="14.1" hidden="1" customHeight="1" x14ac:dyDescent="0.25">
      <c r="A14" s="2">
        <f t="shared" ref="A14" si="31">IF($CC$14&gt;0,"X",0)</f>
        <v>0</v>
      </c>
      <c r="B14" s="246" t="s">
        <v>11</v>
      </c>
      <c r="C14" s="247"/>
      <c r="D14" s="247"/>
      <c r="E14" s="247"/>
      <c r="F14" s="247"/>
      <c r="G14" s="244"/>
      <c r="H14" s="244"/>
      <c r="I14" s="244"/>
      <c r="J14" s="244"/>
      <c r="K14" s="244"/>
      <c r="L14" s="244"/>
      <c r="M14" s="244"/>
      <c r="N14" s="244"/>
      <c r="O14" s="244"/>
      <c r="P14" s="244"/>
      <c r="Q14" s="244"/>
      <c r="R14" s="244"/>
      <c r="S14" s="244"/>
      <c r="T14" s="244"/>
      <c r="U14" s="244"/>
      <c r="V14" s="244"/>
      <c r="W14" s="244"/>
      <c r="X14" s="244"/>
      <c r="Y14" s="244"/>
      <c r="Z14" s="244"/>
      <c r="AA14" s="244"/>
      <c r="AB14" s="244"/>
      <c r="AC14" s="244"/>
      <c r="AD14" s="244"/>
      <c r="AE14" s="244"/>
      <c r="AF14" s="244"/>
      <c r="AG14" s="244"/>
      <c r="AH14" s="244"/>
      <c r="AI14" s="244"/>
      <c r="AJ14" s="244"/>
      <c r="AK14" s="244"/>
      <c r="AL14" s="244"/>
      <c r="AM14" s="244"/>
      <c r="AN14" s="244"/>
      <c r="AO14" s="244"/>
      <c r="AP14" s="245"/>
      <c r="AR14" s="151"/>
      <c r="AS14" s="151"/>
      <c r="AT14" s="151"/>
      <c r="AU14" s="151"/>
      <c r="AV14" s="151"/>
      <c r="AW14" s="151"/>
      <c r="AX14" s="151"/>
      <c r="AY14" s="151"/>
      <c r="AZ14" s="151"/>
      <c r="BA14" s="151"/>
      <c r="BB14" s="151"/>
      <c r="BC14" s="151"/>
      <c r="BD14" s="151"/>
      <c r="BE14" s="151"/>
      <c r="BF14" s="151"/>
      <c r="BG14" s="151"/>
      <c r="BH14" s="151"/>
      <c r="BI14" s="151"/>
      <c r="BJ14" s="151"/>
      <c r="BK14" s="151"/>
      <c r="BL14" s="151"/>
      <c r="BM14" s="151"/>
      <c r="BN14" s="151"/>
      <c r="BO14" s="151"/>
      <c r="BP14" s="151"/>
      <c r="BQ14" s="151"/>
      <c r="BR14" s="151"/>
      <c r="BS14" s="151"/>
      <c r="BT14" s="151"/>
      <c r="BU14" s="151"/>
      <c r="BV14" s="151"/>
      <c r="BW14" s="151"/>
      <c r="BX14" s="151"/>
      <c r="BY14" s="151"/>
      <c r="BZ14" s="151"/>
      <c r="CA14" s="151"/>
      <c r="CC14" s="178">
        <f>COUNTIF(AR14:CA14,"X")</f>
        <v>0</v>
      </c>
      <c r="CD14" s="179"/>
      <c r="CE14" s="180"/>
    </row>
    <row r="15" spans="1:83" ht="14.1" hidden="1" customHeight="1" thickBot="1" x14ac:dyDescent="0.3">
      <c r="A15" s="2">
        <f>IF($CC$14&gt;0,"X",0)</f>
        <v>0</v>
      </c>
      <c r="B15" s="242" t="s">
        <v>12</v>
      </c>
      <c r="C15" s="243"/>
      <c r="D15" s="243"/>
      <c r="E15" s="243"/>
      <c r="F15" s="243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  <c r="AO15" s="240"/>
      <c r="AP15" s="241"/>
    </row>
    <row r="16" spans="1:83" ht="3" hidden="1" customHeight="1" thickBot="1" x14ac:dyDescent="0.3">
      <c r="A16">
        <f>IF($CC$14&gt;0,"X",0)</f>
        <v>0</v>
      </c>
    </row>
    <row r="17" spans="1:83" ht="14.1" hidden="1" customHeight="1" x14ac:dyDescent="0.25">
      <c r="A17" s="2">
        <f>IF($CC$18&gt;0,"X",0)</f>
        <v>0</v>
      </c>
      <c r="B17" s="250" t="s">
        <v>10</v>
      </c>
      <c r="C17" s="251"/>
      <c r="D17" s="251"/>
      <c r="E17" s="251"/>
      <c r="F17" s="251"/>
      <c r="G17" s="248">
        <f>IF(AR18="X",AR17,0)</f>
        <v>0</v>
      </c>
      <c r="H17" s="248"/>
      <c r="I17" s="248"/>
      <c r="J17" s="248">
        <f t="shared" ref="J17" si="32">IF(AU18="X",AU17,0)</f>
        <v>0</v>
      </c>
      <c r="K17" s="248"/>
      <c r="L17" s="248"/>
      <c r="M17" s="248">
        <f t="shared" ref="M17" si="33">IF(AX18="X",AX17,0)</f>
        <v>0</v>
      </c>
      <c r="N17" s="248"/>
      <c r="O17" s="248"/>
      <c r="P17" s="248">
        <f t="shared" ref="P17" si="34">IF(BA18="X",BA17,0)</f>
        <v>0</v>
      </c>
      <c r="Q17" s="248"/>
      <c r="R17" s="248"/>
      <c r="S17" s="248">
        <f t="shared" ref="S17" si="35">IF(BD18="X",BD17,0)</f>
        <v>0</v>
      </c>
      <c r="T17" s="248"/>
      <c r="U17" s="248"/>
      <c r="V17" s="248">
        <f t="shared" ref="V17" si="36">IF(BG18="X",BG17,0)</f>
        <v>0</v>
      </c>
      <c r="W17" s="248"/>
      <c r="X17" s="248"/>
      <c r="Y17" s="248">
        <f t="shared" ref="Y17" si="37">IF(BJ18="X",BJ17,0)</f>
        <v>0</v>
      </c>
      <c r="Z17" s="248"/>
      <c r="AA17" s="248"/>
      <c r="AB17" s="248">
        <f t="shared" ref="AB17" si="38">IF(BM18="X",BM17,0)</f>
        <v>0</v>
      </c>
      <c r="AC17" s="248"/>
      <c r="AD17" s="248"/>
      <c r="AE17" s="248">
        <f t="shared" ref="AE17" si="39">IF(BP18="X",BP17,0)</f>
        <v>0</v>
      </c>
      <c r="AF17" s="248"/>
      <c r="AG17" s="248"/>
      <c r="AH17" s="248">
        <f t="shared" ref="AH17" si="40">IF(BS18="X",BS17,0)</f>
        <v>0</v>
      </c>
      <c r="AI17" s="248"/>
      <c r="AJ17" s="248"/>
      <c r="AK17" s="248">
        <f t="shared" ref="AK17" si="41">IF(BV18="X",BV17,0)</f>
        <v>0</v>
      </c>
      <c r="AL17" s="248"/>
      <c r="AM17" s="248"/>
      <c r="AN17" s="248">
        <f t="shared" ref="AN17" si="42">IF(BY18="X",BY17,0)</f>
        <v>0</v>
      </c>
      <c r="AO17" s="248"/>
      <c r="AP17" s="249"/>
      <c r="AR17" s="151">
        <v>25</v>
      </c>
      <c r="AS17" s="151"/>
      <c r="AT17" s="151"/>
      <c r="AU17" s="151">
        <v>26</v>
      </c>
      <c r="AV17" s="151"/>
      <c r="AW17" s="151"/>
      <c r="AX17" s="151">
        <v>27</v>
      </c>
      <c r="AY17" s="151"/>
      <c r="AZ17" s="151"/>
      <c r="BA17" s="151">
        <v>28</v>
      </c>
      <c r="BB17" s="151"/>
      <c r="BC17" s="151"/>
      <c r="BD17" s="151">
        <v>29</v>
      </c>
      <c r="BE17" s="151"/>
      <c r="BF17" s="151"/>
      <c r="BG17" s="151">
        <v>30</v>
      </c>
      <c r="BH17" s="151"/>
      <c r="BI17" s="151"/>
      <c r="BJ17" s="151">
        <v>31</v>
      </c>
      <c r="BK17" s="151"/>
      <c r="BL17" s="151"/>
      <c r="BM17" s="151">
        <v>32</v>
      </c>
      <c r="BN17" s="151"/>
      <c r="BO17" s="151"/>
      <c r="BP17" s="151">
        <v>33</v>
      </c>
      <c r="BQ17" s="151"/>
      <c r="BR17" s="151"/>
      <c r="BS17" s="151">
        <v>34</v>
      </c>
      <c r="BT17" s="151"/>
      <c r="BU17" s="151"/>
      <c r="BV17" s="151">
        <v>35</v>
      </c>
      <c r="BW17" s="151"/>
      <c r="BX17" s="151"/>
      <c r="BY17" s="151">
        <v>36</v>
      </c>
      <c r="BZ17" s="151"/>
      <c r="CA17" s="151"/>
      <c r="CC17" s="182" t="s">
        <v>80</v>
      </c>
      <c r="CD17" s="183"/>
      <c r="CE17" s="184"/>
    </row>
    <row r="18" spans="1:83" ht="14.1" hidden="1" customHeight="1" x14ac:dyDescent="0.25">
      <c r="A18" s="2">
        <f t="shared" ref="A18:A19" si="43">IF($CC$18&gt;0,"X",0)</f>
        <v>0</v>
      </c>
      <c r="B18" s="246" t="s">
        <v>11</v>
      </c>
      <c r="C18" s="247"/>
      <c r="D18" s="247"/>
      <c r="E18" s="247"/>
      <c r="F18" s="247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44"/>
      <c r="Y18" s="244"/>
      <c r="Z18" s="244"/>
      <c r="AA18" s="244"/>
      <c r="AB18" s="244"/>
      <c r="AC18" s="244"/>
      <c r="AD18" s="244"/>
      <c r="AE18" s="244"/>
      <c r="AF18" s="244"/>
      <c r="AG18" s="244"/>
      <c r="AH18" s="244"/>
      <c r="AI18" s="244"/>
      <c r="AJ18" s="244"/>
      <c r="AK18" s="244"/>
      <c r="AL18" s="244"/>
      <c r="AM18" s="244"/>
      <c r="AN18" s="244"/>
      <c r="AO18" s="244"/>
      <c r="AP18" s="245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  <c r="BB18" s="151"/>
      <c r="BC18" s="151"/>
      <c r="BD18" s="151"/>
      <c r="BE18" s="151"/>
      <c r="BF18" s="151"/>
      <c r="BG18" s="151"/>
      <c r="BH18" s="151"/>
      <c r="BI18" s="151"/>
      <c r="BJ18" s="151"/>
      <c r="BK18" s="151"/>
      <c r="BL18" s="151"/>
      <c r="BM18" s="151"/>
      <c r="BN18" s="151"/>
      <c r="BO18" s="151"/>
      <c r="BP18" s="151"/>
      <c r="BQ18" s="151"/>
      <c r="BR18" s="151"/>
      <c r="BS18" s="151"/>
      <c r="BT18" s="151"/>
      <c r="BU18" s="151"/>
      <c r="BV18" s="151"/>
      <c r="BW18" s="151"/>
      <c r="BX18" s="151"/>
      <c r="BY18" s="151"/>
      <c r="BZ18" s="151"/>
      <c r="CA18" s="151"/>
      <c r="CC18" s="178">
        <f>COUNTIF(AR18:CA18,"X")</f>
        <v>0</v>
      </c>
      <c r="CD18" s="179"/>
      <c r="CE18" s="180"/>
    </row>
    <row r="19" spans="1:83" ht="14.1" hidden="1" customHeight="1" thickBot="1" x14ac:dyDescent="0.3">
      <c r="A19" s="2">
        <f t="shared" si="43"/>
        <v>0</v>
      </c>
      <c r="B19" s="242" t="s">
        <v>12</v>
      </c>
      <c r="C19" s="243"/>
      <c r="D19" s="243"/>
      <c r="E19" s="243"/>
      <c r="F19" s="243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  <c r="AH19" s="240"/>
      <c r="AI19" s="240"/>
      <c r="AJ19" s="240"/>
      <c r="AK19" s="240"/>
      <c r="AL19" s="240"/>
      <c r="AM19" s="240"/>
      <c r="AN19" s="240"/>
      <c r="AO19" s="240"/>
      <c r="AP19" s="241"/>
    </row>
    <row r="20" spans="1:83" ht="3" customHeight="1" thickBot="1" x14ac:dyDescent="0.3"/>
    <row r="21" spans="1:83" ht="14.1" customHeight="1" x14ac:dyDescent="0.25">
      <c r="B21" s="157" t="s">
        <v>15</v>
      </c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9"/>
      <c r="AE21" s="160" t="s">
        <v>16</v>
      </c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2"/>
    </row>
    <row r="22" spans="1:83" ht="14.1" customHeight="1" x14ac:dyDescent="0.25">
      <c r="B22" s="16"/>
      <c r="C22" s="113" t="s">
        <v>85</v>
      </c>
      <c r="D22" s="6"/>
      <c r="E22" s="5"/>
      <c r="F22" s="5"/>
      <c r="G22" s="5"/>
      <c r="H22" s="5"/>
      <c r="I22" s="5"/>
      <c r="J22" s="5"/>
      <c r="K22" s="6"/>
      <c r="L22" s="6"/>
      <c r="M22" s="6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8"/>
      <c r="AE22" s="2"/>
      <c r="AF22" s="3"/>
      <c r="AG22" s="48" t="s">
        <v>58</v>
      </c>
      <c r="AH22" s="44" t="s">
        <v>17</v>
      </c>
      <c r="AI22" s="45"/>
      <c r="AJ22" s="46"/>
      <c r="AK22" s="47"/>
      <c r="AL22" s="48"/>
      <c r="AM22" s="44" t="s">
        <v>18</v>
      </c>
      <c r="AN22" s="45"/>
      <c r="AO22" s="14"/>
      <c r="AP22" s="17"/>
    </row>
    <row r="23" spans="1:83" ht="14.1" customHeight="1" x14ac:dyDescent="0.25">
      <c r="B23" s="18"/>
      <c r="C23" s="10" t="s">
        <v>63</v>
      </c>
      <c r="D23" s="10"/>
      <c r="E23" s="9"/>
      <c r="F23" s="9"/>
      <c r="G23" s="9"/>
      <c r="H23" s="9"/>
      <c r="I23" s="9"/>
      <c r="J23" s="9"/>
      <c r="K23" s="10"/>
      <c r="L23" s="10"/>
      <c r="M23" s="10"/>
      <c r="AD23" s="11"/>
      <c r="AE23" s="138" t="s">
        <v>65</v>
      </c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64"/>
    </row>
    <row r="24" spans="1:83" ht="14.1" customHeight="1" x14ac:dyDescent="0.25">
      <c r="B24" s="19"/>
      <c r="C24" t="s">
        <v>113</v>
      </c>
      <c r="AD24" s="1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216"/>
    </row>
    <row r="25" spans="1:83" ht="14.1" customHeight="1" x14ac:dyDescent="0.25">
      <c r="B25" s="239" t="s">
        <v>64</v>
      </c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1"/>
      <c r="AE25" s="138" t="s">
        <v>19</v>
      </c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64"/>
    </row>
    <row r="26" spans="1:83" ht="14.1" customHeight="1" thickBot="1" x14ac:dyDescent="0.3">
      <c r="B26" s="213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  <c r="Y26" s="214"/>
      <c r="Z26" s="214"/>
      <c r="AA26" s="214"/>
      <c r="AB26" s="214"/>
      <c r="AC26" s="214"/>
      <c r="AD26" s="215"/>
      <c r="AE26" s="49"/>
      <c r="AF26" s="21" t="s">
        <v>20</v>
      </c>
      <c r="AG26" s="21"/>
      <c r="AH26" s="21"/>
      <c r="AI26" s="49"/>
      <c r="AJ26" s="21" t="s">
        <v>21</v>
      </c>
      <c r="AK26" s="21"/>
      <c r="AL26" s="21"/>
      <c r="AM26" s="49"/>
      <c r="AN26" s="21" t="s">
        <v>22</v>
      </c>
      <c r="AO26" s="21"/>
      <c r="AP26" s="22"/>
    </row>
    <row r="27" spans="1:83" ht="3.95" customHeight="1" thickBot="1" x14ac:dyDescent="0.3"/>
    <row r="28" spans="1:83" ht="14.1" customHeight="1" x14ac:dyDescent="0.25">
      <c r="B28" s="157" t="s">
        <v>23</v>
      </c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 t="s">
        <v>93</v>
      </c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9"/>
      <c r="AE28" s="160" t="s">
        <v>16</v>
      </c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2"/>
    </row>
    <row r="29" spans="1:83" ht="14.1" customHeight="1" x14ac:dyDescent="0.25">
      <c r="B29" s="112" t="s">
        <v>235</v>
      </c>
      <c r="C29" s="111"/>
      <c r="D29" s="111"/>
      <c r="E29" s="111"/>
      <c r="F29" s="111"/>
      <c r="G29" s="228" t="s">
        <v>399</v>
      </c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9"/>
      <c r="Y29" s="230" t="s">
        <v>75</v>
      </c>
      <c r="Z29" s="231"/>
      <c r="AA29" s="231"/>
      <c r="AB29" s="231"/>
      <c r="AC29" s="231"/>
      <c r="AD29" s="232"/>
      <c r="AE29" s="2"/>
      <c r="AF29" s="3"/>
      <c r="AG29" s="48" t="s">
        <v>58</v>
      </c>
      <c r="AH29" s="44" t="s">
        <v>17</v>
      </c>
      <c r="AI29" s="45"/>
      <c r="AJ29" s="46"/>
      <c r="AK29" s="47"/>
      <c r="AL29" s="48"/>
      <c r="AM29" s="44" t="s">
        <v>18</v>
      </c>
      <c r="AN29" s="45"/>
      <c r="AO29" s="14"/>
      <c r="AP29" s="17"/>
    </row>
    <row r="30" spans="1:83" ht="14.1" customHeight="1" x14ac:dyDescent="0.25">
      <c r="B30" s="225" t="s">
        <v>398</v>
      </c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7"/>
      <c r="Y30" s="233"/>
      <c r="Z30" s="234"/>
      <c r="AA30" s="234"/>
      <c r="AB30" s="234"/>
      <c r="AC30" s="234"/>
      <c r="AD30" s="235"/>
      <c r="AE30" s="138" t="s">
        <v>65</v>
      </c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64"/>
    </row>
    <row r="31" spans="1:83" ht="14.1" customHeight="1" x14ac:dyDescent="0.25">
      <c r="B31" s="225" t="s">
        <v>401</v>
      </c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7"/>
      <c r="Y31" s="233"/>
      <c r="Z31" s="234"/>
      <c r="AA31" s="234"/>
      <c r="AB31" s="234"/>
      <c r="AC31" s="234"/>
      <c r="AD31" s="235"/>
      <c r="AE31" s="138"/>
      <c r="AF31" s="140"/>
      <c r="AG31" s="138"/>
      <c r="AH31" s="140"/>
      <c r="AI31" s="138"/>
      <c r="AJ31" s="140"/>
      <c r="AK31" s="138"/>
      <c r="AL31" s="140"/>
      <c r="AM31" s="138"/>
      <c r="AN31" s="140"/>
      <c r="AO31" s="138"/>
      <c r="AP31" s="140"/>
    </row>
    <row r="32" spans="1:83" ht="14.1" customHeight="1" x14ac:dyDescent="0.25">
      <c r="B32" s="225" t="s">
        <v>400</v>
      </c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7"/>
      <c r="Y32" s="233"/>
      <c r="Z32" s="234"/>
      <c r="AA32" s="234"/>
      <c r="AB32" s="234"/>
      <c r="AC32" s="234"/>
      <c r="AD32" s="235"/>
      <c r="AE32" s="138"/>
      <c r="AF32" s="140"/>
      <c r="AG32" s="138"/>
      <c r="AH32" s="140"/>
      <c r="AI32" s="138"/>
      <c r="AJ32" s="140"/>
      <c r="AK32" s="138"/>
      <c r="AL32" s="140"/>
      <c r="AM32" s="138"/>
      <c r="AN32" s="140"/>
      <c r="AO32" s="138"/>
      <c r="AP32" s="140"/>
    </row>
    <row r="33" spans="1:101" ht="14.1" customHeight="1" x14ac:dyDescent="0.25">
      <c r="B33" s="217" t="s">
        <v>402</v>
      </c>
      <c r="C33" s="218"/>
      <c r="D33" s="218"/>
      <c r="E33" s="218"/>
      <c r="F33" s="218"/>
      <c r="G33" s="218"/>
      <c r="H33" s="218"/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9"/>
      <c r="Y33" s="236"/>
      <c r="Z33" s="237"/>
      <c r="AA33" s="237"/>
      <c r="AB33" s="237"/>
      <c r="AC33" s="237"/>
      <c r="AD33" s="238"/>
      <c r="AE33" s="59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60"/>
    </row>
    <row r="34" spans="1:101" x14ac:dyDescent="0.25">
      <c r="B34" s="196" t="s">
        <v>64</v>
      </c>
      <c r="C34" s="183"/>
      <c r="D34" s="183"/>
      <c r="E34" s="183"/>
      <c r="F34" s="183"/>
      <c r="G34" s="183"/>
      <c r="H34" s="183"/>
      <c r="I34" s="183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1"/>
      <c r="AE34" s="138" t="s">
        <v>19</v>
      </c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64"/>
    </row>
    <row r="35" spans="1:101" ht="14.1" customHeight="1" thickBot="1" x14ac:dyDescent="0.3">
      <c r="B35" s="213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214"/>
      <c r="Y35" s="214"/>
      <c r="Z35" s="214"/>
      <c r="AA35" s="214"/>
      <c r="AB35" s="214"/>
      <c r="AC35" s="214"/>
      <c r="AD35" s="215"/>
      <c r="AE35" s="49"/>
      <c r="AF35" s="21" t="s">
        <v>20</v>
      </c>
      <c r="AG35" s="21"/>
      <c r="AH35" s="21"/>
      <c r="AI35" s="49"/>
      <c r="AJ35" s="21" t="s">
        <v>21</v>
      </c>
      <c r="AK35" s="21"/>
      <c r="AL35" s="21"/>
      <c r="AM35" s="49"/>
      <c r="AN35" s="21" t="s">
        <v>22</v>
      </c>
      <c r="AO35" s="21"/>
      <c r="AP35" s="22"/>
    </row>
    <row r="36" spans="1:101" ht="3.95" customHeight="1" thickBot="1" x14ac:dyDescent="0.3"/>
    <row r="37" spans="1:101" ht="14.1" customHeight="1" x14ac:dyDescent="0.25">
      <c r="B37" s="222" t="s">
        <v>24</v>
      </c>
      <c r="C37" s="223"/>
      <c r="D37" s="223"/>
      <c r="E37" s="223"/>
      <c r="F37" s="223"/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3"/>
      <c r="AA37" s="223"/>
      <c r="AB37" s="223"/>
      <c r="AC37" s="223"/>
      <c r="AD37" s="224"/>
      <c r="AE37" s="160" t="s">
        <v>16</v>
      </c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2"/>
      <c r="AV37" s="182" t="s">
        <v>102</v>
      </c>
      <c r="AW37" s="183"/>
      <c r="AX37" s="183"/>
      <c r="AY37" s="182" t="s">
        <v>103</v>
      </c>
      <c r="AZ37" s="183"/>
      <c r="BA37" s="183"/>
      <c r="BB37" s="184"/>
      <c r="CQ37" s="182" t="s">
        <v>102</v>
      </c>
      <c r="CR37" s="183"/>
      <c r="CS37" s="183"/>
      <c r="CT37" s="182" t="s">
        <v>103</v>
      </c>
      <c r="CU37" s="183"/>
      <c r="CV37" s="183"/>
      <c r="CW37" s="184"/>
    </row>
    <row r="38" spans="1:101" ht="14.1" customHeight="1" x14ac:dyDescent="0.25">
      <c r="A38" s="64"/>
      <c r="B38" s="73" t="str">
        <f>IF(A38="X","Embutidos FTK e chapas inox estão com dimensionais e posições conforme pré-estabelecido","Embutidos FTK  estão com dimensionais e posições conforme pré-estabelecido")</f>
        <v>Embutidos FTK  estão com dimensionais e posições conforme pré-estabelecido</v>
      </c>
      <c r="C38" s="15"/>
      <c r="D38" s="6"/>
      <c r="E38" s="5"/>
      <c r="F38" s="5"/>
      <c r="G38" s="5"/>
      <c r="H38" s="5"/>
      <c r="I38" s="5"/>
      <c r="J38" s="5"/>
      <c r="K38" s="6"/>
      <c r="L38" s="6"/>
      <c r="M38" s="6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8"/>
      <c r="AE38" s="3"/>
      <c r="AF38" s="3"/>
      <c r="AG38" s="48" t="s">
        <v>58</v>
      </c>
      <c r="AH38" s="44" t="s">
        <v>17</v>
      </c>
      <c r="AI38" s="45"/>
      <c r="AJ38" s="46"/>
      <c r="AK38" s="47"/>
      <c r="AL38" s="48"/>
      <c r="AM38" s="44" t="s">
        <v>18</v>
      </c>
      <c r="AN38" s="45"/>
      <c r="AO38" s="14"/>
      <c r="AP38" s="17"/>
      <c r="AV38" s="178">
        <f>VLOOKUP($B$46,CA!$Y$3:$AF$188,8,0)</f>
        <v>200.9</v>
      </c>
      <c r="AW38" s="179"/>
      <c r="AX38" s="179"/>
      <c r="AY38" s="178">
        <f>VLOOKUP($B$46,CA!$Y$3:$AF$188,7,0)</f>
        <v>100</v>
      </c>
      <c r="AZ38" s="179"/>
      <c r="BA38" s="179"/>
      <c r="BB38" s="180"/>
      <c r="CQ38" s="178">
        <f>IF(AV38=0,AY46,AV38)</f>
        <v>200.9</v>
      </c>
      <c r="CR38" s="179"/>
      <c r="CS38" s="179"/>
      <c r="CT38" s="178">
        <f>IF(AY38=0,AY45,AY38)</f>
        <v>100</v>
      </c>
      <c r="CU38" s="179"/>
      <c r="CV38" s="179"/>
      <c r="CW38" s="180"/>
    </row>
    <row r="39" spans="1:101" ht="14.1" customHeight="1" x14ac:dyDescent="0.25">
      <c r="B39" s="72" t="s">
        <v>100</v>
      </c>
      <c r="C39" s="10"/>
      <c r="D39" s="10"/>
      <c r="E39" s="9"/>
      <c r="F39" s="9"/>
      <c r="G39" s="9"/>
      <c r="H39" s="9"/>
      <c r="I39" s="9"/>
      <c r="J39" s="9"/>
      <c r="K39" s="10"/>
      <c r="L39" s="10"/>
      <c r="M39" s="10"/>
      <c r="AD39" s="11"/>
      <c r="AE39" s="139" t="s">
        <v>65</v>
      </c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64"/>
    </row>
    <row r="40" spans="1:101" ht="14.1" customHeight="1" x14ac:dyDescent="0.25">
      <c r="B40" s="71" t="s">
        <v>101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3"/>
      <c r="AE40" s="140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216"/>
    </row>
    <row r="41" spans="1:101" ht="14.1" customHeight="1" x14ac:dyDescent="0.25">
      <c r="B41" s="210" t="s">
        <v>64</v>
      </c>
      <c r="C41" s="165"/>
      <c r="D41" s="165"/>
      <c r="E41" s="165"/>
      <c r="F41" s="165"/>
      <c r="G41" s="165"/>
      <c r="H41" s="165"/>
      <c r="I41" s="165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2"/>
      <c r="AE41" s="138" t="s">
        <v>19</v>
      </c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64"/>
      <c r="BA41" s="165">
        <v>197.7</v>
      </c>
      <c r="BB41" s="165"/>
      <c r="BC41" s="165"/>
      <c r="BD41" s="165"/>
      <c r="BE41" s="165"/>
    </row>
    <row r="42" spans="1:101" ht="14.1" customHeight="1" thickBot="1" x14ac:dyDescent="0.3">
      <c r="B42" s="213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214"/>
      <c r="S42" s="214"/>
      <c r="T42" s="214"/>
      <c r="U42" s="214"/>
      <c r="V42" s="214"/>
      <c r="W42" s="214"/>
      <c r="X42" s="214"/>
      <c r="Y42" s="214"/>
      <c r="Z42" s="214"/>
      <c r="AA42" s="214"/>
      <c r="AB42" s="214"/>
      <c r="AC42" s="214"/>
      <c r="AD42" s="215"/>
      <c r="AE42" s="49"/>
      <c r="AF42" s="21" t="s">
        <v>20</v>
      </c>
      <c r="AG42" s="21"/>
      <c r="AH42" s="21"/>
      <c r="AI42" s="49"/>
      <c r="AJ42" s="21" t="s">
        <v>21</v>
      </c>
      <c r="AK42" s="21"/>
      <c r="AL42" s="21"/>
      <c r="AM42" s="49"/>
      <c r="AN42" s="21" t="s">
        <v>22</v>
      </c>
      <c r="AO42" s="21"/>
      <c r="AP42" s="22"/>
      <c r="BA42" s="165">
        <v>99.9</v>
      </c>
      <c r="BB42" s="165"/>
      <c r="BC42" s="165"/>
      <c r="BD42" s="165"/>
      <c r="BE42" s="165"/>
    </row>
    <row r="43" spans="1:101" ht="4.5" customHeight="1" thickBot="1" x14ac:dyDescent="0.3"/>
    <row r="44" spans="1:101" ht="14.1" customHeight="1" x14ac:dyDescent="0.25">
      <c r="B44" s="205" t="s">
        <v>25</v>
      </c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7" t="s">
        <v>26</v>
      </c>
      <c r="N44" s="208"/>
      <c r="O44" s="208"/>
      <c r="P44" s="161">
        <v>12.7</v>
      </c>
      <c r="Q44" s="161"/>
      <c r="R44" s="161"/>
      <c r="S44" s="161" t="s">
        <v>27</v>
      </c>
      <c r="T44" s="161"/>
      <c r="U44" s="209"/>
      <c r="V44" s="207" t="s">
        <v>28</v>
      </c>
      <c r="W44" s="208"/>
      <c r="X44" s="208"/>
      <c r="Y44" s="208"/>
      <c r="Z44" s="208"/>
      <c r="AA44" s="208"/>
      <c r="AB44" s="161" t="s">
        <v>83</v>
      </c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2"/>
      <c r="AU44" t="s">
        <v>108</v>
      </c>
    </row>
    <row r="45" spans="1:101" ht="14.1" customHeight="1" x14ac:dyDescent="0.25">
      <c r="B45" s="196" t="s">
        <v>29</v>
      </c>
      <c r="C45" s="183"/>
      <c r="D45" s="183"/>
      <c r="E45" s="183"/>
      <c r="F45" s="183"/>
      <c r="G45" s="183"/>
      <c r="H45" s="183"/>
      <c r="I45" s="183"/>
      <c r="J45" s="183"/>
      <c r="K45" s="183"/>
      <c r="L45" s="184"/>
      <c r="M45" s="182" t="s">
        <v>30</v>
      </c>
      <c r="N45" s="183"/>
      <c r="O45" s="183"/>
      <c r="P45" s="183"/>
      <c r="Q45" s="183"/>
      <c r="R45" s="183"/>
      <c r="S45" s="183"/>
      <c r="T45" s="183"/>
      <c r="U45" s="184"/>
      <c r="V45" s="182" t="s">
        <v>29</v>
      </c>
      <c r="W45" s="183"/>
      <c r="X45" s="183"/>
      <c r="Y45" s="183"/>
      <c r="Z45" s="183"/>
      <c r="AA45" s="183"/>
      <c r="AB45" s="183"/>
      <c r="AC45" s="183"/>
      <c r="AD45" s="183"/>
      <c r="AE45" s="183"/>
      <c r="AF45" s="184"/>
      <c r="AG45" s="182" t="s">
        <v>30</v>
      </c>
      <c r="AH45" s="183"/>
      <c r="AI45" s="183"/>
      <c r="AJ45" s="183"/>
      <c r="AK45" s="183"/>
      <c r="AL45" s="183"/>
      <c r="AM45" s="183"/>
      <c r="AN45" s="183"/>
      <c r="AO45" s="183"/>
      <c r="AP45" s="197"/>
      <c r="AV45" t="s">
        <v>104</v>
      </c>
      <c r="AY45" s="165" t="s">
        <v>98</v>
      </c>
      <c r="AZ45" s="165"/>
      <c r="BA45" s="165"/>
      <c r="BB45" s="165"/>
      <c r="BC45" s="165"/>
      <c r="BD45" t="s">
        <v>106</v>
      </c>
    </row>
    <row r="46" spans="1:101" ht="14.1" customHeight="1" x14ac:dyDescent="0.25">
      <c r="B46" s="198">
        <f>VLOOKUP($AN$1,CA!$A$3:$Y$282,25,0)</f>
        <v>1062269468</v>
      </c>
      <c r="C46" s="199"/>
      <c r="D46" s="199"/>
      <c r="E46" s="199"/>
      <c r="F46" s="199"/>
      <c r="G46" s="199"/>
      <c r="H46" s="199"/>
      <c r="I46" s="199"/>
      <c r="J46" s="199"/>
      <c r="K46" s="199"/>
      <c r="L46" s="200"/>
      <c r="M46" s="201">
        <f>VLOOKUP($AN$1,CA!$A$3:$Z$282,26,0)</f>
        <v>45730</v>
      </c>
      <c r="N46" s="202"/>
      <c r="O46" s="202"/>
      <c r="P46" s="202"/>
      <c r="Q46" s="202"/>
      <c r="R46" s="202"/>
      <c r="S46" s="202"/>
      <c r="T46" s="202"/>
      <c r="U46" s="203"/>
      <c r="V46" s="179">
        <f>VLOOKUP($AN$1,CA!$A$3:$AB$282,28,0)</f>
        <v>1062279616</v>
      </c>
      <c r="W46" s="179"/>
      <c r="X46" s="179"/>
      <c r="Y46" s="179"/>
      <c r="Z46" s="179"/>
      <c r="AA46" s="179"/>
      <c r="AB46" s="179"/>
      <c r="AC46" s="179"/>
      <c r="AD46" s="179"/>
      <c r="AE46" s="179"/>
      <c r="AF46" s="180"/>
      <c r="AG46" s="201">
        <f>VLOOKUP($AN$1,CA!$A$3:$AC$188,29,0)</f>
        <v>45716</v>
      </c>
      <c r="AH46" s="202"/>
      <c r="AI46" s="202"/>
      <c r="AJ46" s="202"/>
      <c r="AK46" s="202"/>
      <c r="AL46" s="202"/>
      <c r="AM46" s="202"/>
      <c r="AN46" s="202"/>
      <c r="AO46" s="202"/>
      <c r="AP46" s="204"/>
      <c r="AV46" t="s">
        <v>105</v>
      </c>
      <c r="AY46" s="165" t="s">
        <v>98</v>
      </c>
      <c r="AZ46" s="165"/>
      <c r="BA46" s="165"/>
      <c r="BB46" s="165"/>
      <c r="BC46" s="165"/>
      <c r="BD46" t="s">
        <v>107</v>
      </c>
    </row>
    <row r="47" spans="1:101" ht="14.1" customHeight="1" x14ac:dyDescent="0.25">
      <c r="B47" s="163" t="s">
        <v>96</v>
      </c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92">
        <f>VLOOKUP(B46,CA!$Y$3:$AA$139,3,0)</f>
        <v>81902</v>
      </c>
      <c r="N47" s="193"/>
      <c r="O47" s="193"/>
      <c r="P47" s="193"/>
      <c r="Q47" s="193"/>
      <c r="R47" s="193"/>
      <c r="S47" s="193"/>
      <c r="T47" s="193"/>
      <c r="U47" s="194"/>
      <c r="V47" s="138" t="s">
        <v>96</v>
      </c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42">
        <f>VLOOKUP($AN$1,CA!$A$3:$AD$188,30,0)</f>
        <v>81795</v>
      </c>
      <c r="AH47" s="142"/>
      <c r="AI47" s="142"/>
      <c r="AJ47" s="142"/>
      <c r="AK47" s="142"/>
      <c r="AL47" s="142"/>
      <c r="AM47" s="142"/>
      <c r="AN47" s="142"/>
      <c r="AO47" s="142"/>
      <c r="AP47" s="195"/>
      <c r="AS47" t="s">
        <v>109</v>
      </c>
      <c r="BC47" s="165" t="e">
        <f>IF(CQ38+CT38=0,0,((AY45/CT38)+(AY46/CQ38))/2)*1.02</f>
        <v>#VALUE!</v>
      </c>
      <c r="BD47" s="165"/>
      <c r="BE47" s="165"/>
      <c r="BF47" s="165"/>
      <c r="BG47" s="165"/>
    </row>
    <row r="48" spans="1:101" ht="4.5" customHeight="1" x14ac:dyDescent="0.25">
      <c r="B48" s="19"/>
      <c r="AP48" s="23"/>
    </row>
    <row r="49" spans="2:121" ht="14.1" customHeight="1" x14ac:dyDescent="0.25">
      <c r="B49" s="35"/>
      <c r="C49" s="139" t="s">
        <v>31</v>
      </c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7"/>
      <c r="AR49" s="138" t="s">
        <v>66</v>
      </c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39"/>
      <c r="BF49" s="139"/>
      <c r="BG49" s="139"/>
      <c r="BH49" s="139"/>
      <c r="BI49" s="139"/>
      <c r="BJ49" s="139"/>
      <c r="BK49" s="139"/>
      <c r="BL49" s="139"/>
      <c r="BM49" s="139"/>
      <c r="BN49" s="139"/>
      <c r="BO49" s="139"/>
      <c r="BP49" s="139"/>
      <c r="BQ49" s="139"/>
      <c r="BR49" s="139"/>
      <c r="BS49" s="139"/>
      <c r="BT49" s="139"/>
      <c r="BU49" s="139"/>
      <c r="BV49" s="139"/>
      <c r="BW49" s="139"/>
      <c r="BX49" s="139"/>
      <c r="BY49" s="139"/>
      <c r="BZ49" s="139"/>
      <c r="CA49" s="139"/>
      <c r="CB49" s="139"/>
      <c r="CC49" s="139"/>
      <c r="CD49" s="140"/>
    </row>
    <row r="50" spans="2:121" ht="14.1" customHeight="1" x14ac:dyDescent="0.25">
      <c r="B50" s="19"/>
      <c r="C50" s="190" t="str">
        <f>IF(AR51="x",AR50,0)</f>
        <v>C-1</v>
      </c>
      <c r="D50" s="165"/>
      <c r="E50" s="191"/>
      <c r="F50" s="190" t="str">
        <f t="shared" ref="F50" si="44">IF(AU51="x",AU50,0)</f>
        <v>C-2</v>
      </c>
      <c r="G50" s="165"/>
      <c r="H50" s="191"/>
      <c r="I50" s="190" t="str">
        <f t="shared" ref="I50" si="45">IF(AX51="x",AX50,0)</f>
        <v>C-3</v>
      </c>
      <c r="J50" s="165"/>
      <c r="K50" s="191"/>
      <c r="L50" s="190" t="str">
        <f t="shared" ref="L50" si="46">IF(BA51="x",BA50,0)</f>
        <v>C-4</v>
      </c>
      <c r="M50" s="165"/>
      <c r="N50" s="191"/>
      <c r="O50" s="190" t="str">
        <f t="shared" ref="O50" si="47">IF(BD51="x",BD50,0)</f>
        <v>C-5</v>
      </c>
      <c r="P50" s="165"/>
      <c r="Q50" s="191"/>
      <c r="R50" s="190" t="str">
        <f t="shared" ref="R50" si="48">IF(BG51="x",BG50,0)</f>
        <v>C-6</v>
      </c>
      <c r="S50" s="165"/>
      <c r="T50" s="191"/>
      <c r="U50" s="190" t="str">
        <f t="shared" ref="U50" si="49">IF(BJ51="x",BJ50,0)</f>
        <v>C-7</v>
      </c>
      <c r="V50" s="165"/>
      <c r="W50" s="191"/>
      <c r="X50" s="190" t="str">
        <f t="shared" ref="X50" si="50">IF(BM51="x",BM50,0)</f>
        <v>C-8</v>
      </c>
      <c r="Y50" s="165"/>
      <c r="Z50" s="191"/>
      <c r="AA50" s="190" t="str">
        <f t="shared" ref="AA50" si="51">IF(BP51="x",BP50,0)</f>
        <v>C-9</v>
      </c>
      <c r="AB50" s="165"/>
      <c r="AC50" s="191"/>
      <c r="AD50" s="190" t="str">
        <f t="shared" ref="AD50" si="52">IF(BS51="x",BS50,0)</f>
        <v>C-10</v>
      </c>
      <c r="AE50" s="165"/>
      <c r="AF50" s="191"/>
      <c r="AG50" s="190" t="str">
        <f t="shared" ref="AG50" si="53">IF(BV51="x",BV50,0)</f>
        <v>C-11</v>
      </c>
      <c r="AH50" s="165"/>
      <c r="AI50" s="191"/>
      <c r="AJ50" s="190" t="str">
        <f t="shared" ref="AJ50" si="54">IF(BY51="x",BY50,0)</f>
        <v>C-12</v>
      </c>
      <c r="AK50" s="165"/>
      <c r="AL50" s="191"/>
      <c r="AM50" s="190" t="str">
        <f t="shared" ref="AM50" si="55">IF(CB51="x",CB50,0)</f>
        <v>C-13</v>
      </c>
      <c r="AN50" s="165"/>
      <c r="AO50" s="191"/>
      <c r="AP50" s="23"/>
      <c r="AR50" s="189" t="s">
        <v>32</v>
      </c>
      <c r="AS50" s="189"/>
      <c r="AT50" s="189"/>
      <c r="AU50" s="189" t="s">
        <v>33</v>
      </c>
      <c r="AV50" s="189"/>
      <c r="AW50" s="189"/>
      <c r="AX50" s="189" t="s">
        <v>34</v>
      </c>
      <c r="AY50" s="189"/>
      <c r="AZ50" s="189"/>
      <c r="BA50" s="189" t="s">
        <v>35</v>
      </c>
      <c r="BB50" s="189"/>
      <c r="BC50" s="189"/>
      <c r="BD50" s="189" t="s">
        <v>36</v>
      </c>
      <c r="BE50" s="189"/>
      <c r="BF50" s="189"/>
      <c r="BG50" s="189" t="s">
        <v>37</v>
      </c>
      <c r="BH50" s="189"/>
      <c r="BI50" s="189"/>
      <c r="BJ50" s="189" t="s">
        <v>38</v>
      </c>
      <c r="BK50" s="189"/>
      <c r="BL50" s="189"/>
      <c r="BM50" s="189" t="s">
        <v>39</v>
      </c>
      <c r="BN50" s="189"/>
      <c r="BO50" s="189"/>
      <c r="BP50" s="189" t="s">
        <v>40</v>
      </c>
      <c r="BQ50" s="189"/>
      <c r="BR50" s="189"/>
      <c r="BS50" s="189" t="s">
        <v>41</v>
      </c>
      <c r="BT50" s="189"/>
      <c r="BU50" s="189"/>
      <c r="BV50" s="189" t="s">
        <v>42</v>
      </c>
      <c r="BW50" s="189"/>
      <c r="BX50" s="189"/>
      <c r="BY50" s="189" t="s">
        <v>43</v>
      </c>
      <c r="BZ50" s="189"/>
      <c r="CA50" s="189"/>
      <c r="CB50" s="189" t="s">
        <v>44</v>
      </c>
      <c r="CC50" s="189"/>
      <c r="CD50" s="189"/>
    </row>
    <row r="51" spans="2:121" ht="14.1" customHeight="1" x14ac:dyDescent="0.25">
      <c r="B51" s="19"/>
      <c r="C51" s="178">
        <f>VLOOKUP($AN$1,CA!$A$3:$X$188,3,0)</f>
        <v>344</v>
      </c>
      <c r="D51" s="179"/>
      <c r="E51" s="180"/>
      <c r="F51" s="178">
        <f>VLOOKUP($AN$1,CA!$A$3:$X$188,4,0)</f>
        <v>342</v>
      </c>
      <c r="G51" s="179"/>
      <c r="H51" s="180"/>
      <c r="I51" s="178">
        <f>VLOOKUP($AN$1,CA!$A$3:$X$188,5,0)</f>
        <v>347</v>
      </c>
      <c r="J51" s="179"/>
      <c r="K51" s="180"/>
      <c r="L51" s="178">
        <f>VLOOKUP($AN$1,CA!$A$3:$X$188,6,0)</f>
        <v>344</v>
      </c>
      <c r="M51" s="179"/>
      <c r="N51" s="180"/>
      <c r="O51" s="178">
        <f>VLOOKUP($AN$1,CA!$A$3:$X$188,7,0)</f>
        <v>342</v>
      </c>
      <c r="P51" s="179"/>
      <c r="Q51" s="180"/>
      <c r="R51" s="178">
        <f>VLOOKUP($AN$1,CA!$A$3:$X$188,8,0)</f>
        <v>342</v>
      </c>
      <c r="S51" s="179"/>
      <c r="T51" s="180"/>
      <c r="U51" s="178">
        <f>VLOOKUP($AN$1,CA!$A$3:$X$188,9,0)</f>
        <v>347</v>
      </c>
      <c r="V51" s="179"/>
      <c r="W51" s="180"/>
      <c r="X51" s="178">
        <f>VLOOKUP($AN$1,CA!$A$3:$X$188,10,0)</f>
        <v>346</v>
      </c>
      <c r="Y51" s="179"/>
      <c r="Z51" s="180"/>
      <c r="AA51" s="178">
        <f>VLOOKUP($AN$1,CA!$A$3:$X$188,11,0)</f>
        <v>348</v>
      </c>
      <c r="AB51" s="179"/>
      <c r="AC51" s="180"/>
      <c r="AD51" s="178">
        <f>VLOOKUP($AN$1,CA!$A$3:$X$188,12,0)</f>
        <v>348</v>
      </c>
      <c r="AE51" s="179"/>
      <c r="AF51" s="180"/>
      <c r="AG51" s="178">
        <f>VLOOKUP($AN$1,CA!$A$3:$X$188,13,0)</f>
        <v>341</v>
      </c>
      <c r="AH51" s="179"/>
      <c r="AI51" s="180"/>
      <c r="AJ51" s="178">
        <f>VLOOKUP($AN$1,CA!$A$3:$X$188,14,0)</f>
        <v>346</v>
      </c>
      <c r="AK51" s="179"/>
      <c r="AL51" s="180"/>
      <c r="AM51" s="178">
        <f>VLOOKUP($AN$1,CA!$A$3:$X$188,15,0)</f>
        <v>342</v>
      </c>
      <c r="AN51" s="179"/>
      <c r="AO51" s="180"/>
      <c r="AP51" s="23"/>
      <c r="AR51" s="151" t="s">
        <v>58</v>
      </c>
      <c r="AS51" s="151"/>
      <c r="AT51" s="151"/>
      <c r="AU51" s="151" t="s">
        <v>58</v>
      </c>
      <c r="AV51" s="151"/>
      <c r="AW51" s="151"/>
      <c r="AX51" s="151" t="s">
        <v>58</v>
      </c>
      <c r="AY51" s="151"/>
      <c r="AZ51" s="151"/>
      <c r="BA51" s="151" t="s">
        <v>58</v>
      </c>
      <c r="BB51" s="151"/>
      <c r="BC51" s="151"/>
      <c r="BD51" s="151" t="s">
        <v>58</v>
      </c>
      <c r="BE51" s="151"/>
      <c r="BF51" s="151"/>
      <c r="BG51" s="151" t="s">
        <v>58</v>
      </c>
      <c r="BH51" s="151"/>
      <c r="BI51" s="151"/>
      <c r="BJ51" s="151" t="s">
        <v>58</v>
      </c>
      <c r="BK51" s="151"/>
      <c r="BL51" s="151"/>
      <c r="BM51" s="151" t="s">
        <v>58</v>
      </c>
      <c r="BN51" s="151"/>
      <c r="BO51" s="151"/>
      <c r="BP51" s="151" t="s">
        <v>58</v>
      </c>
      <c r="BQ51" s="151"/>
      <c r="BR51" s="151"/>
      <c r="BS51" s="151" t="s">
        <v>58</v>
      </c>
      <c r="BT51" s="151"/>
      <c r="BU51" s="151"/>
      <c r="BV51" s="151" t="s">
        <v>58</v>
      </c>
      <c r="BW51" s="151"/>
      <c r="BX51" s="151"/>
      <c r="BY51" s="151" t="s">
        <v>58</v>
      </c>
      <c r="BZ51" s="151"/>
      <c r="CA51" s="151"/>
      <c r="CB51" s="151" t="s">
        <v>58</v>
      </c>
      <c r="CC51" s="151"/>
      <c r="CD51" s="151"/>
    </row>
    <row r="52" spans="2:121" ht="14.1" customHeight="1" x14ac:dyDescent="0.25">
      <c r="B52" s="19"/>
      <c r="C52" s="182" t="str">
        <f>IF(AR53="x",AR52,0)</f>
        <v>C-14</v>
      </c>
      <c r="D52" s="183"/>
      <c r="E52" s="184"/>
      <c r="F52" s="182" t="str">
        <f t="shared" ref="F52" si="56">IF(AU53="x",AU52,0)</f>
        <v>C-15</v>
      </c>
      <c r="G52" s="183"/>
      <c r="H52" s="184"/>
      <c r="I52" s="182" t="str">
        <f>IF(AX53="x",AX52,0)</f>
        <v>C-16</v>
      </c>
      <c r="J52" s="183"/>
      <c r="K52" s="184"/>
      <c r="L52" s="182">
        <f t="shared" ref="L52" si="57">IF(BA53="x",BA52,0)</f>
        <v>0</v>
      </c>
      <c r="M52" s="183"/>
      <c r="N52" s="184"/>
      <c r="O52" s="182">
        <f t="shared" ref="O52" si="58">IF(BD53="x",BD52,0)</f>
        <v>0</v>
      </c>
      <c r="P52" s="183"/>
      <c r="Q52" s="184"/>
      <c r="R52" s="182">
        <f t="shared" ref="R52" si="59">IF(BG53="x",BG52,0)</f>
        <v>0</v>
      </c>
      <c r="S52" s="183"/>
      <c r="T52" s="184"/>
      <c r="U52" s="182">
        <f t="shared" ref="U52" si="60">IF(BJ53="x",BJ52,0)</f>
        <v>0</v>
      </c>
      <c r="V52" s="183"/>
      <c r="W52" s="184"/>
      <c r="X52" s="182">
        <f t="shared" ref="X52" si="61">IF(BM53="x",BM52,0)</f>
        <v>0</v>
      </c>
      <c r="Y52" s="183"/>
      <c r="Z52" s="184"/>
      <c r="AA52" s="182">
        <f t="shared" ref="AA52" si="62">IF(BP53="x",BP52,0)</f>
        <v>0</v>
      </c>
      <c r="AB52" s="183"/>
      <c r="AC52" s="184"/>
      <c r="AD52" s="182">
        <f t="shared" ref="AD52" si="63">IF(BS53="x",BS52,0)</f>
        <v>0</v>
      </c>
      <c r="AE52" s="183"/>
      <c r="AF52" s="184"/>
      <c r="AG52" s="182">
        <f t="shared" ref="AG52" si="64">IF(BV53="x",BV52,0)</f>
        <v>0</v>
      </c>
      <c r="AH52" s="183"/>
      <c r="AI52" s="184"/>
      <c r="AJ52" s="182">
        <f t="shared" ref="AJ52" si="65">IF(BY53="x",BY52,0)</f>
        <v>0</v>
      </c>
      <c r="AK52" s="183"/>
      <c r="AL52" s="184"/>
      <c r="AM52" s="182">
        <f t="shared" ref="AM52" si="66">IF(CB53="x",CB52,0)</f>
        <v>0</v>
      </c>
      <c r="AN52" s="183"/>
      <c r="AO52" s="184"/>
      <c r="AP52" s="23"/>
      <c r="AR52" s="189" t="s">
        <v>45</v>
      </c>
      <c r="AS52" s="189"/>
      <c r="AT52" s="189"/>
      <c r="AU52" s="189" t="s">
        <v>46</v>
      </c>
      <c r="AV52" s="189"/>
      <c r="AW52" s="189"/>
      <c r="AX52" s="189" t="s">
        <v>47</v>
      </c>
      <c r="AY52" s="189"/>
      <c r="AZ52" s="189"/>
      <c r="BA52" s="189" t="s">
        <v>48</v>
      </c>
      <c r="BB52" s="189"/>
      <c r="BC52" s="189"/>
      <c r="BD52" s="189" t="s">
        <v>49</v>
      </c>
      <c r="BE52" s="189"/>
      <c r="BF52" s="189"/>
      <c r="BG52" s="189" t="s">
        <v>50</v>
      </c>
      <c r="BH52" s="189"/>
      <c r="BI52" s="189"/>
      <c r="BJ52" s="189" t="s">
        <v>51</v>
      </c>
      <c r="BK52" s="189"/>
      <c r="BL52" s="189"/>
      <c r="BM52" s="189" t="s">
        <v>52</v>
      </c>
      <c r="BN52" s="189"/>
      <c r="BO52" s="189"/>
      <c r="BP52" s="189" t="s">
        <v>53</v>
      </c>
      <c r="BQ52" s="189"/>
      <c r="BR52" s="189"/>
      <c r="BS52" s="189" t="s">
        <v>54</v>
      </c>
      <c r="BT52" s="189"/>
      <c r="BU52" s="189"/>
      <c r="BV52" s="189" t="s">
        <v>55</v>
      </c>
      <c r="BW52" s="189"/>
      <c r="BX52" s="189"/>
      <c r="BY52" s="189" t="s">
        <v>56</v>
      </c>
      <c r="BZ52" s="189"/>
      <c r="CA52" s="189"/>
      <c r="CB52" s="189" t="s">
        <v>57</v>
      </c>
      <c r="CC52" s="189"/>
      <c r="CD52" s="189"/>
    </row>
    <row r="53" spans="2:121" ht="14.1" customHeight="1" x14ac:dyDescent="0.25">
      <c r="B53" s="20"/>
      <c r="C53" s="178">
        <f>VLOOKUP($AN$1,CA!$A$3:$X$188,16,0)</f>
        <v>343</v>
      </c>
      <c r="D53" s="179"/>
      <c r="E53" s="180"/>
      <c r="F53" s="178">
        <f>VLOOKUP($AN$1,CA!$A$3:$X$188,17,0)</f>
        <v>346</v>
      </c>
      <c r="G53" s="179"/>
      <c r="H53" s="180"/>
      <c r="I53" s="178">
        <f>VLOOKUP($AN$1,CA!$A$3:$X$188,18,0)</f>
        <v>350</v>
      </c>
      <c r="J53" s="179"/>
      <c r="K53" s="180"/>
      <c r="L53" s="178">
        <f>VLOOKUP($AN$1,CA!$A$3:$X$188,19,0)</f>
        <v>0</v>
      </c>
      <c r="M53" s="179"/>
      <c r="N53" s="180"/>
      <c r="O53" s="178">
        <f>VLOOKUP($AN$1,CA!$A$3:$X$188,20,0)</f>
        <v>0</v>
      </c>
      <c r="P53" s="179"/>
      <c r="Q53" s="180"/>
      <c r="R53" s="178">
        <f>VLOOKUP($AN$1,CA!$A$3:$X$188,21,0)</f>
        <v>0</v>
      </c>
      <c r="S53" s="179"/>
      <c r="T53" s="180"/>
      <c r="U53" s="178">
        <f>VLOOKUP($AN$1,CA!$A$3:$X$188,22,0)</f>
        <v>0</v>
      </c>
      <c r="V53" s="179"/>
      <c r="W53" s="180"/>
      <c r="X53" s="178">
        <f>VLOOKUP($AN$1,CA!$A$3:$X$188,23,0)</f>
        <v>0</v>
      </c>
      <c r="Y53" s="179"/>
      <c r="Z53" s="180"/>
      <c r="AA53" s="178">
        <f>VLOOKUP($AN$1,CA!$A$3:$X$188,24,0)</f>
        <v>0</v>
      </c>
      <c r="AB53" s="179"/>
      <c r="AC53" s="180"/>
      <c r="AD53" s="178"/>
      <c r="AE53" s="179"/>
      <c r="AF53" s="180"/>
      <c r="AG53" s="178"/>
      <c r="AH53" s="179"/>
      <c r="AI53" s="180"/>
      <c r="AJ53" s="178"/>
      <c r="AK53" s="179"/>
      <c r="AL53" s="180"/>
      <c r="AM53" s="178"/>
      <c r="AN53" s="179"/>
      <c r="AO53" s="180"/>
      <c r="AP53" s="24"/>
      <c r="AR53" s="151" t="s">
        <v>58</v>
      </c>
      <c r="AS53" s="151"/>
      <c r="AT53" s="151"/>
      <c r="AU53" s="151" t="s">
        <v>58</v>
      </c>
      <c r="AV53" s="151"/>
      <c r="AW53" s="151"/>
      <c r="AX53" s="151" t="s">
        <v>58</v>
      </c>
      <c r="AY53" s="151"/>
      <c r="AZ53" s="151"/>
      <c r="BA53" s="151"/>
      <c r="BB53" s="151"/>
      <c r="BC53" s="151"/>
      <c r="BD53" s="151"/>
      <c r="BE53" s="151"/>
      <c r="BF53" s="151"/>
      <c r="BG53" s="151"/>
      <c r="BH53" s="151"/>
      <c r="BI53" s="151"/>
      <c r="BJ53" s="151"/>
      <c r="BK53" s="151"/>
      <c r="BL53" s="151"/>
      <c r="BM53" s="151"/>
      <c r="BN53" s="151"/>
      <c r="BO53" s="151"/>
      <c r="BP53" s="151"/>
      <c r="BQ53" s="151"/>
      <c r="BR53" s="151"/>
      <c r="BS53" s="151"/>
      <c r="BT53" s="151"/>
      <c r="BU53" s="151"/>
      <c r="BV53" s="151"/>
      <c r="BW53" s="151"/>
      <c r="BX53" s="151"/>
      <c r="BY53" s="151"/>
      <c r="BZ53" s="151"/>
      <c r="CA53" s="151"/>
      <c r="CB53" s="151"/>
      <c r="CC53" s="151"/>
      <c r="CD53" s="151"/>
    </row>
    <row r="54" spans="2:121" ht="14.1" customHeight="1" x14ac:dyDescent="0.25">
      <c r="B54" s="163" t="s">
        <v>59</v>
      </c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>
        <f>SUM(C51:AO51)+SUM(C53:AO53)</f>
        <v>5518</v>
      </c>
      <c r="Y54" s="139"/>
      <c r="Z54" s="139"/>
      <c r="AA54" s="139"/>
      <c r="AB54" s="139"/>
      <c r="AC54" s="3" t="s">
        <v>27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17"/>
      <c r="CE54" s="182" t="str">
        <f>C50</f>
        <v>C-1</v>
      </c>
      <c r="CF54" s="183"/>
      <c r="CG54" s="184"/>
      <c r="CH54" s="182" t="str">
        <f>F50</f>
        <v>C-2</v>
      </c>
      <c r="CI54" s="183"/>
      <c r="CJ54" s="184"/>
      <c r="CK54" s="182" t="str">
        <f>I50</f>
        <v>C-3</v>
      </c>
      <c r="CL54" s="183"/>
      <c r="CM54" s="184"/>
      <c r="CN54" s="182" t="str">
        <f>L50</f>
        <v>C-4</v>
      </c>
      <c r="CO54" s="183"/>
      <c r="CP54" s="184"/>
      <c r="CQ54" s="182" t="str">
        <f>O50</f>
        <v>C-5</v>
      </c>
      <c r="CR54" s="183"/>
      <c r="CS54" s="184"/>
      <c r="CT54" s="182" t="str">
        <f>R50</f>
        <v>C-6</v>
      </c>
      <c r="CU54" s="183"/>
      <c r="CV54" s="184"/>
      <c r="CW54" s="182" t="str">
        <f>U50</f>
        <v>C-7</v>
      </c>
      <c r="CX54" s="183"/>
      <c r="CY54" s="184"/>
      <c r="CZ54" s="182" t="str">
        <f>X50</f>
        <v>C-8</v>
      </c>
      <c r="DA54" s="183"/>
      <c r="DB54" s="184"/>
      <c r="DC54" s="182" t="str">
        <f>AA50</f>
        <v>C-9</v>
      </c>
      <c r="DD54" s="183"/>
      <c r="DE54" s="184"/>
      <c r="DF54" s="182" t="str">
        <f>AD50</f>
        <v>C-10</v>
      </c>
      <c r="DG54" s="183"/>
      <c r="DH54" s="184"/>
      <c r="DI54" s="182" t="str">
        <f>AG50</f>
        <v>C-11</v>
      </c>
      <c r="DJ54" s="183"/>
      <c r="DK54" s="184"/>
      <c r="DL54" s="182" t="str">
        <f>AJ50</f>
        <v>C-12</v>
      </c>
      <c r="DM54" s="183"/>
      <c r="DN54" s="184"/>
      <c r="DO54" s="182" t="str">
        <f>AM50</f>
        <v>C-13</v>
      </c>
      <c r="DP54" s="183"/>
      <c r="DQ54" s="184"/>
    </row>
    <row r="55" spans="2:121" ht="5.45" customHeight="1" x14ac:dyDescent="0.25">
      <c r="B55" s="19"/>
      <c r="AP55" s="23"/>
      <c r="CE55" s="78"/>
      <c r="CF55" s="79"/>
      <c r="CG55" s="80"/>
      <c r="CH55" s="78"/>
      <c r="CI55" s="79"/>
      <c r="CJ55" s="80"/>
      <c r="CK55" s="78"/>
      <c r="CL55" s="79"/>
      <c r="CM55" s="80"/>
      <c r="CN55" s="78"/>
      <c r="CO55" s="79"/>
      <c r="CP55" s="80"/>
      <c r="CQ55" s="78"/>
      <c r="CR55" s="79"/>
      <c r="CS55" s="80"/>
      <c r="CT55" s="78"/>
      <c r="CU55" s="79"/>
      <c r="CV55" s="80"/>
      <c r="CW55" s="78"/>
      <c r="CX55" s="79"/>
      <c r="CY55" s="80"/>
      <c r="CZ55" s="78"/>
      <c r="DA55" s="79"/>
      <c r="DB55" s="80"/>
      <c r="DC55" s="78"/>
      <c r="DD55" s="79"/>
      <c r="DE55" s="80"/>
      <c r="DF55" s="78"/>
      <c r="DG55" s="79"/>
      <c r="DH55" s="80"/>
      <c r="DI55" s="78"/>
      <c r="DJ55" s="79"/>
      <c r="DK55" s="80"/>
      <c r="DL55" s="78"/>
      <c r="DM55" s="79"/>
      <c r="DN55" s="80"/>
      <c r="DO55" s="78"/>
      <c r="DP55" s="79"/>
      <c r="DQ55" s="80"/>
    </row>
    <row r="56" spans="2:121" ht="14.1" customHeight="1" x14ac:dyDescent="0.25">
      <c r="B56" s="185" t="s">
        <v>60</v>
      </c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6" t="s">
        <v>94</v>
      </c>
      <c r="X56" s="186"/>
      <c r="Y56" s="186"/>
      <c r="Z56" s="186"/>
      <c r="AA56" s="186" t="s">
        <v>95</v>
      </c>
      <c r="AB56" s="186"/>
      <c r="AC56" s="186"/>
      <c r="AD56" s="186"/>
      <c r="AE56" s="187" t="s">
        <v>16</v>
      </c>
      <c r="AF56" s="181"/>
      <c r="AG56" s="181"/>
      <c r="AH56" s="181"/>
      <c r="AI56" s="181"/>
      <c r="AJ56" s="181"/>
      <c r="AK56" s="181"/>
      <c r="AL56" s="181"/>
      <c r="AM56" s="181"/>
      <c r="AN56" s="181"/>
      <c r="AO56" s="181"/>
      <c r="AP56" s="188"/>
      <c r="CE56" s="178" t="b">
        <f>IF(C51="-"";""",IF(C51=0,0,IF(AND(C51&gt;=$W$57,C51&lt;=$AA$57),0,1)))</f>
        <v>0</v>
      </c>
      <c r="CF56" s="179"/>
      <c r="CG56" s="180"/>
      <c r="CH56" s="178" t="b">
        <f t="shared" ref="CH56" si="67">IF(F51="-"";""",IF(F51=0,0,IF(AND(F51&gt;=$W$57,F51&lt;=$AA$57),0,1)))</f>
        <v>0</v>
      </c>
      <c r="CI56" s="179"/>
      <c r="CJ56" s="180"/>
      <c r="CK56" s="178" t="b">
        <f t="shared" ref="CK56" si="68">IF(I51="-"";""",IF(I51=0,0,IF(AND(I51&gt;=$W$57,I51&lt;=$AA$57),0,1)))</f>
        <v>0</v>
      </c>
      <c r="CL56" s="179"/>
      <c r="CM56" s="180"/>
      <c r="CN56" s="178" t="b">
        <f t="shared" ref="CN56" si="69">IF(L51="-"";""",IF(L51=0,0,IF(AND(L51&gt;=$W$57,L51&lt;=$AA$57),0,1)))</f>
        <v>0</v>
      </c>
      <c r="CO56" s="179"/>
      <c r="CP56" s="180"/>
      <c r="CQ56" s="178" t="b">
        <f t="shared" ref="CQ56" si="70">IF(O51="-"";""",IF(O51=0,0,IF(AND(O51&gt;=$W$57,O51&lt;=$AA$57),0,1)))</f>
        <v>0</v>
      </c>
      <c r="CR56" s="179"/>
      <c r="CS56" s="180"/>
      <c r="CT56" s="178" t="b">
        <f t="shared" ref="CT56" si="71">IF(R51="-"";""",IF(R51=0,0,IF(AND(R51&gt;=$W$57,R51&lt;=$AA$57),0,1)))</f>
        <v>0</v>
      </c>
      <c r="CU56" s="179"/>
      <c r="CV56" s="180"/>
      <c r="CW56" s="178" t="b">
        <f t="shared" ref="CW56" si="72">IF(U51="-"";""",IF(U51=0,0,IF(AND(U51&gt;=$W$57,U51&lt;=$AA$57),0,1)))</f>
        <v>0</v>
      </c>
      <c r="CX56" s="179"/>
      <c r="CY56" s="180"/>
      <c r="CZ56" s="178" t="b">
        <f t="shared" ref="CZ56" si="73">IF(X51="-"";""",IF(X51=0,0,IF(AND(X51&gt;=$W$57,X51&lt;=$AA$57),0,1)))</f>
        <v>0</v>
      </c>
      <c r="DA56" s="179"/>
      <c r="DB56" s="180"/>
      <c r="DC56" s="178" t="b">
        <f t="shared" ref="DC56" si="74">IF(AA51="-"";""",IF(AA51=0,0,IF(AND(AA51&gt;=$W$57,AA51&lt;=$AA$57),0,1)))</f>
        <v>0</v>
      </c>
      <c r="DD56" s="179"/>
      <c r="DE56" s="180"/>
      <c r="DF56" s="178" t="b">
        <f t="shared" ref="DF56" si="75">IF(AD51="-"";""",IF(AD51=0,0,IF(AND(AD51&gt;=$W$57,AD51&lt;=$AA$57),0,1)))</f>
        <v>0</v>
      </c>
      <c r="DG56" s="179"/>
      <c r="DH56" s="180"/>
      <c r="DI56" s="178" t="b">
        <f t="shared" ref="DI56" si="76">IF(AG51="-"";""",IF(AG51=0,0,IF(AND(AG51&gt;=$W$57,AG51&lt;=$AA$57),0,1)))</f>
        <v>0</v>
      </c>
      <c r="DJ56" s="179"/>
      <c r="DK56" s="180"/>
      <c r="DL56" s="178" t="b">
        <f t="shared" ref="DL56" si="77">IF(AJ51="-"";""",IF(AJ51=0,0,IF(AND(AJ51&gt;=$W$57,AJ51&lt;=$AA$57),0,1)))</f>
        <v>0</v>
      </c>
      <c r="DM56" s="179"/>
      <c r="DN56" s="180"/>
      <c r="DO56" s="178" t="b">
        <f t="shared" ref="DO56" si="78">IF(AM51="-"";""",IF(AM51=0,0,IF(AND(AM51&gt;=$W$57,AM51&lt;=$AA$57),0,1)))</f>
        <v>0</v>
      </c>
      <c r="DP56" s="179"/>
      <c r="DQ56" s="180"/>
    </row>
    <row r="57" spans="2:121" ht="14.1" customHeight="1" x14ac:dyDescent="0.25">
      <c r="B57" s="163" t="s">
        <v>61</v>
      </c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40"/>
      <c r="W57" s="177">
        <f>IF(AV58="X",BA58,IF(AV60="X",BA60,0))</f>
        <v>321</v>
      </c>
      <c r="X57" s="177"/>
      <c r="Y57" s="177"/>
      <c r="Z57" s="177"/>
      <c r="AA57" s="177">
        <f>IF(AV58="X",BH58,IF(AV60="X",BH60,0))</f>
        <v>356</v>
      </c>
      <c r="AB57" s="177"/>
      <c r="AC57" s="177"/>
      <c r="AD57" s="177"/>
      <c r="AE57" s="2"/>
      <c r="AF57" s="3"/>
      <c r="AG57" s="48" t="str">
        <f>IF(SUM(C51:AO51)+SUM(C53:AO53)=0,0,IF(CE60=0,"X",0))</f>
        <v>X</v>
      </c>
      <c r="AH57" s="44" t="s">
        <v>17</v>
      </c>
      <c r="AI57" s="45"/>
      <c r="AJ57" s="46"/>
      <c r="AK57" s="47"/>
      <c r="AL57" s="48">
        <f>IF(SUM(C51:AO51)+SUM(C53:AO53)=0,0,IF(CE60&gt;0,"X",0))</f>
        <v>0</v>
      </c>
      <c r="AM57" s="44" t="s">
        <v>18</v>
      </c>
      <c r="AN57" s="45"/>
      <c r="AO57" s="45"/>
      <c r="AP57" s="17"/>
      <c r="CE57" s="182" t="str">
        <f>C52</f>
        <v>C-14</v>
      </c>
      <c r="CF57" s="183"/>
      <c r="CG57" s="184"/>
      <c r="CH57" s="182" t="str">
        <f>F52</f>
        <v>C-15</v>
      </c>
      <c r="CI57" s="183"/>
      <c r="CJ57" s="184"/>
      <c r="CK57" s="182" t="str">
        <f>I52</f>
        <v>C-16</v>
      </c>
      <c r="CL57" s="183"/>
      <c r="CM57" s="184"/>
      <c r="CN57" s="182">
        <f>L52</f>
        <v>0</v>
      </c>
      <c r="CO57" s="183"/>
      <c r="CP57" s="184"/>
      <c r="CQ57" s="182">
        <f>O52</f>
        <v>0</v>
      </c>
      <c r="CR57" s="183"/>
      <c r="CS57" s="184"/>
      <c r="CT57" s="182">
        <f>R52</f>
        <v>0</v>
      </c>
      <c r="CU57" s="183"/>
      <c r="CV57" s="184"/>
      <c r="CW57" s="182">
        <f>U52</f>
        <v>0</v>
      </c>
      <c r="CX57" s="183"/>
      <c r="CY57" s="184"/>
      <c r="CZ57" s="182">
        <f>X52</f>
        <v>0</v>
      </c>
      <c r="DA57" s="183"/>
      <c r="DB57" s="184"/>
      <c r="DC57" s="182">
        <f>AA52</f>
        <v>0</v>
      </c>
      <c r="DD57" s="183"/>
      <c r="DE57" s="184"/>
      <c r="DF57" s="182">
        <f>AD52</f>
        <v>0</v>
      </c>
      <c r="DG57" s="183"/>
      <c r="DH57" s="184"/>
      <c r="DI57" s="182">
        <f>AG52</f>
        <v>0</v>
      </c>
      <c r="DJ57" s="183"/>
      <c r="DK57" s="184"/>
      <c r="DL57" s="182">
        <f>AJ52</f>
        <v>0</v>
      </c>
      <c r="DM57" s="183"/>
      <c r="DN57" s="184"/>
      <c r="DO57" s="182">
        <f>AM52</f>
        <v>0</v>
      </c>
      <c r="DP57" s="183"/>
      <c r="DQ57" s="184"/>
    </row>
    <row r="58" spans="2:121" ht="14.1" customHeight="1" x14ac:dyDescent="0.25">
      <c r="B58" s="75"/>
      <c r="C58" s="181" t="s">
        <v>67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77">
        <f>IF(CE70=1,CE69,0)</f>
        <v>0</v>
      </c>
      <c r="O58" s="77">
        <f t="shared" ref="O58:Z58" si="79">IF(CF70=1,CF69,0)</f>
        <v>0</v>
      </c>
      <c r="P58" s="77">
        <f t="shared" si="79"/>
        <v>0</v>
      </c>
      <c r="Q58" s="77">
        <f t="shared" si="79"/>
        <v>0</v>
      </c>
      <c r="R58" s="77">
        <f t="shared" si="79"/>
        <v>0</v>
      </c>
      <c r="S58" s="77">
        <f t="shared" si="79"/>
        <v>0</v>
      </c>
      <c r="T58" s="77">
        <f t="shared" si="79"/>
        <v>0</v>
      </c>
      <c r="U58" s="77">
        <f t="shared" si="79"/>
        <v>0</v>
      </c>
      <c r="V58" s="77">
        <f t="shared" si="79"/>
        <v>0</v>
      </c>
      <c r="W58" s="77">
        <f>IF(CN70=1,CN69,0)</f>
        <v>0</v>
      </c>
      <c r="X58" s="77">
        <f>IF(CO70=1,CO69,0)</f>
        <v>0</v>
      </c>
      <c r="Y58" s="77">
        <f t="shared" si="79"/>
        <v>0</v>
      </c>
      <c r="Z58" s="77">
        <f t="shared" si="79"/>
        <v>0</v>
      </c>
      <c r="AA58" s="77">
        <f t="shared" ref="AA58:AP58" si="80">IF(CE77=1,CE76,0)</f>
        <v>0</v>
      </c>
      <c r="AB58" s="77">
        <f t="shared" si="80"/>
        <v>0</v>
      </c>
      <c r="AC58" s="77">
        <f t="shared" si="80"/>
        <v>0</v>
      </c>
      <c r="AD58" s="77">
        <f t="shared" si="80"/>
        <v>0</v>
      </c>
      <c r="AE58" s="77">
        <f t="shared" si="80"/>
        <v>0</v>
      </c>
      <c r="AF58" s="77">
        <f t="shared" si="80"/>
        <v>0</v>
      </c>
      <c r="AG58" s="77">
        <f t="shared" si="80"/>
        <v>0</v>
      </c>
      <c r="AH58" s="77">
        <f t="shared" si="80"/>
        <v>0</v>
      </c>
      <c r="AI58" s="77">
        <f t="shared" si="80"/>
        <v>0</v>
      </c>
      <c r="AJ58" s="77">
        <f t="shared" si="80"/>
        <v>0</v>
      </c>
      <c r="AK58" s="77">
        <f t="shared" si="80"/>
        <v>0</v>
      </c>
      <c r="AL58" s="77">
        <f t="shared" si="80"/>
        <v>0</v>
      </c>
      <c r="AM58" s="77">
        <f t="shared" si="80"/>
        <v>0</v>
      </c>
      <c r="AN58" s="77">
        <f t="shared" si="80"/>
        <v>0</v>
      </c>
      <c r="AO58" s="77">
        <f t="shared" si="80"/>
        <v>0</v>
      </c>
      <c r="AP58" s="30">
        <f t="shared" si="80"/>
        <v>0</v>
      </c>
      <c r="AV58" s="151" t="s">
        <v>13</v>
      </c>
      <c r="AW58" s="151"/>
      <c r="AX58" t="s">
        <v>137</v>
      </c>
      <c r="BA58" s="151">
        <v>321</v>
      </c>
      <c r="BB58" s="151"/>
      <c r="BC58" s="151"/>
      <c r="BD58" s="151"/>
      <c r="BF58" t="s">
        <v>188</v>
      </c>
      <c r="BH58" s="151">
        <v>356</v>
      </c>
      <c r="BI58" s="151"/>
      <c r="BJ58" s="151"/>
      <c r="BK58" s="151"/>
      <c r="CE58" s="178" t="b">
        <f>IF(C53="-"";""",IF(C53=0,0,IF(AND(C53&gt;=$W$57,C53&lt;=$AA$57),0,1)))</f>
        <v>0</v>
      </c>
      <c r="CF58" s="179"/>
      <c r="CG58" s="180"/>
      <c r="CH58" s="178" t="b">
        <f t="shared" ref="CH58" si="81">IF(F53="-"";""",IF(F53=0,0,IF(AND(F53&gt;=$W$57,F53&lt;=$AA$57),0,1)))</f>
        <v>0</v>
      </c>
      <c r="CI58" s="179"/>
      <c r="CJ58" s="180"/>
      <c r="CK58" s="178" t="b">
        <f t="shared" ref="CK58" si="82">IF(I53="-"";""",IF(I53=0,0,IF(AND(I53&gt;=$W$57,I53&lt;=$AA$57),0,1)))</f>
        <v>0</v>
      </c>
      <c r="CL58" s="179"/>
      <c r="CM58" s="180"/>
      <c r="CN58" s="178" t="b">
        <f t="shared" ref="CN58" si="83">IF(L53="-"";""",IF(L53=0,0,IF(AND(L53&gt;=$W$57,L53&lt;=$AA$57),0,1)))</f>
        <v>0</v>
      </c>
      <c r="CO58" s="179"/>
      <c r="CP58" s="180"/>
      <c r="CQ58" s="178" t="b">
        <f t="shared" ref="CQ58" si="84">IF(O53="-"";""",IF(O53=0,0,IF(AND(O53&gt;=$W$57,O53&lt;=$AA$57),0,1)))</f>
        <v>0</v>
      </c>
      <c r="CR58" s="179"/>
      <c r="CS58" s="180"/>
      <c r="CT58" s="178" t="b">
        <f t="shared" ref="CT58" si="85">IF(R53="-"";""",IF(R53=0,0,IF(AND(R53&gt;=$W$57,R53&lt;=$AA$57),0,1)))</f>
        <v>0</v>
      </c>
      <c r="CU58" s="179"/>
      <c r="CV58" s="180"/>
      <c r="CW58" s="178" t="b">
        <f t="shared" ref="CW58" si="86">IF(U53="-"";""",IF(U53=0,0,IF(AND(U53&gt;=$W$57,U53&lt;=$AA$57),0,1)))</f>
        <v>0</v>
      </c>
      <c r="CX58" s="179"/>
      <c r="CY58" s="180"/>
      <c r="CZ58" s="178" t="b">
        <f t="shared" ref="CZ58" si="87">IF(X53="-"";""",IF(X53=0,0,IF(AND(X53&gt;=$W$57,X53&lt;=$AA$57),0,1)))</f>
        <v>0</v>
      </c>
      <c r="DA58" s="179"/>
      <c r="DB58" s="180"/>
      <c r="DC58" s="178" t="b">
        <f t="shared" ref="DC58" si="88">IF(AA53="-"";""",IF(AA53=0,0,IF(AND(AA53&gt;=$W$57,AA53&lt;=$AA$57),0,1)))</f>
        <v>0</v>
      </c>
      <c r="DD58" s="179"/>
      <c r="DE58" s="180"/>
      <c r="DF58" s="178" t="b">
        <f t="shared" ref="DF58" si="89">IF(AD53="-"";""",IF(AD53=0,0,IF(AND(AD53&gt;=$W$57,AD53&lt;=$AA$57),0,1)))</f>
        <v>0</v>
      </c>
      <c r="DG58" s="179"/>
      <c r="DH58" s="180"/>
      <c r="DI58" s="178" t="b">
        <f t="shared" ref="DI58" si="90">IF(AG53="-"";""",IF(AG53=0,0,IF(AND(AG53&gt;=$W$57,AG53&lt;=$AA$57),0,1)))</f>
        <v>0</v>
      </c>
      <c r="DJ58" s="179"/>
      <c r="DK58" s="180"/>
      <c r="DL58" s="178" t="b">
        <f t="shared" ref="DL58" si="91">IF(AJ53="-"";""",IF(AJ53=0,0,IF(AND(AJ53&gt;=$W$57,AJ53&lt;=$AA$57),0,1)))</f>
        <v>0</v>
      </c>
      <c r="DM58" s="179"/>
      <c r="DN58" s="180"/>
      <c r="DO58" s="178" t="b">
        <f t="shared" ref="DO58" si="92">IF(AM53="-"";""",IF(AM53=0,0,IF(AND(AM53&gt;=$W$57,AM53&lt;=$AA$57),0,1)))</f>
        <v>0</v>
      </c>
      <c r="DP58" s="179"/>
      <c r="DQ58" s="180"/>
    </row>
    <row r="59" spans="2:121" ht="5.0999999999999996" customHeight="1" thickBot="1" x14ac:dyDescent="0.3">
      <c r="B59" s="19"/>
      <c r="AP59" s="23"/>
      <c r="AV59" s="165"/>
      <c r="AW59" s="165"/>
      <c r="CE59" s="74"/>
      <c r="CF59" s="74"/>
      <c r="CG59" s="74"/>
      <c r="CH59" s="79"/>
      <c r="CI59" s="79"/>
      <c r="CJ59" s="79"/>
      <c r="CK59" s="79"/>
      <c r="CL59" s="79"/>
      <c r="CM59" s="79"/>
      <c r="CN59" s="79"/>
      <c r="CO59" s="79"/>
      <c r="CP59" s="79"/>
      <c r="CQ59" s="79"/>
      <c r="CR59" s="79"/>
      <c r="CS59" s="79"/>
      <c r="CT59" s="79"/>
      <c r="CU59" s="79"/>
      <c r="CV59" s="79"/>
      <c r="CW59" s="79"/>
      <c r="CX59" s="79"/>
      <c r="CY59" s="79"/>
      <c r="CZ59" s="79"/>
      <c r="DA59" s="79"/>
      <c r="DB59" s="79"/>
      <c r="DC59" s="79"/>
      <c r="DD59" s="79"/>
      <c r="DE59" s="79"/>
      <c r="DF59" s="79"/>
      <c r="DG59" s="79"/>
      <c r="DH59" s="79"/>
      <c r="DI59" s="79"/>
      <c r="DJ59" s="79"/>
      <c r="DK59" s="79"/>
      <c r="DL59" s="79"/>
      <c r="DM59" s="79"/>
      <c r="DN59" s="79"/>
      <c r="DO59" s="79"/>
      <c r="DP59" s="79"/>
      <c r="DQ59" s="79"/>
    </row>
    <row r="60" spans="2:121" ht="14.1" customHeight="1" thickBot="1" x14ac:dyDescent="0.3">
      <c r="B60" s="163" t="s">
        <v>62</v>
      </c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40"/>
      <c r="W60" s="177">
        <f>IF(AW65="X",BB65,IF(AW67="X",BB67,IF(AW70="X",BB70,0)))</f>
        <v>5247</v>
      </c>
      <c r="X60" s="177"/>
      <c r="Y60" s="177"/>
      <c r="Z60" s="177"/>
      <c r="AA60" s="177">
        <f>IF(AW65="X",BI65,IF(AW67="X",BI67,IF(AW70="X",BI70,0)))</f>
        <v>5573</v>
      </c>
      <c r="AB60" s="177"/>
      <c r="AC60" s="177"/>
      <c r="AD60" s="177"/>
      <c r="AE60" s="2"/>
      <c r="AF60" s="3"/>
      <c r="AG60" s="48" t="str">
        <f>IF(X54=0,0,IF(AND(X54&gt;=W60,X54&lt;=AA60),"X",0))</f>
        <v>X</v>
      </c>
      <c r="AH60" s="44" t="s">
        <v>17</v>
      </c>
      <c r="AI60" s="45"/>
      <c r="AJ60" s="46"/>
      <c r="AK60" s="47"/>
      <c r="AL60" s="48">
        <f>IF(SUM(C51:AO51)+SUM(C53:AO53)=0,0,IF(AND(X54&gt;=W60,X54&lt;=AA60),0,"X"))</f>
        <v>0</v>
      </c>
      <c r="AM60" s="44" t="s">
        <v>18</v>
      </c>
      <c r="AN60" s="45"/>
      <c r="AO60" s="45"/>
      <c r="AP60" s="17"/>
      <c r="AV60" s="151" t="s">
        <v>13</v>
      </c>
      <c r="AW60" s="151"/>
      <c r="AX60" t="s">
        <v>187</v>
      </c>
      <c r="BA60" s="151">
        <v>100</v>
      </c>
      <c r="BB60" s="151"/>
      <c r="BC60" s="151"/>
      <c r="BD60" s="151"/>
      <c r="BF60" t="s">
        <v>188</v>
      </c>
      <c r="BH60" s="151">
        <v>120</v>
      </c>
      <c r="BI60" s="151"/>
      <c r="BJ60" s="151"/>
      <c r="BK60" s="151"/>
      <c r="CE60" s="166">
        <f>SUM(CE56:DQ58)</f>
        <v>0</v>
      </c>
      <c r="CF60" s="167"/>
      <c r="CG60" s="168"/>
    </row>
    <row r="61" spans="2:121" ht="3.95" customHeight="1" x14ac:dyDescent="0.25">
      <c r="B61" s="81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65"/>
      <c r="X61" s="65"/>
      <c r="Y61" s="65"/>
      <c r="Z61" s="65"/>
      <c r="AA61" s="65"/>
      <c r="AB61" s="65"/>
      <c r="AC61" s="65"/>
      <c r="AD61" s="65"/>
      <c r="AG61" s="66"/>
      <c r="AH61" s="67"/>
      <c r="AI61" s="68"/>
      <c r="AJ61" s="69"/>
      <c r="AK61" s="70"/>
      <c r="AL61" s="66"/>
      <c r="AM61" s="67"/>
      <c r="AN61" s="68"/>
      <c r="AO61" s="68"/>
      <c r="AP61" s="23"/>
      <c r="CE61" s="79"/>
      <c r="CF61" s="79"/>
      <c r="CG61" s="79"/>
    </row>
    <row r="62" spans="2:121" ht="14.1" customHeight="1" thickBot="1" x14ac:dyDescent="0.3">
      <c r="B62" s="169" t="s">
        <v>112</v>
      </c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1" t="s">
        <v>428</v>
      </c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2"/>
      <c r="CE62" s="79"/>
      <c r="CF62" s="79"/>
      <c r="CG62" s="79"/>
    </row>
    <row r="63" spans="2:121" ht="5.0999999999999996" customHeight="1" thickBot="1" x14ac:dyDescent="0.3"/>
    <row r="64" spans="2:121" x14ac:dyDescent="0.25">
      <c r="B64" s="157" t="s">
        <v>86</v>
      </c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73" t="s">
        <v>92</v>
      </c>
      <c r="O64" s="174"/>
      <c r="P64" s="174"/>
      <c r="Q64" s="174"/>
      <c r="R64" s="174"/>
      <c r="S64" s="174"/>
      <c r="T64" s="174"/>
      <c r="U64" s="174"/>
      <c r="V64" s="62" t="s">
        <v>91</v>
      </c>
      <c r="W64" s="63"/>
      <c r="X64" s="63"/>
      <c r="Y64" s="175" t="str">
        <f>VLOOKUP($AN$1,'plan de data'!$A$3:$C$189,3,0)</f>
        <v>1074-1075-1076-1077</v>
      </c>
      <c r="Z64" s="175"/>
      <c r="AA64" s="175"/>
      <c r="AB64" s="175"/>
      <c r="AC64" s="175"/>
      <c r="AD64" s="176"/>
      <c r="AE64" s="160" t="s">
        <v>16</v>
      </c>
      <c r="AF64" s="161"/>
      <c r="AG64" s="161"/>
      <c r="AH64" s="161"/>
      <c r="AI64" s="161"/>
      <c r="AJ64" s="161"/>
      <c r="AK64" s="161"/>
      <c r="AL64" s="161"/>
      <c r="AM64" s="161"/>
      <c r="AN64" s="161"/>
      <c r="AO64" s="161"/>
      <c r="AP64" s="162"/>
    </row>
    <row r="65" spans="2:95" x14ac:dyDescent="0.25">
      <c r="B65" s="56"/>
      <c r="C65" s="31" t="s">
        <v>97</v>
      </c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8"/>
      <c r="AE65" s="76"/>
      <c r="AF65" s="3"/>
      <c r="AG65" s="48" t="s">
        <v>58</v>
      </c>
      <c r="AH65" s="44" t="s">
        <v>17</v>
      </c>
      <c r="AI65" s="45"/>
      <c r="AJ65" s="46"/>
      <c r="AK65" s="47"/>
      <c r="AL65" s="48"/>
      <c r="AM65" s="44" t="s">
        <v>18</v>
      </c>
      <c r="AN65" s="45"/>
      <c r="AO65" s="45"/>
      <c r="AP65" s="17"/>
      <c r="AW65" s="151" t="s">
        <v>13</v>
      </c>
      <c r="AX65" s="151"/>
      <c r="AY65" t="s">
        <v>137</v>
      </c>
      <c r="BB65" s="151">
        <v>5247</v>
      </c>
      <c r="BC65" s="151"/>
      <c r="BD65" s="151"/>
      <c r="BE65" s="151"/>
      <c r="BG65" t="s">
        <v>188</v>
      </c>
      <c r="BI65" s="151">
        <v>5573</v>
      </c>
      <c r="BJ65" s="151"/>
      <c r="BK65" s="151"/>
      <c r="BL65" s="151"/>
      <c r="BN65" t="s">
        <v>190</v>
      </c>
    </row>
    <row r="66" spans="2:95" x14ac:dyDescent="0.25">
      <c r="B66" s="36"/>
      <c r="C66" s="31" t="s">
        <v>110</v>
      </c>
      <c r="D66" s="32"/>
      <c r="E66" s="33"/>
      <c r="F66" s="33"/>
      <c r="G66" s="33"/>
      <c r="H66" s="33"/>
      <c r="I66" s="33"/>
      <c r="J66" s="33"/>
      <c r="K66" s="32"/>
      <c r="L66" s="32"/>
      <c r="M66" s="32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4"/>
      <c r="AE66" s="2"/>
      <c r="AF66" s="3"/>
      <c r="AG66" s="48" t="s">
        <v>58</v>
      </c>
      <c r="AH66" s="44" t="s">
        <v>17</v>
      </c>
      <c r="AI66" s="45"/>
      <c r="AJ66" s="46"/>
      <c r="AK66" s="47"/>
      <c r="AL66" s="48"/>
      <c r="AM66" s="44" t="s">
        <v>18</v>
      </c>
      <c r="AN66" s="45"/>
      <c r="AO66" s="45"/>
      <c r="AP66" s="17"/>
      <c r="AW66" s="165"/>
      <c r="AX66" s="165"/>
    </row>
    <row r="67" spans="2:95" ht="15.75" thickBot="1" x14ac:dyDescent="0.3">
      <c r="B67" s="51"/>
      <c r="C67" s="52" t="s">
        <v>111</v>
      </c>
      <c r="D67" s="53"/>
      <c r="E67" s="54"/>
      <c r="F67" s="54"/>
      <c r="G67" s="54"/>
      <c r="H67" s="54"/>
      <c r="I67" s="54"/>
      <c r="J67" s="54"/>
      <c r="K67" s="53"/>
      <c r="L67" s="53"/>
      <c r="M67" s="53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55"/>
      <c r="AE67" s="25"/>
      <c r="AF67" s="26"/>
      <c r="AG67" s="50" t="s">
        <v>58</v>
      </c>
      <c r="AH67" s="40" t="s">
        <v>17</v>
      </c>
      <c r="AI67" s="41"/>
      <c r="AJ67" s="42"/>
      <c r="AK67" s="43"/>
      <c r="AL67" s="50"/>
      <c r="AM67" s="40" t="s">
        <v>18</v>
      </c>
      <c r="AN67" s="41"/>
      <c r="AO67" s="41"/>
      <c r="AP67" s="27"/>
      <c r="AW67" s="151"/>
      <c r="AX67" s="151"/>
      <c r="AY67" t="s">
        <v>187</v>
      </c>
      <c r="BB67" s="151">
        <v>1846</v>
      </c>
      <c r="BC67" s="151"/>
      <c r="BD67" s="151"/>
      <c r="BE67" s="151"/>
      <c r="BG67" t="s">
        <v>188</v>
      </c>
      <c r="BI67" s="151">
        <v>2100</v>
      </c>
      <c r="BJ67" s="151"/>
      <c r="BK67" s="151"/>
      <c r="BL67" s="151"/>
      <c r="BN67" t="s">
        <v>190</v>
      </c>
    </row>
    <row r="68" spans="2:95" ht="5.0999999999999996" customHeight="1" thickBot="1" x14ac:dyDescent="0.3"/>
    <row r="69" spans="2:95" ht="14.1" customHeight="1" x14ac:dyDescent="0.25">
      <c r="B69" s="157" t="s">
        <v>68</v>
      </c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9"/>
      <c r="AE69" s="160" t="s">
        <v>16</v>
      </c>
      <c r="AF69" s="161"/>
      <c r="AG69" s="161"/>
      <c r="AH69" s="161"/>
      <c r="AI69" s="161"/>
      <c r="AJ69" s="161"/>
      <c r="AK69" s="161"/>
      <c r="AL69" s="161"/>
      <c r="AM69" s="161"/>
      <c r="AN69" s="161"/>
      <c r="AO69" s="161"/>
      <c r="AP69" s="162"/>
      <c r="CE69" s="29">
        <v>1</v>
      </c>
      <c r="CF69" s="29">
        <v>2</v>
      </c>
      <c r="CG69" s="29">
        <v>3</v>
      </c>
      <c r="CH69" s="29">
        <v>4</v>
      </c>
      <c r="CI69" s="29">
        <v>5</v>
      </c>
      <c r="CJ69" s="29">
        <v>6</v>
      </c>
      <c r="CK69" s="29">
        <v>7</v>
      </c>
      <c r="CL69" s="29">
        <v>8</v>
      </c>
      <c r="CM69" s="29">
        <v>9</v>
      </c>
      <c r="CN69" s="29">
        <v>10</v>
      </c>
      <c r="CO69" s="29">
        <v>11</v>
      </c>
      <c r="CP69" s="29">
        <v>12</v>
      </c>
      <c r="CQ69" s="29">
        <v>13</v>
      </c>
    </row>
    <row r="70" spans="2:95" ht="14.1" customHeight="1" x14ac:dyDescent="0.25">
      <c r="B70" s="36"/>
      <c r="C70" s="31" t="s">
        <v>69</v>
      </c>
      <c r="D70" s="32"/>
      <c r="E70" s="33"/>
      <c r="F70" s="33"/>
      <c r="G70" s="33"/>
      <c r="H70" s="33"/>
      <c r="I70" s="33"/>
      <c r="J70" s="33"/>
      <c r="K70" s="32"/>
      <c r="L70" s="32"/>
      <c r="M70" s="32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4"/>
      <c r="AE70" s="2"/>
      <c r="AF70" s="3"/>
      <c r="AG70" s="48" t="s">
        <v>58</v>
      </c>
      <c r="AH70" s="44" t="s">
        <v>17</v>
      </c>
      <c r="AI70" s="45"/>
      <c r="AJ70" s="46"/>
      <c r="AK70" s="47"/>
      <c r="AL70" s="48"/>
      <c r="AM70" s="44" t="s">
        <v>18</v>
      </c>
      <c r="AN70" s="45"/>
      <c r="AO70" s="45"/>
      <c r="AP70" s="17"/>
      <c r="AW70" s="151"/>
      <c r="AX70" s="151"/>
      <c r="AY70" t="s">
        <v>137</v>
      </c>
      <c r="BB70" s="151">
        <f>BA58*22</f>
        <v>7062</v>
      </c>
      <c r="BC70" s="151"/>
      <c r="BD70" s="151"/>
      <c r="BE70" s="151"/>
      <c r="BG70" t="s">
        <v>188</v>
      </c>
      <c r="BI70" s="151">
        <f>22*BH58</f>
        <v>7832</v>
      </c>
      <c r="BJ70" s="151"/>
      <c r="BK70" s="151"/>
      <c r="BL70" s="151"/>
      <c r="BN70" t="s">
        <v>191</v>
      </c>
      <c r="CE70" s="28" t="b">
        <f>CE56</f>
        <v>0</v>
      </c>
      <c r="CF70" s="28" t="b">
        <f>CH56</f>
        <v>0</v>
      </c>
      <c r="CG70" s="28" t="b">
        <f>CK56</f>
        <v>0</v>
      </c>
      <c r="CH70" s="28" t="b">
        <f>CN56</f>
        <v>0</v>
      </c>
      <c r="CI70" s="28" t="b">
        <f>CQ56</f>
        <v>0</v>
      </c>
      <c r="CJ70" s="28" t="b">
        <f>CT56</f>
        <v>0</v>
      </c>
      <c r="CK70" s="28" t="b">
        <f>CW56</f>
        <v>0</v>
      </c>
      <c r="CL70" s="28" t="b">
        <f>CZ56</f>
        <v>0</v>
      </c>
      <c r="CM70" s="28" t="b">
        <f>DC56</f>
        <v>0</v>
      </c>
      <c r="CN70" s="28">
        <f>DF57</f>
        <v>0</v>
      </c>
      <c r="CO70" s="28" t="b">
        <f>DI56</f>
        <v>0</v>
      </c>
      <c r="CP70" s="28" t="b">
        <f>DL56</f>
        <v>0</v>
      </c>
      <c r="CQ70" s="28" t="b">
        <f>DO56</f>
        <v>0</v>
      </c>
    </row>
    <row r="71" spans="2:95" ht="14.1" customHeight="1" x14ac:dyDescent="0.25">
      <c r="B71" s="36"/>
      <c r="C71" s="31" t="s">
        <v>70</v>
      </c>
      <c r="D71" s="32"/>
      <c r="E71" s="33"/>
      <c r="F71" s="33"/>
      <c r="G71" s="33"/>
      <c r="H71" s="33"/>
      <c r="I71" s="33"/>
      <c r="J71" s="33"/>
      <c r="K71" s="32"/>
      <c r="L71" s="32"/>
      <c r="M71" s="32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4"/>
      <c r="AE71" s="2"/>
      <c r="AF71" s="3"/>
      <c r="AG71" s="48" t="s">
        <v>58</v>
      </c>
      <c r="AH71" s="44" t="s">
        <v>17</v>
      </c>
      <c r="AI71" s="45"/>
      <c r="AJ71" s="46"/>
      <c r="AK71" s="47"/>
      <c r="AL71" s="48"/>
      <c r="AM71" s="44" t="s">
        <v>18</v>
      </c>
      <c r="AN71" s="45"/>
      <c r="AO71" s="45"/>
      <c r="AP71" s="17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</row>
    <row r="72" spans="2:95" ht="14.1" customHeight="1" x14ac:dyDescent="0.25">
      <c r="B72" s="36"/>
      <c r="C72" s="31" t="s">
        <v>84</v>
      </c>
      <c r="D72" s="32"/>
      <c r="E72" s="33"/>
      <c r="F72" s="33"/>
      <c r="G72" s="33"/>
      <c r="H72" s="33"/>
      <c r="I72" s="33"/>
      <c r="J72" s="33"/>
      <c r="K72" s="32"/>
      <c r="L72" s="32"/>
      <c r="M72" s="32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4"/>
      <c r="AE72" s="2"/>
      <c r="AF72" s="3"/>
      <c r="AG72" s="48" t="s">
        <v>58</v>
      </c>
      <c r="AH72" s="44" t="s">
        <v>17</v>
      </c>
      <c r="AI72" s="45"/>
      <c r="AJ72" s="46"/>
      <c r="AK72" s="47"/>
      <c r="AL72" s="48"/>
      <c r="AM72" s="44" t="s">
        <v>18</v>
      </c>
      <c r="AN72" s="45"/>
      <c r="AO72" s="45"/>
      <c r="AP72" s="17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</row>
    <row r="73" spans="2:95" ht="14.1" customHeight="1" x14ac:dyDescent="0.25">
      <c r="B73" s="36"/>
      <c r="C73" s="31" t="s">
        <v>71</v>
      </c>
      <c r="D73" s="32"/>
      <c r="E73" s="33"/>
      <c r="F73" s="33"/>
      <c r="G73" s="33"/>
      <c r="H73" s="33"/>
      <c r="I73" s="33"/>
      <c r="J73" s="33"/>
      <c r="K73" s="32"/>
      <c r="L73" s="32"/>
      <c r="M73" s="32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4"/>
      <c r="AE73" s="2"/>
      <c r="AF73" s="3"/>
      <c r="AG73" s="48" t="s">
        <v>58</v>
      </c>
      <c r="AH73" s="44" t="s">
        <v>17</v>
      </c>
      <c r="AI73" s="45"/>
      <c r="AJ73" s="46"/>
      <c r="AK73" s="47"/>
      <c r="AL73" s="48"/>
      <c r="AM73" s="44" t="s">
        <v>18</v>
      </c>
      <c r="AN73" s="45"/>
      <c r="AO73" s="45"/>
      <c r="AP73" s="17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</row>
    <row r="74" spans="2:95" ht="5.0999999999999996" customHeight="1" x14ac:dyDescent="0.25">
      <c r="B74" s="19"/>
      <c r="AP74" s="23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</row>
    <row r="75" spans="2:95" ht="14.1" customHeight="1" x14ac:dyDescent="0.25">
      <c r="B75" s="163" t="s">
        <v>72</v>
      </c>
      <c r="C75" s="139"/>
      <c r="D75" s="139"/>
      <c r="E75" s="139"/>
      <c r="F75" s="139"/>
      <c r="G75" s="139"/>
      <c r="H75" s="139"/>
      <c r="I75" s="139"/>
      <c r="J75" s="139"/>
      <c r="K75" s="140"/>
      <c r="L75" s="138" t="s">
        <v>73</v>
      </c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 t="s">
        <v>74</v>
      </c>
      <c r="Y75" s="139"/>
      <c r="Z75" s="139"/>
      <c r="AA75" s="139"/>
      <c r="AB75" s="139"/>
      <c r="AC75" s="139"/>
      <c r="AD75" s="139"/>
      <c r="AE75" s="139"/>
      <c r="AF75" s="139"/>
      <c r="AG75" s="139"/>
      <c r="AH75" s="139"/>
      <c r="AI75" s="139"/>
      <c r="AJ75" s="139"/>
      <c r="AK75" s="139"/>
      <c r="AL75" s="139"/>
      <c r="AM75" s="139"/>
      <c r="AN75" s="139"/>
      <c r="AO75" s="139"/>
      <c r="AP75" s="164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</row>
    <row r="76" spans="2:95" ht="14.1" customHeight="1" x14ac:dyDescent="0.25">
      <c r="B76" s="141"/>
      <c r="C76" s="142"/>
      <c r="D76" s="142"/>
      <c r="E76" s="142"/>
      <c r="F76" s="142"/>
      <c r="G76" s="142"/>
      <c r="H76" s="142"/>
      <c r="I76" s="142"/>
      <c r="J76" s="142"/>
      <c r="K76" s="143"/>
      <c r="L76" s="48"/>
      <c r="M76" s="1" t="s">
        <v>20</v>
      </c>
      <c r="N76" s="1"/>
      <c r="O76" s="1"/>
      <c r="P76" s="48"/>
      <c r="Q76" s="1" t="s">
        <v>21</v>
      </c>
      <c r="R76" s="1"/>
      <c r="S76" s="1"/>
      <c r="T76" s="48"/>
      <c r="U76" s="1" t="s">
        <v>22</v>
      </c>
      <c r="V76" s="1"/>
      <c r="W76" s="1"/>
      <c r="X76" s="144"/>
      <c r="Y76" s="144"/>
      <c r="Z76" s="144"/>
      <c r="AA76" s="144"/>
      <c r="AB76" s="144"/>
      <c r="AC76" s="144"/>
      <c r="AD76" s="144"/>
      <c r="AE76" s="144"/>
      <c r="AF76" s="144"/>
      <c r="AG76" s="144"/>
      <c r="AH76" s="144"/>
      <c r="AI76" s="144"/>
      <c r="AJ76" s="144"/>
      <c r="AK76" s="144"/>
      <c r="AL76" s="144"/>
      <c r="AM76" s="144"/>
      <c r="AN76" s="144"/>
      <c r="AO76" s="144"/>
      <c r="AP76" s="145"/>
      <c r="CE76" s="29">
        <v>14</v>
      </c>
      <c r="CF76" s="29">
        <v>15</v>
      </c>
      <c r="CG76" s="29">
        <v>16</v>
      </c>
      <c r="CH76" s="29">
        <v>17</v>
      </c>
      <c r="CI76" s="29">
        <v>18</v>
      </c>
      <c r="CJ76" s="29">
        <v>19</v>
      </c>
      <c r="CK76" s="29">
        <v>20</v>
      </c>
      <c r="CL76" s="29">
        <v>21</v>
      </c>
      <c r="CM76" s="29">
        <v>22</v>
      </c>
      <c r="CN76" s="29">
        <v>23</v>
      </c>
      <c r="CO76" s="29">
        <v>24</v>
      </c>
      <c r="CP76" s="29">
        <v>25</v>
      </c>
      <c r="CQ76" s="29">
        <v>26</v>
      </c>
    </row>
    <row r="77" spans="2:95" ht="14.1" customHeight="1" x14ac:dyDescent="0.25">
      <c r="B77" s="141"/>
      <c r="C77" s="142"/>
      <c r="D77" s="142"/>
      <c r="E77" s="142"/>
      <c r="F77" s="142"/>
      <c r="G77" s="142"/>
      <c r="H77" s="142"/>
      <c r="I77" s="142"/>
      <c r="J77" s="142"/>
      <c r="K77" s="143"/>
      <c r="L77" s="48"/>
      <c r="M77" s="1" t="s">
        <v>20</v>
      </c>
      <c r="N77" s="1"/>
      <c r="O77" s="1"/>
      <c r="P77" s="48"/>
      <c r="Q77" s="1" t="s">
        <v>21</v>
      </c>
      <c r="R77" s="1"/>
      <c r="S77" s="1"/>
      <c r="T77" s="48"/>
      <c r="U77" s="1" t="s">
        <v>22</v>
      </c>
      <c r="V77" s="1"/>
      <c r="W77" s="1"/>
      <c r="X77" s="144"/>
      <c r="Y77" s="144"/>
      <c r="Z77" s="144"/>
      <c r="AA77" s="144"/>
      <c r="AB77" s="144"/>
      <c r="AC77" s="144"/>
      <c r="AD77" s="144"/>
      <c r="AE77" s="144"/>
      <c r="AF77" s="144"/>
      <c r="AG77" s="144"/>
      <c r="AH77" s="144"/>
      <c r="AI77" s="144"/>
      <c r="AJ77" s="144"/>
      <c r="AK77" s="144"/>
      <c r="AL77" s="144"/>
      <c r="AM77" s="144"/>
      <c r="AN77" s="144"/>
      <c r="AO77" s="144"/>
      <c r="AP77" s="145"/>
      <c r="CE77" s="28" t="b">
        <f>CE58</f>
        <v>0</v>
      </c>
      <c r="CF77" s="28" t="b">
        <f>CH58</f>
        <v>0</v>
      </c>
      <c r="CG77" s="28" t="b">
        <f>CK58</f>
        <v>0</v>
      </c>
      <c r="CH77" s="28" t="b">
        <f>CN58</f>
        <v>0</v>
      </c>
      <c r="CI77" s="28" t="b">
        <f>CQ58</f>
        <v>0</v>
      </c>
      <c r="CJ77" s="28" t="b">
        <f>CT58</f>
        <v>0</v>
      </c>
      <c r="CK77" s="28" t="b">
        <f>CW58</f>
        <v>0</v>
      </c>
      <c r="CL77" s="28" t="b">
        <f>CZ58</f>
        <v>0</v>
      </c>
      <c r="CM77" s="28" t="b">
        <f>DC58</f>
        <v>0</v>
      </c>
      <c r="CN77" s="28" t="b">
        <f>DF58</f>
        <v>0</v>
      </c>
      <c r="CO77" s="28" t="b">
        <f>DI58</f>
        <v>0</v>
      </c>
      <c r="CP77" s="28" t="b">
        <f>DL58</f>
        <v>0</v>
      </c>
      <c r="CQ77" s="28" t="b">
        <f>DO58</f>
        <v>0</v>
      </c>
    </row>
    <row r="78" spans="2:95" ht="14.1" customHeight="1" x14ac:dyDescent="0.25">
      <c r="B78" s="141"/>
      <c r="C78" s="142"/>
      <c r="D78" s="142"/>
      <c r="E78" s="142"/>
      <c r="F78" s="142"/>
      <c r="G78" s="142"/>
      <c r="H78" s="142"/>
      <c r="I78" s="142"/>
      <c r="J78" s="142"/>
      <c r="K78" s="143"/>
      <c r="L78" s="48"/>
      <c r="M78" s="1" t="s">
        <v>20</v>
      </c>
      <c r="N78" s="1"/>
      <c r="O78" s="1"/>
      <c r="P78" s="48"/>
      <c r="Q78" s="1" t="s">
        <v>21</v>
      </c>
      <c r="R78" s="1"/>
      <c r="S78" s="1"/>
      <c r="T78" s="48"/>
      <c r="U78" s="1" t="s">
        <v>22</v>
      </c>
      <c r="V78" s="1"/>
      <c r="W78" s="1"/>
      <c r="X78" s="144"/>
      <c r="Y78" s="144"/>
      <c r="Z78" s="144"/>
      <c r="AA78" s="144"/>
      <c r="AB78" s="144"/>
      <c r="AC78" s="144"/>
      <c r="AD78" s="144"/>
      <c r="AE78" s="144"/>
      <c r="AF78" s="144"/>
      <c r="AG78" s="144"/>
      <c r="AH78" s="144"/>
      <c r="AI78" s="144"/>
      <c r="AJ78" s="144"/>
      <c r="AK78" s="144"/>
      <c r="AL78" s="144"/>
      <c r="AM78" s="144"/>
      <c r="AN78" s="144"/>
      <c r="AO78" s="144"/>
      <c r="AP78" s="145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</row>
    <row r="79" spans="2:95" ht="14.1" customHeight="1" x14ac:dyDescent="0.25">
      <c r="B79" s="141"/>
      <c r="C79" s="142"/>
      <c r="D79" s="142"/>
      <c r="E79" s="142"/>
      <c r="F79" s="142"/>
      <c r="G79" s="142"/>
      <c r="H79" s="142"/>
      <c r="I79" s="142"/>
      <c r="J79" s="142"/>
      <c r="K79" s="143"/>
      <c r="L79" s="48"/>
      <c r="M79" s="1" t="s">
        <v>20</v>
      </c>
      <c r="N79" s="1"/>
      <c r="O79" s="1"/>
      <c r="P79" s="48"/>
      <c r="Q79" s="1" t="s">
        <v>21</v>
      </c>
      <c r="R79" s="1"/>
      <c r="S79" s="1"/>
      <c r="T79" s="48"/>
      <c r="U79" s="1" t="s">
        <v>22</v>
      </c>
      <c r="V79" s="1"/>
      <c r="W79" s="1"/>
      <c r="X79" s="144"/>
      <c r="Y79" s="144"/>
      <c r="Z79" s="144"/>
      <c r="AA79" s="144"/>
      <c r="AB79" s="144"/>
      <c r="AC79" s="144"/>
      <c r="AD79" s="144"/>
      <c r="AE79" s="144"/>
      <c r="AF79" s="144"/>
      <c r="AG79" s="144"/>
      <c r="AH79" s="144"/>
      <c r="AI79" s="144"/>
      <c r="AJ79" s="144"/>
      <c r="AK79" s="144"/>
      <c r="AL79" s="144"/>
      <c r="AM79" s="144"/>
      <c r="AN79" s="144"/>
      <c r="AO79" s="144"/>
      <c r="AP79" s="145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</row>
    <row r="80" spans="2:95" ht="14.1" customHeight="1" thickBot="1" x14ac:dyDescent="0.3">
      <c r="B80" s="146"/>
      <c r="C80" s="147"/>
      <c r="D80" s="147"/>
      <c r="E80" s="147"/>
      <c r="F80" s="147"/>
      <c r="G80" s="147"/>
      <c r="H80" s="147"/>
      <c r="I80" s="147"/>
      <c r="J80" s="147"/>
      <c r="K80" s="148"/>
      <c r="L80" s="50"/>
      <c r="M80" s="37" t="s">
        <v>20</v>
      </c>
      <c r="N80" s="37"/>
      <c r="O80" s="37"/>
      <c r="P80" s="50"/>
      <c r="Q80" s="37" t="s">
        <v>21</v>
      </c>
      <c r="R80" s="37"/>
      <c r="S80" s="37"/>
      <c r="T80" s="50"/>
      <c r="U80" s="37" t="s">
        <v>22</v>
      </c>
      <c r="V80" s="37"/>
      <c r="W80" s="37"/>
      <c r="X80" s="149"/>
      <c r="Y80" s="149"/>
      <c r="Z80" s="149"/>
      <c r="AA80" s="149"/>
      <c r="AB80" s="149"/>
      <c r="AC80" s="149"/>
      <c r="AD80" s="149"/>
      <c r="AE80" s="149"/>
      <c r="AF80" s="149"/>
      <c r="AG80" s="149"/>
      <c r="AH80" s="149"/>
      <c r="AI80" s="149"/>
      <c r="AJ80" s="149"/>
      <c r="AK80" s="149"/>
      <c r="AL80" s="149"/>
      <c r="AM80" s="149"/>
      <c r="AN80" s="149"/>
      <c r="AO80" s="149"/>
      <c r="AP80" s="150"/>
    </row>
    <row r="81" spans="2:65" ht="5.0999999999999996" customHeight="1" thickBot="1" x14ac:dyDescent="0.3">
      <c r="AS81" s="151">
        <v>0</v>
      </c>
      <c r="AT81" s="151"/>
      <c r="AU81" s="151"/>
      <c r="AV81" s="151"/>
      <c r="AW81" s="151"/>
      <c r="AX81" s="151"/>
      <c r="AY81" s="151"/>
      <c r="AZ81" s="151"/>
      <c r="BA81" s="151"/>
      <c r="BB81" s="151"/>
    </row>
    <row r="82" spans="2:65" ht="14.45" customHeight="1" x14ac:dyDescent="0.25">
      <c r="B82" s="152" t="s">
        <v>90</v>
      </c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4"/>
      <c r="N82" s="155" t="s">
        <v>87</v>
      </c>
      <c r="O82" s="153"/>
      <c r="P82" s="153"/>
      <c r="Q82" s="153"/>
      <c r="R82" s="153"/>
      <c r="S82" s="153"/>
      <c r="T82" s="153"/>
      <c r="U82" s="153"/>
      <c r="V82" s="153"/>
      <c r="W82" s="154"/>
      <c r="X82" s="155" t="s">
        <v>88</v>
      </c>
      <c r="Y82" s="153"/>
      <c r="Z82" s="153"/>
      <c r="AA82" s="153"/>
      <c r="AB82" s="153"/>
      <c r="AC82" s="153"/>
      <c r="AD82" s="153"/>
      <c r="AE82" s="153"/>
      <c r="AF82" s="153"/>
      <c r="AG82" s="153"/>
      <c r="AH82" s="153"/>
      <c r="AI82" s="153"/>
      <c r="AJ82" s="154"/>
      <c r="AK82" s="155" t="s">
        <v>89</v>
      </c>
      <c r="AL82" s="153"/>
      <c r="AM82" s="153"/>
      <c r="AN82" s="153"/>
      <c r="AO82" s="153"/>
      <c r="AP82" s="156"/>
      <c r="AS82" s="151"/>
      <c r="AT82" s="151"/>
      <c r="AU82" s="151"/>
      <c r="AV82" s="151"/>
      <c r="AW82" s="151"/>
      <c r="AX82" s="151"/>
      <c r="AY82" s="151"/>
      <c r="AZ82" s="151"/>
      <c r="BA82" s="151"/>
      <c r="BB82" s="151"/>
      <c r="BD82" t="s">
        <v>408</v>
      </c>
    </row>
    <row r="83" spans="2:65" ht="24.6" customHeight="1" thickBot="1" x14ac:dyDescent="0.3">
      <c r="B83" s="128" t="s">
        <v>140</v>
      </c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30"/>
      <c r="N83" s="131" t="s">
        <v>141</v>
      </c>
      <c r="O83" s="129"/>
      <c r="P83" s="129"/>
      <c r="Q83" s="129"/>
      <c r="R83" s="129"/>
      <c r="S83" s="129"/>
      <c r="T83" s="129"/>
      <c r="U83" s="129"/>
      <c r="V83" s="129"/>
      <c r="W83" s="130"/>
      <c r="X83" s="131" t="e" vm="1">
        <v>#VALUE!</v>
      </c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30"/>
      <c r="AK83" s="132">
        <f>B6+28</f>
        <v>45804</v>
      </c>
      <c r="AL83" s="133"/>
      <c r="AM83" s="133"/>
      <c r="AN83" s="133"/>
      <c r="AO83" s="133"/>
      <c r="AP83" s="134"/>
      <c r="AS83" s="135">
        <f>AK83+AS81</f>
        <v>45804</v>
      </c>
      <c r="AT83" s="136"/>
      <c r="AU83" s="136"/>
      <c r="AV83" s="136"/>
      <c r="AW83" s="136"/>
      <c r="AX83" s="136"/>
      <c r="AY83" s="136"/>
      <c r="AZ83" s="136"/>
      <c r="BA83" s="136"/>
      <c r="BB83" s="137"/>
      <c r="BC83">
        <v>1</v>
      </c>
      <c r="BF83" s="138" t="str">
        <f>TEXT(AS83,"ddd")</f>
        <v>ter</v>
      </c>
      <c r="BG83" s="139"/>
      <c r="BH83" s="139"/>
      <c r="BI83" s="139"/>
      <c r="BJ83" s="139"/>
      <c r="BK83" s="139"/>
      <c r="BL83" s="139"/>
      <c r="BM83" s="140"/>
    </row>
  </sheetData>
  <sheetProtection autoFilter="0"/>
  <protectedRanges>
    <protectedRange sqref="AG6 AM6 B29:S33 AG70:AG73 AL70:AL73 AL65:AL67 AG65:AG67 AE42 AI42 AM42 AG38 AL38 AG29 AL29 AG22 AL22 P2 G11:AP11" name="Intervalo2"/>
    <protectedRange sqref="AG2" name="Intervalo1_1"/>
  </protectedRanges>
  <autoFilter ref="A6:A19" xr:uid="{00000000-0009-0000-0000-000001000000}">
    <filterColumn colId="0">
      <customFilters>
        <customFilter operator="notEqual" val=" "/>
      </customFilters>
    </filterColumn>
  </autoFilter>
  <mergeCells count="533">
    <mergeCell ref="B83:M83"/>
    <mergeCell ref="N83:W83"/>
    <mergeCell ref="X83:AJ83"/>
    <mergeCell ref="AK83:AP83"/>
    <mergeCell ref="AS83:BB83"/>
    <mergeCell ref="BF83:BM83"/>
    <mergeCell ref="B79:K79"/>
    <mergeCell ref="X79:AP79"/>
    <mergeCell ref="B80:K80"/>
    <mergeCell ref="X80:AP80"/>
    <mergeCell ref="AS81:BB82"/>
    <mergeCell ref="B82:M82"/>
    <mergeCell ref="N82:W82"/>
    <mergeCell ref="X82:AJ82"/>
    <mergeCell ref="AK82:AP82"/>
    <mergeCell ref="B76:K76"/>
    <mergeCell ref="X76:AP76"/>
    <mergeCell ref="B77:K77"/>
    <mergeCell ref="X77:AP77"/>
    <mergeCell ref="B78:K78"/>
    <mergeCell ref="X78:AP78"/>
    <mergeCell ref="B69:AD69"/>
    <mergeCell ref="AE69:AP69"/>
    <mergeCell ref="AW70:AX70"/>
    <mergeCell ref="BB70:BE70"/>
    <mergeCell ref="BI70:BL70"/>
    <mergeCell ref="B75:K75"/>
    <mergeCell ref="L75:W75"/>
    <mergeCell ref="X75:AP75"/>
    <mergeCell ref="AW65:AX65"/>
    <mergeCell ref="BB65:BE65"/>
    <mergeCell ref="BI65:BL65"/>
    <mergeCell ref="AW66:AX66"/>
    <mergeCell ref="AW67:AX67"/>
    <mergeCell ref="BB67:BE67"/>
    <mergeCell ref="BI67:BL67"/>
    <mergeCell ref="CE60:CG60"/>
    <mergeCell ref="B62:Z62"/>
    <mergeCell ref="AA62:AP62"/>
    <mergeCell ref="B64:M64"/>
    <mergeCell ref="N64:U64"/>
    <mergeCell ref="Y64:AD64"/>
    <mergeCell ref="AE64:AP64"/>
    <mergeCell ref="B60:V60"/>
    <mergeCell ref="W60:Z60"/>
    <mergeCell ref="AA60:AD60"/>
    <mergeCell ref="AV60:AW60"/>
    <mergeCell ref="BA60:BD60"/>
    <mergeCell ref="BH60:BK60"/>
    <mergeCell ref="DC58:DE58"/>
    <mergeCell ref="DF58:DH58"/>
    <mergeCell ref="DI58:DK58"/>
    <mergeCell ref="DL58:DN58"/>
    <mergeCell ref="DO58:DQ58"/>
    <mergeCell ref="AV59:AW59"/>
    <mergeCell ref="CK58:CM58"/>
    <mergeCell ref="CN58:CP58"/>
    <mergeCell ref="CQ58:CS58"/>
    <mergeCell ref="CT58:CV58"/>
    <mergeCell ref="CW58:CY58"/>
    <mergeCell ref="CZ58:DB58"/>
    <mergeCell ref="C58:M58"/>
    <mergeCell ref="AV58:AW58"/>
    <mergeCell ref="BA58:BD58"/>
    <mergeCell ref="BH58:BK58"/>
    <mergeCell ref="CE58:CG58"/>
    <mergeCell ref="CH58:CJ58"/>
    <mergeCell ref="CN57:CP57"/>
    <mergeCell ref="CQ57:CS57"/>
    <mergeCell ref="CT57:CV57"/>
    <mergeCell ref="DL56:DN56"/>
    <mergeCell ref="DO56:DQ56"/>
    <mergeCell ref="B57:V57"/>
    <mergeCell ref="W57:Z57"/>
    <mergeCell ref="AA57:AD57"/>
    <mergeCell ref="CE57:CG57"/>
    <mergeCell ref="CH57:CJ57"/>
    <mergeCell ref="CK57:CM57"/>
    <mergeCell ref="CN56:CP56"/>
    <mergeCell ref="CQ56:CS56"/>
    <mergeCell ref="CT56:CV56"/>
    <mergeCell ref="CW56:CY56"/>
    <mergeCell ref="CZ56:DB56"/>
    <mergeCell ref="DC56:DE56"/>
    <mergeCell ref="DF57:DH57"/>
    <mergeCell ref="DI57:DK57"/>
    <mergeCell ref="DL57:DN57"/>
    <mergeCell ref="DO57:DQ57"/>
    <mergeCell ref="CW57:CY57"/>
    <mergeCell ref="CZ57:DB57"/>
    <mergeCell ref="DC57:DE57"/>
    <mergeCell ref="DI54:DK54"/>
    <mergeCell ref="DL54:DN54"/>
    <mergeCell ref="DO54:DQ54"/>
    <mergeCell ref="B56:V56"/>
    <mergeCell ref="W56:Z56"/>
    <mergeCell ref="AA56:AD56"/>
    <mergeCell ref="AE56:AP56"/>
    <mergeCell ref="CE56:CG56"/>
    <mergeCell ref="CH56:CJ56"/>
    <mergeCell ref="CK56:CM56"/>
    <mergeCell ref="CQ54:CS54"/>
    <mergeCell ref="CT54:CV54"/>
    <mergeCell ref="CW54:CY54"/>
    <mergeCell ref="CZ54:DB54"/>
    <mergeCell ref="DC54:DE54"/>
    <mergeCell ref="DF54:DH54"/>
    <mergeCell ref="B54:W54"/>
    <mergeCell ref="X54:AB54"/>
    <mergeCell ref="CE54:CG54"/>
    <mergeCell ref="CH54:CJ54"/>
    <mergeCell ref="CK54:CM54"/>
    <mergeCell ref="CN54:CP54"/>
    <mergeCell ref="DF56:DH56"/>
    <mergeCell ref="DI56:DK56"/>
    <mergeCell ref="C53:E53"/>
    <mergeCell ref="F53:H53"/>
    <mergeCell ref="I53:K53"/>
    <mergeCell ref="L53:N53"/>
    <mergeCell ref="O53:Q53"/>
    <mergeCell ref="R53:T53"/>
    <mergeCell ref="U53:W53"/>
    <mergeCell ref="X53:Z53"/>
    <mergeCell ref="BG52:BI52"/>
    <mergeCell ref="AM52:AO52"/>
    <mergeCell ref="AR52:AT52"/>
    <mergeCell ref="AU53:AW53"/>
    <mergeCell ref="AX53:AZ53"/>
    <mergeCell ref="BA53:BC53"/>
    <mergeCell ref="BD53:BF53"/>
    <mergeCell ref="BG53:BI53"/>
    <mergeCell ref="AJ52:AL52"/>
    <mergeCell ref="AA53:AC53"/>
    <mergeCell ref="AD53:AF53"/>
    <mergeCell ref="AG53:AI53"/>
    <mergeCell ref="AJ53:AL53"/>
    <mergeCell ref="AM53:AO53"/>
    <mergeCell ref="AR53:AT53"/>
    <mergeCell ref="BY52:CA52"/>
    <mergeCell ref="CB52:CD52"/>
    <mergeCell ref="BJ52:BL52"/>
    <mergeCell ref="BM52:BO52"/>
    <mergeCell ref="BP52:BR52"/>
    <mergeCell ref="BS52:BU52"/>
    <mergeCell ref="BV52:BX52"/>
    <mergeCell ref="BM53:BO53"/>
    <mergeCell ref="BP53:BR53"/>
    <mergeCell ref="BS53:BU53"/>
    <mergeCell ref="BV53:BX53"/>
    <mergeCell ref="BY53:CA53"/>
    <mergeCell ref="CB53:CD53"/>
    <mergeCell ref="BJ53:BL53"/>
    <mergeCell ref="C52:E52"/>
    <mergeCell ref="F52:H52"/>
    <mergeCell ref="I52:K52"/>
    <mergeCell ref="L52:N52"/>
    <mergeCell ref="O52:Q52"/>
    <mergeCell ref="R52:T52"/>
    <mergeCell ref="BM51:BO51"/>
    <mergeCell ref="BP51:BR51"/>
    <mergeCell ref="BS51:BU51"/>
    <mergeCell ref="AA51:AC51"/>
    <mergeCell ref="AD51:AF51"/>
    <mergeCell ref="AG51:AI51"/>
    <mergeCell ref="AJ51:AL51"/>
    <mergeCell ref="AM51:AO51"/>
    <mergeCell ref="AR51:AT51"/>
    <mergeCell ref="AU52:AW52"/>
    <mergeCell ref="AX52:AZ52"/>
    <mergeCell ref="BA52:BC52"/>
    <mergeCell ref="BD52:BF52"/>
    <mergeCell ref="U52:W52"/>
    <mergeCell ref="X52:Z52"/>
    <mergeCell ref="AA52:AC52"/>
    <mergeCell ref="AD52:AF52"/>
    <mergeCell ref="AG52:AI52"/>
    <mergeCell ref="BV51:BX51"/>
    <mergeCell ref="BY51:CA51"/>
    <mergeCell ref="CB51:CD51"/>
    <mergeCell ref="AU51:AW51"/>
    <mergeCell ref="AX51:AZ51"/>
    <mergeCell ref="BA51:BC51"/>
    <mergeCell ref="BD51:BF51"/>
    <mergeCell ref="BG51:BI51"/>
    <mergeCell ref="BJ51:BL51"/>
    <mergeCell ref="BY50:CA50"/>
    <mergeCell ref="CB50:CD50"/>
    <mergeCell ref="C51:E51"/>
    <mergeCell ref="F51:H51"/>
    <mergeCell ref="I51:K51"/>
    <mergeCell ref="L51:N51"/>
    <mergeCell ref="O51:Q51"/>
    <mergeCell ref="R51:T51"/>
    <mergeCell ref="U51:W51"/>
    <mergeCell ref="X51:Z51"/>
    <mergeCell ref="BG50:BI50"/>
    <mergeCell ref="BJ50:BL50"/>
    <mergeCell ref="BM50:BO50"/>
    <mergeCell ref="BP50:BR50"/>
    <mergeCell ref="BS50:BU50"/>
    <mergeCell ref="BV50:BX50"/>
    <mergeCell ref="AM50:AO50"/>
    <mergeCell ref="AR50:AT50"/>
    <mergeCell ref="AU50:AW50"/>
    <mergeCell ref="AX50:AZ50"/>
    <mergeCell ref="BA50:BC50"/>
    <mergeCell ref="BD50:BF50"/>
    <mergeCell ref="U50:W50"/>
    <mergeCell ref="X50:Z50"/>
    <mergeCell ref="AA50:AC50"/>
    <mergeCell ref="AD50:AF50"/>
    <mergeCell ref="AG50:AI50"/>
    <mergeCell ref="AJ50:AL50"/>
    <mergeCell ref="C50:E50"/>
    <mergeCell ref="F50:H50"/>
    <mergeCell ref="I50:K50"/>
    <mergeCell ref="L50:N50"/>
    <mergeCell ref="O50:Q50"/>
    <mergeCell ref="R50:T50"/>
    <mergeCell ref="B47:L47"/>
    <mergeCell ref="M47:U47"/>
    <mergeCell ref="V47:AF47"/>
    <mergeCell ref="AG47:AP47"/>
    <mergeCell ref="BC47:BG47"/>
    <mergeCell ref="C49:AO49"/>
    <mergeCell ref="AR49:CD49"/>
    <mergeCell ref="B45:L45"/>
    <mergeCell ref="M45:U45"/>
    <mergeCell ref="V45:AF45"/>
    <mergeCell ref="AG45:AP45"/>
    <mergeCell ref="AY45:BC45"/>
    <mergeCell ref="B46:L46"/>
    <mergeCell ref="M46:U46"/>
    <mergeCell ref="V46:AF46"/>
    <mergeCell ref="AG46:AP46"/>
    <mergeCell ref="AY46:BC46"/>
    <mergeCell ref="B44:L44"/>
    <mergeCell ref="M44:O44"/>
    <mergeCell ref="P44:R44"/>
    <mergeCell ref="S44:U44"/>
    <mergeCell ref="V44:AA44"/>
    <mergeCell ref="AB44:AP44"/>
    <mergeCell ref="B41:I41"/>
    <mergeCell ref="J41:AD41"/>
    <mergeCell ref="AE41:AP41"/>
    <mergeCell ref="BA41:BE41"/>
    <mergeCell ref="B42:AD42"/>
    <mergeCell ref="BA42:BE42"/>
    <mergeCell ref="AE39:AP39"/>
    <mergeCell ref="AE40:AF40"/>
    <mergeCell ref="AG40:AH40"/>
    <mergeCell ref="AI40:AJ40"/>
    <mergeCell ref="AK40:AL40"/>
    <mergeCell ref="AM40:AN40"/>
    <mergeCell ref="AO40:AP40"/>
    <mergeCell ref="AV37:AX37"/>
    <mergeCell ref="AY37:BB37"/>
    <mergeCell ref="CQ37:CS37"/>
    <mergeCell ref="CT37:CW37"/>
    <mergeCell ref="AV38:AX38"/>
    <mergeCell ref="AY38:BB38"/>
    <mergeCell ref="CQ38:CS38"/>
    <mergeCell ref="CT38:CW38"/>
    <mergeCell ref="B33:X33"/>
    <mergeCell ref="B34:I34"/>
    <mergeCell ref="J34:AD34"/>
    <mergeCell ref="AE34:AP34"/>
    <mergeCell ref="B35:AD35"/>
    <mergeCell ref="B37:AD37"/>
    <mergeCell ref="AE37:AP37"/>
    <mergeCell ref="AO31:AP31"/>
    <mergeCell ref="B32:X32"/>
    <mergeCell ref="AE32:AF32"/>
    <mergeCell ref="AG32:AH32"/>
    <mergeCell ref="AI32:AJ32"/>
    <mergeCell ref="AK32:AL32"/>
    <mergeCell ref="AM32:AN32"/>
    <mergeCell ref="AO32:AP32"/>
    <mergeCell ref="G29:X29"/>
    <mergeCell ref="Y29:AD33"/>
    <mergeCell ref="B30:X30"/>
    <mergeCell ref="AE30:AP30"/>
    <mergeCell ref="B31:X31"/>
    <mergeCell ref="AE31:AF31"/>
    <mergeCell ref="AG31:AH31"/>
    <mergeCell ref="AI31:AJ31"/>
    <mergeCell ref="AK31:AL31"/>
    <mergeCell ref="AM31:AN31"/>
    <mergeCell ref="B25:I25"/>
    <mergeCell ref="J25:AD25"/>
    <mergeCell ref="AE25:AP25"/>
    <mergeCell ref="B26:AD26"/>
    <mergeCell ref="B28:AD28"/>
    <mergeCell ref="AE28:AP28"/>
    <mergeCell ref="AE23:AP23"/>
    <mergeCell ref="AE24:AF24"/>
    <mergeCell ref="AG24:AH24"/>
    <mergeCell ref="AI24:AJ24"/>
    <mergeCell ref="AK24:AL24"/>
    <mergeCell ref="AM24:AN24"/>
    <mergeCell ref="AO24:AP24"/>
    <mergeCell ref="AE19:AG19"/>
    <mergeCell ref="AH19:AJ19"/>
    <mergeCell ref="AK19:AM19"/>
    <mergeCell ref="AN19:AP19"/>
    <mergeCell ref="B21:AD21"/>
    <mergeCell ref="AE21:AP21"/>
    <mergeCell ref="CC18:CE18"/>
    <mergeCell ref="B19:F19"/>
    <mergeCell ref="G19:I19"/>
    <mergeCell ref="J19:L19"/>
    <mergeCell ref="M19:O19"/>
    <mergeCell ref="P19:R19"/>
    <mergeCell ref="S19:U19"/>
    <mergeCell ref="V19:X19"/>
    <mergeCell ref="Y19:AA19"/>
    <mergeCell ref="AB19:AD19"/>
    <mergeCell ref="BJ18:BL18"/>
    <mergeCell ref="BM18:BO18"/>
    <mergeCell ref="BP18:BR18"/>
    <mergeCell ref="BS18:BU18"/>
    <mergeCell ref="BV18:BX18"/>
    <mergeCell ref="BY18:CA18"/>
    <mergeCell ref="AR18:AT18"/>
    <mergeCell ref="AU18:AW18"/>
    <mergeCell ref="AX18:AZ18"/>
    <mergeCell ref="BA18:BC18"/>
    <mergeCell ref="BD18:BF18"/>
    <mergeCell ref="BG18:BI18"/>
    <mergeCell ref="Y18:AA18"/>
    <mergeCell ref="AB18:AD18"/>
    <mergeCell ref="AE18:AG18"/>
    <mergeCell ref="AH18:AJ18"/>
    <mergeCell ref="AK18:AM18"/>
    <mergeCell ref="AN18:AP18"/>
    <mergeCell ref="BV17:BX17"/>
    <mergeCell ref="BY17:CA17"/>
    <mergeCell ref="CC17:CE17"/>
    <mergeCell ref="B18:F18"/>
    <mergeCell ref="G18:I18"/>
    <mergeCell ref="J18:L18"/>
    <mergeCell ref="M18:O18"/>
    <mergeCell ref="P18:R18"/>
    <mergeCell ref="S18:U18"/>
    <mergeCell ref="V18:X18"/>
    <mergeCell ref="BD17:BF17"/>
    <mergeCell ref="BG17:BI17"/>
    <mergeCell ref="BJ17:BL17"/>
    <mergeCell ref="BM17:BO17"/>
    <mergeCell ref="BP17:BR17"/>
    <mergeCell ref="BS17:BU17"/>
    <mergeCell ref="AK17:AM17"/>
    <mergeCell ref="AN17:AP17"/>
    <mergeCell ref="AR17:AT17"/>
    <mergeCell ref="AU17:AW17"/>
    <mergeCell ref="AX17:AZ17"/>
    <mergeCell ref="BA17:BC17"/>
    <mergeCell ref="S17:U17"/>
    <mergeCell ref="V17:X17"/>
    <mergeCell ref="Y17:AA17"/>
    <mergeCell ref="AB17:AD17"/>
    <mergeCell ref="AE17:AG17"/>
    <mergeCell ref="AH17:AJ17"/>
    <mergeCell ref="AB15:AD15"/>
    <mergeCell ref="AE15:AG15"/>
    <mergeCell ref="AH15:AJ15"/>
    <mergeCell ref="AK15:AM15"/>
    <mergeCell ref="AN15:AP15"/>
    <mergeCell ref="B17:F17"/>
    <mergeCell ref="G17:I17"/>
    <mergeCell ref="J17:L17"/>
    <mergeCell ref="M17:O17"/>
    <mergeCell ref="P17:R17"/>
    <mergeCell ref="BY14:CA14"/>
    <mergeCell ref="CC14:CE14"/>
    <mergeCell ref="B15:F15"/>
    <mergeCell ref="G15:I15"/>
    <mergeCell ref="J15:L15"/>
    <mergeCell ref="M15:O15"/>
    <mergeCell ref="P15:R15"/>
    <mergeCell ref="S15:U15"/>
    <mergeCell ref="V15:X15"/>
    <mergeCell ref="Y15:AA15"/>
    <mergeCell ref="BG14:BI14"/>
    <mergeCell ref="BJ14:BL14"/>
    <mergeCell ref="BM14:BO14"/>
    <mergeCell ref="BP14:BR14"/>
    <mergeCell ref="BS14:BU14"/>
    <mergeCell ref="BV14:BX14"/>
    <mergeCell ref="AN14:AP14"/>
    <mergeCell ref="AR14:AT14"/>
    <mergeCell ref="AU14:AW14"/>
    <mergeCell ref="B14:F14"/>
    <mergeCell ref="G14:I14"/>
    <mergeCell ref="J14:L14"/>
    <mergeCell ref="M14:O14"/>
    <mergeCell ref="P14:R14"/>
    <mergeCell ref="S14:U14"/>
    <mergeCell ref="BM13:BO13"/>
    <mergeCell ref="BP13:BR13"/>
    <mergeCell ref="BS13:BU13"/>
    <mergeCell ref="AB13:AD13"/>
    <mergeCell ref="AE13:AG13"/>
    <mergeCell ref="AH13:AJ13"/>
    <mergeCell ref="AK13:AM13"/>
    <mergeCell ref="AN13:AP13"/>
    <mergeCell ref="AR13:AT13"/>
    <mergeCell ref="AX14:AZ14"/>
    <mergeCell ref="BA14:BC14"/>
    <mergeCell ref="BD14:BF14"/>
    <mergeCell ref="V14:X14"/>
    <mergeCell ref="Y14:AA14"/>
    <mergeCell ref="AB14:AD14"/>
    <mergeCell ref="AE14:AG14"/>
    <mergeCell ref="AH14:AJ14"/>
    <mergeCell ref="AK14:AM14"/>
    <mergeCell ref="BV13:BX13"/>
    <mergeCell ref="BY13:CA13"/>
    <mergeCell ref="CC13:CE13"/>
    <mergeCell ref="AU13:AW13"/>
    <mergeCell ref="AX13:AZ13"/>
    <mergeCell ref="BA13:BC13"/>
    <mergeCell ref="BD13:BF13"/>
    <mergeCell ref="BG13:BI13"/>
    <mergeCell ref="BJ13:BL13"/>
    <mergeCell ref="B13:F13"/>
    <mergeCell ref="G13:I13"/>
    <mergeCell ref="J13:L13"/>
    <mergeCell ref="M13:O13"/>
    <mergeCell ref="P13:R13"/>
    <mergeCell ref="S13:U13"/>
    <mergeCell ref="V13:X13"/>
    <mergeCell ref="Y13:AA13"/>
    <mergeCell ref="S11:U11"/>
    <mergeCell ref="V11:X11"/>
    <mergeCell ref="Y11:AA11"/>
    <mergeCell ref="V9:X9"/>
    <mergeCell ref="Y9:AA9"/>
    <mergeCell ref="AB10:AD10"/>
    <mergeCell ref="AE10:AG10"/>
    <mergeCell ref="AH10:AJ10"/>
    <mergeCell ref="AK10:AM10"/>
    <mergeCell ref="AN10:AP10"/>
    <mergeCell ref="B11:F11"/>
    <mergeCell ref="G11:I11"/>
    <mergeCell ref="J11:L11"/>
    <mergeCell ref="M11:O11"/>
    <mergeCell ref="P11:R11"/>
    <mergeCell ref="AK11:AM11"/>
    <mergeCell ref="AN11:AP11"/>
    <mergeCell ref="AB11:AD11"/>
    <mergeCell ref="AE11:AG11"/>
    <mergeCell ref="AH11:AJ11"/>
    <mergeCell ref="B9:F9"/>
    <mergeCell ref="G9:I9"/>
    <mergeCell ref="J9:L9"/>
    <mergeCell ref="M9:O9"/>
    <mergeCell ref="P9:R9"/>
    <mergeCell ref="S9:U9"/>
    <mergeCell ref="BY9:CA9"/>
    <mergeCell ref="CC9:CE9"/>
    <mergeCell ref="B10:F10"/>
    <mergeCell ref="G10:I10"/>
    <mergeCell ref="J10:L10"/>
    <mergeCell ref="M10:O10"/>
    <mergeCell ref="P10:R10"/>
    <mergeCell ref="S10:U10"/>
    <mergeCell ref="V10:X10"/>
    <mergeCell ref="Y10:AA10"/>
    <mergeCell ref="BG9:BI9"/>
    <mergeCell ref="BJ9:BL9"/>
    <mergeCell ref="BM9:BO9"/>
    <mergeCell ref="BP9:BR9"/>
    <mergeCell ref="BS9:BU9"/>
    <mergeCell ref="BV9:BX9"/>
    <mergeCell ref="AN9:AP9"/>
    <mergeCell ref="AR9:AT9"/>
    <mergeCell ref="CC8:CE8"/>
    <mergeCell ref="AU8:AW8"/>
    <mergeCell ref="AX8:AZ8"/>
    <mergeCell ref="BA8:BC8"/>
    <mergeCell ref="BD8:BF8"/>
    <mergeCell ref="BG8:BI8"/>
    <mergeCell ref="BJ8:BL8"/>
    <mergeCell ref="AB9:AD9"/>
    <mergeCell ref="AE9:AG9"/>
    <mergeCell ref="AH9:AJ9"/>
    <mergeCell ref="AK9:AM9"/>
    <mergeCell ref="AU9:AW9"/>
    <mergeCell ref="AX9:AZ9"/>
    <mergeCell ref="BA9:BC9"/>
    <mergeCell ref="BD9:BF9"/>
    <mergeCell ref="AB8:AD8"/>
    <mergeCell ref="AE8:AG8"/>
    <mergeCell ref="AH8:AJ8"/>
    <mergeCell ref="AK8:AM8"/>
    <mergeCell ref="AN8:AP8"/>
    <mergeCell ref="AR8:AT8"/>
    <mergeCell ref="AM6:AP6"/>
    <mergeCell ref="AR6:CA6"/>
    <mergeCell ref="B8:F8"/>
    <mergeCell ref="G8:I8"/>
    <mergeCell ref="J8:L8"/>
    <mergeCell ref="M8:O8"/>
    <mergeCell ref="P8:R8"/>
    <mergeCell ref="S8:U8"/>
    <mergeCell ref="V8:X8"/>
    <mergeCell ref="Y8:AA8"/>
    <mergeCell ref="BM8:BO8"/>
    <mergeCell ref="BP8:BR8"/>
    <mergeCell ref="BS8:BU8"/>
    <mergeCell ref="BV8:BX8"/>
    <mergeCell ref="BY8:CA8"/>
    <mergeCell ref="L3:O3"/>
    <mergeCell ref="P3:AP3"/>
    <mergeCell ref="B5:H5"/>
    <mergeCell ref="I5:AC5"/>
    <mergeCell ref="AD5:AP5"/>
    <mergeCell ref="B6:H6"/>
    <mergeCell ref="I6:AC6"/>
    <mergeCell ref="AD6:AF6"/>
    <mergeCell ref="AG6:AI6"/>
    <mergeCell ref="AJ6:AL6"/>
    <mergeCell ref="B1:K3"/>
    <mergeCell ref="L1:AC1"/>
    <mergeCell ref="AD1:AG1"/>
    <mergeCell ref="AH1:AI1"/>
    <mergeCell ref="AJ1:AL1"/>
    <mergeCell ref="AN1:AP1"/>
    <mergeCell ref="L2:O2"/>
    <mergeCell ref="P2:AC2"/>
    <mergeCell ref="AD2:AF2"/>
    <mergeCell ref="AG2:AP2"/>
  </mergeCells>
  <conditionalFormatting sqref="AV38:BB38">
    <cfRule type="cellIs" dxfId="0" priority="1" operator="equal">
      <formula>0</formula>
    </cfRule>
  </conditionalFormatting>
  <dataValidations count="1">
    <dataValidation type="list" allowBlank="1" showInputMessage="1" showErrorMessage="1" sqref="AG6:AI6" xr:uid="{9C9CC237-C501-494F-A983-DFC34981E7C2}">
      <formula1>$BD$1:$BD$3</formula1>
    </dataValidation>
  </dataValidations>
  <printOptions horizontalCentered="1" verticalCentered="1"/>
  <pageMargins left="0.6692913385826772" right="0" top="0" bottom="0" header="0.31496062992125984" footer="0.31496062992125984"/>
  <pageSetup paperSize="9" scale="85" orientation="portrait" r:id="rId1"/>
  <colBreaks count="1" manualBreakCount="1">
    <brk id="42" max="1048575" man="1"/>
  </colBreak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8bd75-e5af-473e-a771-af58d935aeec">
      <Terms xmlns="http://schemas.microsoft.com/office/infopath/2007/PartnerControls"/>
    </lcf76f155ced4ddcb4097134ff3c332f>
    <teste xmlns="4f78bd75-e5af-473e-a771-af58d935aeec" xsi:nil="true"/>
    <TaxCatchAll xmlns="2e1cb776-6995-4ef2-a2af-ac4d4b6f492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F60118CF4DD941A5203D2B469A8CE2" ma:contentTypeVersion="20" ma:contentTypeDescription="Crie um novo documento." ma:contentTypeScope="" ma:versionID="8c2e10d7b649811152195ee9610a88b8">
  <xsd:schema xmlns:xsd="http://www.w3.org/2001/XMLSchema" xmlns:xs="http://www.w3.org/2001/XMLSchema" xmlns:p="http://schemas.microsoft.com/office/2006/metadata/properties" xmlns:ns2="4f78bd75-e5af-473e-a771-af58d935aeec" xmlns:ns3="2e1cb776-6995-4ef2-a2af-ac4d4b6f4925" targetNamespace="http://schemas.microsoft.com/office/2006/metadata/properties" ma:root="true" ma:fieldsID="0046e9d28b07df2b6219cf8e5fe46efc" ns2:_="" ns3:_="">
    <xsd:import namespace="4f78bd75-e5af-473e-a771-af58d935aeec"/>
    <xsd:import namespace="2e1cb776-6995-4ef2-a2af-ac4d4b6f49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tes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8bd75-e5af-473e-a771-af58d935a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339697e3-62eb-412e-b6ec-2aacf9b20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e" ma:index="26" nillable="true" ma:displayName="teste" ma:format="Dropdown" ma:internalName="teste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cb776-6995-4ef2-a2af-ac4d4b6f492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d191ebc-237e-4a87-a075-334d50cd7af5}" ma:internalName="TaxCatchAll" ma:showField="CatchAllData" ma:web="2e1cb776-6995-4ef2-a2af-ac4d4b6f49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8EFE07-A09A-4330-8D59-AF4CE36819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F9FE16-944B-4CB4-9119-B1F6863C702E}">
  <ds:schemaRefs>
    <ds:schemaRef ds:uri="http://schemas.microsoft.com/office/2006/metadata/properties"/>
    <ds:schemaRef ds:uri="http://schemas.microsoft.com/office/infopath/2007/PartnerControls"/>
    <ds:schemaRef ds:uri="4f78bd75-e5af-473e-a771-af58d935aeec"/>
    <ds:schemaRef ds:uri="2e1cb776-6995-4ef2-a2af-ac4d4b6f4925"/>
  </ds:schemaRefs>
</ds:datastoreItem>
</file>

<file path=customXml/itemProps3.xml><?xml version="1.0" encoding="utf-8"?>
<ds:datastoreItem xmlns:ds="http://schemas.openxmlformats.org/officeDocument/2006/customXml" ds:itemID="{E49AD519-A4CA-46D3-B535-9634F53030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8bd75-e5af-473e-a771-af58d935aeec"/>
    <ds:schemaRef ds:uri="2e1cb776-6995-4ef2-a2af-ac4d4b6f49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5</vt:i4>
      </vt:variant>
    </vt:vector>
  </HeadingPairs>
  <TitlesOfParts>
    <vt:vector size="14" baseType="lpstr">
      <vt:lpstr>plan de data</vt:lpstr>
      <vt:lpstr>Planilha1</vt:lpstr>
      <vt:lpstr>CA</vt:lpstr>
      <vt:lpstr>CERT. COR</vt:lpstr>
      <vt:lpstr>PF</vt:lpstr>
      <vt:lpstr>PN1</vt:lpstr>
      <vt:lpstr>PN2</vt:lpstr>
      <vt:lpstr>PN3</vt:lpstr>
      <vt:lpstr>PN4</vt:lpstr>
      <vt:lpstr>PF!Area_de_impressao</vt:lpstr>
      <vt:lpstr>'PN1'!Area_de_impressao</vt:lpstr>
      <vt:lpstr>'PN2'!Area_de_impressao</vt:lpstr>
      <vt:lpstr>'PN3'!Area_de_impressao</vt:lpstr>
      <vt:lpstr>'PN4'!Area_de_impressao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fortes</dc:creator>
  <cp:lastModifiedBy>Bruno Macedo Lacerda</cp:lastModifiedBy>
  <cp:lastPrinted>2025-09-20T17:36:23Z</cp:lastPrinted>
  <dcterms:created xsi:type="dcterms:W3CDTF">2019-10-12T17:10:03Z</dcterms:created>
  <dcterms:modified xsi:type="dcterms:W3CDTF">2025-09-24T13:17:47Z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