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one\SynologyDrive\fortanks_novo\"/>
    </mc:Choice>
  </mc:AlternateContent>
  <xr:revisionPtr revIDLastSave="0" documentId="8_{E8075C0F-D382-40CC-B81F-12026D249E53}" xr6:coauthVersionLast="47" xr6:coauthVersionMax="47" xr10:uidLastSave="{00000000-0000-0000-0000-000000000000}"/>
  <bookViews>
    <workbookView xWindow="-98" yWindow="-98" windowWidth="21795" windowHeight="12975" activeTab="1" xr2:uid="{014749BB-A4E5-436E-9807-6DADA62660A5}"/>
  </bookViews>
  <sheets>
    <sheet name="CAPA DAS OBRAS" sheetId="22" r:id="rId1"/>
    <sheet name=" CADASTRO" sheetId="8" r:id="rId2"/>
    <sheet name="CALCULOS " sheetId="23" state="hidden" r:id="rId3"/>
    <sheet name="SC-10 PN1" sheetId="27" r:id="rId4"/>
    <sheet name="SC-10 PN2" sheetId="28" r:id="rId5"/>
    <sheet name="SC-10 PN2 PRIMARIO" sheetId="26" r:id="rId6"/>
    <sheet name="SC10(pf)" sheetId="21" r:id="rId7"/>
    <sheet name="PRODUÇÃO SEMANA" sheetId="16" r:id="rId8"/>
    <sheet name="ACABAMENTO" sheetId="17" r:id="rId9"/>
    <sheet name="p1" sheetId="24" state="hidden" r:id="rId10"/>
    <sheet name="Vale - muro" sheetId="2" state="hidden" r:id="rId11"/>
  </sheets>
  <definedNames>
    <definedName name="_xlnm._FilterDatabase" localSheetId="1" hidden="1">' CADASTRO'!$A$1:$Y$894</definedName>
    <definedName name="_xlnm.Print_Area" localSheetId="1">' CADASTRO'!$A$1:$Y$893</definedName>
    <definedName name="_xlnm.Print_Area" localSheetId="3">'SC-10 PN1'!$A$1:$AD$78</definedName>
    <definedName name="_xlnm.Print_Area" localSheetId="4">'SC-10 PN2'!$A$1:$AD$79</definedName>
    <definedName name="_xlnm.Print_Area" localSheetId="5">'SC-10 PN2 PRIMARIO'!$A$1:$AL$79</definedName>
    <definedName name="_xlnm.Print_Area" localSheetId="6">'SC10(pf)'!$A$1:$Z$80</definedName>
    <definedName name="_xlnm.Print_Area" localSheetId="10">'Vale - muro'!$A$1:$AN$40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9" i="8" l="1"/>
  <c r="K149" i="8"/>
  <c r="D3" i="27"/>
  <c r="Q13" i="8" l="1"/>
  <c r="Q14" i="8"/>
  <c r="N68" i="21"/>
  <c r="N67" i="21" s="1"/>
  <c r="X14" i="21"/>
  <c r="D1" i="21"/>
  <c r="N74" i="21" l="1"/>
  <c r="N73" i="21" s="1"/>
  <c r="C4" i="26"/>
  <c r="D41" i="27"/>
  <c r="T43" i="28"/>
  <c r="R43" i="28"/>
  <c r="P43" i="28"/>
  <c r="N43" i="28"/>
  <c r="L43" i="28"/>
  <c r="J43" i="28"/>
  <c r="H43" i="28"/>
  <c r="F43" i="28"/>
  <c r="Y32" i="28"/>
  <c r="Y31" i="28" s="1"/>
  <c r="Y26" i="28"/>
  <c r="Y25" i="28" s="1"/>
  <c r="Y20" i="28"/>
  <c r="Y19" i="28" s="1"/>
  <c r="Y14" i="28"/>
  <c r="Y13" i="28" s="1"/>
  <c r="Y9" i="28"/>
  <c r="Y8" i="28" s="1"/>
  <c r="C4" i="28"/>
  <c r="D3" i="28"/>
  <c r="D42" i="28" s="1"/>
  <c r="Y2" i="28"/>
  <c r="AG20" i="26"/>
  <c r="AG19" i="26" s="1"/>
  <c r="AG14" i="26"/>
  <c r="AG13" i="26" s="1"/>
  <c r="AG2" i="26"/>
  <c r="AG9" i="26"/>
  <c r="AG8" i="26" s="1"/>
  <c r="Y32" i="27"/>
  <c r="Y31" i="27" s="1"/>
  <c r="Y26" i="27"/>
  <c r="Y25" i="27" s="1"/>
  <c r="Y20" i="27"/>
  <c r="Y19" i="27" s="1"/>
  <c r="Y14" i="27"/>
  <c r="Y13" i="27" s="1"/>
  <c r="Y9" i="27"/>
  <c r="Y8" i="27" s="1"/>
  <c r="Y2" i="27"/>
  <c r="T42" i="27"/>
  <c r="R42" i="27"/>
  <c r="P42" i="27"/>
  <c r="N42" i="27"/>
  <c r="L42" i="27"/>
  <c r="J42" i="27"/>
  <c r="H42" i="27"/>
  <c r="F42" i="27"/>
  <c r="C4" i="27"/>
  <c r="I7" i="17"/>
  <c r="R43" i="26"/>
  <c r="T43" i="26"/>
  <c r="V43" i="26"/>
  <c r="Z43" i="26"/>
  <c r="AB43" i="26"/>
  <c r="X43" i="26"/>
  <c r="P43" i="26"/>
  <c r="N43" i="26"/>
  <c r="L43" i="26"/>
  <c r="J43" i="26"/>
  <c r="H43" i="26"/>
  <c r="F43" i="26"/>
  <c r="D3" i="26"/>
  <c r="D42" i="26" s="1"/>
  <c r="T42" i="21" l="1"/>
  <c r="R42" i="21"/>
  <c r="P42" i="21"/>
  <c r="N42" i="21"/>
  <c r="L42" i="21"/>
  <c r="J42" i="21"/>
  <c r="H42" i="21"/>
  <c r="F42" i="21"/>
  <c r="T41" i="21"/>
  <c r="R41" i="21"/>
  <c r="P41" i="21"/>
  <c r="N41" i="21"/>
  <c r="L41" i="21"/>
  <c r="J41" i="21"/>
  <c r="H41" i="21"/>
  <c r="F41" i="21"/>
  <c r="D40" i="21"/>
  <c r="P16" i="17"/>
  <c r="L17" i="17"/>
  <c r="M17" i="17"/>
  <c r="N17" i="17"/>
  <c r="O17" i="17"/>
  <c r="P17" i="17"/>
  <c r="Q17" i="17"/>
  <c r="R17" i="17"/>
  <c r="L18" i="17"/>
  <c r="M18" i="17"/>
  <c r="N18" i="17"/>
  <c r="O18" i="17"/>
  <c r="P18" i="17"/>
  <c r="Q18" i="17"/>
  <c r="R18" i="17"/>
  <c r="L19" i="17"/>
  <c r="M19" i="17"/>
  <c r="N19" i="17"/>
  <c r="O19" i="17"/>
  <c r="P19" i="17"/>
  <c r="Q19" i="17"/>
  <c r="R19" i="17"/>
  <c r="L20" i="17"/>
  <c r="M20" i="17"/>
  <c r="N20" i="17"/>
  <c r="O20" i="17"/>
  <c r="P20" i="17"/>
  <c r="Q20" i="17"/>
  <c r="R20" i="17"/>
  <c r="L21" i="17"/>
  <c r="M21" i="17"/>
  <c r="N21" i="17"/>
  <c r="O21" i="17"/>
  <c r="P21" i="17"/>
  <c r="Q21" i="17"/>
  <c r="R21" i="17"/>
  <c r="L22" i="17"/>
  <c r="M22" i="17"/>
  <c r="N22" i="17"/>
  <c r="O22" i="17"/>
  <c r="P22" i="17"/>
  <c r="Q22" i="17"/>
  <c r="R22" i="17"/>
  <c r="L23" i="17"/>
  <c r="M23" i="17"/>
  <c r="N23" i="17"/>
  <c r="O23" i="17"/>
  <c r="P23" i="17"/>
  <c r="Q23" i="17"/>
  <c r="R23" i="17"/>
  <c r="L24" i="17"/>
  <c r="M24" i="17"/>
  <c r="N24" i="17"/>
  <c r="O24" i="17"/>
  <c r="P24" i="17"/>
  <c r="Q24" i="17"/>
  <c r="R24" i="17"/>
  <c r="L25" i="17"/>
  <c r="M25" i="17"/>
  <c r="N25" i="17"/>
  <c r="O25" i="17"/>
  <c r="P25" i="17"/>
  <c r="Q25" i="17"/>
  <c r="R25" i="17"/>
  <c r="L26" i="17"/>
  <c r="M26" i="17"/>
  <c r="N26" i="17"/>
  <c r="O26" i="17"/>
  <c r="P26" i="17"/>
  <c r="Q26" i="17"/>
  <c r="R26" i="17"/>
  <c r="L27" i="17"/>
  <c r="M27" i="17"/>
  <c r="N27" i="17"/>
  <c r="O27" i="17"/>
  <c r="P27" i="17"/>
  <c r="Q27" i="17"/>
  <c r="R27" i="17"/>
  <c r="L28" i="17"/>
  <c r="M28" i="17"/>
  <c r="N28" i="17"/>
  <c r="O28" i="17"/>
  <c r="P28" i="17"/>
  <c r="Q28" i="17"/>
  <c r="R28" i="17"/>
  <c r="L16" i="17"/>
  <c r="M16" i="17"/>
  <c r="N16" i="17"/>
  <c r="O16" i="17"/>
  <c r="Q16" i="17"/>
  <c r="R16" i="17"/>
  <c r="L15" i="17"/>
  <c r="M15" i="17"/>
  <c r="N15" i="17"/>
  <c r="O15" i="17"/>
  <c r="P15" i="17"/>
  <c r="Q15" i="17"/>
  <c r="R15" i="17"/>
  <c r="L14" i="17"/>
  <c r="M14" i="17"/>
  <c r="N14" i="17"/>
  <c r="O14" i="17"/>
  <c r="P14" i="17"/>
  <c r="Q14" i="17"/>
  <c r="R14" i="17"/>
  <c r="L13" i="17"/>
  <c r="M13" i="17"/>
  <c r="N13" i="17"/>
  <c r="O13" i="17"/>
  <c r="P13" i="17"/>
  <c r="Q13" i="17"/>
  <c r="R13" i="17"/>
  <c r="L12" i="17"/>
  <c r="M12" i="17"/>
  <c r="N12" i="17"/>
  <c r="O12" i="17"/>
  <c r="P12" i="17"/>
  <c r="Q12" i="17"/>
  <c r="R12" i="17"/>
  <c r="L11" i="17"/>
  <c r="M11" i="17"/>
  <c r="N11" i="17"/>
  <c r="O11" i="17"/>
  <c r="P11" i="17"/>
  <c r="Q11" i="17"/>
  <c r="R11" i="17"/>
  <c r="L10" i="17"/>
  <c r="M10" i="17"/>
  <c r="N10" i="17"/>
  <c r="O10" i="17"/>
  <c r="P10" i="17"/>
  <c r="Q10" i="17"/>
  <c r="R10" i="17"/>
  <c r="L9" i="17"/>
  <c r="M9" i="17"/>
  <c r="N9" i="17"/>
  <c r="O9" i="17"/>
  <c r="P9" i="17"/>
  <c r="Q9" i="17"/>
  <c r="R9" i="17"/>
  <c r="L8" i="17"/>
  <c r="M8" i="17"/>
  <c r="N8" i="17"/>
  <c r="O8" i="17"/>
  <c r="P8" i="17"/>
  <c r="Q8" i="17"/>
  <c r="R8" i="17"/>
  <c r="L7" i="17"/>
  <c r="M7" i="17"/>
  <c r="N7" i="17"/>
  <c r="O7" i="17"/>
  <c r="P7" i="17"/>
  <c r="Q7" i="17"/>
  <c r="R7" i="17"/>
  <c r="L6" i="17"/>
  <c r="M6" i="17"/>
  <c r="N6" i="17"/>
  <c r="O6" i="17"/>
  <c r="P6" i="17"/>
  <c r="Q6" i="17"/>
  <c r="R6" i="17"/>
  <c r="R5" i="17"/>
  <c r="Q5" i="17"/>
  <c r="P5" i="17"/>
  <c r="O5" i="17"/>
  <c r="N5" i="17"/>
  <c r="M5" i="17"/>
  <c r="L5" i="17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7" i="16"/>
  <c r="J8" i="16"/>
  <c r="J9" i="16"/>
  <c r="J10" i="16"/>
  <c r="J11" i="16"/>
  <c r="J12" i="16"/>
  <c r="J13" i="16"/>
  <c r="J14" i="16"/>
  <c r="J15" i="16"/>
  <c r="J6" i="16"/>
  <c r="J5" i="16"/>
  <c r="L16" i="16"/>
  <c r="M16" i="16"/>
  <c r="N16" i="16"/>
  <c r="O16" i="16"/>
  <c r="P16" i="16"/>
  <c r="Q16" i="16"/>
  <c r="R16" i="16"/>
  <c r="L17" i="16"/>
  <c r="M17" i="16"/>
  <c r="N17" i="16"/>
  <c r="O17" i="16"/>
  <c r="P17" i="16"/>
  <c r="Q17" i="16"/>
  <c r="R17" i="16"/>
  <c r="L18" i="16"/>
  <c r="M18" i="16"/>
  <c r="N18" i="16"/>
  <c r="O18" i="16"/>
  <c r="P18" i="16"/>
  <c r="Q18" i="16"/>
  <c r="R18" i="16"/>
  <c r="L19" i="16"/>
  <c r="M19" i="16"/>
  <c r="N19" i="16"/>
  <c r="O19" i="16"/>
  <c r="P19" i="16"/>
  <c r="Q19" i="16"/>
  <c r="R19" i="16"/>
  <c r="L20" i="16"/>
  <c r="M20" i="16"/>
  <c r="N20" i="16"/>
  <c r="O20" i="16"/>
  <c r="P20" i="16"/>
  <c r="Q20" i="16"/>
  <c r="R20" i="16"/>
  <c r="L21" i="16"/>
  <c r="M21" i="16"/>
  <c r="N21" i="16"/>
  <c r="O21" i="16"/>
  <c r="P21" i="16"/>
  <c r="Q21" i="16"/>
  <c r="R21" i="16"/>
  <c r="L22" i="16"/>
  <c r="M22" i="16"/>
  <c r="N22" i="16"/>
  <c r="O22" i="16"/>
  <c r="P22" i="16"/>
  <c r="Q22" i="16"/>
  <c r="R22" i="16"/>
  <c r="L23" i="16"/>
  <c r="M23" i="16"/>
  <c r="N23" i="16"/>
  <c r="O23" i="16"/>
  <c r="P23" i="16"/>
  <c r="Q23" i="16"/>
  <c r="R23" i="16"/>
  <c r="L24" i="16"/>
  <c r="M24" i="16"/>
  <c r="N24" i="16"/>
  <c r="O24" i="16"/>
  <c r="P24" i="16"/>
  <c r="Q24" i="16"/>
  <c r="R24" i="16"/>
  <c r="L25" i="16"/>
  <c r="M25" i="16"/>
  <c r="N25" i="16"/>
  <c r="O25" i="16"/>
  <c r="P25" i="16"/>
  <c r="Q25" i="16"/>
  <c r="R25" i="16"/>
  <c r="L26" i="16"/>
  <c r="M26" i="16"/>
  <c r="N26" i="16"/>
  <c r="O26" i="16"/>
  <c r="P26" i="16"/>
  <c r="Q26" i="16"/>
  <c r="R26" i="16"/>
  <c r="L27" i="16"/>
  <c r="M27" i="16"/>
  <c r="N27" i="16"/>
  <c r="O27" i="16"/>
  <c r="P27" i="16"/>
  <c r="Q27" i="16"/>
  <c r="R27" i="16"/>
  <c r="L28" i="16"/>
  <c r="M28" i="16"/>
  <c r="N28" i="16"/>
  <c r="O28" i="16"/>
  <c r="P28" i="16"/>
  <c r="Q28" i="16"/>
  <c r="R28" i="16"/>
  <c r="L15" i="16"/>
  <c r="M15" i="16"/>
  <c r="N15" i="16"/>
  <c r="O15" i="16"/>
  <c r="P15" i="16"/>
  <c r="Q15" i="16"/>
  <c r="R15" i="16"/>
  <c r="L14" i="16"/>
  <c r="M14" i="16"/>
  <c r="N14" i="16"/>
  <c r="O14" i="16"/>
  <c r="P14" i="16"/>
  <c r="Q14" i="16"/>
  <c r="R14" i="16"/>
  <c r="L13" i="16"/>
  <c r="M13" i="16"/>
  <c r="N13" i="16"/>
  <c r="O13" i="16"/>
  <c r="P13" i="16"/>
  <c r="Q13" i="16"/>
  <c r="R13" i="16"/>
  <c r="L12" i="16"/>
  <c r="M12" i="16"/>
  <c r="N12" i="16"/>
  <c r="O12" i="16"/>
  <c r="P12" i="16"/>
  <c r="Q12" i="16"/>
  <c r="R12" i="16"/>
  <c r="L11" i="16"/>
  <c r="M11" i="16"/>
  <c r="N11" i="16"/>
  <c r="O11" i="16"/>
  <c r="P11" i="16"/>
  <c r="Q11" i="16"/>
  <c r="R11" i="16"/>
  <c r="L10" i="16"/>
  <c r="M10" i="16"/>
  <c r="N10" i="16"/>
  <c r="O10" i="16"/>
  <c r="P10" i="16"/>
  <c r="Q10" i="16"/>
  <c r="R10" i="16"/>
  <c r="L9" i="16"/>
  <c r="M9" i="16"/>
  <c r="N9" i="16"/>
  <c r="O9" i="16"/>
  <c r="P9" i="16"/>
  <c r="Q9" i="16"/>
  <c r="R9" i="16"/>
  <c r="L8" i="16"/>
  <c r="M8" i="16"/>
  <c r="N8" i="16"/>
  <c r="O8" i="16"/>
  <c r="P8" i="16"/>
  <c r="Q8" i="16"/>
  <c r="R8" i="16"/>
  <c r="L7" i="16"/>
  <c r="M7" i="16"/>
  <c r="N7" i="16"/>
  <c r="O7" i="16"/>
  <c r="P7" i="16"/>
  <c r="Q7" i="16"/>
  <c r="R7" i="16"/>
  <c r="L6" i="16"/>
  <c r="M6" i="16"/>
  <c r="N6" i="16"/>
  <c r="O6" i="16"/>
  <c r="P6" i="16"/>
  <c r="Q6" i="16"/>
  <c r="R6" i="16"/>
  <c r="R5" i="16"/>
  <c r="Q5" i="16"/>
  <c r="O5" i="16"/>
  <c r="N5" i="16"/>
  <c r="M5" i="16"/>
  <c r="P5" i="16"/>
  <c r="L5" i="16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" i="8"/>
  <c r="D9" i="8"/>
  <c r="D10" i="8"/>
  <c r="D3" i="8"/>
  <c r="D4" i="8"/>
  <c r="D5" i="8"/>
  <c r="D6" i="8"/>
  <c r="D7" i="8"/>
  <c r="D894" i="8"/>
  <c r="D2" i="8"/>
  <c r="Q6" i="8"/>
  <c r="C13" i="22"/>
  <c r="C11" i="22"/>
  <c r="A7" i="23"/>
  <c r="A6" i="23"/>
  <c r="A5" i="23"/>
  <c r="A4" i="23"/>
  <c r="A3" i="23"/>
  <c r="A2" i="23"/>
  <c r="C5" i="22"/>
  <c r="C4" i="22"/>
  <c r="C3" i="22"/>
  <c r="Q7" i="8"/>
  <c r="C2" i="21"/>
  <c r="Q4" i="8"/>
  <c r="Q5" i="8"/>
  <c r="Q8" i="8"/>
  <c r="Q9" i="8"/>
  <c r="Q10" i="8"/>
  <c r="Q11" i="8"/>
  <c r="Q12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3" i="8"/>
  <c r="Q2" i="8"/>
  <c r="D11" i="22" l="1"/>
  <c r="T22" i="17"/>
  <c r="T26" i="17"/>
  <c r="T18" i="17"/>
  <c r="T27" i="17"/>
  <c r="T25" i="17"/>
  <c r="T23" i="17"/>
  <c r="T21" i="17"/>
  <c r="T19" i="17"/>
  <c r="T17" i="17"/>
  <c r="T28" i="17"/>
  <c r="T24" i="17"/>
  <c r="T20" i="17"/>
  <c r="T5" i="17"/>
  <c r="T9" i="17"/>
  <c r="T8" i="17"/>
  <c r="T12" i="17"/>
  <c r="T16" i="17"/>
  <c r="T13" i="17"/>
  <c r="S5" i="17"/>
  <c r="T7" i="17"/>
  <c r="T11" i="17"/>
  <c r="T15" i="17"/>
  <c r="T6" i="17"/>
  <c r="T10" i="17"/>
  <c r="T14" i="17"/>
  <c r="C6" i="22"/>
  <c r="H11" i="22"/>
  <c r="I11" i="22" s="1"/>
  <c r="H13" i="22"/>
  <c r="I13" i="22" s="1"/>
  <c r="D3" i="22"/>
  <c r="D4" i="22"/>
  <c r="E4" i="22" s="1"/>
  <c r="D13" i="22"/>
  <c r="E13" i="22" s="1"/>
  <c r="H3" i="22"/>
  <c r="I3" i="22" s="1"/>
  <c r="D5" i="22"/>
  <c r="E5" i="22" s="1"/>
  <c r="H4" i="22"/>
  <c r="I4" i="22" s="1"/>
  <c r="H5" i="22"/>
  <c r="I5" i="22" s="1"/>
  <c r="A8" i="23"/>
  <c r="C12" i="22" s="1"/>
  <c r="C14" i="22" s="1"/>
  <c r="S14" i="17"/>
  <c r="I5" i="17"/>
  <c r="B6" i="17" s="1"/>
  <c r="D5" i="17"/>
  <c r="E5" i="17" s="1"/>
  <c r="L4" i="17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3" i="8"/>
  <c r="T2" i="8"/>
  <c r="D12" i="22" l="1"/>
  <c r="D14" i="22" s="1"/>
  <c r="O2" i="17"/>
  <c r="O1" i="17"/>
  <c r="E3" i="22"/>
  <c r="D6" i="22"/>
  <c r="E6" i="22" s="1"/>
  <c r="H12" i="22"/>
  <c r="I12" i="22" s="1"/>
  <c r="E11" i="22"/>
  <c r="F13" i="22"/>
  <c r="G13" i="22" s="1"/>
  <c r="F4" i="22"/>
  <c r="G4" i="22" s="1"/>
  <c r="F5" i="22"/>
  <c r="G5" i="22" s="1"/>
  <c r="F3" i="22"/>
  <c r="G3" i="22" s="1"/>
  <c r="F11" i="22"/>
  <c r="G11" i="22" s="1"/>
  <c r="J2" i="17"/>
  <c r="F5" i="17"/>
  <c r="R4" i="17"/>
  <c r="G5" i="17"/>
  <c r="N4" i="17"/>
  <c r="M4" i="17"/>
  <c r="I6" i="17"/>
  <c r="D6" i="17"/>
  <c r="J2" i="16"/>
  <c r="L4" i="16"/>
  <c r="F12" i="22" l="1"/>
  <c r="G12" i="22" s="1"/>
  <c r="E12" i="22"/>
  <c r="E14" i="22"/>
  <c r="O4" i="17"/>
  <c r="P4" i="17"/>
  <c r="H5" i="17"/>
  <c r="B7" i="17"/>
  <c r="E6" i="17"/>
  <c r="D5" i="16"/>
  <c r="I5" i="16"/>
  <c r="K9" i="8"/>
  <c r="O746" i="8"/>
  <c r="O747" i="8"/>
  <c r="O748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746" i="8"/>
  <c r="O3" i="8"/>
  <c r="P3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P37" i="8"/>
  <c r="O38" i="8"/>
  <c r="P38" i="8"/>
  <c r="O39" i="8"/>
  <c r="P39" i="8"/>
  <c r="O40" i="8"/>
  <c r="P40" i="8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59" i="8"/>
  <c r="P59" i="8"/>
  <c r="O60" i="8"/>
  <c r="P60" i="8"/>
  <c r="O61" i="8"/>
  <c r="P61" i="8"/>
  <c r="O62" i="8"/>
  <c r="P62" i="8"/>
  <c r="O63" i="8"/>
  <c r="P63" i="8"/>
  <c r="O64" i="8"/>
  <c r="P64" i="8"/>
  <c r="O65" i="8"/>
  <c r="P65" i="8"/>
  <c r="O66" i="8"/>
  <c r="P66" i="8"/>
  <c r="O67" i="8"/>
  <c r="P67" i="8"/>
  <c r="O68" i="8"/>
  <c r="P68" i="8"/>
  <c r="O69" i="8"/>
  <c r="P69" i="8"/>
  <c r="O70" i="8"/>
  <c r="P70" i="8"/>
  <c r="O71" i="8"/>
  <c r="P71" i="8"/>
  <c r="O72" i="8"/>
  <c r="P72" i="8"/>
  <c r="O73" i="8"/>
  <c r="P73" i="8"/>
  <c r="O74" i="8"/>
  <c r="P74" i="8"/>
  <c r="O75" i="8"/>
  <c r="P75" i="8"/>
  <c r="O76" i="8"/>
  <c r="P76" i="8"/>
  <c r="O77" i="8"/>
  <c r="P77" i="8"/>
  <c r="O78" i="8"/>
  <c r="P78" i="8"/>
  <c r="O79" i="8"/>
  <c r="P79" i="8"/>
  <c r="O80" i="8"/>
  <c r="P80" i="8"/>
  <c r="O81" i="8"/>
  <c r="P81" i="8"/>
  <c r="O82" i="8"/>
  <c r="P82" i="8"/>
  <c r="O83" i="8"/>
  <c r="P83" i="8"/>
  <c r="O84" i="8"/>
  <c r="P84" i="8"/>
  <c r="O85" i="8"/>
  <c r="P85" i="8"/>
  <c r="O86" i="8"/>
  <c r="P86" i="8"/>
  <c r="O87" i="8"/>
  <c r="P87" i="8"/>
  <c r="O88" i="8"/>
  <c r="P88" i="8"/>
  <c r="O89" i="8"/>
  <c r="P89" i="8"/>
  <c r="O90" i="8"/>
  <c r="P90" i="8"/>
  <c r="O91" i="8"/>
  <c r="P91" i="8"/>
  <c r="O92" i="8"/>
  <c r="P92" i="8"/>
  <c r="O93" i="8"/>
  <c r="P93" i="8"/>
  <c r="O94" i="8"/>
  <c r="P94" i="8"/>
  <c r="O95" i="8"/>
  <c r="P95" i="8"/>
  <c r="O96" i="8"/>
  <c r="P96" i="8"/>
  <c r="O97" i="8"/>
  <c r="P97" i="8"/>
  <c r="O98" i="8"/>
  <c r="P98" i="8"/>
  <c r="O99" i="8"/>
  <c r="P99" i="8"/>
  <c r="O100" i="8"/>
  <c r="P100" i="8"/>
  <c r="O101" i="8"/>
  <c r="P101" i="8"/>
  <c r="O102" i="8"/>
  <c r="P102" i="8"/>
  <c r="O103" i="8"/>
  <c r="P103" i="8"/>
  <c r="O104" i="8"/>
  <c r="P104" i="8"/>
  <c r="O105" i="8"/>
  <c r="P105" i="8"/>
  <c r="O106" i="8"/>
  <c r="P106" i="8"/>
  <c r="O107" i="8"/>
  <c r="P107" i="8"/>
  <c r="O108" i="8"/>
  <c r="P108" i="8"/>
  <c r="O109" i="8"/>
  <c r="P109" i="8"/>
  <c r="O110" i="8"/>
  <c r="P110" i="8"/>
  <c r="O111" i="8"/>
  <c r="P111" i="8"/>
  <c r="O112" i="8"/>
  <c r="P112" i="8"/>
  <c r="O113" i="8"/>
  <c r="P113" i="8"/>
  <c r="O114" i="8"/>
  <c r="P114" i="8"/>
  <c r="O115" i="8"/>
  <c r="P115" i="8"/>
  <c r="O116" i="8"/>
  <c r="P116" i="8"/>
  <c r="O117" i="8"/>
  <c r="P117" i="8"/>
  <c r="O118" i="8"/>
  <c r="P118" i="8"/>
  <c r="O119" i="8"/>
  <c r="P119" i="8"/>
  <c r="O120" i="8"/>
  <c r="P120" i="8"/>
  <c r="O121" i="8"/>
  <c r="P121" i="8"/>
  <c r="O122" i="8"/>
  <c r="P122" i="8"/>
  <c r="O123" i="8"/>
  <c r="P123" i="8"/>
  <c r="O124" i="8"/>
  <c r="P124" i="8"/>
  <c r="O125" i="8"/>
  <c r="P125" i="8"/>
  <c r="O126" i="8"/>
  <c r="P126" i="8"/>
  <c r="O127" i="8"/>
  <c r="P127" i="8"/>
  <c r="O128" i="8"/>
  <c r="P128" i="8"/>
  <c r="O129" i="8"/>
  <c r="P129" i="8"/>
  <c r="O130" i="8"/>
  <c r="P130" i="8"/>
  <c r="O131" i="8"/>
  <c r="P131" i="8"/>
  <c r="O132" i="8"/>
  <c r="P132" i="8"/>
  <c r="O133" i="8"/>
  <c r="P133" i="8"/>
  <c r="O134" i="8"/>
  <c r="P134" i="8"/>
  <c r="O135" i="8"/>
  <c r="P135" i="8"/>
  <c r="O136" i="8"/>
  <c r="P136" i="8"/>
  <c r="O137" i="8"/>
  <c r="P137" i="8"/>
  <c r="O138" i="8"/>
  <c r="P138" i="8"/>
  <c r="O139" i="8"/>
  <c r="P139" i="8"/>
  <c r="O140" i="8"/>
  <c r="P140" i="8"/>
  <c r="O141" i="8"/>
  <c r="P141" i="8"/>
  <c r="O142" i="8"/>
  <c r="P142" i="8"/>
  <c r="O143" i="8"/>
  <c r="P143" i="8"/>
  <c r="O144" i="8"/>
  <c r="P144" i="8"/>
  <c r="O145" i="8"/>
  <c r="P145" i="8"/>
  <c r="O146" i="8"/>
  <c r="P146" i="8"/>
  <c r="O147" i="8"/>
  <c r="P147" i="8"/>
  <c r="O148" i="8"/>
  <c r="P148" i="8"/>
  <c r="O149" i="8"/>
  <c r="P149" i="8"/>
  <c r="O150" i="8"/>
  <c r="P150" i="8"/>
  <c r="O151" i="8"/>
  <c r="P151" i="8"/>
  <c r="O152" i="8"/>
  <c r="P152" i="8"/>
  <c r="O153" i="8"/>
  <c r="P153" i="8"/>
  <c r="O154" i="8"/>
  <c r="P154" i="8"/>
  <c r="O155" i="8"/>
  <c r="P155" i="8"/>
  <c r="O156" i="8"/>
  <c r="P156" i="8"/>
  <c r="O157" i="8"/>
  <c r="P157" i="8"/>
  <c r="O158" i="8"/>
  <c r="P158" i="8"/>
  <c r="O159" i="8"/>
  <c r="P159" i="8"/>
  <c r="O160" i="8"/>
  <c r="P160" i="8"/>
  <c r="O161" i="8"/>
  <c r="P161" i="8"/>
  <c r="O162" i="8"/>
  <c r="P162" i="8"/>
  <c r="O163" i="8"/>
  <c r="P163" i="8"/>
  <c r="O164" i="8"/>
  <c r="P164" i="8"/>
  <c r="O165" i="8"/>
  <c r="P165" i="8"/>
  <c r="O166" i="8"/>
  <c r="P166" i="8"/>
  <c r="O167" i="8"/>
  <c r="P167" i="8"/>
  <c r="O168" i="8"/>
  <c r="P168" i="8"/>
  <c r="O169" i="8"/>
  <c r="P169" i="8"/>
  <c r="O170" i="8"/>
  <c r="P170" i="8"/>
  <c r="O171" i="8"/>
  <c r="P171" i="8"/>
  <c r="O172" i="8"/>
  <c r="P172" i="8"/>
  <c r="O173" i="8"/>
  <c r="P173" i="8"/>
  <c r="O174" i="8"/>
  <c r="P174" i="8"/>
  <c r="O175" i="8"/>
  <c r="P175" i="8"/>
  <c r="O176" i="8"/>
  <c r="P176" i="8"/>
  <c r="O177" i="8"/>
  <c r="P177" i="8"/>
  <c r="O178" i="8"/>
  <c r="P178" i="8"/>
  <c r="O179" i="8"/>
  <c r="P179" i="8"/>
  <c r="O180" i="8"/>
  <c r="P180" i="8"/>
  <c r="O181" i="8"/>
  <c r="P181" i="8"/>
  <c r="O182" i="8"/>
  <c r="P182" i="8"/>
  <c r="O183" i="8"/>
  <c r="P183" i="8"/>
  <c r="O184" i="8"/>
  <c r="P184" i="8"/>
  <c r="O185" i="8"/>
  <c r="P185" i="8"/>
  <c r="O186" i="8"/>
  <c r="P186" i="8"/>
  <c r="O187" i="8"/>
  <c r="P187" i="8"/>
  <c r="O188" i="8"/>
  <c r="P188" i="8"/>
  <c r="O189" i="8"/>
  <c r="P189" i="8"/>
  <c r="O190" i="8"/>
  <c r="P190" i="8"/>
  <c r="O191" i="8"/>
  <c r="P191" i="8"/>
  <c r="O192" i="8"/>
  <c r="P192" i="8"/>
  <c r="O193" i="8"/>
  <c r="P193" i="8"/>
  <c r="O194" i="8"/>
  <c r="P194" i="8"/>
  <c r="O195" i="8"/>
  <c r="P195" i="8"/>
  <c r="O196" i="8"/>
  <c r="P196" i="8"/>
  <c r="O197" i="8"/>
  <c r="P197" i="8"/>
  <c r="O198" i="8"/>
  <c r="P198" i="8"/>
  <c r="O199" i="8"/>
  <c r="P199" i="8"/>
  <c r="O200" i="8"/>
  <c r="P200" i="8"/>
  <c r="O201" i="8"/>
  <c r="P201" i="8"/>
  <c r="O202" i="8"/>
  <c r="P202" i="8"/>
  <c r="O203" i="8"/>
  <c r="P203" i="8"/>
  <c r="O204" i="8"/>
  <c r="P204" i="8"/>
  <c r="O205" i="8"/>
  <c r="P205" i="8"/>
  <c r="O206" i="8"/>
  <c r="P206" i="8"/>
  <c r="O207" i="8"/>
  <c r="P207" i="8"/>
  <c r="O208" i="8"/>
  <c r="P208" i="8"/>
  <c r="O209" i="8"/>
  <c r="P209" i="8"/>
  <c r="O210" i="8"/>
  <c r="P210" i="8"/>
  <c r="O211" i="8"/>
  <c r="P211" i="8"/>
  <c r="O212" i="8"/>
  <c r="P212" i="8"/>
  <c r="O213" i="8"/>
  <c r="P213" i="8"/>
  <c r="O214" i="8"/>
  <c r="P214" i="8"/>
  <c r="O215" i="8"/>
  <c r="P215" i="8"/>
  <c r="O216" i="8"/>
  <c r="P216" i="8"/>
  <c r="O217" i="8"/>
  <c r="P217" i="8"/>
  <c r="O218" i="8"/>
  <c r="P218" i="8"/>
  <c r="O219" i="8"/>
  <c r="P219" i="8"/>
  <c r="O220" i="8"/>
  <c r="P220" i="8"/>
  <c r="O221" i="8"/>
  <c r="P221" i="8"/>
  <c r="O222" i="8"/>
  <c r="P222" i="8"/>
  <c r="O223" i="8"/>
  <c r="P223" i="8"/>
  <c r="O224" i="8"/>
  <c r="P224" i="8"/>
  <c r="O225" i="8"/>
  <c r="P225" i="8"/>
  <c r="O226" i="8"/>
  <c r="P226" i="8"/>
  <c r="O227" i="8"/>
  <c r="P227" i="8"/>
  <c r="O228" i="8"/>
  <c r="P228" i="8"/>
  <c r="O229" i="8"/>
  <c r="P229" i="8"/>
  <c r="O230" i="8"/>
  <c r="P230" i="8"/>
  <c r="O231" i="8"/>
  <c r="P231" i="8"/>
  <c r="O232" i="8"/>
  <c r="P232" i="8"/>
  <c r="O233" i="8"/>
  <c r="P233" i="8"/>
  <c r="O234" i="8"/>
  <c r="P234" i="8"/>
  <c r="O235" i="8"/>
  <c r="P235" i="8"/>
  <c r="O236" i="8"/>
  <c r="P236" i="8"/>
  <c r="O237" i="8"/>
  <c r="P237" i="8"/>
  <c r="O238" i="8"/>
  <c r="P238" i="8"/>
  <c r="O239" i="8"/>
  <c r="P239" i="8"/>
  <c r="O240" i="8"/>
  <c r="P240" i="8"/>
  <c r="O241" i="8"/>
  <c r="P241" i="8"/>
  <c r="O242" i="8"/>
  <c r="P242" i="8"/>
  <c r="O243" i="8"/>
  <c r="P243" i="8"/>
  <c r="O244" i="8"/>
  <c r="P244" i="8"/>
  <c r="O245" i="8"/>
  <c r="P245" i="8"/>
  <c r="O246" i="8"/>
  <c r="P246" i="8"/>
  <c r="O247" i="8"/>
  <c r="P247" i="8"/>
  <c r="O248" i="8"/>
  <c r="P248" i="8"/>
  <c r="O249" i="8"/>
  <c r="P249" i="8"/>
  <c r="O250" i="8"/>
  <c r="P250" i="8"/>
  <c r="O251" i="8"/>
  <c r="P251" i="8"/>
  <c r="O252" i="8"/>
  <c r="P252" i="8"/>
  <c r="O253" i="8"/>
  <c r="P253" i="8"/>
  <c r="O254" i="8"/>
  <c r="P254" i="8"/>
  <c r="O255" i="8"/>
  <c r="P255" i="8"/>
  <c r="O256" i="8"/>
  <c r="P256" i="8"/>
  <c r="O257" i="8"/>
  <c r="P257" i="8"/>
  <c r="O258" i="8"/>
  <c r="P258" i="8"/>
  <c r="O259" i="8"/>
  <c r="P259" i="8"/>
  <c r="O260" i="8"/>
  <c r="P260" i="8"/>
  <c r="O261" i="8"/>
  <c r="P261" i="8"/>
  <c r="O262" i="8"/>
  <c r="P262" i="8"/>
  <c r="O263" i="8"/>
  <c r="P263" i="8"/>
  <c r="O264" i="8"/>
  <c r="P264" i="8"/>
  <c r="O265" i="8"/>
  <c r="P265" i="8"/>
  <c r="O266" i="8"/>
  <c r="P266" i="8"/>
  <c r="O267" i="8"/>
  <c r="P267" i="8"/>
  <c r="O268" i="8"/>
  <c r="P268" i="8"/>
  <c r="O269" i="8"/>
  <c r="P269" i="8"/>
  <c r="O270" i="8"/>
  <c r="P270" i="8"/>
  <c r="O271" i="8"/>
  <c r="P271" i="8"/>
  <c r="O272" i="8"/>
  <c r="P272" i="8"/>
  <c r="O273" i="8"/>
  <c r="P273" i="8"/>
  <c r="O274" i="8"/>
  <c r="P274" i="8"/>
  <c r="O275" i="8"/>
  <c r="P275" i="8"/>
  <c r="O276" i="8"/>
  <c r="P276" i="8"/>
  <c r="O277" i="8"/>
  <c r="P277" i="8"/>
  <c r="O278" i="8"/>
  <c r="P278" i="8"/>
  <c r="O279" i="8"/>
  <c r="P279" i="8"/>
  <c r="O280" i="8"/>
  <c r="P280" i="8"/>
  <c r="O281" i="8"/>
  <c r="P281" i="8"/>
  <c r="O282" i="8"/>
  <c r="P282" i="8"/>
  <c r="O283" i="8"/>
  <c r="P283" i="8"/>
  <c r="O284" i="8"/>
  <c r="P284" i="8"/>
  <c r="O285" i="8"/>
  <c r="P285" i="8"/>
  <c r="O286" i="8"/>
  <c r="P286" i="8"/>
  <c r="O287" i="8"/>
  <c r="P287" i="8"/>
  <c r="O288" i="8"/>
  <c r="P288" i="8"/>
  <c r="O289" i="8"/>
  <c r="P289" i="8"/>
  <c r="O290" i="8"/>
  <c r="P290" i="8"/>
  <c r="O291" i="8"/>
  <c r="P291" i="8"/>
  <c r="O292" i="8"/>
  <c r="P292" i="8"/>
  <c r="O293" i="8"/>
  <c r="P293" i="8"/>
  <c r="O294" i="8"/>
  <c r="P294" i="8"/>
  <c r="O295" i="8"/>
  <c r="P295" i="8"/>
  <c r="O296" i="8"/>
  <c r="P296" i="8"/>
  <c r="O297" i="8"/>
  <c r="P297" i="8"/>
  <c r="O298" i="8"/>
  <c r="P298" i="8"/>
  <c r="O299" i="8"/>
  <c r="P299" i="8"/>
  <c r="O300" i="8"/>
  <c r="P300" i="8"/>
  <c r="O301" i="8"/>
  <c r="P301" i="8"/>
  <c r="O302" i="8"/>
  <c r="P302" i="8"/>
  <c r="O303" i="8"/>
  <c r="P303" i="8"/>
  <c r="O304" i="8"/>
  <c r="P304" i="8"/>
  <c r="O305" i="8"/>
  <c r="P305" i="8"/>
  <c r="O306" i="8"/>
  <c r="P306" i="8"/>
  <c r="O307" i="8"/>
  <c r="P307" i="8"/>
  <c r="O308" i="8"/>
  <c r="P308" i="8"/>
  <c r="O309" i="8"/>
  <c r="P309" i="8"/>
  <c r="O310" i="8"/>
  <c r="P310" i="8"/>
  <c r="O311" i="8"/>
  <c r="P311" i="8"/>
  <c r="O312" i="8"/>
  <c r="P312" i="8"/>
  <c r="O313" i="8"/>
  <c r="P313" i="8"/>
  <c r="O314" i="8"/>
  <c r="P314" i="8"/>
  <c r="O315" i="8"/>
  <c r="P315" i="8"/>
  <c r="O316" i="8"/>
  <c r="P316" i="8"/>
  <c r="O317" i="8"/>
  <c r="P317" i="8"/>
  <c r="O318" i="8"/>
  <c r="P318" i="8"/>
  <c r="O319" i="8"/>
  <c r="P319" i="8"/>
  <c r="O320" i="8"/>
  <c r="P320" i="8"/>
  <c r="O321" i="8"/>
  <c r="P321" i="8"/>
  <c r="O322" i="8"/>
  <c r="P322" i="8"/>
  <c r="O323" i="8"/>
  <c r="P323" i="8"/>
  <c r="O324" i="8"/>
  <c r="P324" i="8"/>
  <c r="O325" i="8"/>
  <c r="P325" i="8"/>
  <c r="O326" i="8"/>
  <c r="P326" i="8"/>
  <c r="O327" i="8"/>
  <c r="P327" i="8"/>
  <c r="O328" i="8"/>
  <c r="P328" i="8"/>
  <c r="O329" i="8"/>
  <c r="P329" i="8"/>
  <c r="O330" i="8"/>
  <c r="P330" i="8"/>
  <c r="O331" i="8"/>
  <c r="P331" i="8"/>
  <c r="O332" i="8"/>
  <c r="P332" i="8"/>
  <c r="O333" i="8"/>
  <c r="P333" i="8"/>
  <c r="O334" i="8"/>
  <c r="P334" i="8"/>
  <c r="O335" i="8"/>
  <c r="P335" i="8"/>
  <c r="O336" i="8"/>
  <c r="P336" i="8"/>
  <c r="O337" i="8"/>
  <c r="P337" i="8"/>
  <c r="O338" i="8"/>
  <c r="P338" i="8"/>
  <c r="O339" i="8"/>
  <c r="P339" i="8"/>
  <c r="O340" i="8"/>
  <c r="P340" i="8"/>
  <c r="O341" i="8"/>
  <c r="P341" i="8"/>
  <c r="O342" i="8"/>
  <c r="P342" i="8"/>
  <c r="O343" i="8"/>
  <c r="P343" i="8"/>
  <c r="O344" i="8"/>
  <c r="P344" i="8"/>
  <c r="O345" i="8"/>
  <c r="P345" i="8"/>
  <c r="O346" i="8"/>
  <c r="P346" i="8"/>
  <c r="O347" i="8"/>
  <c r="P347" i="8"/>
  <c r="O348" i="8"/>
  <c r="P348" i="8"/>
  <c r="O349" i="8"/>
  <c r="P349" i="8"/>
  <c r="O350" i="8"/>
  <c r="P350" i="8"/>
  <c r="O351" i="8"/>
  <c r="P351" i="8"/>
  <c r="O352" i="8"/>
  <c r="P352" i="8"/>
  <c r="O353" i="8"/>
  <c r="P353" i="8"/>
  <c r="O354" i="8"/>
  <c r="P354" i="8"/>
  <c r="O355" i="8"/>
  <c r="P355" i="8"/>
  <c r="O356" i="8"/>
  <c r="P356" i="8"/>
  <c r="O357" i="8"/>
  <c r="P357" i="8"/>
  <c r="O358" i="8"/>
  <c r="P358" i="8"/>
  <c r="O359" i="8"/>
  <c r="P359" i="8"/>
  <c r="O360" i="8"/>
  <c r="P360" i="8"/>
  <c r="O361" i="8"/>
  <c r="P361" i="8"/>
  <c r="O362" i="8"/>
  <c r="P362" i="8"/>
  <c r="O363" i="8"/>
  <c r="P363" i="8"/>
  <c r="O364" i="8"/>
  <c r="P364" i="8"/>
  <c r="O365" i="8"/>
  <c r="P365" i="8"/>
  <c r="O366" i="8"/>
  <c r="P366" i="8"/>
  <c r="O367" i="8"/>
  <c r="P367" i="8"/>
  <c r="O368" i="8"/>
  <c r="P368" i="8"/>
  <c r="O369" i="8"/>
  <c r="P369" i="8"/>
  <c r="O370" i="8"/>
  <c r="P370" i="8"/>
  <c r="O371" i="8"/>
  <c r="P371" i="8"/>
  <c r="O372" i="8"/>
  <c r="P372" i="8"/>
  <c r="O373" i="8"/>
  <c r="P373" i="8"/>
  <c r="O374" i="8"/>
  <c r="P374" i="8"/>
  <c r="O375" i="8"/>
  <c r="P375" i="8"/>
  <c r="O376" i="8"/>
  <c r="P376" i="8"/>
  <c r="O377" i="8"/>
  <c r="P377" i="8"/>
  <c r="O378" i="8"/>
  <c r="P378" i="8"/>
  <c r="O379" i="8"/>
  <c r="P379" i="8"/>
  <c r="O380" i="8"/>
  <c r="P380" i="8"/>
  <c r="O381" i="8"/>
  <c r="P381" i="8"/>
  <c r="O382" i="8"/>
  <c r="P382" i="8"/>
  <c r="O383" i="8"/>
  <c r="P383" i="8"/>
  <c r="O384" i="8"/>
  <c r="P384" i="8"/>
  <c r="O385" i="8"/>
  <c r="P385" i="8"/>
  <c r="O386" i="8"/>
  <c r="P386" i="8"/>
  <c r="O387" i="8"/>
  <c r="P387" i="8"/>
  <c r="O388" i="8"/>
  <c r="P388" i="8"/>
  <c r="O389" i="8"/>
  <c r="P389" i="8"/>
  <c r="O390" i="8"/>
  <c r="P390" i="8"/>
  <c r="O391" i="8"/>
  <c r="P391" i="8"/>
  <c r="O392" i="8"/>
  <c r="P392" i="8"/>
  <c r="O393" i="8"/>
  <c r="P393" i="8"/>
  <c r="O394" i="8"/>
  <c r="P394" i="8"/>
  <c r="O395" i="8"/>
  <c r="P395" i="8"/>
  <c r="O396" i="8"/>
  <c r="P396" i="8"/>
  <c r="O397" i="8"/>
  <c r="P397" i="8"/>
  <c r="O398" i="8"/>
  <c r="P398" i="8"/>
  <c r="O399" i="8"/>
  <c r="P399" i="8"/>
  <c r="O400" i="8"/>
  <c r="P400" i="8"/>
  <c r="O401" i="8"/>
  <c r="P401" i="8"/>
  <c r="O402" i="8"/>
  <c r="P402" i="8"/>
  <c r="O403" i="8"/>
  <c r="P403" i="8"/>
  <c r="O404" i="8"/>
  <c r="P404" i="8"/>
  <c r="O405" i="8"/>
  <c r="P405" i="8"/>
  <c r="O406" i="8"/>
  <c r="P406" i="8"/>
  <c r="O407" i="8"/>
  <c r="P407" i="8"/>
  <c r="O408" i="8"/>
  <c r="P408" i="8"/>
  <c r="O409" i="8"/>
  <c r="P409" i="8"/>
  <c r="O410" i="8"/>
  <c r="P410" i="8"/>
  <c r="O411" i="8"/>
  <c r="P411" i="8"/>
  <c r="O412" i="8"/>
  <c r="P412" i="8"/>
  <c r="O413" i="8"/>
  <c r="P413" i="8"/>
  <c r="O414" i="8"/>
  <c r="P414" i="8"/>
  <c r="O415" i="8"/>
  <c r="P415" i="8"/>
  <c r="O416" i="8"/>
  <c r="P416" i="8"/>
  <c r="O417" i="8"/>
  <c r="P417" i="8"/>
  <c r="O418" i="8"/>
  <c r="P418" i="8"/>
  <c r="O419" i="8"/>
  <c r="P419" i="8"/>
  <c r="O420" i="8"/>
  <c r="P420" i="8"/>
  <c r="O421" i="8"/>
  <c r="P421" i="8"/>
  <c r="O422" i="8"/>
  <c r="P422" i="8"/>
  <c r="O423" i="8"/>
  <c r="P423" i="8"/>
  <c r="O424" i="8"/>
  <c r="P424" i="8"/>
  <c r="O425" i="8"/>
  <c r="P425" i="8"/>
  <c r="O426" i="8"/>
  <c r="P426" i="8"/>
  <c r="O427" i="8"/>
  <c r="P427" i="8"/>
  <c r="O428" i="8"/>
  <c r="P428" i="8"/>
  <c r="O429" i="8"/>
  <c r="P429" i="8"/>
  <c r="O430" i="8"/>
  <c r="P430" i="8"/>
  <c r="O431" i="8"/>
  <c r="P431" i="8"/>
  <c r="O432" i="8"/>
  <c r="P432" i="8"/>
  <c r="O433" i="8"/>
  <c r="P433" i="8"/>
  <c r="O434" i="8"/>
  <c r="P434" i="8"/>
  <c r="O435" i="8"/>
  <c r="P435" i="8"/>
  <c r="O436" i="8"/>
  <c r="P436" i="8"/>
  <c r="O437" i="8"/>
  <c r="P437" i="8"/>
  <c r="O438" i="8"/>
  <c r="P438" i="8"/>
  <c r="O439" i="8"/>
  <c r="P439" i="8"/>
  <c r="O440" i="8"/>
  <c r="P440" i="8"/>
  <c r="O441" i="8"/>
  <c r="P441" i="8"/>
  <c r="O442" i="8"/>
  <c r="P442" i="8"/>
  <c r="O443" i="8"/>
  <c r="P443" i="8"/>
  <c r="O444" i="8"/>
  <c r="P444" i="8"/>
  <c r="O445" i="8"/>
  <c r="P445" i="8"/>
  <c r="O446" i="8"/>
  <c r="P446" i="8"/>
  <c r="O447" i="8"/>
  <c r="P447" i="8"/>
  <c r="O448" i="8"/>
  <c r="P448" i="8"/>
  <c r="O449" i="8"/>
  <c r="P449" i="8"/>
  <c r="O450" i="8"/>
  <c r="P450" i="8"/>
  <c r="O451" i="8"/>
  <c r="P451" i="8"/>
  <c r="O452" i="8"/>
  <c r="P452" i="8"/>
  <c r="O453" i="8"/>
  <c r="P453" i="8"/>
  <c r="O454" i="8"/>
  <c r="P454" i="8"/>
  <c r="O455" i="8"/>
  <c r="P455" i="8"/>
  <c r="O456" i="8"/>
  <c r="P456" i="8"/>
  <c r="O457" i="8"/>
  <c r="P457" i="8"/>
  <c r="O458" i="8"/>
  <c r="P458" i="8"/>
  <c r="O459" i="8"/>
  <c r="P459" i="8"/>
  <c r="O460" i="8"/>
  <c r="P460" i="8"/>
  <c r="O461" i="8"/>
  <c r="P461" i="8"/>
  <c r="O462" i="8"/>
  <c r="P462" i="8"/>
  <c r="O463" i="8"/>
  <c r="P463" i="8"/>
  <c r="O464" i="8"/>
  <c r="P464" i="8"/>
  <c r="O465" i="8"/>
  <c r="P465" i="8"/>
  <c r="O466" i="8"/>
  <c r="P466" i="8"/>
  <c r="O467" i="8"/>
  <c r="P467" i="8"/>
  <c r="O468" i="8"/>
  <c r="P468" i="8"/>
  <c r="O469" i="8"/>
  <c r="P469" i="8"/>
  <c r="O470" i="8"/>
  <c r="P470" i="8"/>
  <c r="O471" i="8"/>
  <c r="P471" i="8"/>
  <c r="O472" i="8"/>
  <c r="P472" i="8"/>
  <c r="O473" i="8"/>
  <c r="P473" i="8"/>
  <c r="O474" i="8"/>
  <c r="P474" i="8"/>
  <c r="O475" i="8"/>
  <c r="P475" i="8"/>
  <c r="O476" i="8"/>
  <c r="P476" i="8"/>
  <c r="O477" i="8"/>
  <c r="P477" i="8"/>
  <c r="O478" i="8"/>
  <c r="P478" i="8"/>
  <c r="O479" i="8"/>
  <c r="P479" i="8"/>
  <c r="O480" i="8"/>
  <c r="P480" i="8"/>
  <c r="O481" i="8"/>
  <c r="P481" i="8"/>
  <c r="O482" i="8"/>
  <c r="P482" i="8"/>
  <c r="O483" i="8"/>
  <c r="P483" i="8"/>
  <c r="O484" i="8"/>
  <c r="P484" i="8"/>
  <c r="O485" i="8"/>
  <c r="P485" i="8"/>
  <c r="O486" i="8"/>
  <c r="P486" i="8"/>
  <c r="O487" i="8"/>
  <c r="P487" i="8"/>
  <c r="O488" i="8"/>
  <c r="P488" i="8"/>
  <c r="O489" i="8"/>
  <c r="P489" i="8"/>
  <c r="O490" i="8"/>
  <c r="P490" i="8"/>
  <c r="O491" i="8"/>
  <c r="P491" i="8"/>
  <c r="O492" i="8"/>
  <c r="P492" i="8"/>
  <c r="O493" i="8"/>
  <c r="P493" i="8"/>
  <c r="O494" i="8"/>
  <c r="P494" i="8"/>
  <c r="O495" i="8"/>
  <c r="P495" i="8"/>
  <c r="O496" i="8"/>
  <c r="P496" i="8"/>
  <c r="O497" i="8"/>
  <c r="P497" i="8"/>
  <c r="O498" i="8"/>
  <c r="P498" i="8"/>
  <c r="O499" i="8"/>
  <c r="P499" i="8"/>
  <c r="O500" i="8"/>
  <c r="P500" i="8"/>
  <c r="O501" i="8"/>
  <c r="P501" i="8"/>
  <c r="O502" i="8"/>
  <c r="P502" i="8"/>
  <c r="O503" i="8"/>
  <c r="P503" i="8"/>
  <c r="O504" i="8"/>
  <c r="P504" i="8"/>
  <c r="O505" i="8"/>
  <c r="P505" i="8"/>
  <c r="O506" i="8"/>
  <c r="P506" i="8"/>
  <c r="O507" i="8"/>
  <c r="P507" i="8"/>
  <c r="O508" i="8"/>
  <c r="P508" i="8"/>
  <c r="O509" i="8"/>
  <c r="P509" i="8"/>
  <c r="O510" i="8"/>
  <c r="P510" i="8"/>
  <c r="O511" i="8"/>
  <c r="P511" i="8"/>
  <c r="O512" i="8"/>
  <c r="P512" i="8"/>
  <c r="O513" i="8"/>
  <c r="P513" i="8"/>
  <c r="O514" i="8"/>
  <c r="P514" i="8"/>
  <c r="O515" i="8"/>
  <c r="P515" i="8"/>
  <c r="O516" i="8"/>
  <c r="P516" i="8"/>
  <c r="O517" i="8"/>
  <c r="P517" i="8"/>
  <c r="O518" i="8"/>
  <c r="P518" i="8"/>
  <c r="O519" i="8"/>
  <c r="P519" i="8"/>
  <c r="O520" i="8"/>
  <c r="P520" i="8"/>
  <c r="O521" i="8"/>
  <c r="P521" i="8"/>
  <c r="O522" i="8"/>
  <c r="P522" i="8"/>
  <c r="O523" i="8"/>
  <c r="P523" i="8"/>
  <c r="O524" i="8"/>
  <c r="P524" i="8"/>
  <c r="O525" i="8"/>
  <c r="P525" i="8"/>
  <c r="O526" i="8"/>
  <c r="P526" i="8"/>
  <c r="O527" i="8"/>
  <c r="P527" i="8"/>
  <c r="O528" i="8"/>
  <c r="P528" i="8"/>
  <c r="O529" i="8"/>
  <c r="P529" i="8"/>
  <c r="O530" i="8"/>
  <c r="P530" i="8"/>
  <c r="O531" i="8"/>
  <c r="P531" i="8"/>
  <c r="O532" i="8"/>
  <c r="P532" i="8"/>
  <c r="O533" i="8"/>
  <c r="P533" i="8"/>
  <c r="O534" i="8"/>
  <c r="P534" i="8"/>
  <c r="O535" i="8"/>
  <c r="P535" i="8"/>
  <c r="O536" i="8"/>
  <c r="P536" i="8"/>
  <c r="O537" i="8"/>
  <c r="P537" i="8"/>
  <c r="O538" i="8"/>
  <c r="P538" i="8"/>
  <c r="O539" i="8"/>
  <c r="P539" i="8"/>
  <c r="O540" i="8"/>
  <c r="P540" i="8"/>
  <c r="O541" i="8"/>
  <c r="P541" i="8"/>
  <c r="O542" i="8"/>
  <c r="P542" i="8"/>
  <c r="O543" i="8"/>
  <c r="P543" i="8"/>
  <c r="O544" i="8"/>
  <c r="P544" i="8"/>
  <c r="O545" i="8"/>
  <c r="P545" i="8"/>
  <c r="O546" i="8"/>
  <c r="P546" i="8"/>
  <c r="O547" i="8"/>
  <c r="P547" i="8"/>
  <c r="O548" i="8"/>
  <c r="P548" i="8"/>
  <c r="O549" i="8"/>
  <c r="P549" i="8"/>
  <c r="O550" i="8"/>
  <c r="P550" i="8"/>
  <c r="O551" i="8"/>
  <c r="P551" i="8"/>
  <c r="O552" i="8"/>
  <c r="P552" i="8"/>
  <c r="O553" i="8"/>
  <c r="P553" i="8"/>
  <c r="O554" i="8"/>
  <c r="P554" i="8"/>
  <c r="O555" i="8"/>
  <c r="P555" i="8"/>
  <c r="O556" i="8"/>
  <c r="P556" i="8"/>
  <c r="O557" i="8"/>
  <c r="P557" i="8"/>
  <c r="O558" i="8"/>
  <c r="P558" i="8"/>
  <c r="O559" i="8"/>
  <c r="P559" i="8"/>
  <c r="O560" i="8"/>
  <c r="P560" i="8"/>
  <c r="O561" i="8"/>
  <c r="P561" i="8"/>
  <c r="O562" i="8"/>
  <c r="P562" i="8"/>
  <c r="O563" i="8"/>
  <c r="P563" i="8"/>
  <c r="O564" i="8"/>
  <c r="P564" i="8"/>
  <c r="O565" i="8"/>
  <c r="P565" i="8"/>
  <c r="O566" i="8"/>
  <c r="P566" i="8"/>
  <c r="O567" i="8"/>
  <c r="P567" i="8"/>
  <c r="O568" i="8"/>
  <c r="P568" i="8"/>
  <c r="O569" i="8"/>
  <c r="P569" i="8"/>
  <c r="O570" i="8"/>
  <c r="P570" i="8"/>
  <c r="O571" i="8"/>
  <c r="P571" i="8"/>
  <c r="O572" i="8"/>
  <c r="P572" i="8"/>
  <c r="O573" i="8"/>
  <c r="P573" i="8"/>
  <c r="O574" i="8"/>
  <c r="P574" i="8"/>
  <c r="O575" i="8"/>
  <c r="P575" i="8"/>
  <c r="O576" i="8"/>
  <c r="P576" i="8"/>
  <c r="O577" i="8"/>
  <c r="P577" i="8"/>
  <c r="O578" i="8"/>
  <c r="P578" i="8"/>
  <c r="O579" i="8"/>
  <c r="P579" i="8"/>
  <c r="O580" i="8"/>
  <c r="P580" i="8"/>
  <c r="O581" i="8"/>
  <c r="P581" i="8"/>
  <c r="O582" i="8"/>
  <c r="P582" i="8"/>
  <c r="O583" i="8"/>
  <c r="P583" i="8"/>
  <c r="O584" i="8"/>
  <c r="P584" i="8"/>
  <c r="O585" i="8"/>
  <c r="P585" i="8"/>
  <c r="O586" i="8"/>
  <c r="P586" i="8"/>
  <c r="O587" i="8"/>
  <c r="P587" i="8"/>
  <c r="O588" i="8"/>
  <c r="P588" i="8"/>
  <c r="O589" i="8"/>
  <c r="P589" i="8"/>
  <c r="O590" i="8"/>
  <c r="P590" i="8"/>
  <c r="O591" i="8"/>
  <c r="P591" i="8"/>
  <c r="O592" i="8"/>
  <c r="P592" i="8"/>
  <c r="O593" i="8"/>
  <c r="P593" i="8"/>
  <c r="O594" i="8"/>
  <c r="P594" i="8"/>
  <c r="O595" i="8"/>
  <c r="P595" i="8"/>
  <c r="O596" i="8"/>
  <c r="P596" i="8"/>
  <c r="O597" i="8"/>
  <c r="P597" i="8"/>
  <c r="O598" i="8"/>
  <c r="P598" i="8"/>
  <c r="O599" i="8"/>
  <c r="P599" i="8"/>
  <c r="O600" i="8"/>
  <c r="P600" i="8"/>
  <c r="O601" i="8"/>
  <c r="P601" i="8"/>
  <c r="O602" i="8"/>
  <c r="P602" i="8"/>
  <c r="O603" i="8"/>
  <c r="P603" i="8"/>
  <c r="O604" i="8"/>
  <c r="P604" i="8"/>
  <c r="O605" i="8"/>
  <c r="P605" i="8"/>
  <c r="O606" i="8"/>
  <c r="P606" i="8"/>
  <c r="O607" i="8"/>
  <c r="P607" i="8"/>
  <c r="O608" i="8"/>
  <c r="P608" i="8"/>
  <c r="O609" i="8"/>
  <c r="P609" i="8"/>
  <c r="O610" i="8"/>
  <c r="P610" i="8"/>
  <c r="O611" i="8"/>
  <c r="P611" i="8"/>
  <c r="O612" i="8"/>
  <c r="P612" i="8"/>
  <c r="O613" i="8"/>
  <c r="P613" i="8"/>
  <c r="O614" i="8"/>
  <c r="P614" i="8"/>
  <c r="O615" i="8"/>
  <c r="P615" i="8"/>
  <c r="O616" i="8"/>
  <c r="P616" i="8"/>
  <c r="O617" i="8"/>
  <c r="P617" i="8"/>
  <c r="O618" i="8"/>
  <c r="P618" i="8"/>
  <c r="O619" i="8"/>
  <c r="P619" i="8"/>
  <c r="O620" i="8"/>
  <c r="P620" i="8"/>
  <c r="O621" i="8"/>
  <c r="P621" i="8"/>
  <c r="O622" i="8"/>
  <c r="P622" i="8"/>
  <c r="O623" i="8"/>
  <c r="P623" i="8"/>
  <c r="O624" i="8"/>
  <c r="P624" i="8"/>
  <c r="O625" i="8"/>
  <c r="P625" i="8"/>
  <c r="O626" i="8"/>
  <c r="P626" i="8"/>
  <c r="O627" i="8"/>
  <c r="P627" i="8"/>
  <c r="O628" i="8"/>
  <c r="P628" i="8"/>
  <c r="O629" i="8"/>
  <c r="P629" i="8"/>
  <c r="O630" i="8"/>
  <c r="P630" i="8"/>
  <c r="O631" i="8"/>
  <c r="P631" i="8"/>
  <c r="O632" i="8"/>
  <c r="P632" i="8"/>
  <c r="O633" i="8"/>
  <c r="P633" i="8"/>
  <c r="O634" i="8"/>
  <c r="P634" i="8"/>
  <c r="O635" i="8"/>
  <c r="P635" i="8"/>
  <c r="O636" i="8"/>
  <c r="P636" i="8"/>
  <c r="O637" i="8"/>
  <c r="P637" i="8"/>
  <c r="O638" i="8"/>
  <c r="P638" i="8"/>
  <c r="O639" i="8"/>
  <c r="P639" i="8"/>
  <c r="O640" i="8"/>
  <c r="P640" i="8"/>
  <c r="O641" i="8"/>
  <c r="P641" i="8"/>
  <c r="O642" i="8"/>
  <c r="P642" i="8"/>
  <c r="O643" i="8"/>
  <c r="P643" i="8"/>
  <c r="O644" i="8"/>
  <c r="P644" i="8"/>
  <c r="O645" i="8"/>
  <c r="P645" i="8"/>
  <c r="O646" i="8"/>
  <c r="P646" i="8"/>
  <c r="O647" i="8"/>
  <c r="P647" i="8"/>
  <c r="O648" i="8"/>
  <c r="P648" i="8"/>
  <c r="O649" i="8"/>
  <c r="P649" i="8"/>
  <c r="O650" i="8"/>
  <c r="P650" i="8"/>
  <c r="O651" i="8"/>
  <c r="P651" i="8"/>
  <c r="O652" i="8"/>
  <c r="P652" i="8"/>
  <c r="O653" i="8"/>
  <c r="P653" i="8"/>
  <c r="O654" i="8"/>
  <c r="P654" i="8"/>
  <c r="O655" i="8"/>
  <c r="P655" i="8"/>
  <c r="O656" i="8"/>
  <c r="P656" i="8"/>
  <c r="O657" i="8"/>
  <c r="P657" i="8"/>
  <c r="O658" i="8"/>
  <c r="P658" i="8"/>
  <c r="O659" i="8"/>
  <c r="P659" i="8"/>
  <c r="O660" i="8"/>
  <c r="P660" i="8"/>
  <c r="O661" i="8"/>
  <c r="P661" i="8"/>
  <c r="O662" i="8"/>
  <c r="P662" i="8"/>
  <c r="O663" i="8"/>
  <c r="P663" i="8"/>
  <c r="O664" i="8"/>
  <c r="P664" i="8"/>
  <c r="O665" i="8"/>
  <c r="P665" i="8"/>
  <c r="O666" i="8"/>
  <c r="P666" i="8"/>
  <c r="O667" i="8"/>
  <c r="P667" i="8"/>
  <c r="O668" i="8"/>
  <c r="P668" i="8"/>
  <c r="O669" i="8"/>
  <c r="P669" i="8"/>
  <c r="O670" i="8"/>
  <c r="P670" i="8"/>
  <c r="O671" i="8"/>
  <c r="P671" i="8"/>
  <c r="O672" i="8"/>
  <c r="P672" i="8"/>
  <c r="O673" i="8"/>
  <c r="P673" i="8"/>
  <c r="O674" i="8"/>
  <c r="P674" i="8"/>
  <c r="O675" i="8"/>
  <c r="P675" i="8"/>
  <c r="O676" i="8"/>
  <c r="P676" i="8"/>
  <c r="O677" i="8"/>
  <c r="P677" i="8"/>
  <c r="O678" i="8"/>
  <c r="P678" i="8"/>
  <c r="O679" i="8"/>
  <c r="P679" i="8"/>
  <c r="O680" i="8"/>
  <c r="P680" i="8"/>
  <c r="O681" i="8"/>
  <c r="P681" i="8"/>
  <c r="O682" i="8"/>
  <c r="P682" i="8"/>
  <c r="O683" i="8"/>
  <c r="P683" i="8"/>
  <c r="O684" i="8"/>
  <c r="P684" i="8"/>
  <c r="O685" i="8"/>
  <c r="P685" i="8"/>
  <c r="O686" i="8"/>
  <c r="P686" i="8"/>
  <c r="O687" i="8"/>
  <c r="P687" i="8"/>
  <c r="O688" i="8"/>
  <c r="P688" i="8"/>
  <c r="O689" i="8"/>
  <c r="P689" i="8"/>
  <c r="O690" i="8"/>
  <c r="P690" i="8"/>
  <c r="O691" i="8"/>
  <c r="P691" i="8"/>
  <c r="O692" i="8"/>
  <c r="P692" i="8"/>
  <c r="O693" i="8"/>
  <c r="P693" i="8"/>
  <c r="O694" i="8"/>
  <c r="P694" i="8"/>
  <c r="O695" i="8"/>
  <c r="P695" i="8"/>
  <c r="O696" i="8"/>
  <c r="P696" i="8"/>
  <c r="O697" i="8"/>
  <c r="P697" i="8"/>
  <c r="O698" i="8"/>
  <c r="P698" i="8"/>
  <c r="O699" i="8"/>
  <c r="P699" i="8"/>
  <c r="O700" i="8"/>
  <c r="P700" i="8"/>
  <c r="O701" i="8"/>
  <c r="P701" i="8"/>
  <c r="O702" i="8"/>
  <c r="P702" i="8"/>
  <c r="O703" i="8"/>
  <c r="P703" i="8"/>
  <c r="O704" i="8"/>
  <c r="P704" i="8"/>
  <c r="O705" i="8"/>
  <c r="P705" i="8"/>
  <c r="O706" i="8"/>
  <c r="P706" i="8"/>
  <c r="O707" i="8"/>
  <c r="P707" i="8"/>
  <c r="O708" i="8"/>
  <c r="P708" i="8"/>
  <c r="O709" i="8"/>
  <c r="P709" i="8"/>
  <c r="O710" i="8"/>
  <c r="P710" i="8"/>
  <c r="O711" i="8"/>
  <c r="P711" i="8"/>
  <c r="O712" i="8"/>
  <c r="P712" i="8"/>
  <c r="O713" i="8"/>
  <c r="P713" i="8"/>
  <c r="O714" i="8"/>
  <c r="P714" i="8"/>
  <c r="O715" i="8"/>
  <c r="P715" i="8"/>
  <c r="O716" i="8"/>
  <c r="P716" i="8"/>
  <c r="O717" i="8"/>
  <c r="P717" i="8"/>
  <c r="O718" i="8"/>
  <c r="P718" i="8"/>
  <c r="O719" i="8"/>
  <c r="P719" i="8"/>
  <c r="O720" i="8"/>
  <c r="P720" i="8"/>
  <c r="O721" i="8"/>
  <c r="P721" i="8"/>
  <c r="O722" i="8"/>
  <c r="P722" i="8"/>
  <c r="O723" i="8"/>
  <c r="P723" i="8"/>
  <c r="O724" i="8"/>
  <c r="P724" i="8"/>
  <c r="O725" i="8"/>
  <c r="P725" i="8"/>
  <c r="O726" i="8"/>
  <c r="P726" i="8"/>
  <c r="O727" i="8"/>
  <c r="P727" i="8"/>
  <c r="O728" i="8"/>
  <c r="P728" i="8"/>
  <c r="O729" i="8"/>
  <c r="P729" i="8"/>
  <c r="O730" i="8"/>
  <c r="P730" i="8"/>
  <c r="O731" i="8"/>
  <c r="P731" i="8"/>
  <c r="O732" i="8"/>
  <c r="P732" i="8"/>
  <c r="O733" i="8"/>
  <c r="P733" i="8"/>
  <c r="O734" i="8"/>
  <c r="P734" i="8"/>
  <c r="O735" i="8"/>
  <c r="P735" i="8"/>
  <c r="O736" i="8"/>
  <c r="P736" i="8"/>
  <c r="O737" i="8"/>
  <c r="P737" i="8"/>
  <c r="O738" i="8"/>
  <c r="P738" i="8"/>
  <c r="O739" i="8"/>
  <c r="P739" i="8"/>
  <c r="O740" i="8"/>
  <c r="P740" i="8"/>
  <c r="O741" i="8"/>
  <c r="P741" i="8"/>
  <c r="O742" i="8"/>
  <c r="P742" i="8"/>
  <c r="O743" i="8"/>
  <c r="P743" i="8"/>
  <c r="O744" i="8"/>
  <c r="P744" i="8"/>
  <c r="O745" i="8"/>
  <c r="P745" i="8"/>
  <c r="P746" i="8"/>
  <c r="P747" i="8"/>
  <c r="P748" i="8"/>
  <c r="O749" i="8"/>
  <c r="P749" i="8"/>
  <c r="O750" i="8"/>
  <c r="P750" i="8"/>
  <c r="O751" i="8"/>
  <c r="P751" i="8"/>
  <c r="O752" i="8"/>
  <c r="P752" i="8"/>
  <c r="O753" i="8"/>
  <c r="P753" i="8"/>
  <c r="O754" i="8"/>
  <c r="P754" i="8"/>
  <c r="O755" i="8"/>
  <c r="P755" i="8"/>
  <c r="O756" i="8"/>
  <c r="P756" i="8"/>
  <c r="O757" i="8"/>
  <c r="P757" i="8"/>
  <c r="O758" i="8"/>
  <c r="P758" i="8"/>
  <c r="O759" i="8"/>
  <c r="P759" i="8"/>
  <c r="O760" i="8"/>
  <c r="P760" i="8"/>
  <c r="O761" i="8"/>
  <c r="P761" i="8"/>
  <c r="O762" i="8"/>
  <c r="P762" i="8"/>
  <c r="O763" i="8"/>
  <c r="P763" i="8"/>
  <c r="O764" i="8"/>
  <c r="P764" i="8"/>
  <c r="O765" i="8"/>
  <c r="P765" i="8"/>
  <c r="O766" i="8"/>
  <c r="P766" i="8"/>
  <c r="O767" i="8"/>
  <c r="P767" i="8"/>
  <c r="O768" i="8"/>
  <c r="P768" i="8"/>
  <c r="O769" i="8"/>
  <c r="P769" i="8"/>
  <c r="O770" i="8"/>
  <c r="P770" i="8"/>
  <c r="O771" i="8"/>
  <c r="P771" i="8"/>
  <c r="O772" i="8"/>
  <c r="P772" i="8"/>
  <c r="O773" i="8"/>
  <c r="P773" i="8"/>
  <c r="O774" i="8"/>
  <c r="P774" i="8"/>
  <c r="O775" i="8"/>
  <c r="P775" i="8"/>
  <c r="O776" i="8"/>
  <c r="P776" i="8"/>
  <c r="O777" i="8"/>
  <c r="P777" i="8"/>
  <c r="O778" i="8"/>
  <c r="P778" i="8"/>
  <c r="O779" i="8"/>
  <c r="P779" i="8"/>
  <c r="O780" i="8"/>
  <c r="P780" i="8"/>
  <c r="O781" i="8"/>
  <c r="P781" i="8"/>
  <c r="O782" i="8"/>
  <c r="P782" i="8"/>
  <c r="O783" i="8"/>
  <c r="P783" i="8"/>
  <c r="O784" i="8"/>
  <c r="P784" i="8"/>
  <c r="O785" i="8"/>
  <c r="P785" i="8"/>
  <c r="O786" i="8"/>
  <c r="P786" i="8"/>
  <c r="O787" i="8"/>
  <c r="P787" i="8"/>
  <c r="O788" i="8"/>
  <c r="P788" i="8"/>
  <c r="O789" i="8"/>
  <c r="P789" i="8"/>
  <c r="O790" i="8"/>
  <c r="P790" i="8"/>
  <c r="O791" i="8"/>
  <c r="P791" i="8"/>
  <c r="O792" i="8"/>
  <c r="P792" i="8"/>
  <c r="O793" i="8"/>
  <c r="P793" i="8"/>
  <c r="O794" i="8"/>
  <c r="P794" i="8"/>
  <c r="O795" i="8"/>
  <c r="P795" i="8"/>
  <c r="O796" i="8"/>
  <c r="P796" i="8"/>
  <c r="O797" i="8"/>
  <c r="P797" i="8"/>
  <c r="O798" i="8"/>
  <c r="P798" i="8"/>
  <c r="O799" i="8"/>
  <c r="P799" i="8"/>
  <c r="O800" i="8"/>
  <c r="P800" i="8"/>
  <c r="O801" i="8"/>
  <c r="P801" i="8"/>
  <c r="O802" i="8"/>
  <c r="P802" i="8"/>
  <c r="O803" i="8"/>
  <c r="P803" i="8"/>
  <c r="O804" i="8"/>
  <c r="P804" i="8"/>
  <c r="O805" i="8"/>
  <c r="P805" i="8"/>
  <c r="O806" i="8"/>
  <c r="P806" i="8"/>
  <c r="O807" i="8"/>
  <c r="P807" i="8"/>
  <c r="P808" i="8"/>
  <c r="O809" i="8"/>
  <c r="P809" i="8"/>
  <c r="O810" i="8"/>
  <c r="P810" i="8"/>
  <c r="O811" i="8"/>
  <c r="P811" i="8"/>
  <c r="O812" i="8"/>
  <c r="P812" i="8"/>
  <c r="O813" i="8"/>
  <c r="P813" i="8"/>
  <c r="O814" i="8"/>
  <c r="P814" i="8"/>
  <c r="O815" i="8"/>
  <c r="P815" i="8"/>
  <c r="O816" i="8"/>
  <c r="P816" i="8"/>
  <c r="O817" i="8"/>
  <c r="P817" i="8"/>
  <c r="O818" i="8"/>
  <c r="P818" i="8"/>
  <c r="O819" i="8"/>
  <c r="P819" i="8"/>
  <c r="O820" i="8"/>
  <c r="P820" i="8"/>
  <c r="O821" i="8"/>
  <c r="P821" i="8"/>
  <c r="O822" i="8"/>
  <c r="P822" i="8"/>
  <c r="O823" i="8"/>
  <c r="P823" i="8"/>
  <c r="O824" i="8"/>
  <c r="P824" i="8"/>
  <c r="O825" i="8"/>
  <c r="P825" i="8"/>
  <c r="O826" i="8"/>
  <c r="P826" i="8"/>
  <c r="O827" i="8"/>
  <c r="P827" i="8"/>
  <c r="O828" i="8"/>
  <c r="P828" i="8"/>
  <c r="O829" i="8"/>
  <c r="P829" i="8"/>
  <c r="O830" i="8"/>
  <c r="P830" i="8"/>
  <c r="O831" i="8"/>
  <c r="P831" i="8"/>
  <c r="O832" i="8"/>
  <c r="P832" i="8"/>
  <c r="O833" i="8"/>
  <c r="P833" i="8"/>
  <c r="O834" i="8"/>
  <c r="P834" i="8"/>
  <c r="O835" i="8"/>
  <c r="P835" i="8"/>
  <c r="O836" i="8"/>
  <c r="P836" i="8"/>
  <c r="O837" i="8"/>
  <c r="P837" i="8"/>
  <c r="O838" i="8"/>
  <c r="P838" i="8"/>
  <c r="O839" i="8"/>
  <c r="P839" i="8"/>
  <c r="O840" i="8"/>
  <c r="P840" i="8"/>
  <c r="O841" i="8"/>
  <c r="P841" i="8"/>
  <c r="O842" i="8"/>
  <c r="P842" i="8"/>
  <c r="O843" i="8"/>
  <c r="P843" i="8"/>
  <c r="O844" i="8"/>
  <c r="P844" i="8"/>
  <c r="O845" i="8"/>
  <c r="P845" i="8"/>
  <c r="O846" i="8"/>
  <c r="P846" i="8"/>
  <c r="O847" i="8"/>
  <c r="P847" i="8"/>
  <c r="O848" i="8"/>
  <c r="P848" i="8"/>
  <c r="O849" i="8"/>
  <c r="P849" i="8"/>
  <c r="O850" i="8"/>
  <c r="P850" i="8"/>
  <c r="O851" i="8"/>
  <c r="P851" i="8"/>
  <c r="O852" i="8"/>
  <c r="P852" i="8"/>
  <c r="O853" i="8"/>
  <c r="P853" i="8"/>
  <c r="O854" i="8"/>
  <c r="P854" i="8"/>
  <c r="O855" i="8"/>
  <c r="P855" i="8"/>
  <c r="O856" i="8"/>
  <c r="P856" i="8"/>
  <c r="O857" i="8"/>
  <c r="P857" i="8"/>
  <c r="O858" i="8"/>
  <c r="P858" i="8"/>
  <c r="O859" i="8"/>
  <c r="P859" i="8"/>
  <c r="O860" i="8"/>
  <c r="P860" i="8"/>
  <c r="O861" i="8"/>
  <c r="P861" i="8"/>
  <c r="O862" i="8"/>
  <c r="P862" i="8"/>
  <c r="O863" i="8"/>
  <c r="P863" i="8"/>
  <c r="O864" i="8"/>
  <c r="P864" i="8"/>
  <c r="O865" i="8"/>
  <c r="P865" i="8"/>
  <c r="O866" i="8"/>
  <c r="P866" i="8"/>
  <c r="O867" i="8"/>
  <c r="P867" i="8"/>
  <c r="O868" i="8"/>
  <c r="P868" i="8"/>
  <c r="O869" i="8"/>
  <c r="P869" i="8"/>
  <c r="O870" i="8"/>
  <c r="P870" i="8"/>
  <c r="O871" i="8"/>
  <c r="P871" i="8"/>
  <c r="O872" i="8"/>
  <c r="P872" i="8"/>
  <c r="O873" i="8"/>
  <c r="P873" i="8"/>
  <c r="O874" i="8"/>
  <c r="P874" i="8"/>
  <c r="O875" i="8"/>
  <c r="P875" i="8"/>
  <c r="O876" i="8"/>
  <c r="P876" i="8"/>
  <c r="O877" i="8"/>
  <c r="P877" i="8"/>
  <c r="O878" i="8"/>
  <c r="P878" i="8"/>
  <c r="O879" i="8"/>
  <c r="P879" i="8"/>
  <c r="O880" i="8"/>
  <c r="P880" i="8"/>
  <c r="O881" i="8"/>
  <c r="P881" i="8"/>
  <c r="O882" i="8"/>
  <c r="P882" i="8"/>
  <c r="O883" i="8"/>
  <c r="P883" i="8"/>
  <c r="O884" i="8"/>
  <c r="P884" i="8"/>
  <c r="O885" i="8"/>
  <c r="P885" i="8"/>
  <c r="O886" i="8"/>
  <c r="P886" i="8"/>
  <c r="O887" i="8"/>
  <c r="P887" i="8"/>
  <c r="O888" i="8"/>
  <c r="P888" i="8"/>
  <c r="O889" i="8"/>
  <c r="P889" i="8"/>
  <c r="O890" i="8"/>
  <c r="P890" i="8"/>
  <c r="O891" i="8"/>
  <c r="P891" i="8"/>
  <c r="O892" i="8"/>
  <c r="P892" i="8"/>
  <c r="O893" i="8"/>
  <c r="P893" i="8"/>
  <c r="P2" i="8"/>
  <c r="O2" i="8"/>
  <c r="N2" i="8"/>
  <c r="M2" i="8"/>
  <c r="K748" i="8"/>
  <c r="L748" i="8"/>
  <c r="M748" i="8"/>
  <c r="N748" i="8"/>
  <c r="K749" i="8"/>
  <c r="L749" i="8"/>
  <c r="M749" i="8"/>
  <c r="N749" i="8"/>
  <c r="K750" i="8"/>
  <c r="L750" i="8"/>
  <c r="M750" i="8"/>
  <c r="N750" i="8"/>
  <c r="K751" i="8"/>
  <c r="L751" i="8"/>
  <c r="M751" i="8"/>
  <c r="N751" i="8"/>
  <c r="K752" i="8"/>
  <c r="L752" i="8"/>
  <c r="M752" i="8"/>
  <c r="N752" i="8"/>
  <c r="K753" i="8"/>
  <c r="L753" i="8"/>
  <c r="M753" i="8"/>
  <c r="N753" i="8"/>
  <c r="K754" i="8"/>
  <c r="L754" i="8"/>
  <c r="M754" i="8"/>
  <c r="N754" i="8"/>
  <c r="K755" i="8"/>
  <c r="L755" i="8"/>
  <c r="M755" i="8"/>
  <c r="N755" i="8"/>
  <c r="K756" i="8"/>
  <c r="L756" i="8"/>
  <c r="M756" i="8"/>
  <c r="N756" i="8"/>
  <c r="K757" i="8"/>
  <c r="L757" i="8"/>
  <c r="M757" i="8"/>
  <c r="N757" i="8"/>
  <c r="K758" i="8"/>
  <c r="L758" i="8"/>
  <c r="M758" i="8"/>
  <c r="N758" i="8"/>
  <c r="K759" i="8"/>
  <c r="L759" i="8"/>
  <c r="M759" i="8"/>
  <c r="N759" i="8"/>
  <c r="K760" i="8"/>
  <c r="L760" i="8"/>
  <c r="M760" i="8"/>
  <c r="N760" i="8"/>
  <c r="K761" i="8"/>
  <c r="L761" i="8"/>
  <c r="M761" i="8"/>
  <c r="N761" i="8"/>
  <c r="K762" i="8"/>
  <c r="L762" i="8"/>
  <c r="M762" i="8"/>
  <c r="N762" i="8"/>
  <c r="K763" i="8"/>
  <c r="L763" i="8"/>
  <c r="M763" i="8"/>
  <c r="N763" i="8"/>
  <c r="K764" i="8"/>
  <c r="L764" i="8"/>
  <c r="M764" i="8"/>
  <c r="N764" i="8"/>
  <c r="K765" i="8"/>
  <c r="L765" i="8"/>
  <c r="M765" i="8"/>
  <c r="N765" i="8"/>
  <c r="K766" i="8"/>
  <c r="L766" i="8"/>
  <c r="M766" i="8"/>
  <c r="N766" i="8"/>
  <c r="K767" i="8"/>
  <c r="L767" i="8"/>
  <c r="M767" i="8"/>
  <c r="N767" i="8"/>
  <c r="K768" i="8"/>
  <c r="L768" i="8"/>
  <c r="M768" i="8"/>
  <c r="N768" i="8"/>
  <c r="K769" i="8"/>
  <c r="L769" i="8"/>
  <c r="M769" i="8"/>
  <c r="N769" i="8"/>
  <c r="K770" i="8"/>
  <c r="L770" i="8"/>
  <c r="M770" i="8"/>
  <c r="N770" i="8"/>
  <c r="K771" i="8"/>
  <c r="L771" i="8"/>
  <c r="M771" i="8"/>
  <c r="N771" i="8"/>
  <c r="K772" i="8"/>
  <c r="L772" i="8"/>
  <c r="M772" i="8"/>
  <c r="N772" i="8"/>
  <c r="K773" i="8"/>
  <c r="L773" i="8"/>
  <c r="M773" i="8"/>
  <c r="N773" i="8"/>
  <c r="K774" i="8"/>
  <c r="L774" i="8"/>
  <c r="M774" i="8"/>
  <c r="N774" i="8"/>
  <c r="K775" i="8"/>
  <c r="L775" i="8"/>
  <c r="M775" i="8"/>
  <c r="N775" i="8"/>
  <c r="K776" i="8"/>
  <c r="L776" i="8"/>
  <c r="M776" i="8"/>
  <c r="N776" i="8"/>
  <c r="K777" i="8"/>
  <c r="L777" i="8"/>
  <c r="M777" i="8"/>
  <c r="N777" i="8"/>
  <c r="K778" i="8"/>
  <c r="L778" i="8"/>
  <c r="M778" i="8"/>
  <c r="N778" i="8"/>
  <c r="K779" i="8"/>
  <c r="L779" i="8"/>
  <c r="M779" i="8"/>
  <c r="N779" i="8"/>
  <c r="K780" i="8"/>
  <c r="L780" i="8"/>
  <c r="M780" i="8"/>
  <c r="N780" i="8"/>
  <c r="K781" i="8"/>
  <c r="L781" i="8"/>
  <c r="M781" i="8"/>
  <c r="N781" i="8"/>
  <c r="K782" i="8"/>
  <c r="L782" i="8"/>
  <c r="M782" i="8"/>
  <c r="N782" i="8"/>
  <c r="K783" i="8"/>
  <c r="L783" i="8"/>
  <c r="M783" i="8"/>
  <c r="N783" i="8"/>
  <c r="K784" i="8"/>
  <c r="L784" i="8"/>
  <c r="M784" i="8"/>
  <c r="N784" i="8"/>
  <c r="K785" i="8"/>
  <c r="L785" i="8"/>
  <c r="M785" i="8"/>
  <c r="N785" i="8"/>
  <c r="K786" i="8"/>
  <c r="L786" i="8"/>
  <c r="M786" i="8"/>
  <c r="N786" i="8"/>
  <c r="K787" i="8"/>
  <c r="L787" i="8"/>
  <c r="M787" i="8"/>
  <c r="N787" i="8"/>
  <c r="K788" i="8"/>
  <c r="L788" i="8"/>
  <c r="M788" i="8"/>
  <c r="N788" i="8"/>
  <c r="K789" i="8"/>
  <c r="L789" i="8"/>
  <c r="M789" i="8"/>
  <c r="N789" i="8"/>
  <c r="K790" i="8"/>
  <c r="L790" i="8"/>
  <c r="M790" i="8"/>
  <c r="N790" i="8"/>
  <c r="K791" i="8"/>
  <c r="L791" i="8"/>
  <c r="M791" i="8"/>
  <c r="N791" i="8"/>
  <c r="K792" i="8"/>
  <c r="L792" i="8"/>
  <c r="M792" i="8"/>
  <c r="N792" i="8"/>
  <c r="K793" i="8"/>
  <c r="L793" i="8"/>
  <c r="M793" i="8"/>
  <c r="N793" i="8"/>
  <c r="K794" i="8"/>
  <c r="L794" i="8"/>
  <c r="M794" i="8"/>
  <c r="N794" i="8"/>
  <c r="K795" i="8"/>
  <c r="L795" i="8"/>
  <c r="M795" i="8"/>
  <c r="N795" i="8"/>
  <c r="K796" i="8"/>
  <c r="L796" i="8"/>
  <c r="M796" i="8"/>
  <c r="N796" i="8"/>
  <c r="K797" i="8"/>
  <c r="L797" i="8"/>
  <c r="M797" i="8"/>
  <c r="N797" i="8"/>
  <c r="K798" i="8"/>
  <c r="L798" i="8"/>
  <c r="M798" i="8"/>
  <c r="N798" i="8"/>
  <c r="K799" i="8"/>
  <c r="L799" i="8"/>
  <c r="M799" i="8"/>
  <c r="N799" i="8"/>
  <c r="K800" i="8"/>
  <c r="L800" i="8"/>
  <c r="M800" i="8"/>
  <c r="N800" i="8"/>
  <c r="K801" i="8"/>
  <c r="L801" i="8"/>
  <c r="M801" i="8"/>
  <c r="N801" i="8"/>
  <c r="K802" i="8"/>
  <c r="L802" i="8"/>
  <c r="M802" i="8"/>
  <c r="N802" i="8"/>
  <c r="K803" i="8"/>
  <c r="L803" i="8"/>
  <c r="M803" i="8"/>
  <c r="N803" i="8"/>
  <c r="K804" i="8"/>
  <c r="L804" i="8"/>
  <c r="M804" i="8"/>
  <c r="N804" i="8"/>
  <c r="K805" i="8"/>
  <c r="L805" i="8"/>
  <c r="M805" i="8"/>
  <c r="N805" i="8"/>
  <c r="K806" i="8"/>
  <c r="L806" i="8"/>
  <c r="M806" i="8"/>
  <c r="N806" i="8"/>
  <c r="K807" i="8"/>
  <c r="L807" i="8"/>
  <c r="M807" i="8"/>
  <c r="N807" i="8"/>
  <c r="K808" i="8"/>
  <c r="L808" i="8"/>
  <c r="M808" i="8"/>
  <c r="N808" i="8"/>
  <c r="K809" i="8"/>
  <c r="L809" i="8"/>
  <c r="M809" i="8"/>
  <c r="N809" i="8"/>
  <c r="K810" i="8"/>
  <c r="L810" i="8"/>
  <c r="M810" i="8"/>
  <c r="N810" i="8"/>
  <c r="K811" i="8"/>
  <c r="L811" i="8"/>
  <c r="M811" i="8"/>
  <c r="N811" i="8"/>
  <c r="K812" i="8"/>
  <c r="L812" i="8"/>
  <c r="M812" i="8"/>
  <c r="N812" i="8"/>
  <c r="K813" i="8"/>
  <c r="L813" i="8"/>
  <c r="M813" i="8"/>
  <c r="N813" i="8"/>
  <c r="K814" i="8"/>
  <c r="L814" i="8"/>
  <c r="M814" i="8"/>
  <c r="N814" i="8"/>
  <c r="K815" i="8"/>
  <c r="L815" i="8"/>
  <c r="M815" i="8"/>
  <c r="N815" i="8"/>
  <c r="K816" i="8"/>
  <c r="L816" i="8"/>
  <c r="M816" i="8"/>
  <c r="N816" i="8"/>
  <c r="K817" i="8"/>
  <c r="L817" i="8"/>
  <c r="M817" i="8"/>
  <c r="N817" i="8"/>
  <c r="K818" i="8"/>
  <c r="L818" i="8"/>
  <c r="M818" i="8"/>
  <c r="N818" i="8"/>
  <c r="K819" i="8"/>
  <c r="L819" i="8"/>
  <c r="M819" i="8"/>
  <c r="N819" i="8"/>
  <c r="K820" i="8"/>
  <c r="L820" i="8"/>
  <c r="M820" i="8"/>
  <c r="N820" i="8"/>
  <c r="K821" i="8"/>
  <c r="L821" i="8"/>
  <c r="M821" i="8"/>
  <c r="N821" i="8"/>
  <c r="K822" i="8"/>
  <c r="L822" i="8"/>
  <c r="M822" i="8"/>
  <c r="N822" i="8"/>
  <c r="K823" i="8"/>
  <c r="L823" i="8"/>
  <c r="M823" i="8"/>
  <c r="N823" i="8"/>
  <c r="K824" i="8"/>
  <c r="L824" i="8"/>
  <c r="M824" i="8"/>
  <c r="N824" i="8"/>
  <c r="K825" i="8"/>
  <c r="L825" i="8"/>
  <c r="M825" i="8"/>
  <c r="N825" i="8"/>
  <c r="K826" i="8"/>
  <c r="L826" i="8"/>
  <c r="M826" i="8"/>
  <c r="N826" i="8"/>
  <c r="K827" i="8"/>
  <c r="L827" i="8"/>
  <c r="M827" i="8"/>
  <c r="N827" i="8"/>
  <c r="K828" i="8"/>
  <c r="L828" i="8"/>
  <c r="M828" i="8"/>
  <c r="N828" i="8"/>
  <c r="K829" i="8"/>
  <c r="L829" i="8"/>
  <c r="M829" i="8"/>
  <c r="N829" i="8"/>
  <c r="K830" i="8"/>
  <c r="L830" i="8"/>
  <c r="M830" i="8"/>
  <c r="N830" i="8"/>
  <c r="K831" i="8"/>
  <c r="L831" i="8"/>
  <c r="M831" i="8"/>
  <c r="N831" i="8"/>
  <c r="K832" i="8"/>
  <c r="L832" i="8"/>
  <c r="M832" i="8"/>
  <c r="N832" i="8"/>
  <c r="K833" i="8"/>
  <c r="L833" i="8"/>
  <c r="M833" i="8"/>
  <c r="N833" i="8"/>
  <c r="K834" i="8"/>
  <c r="L834" i="8"/>
  <c r="M834" i="8"/>
  <c r="N834" i="8"/>
  <c r="K835" i="8"/>
  <c r="L835" i="8"/>
  <c r="M835" i="8"/>
  <c r="N835" i="8"/>
  <c r="K836" i="8"/>
  <c r="L836" i="8"/>
  <c r="M836" i="8"/>
  <c r="N836" i="8"/>
  <c r="K837" i="8"/>
  <c r="L837" i="8"/>
  <c r="M837" i="8"/>
  <c r="N837" i="8"/>
  <c r="K838" i="8"/>
  <c r="L838" i="8"/>
  <c r="M838" i="8"/>
  <c r="N838" i="8"/>
  <c r="K839" i="8"/>
  <c r="L839" i="8"/>
  <c r="M839" i="8"/>
  <c r="N839" i="8"/>
  <c r="K840" i="8"/>
  <c r="L840" i="8"/>
  <c r="M840" i="8"/>
  <c r="N840" i="8"/>
  <c r="K841" i="8"/>
  <c r="L841" i="8"/>
  <c r="M841" i="8"/>
  <c r="N841" i="8"/>
  <c r="K842" i="8"/>
  <c r="L842" i="8"/>
  <c r="M842" i="8"/>
  <c r="N842" i="8"/>
  <c r="K843" i="8"/>
  <c r="L843" i="8"/>
  <c r="M843" i="8"/>
  <c r="N843" i="8"/>
  <c r="K844" i="8"/>
  <c r="L844" i="8"/>
  <c r="M844" i="8"/>
  <c r="N844" i="8"/>
  <c r="K845" i="8"/>
  <c r="L845" i="8"/>
  <c r="M845" i="8"/>
  <c r="N845" i="8"/>
  <c r="K846" i="8"/>
  <c r="L846" i="8"/>
  <c r="M846" i="8"/>
  <c r="N846" i="8"/>
  <c r="K847" i="8"/>
  <c r="L847" i="8"/>
  <c r="M847" i="8"/>
  <c r="N847" i="8"/>
  <c r="K848" i="8"/>
  <c r="L848" i="8"/>
  <c r="M848" i="8"/>
  <c r="N848" i="8"/>
  <c r="K849" i="8"/>
  <c r="L849" i="8"/>
  <c r="M849" i="8"/>
  <c r="N849" i="8"/>
  <c r="K850" i="8"/>
  <c r="L850" i="8"/>
  <c r="M850" i="8"/>
  <c r="N850" i="8"/>
  <c r="K851" i="8"/>
  <c r="L851" i="8"/>
  <c r="M851" i="8"/>
  <c r="N851" i="8"/>
  <c r="K852" i="8"/>
  <c r="L852" i="8"/>
  <c r="M852" i="8"/>
  <c r="N852" i="8"/>
  <c r="K853" i="8"/>
  <c r="L853" i="8"/>
  <c r="M853" i="8"/>
  <c r="N853" i="8"/>
  <c r="K854" i="8"/>
  <c r="L854" i="8"/>
  <c r="M854" i="8"/>
  <c r="N854" i="8"/>
  <c r="K855" i="8"/>
  <c r="L855" i="8"/>
  <c r="M855" i="8"/>
  <c r="N855" i="8"/>
  <c r="K856" i="8"/>
  <c r="L856" i="8"/>
  <c r="M856" i="8"/>
  <c r="N856" i="8"/>
  <c r="K857" i="8"/>
  <c r="L857" i="8"/>
  <c r="M857" i="8"/>
  <c r="N857" i="8"/>
  <c r="K858" i="8"/>
  <c r="L858" i="8"/>
  <c r="M858" i="8"/>
  <c r="N858" i="8"/>
  <c r="K859" i="8"/>
  <c r="L859" i="8"/>
  <c r="M859" i="8"/>
  <c r="N859" i="8"/>
  <c r="K860" i="8"/>
  <c r="L860" i="8"/>
  <c r="M860" i="8"/>
  <c r="N860" i="8"/>
  <c r="K861" i="8"/>
  <c r="L861" i="8"/>
  <c r="M861" i="8"/>
  <c r="N861" i="8"/>
  <c r="K862" i="8"/>
  <c r="L862" i="8"/>
  <c r="M862" i="8"/>
  <c r="N862" i="8"/>
  <c r="K863" i="8"/>
  <c r="L863" i="8"/>
  <c r="M863" i="8"/>
  <c r="N863" i="8"/>
  <c r="K864" i="8"/>
  <c r="L864" i="8"/>
  <c r="M864" i="8"/>
  <c r="N864" i="8"/>
  <c r="K865" i="8"/>
  <c r="L865" i="8"/>
  <c r="M865" i="8"/>
  <c r="N865" i="8"/>
  <c r="K866" i="8"/>
  <c r="L866" i="8"/>
  <c r="M866" i="8"/>
  <c r="N866" i="8"/>
  <c r="K867" i="8"/>
  <c r="L867" i="8"/>
  <c r="M867" i="8"/>
  <c r="N867" i="8"/>
  <c r="K868" i="8"/>
  <c r="L868" i="8"/>
  <c r="M868" i="8"/>
  <c r="N868" i="8"/>
  <c r="K869" i="8"/>
  <c r="L869" i="8"/>
  <c r="M869" i="8"/>
  <c r="N869" i="8"/>
  <c r="K870" i="8"/>
  <c r="L870" i="8"/>
  <c r="M870" i="8"/>
  <c r="N870" i="8"/>
  <c r="K871" i="8"/>
  <c r="L871" i="8"/>
  <c r="M871" i="8"/>
  <c r="N871" i="8"/>
  <c r="K872" i="8"/>
  <c r="L872" i="8"/>
  <c r="M872" i="8"/>
  <c r="N872" i="8"/>
  <c r="K873" i="8"/>
  <c r="L873" i="8"/>
  <c r="M873" i="8"/>
  <c r="N873" i="8"/>
  <c r="K874" i="8"/>
  <c r="L874" i="8"/>
  <c r="M874" i="8"/>
  <c r="N874" i="8"/>
  <c r="K875" i="8"/>
  <c r="L875" i="8"/>
  <c r="M875" i="8"/>
  <c r="N875" i="8"/>
  <c r="K876" i="8"/>
  <c r="L876" i="8"/>
  <c r="M876" i="8"/>
  <c r="N876" i="8"/>
  <c r="K877" i="8"/>
  <c r="L877" i="8"/>
  <c r="M877" i="8"/>
  <c r="N877" i="8"/>
  <c r="K878" i="8"/>
  <c r="L878" i="8"/>
  <c r="M878" i="8"/>
  <c r="N878" i="8"/>
  <c r="K879" i="8"/>
  <c r="L879" i="8"/>
  <c r="M879" i="8"/>
  <c r="N879" i="8"/>
  <c r="K880" i="8"/>
  <c r="L880" i="8"/>
  <c r="M880" i="8"/>
  <c r="N880" i="8"/>
  <c r="K881" i="8"/>
  <c r="L881" i="8"/>
  <c r="M881" i="8"/>
  <c r="N881" i="8"/>
  <c r="K882" i="8"/>
  <c r="L882" i="8"/>
  <c r="M882" i="8"/>
  <c r="N882" i="8"/>
  <c r="K883" i="8"/>
  <c r="L883" i="8"/>
  <c r="M883" i="8"/>
  <c r="N883" i="8"/>
  <c r="K884" i="8"/>
  <c r="L884" i="8"/>
  <c r="M884" i="8"/>
  <c r="N884" i="8"/>
  <c r="K885" i="8"/>
  <c r="L885" i="8"/>
  <c r="M885" i="8"/>
  <c r="N885" i="8"/>
  <c r="K886" i="8"/>
  <c r="L886" i="8"/>
  <c r="M886" i="8"/>
  <c r="N886" i="8"/>
  <c r="K887" i="8"/>
  <c r="L887" i="8"/>
  <c r="M887" i="8"/>
  <c r="N887" i="8"/>
  <c r="K888" i="8"/>
  <c r="L888" i="8"/>
  <c r="M888" i="8"/>
  <c r="N888" i="8"/>
  <c r="K889" i="8"/>
  <c r="L889" i="8"/>
  <c r="M889" i="8"/>
  <c r="N889" i="8"/>
  <c r="K890" i="8"/>
  <c r="L890" i="8"/>
  <c r="M890" i="8"/>
  <c r="N890" i="8"/>
  <c r="K891" i="8"/>
  <c r="L891" i="8"/>
  <c r="M891" i="8"/>
  <c r="N891" i="8"/>
  <c r="K892" i="8"/>
  <c r="L892" i="8"/>
  <c r="M892" i="8"/>
  <c r="N892" i="8"/>
  <c r="K893" i="8"/>
  <c r="L893" i="8"/>
  <c r="M893" i="8"/>
  <c r="N893" i="8"/>
  <c r="K746" i="8"/>
  <c r="L746" i="8"/>
  <c r="M746" i="8"/>
  <c r="N746" i="8"/>
  <c r="K747" i="8"/>
  <c r="L747" i="8"/>
  <c r="M747" i="8"/>
  <c r="N747" i="8"/>
  <c r="I745" i="8"/>
  <c r="K745" i="8"/>
  <c r="L745" i="8"/>
  <c r="M745" i="8"/>
  <c r="N745" i="8"/>
  <c r="I132" i="8"/>
  <c r="K132" i="8"/>
  <c r="L132" i="8"/>
  <c r="M132" i="8"/>
  <c r="N132" i="8"/>
  <c r="I133" i="8"/>
  <c r="K133" i="8"/>
  <c r="L133" i="8"/>
  <c r="M133" i="8"/>
  <c r="N133" i="8"/>
  <c r="I134" i="8"/>
  <c r="K134" i="8"/>
  <c r="L134" i="8"/>
  <c r="M134" i="8"/>
  <c r="N134" i="8"/>
  <c r="I135" i="8"/>
  <c r="K135" i="8"/>
  <c r="L135" i="8"/>
  <c r="M135" i="8"/>
  <c r="N135" i="8"/>
  <c r="I136" i="8"/>
  <c r="K136" i="8"/>
  <c r="L136" i="8"/>
  <c r="M136" i="8"/>
  <c r="N136" i="8"/>
  <c r="I137" i="8"/>
  <c r="K137" i="8"/>
  <c r="L137" i="8"/>
  <c r="M137" i="8"/>
  <c r="N137" i="8"/>
  <c r="I138" i="8"/>
  <c r="K138" i="8"/>
  <c r="L138" i="8"/>
  <c r="M138" i="8"/>
  <c r="N138" i="8"/>
  <c r="I139" i="8"/>
  <c r="K139" i="8"/>
  <c r="L139" i="8"/>
  <c r="M139" i="8"/>
  <c r="N139" i="8"/>
  <c r="I140" i="8"/>
  <c r="K140" i="8"/>
  <c r="L140" i="8"/>
  <c r="M140" i="8"/>
  <c r="N140" i="8"/>
  <c r="I141" i="8"/>
  <c r="K141" i="8"/>
  <c r="L141" i="8"/>
  <c r="M141" i="8"/>
  <c r="N141" i="8"/>
  <c r="I142" i="8"/>
  <c r="K142" i="8"/>
  <c r="L142" i="8"/>
  <c r="M142" i="8"/>
  <c r="N142" i="8"/>
  <c r="I143" i="8"/>
  <c r="K143" i="8"/>
  <c r="L143" i="8"/>
  <c r="M143" i="8"/>
  <c r="N143" i="8"/>
  <c r="I144" i="8"/>
  <c r="K144" i="8"/>
  <c r="L144" i="8"/>
  <c r="M144" i="8"/>
  <c r="N144" i="8"/>
  <c r="I145" i="8"/>
  <c r="K145" i="8"/>
  <c r="L145" i="8"/>
  <c r="M145" i="8"/>
  <c r="N145" i="8"/>
  <c r="I146" i="8"/>
  <c r="K146" i="8"/>
  <c r="L146" i="8"/>
  <c r="M146" i="8"/>
  <c r="N146" i="8"/>
  <c r="I147" i="8"/>
  <c r="K147" i="8"/>
  <c r="L147" i="8"/>
  <c r="M147" i="8"/>
  <c r="N147" i="8"/>
  <c r="I148" i="8"/>
  <c r="K148" i="8"/>
  <c r="L148" i="8"/>
  <c r="M148" i="8"/>
  <c r="N148" i="8"/>
  <c r="I149" i="8"/>
  <c r="L149" i="8"/>
  <c r="M149" i="8"/>
  <c r="N149" i="8"/>
  <c r="I150" i="8"/>
  <c r="K150" i="8"/>
  <c r="L150" i="8"/>
  <c r="M150" i="8"/>
  <c r="N150" i="8"/>
  <c r="I151" i="8"/>
  <c r="K151" i="8"/>
  <c r="L151" i="8"/>
  <c r="M151" i="8"/>
  <c r="N151" i="8"/>
  <c r="I152" i="8"/>
  <c r="K152" i="8"/>
  <c r="L152" i="8"/>
  <c r="M152" i="8"/>
  <c r="N152" i="8"/>
  <c r="I153" i="8"/>
  <c r="K153" i="8"/>
  <c r="L153" i="8"/>
  <c r="M153" i="8"/>
  <c r="N153" i="8"/>
  <c r="I154" i="8"/>
  <c r="K154" i="8"/>
  <c r="L154" i="8"/>
  <c r="M154" i="8"/>
  <c r="N154" i="8"/>
  <c r="I155" i="8"/>
  <c r="K155" i="8"/>
  <c r="L155" i="8"/>
  <c r="M155" i="8"/>
  <c r="N155" i="8"/>
  <c r="I156" i="8"/>
  <c r="K156" i="8"/>
  <c r="L156" i="8"/>
  <c r="M156" i="8"/>
  <c r="N156" i="8"/>
  <c r="I157" i="8"/>
  <c r="K157" i="8"/>
  <c r="L157" i="8"/>
  <c r="M157" i="8"/>
  <c r="N157" i="8"/>
  <c r="I158" i="8"/>
  <c r="K158" i="8"/>
  <c r="L158" i="8"/>
  <c r="M158" i="8"/>
  <c r="N158" i="8"/>
  <c r="I159" i="8"/>
  <c r="K159" i="8"/>
  <c r="L159" i="8"/>
  <c r="M159" i="8"/>
  <c r="N159" i="8"/>
  <c r="I160" i="8"/>
  <c r="K160" i="8"/>
  <c r="L160" i="8"/>
  <c r="M160" i="8"/>
  <c r="N160" i="8"/>
  <c r="I161" i="8"/>
  <c r="K161" i="8"/>
  <c r="L161" i="8"/>
  <c r="M161" i="8"/>
  <c r="N161" i="8"/>
  <c r="I162" i="8"/>
  <c r="K162" i="8"/>
  <c r="L162" i="8"/>
  <c r="M162" i="8"/>
  <c r="N162" i="8"/>
  <c r="I163" i="8"/>
  <c r="K163" i="8"/>
  <c r="L163" i="8"/>
  <c r="M163" i="8"/>
  <c r="N163" i="8"/>
  <c r="I164" i="8"/>
  <c r="K164" i="8"/>
  <c r="L164" i="8"/>
  <c r="M164" i="8"/>
  <c r="N164" i="8"/>
  <c r="I165" i="8"/>
  <c r="K165" i="8"/>
  <c r="L165" i="8"/>
  <c r="M165" i="8"/>
  <c r="N165" i="8"/>
  <c r="I166" i="8"/>
  <c r="K166" i="8"/>
  <c r="L166" i="8"/>
  <c r="M166" i="8"/>
  <c r="N166" i="8"/>
  <c r="I167" i="8"/>
  <c r="K167" i="8"/>
  <c r="L167" i="8"/>
  <c r="M167" i="8"/>
  <c r="N167" i="8"/>
  <c r="I168" i="8"/>
  <c r="K168" i="8"/>
  <c r="L168" i="8"/>
  <c r="M168" i="8"/>
  <c r="N168" i="8"/>
  <c r="I169" i="8"/>
  <c r="K169" i="8"/>
  <c r="L169" i="8"/>
  <c r="M169" i="8"/>
  <c r="N169" i="8"/>
  <c r="I170" i="8"/>
  <c r="K170" i="8"/>
  <c r="L170" i="8"/>
  <c r="M170" i="8"/>
  <c r="N170" i="8"/>
  <c r="I171" i="8"/>
  <c r="K171" i="8"/>
  <c r="L171" i="8"/>
  <c r="M171" i="8"/>
  <c r="N171" i="8"/>
  <c r="I172" i="8"/>
  <c r="K172" i="8"/>
  <c r="L172" i="8"/>
  <c r="M172" i="8"/>
  <c r="N172" i="8"/>
  <c r="I173" i="8"/>
  <c r="K173" i="8"/>
  <c r="L173" i="8"/>
  <c r="M173" i="8"/>
  <c r="N173" i="8"/>
  <c r="I174" i="8"/>
  <c r="K174" i="8"/>
  <c r="L174" i="8"/>
  <c r="M174" i="8"/>
  <c r="N174" i="8"/>
  <c r="I175" i="8"/>
  <c r="K175" i="8"/>
  <c r="L175" i="8"/>
  <c r="M175" i="8"/>
  <c r="N175" i="8"/>
  <c r="I176" i="8"/>
  <c r="K176" i="8"/>
  <c r="L176" i="8"/>
  <c r="M176" i="8"/>
  <c r="N176" i="8"/>
  <c r="I177" i="8"/>
  <c r="K177" i="8"/>
  <c r="L177" i="8"/>
  <c r="M177" i="8"/>
  <c r="N177" i="8"/>
  <c r="I178" i="8"/>
  <c r="K178" i="8"/>
  <c r="L178" i="8"/>
  <c r="M178" i="8"/>
  <c r="N178" i="8"/>
  <c r="I179" i="8"/>
  <c r="K179" i="8"/>
  <c r="L179" i="8"/>
  <c r="M179" i="8"/>
  <c r="N179" i="8"/>
  <c r="I180" i="8"/>
  <c r="K180" i="8"/>
  <c r="L180" i="8"/>
  <c r="M180" i="8"/>
  <c r="N180" i="8"/>
  <c r="I181" i="8"/>
  <c r="K181" i="8"/>
  <c r="L181" i="8"/>
  <c r="M181" i="8"/>
  <c r="N181" i="8"/>
  <c r="I182" i="8"/>
  <c r="K182" i="8"/>
  <c r="L182" i="8"/>
  <c r="M182" i="8"/>
  <c r="N182" i="8"/>
  <c r="I183" i="8"/>
  <c r="K183" i="8"/>
  <c r="L183" i="8"/>
  <c r="M183" i="8"/>
  <c r="N183" i="8"/>
  <c r="I184" i="8"/>
  <c r="K184" i="8"/>
  <c r="L184" i="8"/>
  <c r="M184" i="8"/>
  <c r="N184" i="8"/>
  <c r="I185" i="8"/>
  <c r="K185" i="8"/>
  <c r="L185" i="8"/>
  <c r="M185" i="8"/>
  <c r="N185" i="8"/>
  <c r="I186" i="8"/>
  <c r="K186" i="8"/>
  <c r="L186" i="8"/>
  <c r="M186" i="8"/>
  <c r="N186" i="8"/>
  <c r="I187" i="8"/>
  <c r="K187" i="8"/>
  <c r="L187" i="8"/>
  <c r="M187" i="8"/>
  <c r="N187" i="8"/>
  <c r="I188" i="8"/>
  <c r="K188" i="8"/>
  <c r="L188" i="8"/>
  <c r="M188" i="8"/>
  <c r="N188" i="8"/>
  <c r="I189" i="8"/>
  <c r="K189" i="8"/>
  <c r="L189" i="8"/>
  <c r="M189" i="8"/>
  <c r="N189" i="8"/>
  <c r="I190" i="8"/>
  <c r="K190" i="8"/>
  <c r="L190" i="8"/>
  <c r="M190" i="8"/>
  <c r="N190" i="8"/>
  <c r="I191" i="8"/>
  <c r="K191" i="8"/>
  <c r="L191" i="8"/>
  <c r="M191" i="8"/>
  <c r="N191" i="8"/>
  <c r="I192" i="8"/>
  <c r="K192" i="8"/>
  <c r="L192" i="8"/>
  <c r="M192" i="8"/>
  <c r="N192" i="8"/>
  <c r="I193" i="8"/>
  <c r="K193" i="8"/>
  <c r="L193" i="8"/>
  <c r="M193" i="8"/>
  <c r="N193" i="8"/>
  <c r="I194" i="8"/>
  <c r="K194" i="8"/>
  <c r="L194" i="8"/>
  <c r="M194" i="8"/>
  <c r="N194" i="8"/>
  <c r="I195" i="8"/>
  <c r="K195" i="8"/>
  <c r="L195" i="8"/>
  <c r="M195" i="8"/>
  <c r="N195" i="8"/>
  <c r="I196" i="8"/>
  <c r="K196" i="8"/>
  <c r="L196" i="8"/>
  <c r="M196" i="8"/>
  <c r="N196" i="8"/>
  <c r="I197" i="8"/>
  <c r="K197" i="8"/>
  <c r="L197" i="8"/>
  <c r="M197" i="8"/>
  <c r="N197" i="8"/>
  <c r="I198" i="8"/>
  <c r="K198" i="8"/>
  <c r="L198" i="8"/>
  <c r="M198" i="8"/>
  <c r="N198" i="8"/>
  <c r="I199" i="8"/>
  <c r="K199" i="8"/>
  <c r="L199" i="8"/>
  <c r="M199" i="8"/>
  <c r="N199" i="8"/>
  <c r="I200" i="8"/>
  <c r="K200" i="8"/>
  <c r="L200" i="8"/>
  <c r="M200" i="8"/>
  <c r="N200" i="8"/>
  <c r="I201" i="8"/>
  <c r="K201" i="8"/>
  <c r="L201" i="8"/>
  <c r="M201" i="8"/>
  <c r="N201" i="8"/>
  <c r="I202" i="8"/>
  <c r="K202" i="8"/>
  <c r="L202" i="8"/>
  <c r="M202" i="8"/>
  <c r="N202" i="8"/>
  <c r="I203" i="8"/>
  <c r="K203" i="8"/>
  <c r="L203" i="8"/>
  <c r="M203" i="8"/>
  <c r="N203" i="8"/>
  <c r="I204" i="8"/>
  <c r="K204" i="8"/>
  <c r="L204" i="8"/>
  <c r="M204" i="8"/>
  <c r="N204" i="8"/>
  <c r="I205" i="8"/>
  <c r="K205" i="8"/>
  <c r="L205" i="8"/>
  <c r="M205" i="8"/>
  <c r="N205" i="8"/>
  <c r="I206" i="8"/>
  <c r="K206" i="8"/>
  <c r="L206" i="8"/>
  <c r="M206" i="8"/>
  <c r="N206" i="8"/>
  <c r="I207" i="8"/>
  <c r="K207" i="8"/>
  <c r="L207" i="8"/>
  <c r="M207" i="8"/>
  <c r="N207" i="8"/>
  <c r="I208" i="8"/>
  <c r="K208" i="8"/>
  <c r="L208" i="8"/>
  <c r="M208" i="8"/>
  <c r="N208" i="8"/>
  <c r="I209" i="8"/>
  <c r="K209" i="8"/>
  <c r="L209" i="8"/>
  <c r="M209" i="8"/>
  <c r="N209" i="8"/>
  <c r="I210" i="8"/>
  <c r="K210" i="8"/>
  <c r="L210" i="8"/>
  <c r="M210" i="8"/>
  <c r="N210" i="8"/>
  <c r="I211" i="8"/>
  <c r="K211" i="8"/>
  <c r="L211" i="8"/>
  <c r="M211" i="8"/>
  <c r="N211" i="8"/>
  <c r="I212" i="8"/>
  <c r="K212" i="8"/>
  <c r="L212" i="8"/>
  <c r="M212" i="8"/>
  <c r="N212" i="8"/>
  <c r="I213" i="8"/>
  <c r="K213" i="8"/>
  <c r="L213" i="8"/>
  <c r="M213" i="8"/>
  <c r="N213" i="8"/>
  <c r="I214" i="8"/>
  <c r="K214" i="8"/>
  <c r="L214" i="8"/>
  <c r="M214" i="8"/>
  <c r="N214" i="8"/>
  <c r="I215" i="8"/>
  <c r="K215" i="8"/>
  <c r="L215" i="8"/>
  <c r="M215" i="8"/>
  <c r="N215" i="8"/>
  <c r="I216" i="8"/>
  <c r="K216" i="8"/>
  <c r="L216" i="8"/>
  <c r="M216" i="8"/>
  <c r="N216" i="8"/>
  <c r="I217" i="8"/>
  <c r="K217" i="8"/>
  <c r="L217" i="8"/>
  <c r="M217" i="8"/>
  <c r="N217" i="8"/>
  <c r="I218" i="8"/>
  <c r="K218" i="8"/>
  <c r="L218" i="8"/>
  <c r="M218" i="8"/>
  <c r="N218" i="8"/>
  <c r="I219" i="8"/>
  <c r="K219" i="8"/>
  <c r="L219" i="8"/>
  <c r="M219" i="8"/>
  <c r="N219" i="8"/>
  <c r="I220" i="8"/>
  <c r="K220" i="8"/>
  <c r="L220" i="8"/>
  <c r="M220" i="8"/>
  <c r="N220" i="8"/>
  <c r="I221" i="8"/>
  <c r="K221" i="8"/>
  <c r="L221" i="8"/>
  <c r="M221" i="8"/>
  <c r="N221" i="8"/>
  <c r="I222" i="8"/>
  <c r="K222" i="8"/>
  <c r="L222" i="8"/>
  <c r="M222" i="8"/>
  <c r="N222" i="8"/>
  <c r="I223" i="8"/>
  <c r="K223" i="8"/>
  <c r="L223" i="8"/>
  <c r="M223" i="8"/>
  <c r="N223" i="8"/>
  <c r="I224" i="8"/>
  <c r="K224" i="8"/>
  <c r="L224" i="8"/>
  <c r="M224" i="8"/>
  <c r="N224" i="8"/>
  <c r="I225" i="8"/>
  <c r="K225" i="8"/>
  <c r="L225" i="8"/>
  <c r="M225" i="8"/>
  <c r="N225" i="8"/>
  <c r="I226" i="8"/>
  <c r="K226" i="8"/>
  <c r="L226" i="8"/>
  <c r="M226" i="8"/>
  <c r="N226" i="8"/>
  <c r="I227" i="8"/>
  <c r="K227" i="8"/>
  <c r="L227" i="8"/>
  <c r="M227" i="8"/>
  <c r="N227" i="8"/>
  <c r="I228" i="8"/>
  <c r="K228" i="8"/>
  <c r="L228" i="8"/>
  <c r="M228" i="8"/>
  <c r="N228" i="8"/>
  <c r="I229" i="8"/>
  <c r="K229" i="8"/>
  <c r="L229" i="8"/>
  <c r="M229" i="8"/>
  <c r="N229" i="8"/>
  <c r="I230" i="8"/>
  <c r="K230" i="8"/>
  <c r="L230" i="8"/>
  <c r="M230" i="8"/>
  <c r="N230" i="8"/>
  <c r="I231" i="8"/>
  <c r="K231" i="8"/>
  <c r="L231" i="8"/>
  <c r="M231" i="8"/>
  <c r="N231" i="8"/>
  <c r="I232" i="8"/>
  <c r="K232" i="8"/>
  <c r="L232" i="8"/>
  <c r="M232" i="8"/>
  <c r="N232" i="8"/>
  <c r="I233" i="8"/>
  <c r="K233" i="8"/>
  <c r="L233" i="8"/>
  <c r="M233" i="8"/>
  <c r="N233" i="8"/>
  <c r="I234" i="8"/>
  <c r="K234" i="8"/>
  <c r="L234" i="8"/>
  <c r="M234" i="8"/>
  <c r="N234" i="8"/>
  <c r="I235" i="8"/>
  <c r="K235" i="8"/>
  <c r="L235" i="8"/>
  <c r="M235" i="8"/>
  <c r="N235" i="8"/>
  <c r="I236" i="8"/>
  <c r="K236" i="8"/>
  <c r="L236" i="8"/>
  <c r="M236" i="8"/>
  <c r="N236" i="8"/>
  <c r="I237" i="8"/>
  <c r="K237" i="8"/>
  <c r="L237" i="8"/>
  <c r="M237" i="8"/>
  <c r="N237" i="8"/>
  <c r="I238" i="8"/>
  <c r="K238" i="8"/>
  <c r="L238" i="8"/>
  <c r="M238" i="8"/>
  <c r="N238" i="8"/>
  <c r="I239" i="8"/>
  <c r="K239" i="8"/>
  <c r="L239" i="8"/>
  <c r="M239" i="8"/>
  <c r="N239" i="8"/>
  <c r="I240" i="8"/>
  <c r="K240" i="8"/>
  <c r="L240" i="8"/>
  <c r="M240" i="8"/>
  <c r="N240" i="8"/>
  <c r="I241" i="8"/>
  <c r="K241" i="8"/>
  <c r="L241" i="8"/>
  <c r="M241" i="8"/>
  <c r="N241" i="8"/>
  <c r="I242" i="8"/>
  <c r="K242" i="8"/>
  <c r="L242" i="8"/>
  <c r="M242" i="8"/>
  <c r="N242" i="8"/>
  <c r="I243" i="8"/>
  <c r="K243" i="8"/>
  <c r="L243" i="8"/>
  <c r="M243" i="8"/>
  <c r="N243" i="8"/>
  <c r="I244" i="8"/>
  <c r="K244" i="8"/>
  <c r="L244" i="8"/>
  <c r="M244" i="8"/>
  <c r="N244" i="8"/>
  <c r="I245" i="8"/>
  <c r="K245" i="8"/>
  <c r="L245" i="8"/>
  <c r="M245" i="8"/>
  <c r="N245" i="8"/>
  <c r="I246" i="8"/>
  <c r="K246" i="8"/>
  <c r="L246" i="8"/>
  <c r="M246" i="8"/>
  <c r="N246" i="8"/>
  <c r="I247" i="8"/>
  <c r="K247" i="8"/>
  <c r="L247" i="8"/>
  <c r="M247" i="8"/>
  <c r="N247" i="8"/>
  <c r="I248" i="8"/>
  <c r="K248" i="8"/>
  <c r="L248" i="8"/>
  <c r="M248" i="8"/>
  <c r="N248" i="8"/>
  <c r="I249" i="8"/>
  <c r="K249" i="8"/>
  <c r="L249" i="8"/>
  <c r="M249" i="8"/>
  <c r="N249" i="8"/>
  <c r="I250" i="8"/>
  <c r="K250" i="8"/>
  <c r="L250" i="8"/>
  <c r="M250" i="8"/>
  <c r="N250" i="8"/>
  <c r="I251" i="8"/>
  <c r="K251" i="8"/>
  <c r="L251" i="8"/>
  <c r="M251" i="8"/>
  <c r="N251" i="8"/>
  <c r="I252" i="8"/>
  <c r="K252" i="8"/>
  <c r="L252" i="8"/>
  <c r="M252" i="8"/>
  <c r="N252" i="8"/>
  <c r="I253" i="8"/>
  <c r="K253" i="8"/>
  <c r="L253" i="8"/>
  <c r="M253" i="8"/>
  <c r="N253" i="8"/>
  <c r="I254" i="8"/>
  <c r="K254" i="8"/>
  <c r="L254" i="8"/>
  <c r="M254" i="8"/>
  <c r="N254" i="8"/>
  <c r="I255" i="8"/>
  <c r="K255" i="8"/>
  <c r="L255" i="8"/>
  <c r="M255" i="8"/>
  <c r="N255" i="8"/>
  <c r="I256" i="8"/>
  <c r="K256" i="8"/>
  <c r="L256" i="8"/>
  <c r="M256" i="8"/>
  <c r="N256" i="8"/>
  <c r="I257" i="8"/>
  <c r="K257" i="8"/>
  <c r="L257" i="8"/>
  <c r="M257" i="8"/>
  <c r="N257" i="8"/>
  <c r="I258" i="8"/>
  <c r="K258" i="8"/>
  <c r="L258" i="8"/>
  <c r="M258" i="8"/>
  <c r="N258" i="8"/>
  <c r="I259" i="8"/>
  <c r="K259" i="8"/>
  <c r="L259" i="8"/>
  <c r="M259" i="8"/>
  <c r="N259" i="8"/>
  <c r="I260" i="8"/>
  <c r="K260" i="8"/>
  <c r="L260" i="8"/>
  <c r="M260" i="8"/>
  <c r="N260" i="8"/>
  <c r="I261" i="8"/>
  <c r="K261" i="8"/>
  <c r="L261" i="8"/>
  <c r="M261" i="8"/>
  <c r="N261" i="8"/>
  <c r="I262" i="8"/>
  <c r="K262" i="8"/>
  <c r="L262" i="8"/>
  <c r="M262" i="8"/>
  <c r="N262" i="8"/>
  <c r="I263" i="8"/>
  <c r="K263" i="8"/>
  <c r="L263" i="8"/>
  <c r="M263" i="8"/>
  <c r="N263" i="8"/>
  <c r="I264" i="8"/>
  <c r="K264" i="8"/>
  <c r="L264" i="8"/>
  <c r="M264" i="8"/>
  <c r="N264" i="8"/>
  <c r="I265" i="8"/>
  <c r="K265" i="8"/>
  <c r="L265" i="8"/>
  <c r="M265" i="8"/>
  <c r="N265" i="8"/>
  <c r="I266" i="8"/>
  <c r="K266" i="8"/>
  <c r="L266" i="8"/>
  <c r="M266" i="8"/>
  <c r="N266" i="8"/>
  <c r="I267" i="8"/>
  <c r="K267" i="8"/>
  <c r="L267" i="8"/>
  <c r="M267" i="8"/>
  <c r="N267" i="8"/>
  <c r="I268" i="8"/>
  <c r="K268" i="8"/>
  <c r="L268" i="8"/>
  <c r="M268" i="8"/>
  <c r="N268" i="8"/>
  <c r="I269" i="8"/>
  <c r="K269" i="8"/>
  <c r="L269" i="8"/>
  <c r="M269" i="8"/>
  <c r="N269" i="8"/>
  <c r="I270" i="8"/>
  <c r="K270" i="8"/>
  <c r="L270" i="8"/>
  <c r="M270" i="8"/>
  <c r="N270" i="8"/>
  <c r="I271" i="8"/>
  <c r="K271" i="8"/>
  <c r="L271" i="8"/>
  <c r="M271" i="8"/>
  <c r="N271" i="8"/>
  <c r="I272" i="8"/>
  <c r="K272" i="8"/>
  <c r="L272" i="8"/>
  <c r="M272" i="8"/>
  <c r="N272" i="8"/>
  <c r="I273" i="8"/>
  <c r="K273" i="8"/>
  <c r="L273" i="8"/>
  <c r="M273" i="8"/>
  <c r="N273" i="8"/>
  <c r="I274" i="8"/>
  <c r="K274" i="8"/>
  <c r="L274" i="8"/>
  <c r="M274" i="8"/>
  <c r="N274" i="8"/>
  <c r="I275" i="8"/>
  <c r="K275" i="8"/>
  <c r="L275" i="8"/>
  <c r="M275" i="8"/>
  <c r="N275" i="8"/>
  <c r="I276" i="8"/>
  <c r="K276" i="8"/>
  <c r="L276" i="8"/>
  <c r="M276" i="8"/>
  <c r="N276" i="8"/>
  <c r="I277" i="8"/>
  <c r="K277" i="8"/>
  <c r="L277" i="8"/>
  <c r="M277" i="8"/>
  <c r="N277" i="8"/>
  <c r="I278" i="8"/>
  <c r="K278" i="8"/>
  <c r="L278" i="8"/>
  <c r="M278" i="8"/>
  <c r="N278" i="8"/>
  <c r="I279" i="8"/>
  <c r="K279" i="8"/>
  <c r="L279" i="8"/>
  <c r="M279" i="8"/>
  <c r="N279" i="8"/>
  <c r="I280" i="8"/>
  <c r="K280" i="8"/>
  <c r="L280" i="8"/>
  <c r="M280" i="8"/>
  <c r="N280" i="8"/>
  <c r="I281" i="8"/>
  <c r="K281" i="8"/>
  <c r="L281" i="8"/>
  <c r="M281" i="8"/>
  <c r="N281" i="8"/>
  <c r="I282" i="8"/>
  <c r="K282" i="8"/>
  <c r="L282" i="8"/>
  <c r="M282" i="8"/>
  <c r="N282" i="8"/>
  <c r="I283" i="8"/>
  <c r="K283" i="8"/>
  <c r="L283" i="8"/>
  <c r="M283" i="8"/>
  <c r="N283" i="8"/>
  <c r="I284" i="8"/>
  <c r="K284" i="8"/>
  <c r="L284" i="8"/>
  <c r="M284" i="8"/>
  <c r="N284" i="8"/>
  <c r="I285" i="8"/>
  <c r="K285" i="8"/>
  <c r="L285" i="8"/>
  <c r="M285" i="8"/>
  <c r="N285" i="8"/>
  <c r="I286" i="8"/>
  <c r="K286" i="8"/>
  <c r="L286" i="8"/>
  <c r="M286" i="8"/>
  <c r="N286" i="8"/>
  <c r="I287" i="8"/>
  <c r="K287" i="8"/>
  <c r="L287" i="8"/>
  <c r="M287" i="8"/>
  <c r="N287" i="8"/>
  <c r="I288" i="8"/>
  <c r="K288" i="8"/>
  <c r="L288" i="8"/>
  <c r="M288" i="8"/>
  <c r="N288" i="8"/>
  <c r="I289" i="8"/>
  <c r="K289" i="8"/>
  <c r="L289" i="8"/>
  <c r="M289" i="8"/>
  <c r="N289" i="8"/>
  <c r="I290" i="8"/>
  <c r="K290" i="8"/>
  <c r="L290" i="8"/>
  <c r="M290" i="8"/>
  <c r="N290" i="8"/>
  <c r="I291" i="8"/>
  <c r="K291" i="8"/>
  <c r="L291" i="8"/>
  <c r="M291" i="8"/>
  <c r="N291" i="8"/>
  <c r="I292" i="8"/>
  <c r="K292" i="8"/>
  <c r="L292" i="8"/>
  <c r="M292" i="8"/>
  <c r="N292" i="8"/>
  <c r="I293" i="8"/>
  <c r="K293" i="8"/>
  <c r="L293" i="8"/>
  <c r="M293" i="8"/>
  <c r="N293" i="8"/>
  <c r="I294" i="8"/>
  <c r="K294" i="8"/>
  <c r="L294" i="8"/>
  <c r="M294" i="8"/>
  <c r="N294" i="8"/>
  <c r="I295" i="8"/>
  <c r="K295" i="8"/>
  <c r="L295" i="8"/>
  <c r="M295" i="8"/>
  <c r="N295" i="8"/>
  <c r="I296" i="8"/>
  <c r="K296" i="8"/>
  <c r="L296" i="8"/>
  <c r="M296" i="8"/>
  <c r="N296" i="8"/>
  <c r="I297" i="8"/>
  <c r="K297" i="8"/>
  <c r="L297" i="8"/>
  <c r="M297" i="8"/>
  <c r="N297" i="8"/>
  <c r="I298" i="8"/>
  <c r="K298" i="8"/>
  <c r="L298" i="8"/>
  <c r="M298" i="8"/>
  <c r="N298" i="8"/>
  <c r="I299" i="8"/>
  <c r="K299" i="8"/>
  <c r="L299" i="8"/>
  <c r="M299" i="8"/>
  <c r="N299" i="8"/>
  <c r="I300" i="8"/>
  <c r="K300" i="8"/>
  <c r="L300" i="8"/>
  <c r="M300" i="8"/>
  <c r="N300" i="8"/>
  <c r="I301" i="8"/>
  <c r="K301" i="8"/>
  <c r="L301" i="8"/>
  <c r="M301" i="8"/>
  <c r="N301" i="8"/>
  <c r="I302" i="8"/>
  <c r="K302" i="8"/>
  <c r="L302" i="8"/>
  <c r="M302" i="8"/>
  <c r="N302" i="8"/>
  <c r="I303" i="8"/>
  <c r="K303" i="8"/>
  <c r="L303" i="8"/>
  <c r="M303" i="8"/>
  <c r="N303" i="8"/>
  <c r="I304" i="8"/>
  <c r="K304" i="8"/>
  <c r="L304" i="8"/>
  <c r="M304" i="8"/>
  <c r="N304" i="8"/>
  <c r="I305" i="8"/>
  <c r="K305" i="8"/>
  <c r="L305" i="8"/>
  <c r="M305" i="8"/>
  <c r="N305" i="8"/>
  <c r="I306" i="8"/>
  <c r="K306" i="8"/>
  <c r="L306" i="8"/>
  <c r="M306" i="8"/>
  <c r="N306" i="8"/>
  <c r="I307" i="8"/>
  <c r="K307" i="8"/>
  <c r="L307" i="8"/>
  <c r="M307" i="8"/>
  <c r="N307" i="8"/>
  <c r="I308" i="8"/>
  <c r="K308" i="8"/>
  <c r="L308" i="8"/>
  <c r="M308" i="8"/>
  <c r="N308" i="8"/>
  <c r="I309" i="8"/>
  <c r="K309" i="8"/>
  <c r="L309" i="8"/>
  <c r="M309" i="8"/>
  <c r="N309" i="8"/>
  <c r="I310" i="8"/>
  <c r="K310" i="8"/>
  <c r="L310" i="8"/>
  <c r="M310" i="8"/>
  <c r="N310" i="8"/>
  <c r="I311" i="8"/>
  <c r="K311" i="8"/>
  <c r="L311" i="8"/>
  <c r="M311" i="8"/>
  <c r="N311" i="8"/>
  <c r="I312" i="8"/>
  <c r="K312" i="8"/>
  <c r="L312" i="8"/>
  <c r="M312" i="8"/>
  <c r="N312" i="8"/>
  <c r="I313" i="8"/>
  <c r="K313" i="8"/>
  <c r="L313" i="8"/>
  <c r="M313" i="8"/>
  <c r="N313" i="8"/>
  <c r="I314" i="8"/>
  <c r="K314" i="8"/>
  <c r="L314" i="8"/>
  <c r="M314" i="8"/>
  <c r="N314" i="8"/>
  <c r="I315" i="8"/>
  <c r="K315" i="8"/>
  <c r="L315" i="8"/>
  <c r="M315" i="8"/>
  <c r="N315" i="8"/>
  <c r="I316" i="8"/>
  <c r="K316" i="8"/>
  <c r="L316" i="8"/>
  <c r="M316" i="8"/>
  <c r="N316" i="8"/>
  <c r="I317" i="8"/>
  <c r="K317" i="8"/>
  <c r="L317" i="8"/>
  <c r="M317" i="8"/>
  <c r="N317" i="8"/>
  <c r="I318" i="8"/>
  <c r="K318" i="8"/>
  <c r="L318" i="8"/>
  <c r="M318" i="8"/>
  <c r="N318" i="8"/>
  <c r="I319" i="8"/>
  <c r="K319" i="8"/>
  <c r="L319" i="8"/>
  <c r="M319" i="8"/>
  <c r="N319" i="8"/>
  <c r="I320" i="8"/>
  <c r="K320" i="8"/>
  <c r="L320" i="8"/>
  <c r="M320" i="8"/>
  <c r="N320" i="8"/>
  <c r="I321" i="8"/>
  <c r="K321" i="8"/>
  <c r="L321" i="8"/>
  <c r="M321" i="8"/>
  <c r="N321" i="8"/>
  <c r="I322" i="8"/>
  <c r="K322" i="8"/>
  <c r="L322" i="8"/>
  <c r="M322" i="8"/>
  <c r="N322" i="8"/>
  <c r="I323" i="8"/>
  <c r="K323" i="8"/>
  <c r="L323" i="8"/>
  <c r="M323" i="8"/>
  <c r="N323" i="8"/>
  <c r="I324" i="8"/>
  <c r="K324" i="8"/>
  <c r="L324" i="8"/>
  <c r="M324" i="8"/>
  <c r="N324" i="8"/>
  <c r="I325" i="8"/>
  <c r="K325" i="8"/>
  <c r="L325" i="8"/>
  <c r="M325" i="8"/>
  <c r="N325" i="8"/>
  <c r="I326" i="8"/>
  <c r="K326" i="8"/>
  <c r="L326" i="8"/>
  <c r="M326" i="8"/>
  <c r="N326" i="8"/>
  <c r="I327" i="8"/>
  <c r="K327" i="8"/>
  <c r="L327" i="8"/>
  <c r="M327" i="8"/>
  <c r="N327" i="8"/>
  <c r="I328" i="8"/>
  <c r="K328" i="8"/>
  <c r="L328" i="8"/>
  <c r="M328" i="8"/>
  <c r="N328" i="8"/>
  <c r="I329" i="8"/>
  <c r="K329" i="8"/>
  <c r="L329" i="8"/>
  <c r="M329" i="8"/>
  <c r="N329" i="8"/>
  <c r="I330" i="8"/>
  <c r="K330" i="8"/>
  <c r="L330" i="8"/>
  <c r="M330" i="8"/>
  <c r="N330" i="8"/>
  <c r="I331" i="8"/>
  <c r="K331" i="8"/>
  <c r="L331" i="8"/>
  <c r="M331" i="8"/>
  <c r="N331" i="8"/>
  <c r="I332" i="8"/>
  <c r="K332" i="8"/>
  <c r="L332" i="8"/>
  <c r="M332" i="8"/>
  <c r="N332" i="8"/>
  <c r="I333" i="8"/>
  <c r="K333" i="8"/>
  <c r="L333" i="8"/>
  <c r="M333" i="8"/>
  <c r="N333" i="8"/>
  <c r="I334" i="8"/>
  <c r="K334" i="8"/>
  <c r="L334" i="8"/>
  <c r="M334" i="8"/>
  <c r="N334" i="8"/>
  <c r="I335" i="8"/>
  <c r="K335" i="8"/>
  <c r="L335" i="8"/>
  <c r="M335" i="8"/>
  <c r="N335" i="8"/>
  <c r="I336" i="8"/>
  <c r="K336" i="8"/>
  <c r="L336" i="8"/>
  <c r="M336" i="8"/>
  <c r="N336" i="8"/>
  <c r="I337" i="8"/>
  <c r="K337" i="8"/>
  <c r="L337" i="8"/>
  <c r="M337" i="8"/>
  <c r="N337" i="8"/>
  <c r="I338" i="8"/>
  <c r="K338" i="8"/>
  <c r="L338" i="8"/>
  <c r="M338" i="8"/>
  <c r="N338" i="8"/>
  <c r="I339" i="8"/>
  <c r="K339" i="8"/>
  <c r="L339" i="8"/>
  <c r="M339" i="8"/>
  <c r="N339" i="8"/>
  <c r="I340" i="8"/>
  <c r="K340" i="8"/>
  <c r="L340" i="8"/>
  <c r="M340" i="8"/>
  <c r="N340" i="8"/>
  <c r="I341" i="8"/>
  <c r="K341" i="8"/>
  <c r="L341" i="8"/>
  <c r="M341" i="8"/>
  <c r="N341" i="8"/>
  <c r="I342" i="8"/>
  <c r="K342" i="8"/>
  <c r="L342" i="8"/>
  <c r="M342" i="8"/>
  <c r="N342" i="8"/>
  <c r="I343" i="8"/>
  <c r="K343" i="8"/>
  <c r="L343" i="8"/>
  <c r="M343" i="8"/>
  <c r="N343" i="8"/>
  <c r="I344" i="8"/>
  <c r="K344" i="8"/>
  <c r="L344" i="8"/>
  <c r="M344" i="8"/>
  <c r="N344" i="8"/>
  <c r="I345" i="8"/>
  <c r="K345" i="8"/>
  <c r="L345" i="8"/>
  <c r="M345" i="8"/>
  <c r="N345" i="8"/>
  <c r="I346" i="8"/>
  <c r="K346" i="8"/>
  <c r="L346" i="8"/>
  <c r="M346" i="8"/>
  <c r="N346" i="8"/>
  <c r="I347" i="8"/>
  <c r="K347" i="8"/>
  <c r="L347" i="8"/>
  <c r="M347" i="8"/>
  <c r="N347" i="8"/>
  <c r="I348" i="8"/>
  <c r="K348" i="8"/>
  <c r="L348" i="8"/>
  <c r="M348" i="8"/>
  <c r="N348" i="8"/>
  <c r="I349" i="8"/>
  <c r="K349" i="8"/>
  <c r="L349" i="8"/>
  <c r="M349" i="8"/>
  <c r="N349" i="8"/>
  <c r="I350" i="8"/>
  <c r="K350" i="8"/>
  <c r="L350" i="8"/>
  <c r="M350" i="8"/>
  <c r="N350" i="8"/>
  <c r="I351" i="8"/>
  <c r="K351" i="8"/>
  <c r="L351" i="8"/>
  <c r="M351" i="8"/>
  <c r="N351" i="8"/>
  <c r="I352" i="8"/>
  <c r="K352" i="8"/>
  <c r="L352" i="8"/>
  <c r="M352" i="8"/>
  <c r="N352" i="8"/>
  <c r="I353" i="8"/>
  <c r="K353" i="8"/>
  <c r="L353" i="8"/>
  <c r="M353" i="8"/>
  <c r="N353" i="8"/>
  <c r="I354" i="8"/>
  <c r="K354" i="8"/>
  <c r="L354" i="8"/>
  <c r="M354" i="8"/>
  <c r="N354" i="8"/>
  <c r="I355" i="8"/>
  <c r="K355" i="8"/>
  <c r="L355" i="8"/>
  <c r="M355" i="8"/>
  <c r="N355" i="8"/>
  <c r="I356" i="8"/>
  <c r="K356" i="8"/>
  <c r="L356" i="8"/>
  <c r="M356" i="8"/>
  <c r="N356" i="8"/>
  <c r="I357" i="8"/>
  <c r="K357" i="8"/>
  <c r="L357" i="8"/>
  <c r="M357" i="8"/>
  <c r="N357" i="8"/>
  <c r="I358" i="8"/>
  <c r="K358" i="8"/>
  <c r="L358" i="8"/>
  <c r="M358" i="8"/>
  <c r="N358" i="8"/>
  <c r="I359" i="8"/>
  <c r="K359" i="8"/>
  <c r="L359" i="8"/>
  <c r="M359" i="8"/>
  <c r="N359" i="8"/>
  <c r="I360" i="8"/>
  <c r="K360" i="8"/>
  <c r="L360" i="8"/>
  <c r="M360" i="8"/>
  <c r="N360" i="8"/>
  <c r="I361" i="8"/>
  <c r="K361" i="8"/>
  <c r="L361" i="8"/>
  <c r="M361" i="8"/>
  <c r="N361" i="8"/>
  <c r="I362" i="8"/>
  <c r="K362" i="8"/>
  <c r="L362" i="8"/>
  <c r="M362" i="8"/>
  <c r="N362" i="8"/>
  <c r="I363" i="8"/>
  <c r="K363" i="8"/>
  <c r="L363" i="8"/>
  <c r="M363" i="8"/>
  <c r="N363" i="8"/>
  <c r="I364" i="8"/>
  <c r="K364" i="8"/>
  <c r="L364" i="8"/>
  <c r="M364" i="8"/>
  <c r="N364" i="8"/>
  <c r="I365" i="8"/>
  <c r="K365" i="8"/>
  <c r="L365" i="8"/>
  <c r="M365" i="8"/>
  <c r="N365" i="8"/>
  <c r="I366" i="8"/>
  <c r="K366" i="8"/>
  <c r="L366" i="8"/>
  <c r="M366" i="8"/>
  <c r="N366" i="8"/>
  <c r="I367" i="8"/>
  <c r="K367" i="8"/>
  <c r="L367" i="8"/>
  <c r="M367" i="8"/>
  <c r="N367" i="8"/>
  <c r="I368" i="8"/>
  <c r="K368" i="8"/>
  <c r="L368" i="8"/>
  <c r="M368" i="8"/>
  <c r="N368" i="8"/>
  <c r="I369" i="8"/>
  <c r="K369" i="8"/>
  <c r="L369" i="8"/>
  <c r="M369" i="8"/>
  <c r="N369" i="8"/>
  <c r="I370" i="8"/>
  <c r="K370" i="8"/>
  <c r="L370" i="8"/>
  <c r="M370" i="8"/>
  <c r="N370" i="8"/>
  <c r="I371" i="8"/>
  <c r="K371" i="8"/>
  <c r="L371" i="8"/>
  <c r="M371" i="8"/>
  <c r="N371" i="8"/>
  <c r="I372" i="8"/>
  <c r="K372" i="8"/>
  <c r="L372" i="8"/>
  <c r="M372" i="8"/>
  <c r="N372" i="8"/>
  <c r="I373" i="8"/>
  <c r="K373" i="8"/>
  <c r="L373" i="8"/>
  <c r="M373" i="8"/>
  <c r="N373" i="8"/>
  <c r="I374" i="8"/>
  <c r="K374" i="8"/>
  <c r="L374" i="8"/>
  <c r="M374" i="8"/>
  <c r="N374" i="8"/>
  <c r="I375" i="8"/>
  <c r="K375" i="8"/>
  <c r="L375" i="8"/>
  <c r="M375" i="8"/>
  <c r="N375" i="8"/>
  <c r="I376" i="8"/>
  <c r="K376" i="8"/>
  <c r="L376" i="8"/>
  <c r="M376" i="8"/>
  <c r="N376" i="8"/>
  <c r="I377" i="8"/>
  <c r="K377" i="8"/>
  <c r="L377" i="8"/>
  <c r="M377" i="8"/>
  <c r="N377" i="8"/>
  <c r="I378" i="8"/>
  <c r="K378" i="8"/>
  <c r="L378" i="8"/>
  <c r="M378" i="8"/>
  <c r="N378" i="8"/>
  <c r="I379" i="8"/>
  <c r="K379" i="8"/>
  <c r="L379" i="8"/>
  <c r="M379" i="8"/>
  <c r="N379" i="8"/>
  <c r="I380" i="8"/>
  <c r="K380" i="8"/>
  <c r="L380" i="8"/>
  <c r="M380" i="8"/>
  <c r="N380" i="8"/>
  <c r="I381" i="8"/>
  <c r="K381" i="8"/>
  <c r="L381" i="8"/>
  <c r="M381" i="8"/>
  <c r="N381" i="8"/>
  <c r="I382" i="8"/>
  <c r="K382" i="8"/>
  <c r="L382" i="8"/>
  <c r="M382" i="8"/>
  <c r="N382" i="8"/>
  <c r="I383" i="8"/>
  <c r="K383" i="8"/>
  <c r="L383" i="8"/>
  <c r="M383" i="8"/>
  <c r="N383" i="8"/>
  <c r="I384" i="8"/>
  <c r="K384" i="8"/>
  <c r="L384" i="8"/>
  <c r="M384" i="8"/>
  <c r="N384" i="8"/>
  <c r="I385" i="8"/>
  <c r="K385" i="8"/>
  <c r="L385" i="8"/>
  <c r="M385" i="8"/>
  <c r="N385" i="8"/>
  <c r="I386" i="8"/>
  <c r="K386" i="8"/>
  <c r="L386" i="8"/>
  <c r="M386" i="8"/>
  <c r="N386" i="8"/>
  <c r="I387" i="8"/>
  <c r="K387" i="8"/>
  <c r="L387" i="8"/>
  <c r="M387" i="8"/>
  <c r="N387" i="8"/>
  <c r="I388" i="8"/>
  <c r="K388" i="8"/>
  <c r="L388" i="8"/>
  <c r="M388" i="8"/>
  <c r="N388" i="8"/>
  <c r="I389" i="8"/>
  <c r="K389" i="8"/>
  <c r="L389" i="8"/>
  <c r="M389" i="8"/>
  <c r="N389" i="8"/>
  <c r="I390" i="8"/>
  <c r="K390" i="8"/>
  <c r="L390" i="8"/>
  <c r="M390" i="8"/>
  <c r="N390" i="8"/>
  <c r="I391" i="8"/>
  <c r="K391" i="8"/>
  <c r="L391" i="8"/>
  <c r="M391" i="8"/>
  <c r="N391" i="8"/>
  <c r="I392" i="8"/>
  <c r="K392" i="8"/>
  <c r="L392" i="8"/>
  <c r="M392" i="8"/>
  <c r="N392" i="8"/>
  <c r="I393" i="8"/>
  <c r="K393" i="8"/>
  <c r="L393" i="8"/>
  <c r="M393" i="8"/>
  <c r="N393" i="8"/>
  <c r="I394" i="8"/>
  <c r="K394" i="8"/>
  <c r="L394" i="8"/>
  <c r="M394" i="8"/>
  <c r="N394" i="8"/>
  <c r="I395" i="8"/>
  <c r="K395" i="8"/>
  <c r="L395" i="8"/>
  <c r="M395" i="8"/>
  <c r="N395" i="8"/>
  <c r="I396" i="8"/>
  <c r="K396" i="8"/>
  <c r="L396" i="8"/>
  <c r="M396" i="8"/>
  <c r="N396" i="8"/>
  <c r="I397" i="8"/>
  <c r="K397" i="8"/>
  <c r="L397" i="8"/>
  <c r="M397" i="8"/>
  <c r="N397" i="8"/>
  <c r="I398" i="8"/>
  <c r="K398" i="8"/>
  <c r="L398" i="8"/>
  <c r="M398" i="8"/>
  <c r="N398" i="8"/>
  <c r="I399" i="8"/>
  <c r="K399" i="8"/>
  <c r="L399" i="8"/>
  <c r="M399" i="8"/>
  <c r="N399" i="8"/>
  <c r="I400" i="8"/>
  <c r="K400" i="8"/>
  <c r="L400" i="8"/>
  <c r="M400" i="8"/>
  <c r="N400" i="8"/>
  <c r="I401" i="8"/>
  <c r="K401" i="8"/>
  <c r="L401" i="8"/>
  <c r="M401" i="8"/>
  <c r="N401" i="8"/>
  <c r="I402" i="8"/>
  <c r="K402" i="8"/>
  <c r="L402" i="8"/>
  <c r="M402" i="8"/>
  <c r="N402" i="8"/>
  <c r="I403" i="8"/>
  <c r="K403" i="8"/>
  <c r="L403" i="8"/>
  <c r="M403" i="8"/>
  <c r="N403" i="8"/>
  <c r="I404" i="8"/>
  <c r="K404" i="8"/>
  <c r="L404" i="8"/>
  <c r="M404" i="8"/>
  <c r="N404" i="8"/>
  <c r="I405" i="8"/>
  <c r="K405" i="8"/>
  <c r="L405" i="8"/>
  <c r="M405" i="8"/>
  <c r="N405" i="8"/>
  <c r="I406" i="8"/>
  <c r="K406" i="8"/>
  <c r="L406" i="8"/>
  <c r="M406" i="8"/>
  <c r="N406" i="8"/>
  <c r="I407" i="8"/>
  <c r="K407" i="8"/>
  <c r="L407" i="8"/>
  <c r="M407" i="8"/>
  <c r="N407" i="8"/>
  <c r="I408" i="8"/>
  <c r="K408" i="8"/>
  <c r="L408" i="8"/>
  <c r="M408" i="8"/>
  <c r="N408" i="8"/>
  <c r="I409" i="8"/>
  <c r="K409" i="8"/>
  <c r="L409" i="8"/>
  <c r="M409" i="8"/>
  <c r="N409" i="8"/>
  <c r="I410" i="8"/>
  <c r="K410" i="8"/>
  <c r="L410" i="8"/>
  <c r="M410" i="8"/>
  <c r="N410" i="8"/>
  <c r="I411" i="8"/>
  <c r="K411" i="8"/>
  <c r="L411" i="8"/>
  <c r="M411" i="8"/>
  <c r="N411" i="8"/>
  <c r="I412" i="8"/>
  <c r="K412" i="8"/>
  <c r="L412" i="8"/>
  <c r="M412" i="8"/>
  <c r="N412" i="8"/>
  <c r="I413" i="8"/>
  <c r="K413" i="8"/>
  <c r="L413" i="8"/>
  <c r="M413" i="8"/>
  <c r="N413" i="8"/>
  <c r="I414" i="8"/>
  <c r="K414" i="8"/>
  <c r="L414" i="8"/>
  <c r="M414" i="8"/>
  <c r="N414" i="8"/>
  <c r="I415" i="8"/>
  <c r="K415" i="8"/>
  <c r="L415" i="8"/>
  <c r="M415" i="8"/>
  <c r="N415" i="8"/>
  <c r="I416" i="8"/>
  <c r="K416" i="8"/>
  <c r="L416" i="8"/>
  <c r="M416" i="8"/>
  <c r="N416" i="8"/>
  <c r="I417" i="8"/>
  <c r="K417" i="8"/>
  <c r="L417" i="8"/>
  <c r="M417" i="8"/>
  <c r="N417" i="8"/>
  <c r="I418" i="8"/>
  <c r="K418" i="8"/>
  <c r="L418" i="8"/>
  <c r="M418" i="8"/>
  <c r="N418" i="8"/>
  <c r="I419" i="8"/>
  <c r="K419" i="8"/>
  <c r="L419" i="8"/>
  <c r="M419" i="8"/>
  <c r="N419" i="8"/>
  <c r="I420" i="8"/>
  <c r="K420" i="8"/>
  <c r="L420" i="8"/>
  <c r="M420" i="8"/>
  <c r="N420" i="8"/>
  <c r="I421" i="8"/>
  <c r="K421" i="8"/>
  <c r="L421" i="8"/>
  <c r="M421" i="8"/>
  <c r="N421" i="8"/>
  <c r="I422" i="8"/>
  <c r="K422" i="8"/>
  <c r="L422" i="8"/>
  <c r="M422" i="8"/>
  <c r="N422" i="8"/>
  <c r="I423" i="8"/>
  <c r="K423" i="8"/>
  <c r="L423" i="8"/>
  <c r="M423" i="8"/>
  <c r="N423" i="8"/>
  <c r="I424" i="8"/>
  <c r="K424" i="8"/>
  <c r="L424" i="8"/>
  <c r="M424" i="8"/>
  <c r="N424" i="8"/>
  <c r="I425" i="8"/>
  <c r="K425" i="8"/>
  <c r="L425" i="8"/>
  <c r="M425" i="8"/>
  <c r="N425" i="8"/>
  <c r="I426" i="8"/>
  <c r="K426" i="8"/>
  <c r="L426" i="8"/>
  <c r="M426" i="8"/>
  <c r="N426" i="8"/>
  <c r="I427" i="8"/>
  <c r="K427" i="8"/>
  <c r="L427" i="8"/>
  <c r="M427" i="8"/>
  <c r="N427" i="8"/>
  <c r="I428" i="8"/>
  <c r="K428" i="8"/>
  <c r="L428" i="8"/>
  <c r="M428" i="8"/>
  <c r="N428" i="8"/>
  <c r="I429" i="8"/>
  <c r="K429" i="8"/>
  <c r="L429" i="8"/>
  <c r="M429" i="8"/>
  <c r="N429" i="8"/>
  <c r="I430" i="8"/>
  <c r="K430" i="8"/>
  <c r="L430" i="8"/>
  <c r="M430" i="8"/>
  <c r="N430" i="8"/>
  <c r="I431" i="8"/>
  <c r="K431" i="8"/>
  <c r="L431" i="8"/>
  <c r="M431" i="8"/>
  <c r="N431" i="8"/>
  <c r="I432" i="8"/>
  <c r="K432" i="8"/>
  <c r="L432" i="8"/>
  <c r="M432" i="8"/>
  <c r="N432" i="8"/>
  <c r="I433" i="8"/>
  <c r="K433" i="8"/>
  <c r="L433" i="8"/>
  <c r="M433" i="8"/>
  <c r="N433" i="8"/>
  <c r="I434" i="8"/>
  <c r="K434" i="8"/>
  <c r="L434" i="8"/>
  <c r="M434" i="8"/>
  <c r="N434" i="8"/>
  <c r="I435" i="8"/>
  <c r="K435" i="8"/>
  <c r="L435" i="8"/>
  <c r="M435" i="8"/>
  <c r="N435" i="8"/>
  <c r="I436" i="8"/>
  <c r="K436" i="8"/>
  <c r="L436" i="8"/>
  <c r="M436" i="8"/>
  <c r="N436" i="8"/>
  <c r="I437" i="8"/>
  <c r="K437" i="8"/>
  <c r="L437" i="8"/>
  <c r="M437" i="8"/>
  <c r="N437" i="8"/>
  <c r="I438" i="8"/>
  <c r="K438" i="8"/>
  <c r="L438" i="8"/>
  <c r="M438" i="8"/>
  <c r="N438" i="8"/>
  <c r="I439" i="8"/>
  <c r="K439" i="8"/>
  <c r="L439" i="8"/>
  <c r="M439" i="8"/>
  <c r="N439" i="8"/>
  <c r="I440" i="8"/>
  <c r="K440" i="8"/>
  <c r="L440" i="8"/>
  <c r="M440" i="8"/>
  <c r="N440" i="8"/>
  <c r="I441" i="8"/>
  <c r="K441" i="8"/>
  <c r="L441" i="8"/>
  <c r="M441" i="8"/>
  <c r="N441" i="8"/>
  <c r="I442" i="8"/>
  <c r="K442" i="8"/>
  <c r="L442" i="8"/>
  <c r="M442" i="8"/>
  <c r="N442" i="8"/>
  <c r="I443" i="8"/>
  <c r="K443" i="8"/>
  <c r="L443" i="8"/>
  <c r="M443" i="8"/>
  <c r="N443" i="8"/>
  <c r="I444" i="8"/>
  <c r="K444" i="8"/>
  <c r="L444" i="8"/>
  <c r="M444" i="8"/>
  <c r="N444" i="8"/>
  <c r="I445" i="8"/>
  <c r="K445" i="8"/>
  <c r="L445" i="8"/>
  <c r="M445" i="8"/>
  <c r="N445" i="8"/>
  <c r="I446" i="8"/>
  <c r="K446" i="8"/>
  <c r="L446" i="8"/>
  <c r="M446" i="8"/>
  <c r="N446" i="8"/>
  <c r="I447" i="8"/>
  <c r="K447" i="8"/>
  <c r="L447" i="8"/>
  <c r="M447" i="8"/>
  <c r="N447" i="8"/>
  <c r="I448" i="8"/>
  <c r="K448" i="8"/>
  <c r="L448" i="8"/>
  <c r="M448" i="8"/>
  <c r="N448" i="8"/>
  <c r="I449" i="8"/>
  <c r="K449" i="8"/>
  <c r="L449" i="8"/>
  <c r="M449" i="8"/>
  <c r="N449" i="8"/>
  <c r="I450" i="8"/>
  <c r="K450" i="8"/>
  <c r="L450" i="8"/>
  <c r="M450" i="8"/>
  <c r="N450" i="8"/>
  <c r="I451" i="8"/>
  <c r="K451" i="8"/>
  <c r="L451" i="8"/>
  <c r="M451" i="8"/>
  <c r="N451" i="8"/>
  <c r="I452" i="8"/>
  <c r="K452" i="8"/>
  <c r="L452" i="8"/>
  <c r="M452" i="8"/>
  <c r="N452" i="8"/>
  <c r="I453" i="8"/>
  <c r="K453" i="8"/>
  <c r="L453" i="8"/>
  <c r="M453" i="8"/>
  <c r="N453" i="8"/>
  <c r="I454" i="8"/>
  <c r="K454" i="8"/>
  <c r="L454" i="8"/>
  <c r="M454" i="8"/>
  <c r="N454" i="8"/>
  <c r="I455" i="8"/>
  <c r="K455" i="8"/>
  <c r="L455" i="8"/>
  <c r="M455" i="8"/>
  <c r="N455" i="8"/>
  <c r="I456" i="8"/>
  <c r="K456" i="8"/>
  <c r="L456" i="8"/>
  <c r="M456" i="8"/>
  <c r="N456" i="8"/>
  <c r="I457" i="8"/>
  <c r="K457" i="8"/>
  <c r="L457" i="8"/>
  <c r="M457" i="8"/>
  <c r="N457" i="8"/>
  <c r="I458" i="8"/>
  <c r="K458" i="8"/>
  <c r="L458" i="8"/>
  <c r="M458" i="8"/>
  <c r="N458" i="8"/>
  <c r="I459" i="8"/>
  <c r="K459" i="8"/>
  <c r="L459" i="8"/>
  <c r="M459" i="8"/>
  <c r="N459" i="8"/>
  <c r="I460" i="8"/>
  <c r="K460" i="8"/>
  <c r="L460" i="8"/>
  <c r="M460" i="8"/>
  <c r="N460" i="8"/>
  <c r="I461" i="8"/>
  <c r="K461" i="8"/>
  <c r="L461" i="8"/>
  <c r="M461" i="8"/>
  <c r="N461" i="8"/>
  <c r="I462" i="8"/>
  <c r="K462" i="8"/>
  <c r="L462" i="8"/>
  <c r="M462" i="8"/>
  <c r="N462" i="8"/>
  <c r="I463" i="8"/>
  <c r="K463" i="8"/>
  <c r="L463" i="8"/>
  <c r="M463" i="8"/>
  <c r="N463" i="8"/>
  <c r="I464" i="8"/>
  <c r="K464" i="8"/>
  <c r="L464" i="8"/>
  <c r="M464" i="8"/>
  <c r="N464" i="8"/>
  <c r="I465" i="8"/>
  <c r="K465" i="8"/>
  <c r="L465" i="8"/>
  <c r="M465" i="8"/>
  <c r="N465" i="8"/>
  <c r="I466" i="8"/>
  <c r="K466" i="8"/>
  <c r="L466" i="8"/>
  <c r="M466" i="8"/>
  <c r="N466" i="8"/>
  <c r="I467" i="8"/>
  <c r="K467" i="8"/>
  <c r="L467" i="8"/>
  <c r="M467" i="8"/>
  <c r="N467" i="8"/>
  <c r="I468" i="8"/>
  <c r="K468" i="8"/>
  <c r="L468" i="8"/>
  <c r="M468" i="8"/>
  <c r="N468" i="8"/>
  <c r="I469" i="8"/>
  <c r="K469" i="8"/>
  <c r="L469" i="8"/>
  <c r="M469" i="8"/>
  <c r="N469" i="8"/>
  <c r="I470" i="8"/>
  <c r="K470" i="8"/>
  <c r="L470" i="8"/>
  <c r="M470" i="8"/>
  <c r="N470" i="8"/>
  <c r="I471" i="8"/>
  <c r="K471" i="8"/>
  <c r="L471" i="8"/>
  <c r="M471" i="8"/>
  <c r="N471" i="8"/>
  <c r="I472" i="8"/>
  <c r="K472" i="8"/>
  <c r="L472" i="8"/>
  <c r="M472" i="8"/>
  <c r="N472" i="8"/>
  <c r="I473" i="8"/>
  <c r="K473" i="8"/>
  <c r="L473" i="8"/>
  <c r="M473" i="8"/>
  <c r="N473" i="8"/>
  <c r="I474" i="8"/>
  <c r="K474" i="8"/>
  <c r="L474" i="8"/>
  <c r="M474" i="8"/>
  <c r="N474" i="8"/>
  <c r="I475" i="8"/>
  <c r="K475" i="8"/>
  <c r="L475" i="8"/>
  <c r="M475" i="8"/>
  <c r="N475" i="8"/>
  <c r="I476" i="8"/>
  <c r="K476" i="8"/>
  <c r="L476" i="8"/>
  <c r="M476" i="8"/>
  <c r="N476" i="8"/>
  <c r="I477" i="8"/>
  <c r="K477" i="8"/>
  <c r="L477" i="8"/>
  <c r="M477" i="8"/>
  <c r="N477" i="8"/>
  <c r="I478" i="8"/>
  <c r="K478" i="8"/>
  <c r="L478" i="8"/>
  <c r="M478" i="8"/>
  <c r="N478" i="8"/>
  <c r="I479" i="8"/>
  <c r="K479" i="8"/>
  <c r="L479" i="8"/>
  <c r="M479" i="8"/>
  <c r="N479" i="8"/>
  <c r="I480" i="8"/>
  <c r="K480" i="8"/>
  <c r="L480" i="8"/>
  <c r="M480" i="8"/>
  <c r="N480" i="8"/>
  <c r="I481" i="8"/>
  <c r="K481" i="8"/>
  <c r="L481" i="8"/>
  <c r="M481" i="8"/>
  <c r="N481" i="8"/>
  <c r="I482" i="8"/>
  <c r="K482" i="8"/>
  <c r="L482" i="8"/>
  <c r="M482" i="8"/>
  <c r="N482" i="8"/>
  <c r="I483" i="8"/>
  <c r="K483" i="8"/>
  <c r="L483" i="8"/>
  <c r="M483" i="8"/>
  <c r="N483" i="8"/>
  <c r="I484" i="8"/>
  <c r="K484" i="8"/>
  <c r="L484" i="8"/>
  <c r="M484" i="8"/>
  <c r="N484" i="8"/>
  <c r="I485" i="8"/>
  <c r="K485" i="8"/>
  <c r="L485" i="8"/>
  <c r="M485" i="8"/>
  <c r="N485" i="8"/>
  <c r="I486" i="8"/>
  <c r="K486" i="8"/>
  <c r="L486" i="8"/>
  <c r="M486" i="8"/>
  <c r="N486" i="8"/>
  <c r="I487" i="8"/>
  <c r="K487" i="8"/>
  <c r="L487" i="8"/>
  <c r="M487" i="8"/>
  <c r="N487" i="8"/>
  <c r="I488" i="8"/>
  <c r="K488" i="8"/>
  <c r="L488" i="8"/>
  <c r="M488" i="8"/>
  <c r="N488" i="8"/>
  <c r="I489" i="8"/>
  <c r="K489" i="8"/>
  <c r="L489" i="8"/>
  <c r="M489" i="8"/>
  <c r="N489" i="8"/>
  <c r="I490" i="8"/>
  <c r="K490" i="8"/>
  <c r="L490" i="8"/>
  <c r="M490" i="8"/>
  <c r="N490" i="8"/>
  <c r="I491" i="8"/>
  <c r="K491" i="8"/>
  <c r="L491" i="8"/>
  <c r="M491" i="8"/>
  <c r="N491" i="8"/>
  <c r="I492" i="8"/>
  <c r="K492" i="8"/>
  <c r="L492" i="8"/>
  <c r="M492" i="8"/>
  <c r="N492" i="8"/>
  <c r="I493" i="8"/>
  <c r="K493" i="8"/>
  <c r="L493" i="8"/>
  <c r="M493" i="8"/>
  <c r="N493" i="8"/>
  <c r="I494" i="8"/>
  <c r="K494" i="8"/>
  <c r="L494" i="8"/>
  <c r="M494" i="8"/>
  <c r="N494" i="8"/>
  <c r="I495" i="8"/>
  <c r="K495" i="8"/>
  <c r="L495" i="8"/>
  <c r="M495" i="8"/>
  <c r="N495" i="8"/>
  <c r="I496" i="8"/>
  <c r="K496" i="8"/>
  <c r="L496" i="8"/>
  <c r="M496" i="8"/>
  <c r="N496" i="8"/>
  <c r="I497" i="8"/>
  <c r="K497" i="8"/>
  <c r="L497" i="8"/>
  <c r="M497" i="8"/>
  <c r="N497" i="8"/>
  <c r="I498" i="8"/>
  <c r="K498" i="8"/>
  <c r="L498" i="8"/>
  <c r="M498" i="8"/>
  <c r="N498" i="8"/>
  <c r="I499" i="8"/>
  <c r="K499" i="8"/>
  <c r="L499" i="8"/>
  <c r="M499" i="8"/>
  <c r="N499" i="8"/>
  <c r="I500" i="8"/>
  <c r="K500" i="8"/>
  <c r="L500" i="8"/>
  <c r="M500" i="8"/>
  <c r="N500" i="8"/>
  <c r="I501" i="8"/>
  <c r="K501" i="8"/>
  <c r="L501" i="8"/>
  <c r="M501" i="8"/>
  <c r="N501" i="8"/>
  <c r="I502" i="8"/>
  <c r="K502" i="8"/>
  <c r="L502" i="8"/>
  <c r="M502" i="8"/>
  <c r="N502" i="8"/>
  <c r="I503" i="8"/>
  <c r="K503" i="8"/>
  <c r="L503" i="8"/>
  <c r="M503" i="8"/>
  <c r="N503" i="8"/>
  <c r="I504" i="8"/>
  <c r="K504" i="8"/>
  <c r="L504" i="8"/>
  <c r="M504" i="8"/>
  <c r="N504" i="8"/>
  <c r="I505" i="8"/>
  <c r="K505" i="8"/>
  <c r="L505" i="8"/>
  <c r="M505" i="8"/>
  <c r="N505" i="8"/>
  <c r="I506" i="8"/>
  <c r="K506" i="8"/>
  <c r="L506" i="8"/>
  <c r="M506" i="8"/>
  <c r="N506" i="8"/>
  <c r="I507" i="8"/>
  <c r="K507" i="8"/>
  <c r="L507" i="8"/>
  <c r="M507" i="8"/>
  <c r="N507" i="8"/>
  <c r="I508" i="8"/>
  <c r="K508" i="8"/>
  <c r="L508" i="8"/>
  <c r="M508" i="8"/>
  <c r="N508" i="8"/>
  <c r="I509" i="8"/>
  <c r="K509" i="8"/>
  <c r="L509" i="8"/>
  <c r="M509" i="8"/>
  <c r="N509" i="8"/>
  <c r="I510" i="8"/>
  <c r="K510" i="8"/>
  <c r="L510" i="8"/>
  <c r="M510" i="8"/>
  <c r="N510" i="8"/>
  <c r="I511" i="8"/>
  <c r="K511" i="8"/>
  <c r="L511" i="8"/>
  <c r="M511" i="8"/>
  <c r="N511" i="8"/>
  <c r="I512" i="8"/>
  <c r="K512" i="8"/>
  <c r="L512" i="8"/>
  <c r="M512" i="8"/>
  <c r="N512" i="8"/>
  <c r="I513" i="8"/>
  <c r="K513" i="8"/>
  <c r="L513" i="8"/>
  <c r="M513" i="8"/>
  <c r="N513" i="8"/>
  <c r="I514" i="8"/>
  <c r="K514" i="8"/>
  <c r="L514" i="8"/>
  <c r="M514" i="8"/>
  <c r="N514" i="8"/>
  <c r="I515" i="8"/>
  <c r="K515" i="8"/>
  <c r="L515" i="8"/>
  <c r="M515" i="8"/>
  <c r="N515" i="8"/>
  <c r="I516" i="8"/>
  <c r="K516" i="8"/>
  <c r="L516" i="8"/>
  <c r="M516" i="8"/>
  <c r="N516" i="8"/>
  <c r="I517" i="8"/>
  <c r="K517" i="8"/>
  <c r="L517" i="8"/>
  <c r="M517" i="8"/>
  <c r="N517" i="8"/>
  <c r="I518" i="8"/>
  <c r="K518" i="8"/>
  <c r="L518" i="8"/>
  <c r="M518" i="8"/>
  <c r="N518" i="8"/>
  <c r="I519" i="8"/>
  <c r="K519" i="8"/>
  <c r="L519" i="8"/>
  <c r="M519" i="8"/>
  <c r="N519" i="8"/>
  <c r="I520" i="8"/>
  <c r="K520" i="8"/>
  <c r="L520" i="8"/>
  <c r="M520" i="8"/>
  <c r="N520" i="8"/>
  <c r="I521" i="8"/>
  <c r="K521" i="8"/>
  <c r="L521" i="8"/>
  <c r="M521" i="8"/>
  <c r="N521" i="8"/>
  <c r="I522" i="8"/>
  <c r="K522" i="8"/>
  <c r="L522" i="8"/>
  <c r="M522" i="8"/>
  <c r="N522" i="8"/>
  <c r="I523" i="8"/>
  <c r="K523" i="8"/>
  <c r="L523" i="8"/>
  <c r="M523" i="8"/>
  <c r="N523" i="8"/>
  <c r="I524" i="8"/>
  <c r="K524" i="8"/>
  <c r="L524" i="8"/>
  <c r="M524" i="8"/>
  <c r="N524" i="8"/>
  <c r="I525" i="8"/>
  <c r="K525" i="8"/>
  <c r="L525" i="8"/>
  <c r="M525" i="8"/>
  <c r="N525" i="8"/>
  <c r="I526" i="8"/>
  <c r="K526" i="8"/>
  <c r="L526" i="8"/>
  <c r="M526" i="8"/>
  <c r="N526" i="8"/>
  <c r="I527" i="8"/>
  <c r="K527" i="8"/>
  <c r="L527" i="8"/>
  <c r="M527" i="8"/>
  <c r="N527" i="8"/>
  <c r="I528" i="8"/>
  <c r="K528" i="8"/>
  <c r="L528" i="8"/>
  <c r="M528" i="8"/>
  <c r="N528" i="8"/>
  <c r="I529" i="8"/>
  <c r="K529" i="8"/>
  <c r="L529" i="8"/>
  <c r="M529" i="8"/>
  <c r="N529" i="8"/>
  <c r="I530" i="8"/>
  <c r="K530" i="8"/>
  <c r="L530" i="8"/>
  <c r="M530" i="8"/>
  <c r="N530" i="8"/>
  <c r="I531" i="8"/>
  <c r="K531" i="8"/>
  <c r="L531" i="8"/>
  <c r="M531" i="8"/>
  <c r="N531" i="8"/>
  <c r="I532" i="8"/>
  <c r="K532" i="8"/>
  <c r="L532" i="8"/>
  <c r="M532" i="8"/>
  <c r="N532" i="8"/>
  <c r="I533" i="8"/>
  <c r="K533" i="8"/>
  <c r="L533" i="8"/>
  <c r="M533" i="8"/>
  <c r="N533" i="8"/>
  <c r="I534" i="8"/>
  <c r="K534" i="8"/>
  <c r="L534" i="8"/>
  <c r="M534" i="8"/>
  <c r="N534" i="8"/>
  <c r="I535" i="8"/>
  <c r="K535" i="8"/>
  <c r="L535" i="8"/>
  <c r="M535" i="8"/>
  <c r="N535" i="8"/>
  <c r="I536" i="8"/>
  <c r="K536" i="8"/>
  <c r="L536" i="8"/>
  <c r="M536" i="8"/>
  <c r="N536" i="8"/>
  <c r="I537" i="8"/>
  <c r="K537" i="8"/>
  <c r="L537" i="8"/>
  <c r="M537" i="8"/>
  <c r="N537" i="8"/>
  <c r="I538" i="8"/>
  <c r="K538" i="8"/>
  <c r="L538" i="8"/>
  <c r="M538" i="8"/>
  <c r="N538" i="8"/>
  <c r="I539" i="8"/>
  <c r="K539" i="8"/>
  <c r="L539" i="8"/>
  <c r="M539" i="8"/>
  <c r="N539" i="8"/>
  <c r="I540" i="8"/>
  <c r="K540" i="8"/>
  <c r="L540" i="8"/>
  <c r="M540" i="8"/>
  <c r="N540" i="8"/>
  <c r="I541" i="8"/>
  <c r="K541" i="8"/>
  <c r="L541" i="8"/>
  <c r="M541" i="8"/>
  <c r="N541" i="8"/>
  <c r="I542" i="8"/>
  <c r="K542" i="8"/>
  <c r="L542" i="8"/>
  <c r="M542" i="8"/>
  <c r="N542" i="8"/>
  <c r="I543" i="8"/>
  <c r="K543" i="8"/>
  <c r="L543" i="8"/>
  <c r="M543" i="8"/>
  <c r="N543" i="8"/>
  <c r="I544" i="8"/>
  <c r="K544" i="8"/>
  <c r="L544" i="8"/>
  <c r="M544" i="8"/>
  <c r="N544" i="8"/>
  <c r="I545" i="8"/>
  <c r="K545" i="8"/>
  <c r="L545" i="8"/>
  <c r="M545" i="8"/>
  <c r="N545" i="8"/>
  <c r="I546" i="8"/>
  <c r="K546" i="8"/>
  <c r="L546" i="8"/>
  <c r="M546" i="8"/>
  <c r="N546" i="8"/>
  <c r="I547" i="8"/>
  <c r="K547" i="8"/>
  <c r="L547" i="8"/>
  <c r="M547" i="8"/>
  <c r="N547" i="8"/>
  <c r="I548" i="8"/>
  <c r="K548" i="8"/>
  <c r="L548" i="8"/>
  <c r="M548" i="8"/>
  <c r="N548" i="8"/>
  <c r="I549" i="8"/>
  <c r="K549" i="8"/>
  <c r="L549" i="8"/>
  <c r="M549" i="8"/>
  <c r="N549" i="8"/>
  <c r="I550" i="8"/>
  <c r="K550" i="8"/>
  <c r="L550" i="8"/>
  <c r="M550" i="8"/>
  <c r="N550" i="8"/>
  <c r="I551" i="8"/>
  <c r="K551" i="8"/>
  <c r="L551" i="8"/>
  <c r="M551" i="8"/>
  <c r="N551" i="8"/>
  <c r="I552" i="8"/>
  <c r="K552" i="8"/>
  <c r="L552" i="8"/>
  <c r="M552" i="8"/>
  <c r="N552" i="8"/>
  <c r="I553" i="8"/>
  <c r="K553" i="8"/>
  <c r="L553" i="8"/>
  <c r="M553" i="8"/>
  <c r="N553" i="8"/>
  <c r="I554" i="8"/>
  <c r="K554" i="8"/>
  <c r="L554" i="8"/>
  <c r="M554" i="8"/>
  <c r="N554" i="8"/>
  <c r="I555" i="8"/>
  <c r="K555" i="8"/>
  <c r="L555" i="8"/>
  <c r="M555" i="8"/>
  <c r="N555" i="8"/>
  <c r="I556" i="8"/>
  <c r="K556" i="8"/>
  <c r="L556" i="8"/>
  <c r="M556" i="8"/>
  <c r="N556" i="8"/>
  <c r="I557" i="8"/>
  <c r="K557" i="8"/>
  <c r="L557" i="8"/>
  <c r="M557" i="8"/>
  <c r="N557" i="8"/>
  <c r="I558" i="8"/>
  <c r="K558" i="8"/>
  <c r="L558" i="8"/>
  <c r="M558" i="8"/>
  <c r="N558" i="8"/>
  <c r="I559" i="8"/>
  <c r="K559" i="8"/>
  <c r="L559" i="8"/>
  <c r="M559" i="8"/>
  <c r="N559" i="8"/>
  <c r="I560" i="8"/>
  <c r="K560" i="8"/>
  <c r="L560" i="8"/>
  <c r="M560" i="8"/>
  <c r="N560" i="8"/>
  <c r="I561" i="8"/>
  <c r="K561" i="8"/>
  <c r="L561" i="8"/>
  <c r="M561" i="8"/>
  <c r="N561" i="8"/>
  <c r="I562" i="8"/>
  <c r="K562" i="8"/>
  <c r="L562" i="8"/>
  <c r="M562" i="8"/>
  <c r="N562" i="8"/>
  <c r="I563" i="8"/>
  <c r="K563" i="8"/>
  <c r="L563" i="8"/>
  <c r="M563" i="8"/>
  <c r="N563" i="8"/>
  <c r="I564" i="8"/>
  <c r="K564" i="8"/>
  <c r="L564" i="8"/>
  <c r="M564" i="8"/>
  <c r="N564" i="8"/>
  <c r="I565" i="8"/>
  <c r="K565" i="8"/>
  <c r="L565" i="8"/>
  <c r="M565" i="8"/>
  <c r="N565" i="8"/>
  <c r="I566" i="8"/>
  <c r="K566" i="8"/>
  <c r="L566" i="8"/>
  <c r="M566" i="8"/>
  <c r="N566" i="8"/>
  <c r="I567" i="8"/>
  <c r="K567" i="8"/>
  <c r="L567" i="8"/>
  <c r="M567" i="8"/>
  <c r="N567" i="8"/>
  <c r="I568" i="8"/>
  <c r="K568" i="8"/>
  <c r="L568" i="8"/>
  <c r="M568" i="8"/>
  <c r="N568" i="8"/>
  <c r="I569" i="8"/>
  <c r="K569" i="8"/>
  <c r="L569" i="8"/>
  <c r="M569" i="8"/>
  <c r="N569" i="8"/>
  <c r="I570" i="8"/>
  <c r="K570" i="8"/>
  <c r="L570" i="8"/>
  <c r="M570" i="8"/>
  <c r="N570" i="8"/>
  <c r="I571" i="8"/>
  <c r="K571" i="8"/>
  <c r="L571" i="8"/>
  <c r="M571" i="8"/>
  <c r="N571" i="8"/>
  <c r="I572" i="8"/>
  <c r="K572" i="8"/>
  <c r="L572" i="8"/>
  <c r="M572" i="8"/>
  <c r="N572" i="8"/>
  <c r="I573" i="8"/>
  <c r="K573" i="8"/>
  <c r="L573" i="8"/>
  <c r="M573" i="8"/>
  <c r="N573" i="8"/>
  <c r="I574" i="8"/>
  <c r="K574" i="8"/>
  <c r="L574" i="8"/>
  <c r="M574" i="8"/>
  <c r="N574" i="8"/>
  <c r="I575" i="8"/>
  <c r="K575" i="8"/>
  <c r="L575" i="8"/>
  <c r="M575" i="8"/>
  <c r="N575" i="8"/>
  <c r="I576" i="8"/>
  <c r="K576" i="8"/>
  <c r="L576" i="8"/>
  <c r="M576" i="8"/>
  <c r="N576" i="8"/>
  <c r="I577" i="8"/>
  <c r="K577" i="8"/>
  <c r="L577" i="8"/>
  <c r="M577" i="8"/>
  <c r="N577" i="8"/>
  <c r="I578" i="8"/>
  <c r="K578" i="8"/>
  <c r="L578" i="8"/>
  <c r="M578" i="8"/>
  <c r="N578" i="8"/>
  <c r="I579" i="8"/>
  <c r="K579" i="8"/>
  <c r="L579" i="8"/>
  <c r="M579" i="8"/>
  <c r="N579" i="8"/>
  <c r="I580" i="8"/>
  <c r="K580" i="8"/>
  <c r="L580" i="8"/>
  <c r="M580" i="8"/>
  <c r="N580" i="8"/>
  <c r="I581" i="8"/>
  <c r="K581" i="8"/>
  <c r="L581" i="8"/>
  <c r="M581" i="8"/>
  <c r="N581" i="8"/>
  <c r="I582" i="8"/>
  <c r="K582" i="8"/>
  <c r="L582" i="8"/>
  <c r="M582" i="8"/>
  <c r="N582" i="8"/>
  <c r="I583" i="8"/>
  <c r="K583" i="8"/>
  <c r="L583" i="8"/>
  <c r="M583" i="8"/>
  <c r="N583" i="8"/>
  <c r="I584" i="8"/>
  <c r="K584" i="8"/>
  <c r="L584" i="8"/>
  <c r="M584" i="8"/>
  <c r="N584" i="8"/>
  <c r="I585" i="8"/>
  <c r="K585" i="8"/>
  <c r="L585" i="8"/>
  <c r="M585" i="8"/>
  <c r="N585" i="8"/>
  <c r="I586" i="8"/>
  <c r="K586" i="8"/>
  <c r="L586" i="8"/>
  <c r="M586" i="8"/>
  <c r="N586" i="8"/>
  <c r="I587" i="8"/>
  <c r="K587" i="8"/>
  <c r="L587" i="8"/>
  <c r="M587" i="8"/>
  <c r="N587" i="8"/>
  <c r="I588" i="8"/>
  <c r="K588" i="8"/>
  <c r="L588" i="8"/>
  <c r="M588" i="8"/>
  <c r="N588" i="8"/>
  <c r="I589" i="8"/>
  <c r="K589" i="8"/>
  <c r="L589" i="8"/>
  <c r="M589" i="8"/>
  <c r="N589" i="8"/>
  <c r="I590" i="8"/>
  <c r="K590" i="8"/>
  <c r="L590" i="8"/>
  <c r="M590" i="8"/>
  <c r="N590" i="8"/>
  <c r="I591" i="8"/>
  <c r="K591" i="8"/>
  <c r="L591" i="8"/>
  <c r="M591" i="8"/>
  <c r="N591" i="8"/>
  <c r="I592" i="8"/>
  <c r="K592" i="8"/>
  <c r="L592" i="8"/>
  <c r="M592" i="8"/>
  <c r="N592" i="8"/>
  <c r="I593" i="8"/>
  <c r="K593" i="8"/>
  <c r="L593" i="8"/>
  <c r="M593" i="8"/>
  <c r="N593" i="8"/>
  <c r="I594" i="8"/>
  <c r="K594" i="8"/>
  <c r="L594" i="8"/>
  <c r="M594" i="8"/>
  <c r="N594" i="8"/>
  <c r="I595" i="8"/>
  <c r="K595" i="8"/>
  <c r="L595" i="8"/>
  <c r="M595" i="8"/>
  <c r="N595" i="8"/>
  <c r="I596" i="8"/>
  <c r="K596" i="8"/>
  <c r="L596" i="8"/>
  <c r="M596" i="8"/>
  <c r="N596" i="8"/>
  <c r="I597" i="8"/>
  <c r="K597" i="8"/>
  <c r="L597" i="8"/>
  <c r="M597" i="8"/>
  <c r="N597" i="8"/>
  <c r="I598" i="8"/>
  <c r="K598" i="8"/>
  <c r="L598" i="8"/>
  <c r="M598" i="8"/>
  <c r="N598" i="8"/>
  <c r="I599" i="8"/>
  <c r="K599" i="8"/>
  <c r="L599" i="8"/>
  <c r="M599" i="8"/>
  <c r="N599" i="8"/>
  <c r="I600" i="8"/>
  <c r="K600" i="8"/>
  <c r="L600" i="8"/>
  <c r="M600" i="8"/>
  <c r="N600" i="8"/>
  <c r="I601" i="8"/>
  <c r="K601" i="8"/>
  <c r="L601" i="8"/>
  <c r="M601" i="8"/>
  <c r="N601" i="8"/>
  <c r="I602" i="8"/>
  <c r="K602" i="8"/>
  <c r="L602" i="8"/>
  <c r="M602" i="8"/>
  <c r="N602" i="8"/>
  <c r="I603" i="8"/>
  <c r="K603" i="8"/>
  <c r="L603" i="8"/>
  <c r="M603" i="8"/>
  <c r="N603" i="8"/>
  <c r="I604" i="8"/>
  <c r="K604" i="8"/>
  <c r="L604" i="8"/>
  <c r="M604" i="8"/>
  <c r="N604" i="8"/>
  <c r="I605" i="8"/>
  <c r="K605" i="8"/>
  <c r="L605" i="8"/>
  <c r="M605" i="8"/>
  <c r="N605" i="8"/>
  <c r="I606" i="8"/>
  <c r="K606" i="8"/>
  <c r="L606" i="8"/>
  <c r="M606" i="8"/>
  <c r="N606" i="8"/>
  <c r="I607" i="8"/>
  <c r="K607" i="8"/>
  <c r="L607" i="8"/>
  <c r="M607" i="8"/>
  <c r="N607" i="8"/>
  <c r="I608" i="8"/>
  <c r="K608" i="8"/>
  <c r="L608" i="8"/>
  <c r="M608" i="8"/>
  <c r="N608" i="8"/>
  <c r="I609" i="8"/>
  <c r="K609" i="8"/>
  <c r="L609" i="8"/>
  <c r="M609" i="8"/>
  <c r="N609" i="8"/>
  <c r="I610" i="8"/>
  <c r="K610" i="8"/>
  <c r="L610" i="8"/>
  <c r="M610" i="8"/>
  <c r="N610" i="8"/>
  <c r="I611" i="8"/>
  <c r="K611" i="8"/>
  <c r="L611" i="8"/>
  <c r="M611" i="8"/>
  <c r="N611" i="8"/>
  <c r="I612" i="8"/>
  <c r="K612" i="8"/>
  <c r="L612" i="8"/>
  <c r="M612" i="8"/>
  <c r="N612" i="8"/>
  <c r="I613" i="8"/>
  <c r="K613" i="8"/>
  <c r="L613" i="8"/>
  <c r="M613" i="8"/>
  <c r="N613" i="8"/>
  <c r="I614" i="8"/>
  <c r="K614" i="8"/>
  <c r="L614" i="8"/>
  <c r="M614" i="8"/>
  <c r="N614" i="8"/>
  <c r="I615" i="8"/>
  <c r="K615" i="8"/>
  <c r="L615" i="8"/>
  <c r="M615" i="8"/>
  <c r="N615" i="8"/>
  <c r="I616" i="8"/>
  <c r="K616" i="8"/>
  <c r="L616" i="8"/>
  <c r="M616" i="8"/>
  <c r="N616" i="8"/>
  <c r="I617" i="8"/>
  <c r="K617" i="8"/>
  <c r="L617" i="8"/>
  <c r="M617" i="8"/>
  <c r="N617" i="8"/>
  <c r="I618" i="8"/>
  <c r="K618" i="8"/>
  <c r="L618" i="8"/>
  <c r="M618" i="8"/>
  <c r="N618" i="8"/>
  <c r="I619" i="8"/>
  <c r="K619" i="8"/>
  <c r="L619" i="8"/>
  <c r="M619" i="8"/>
  <c r="N619" i="8"/>
  <c r="I620" i="8"/>
  <c r="K620" i="8"/>
  <c r="L620" i="8"/>
  <c r="M620" i="8"/>
  <c r="N620" i="8"/>
  <c r="I621" i="8"/>
  <c r="K621" i="8"/>
  <c r="L621" i="8"/>
  <c r="M621" i="8"/>
  <c r="N621" i="8"/>
  <c r="I622" i="8"/>
  <c r="K622" i="8"/>
  <c r="L622" i="8"/>
  <c r="M622" i="8"/>
  <c r="N622" i="8"/>
  <c r="I623" i="8"/>
  <c r="K623" i="8"/>
  <c r="L623" i="8"/>
  <c r="M623" i="8"/>
  <c r="N623" i="8"/>
  <c r="I624" i="8"/>
  <c r="K624" i="8"/>
  <c r="L624" i="8"/>
  <c r="M624" i="8"/>
  <c r="N624" i="8"/>
  <c r="I625" i="8"/>
  <c r="K625" i="8"/>
  <c r="L625" i="8"/>
  <c r="M625" i="8"/>
  <c r="N625" i="8"/>
  <c r="I626" i="8"/>
  <c r="K626" i="8"/>
  <c r="L626" i="8"/>
  <c r="M626" i="8"/>
  <c r="N626" i="8"/>
  <c r="I627" i="8"/>
  <c r="K627" i="8"/>
  <c r="L627" i="8"/>
  <c r="M627" i="8"/>
  <c r="N627" i="8"/>
  <c r="I628" i="8"/>
  <c r="K628" i="8"/>
  <c r="L628" i="8"/>
  <c r="M628" i="8"/>
  <c r="N628" i="8"/>
  <c r="I629" i="8"/>
  <c r="K629" i="8"/>
  <c r="L629" i="8"/>
  <c r="M629" i="8"/>
  <c r="N629" i="8"/>
  <c r="I630" i="8"/>
  <c r="K630" i="8"/>
  <c r="L630" i="8"/>
  <c r="M630" i="8"/>
  <c r="N630" i="8"/>
  <c r="I631" i="8"/>
  <c r="K631" i="8"/>
  <c r="L631" i="8"/>
  <c r="M631" i="8"/>
  <c r="N631" i="8"/>
  <c r="I632" i="8"/>
  <c r="K632" i="8"/>
  <c r="L632" i="8"/>
  <c r="M632" i="8"/>
  <c r="N632" i="8"/>
  <c r="I633" i="8"/>
  <c r="K633" i="8"/>
  <c r="L633" i="8"/>
  <c r="M633" i="8"/>
  <c r="N633" i="8"/>
  <c r="I634" i="8"/>
  <c r="K634" i="8"/>
  <c r="L634" i="8"/>
  <c r="M634" i="8"/>
  <c r="N634" i="8"/>
  <c r="I635" i="8"/>
  <c r="K635" i="8"/>
  <c r="L635" i="8"/>
  <c r="M635" i="8"/>
  <c r="N635" i="8"/>
  <c r="I636" i="8"/>
  <c r="K636" i="8"/>
  <c r="L636" i="8"/>
  <c r="M636" i="8"/>
  <c r="N636" i="8"/>
  <c r="I637" i="8"/>
  <c r="K637" i="8"/>
  <c r="L637" i="8"/>
  <c r="M637" i="8"/>
  <c r="N637" i="8"/>
  <c r="I638" i="8"/>
  <c r="K638" i="8"/>
  <c r="L638" i="8"/>
  <c r="M638" i="8"/>
  <c r="N638" i="8"/>
  <c r="I639" i="8"/>
  <c r="K639" i="8"/>
  <c r="L639" i="8"/>
  <c r="M639" i="8"/>
  <c r="N639" i="8"/>
  <c r="I640" i="8"/>
  <c r="K640" i="8"/>
  <c r="L640" i="8"/>
  <c r="M640" i="8"/>
  <c r="N640" i="8"/>
  <c r="I641" i="8"/>
  <c r="K641" i="8"/>
  <c r="L641" i="8"/>
  <c r="M641" i="8"/>
  <c r="N641" i="8"/>
  <c r="I642" i="8"/>
  <c r="K642" i="8"/>
  <c r="L642" i="8"/>
  <c r="M642" i="8"/>
  <c r="N642" i="8"/>
  <c r="I643" i="8"/>
  <c r="K643" i="8"/>
  <c r="L643" i="8"/>
  <c r="M643" i="8"/>
  <c r="N643" i="8"/>
  <c r="I644" i="8"/>
  <c r="K644" i="8"/>
  <c r="L644" i="8"/>
  <c r="M644" i="8"/>
  <c r="N644" i="8"/>
  <c r="I645" i="8"/>
  <c r="K645" i="8"/>
  <c r="L645" i="8"/>
  <c r="M645" i="8"/>
  <c r="N645" i="8"/>
  <c r="I646" i="8"/>
  <c r="K646" i="8"/>
  <c r="L646" i="8"/>
  <c r="M646" i="8"/>
  <c r="N646" i="8"/>
  <c r="I647" i="8"/>
  <c r="K647" i="8"/>
  <c r="L647" i="8"/>
  <c r="M647" i="8"/>
  <c r="N647" i="8"/>
  <c r="I648" i="8"/>
  <c r="K648" i="8"/>
  <c r="L648" i="8"/>
  <c r="M648" i="8"/>
  <c r="N648" i="8"/>
  <c r="I649" i="8"/>
  <c r="K649" i="8"/>
  <c r="L649" i="8"/>
  <c r="M649" i="8"/>
  <c r="N649" i="8"/>
  <c r="I650" i="8"/>
  <c r="K650" i="8"/>
  <c r="L650" i="8"/>
  <c r="M650" i="8"/>
  <c r="N650" i="8"/>
  <c r="I651" i="8"/>
  <c r="K651" i="8"/>
  <c r="L651" i="8"/>
  <c r="M651" i="8"/>
  <c r="N651" i="8"/>
  <c r="I652" i="8"/>
  <c r="K652" i="8"/>
  <c r="L652" i="8"/>
  <c r="M652" i="8"/>
  <c r="N652" i="8"/>
  <c r="I653" i="8"/>
  <c r="K653" i="8"/>
  <c r="L653" i="8"/>
  <c r="M653" i="8"/>
  <c r="N653" i="8"/>
  <c r="I654" i="8"/>
  <c r="K654" i="8"/>
  <c r="L654" i="8"/>
  <c r="M654" i="8"/>
  <c r="N654" i="8"/>
  <c r="I655" i="8"/>
  <c r="K655" i="8"/>
  <c r="L655" i="8"/>
  <c r="M655" i="8"/>
  <c r="N655" i="8"/>
  <c r="I656" i="8"/>
  <c r="K656" i="8"/>
  <c r="L656" i="8"/>
  <c r="M656" i="8"/>
  <c r="N656" i="8"/>
  <c r="I657" i="8"/>
  <c r="K657" i="8"/>
  <c r="L657" i="8"/>
  <c r="M657" i="8"/>
  <c r="N657" i="8"/>
  <c r="I658" i="8"/>
  <c r="K658" i="8"/>
  <c r="L658" i="8"/>
  <c r="M658" i="8"/>
  <c r="N658" i="8"/>
  <c r="I659" i="8"/>
  <c r="K659" i="8"/>
  <c r="L659" i="8"/>
  <c r="M659" i="8"/>
  <c r="N659" i="8"/>
  <c r="I660" i="8"/>
  <c r="K660" i="8"/>
  <c r="L660" i="8"/>
  <c r="M660" i="8"/>
  <c r="N660" i="8"/>
  <c r="I661" i="8"/>
  <c r="K661" i="8"/>
  <c r="L661" i="8"/>
  <c r="M661" i="8"/>
  <c r="N661" i="8"/>
  <c r="I662" i="8"/>
  <c r="K662" i="8"/>
  <c r="L662" i="8"/>
  <c r="M662" i="8"/>
  <c r="N662" i="8"/>
  <c r="I663" i="8"/>
  <c r="K663" i="8"/>
  <c r="L663" i="8"/>
  <c r="M663" i="8"/>
  <c r="N663" i="8"/>
  <c r="I664" i="8"/>
  <c r="K664" i="8"/>
  <c r="L664" i="8"/>
  <c r="M664" i="8"/>
  <c r="N664" i="8"/>
  <c r="I665" i="8"/>
  <c r="K665" i="8"/>
  <c r="L665" i="8"/>
  <c r="M665" i="8"/>
  <c r="N665" i="8"/>
  <c r="I666" i="8"/>
  <c r="K666" i="8"/>
  <c r="L666" i="8"/>
  <c r="M666" i="8"/>
  <c r="N666" i="8"/>
  <c r="I667" i="8"/>
  <c r="K667" i="8"/>
  <c r="L667" i="8"/>
  <c r="M667" i="8"/>
  <c r="N667" i="8"/>
  <c r="I668" i="8"/>
  <c r="K668" i="8"/>
  <c r="L668" i="8"/>
  <c r="M668" i="8"/>
  <c r="N668" i="8"/>
  <c r="I669" i="8"/>
  <c r="K669" i="8"/>
  <c r="L669" i="8"/>
  <c r="M669" i="8"/>
  <c r="N669" i="8"/>
  <c r="I670" i="8"/>
  <c r="K670" i="8"/>
  <c r="L670" i="8"/>
  <c r="M670" i="8"/>
  <c r="N670" i="8"/>
  <c r="I671" i="8"/>
  <c r="K671" i="8"/>
  <c r="L671" i="8"/>
  <c r="M671" i="8"/>
  <c r="N671" i="8"/>
  <c r="I672" i="8"/>
  <c r="K672" i="8"/>
  <c r="L672" i="8"/>
  <c r="M672" i="8"/>
  <c r="N672" i="8"/>
  <c r="I673" i="8"/>
  <c r="K673" i="8"/>
  <c r="L673" i="8"/>
  <c r="M673" i="8"/>
  <c r="N673" i="8"/>
  <c r="I674" i="8"/>
  <c r="K674" i="8"/>
  <c r="L674" i="8"/>
  <c r="M674" i="8"/>
  <c r="N674" i="8"/>
  <c r="I675" i="8"/>
  <c r="K675" i="8"/>
  <c r="L675" i="8"/>
  <c r="M675" i="8"/>
  <c r="N675" i="8"/>
  <c r="I676" i="8"/>
  <c r="K676" i="8"/>
  <c r="L676" i="8"/>
  <c r="M676" i="8"/>
  <c r="N676" i="8"/>
  <c r="I677" i="8"/>
  <c r="K677" i="8"/>
  <c r="L677" i="8"/>
  <c r="M677" i="8"/>
  <c r="N677" i="8"/>
  <c r="I678" i="8"/>
  <c r="K678" i="8"/>
  <c r="L678" i="8"/>
  <c r="M678" i="8"/>
  <c r="N678" i="8"/>
  <c r="I679" i="8"/>
  <c r="K679" i="8"/>
  <c r="L679" i="8"/>
  <c r="M679" i="8"/>
  <c r="N679" i="8"/>
  <c r="I680" i="8"/>
  <c r="K680" i="8"/>
  <c r="L680" i="8"/>
  <c r="M680" i="8"/>
  <c r="N680" i="8"/>
  <c r="I681" i="8"/>
  <c r="K681" i="8"/>
  <c r="L681" i="8"/>
  <c r="M681" i="8"/>
  <c r="N681" i="8"/>
  <c r="I682" i="8"/>
  <c r="K682" i="8"/>
  <c r="L682" i="8"/>
  <c r="M682" i="8"/>
  <c r="N682" i="8"/>
  <c r="I683" i="8"/>
  <c r="K683" i="8"/>
  <c r="L683" i="8"/>
  <c r="M683" i="8"/>
  <c r="N683" i="8"/>
  <c r="I684" i="8"/>
  <c r="K684" i="8"/>
  <c r="L684" i="8"/>
  <c r="M684" i="8"/>
  <c r="N684" i="8"/>
  <c r="I685" i="8"/>
  <c r="K685" i="8"/>
  <c r="L685" i="8"/>
  <c r="M685" i="8"/>
  <c r="N685" i="8"/>
  <c r="I686" i="8"/>
  <c r="K686" i="8"/>
  <c r="L686" i="8"/>
  <c r="M686" i="8"/>
  <c r="N686" i="8"/>
  <c r="I687" i="8"/>
  <c r="K687" i="8"/>
  <c r="L687" i="8"/>
  <c r="M687" i="8"/>
  <c r="N687" i="8"/>
  <c r="I688" i="8"/>
  <c r="K688" i="8"/>
  <c r="L688" i="8"/>
  <c r="M688" i="8"/>
  <c r="N688" i="8"/>
  <c r="I689" i="8"/>
  <c r="K689" i="8"/>
  <c r="L689" i="8"/>
  <c r="M689" i="8"/>
  <c r="N689" i="8"/>
  <c r="I690" i="8"/>
  <c r="K690" i="8"/>
  <c r="L690" i="8"/>
  <c r="M690" i="8"/>
  <c r="N690" i="8"/>
  <c r="I691" i="8"/>
  <c r="K691" i="8"/>
  <c r="L691" i="8"/>
  <c r="M691" i="8"/>
  <c r="N691" i="8"/>
  <c r="I692" i="8"/>
  <c r="K692" i="8"/>
  <c r="L692" i="8"/>
  <c r="M692" i="8"/>
  <c r="N692" i="8"/>
  <c r="I693" i="8"/>
  <c r="K693" i="8"/>
  <c r="L693" i="8"/>
  <c r="M693" i="8"/>
  <c r="N693" i="8"/>
  <c r="I694" i="8"/>
  <c r="K694" i="8"/>
  <c r="L694" i="8"/>
  <c r="M694" i="8"/>
  <c r="N694" i="8"/>
  <c r="I695" i="8"/>
  <c r="K695" i="8"/>
  <c r="L695" i="8"/>
  <c r="M695" i="8"/>
  <c r="N695" i="8"/>
  <c r="I696" i="8"/>
  <c r="K696" i="8"/>
  <c r="L696" i="8"/>
  <c r="M696" i="8"/>
  <c r="N696" i="8"/>
  <c r="I697" i="8"/>
  <c r="K697" i="8"/>
  <c r="L697" i="8"/>
  <c r="M697" i="8"/>
  <c r="N697" i="8"/>
  <c r="I698" i="8"/>
  <c r="K698" i="8"/>
  <c r="L698" i="8"/>
  <c r="M698" i="8"/>
  <c r="N698" i="8"/>
  <c r="I699" i="8"/>
  <c r="K699" i="8"/>
  <c r="L699" i="8"/>
  <c r="M699" i="8"/>
  <c r="N699" i="8"/>
  <c r="I700" i="8"/>
  <c r="K700" i="8"/>
  <c r="L700" i="8"/>
  <c r="M700" i="8"/>
  <c r="N700" i="8"/>
  <c r="I701" i="8"/>
  <c r="K701" i="8"/>
  <c r="L701" i="8"/>
  <c r="M701" i="8"/>
  <c r="N701" i="8"/>
  <c r="I702" i="8"/>
  <c r="K702" i="8"/>
  <c r="L702" i="8"/>
  <c r="M702" i="8"/>
  <c r="N702" i="8"/>
  <c r="I703" i="8"/>
  <c r="K703" i="8"/>
  <c r="L703" i="8"/>
  <c r="M703" i="8"/>
  <c r="N703" i="8"/>
  <c r="I704" i="8"/>
  <c r="K704" i="8"/>
  <c r="L704" i="8"/>
  <c r="M704" i="8"/>
  <c r="N704" i="8"/>
  <c r="I705" i="8"/>
  <c r="K705" i="8"/>
  <c r="L705" i="8"/>
  <c r="M705" i="8"/>
  <c r="N705" i="8"/>
  <c r="I706" i="8"/>
  <c r="K706" i="8"/>
  <c r="L706" i="8"/>
  <c r="M706" i="8"/>
  <c r="N706" i="8"/>
  <c r="I707" i="8"/>
  <c r="K707" i="8"/>
  <c r="L707" i="8"/>
  <c r="M707" i="8"/>
  <c r="N707" i="8"/>
  <c r="I708" i="8"/>
  <c r="K708" i="8"/>
  <c r="L708" i="8"/>
  <c r="M708" i="8"/>
  <c r="N708" i="8"/>
  <c r="I709" i="8"/>
  <c r="K709" i="8"/>
  <c r="L709" i="8"/>
  <c r="M709" i="8"/>
  <c r="N709" i="8"/>
  <c r="I710" i="8"/>
  <c r="K710" i="8"/>
  <c r="L710" i="8"/>
  <c r="M710" i="8"/>
  <c r="N710" i="8"/>
  <c r="I711" i="8"/>
  <c r="K711" i="8"/>
  <c r="L711" i="8"/>
  <c r="M711" i="8"/>
  <c r="N711" i="8"/>
  <c r="I712" i="8"/>
  <c r="K712" i="8"/>
  <c r="L712" i="8"/>
  <c r="M712" i="8"/>
  <c r="N712" i="8"/>
  <c r="I713" i="8"/>
  <c r="K713" i="8"/>
  <c r="L713" i="8"/>
  <c r="M713" i="8"/>
  <c r="N713" i="8"/>
  <c r="I714" i="8"/>
  <c r="K714" i="8"/>
  <c r="L714" i="8"/>
  <c r="M714" i="8"/>
  <c r="N714" i="8"/>
  <c r="I715" i="8"/>
  <c r="K715" i="8"/>
  <c r="L715" i="8"/>
  <c r="M715" i="8"/>
  <c r="N715" i="8"/>
  <c r="I716" i="8"/>
  <c r="K716" i="8"/>
  <c r="L716" i="8"/>
  <c r="M716" i="8"/>
  <c r="N716" i="8"/>
  <c r="I717" i="8"/>
  <c r="K717" i="8"/>
  <c r="L717" i="8"/>
  <c r="M717" i="8"/>
  <c r="N717" i="8"/>
  <c r="I718" i="8"/>
  <c r="K718" i="8"/>
  <c r="L718" i="8"/>
  <c r="M718" i="8"/>
  <c r="N718" i="8"/>
  <c r="I719" i="8"/>
  <c r="K719" i="8"/>
  <c r="L719" i="8"/>
  <c r="M719" i="8"/>
  <c r="N719" i="8"/>
  <c r="I720" i="8"/>
  <c r="K720" i="8"/>
  <c r="L720" i="8"/>
  <c r="M720" i="8"/>
  <c r="N720" i="8"/>
  <c r="I721" i="8"/>
  <c r="K721" i="8"/>
  <c r="L721" i="8"/>
  <c r="M721" i="8"/>
  <c r="N721" i="8"/>
  <c r="I722" i="8"/>
  <c r="K722" i="8"/>
  <c r="L722" i="8"/>
  <c r="M722" i="8"/>
  <c r="N722" i="8"/>
  <c r="I723" i="8"/>
  <c r="K723" i="8"/>
  <c r="L723" i="8"/>
  <c r="M723" i="8"/>
  <c r="N723" i="8"/>
  <c r="I724" i="8"/>
  <c r="K724" i="8"/>
  <c r="L724" i="8"/>
  <c r="M724" i="8"/>
  <c r="N724" i="8"/>
  <c r="I725" i="8"/>
  <c r="K725" i="8"/>
  <c r="L725" i="8"/>
  <c r="M725" i="8"/>
  <c r="N725" i="8"/>
  <c r="I726" i="8"/>
  <c r="K726" i="8"/>
  <c r="L726" i="8"/>
  <c r="M726" i="8"/>
  <c r="N726" i="8"/>
  <c r="I727" i="8"/>
  <c r="K727" i="8"/>
  <c r="L727" i="8"/>
  <c r="M727" i="8"/>
  <c r="N727" i="8"/>
  <c r="I728" i="8"/>
  <c r="K728" i="8"/>
  <c r="L728" i="8"/>
  <c r="M728" i="8"/>
  <c r="N728" i="8"/>
  <c r="I729" i="8"/>
  <c r="K729" i="8"/>
  <c r="L729" i="8"/>
  <c r="M729" i="8"/>
  <c r="N729" i="8"/>
  <c r="I730" i="8"/>
  <c r="K730" i="8"/>
  <c r="L730" i="8"/>
  <c r="M730" i="8"/>
  <c r="N730" i="8"/>
  <c r="I731" i="8"/>
  <c r="K731" i="8"/>
  <c r="L731" i="8"/>
  <c r="M731" i="8"/>
  <c r="N731" i="8"/>
  <c r="I732" i="8"/>
  <c r="K732" i="8"/>
  <c r="L732" i="8"/>
  <c r="M732" i="8"/>
  <c r="N732" i="8"/>
  <c r="I733" i="8"/>
  <c r="K733" i="8"/>
  <c r="L733" i="8"/>
  <c r="M733" i="8"/>
  <c r="N733" i="8"/>
  <c r="I734" i="8"/>
  <c r="K734" i="8"/>
  <c r="L734" i="8"/>
  <c r="M734" i="8"/>
  <c r="N734" i="8"/>
  <c r="I735" i="8"/>
  <c r="K735" i="8"/>
  <c r="L735" i="8"/>
  <c r="M735" i="8"/>
  <c r="N735" i="8"/>
  <c r="I736" i="8"/>
  <c r="K736" i="8"/>
  <c r="L736" i="8"/>
  <c r="M736" i="8"/>
  <c r="N736" i="8"/>
  <c r="I737" i="8"/>
  <c r="K737" i="8"/>
  <c r="L737" i="8"/>
  <c r="M737" i="8"/>
  <c r="N737" i="8"/>
  <c r="I738" i="8"/>
  <c r="K738" i="8"/>
  <c r="L738" i="8"/>
  <c r="M738" i="8"/>
  <c r="N738" i="8"/>
  <c r="I739" i="8"/>
  <c r="K739" i="8"/>
  <c r="L739" i="8"/>
  <c r="M739" i="8"/>
  <c r="N739" i="8"/>
  <c r="I740" i="8"/>
  <c r="K740" i="8"/>
  <c r="L740" i="8"/>
  <c r="M740" i="8"/>
  <c r="N740" i="8"/>
  <c r="I741" i="8"/>
  <c r="K741" i="8"/>
  <c r="L741" i="8"/>
  <c r="M741" i="8"/>
  <c r="N741" i="8"/>
  <c r="I742" i="8"/>
  <c r="K742" i="8"/>
  <c r="L742" i="8"/>
  <c r="M742" i="8"/>
  <c r="N742" i="8"/>
  <c r="I743" i="8"/>
  <c r="K743" i="8"/>
  <c r="L743" i="8"/>
  <c r="M743" i="8"/>
  <c r="N743" i="8"/>
  <c r="I744" i="8"/>
  <c r="K744" i="8"/>
  <c r="L744" i="8"/>
  <c r="M744" i="8"/>
  <c r="N744" i="8"/>
  <c r="I127" i="8"/>
  <c r="K127" i="8"/>
  <c r="L127" i="8"/>
  <c r="M127" i="8"/>
  <c r="N127" i="8"/>
  <c r="I128" i="8"/>
  <c r="K128" i="8"/>
  <c r="L128" i="8"/>
  <c r="M128" i="8"/>
  <c r="N128" i="8"/>
  <c r="I129" i="8"/>
  <c r="K129" i="8"/>
  <c r="L129" i="8"/>
  <c r="M129" i="8"/>
  <c r="N129" i="8"/>
  <c r="I130" i="8"/>
  <c r="K130" i="8"/>
  <c r="L130" i="8"/>
  <c r="M130" i="8"/>
  <c r="N130" i="8"/>
  <c r="I131" i="8"/>
  <c r="K131" i="8"/>
  <c r="L131" i="8"/>
  <c r="M131" i="8"/>
  <c r="N131" i="8"/>
  <c r="I126" i="8"/>
  <c r="AI2" i="28" s="1" a="1"/>
  <c r="K126" i="8"/>
  <c r="L126" i="8"/>
  <c r="M126" i="8"/>
  <c r="N12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N25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3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4" i="8"/>
  <c r="I5" i="8"/>
  <c r="I2" i="8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7" i="8"/>
  <c r="L7" i="8"/>
  <c r="M7" i="8"/>
  <c r="N7" i="8"/>
  <c r="K8" i="8"/>
  <c r="L8" i="8"/>
  <c r="M8" i="8"/>
  <c r="N8" i="8"/>
  <c r="L9" i="8"/>
  <c r="M9" i="8"/>
  <c r="N9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L16" i="8"/>
  <c r="M16" i="8"/>
  <c r="N16" i="8"/>
  <c r="K17" i="8"/>
  <c r="L17" i="8"/>
  <c r="M17" i="8"/>
  <c r="N17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" i="8"/>
  <c r="L23" i="8"/>
  <c r="M23" i="8"/>
  <c r="N23" i="8"/>
  <c r="K24" i="8"/>
  <c r="L24" i="8"/>
  <c r="M24" i="8"/>
  <c r="N24" i="8"/>
  <c r="K25" i="8"/>
  <c r="L25" i="8"/>
  <c r="M25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K32" i="8"/>
  <c r="L32" i="8"/>
  <c r="M32" i="8"/>
  <c r="N32" i="8"/>
  <c r="K33" i="8"/>
  <c r="L33" i="8"/>
  <c r="M33" i="8"/>
  <c r="N33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38" i="8"/>
  <c r="L38" i="8"/>
  <c r="M38" i="8"/>
  <c r="N38" i="8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2" i="8"/>
  <c r="L2" i="8"/>
  <c r="AI2" i="28" l="1"/>
  <c r="AI2" i="27" a="1"/>
  <c r="AI2" i="27" s="1"/>
  <c r="P6" i="28"/>
  <c r="H6" i="28"/>
  <c r="P5" i="28"/>
  <c r="P44" i="28" s="1"/>
  <c r="H5" i="28"/>
  <c r="H44" i="28" s="1"/>
  <c r="P6" i="27"/>
  <c r="H6" i="27"/>
  <c r="P5" i="27"/>
  <c r="P43" i="27" s="1"/>
  <c r="H5" i="27"/>
  <c r="H43" i="27" s="1"/>
  <c r="N6" i="28"/>
  <c r="F6" i="28"/>
  <c r="N5" i="28"/>
  <c r="N44" i="28" s="1"/>
  <c r="F5" i="28"/>
  <c r="F44" i="28" s="1"/>
  <c r="N6" i="27"/>
  <c r="F6" i="27"/>
  <c r="N5" i="27"/>
  <c r="N43" i="27" s="1"/>
  <c r="F5" i="27"/>
  <c r="F43" i="27" s="1"/>
  <c r="T6" i="28"/>
  <c r="L6" i="28"/>
  <c r="T5" i="28"/>
  <c r="T44" i="28" s="1"/>
  <c r="L5" i="28"/>
  <c r="L44" i="28" s="1"/>
  <c r="T6" i="27"/>
  <c r="L6" i="27"/>
  <c r="T5" i="27"/>
  <c r="T43" i="27" s="1"/>
  <c r="L5" i="27"/>
  <c r="L43" i="27" s="1"/>
  <c r="R6" i="28"/>
  <c r="J6" i="28"/>
  <c r="R5" i="28"/>
  <c r="R44" i="28" s="1"/>
  <c r="J5" i="28"/>
  <c r="J44" i="28" s="1"/>
  <c r="R6" i="27"/>
  <c r="J6" i="27"/>
  <c r="R5" i="27"/>
  <c r="R43" i="27" s="1"/>
  <c r="J5" i="27"/>
  <c r="J43" i="27" s="1"/>
  <c r="V6" i="26"/>
  <c r="Z5" i="26"/>
  <c r="Z44" i="26" s="1"/>
  <c r="P6" i="26"/>
  <c r="H6" i="26"/>
  <c r="P5" i="26"/>
  <c r="P44" i="26" s="1"/>
  <c r="H5" i="26"/>
  <c r="H44" i="26" s="1"/>
  <c r="T6" i="26"/>
  <c r="V5" i="26"/>
  <c r="V44" i="26" s="1"/>
  <c r="N6" i="26"/>
  <c r="F6" i="26"/>
  <c r="N5" i="26"/>
  <c r="N44" i="26" s="1"/>
  <c r="F5" i="26"/>
  <c r="F44" i="26" s="1"/>
  <c r="R5" i="26"/>
  <c r="R44" i="26" s="1"/>
  <c r="Z6" i="26"/>
  <c r="X6" i="26"/>
  <c r="J6" i="26"/>
  <c r="X5" i="26"/>
  <c r="X44" i="26" s="1"/>
  <c r="J5" i="26"/>
  <c r="J44" i="26" s="1"/>
  <c r="R6" i="26"/>
  <c r="T5" i="26"/>
  <c r="T44" i="26" s="1"/>
  <c r="AB6" i="26"/>
  <c r="L6" i="26"/>
  <c r="AB5" i="26"/>
  <c r="AB44" i="26" s="1"/>
  <c r="L5" i="26"/>
  <c r="L44" i="26" s="1"/>
  <c r="J5" i="17"/>
  <c r="H4" i="21"/>
  <c r="F4" i="21"/>
  <c r="F6" i="17"/>
  <c r="Q4" i="17"/>
  <c r="D7" i="17"/>
  <c r="B6" i="16"/>
  <c r="R4" i="16"/>
  <c r="E5" i="16"/>
  <c r="M4" i="16"/>
  <c r="D6" i="16"/>
  <c r="I2" i="2"/>
  <c r="E7" i="17" l="1"/>
  <c r="G6" i="17"/>
  <c r="B8" i="17"/>
  <c r="F5" i="16"/>
  <c r="N4" i="16"/>
  <c r="I6" i="16"/>
  <c r="E6" i="16"/>
  <c r="I8" i="17" l="1"/>
  <c r="D8" i="17"/>
  <c r="F7" i="17"/>
  <c r="H6" i="17"/>
  <c r="F6" i="16"/>
  <c r="B7" i="16"/>
  <c r="G5" i="16"/>
  <c r="O4" i="16"/>
  <c r="S6" i="17" l="1"/>
  <c r="J6" i="17"/>
  <c r="E8" i="17"/>
  <c r="G7" i="17"/>
  <c r="B9" i="17"/>
  <c r="I7" i="16"/>
  <c r="D7" i="16"/>
  <c r="H5" i="16"/>
  <c r="P4" i="16"/>
  <c r="G6" i="16"/>
  <c r="D9" i="17" l="1"/>
  <c r="I9" i="17"/>
  <c r="H7" i="17"/>
  <c r="F8" i="17"/>
  <c r="E7" i="16"/>
  <c r="H6" i="16"/>
  <c r="Q4" i="16"/>
  <c r="S5" i="16"/>
  <c r="B8" i="16"/>
  <c r="S6" i="16" l="1"/>
  <c r="S7" i="17"/>
  <c r="J7" i="17"/>
  <c r="G8" i="17"/>
  <c r="B10" i="17"/>
  <c r="E9" i="17"/>
  <c r="I8" i="16"/>
  <c r="D8" i="16"/>
  <c r="F7" i="16"/>
  <c r="J8" i="17" l="1"/>
  <c r="F9" i="17"/>
  <c r="I10" i="17"/>
  <c r="D10" i="17"/>
  <c r="H8" i="17"/>
  <c r="E8" i="16"/>
  <c r="G7" i="16"/>
  <c r="B9" i="16"/>
  <c r="S8" i="17" l="1"/>
  <c r="B11" i="17"/>
  <c r="E10" i="17"/>
  <c r="G9" i="17"/>
  <c r="H7" i="16"/>
  <c r="I9" i="16"/>
  <c r="D9" i="16"/>
  <c r="F8" i="16"/>
  <c r="S7" i="16" l="1"/>
  <c r="H9" i="17"/>
  <c r="S9" i="17" s="1"/>
  <c r="D11" i="17"/>
  <c r="I11" i="17"/>
  <c r="F10" i="17"/>
  <c r="E9" i="16"/>
  <c r="G8" i="16"/>
  <c r="B10" i="16"/>
  <c r="J9" i="17" l="1"/>
  <c r="B12" i="17"/>
  <c r="G10" i="17"/>
  <c r="E11" i="17"/>
  <c r="H8" i="16"/>
  <c r="I10" i="16"/>
  <c r="D10" i="16"/>
  <c r="F9" i="16"/>
  <c r="S8" i="16" l="1"/>
  <c r="H10" i="17"/>
  <c r="F11" i="17"/>
  <c r="I12" i="17"/>
  <c r="D12" i="17"/>
  <c r="G9" i="16"/>
  <c r="B11" i="16"/>
  <c r="E10" i="16"/>
  <c r="S10" i="17" l="1"/>
  <c r="J10" i="17"/>
  <c r="G11" i="17"/>
  <c r="B13" i="17"/>
  <c r="E12" i="17"/>
  <c r="H9" i="16"/>
  <c r="F10" i="16"/>
  <c r="I11" i="16"/>
  <c r="D11" i="16"/>
  <c r="J11" i="17" l="1"/>
  <c r="F12" i="17"/>
  <c r="D13" i="17"/>
  <c r="I13" i="17"/>
  <c r="H11" i="17"/>
  <c r="E11" i="16"/>
  <c r="G10" i="16"/>
  <c r="B12" i="16"/>
  <c r="S9" i="16"/>
  <c r="S11" i="17" l="1"/>
  <c r="B14" i="17"/>
  <c r="E13" i="17"/>
  <c r="G12" i="17"/>
  <c r="H10" i="16"/>
  <c r="I12" i="16"/>
  <c r="D12" i="16"/>
  <c r="F11" i="16"/>
  <c r="H12" i="17" l="1"/>
  <c r="I14" i="17"/>
  <c r="D14" i="17"/>
  <c r="F13" i="17"/>
  <c r="B13" i="16"/>
  <c r="G11" i="16"/>
  <c r="E12" i="16"/>
  <c r="S10" i="16"/>
  <c r="S12" i="17" l="1"/>
  <c r="J12" i="17"/>
  <c r="E14" i="17"/>
  <c r="B15" i="17"/>
  <c r="G13" i="17"/>
  <c r="H11" i="16"/>
  <c r="F12" i="16"/>
  <c r="I13" i="16"/>
  <c r="D13" i="16"/>
  <c r="D15" i="17" l="1"/>
  <c r="I15" i="17"/>
  <c r="H13" i="17"/>
  <c r="F14" i="17"/>
  <c r="G12" i="16"/>
  <c r="E13" i="16"/>
  <c r="B14" i="16"/>
  <c r="S11" i="16"/>
  <c r="S13" i="17" l="1"/>
  <c r="J13" i="17"/>
  <c r="G14" i="17"/>
  <c r="B16" i="17"/>
  <c r="E15" i="17"/>
  <c r="F13" i="16"/>
  <c r="I14" i="16"/>
  <c r="D14" i="16"/>
  <c r="H12" i="16"/>
  <c r="S12" i="16" l="1"/>
  <c r="J14" i="17"/>
  <c r="H14" i="17"/>
  <c r="I16" i="17"/>
  <c r="D16" i="17"/>
  <c r="F15" i="17"/>
  <c r="B15" i="16"/>
  <c r="E14" i="16"/>
  <c r="G13" i="16"/>
  <c r="G15" i="17" l="1"/>
  <c r="B17" i="17"/>
  <c r="E16" i="17"/>
  <c r="F14" i="16"/>
  <c r="H13" i="16"/>
  <c r="I15" i="16"/>
  <c r="D15" i="16"/>
  <c r="F16" i="17" l="1"/>
  <c r="D17" i="17"/>
  <c r="I17" i="17"/>
  <c r="H15" i="17"/>
  <c r="B16" i="16"/>
  <c r="E15" i="16"/>
  <c r="S13" i="16"/>
  <c r="G14" i="16"/>
  <c r="J15" i="17" l="1"/>
  <c r="S15" i="17"/>
  <c r="E17" i="17"/>
  <c r="B18" i="17"/>
  <c r="G16" i="17"/>
  <c r="H14" i="16"/>
  <c r="F15" i="16"/>
  <c r="I16" i="16"/>
  <c r="D16" i="16"/>
  <c r="S14" i="16" l="1"/>
  <c r="J16" i="17"/>
  <c r="F17" i="17"/>
  <c r="H16" i="17"/>
  <c r="I18" i="17"/>
  <c r="D18" i="17"/>
  <c r="G15" i="16"/>
  <c r="E16" i="16"/>
  <c r="B17" i="16"/>
  <c r="S16" i="17" l="1"/>
  <c r="E18" i="17"/>
  <c r="B19" i="17"/>
  <c r="G17" i="17"/>
  <c r="F16" i="16"/>
  <c r="I17" i="16"/>
  <c r="D17" i="16"/>
  <c r="H15" i="16"/>
  <c r="S15" i="16" l="1"/>
  <c r="J17" i="17"/>
  <c r="H17" i="17"/>
  <c r="D19" i="17"/>
  <c r="I19" i="17"/>
  <c r="F18" i="17"/>
  <c r="B18" i="16"/>
  <c r="E17" i="16"/>
  <c r="G16" i="16"/>
  <c r="S17" i="17" l="1"/>
  <c r="E19" i="17"/>
  <c r="G18" i="17"/>
  <c r="B20" i="17"/>
  <c r="F17" i="16"/>
  <c r="H16" i="16"/>
  <c r="I18" i="16"/>
  <c r="D18" i="16"/>
  <c r="S16" i="16" l="1"/>
  <c r="H18" i="17"/>
  <c r="J18" i="17" s="1"/>
  <c r="I20" i="17"/>
  <c r="D20" i="17"/>
  <c r="F19" i="17"/>
  <c r="E18" i="16"/>
  <c r="B19" i="16"/>
  <c r="G17" i="16"/>
  <c r="E20" i="17" l="1"/>
  <c r="G19" i="17"/>
  <c r="B21" i="17"/>
  <c r="S18" i="17"/>
  <c r="I19" i="16"/>
  <c r="D19" i="16"/>
  <c r="H17" i="16"/>
  <c r="F18" i="16"/>
  <c r="J19" i="17" l="1"/>
  <c r="H19" i="17"/>
  <c r="D21" i="17"/>
  <c r="I21" i="17"/>
  <c r="F20" i="17"/>
  <c r="G18" i="16"/>
  <c r="E19" i="16"/>
  <c r="S17" i="16"/>
  <c r="B20" i="16"/>
  <c r="S19" i="17" l="1"/>
  <c r="G20" i="17"/>
  <c r="E21" i="17"/>
  <c r="B22" i="17"/>
  <c r="I20" i="16"/>
  <c r="D20" i="16"/>
  <c r="F19" i="16"/>
  <c r="H18" i="16"/>
  <c r="S18" i="16" l="1"/>
  <c r="I22" i="17"/>
  <c r="D22" i="17"/>
  <c r="F21" i="17"/>
  <c r="H20" i="17"/>
  <c r="J20" i="17" s="1"/>
  <c r="E20" i="16"/>
  <c r="G19" i="16"/>
  <c r="B21" i="16"/>
  <c r="G21" i="17" l="1"/>
  <c r="S20" i="17"/>
  <c r="E22" i="17"/>
  <c r="B23" i="17"/>
  <c r="I21" i="16"/>
  <c r="D21" i="16"/>
  <c r="H19" i="16"/>
  <c r="F20" i="16"/>
  <c r="S19" i="16" l="1"/>
  <c r="H21" i="17"/>
  <c r="F22" i="17"/>
  <c r="D23" i="17"/>
  <c r="I23" i="17"/>
  <c r="G20" i="16"/>
  <c r="E21" i="16"/>
  <c r="B22" i="16"/>
  <c r="S21" i="17" l="1"/>
  <c r="J21" i="17"/>
  <c r="E23" i="17"/>
  <c r="G22" i="17"/>
  <c r="B24" i="17"/>
  <c r="F21" i="16"/>
  <c r="I22" i="16"/>
  <c r="D22" i="16"/>
  <c r="H20" i="16"/>
  <c r="S20" i="16" l="1"/>
  <c r="I24" i="17"/>
  <c r="D24" i="17"/>
  <c r="H22" i="17"/>
  <c r="F23" i="17"/>
  <c r="B23" i="16"/>
  <c r="E22" i="16"/>
  <c r="G21" i="16"/>
  <c r="J22" i="17" l="1"/>
  <c r="S22" i="17"/>
  <c r="G23" i="17"/>
  <c r="E24" i="17"/>
  <c r="B25" i="17"/>
  <c r="F22" i="16"/>
  <c r="H21" i="16"/>
  <c r="I23" i="16"/>
  <c r="D23" i="16"/>
  <c r="S21" i="16" l="1"/>
  <c r="F24" i="17"/>
  <c r="D25" i="17"/>
  <c r="I25" i="17"/>
  <c r="H23" i="17"/>
  <c r="J23" i="17" s="1"/>
  <c r="E23" i="16"/>
  <c r="B24" i="16"/>
  <c r="G22" i="16"/>
  <c r="E25" i="17" l="1"/>
  <c r="S23" i="17"/>
  <c r="B26" i="17"/>
  <c r="G24" i="17"/>
  <c r="H22" i="16"/>
  <c r="D24" i="16"/>
  <c r="I24" i="16"/>
  <c r="F23" i="16"/>
  <c r="S22" i="16" l="1"/>
  <c r="F25" i="17"/>
  <c r="H24" i="17"/>
  <c r="I26" i="17"/>
  <c r="D26" i="17"/>
  <c r="E24" i="16"/>
  <c r="B25" i="16"/>
  <c r="G23" i="16"/>
  <c r="J24" i="17" l="1"/>
  <c r="S24" i="17"/>
  <c r="E26" i="17"/>
  <c r="B27" i="17"/>
  <c r="G25" i="17"/>
  <c r="I25" i="16"/>
  <c r="D25" i="16"/>
  <c r="H23" i="16"/>
  <c r="F24" i="16"/>
  <c r="J25" i="17" l="1"/>
  <c r="H25" i="17"/>
  <c r="D27" i="17"/>
  <c r="I27" i="17"/>
  <c r="F26" i="17"/>
  <c r="G24" i="16"/>
  <c r="S23" i="16"/>
  <c r="E25" i="16"/>
  <c r="B26" i="16"/>
  <c r="S25" i="17" l="1"/>
  <c r="E27" i="17"/>
  <c r="G26" i="17"/>
  <c r="B28" i="17"/>
  <c r="D26" i="16"/>
  <c r="I26" i="16"/>
  <c r="F25" i="16"/>
  <c r="H24" i="16"/>
  <c r="S24" i="16" l="1"/>
  <c r="I28" i="17"/>
  <c r="D28" i="17"/>
  <c r="H26" i="17"/>
  <c r="F27" i="17"/>
  <c r="B27" i="16"/>
  <c r="G25" i="16"/>
  <c r="E26" i="16"/>
  <c r="J26" i="17" l="1"/>
  <c r="S26" i="17"/>
  <c r="G27" i="17"/>
  <c r="E28" i="17"/>
  <c r="H25" i="16"/>
  <c r="F26" i="16"/>
  <c r="D27" i="16"/>
  <c r="I27" i="16"/>
  <c r="S25" i="16" l="1"/>
  <c r="J27" i="17"/>
  <c r="H27" i="17"/>
  <c r="F28" i="17"/>
  <c r="B28" i="16"/>
  <c r="G26" i="16"/>
  <c r="E27" i="16"/>
  <c r="S27" i="17" l="1"/>
  <c r="G28" i="17"/>
  <c r="H26" i="16"/>
  <c r="F27" i="16"/>
  <c r="I28" i="16"/>
  <c r="D28" i="16"/>
  <c r="S26" i="16" l="1"/>
  <c r="H28" i="17"/>
  <c r="E28" i="16"/>
  <c r="G27" i="16"/>
  <c r="S28" i="17" l="1"/>
  <c r="J28" i="17"/>
  <c r="J4" i="17" s="1"/>
  <c r="J1" i="17" s="1"/>
  <c r="B1" i="17" s="1"/>
  <c r="H27" i="16"/>
  <c r="F28" i="16"/>
  <c r="S27" i="16" l="1"/>
  <c r="G28" i="16"/>
  <c r="H28" i="16" l="1"/>
  <c r="J4" i="16"/>
  <c r="J1" i="16" s="1"/>
  <c r="S28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<sst xmlns="http://schemas.openxmlformats.org/spreadsheetml/2006/main" count="5772" uniqueCount="1066">
  <si>
    <t>ok</t>
  </si>
  <si>
    <t>data:</t>
  </si>
  <si>
    <t>corrigir</t>
  </si>
  <si>
    <t>item</t>
  </si>
  <si>
    <t>descrição das inspeções</t>
  </si>
  <si>
    <t>Forma n° =&gt;</t>
  </si>
  <si>
    <t>Placa n° =&gt;</t>
  </si>
  <si>
    <t>Dimensoes=&gt;</t>
  </si>
  <si>
    <t>TOPO DA PLACA</t>
  </si>
  <si>
    <t>PE DA PLACA</t>
  </si>
  <si>
    <t>Dimensões de Compr. Total 3,16 mts</t>
  </si>
  <si>
    <t>Dimensões de Compr. Total 2,396 mts</t>
  </si>
  <si>
    <t>Recobrimento superior e inferior 3 cm</t>
  </si>
  <si>
    <t>Abertura da Tela 1,19 x 1,29 mts</t>
  </si>
  <si>
    <t>Abrertura  inferior 9 x 19 (2x)</t>
  </si>
  <si>
    <t>Reforço de tela Q1 e Q2</t>
  </si>
  <si>
    <t>Reforços de quina no vazado maoir</t>
  </si>
  <si>
    <t>Limpeza da Forma</t>
  </si>
  <si>
    <t>Alinhamento e Nivel da tela Galvanizada</t>
  </si>
  <si>
    <t>8 ferros 8 mm por viga    2 vigas por tela</t>
  </si>
  <si>
    <t>36 estrivos de 6,5 cm x 14 cm</t>
  </si>
  <si>
    <t>Travamento de formas</t>
  </si>
  <si>
    <t>Prumo de forma da Contoneira</t>
  </si>
  <si>
    <t>ESQUADRO DE FORMAS</t>
  </si>
  <si>
    <t>3,65 x 2,396</t>
  </si>
  <si>
    <t>Alças de içamento (4 x) - altura alças 6 cm</t>
  </si>
  <si>
    <t xml:space="preserve">VIGAS LATERAIAS (ESTRIBOS E BARRAS) </t>
  </si>
  <si>
    <t>RECOBRIMENTO SUPERIOR/ INFERIOR E LATERIAS</t>
  </si>
  <si>
    <t>TELAS SUPERIOR E INFERIOR ESTAO ATADAS</t>
  </si>
  <si>
    <t>DIMENSÕES DA PLACA (DIVISORIA ESCOSTADAS NA TRAVA)</t>
  </si>
  <si>
    <t>CABO  1</t>
  </si>
  <si>
    <t>CABO  2</t>
  </si>
  <si>
    <t>CABO  3</t>
  </si>
  <si>
    <t>CABO  4</t>
  </si>
  <si>
    <t>CABO  5</t>
  </si>
  <si>
    <t>CABO  6</t>
  </si>
  <si>
    <t>CABO  7</t>
  </si>
  <si>
    <t>CABO  8</t>
  </si>
  <si>
    <t>CABO  10</t>
  </si>
  <si>
    <t>CABO  11</t>
  </si>
  <si>
    <t>CABO  12</t>
  </si>
  <si>
    <t>CABO  13</t>
  </si>
  <si>
    <t>CABO  14</t>
  </si>
  <si>
    <t>CABO  15</t>
  </si>
  <si>
    <t>CABO  16</t>
  </si>
  <si>
    <t>REFORÇO DE CABEÇA E PE</t>
  </si>
  <si>
    <t xml:space="preserve">CHAPAS DE INSERTOS </t>
  </si>
  <si>
    <t>ITEM</t>
  </si>
  <si>
    <t>se concretada marque "x"</t>
  </si>
  <si>
    <t>IDENT. TANQUE</t>
  </si>
  <si>
    <t xml:space="preserve">PLACA </t>
  </si>
  <si>
    <t>TIPO</t>
  </si>
  <si>
    <t>CHAPA DE 250X250</t>
  </si>
  <si>
    <t>CHAPA DE 120X 120</t>
  </si>
  <si>
    <t>CHAPA DE 500 X 500</t>
  </si>
  <si>
    <t xml:space="preserve">CHAPA DE 1440 X 1440 </t>
  </si>
  <si>
    <t>CHAPA DE 1150 X 1150</t>
  </si>
  <si>
    <t>QTDE</t>
  </si>
  <si>
    <t>PN</t>
  </si>
  <si>
    <t>F1</t>
  </si>
  <si>
    <t>PE</t>
  </si>
  <si>
    <t>PF</t>
  </si>
  <si>
    <t>INSERTS</t>
  </si>
  <si>
    <t>BOBINA N°</t>
  </si>
  <si>
    <t>DATA:</t>
  </si>
  <si>
    <t>FORMAS</t>
  </si>
  <si>
    <t>F2</t>
  </si>
  <si>
    <t>F3</t>
  </si>
  <si>
    <t>F4</t>
  </si>
  <si>
    <t>F5</t>
  </si>
  <si>
    <t>F6</t>
  </si>
  <si>
    <t>F7</t>
  </si>
  <si>
    <t>F8</t>
  </si>
  <si>
    <t>BT1</t>
  </si>
  <si>
    <t>CP1</t>
  </si>
  <si>
    <t>BT2</t>
  </si>
  <si>
    <t>BT3</t>
  </si>
  <si>
    <t>BT4</t>
  </si>
  <si>
    <t>FECHAMENTO FORMA LATERAL (PINAGEM) (dois lados)</t>
  </si>
  <si>
    <t>SIKASWELL CHAPA DE TUBULAÇÃO</t>
  </si>
  <si>
    <t>SERIE:</t>
  </si>
  <si>
    <t>ÂNGULO DE A CADA 5 CONCRETAGEM</t>
  </si>
  <si>
    <t>HORA INICIO</t>
  </si>
  <si>
    <t>LIMPEZA : SOPRAGEM E COLETA DE ARRAMES</t>
  </si>
  <si>
    <t>EMENDAS</t>
  </si>
  <si>
    <t>P</t>
  </si>
  <si>
    <t>-</t>
  </si>
  <si>
    <t>T1</t>
  </si>
  <si>
    <t>T2</t>
  </si>
  <si>
    <t>T3</t>
  </si>
  <si>
    <t>T4</t>
  </si>
  <si>
    <t xml:space="preserve">CHAPA DE </t>
  </si>
  <si>
    <t>REATOR 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</si>
  <si>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</si>
  <si>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</si>
  <si>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</si>
  <si>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</si>
  <si>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</si>
  <si>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</si>
  <si>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</si>
  <si>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</si>
  <si>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</si>
  <si>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INJETOR  1X</t>
  </si>
  <si>
    <t xml:space="preserve">QTDE DE BAINHAS (12 NO NEREDA  E 6 NO PRIMARIO) E SE ESTAO ATADAS NA ZONA </t>
  </si>
  <si>
    <t>MEDIDAS DE TOPO DE FORMA   (2380 NO PRIMARIO); (2375 NO NEREDA)</t>
  </si>
  <si>
    <t>PRIMARIO</t>
  </si>
  <si>
    <t>NEREDA</t>
  </si>
  <si>
    <t>PÉ 2X   M24</t>
  </si>
  <si>
    <t>BT5</t>
  </si>
  <si>
    <t>PISTA -002</t>
  </si>
  <si>
    <t>CABO  09</t>
  </si>
  <si>
    <t>PISTA -001</t>
  </si>
  <si>
    <r>
      <t xml:space="preserve">QTDE DE CABOS E ALONGAMENTOS  </t>
    </r>
    <r>
      <rPr>
        <b/>
        <sz val="20"/>
        <color theme="1"/>
        <rFont val="Times New Roman"/>
        <family val="1"/>
      </rPr>
      <t>16 C  321A356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</si>
  <si>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</t>
    </r>
    <r>
      <rPr>
        <b/>
        <sz val="20"/>
        <color theme="1"/>
        <rFont val="Times New Roman"/>
        <family val="1"/>
      </rPr>
      <t>2X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</si>
  <si>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 xml:space="preserve"> 5,50 DO PÉ     5/8 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</si>
  <si>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</si>
  <si>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 +  4 X 5TON X 125ESF. PRIMARIO</t>
    </r>
  </si>
  <si>
    <t>REATOR 2</t>
  </si>
  <si>
    <t>#3/8-1620X1620</t>
  </si>
  <si>
    <t>#3/8-1120X1120</t>
  </si>
  <si>
    <t>#3/8-1200X1200</t>
  </si>
  <si>
    <t>#3/8-530X530</t>
  </si>
  <si>
    <t>QUAL É A OBRA</t>
  </si>
  <si>
    <t>#3/8 X150X150</t>
  </si>
  <si>
    <t>PNI</t>
  </si>
  <si>
    <t>PEI</t>
  </si>
  <si>
    <t>A DEFINIR</t>
  </si>
  <si>
    <r>
      <rPr>
        <b/>
        <sz val="12"/>
        <color theme="1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>- 150X150 #3/8</t>
    </r>
  </si>
  <si>
    <t>REATOR 3</t>
  </si>
  <si>
    <t>REATOR 4</t>
  </si>
  <si>
    <t>REATOR 6</t>
  </si>
  <si>
    <t>REATOR 5</t>
  </si>
  <si>
    <t>REATOR 7</t>
  </si>
  <si>
    <t>REATOR 8</t>
  </si>
  <si>
    <r>
      <rPr>
        <b/>
        <sz val="20"/>
        <color theme="1"/>
        <rFont val="Times New Roman"/>
        <family val="1"/>
      </rPr>
      <t xml:space="preserve">JUNÇÃO 3/8 X 25 MM  </t>
    </r>
    <r>
      <rPr>
        <sz val="20"/>
        <color theme="1"/>
        <rFont val="Times New Roman"/>
        <family val="1"/>
      </rPr>
      <t xml:space="preserve"> FLUTUADOR  2X</t>
    </r>
  </si>
  <si>
    <t>ESPAÇADOR DE TELA A TELA E VIGA (36X)</t>
  </si>
  <si>
    <t>INICIO</t>
  </si>
  <si>
    <t>T´REMINIO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</si>
  <si>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</si>
  <si>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</si>
  <si>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</si>
  <si>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</si>
  <si>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</si>
  <si>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</si>
  <si>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</si>
  <si>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</si>
  <si>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</si>
  <si>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</si>
  <si>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</si>
  <si>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</si>
  <si>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</si>
  <si>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</si>
  <si>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</si>
  <si>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</si>
  <si>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</si>
  <si>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</si>
  <si>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</si>
  <si>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</si>
  <si>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</si>
  <si>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</si>
  <si>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</si>
  <si>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</si>
  <si>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NUMERO CONCRETAGEM</t>
  </si>
  <si>
    <t>REATOR 12</t>
  </si>
  <si>
    <t>data</t>
  </si>
  <si>
    <t>data do acabamento finalizado</t>
  </si>
  <si>
    <t>pista</t>
  </si>
  <si>
    <t>se</t>
  </si>
  <si>
    <t>media</t>
  </si>
  <si>
    <t>4 placas/dia</t>
  </si>
  <si>
    <t>REATOR 9</t>
  </si>
  <si>
    <t>REATOR 10</t>
  </si>
  <si>
    <t>REATOR 11</t>
  </si>
  <si>
    <t>PEV</t>
  </si>
  <si>
    <t>SEM CHAPA</t>
  </si>
  <si>
    <t>NÃO TEM CHAPA</t>
  </si>
  <si>
    <t>PE(I)</t>
  </si>
  <si>
    <t>PEI(V)</t>
  </si>
  <si>
    <t>ATERRAMENTO + ARM. CANAL</t>
  </si>
  <si>
    <t>ARM. CANAL SAIDA</t>
  </si>
  <si>
    <t>TEB</t>
  </si>
  <si>
    <t>TUBO EMBAIXO CANALETA</t>
  </si>
  <si>
    <t>T10"</t>
  </si>
  <si>
    <t>TUBO DE 10 " - A DEFINIR</t>
  </si>
  <si>
    <t>ATERRAMENTO+ CHAPA P/ T10"</t>
  </si>
  <si>
    <t>ÂNGULO DE A CADA  CONCRETAGEM</t>
  </si>
  <si>
    <t>CABO 1</t>
  </si>
  <si>
    <t>ALONG.</t>
  </si>
  <si>
    <t>PISTA -PF</t>
  </si>
  <si>
    <t>CABO</t>
  </si>
  <si>
    <t>CABO 2</t>
  </si>
  <si>
    <t>CABO 3</t>
  </si>
  <si>
    <t>CABO 4</t>
  </si>
  <si>
    <t>CABO 5</t>
  </si>
  <si>
    <t>CABO 6</t>
  </si>
  <si>
    <t>CABO 7</t>
  </si>
  <si>
    <t>CABO 8</t>
  </si>
  <si>
    <t>CABO 9</t>
  </si>
  <si>
    <t>CABO 10</t>
  </si>
  <si>
    <t>CABO 11</t>
  </si>
  <si>
    <t>CABO 12</t>
  </si>
  <si>
    <t>CABO 13</t>
  </si>
  <si>
    <t>CABO 14</t>
  </si>
  <si>
    <t>CABO 15</t>
  </si>
  <si>
    <t>CABO 16</t>
  </si>
  <si>
    <t>CABO 17</t>
  </si>
  <si>
    <t>CABO 18</t>
  </si>
  <si>
    <t>CERTIFICADO</t>
  </si>
  <si>
    <t>DATA DE FAB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</si>
  <si>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</si>
  <si>
    <r>
      <t xml:space="preserve">QTDE DE CABOS E ALONGAMENTOS  </t>
    </r>
    <r>
      <rPr>
        <b/>
        <sz val="20"/>
        <color theme="1"/>
        <rFont val="Times New Roman"/>
        <family val="1"/>
      </rPr>
      <t>18 Cabos  105A120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</si>
  <si>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                </t>
    </r>
    <r>
      <rPr>
        <b/>
        <sz val="20"/>
        <color theme="1"/>
        <rFont val="Times New Roman"/>
        <family val="1"/>
      </rPr>
      <t>2X 10 TON/340  3 "u"  10 MM E 1 BARRA 1 MTS - nereda</t>
    </r>
  </si>
  <si>
    <r>
      <t xml:space="preserve">verti. MOV: 6 </t>
    </r>
    <r>
      <rPr>
        <b/>
        <sz val="20"/>
        <color theme="1"/>
        <rFont val="Times New Roman"/>
        <family val="1"/>
      </rPr>
      <t xml:space="preserve"> X 7,5TON x 300 esf.       PRIMARIO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</si>
  <si>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7,55TON X 125CB - NEREDA</t>
    </r>
  </si>
  <si>
    <t>observação</t>
  </si>
  <si>
    <t>** inserir luva #5/8 para escora aparatir de 1,50mts de altura, desixando recuado 5 mm para dentro da placa</t>
  </si>
  <si>
    <t xml:space="preserve">ok </t>
  </si>
  <si>
    <t>** chapa de ancoragem 100x220x19 mm 1 em cada bainha</t>
  </si>
  <si>
    <t>** verificar se molas não estao tocando o fundo do painels</t>
  </si>
  <si>
    <t>** verificar se total bainhas estao bem vedadas, para não entra concreto nelas,</t>
  </si>
  <si>
    <t>** verificar e total toquinho de madeiras foram devidademente envelopados com lona - ajuda na desforma</t>
  </si>
  <si>
    <t>PN-001</t>
  </si>
  <si>
    <t>PN-002</t>
  </si>
  <si>
    <t>jobson</t>
  </si>
  <si>
    <t>pablo</t>
  </si>
  <si>
    <t>seg</t>
  </si>
  <si>
    <t>DATA TRANS.</t>
  </si>
  <si>
    <t>PLACA CARRETA</t>
  </si>
  <si>
    <t>NF:</t>
  </si>
  <si>
    <t>PROJETO</t>
  </si>
  <si>
    <t>%</t>
  </si>
  <si>
    <t xml:space="preserve">TOTAL DE PLACAS  NORMAIS </t>
  </si>
  <si>
    <t xml:space="preserve">TOTAL PLACAS ESPECIAIS </t>
  </si>
  <si>
    <t xml:space="preserve">TOTAL DE PLACAS FECHO </t>
  </si>
  <si>
    <t>TOTAIS</t>
  </si>
  <si>
    <t xml:space="preserve">QTDE </t>
  </si>
  <si>
    <t>TOTAKL GERAL</t>
  </si>
  <si>
    <t>JESUS</t>
  </si>
  <si>
    <t>DEIVED</t>
  </si>
  <si>
    <t>EXECUÇÃO (concretado)</t>
  </si>
  <si>
    <t>se concretado</t>
  </si>
  <si>
    <t>primario</t>
  </si>
  <si>
    <t>nereda</t>
  </si>
  <si>
    <t>estimado semana</t>
  </si>
  <si>
    <t>SE TRANSPORTADO</t>
  </si>
  <si>
    <t>ACABAMENTO (PRONTO)</t>
  </si>
  <si>
    <t>TRANSPORTE (EM VIAGEM)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</si>
  <si>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</si>
  <si>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</si>
  <si>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</si>
  <si>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</si>
  <si>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</si>
  <si>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</si>
  <si>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</si>
  <si>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</si>
  <si>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</si>
  <si>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</si>
  <si>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</si>
  <si>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</si>
  <si>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</si>
  <si>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</si>
  <si>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</si>
  <si>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</si>
  <si>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</si>
  <si>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</si>
  <si>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</si>
  <si>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</si>
  <si>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</si>
  <si>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</si>
  <si>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</si>
  <si>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</si>
  <si>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</si>
  <si>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</si>
  <si>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</si>
  <si>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</si>
  <si>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</si>
  <si>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</si>
  <si>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</si>
  <si>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</si>
  <si>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</si>
  <si>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</si>
  <si>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</si>
  <si>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</si>
  <si>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</si>
  <si>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</si>
  <si>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</si>
  <si>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</si>
  <si>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</si>
  <si>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</si>
  <si>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</si>
  <si>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</si>
  <si>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</si>
  <si>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</si>
  <si>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</si>
  <si>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</si>
  <si>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</si>
  <si>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</si>
  <si>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</si>
  <si>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</si>
  <si>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</si>
  <si>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</si>
  <si>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</si>
  <si>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</si>
  <si>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</si>
  <si>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</si>
  <si>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</si>
  <si>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</si>
  <si>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</si>
  <si>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</si>
  <si>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</si>
  <si>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</si>
  <si>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</si>
  <si>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</si>
  <si>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</si>
  <si>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</si>
  <si>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</si>
  <si>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</si>
  <si>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</si>
  <si>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</si>
  <si>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</si>
  <si>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</si>
  <si>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</si>
  <si>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</si>
  <si>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</si>
  <si>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</si>
  <si>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</si>
  <si>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</si>
  <si>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</si>
  <si>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</si>
  <si>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</si>
  <si>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</si>
  <si>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</si>
  <si>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</si>
  <si>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</si>
  <si>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</si>
  <si>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</si>
  <si>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</si>
  <si>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</si>
  <si>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</si>
  <si>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</si>
  <si>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</si>
  <si>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</si>
  <si>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</si>
  <si>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</si>
  <si>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</si>
  <si>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</si>
  <si>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</si>
  <si>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</si>
  <si>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</si>
  <si>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</si>
  <si>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</si>
  <si>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</si>
  <si>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</si>
  <si>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</si>
  <si>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</si>
  <si>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</si>
  <si>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</si>
  <si>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</si>
  <si>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</si>
  <si>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</si>
  <si>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</si>
  <si>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</si>
  <si>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</si>
  <si>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</si>
  <si>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</si>
  <si>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</si>
  <si>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</si>
  <si>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</si>
  <si>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</si>
  <si>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</si>
  <si>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</si>
  <si>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</si>
  <si>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</si>
  <si>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</si>
  <si>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</si>
  <si>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</si>
  <si>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</si>
  <si>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</si>
  <si>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</si>
  <si>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</si>
  <si>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</si>
  <si>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</si>
  <si>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</si>
  <si>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</si>
  <si>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</si>
  <si>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</si>
  <si>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</si>
  <si>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</si>
  <si>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</si>
  <si>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</si>
  <si>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</si>
  <si>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</si>
  <si>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</si>
  <si>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</si>
  <si>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</si>
  <si>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</si>
  <si>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</si>
  <si>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</si>
  <si>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</si>
  <si>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</si>
  <si>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</si>
  <si>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</si>
  <si>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</si>
  <si>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</si>
  <si>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</si>
  <si>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</si>
  <si>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</si>
  <si>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</si>
  <si>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</si>
  <si>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</si>
  <si>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</si>
  <si>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</si>
  <si>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</si>
  <si>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</si>
  <si>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</si>
  <si>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</si>
  <si>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</si>
  <si>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</si>
  <si>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</si>
  <si>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</si>
  <si>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</si>
  <si>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</si>
  <si>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</si>
  <si>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</si>
  <si>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</si>
  <si>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</si>
  <si>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</si>
  <si>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</si>
  <si>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</si>
  <si>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</si>
  <si>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</si>
  <si>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</si>
  <si>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</si>
  <si>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</si>
  <si>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</si>
  <si>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</si>
  <si>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</si>
  <si>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</si>
  <si>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</si>
  <si>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</si>
  <si>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</si>
  <si>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</si>
  <si>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</si>
  <si>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</si>
  <si>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</si>
  <si>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</si>
  <si>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</si>
  <si>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</si>
  <si>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</si>
  <si>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</si>
  <si>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</si>
  <si>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</si>
  <si>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</si>
  <si>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</si>
  <si>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</si>
  <si>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</si>
  <si>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</si>
  <si>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</si>
  <si>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</si>
  <si>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</si>
  <si>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</si>
  <si>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</si>
  <si>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</si>
  <si>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</si>
  <si>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</si>
  <si>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</si>
  <si>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</si>
  <si>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</si>
  <si>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</si>
  <si>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</si>
  <si>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</si>
  <si>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</si>
  <si>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</si>
  <si>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</si>
  <si>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</si>
  <si>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</si>
  <si>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</si>
  <si>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</si>
  <si>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</si>
  <si>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</si>
  <si>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</si>
  <si>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</si>
  <si>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</si>
  <si>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</si>
  <si>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</si>
  <si>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</si>
  <si>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</si>
  <si>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</si>
  <si>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</si>
  <si>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</si>
  <si>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</si>
  <si>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</si>
  <si>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</si>
  <si>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</si>
  <si>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</si>
  <si>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</si>
  <si>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</si>
  <si>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</si>
  <si>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</si>
  <si>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</si>
  <si>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</si>
  <si>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</si>
  <si>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</si>
  <si>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</si>
  <si>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</si>
  <si>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</si>
  <si>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</si>
  <si>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</si>
  <si>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</si>
  <si>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</si>
  <si>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</si>
  <si>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</si>
  <si>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</si>
  <si>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</si>
  <si>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</si>
  <si>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</si>
  <si>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</si>
  <si>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</si>
  <si>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</si>
  <si>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</si>
  <si>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</si>
  <si>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</si>
  <si>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</si>
  <si>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</si>
  <si>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</si>
  <si>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</si>
  <si>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</si>
  <si>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</si>
  <si>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</si>
  <si>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</si>
  <si>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</si>
  <si>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</si>
  <si>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</si>
  <si>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</si>
  <si>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</si>
  <si>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</si>
  <si>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</si>
  <si>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</si>
  <si>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</si>
  <si>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</si>
  <si>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</si>
  <si>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</si>
  <si>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</si>
  <si>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</si>
  <si>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</si>
  <si>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</si>
  <si>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</si>
  <si>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</si>
  <si>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</si>
  <si>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</si>
  <si>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</si>
  <si>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</si>
  <si>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</si>
  <si>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</si>
  <si>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</si>
  <si>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</si>
  <si>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</si>
  <si>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</si>
  <si>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</si>
  <si>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</si>
  <si>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</si>
  <si>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</si>
  <si>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</si>
  <si>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</si>
  <si>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</si>
  <si>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</si>
  <si>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</si>
  <si>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</si>
  <si>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</si>
  <si>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</si>
  <si>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</si>
  <si>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</si>
  <si>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</si>
  <si>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</si>
  <si>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</si>
  <si>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</si>
  <si>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</si>
  <si>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</si>
  <si>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</si>
  <si>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</si>
  <si>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</si>
  <si>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</si>
  <si>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</si>
  <si>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</si>
  <si>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</si>
  <si>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</si>
  <si>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</si>
  <si>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</si>
  <si>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</si>
  <si>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</si>
  <si>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</si>
  <si>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</si>
  <si>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</si>
  <si>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</si>
  <si>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</si>
  <si>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</si>
  <si>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</si>
  <si>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</si>
  <si>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</si>
  <si>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</si>
  <si>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</si>
  <si>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</si>
  <si>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</si>
  <si>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</si>
  <si>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</si>
  <si>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</si>
  <si>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</si>
  <si>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</si>
  <si>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</si>
  <si>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</si>
  <si>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</si>
  <si>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</si>
  <si>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</si>
  <si>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</si>
  <si>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</si>
  <si>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</si>
  <si>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</si>
  <si>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</si>
  <si>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</si>
  <si>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</si>
  <si>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</si>
  <si>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</si>
  <si>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</si>
  <si>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</si>
  <si>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</si>
  <si>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</si>
  <si>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</si>
  <si>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</si>
  <si>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</si>
  <si>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</si>
  <si>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</si>
  <si>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</si>
  <si>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</si>
  <si>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</si>
  <si>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</si>
  <si>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</si>
  <si>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</si>
  <si>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</si>
  <si>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</si>
  <si>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</si>
  <si>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</si>
  <si>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</si>
  <si>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</si>
  <si>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</si>
  <si>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</si>
  <si>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</si>
  <si>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</si>
  <si>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</si>
  <si>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</si>
  <si>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</si>
  <si>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</si>
  <si>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</si>
  <si>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</si>
  <si>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</si>
  <si>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</si>
  <si>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</si>
  <si>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</si>
  <si>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</si>
  <si>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</si>
  <si>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</si>
  <si>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</si>
  <si>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</si>
  <si>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</si>
  <si>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</si>
  <si>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</si>
  <si>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</si>
  <si>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</si>
  <si>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</si>
  <si>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</si>
  <si>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</si>
  <si>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</si>
  <si>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</si>
  <si>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</si>
  <si>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</si>
  <si>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</si>
  <si>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</si>
  <si>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</si>
  <si>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</si>
  <si>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</si>
  <si>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</si>
  <si>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</si>
  <si>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</si>
  <si>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</si>
  <si>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</si>
  <si>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</si>
  <si>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</si>
  <si>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</si>
  <si>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</si>
  <si>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</si>
  <si>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</si>
  <si>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</si>
  <si>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</si>
  <si>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</si>
  <si>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</si>
  <si>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</si>
  <si>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</si>
  <si>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</si>
  <si>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</si>
  <si>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</si>
  <si>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</si>
  <si>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</si>
  <si>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</si>
  <si>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</si>
  <si>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</si>
  <si>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</si>
  <si>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</si>
  <si>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</si>
  <si>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</si>
  <si>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</si>
  <si>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</si>
  <si>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</si>
  <si>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</si>
  <si>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</si>
  <si>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</si>
  <si>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</si>
  <si>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</si>
  <si>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</si>
  <si>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</si>
  <si>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</si>
  <si>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</si>
  <si>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</si>
  <si>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</si>
  <si>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</si>
  <si>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</si>
  <si>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</si>
  <si>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</si>
  <si>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</si>
  <si>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</si>
  <si>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</si>
  <si>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</si>
  <si>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</si>
  <si>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</si>
  <si>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</si>
  <si>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</si>
  <si>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</si>
  <si>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</si>
  <si>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</si>
  <si>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</si>
  <si>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</si>
  <si>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</si>
  <si>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</si>
  <si>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</si>
  <si>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</si>
  <si>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</si>
  <si>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</si>
  <si>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</si>
  <si>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</si>
  <si>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</si>
  <si>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</si>
  <si>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</si>
  <si>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</si>
  <si>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</si>
  <si>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</si>
  <si>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</si>
  <si>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</si>
  <si>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</si>
  <si>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</si>
  <si>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</si>
  <si>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</si>
  <si>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</si>
  <si>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</si>
  <si>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</si>
  <si>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</si>
  <si>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</si>
  <si>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</si>
  <si>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</si>
  <si>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</si>
  <si>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</si>
  <si>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</si>
  <si>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</si>
  <si>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</si>
  <si>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</si>
  <si>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</si>
  <si>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</si>
  <si>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</si>
  <si>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</si>
  <si>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</si>
  <si>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</si>
  <si>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</si>
  <si>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</si>
  <si>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</si>
  <si>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</si>
  <si>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</si>
  <si>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</si>
  <si>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</si>
  <si>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</si>
  <si>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</si>
  <si>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</si>
  <si>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</si>
  <si>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</si>
  <si>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</si>
  <si>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</si>
  <si>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</si>
  <si>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</si>
  <si>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</si>
  <si>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</si>
  <si>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</si>
  <si>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</si>
  <si>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</si>
  <si>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</si>
  <si>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</si>
  <si>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</si>
  <si>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</si>
  <si>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</si>
  <si>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</si>
  <si>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</si>
  <si>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</si>
  <si>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</si>
  <si>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</si>
  <si>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</si>
  <si>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</si>
  <si>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</si>
  <si>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</si>
  <si>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</si>
  <si>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</si>
  <si>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</si>
  <si>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</si>
  <si>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</si>
  <si>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</si>
  <si>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</si>
  <si>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</si>
  <si>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</si>
  <si>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</si>
  <si>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</si>
  <si>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</si>
  <si>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</si>
  <si>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</si>
  <si>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</si>
  <si>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</si>
  <si>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</si>
  <si>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</si>
  <si>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</si>
  <si>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</si>
  <si>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</si>
  <si>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</si>
  <si>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</si>
  <si>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</si>
  <si>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</si>
  <si>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</si>
  <si>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</si>
  <si>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</si>
  <si>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</si>
  <si>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</si>
  <si>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</si>
  <si>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</si>
  <si>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</si>
  <si>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</si>
  <si>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</si>
  <si>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</si>
  <si>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</si>
  <si>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</si>
  <si>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</si>
  <si>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</si>
  <si>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</si>
  <si>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</si>
  <si>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</si>
  <si>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</si>
  <si>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</si>
  <si>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</si>
  <si>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</si>
  <si>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</si>
  <si>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</si>
  <si>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</si>
  <si>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</si>
  <si>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</si>
  <si>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</si>
  <si>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</si>
  <si>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</si>
  <si>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</si>
  <si>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</si>
  <si>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</si>
  <si>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</si>
  <si>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</si>
  <si>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</si>
  <si>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</si>
  <si>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</si>
  <si>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</si>
  <si>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</si>
  <si>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</si>
  <si>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</si>
  <si>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</si>
  <si>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</si>
  <si>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</si>
  <si>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</si>
  <si>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</si>
  <si>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</si>
  <si>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</si>
  <si>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</si>
  <si>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</si>
  <si>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</si>
  <si>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</si>
  <si>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</si>
  <si>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</si>
  <si>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</si>
  <si>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</si>
  <si>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</si>
  <si>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</si>
  <si>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</si>
  <si>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</si>
  <si>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</si>
  <si>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</si>
  <si>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</si>
  <si>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</si>
  <si>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</si>
  <si>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</si>
  <si>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</si>
  <si>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</si>
  <si>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</si>
  <si>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</si>
  <si>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</si>
  <si>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</si>
  <si>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</si>
  <si>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</si>
  <si>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</si>
  <si>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</si>
  <si>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</si>
  <si>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</si>
  <si>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</si>
  <si>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</si>
  <si>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</si>
  <si>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</si>
  <si>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</si>
  <si>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</si>
  <si>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</si>
  <si>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</si>
  <si>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</si>
  <si>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</si>
  <si>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</si>
  <si>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</si>
  <si>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</si>
  <si>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</si>
  <si>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</si>
  <si>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</si>
  <si>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</si>
  <si>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</si>
  <si>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</si>
  <si>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</si>
  <si>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</si>
  <si>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</si>
  <si>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</si>
  <si>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</si>
  <si>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</si>
  <si>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</si>
  <si>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</si>
  <si>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</si>
  <si>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</si>
  <si>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</si>
  <si>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</si>
  <si>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</si>
  <si>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</si>
  <si>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</si>
  <si>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</si>
  <si>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</si>
  <si>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</si>
  <si>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</si>
  <si>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</si>
  <si>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</si>
  <si>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</si>
  <si>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</si>
  <si>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</si>
  <si>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</si>
  <si>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</si>
  <si>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</si>
  <si>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</si>
  <si>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</si>
  <si>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</si>
  <si>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</si>
  <si>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</si>
  <si>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</si>
  <si>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</si>
  <si>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</si>
  <si>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</si>
  <si>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</si>
  <si>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</si>
  <si>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</si>
  <si>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</si>
  <si>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</si>
  <si>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</si>
  <si>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</si>
  <si>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</si>
  <si>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</si>
  <si>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</si>
  <si>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GALPÃO 1</t>
  </si>
  <si>
    <t>GALPÃO 2</t>
  </si>
  <si>
    <t>ASM2F56</t>
  </si>
  <si>
    <t>#3/8-1315X1315</t>
  </si>
  <si>
    <t>OVH9601</t>
  </si>
  <si>
    <t>BYZ5H26</t>
  </si>
  <si>
    <t>RYL4I85</t>
  </si>
  <si>
    <t>JCO3H89</t>
  </si>
  <si>
    <t>RELATORIO POS ROMPIMENTO</t>
  </si>
  <si>
    <t>VISTORIA SUPERFICIAL SE HÁ FISSURAS</t>
  </si>
  <si>
    <t>VERIFICAR SE HÁ QUEBRAS DURANTE A DESFORMA</t>
  </si>
  <si>
    <t>VERIFICAR SE FORAM ARMAZENDAS CORRETAMENTE</t>
  </si>
  <si>
    <t>VERIFICAR SE ALGUMA IMPERFEIÇÃO NOTAVEM NO ATO DA DESFORMA</t>
  </si>
  <si>
    <t>ibc0i59</t>
  </si>
  <si>
    <t>jac2h97</t>
  </si>
  <si>
    <t>IOO3D34</t>
  </si>
  <si>
    <t>VERIFICAR SE BOLHAS DE AR LADO DIREITO</t>
  </si>
  <si>
    <t>VERIFICAR SE MICROFISSURAS SUPERFICIAIS NA PLACA</t>
  </si>
  <si>
    <t>BETONEIRA</t>
  </si>
  <si>
    <t>F9</t>
  </si>
  <si>
    <t>F10</t>
  </si>
  <si>
    <t>F11</t>
  </si>
  <si>
    <t>F12</t>
  </si>
  <si>
    <t>ESPAÇADOR DE TELA A TELA E VIGA</t>
  </si>
  <si>
    <r>
      <t xml:space="preserve">VERIFICAR MEDIDA TPO PLACA ATE CANALETA </t>
    </r>
    <r>
      <rPr>
        <b/>
        <sz val="26"/>
        <color theme="1"/>
        <rFont val="Times New Roman"/>
        <family val="1"/>
      </rPr>
      <t>1,225</t>
    </r>
  </si>
  <si>
    <t>PN-235</t>
  </si>
  <si>
    <t>PN-236</t>
  </si>
  <si>
    <t>PN-237</t>
  </si>
  <si>
    <t>PE-288</t>
  </si>
  <si>
    <t>PN-238</t>
  </si>
  <si>
    <t>PN-239</t>
  </si>
  <si>
    <t>PN-240</t>
  </si>
  <si>
    <t>PN-62</t>
  </si>
  <si>
    <t>altura de escora</t>
  </si>
  <si>
    <t>bt1</t>
  </si>
  <si>
    <t>bt2</t>
  </si>
  <si>
    <t>vol(m3)</t>
  </si>
  <si>
    <t>flow</t>
  </si>
  <si>
    <t>NF</t>
  </si>
  <si>
    <t>CP1 (20H)</t>
  </si>
  <si>
    <t>CP2 (20H)</t>
  </si>
  <si>
    <t>CP3 (28D)</t>
  </si>
  <si>
    <t>CP4 (28D)</t>
  </si>
  <si>
    <t>RESIST.</t>
  </si>
  <si>
    <t>FLOW=&gt;</t>
  </si>
  <si>
    <t>HORA LANÇ =&gt;</t>
  </si>
  <si>
    <t>HORA ROMP.</t>
  </si>
  <si>
    <t>BT6</t>
  </si>
  <si>
    <t>NF =&gt;</t>
  </si>
  <si>
    <t>SERIE=&gt;</t>
  </si>
  <si>
    <t>NF=&gt;</t>
  </si>
  <si>
    <t>SERIE =&gt;</t>
  </si>
  <si>
    <t>X</t>
  </si>
  <si>
    <t xml:space="preserve">vol(m³) </t>
  </si>
  <si>
    <t>PR_PF-144</t>
  </si>
  <si>
    <t>PF-156</t>
  </si>
  <si>
    <t>04/07/2025</t>
  </si>
  <si>
    <t>PR_PNI-63</t>
  </si>
  <si>
    <t>PR_PNI-69</t>
  </si>
  <si>
    <t>PR_PNI-75</t>
  </si>
  <si>
    <t>PR_PN-89</t>
  </si>
  <si>
    <t>PR_PN-90</t>
  </si>
  <si>
    <t>PR_PN-91</t>
  </si>
  <si>
    <t>PR_PN-92</t>
  </si>
  <si>
    <t>PR_PN-94</t>
  </si>
  <si>
    <t>PR_PN-96</t>
  </si>
  <si>
    <t>PR_PN-100</t>
  </si>
  <si>
    <t>PR_PN-101</t>
  </si>
  <si>
    <t>PR_PN-102</t>
  </si>
  <si>
    <t>AGE4I27</t>
  </si>
  <si>
    <t>JDF4H68</t>
  </si>
  <si>
    <t>MTQ0C61</t>
  </si>
  <si>
    <t xml:space="preserve"> </t>
  </si>
  <si>
    <t xml:space="preserve"> 04/07/2025</t>
  </si>
  <si>
    <t>PRIMARIO 1</t>
  </si>
  <si>
    <t>PRIMARIO 2</t>
  </si>
  <si>
    <t>PN-264</t>
  </si>
  <si>
    <t>PN-265</t>
  </si>
  <si>
    <t>PN-266</t>
  </si>
  <si>
    <t>PN-267</t>
  </si>
  <si>
    <t>PN-268</t>
  </si>
  <si>
    <t>PE-351</t>
  </si>
  <si>
    <t>PN-269</t>
  </si>
  <si>
    <t>PR_PN-106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</si>
</sst>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25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 Light"/>
      <family val="2"/>
      <scheme val="major"/>
    </font>
    <font>
      <b/>
      <sz val="30"/>
      <color theme="1"/>
      <name val="Calibri"/>
      <family val="2"/>
      <scheme val="minor"/>
    </font>
    <font>
      <sz val="30"/>
      <color theme="1"/>
      <name val="TechnicBold"/>
      <charset val="2"/>
    </font>
    <font>
      <sz val="30"/>
      <color theme="1"/>
      <name val="Times New Roman"/>
      <family val="1"/>
    </font>
    <font>
      <sz val="19"/>
      <color theme="1"/>
      <name val="TechnicBold"/>
      <charset val="2"/>
    </font>
    <font>
      <b/>
      <sz val="25"/>
      <color theme="1"/>
      <name val="Calibri"/>
      <family val="2"/>
      <scheme val="minor"/>
    </font>
    <font>
      <sz val="18"/>
      <color theme="1"/>
      <name val="Swis721 Cn BT"/>
      <family val="2"/>
    </font>
    <font>
      <b/>
      <sz val="2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wis721 Cn BT"/>
      <family val="2"/>
    </font>
    <font>
      <sz val="25"/>
      <color theme="1"/>
      <name val="Avenir Next LT Pro Light"/>
      <family val="2"/>
    </font>
    <font>
      <b/>
      <sz val="30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12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34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7" fillId="0" borderId="1" xfId="0" applyFont="1" applyBorder="1"/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5" fillId="0" borderId="0" xfId="0" applyFont="1"/>
    <xf numFmtId="0" fontId="2" fillId="5" borderId="5" xfId="0" applyFont="1" applyFill="1" applyBorder="1"/>
    <xf numFmtId="0" fontId="2" fillId="0" borderId="5" xfId="0" applyFont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5" borderId="3" xfId="0" applyFont="1" applyFill="1" applyBorder="1"/>
    <xf numFmtId="0" fontId="2" fillId="0" borderId="3" xfId="0" applyFont="1" applyBorder="1"/>
    <xf numFmtId="0" fontId="2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9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1" fillId="0" borderId="1" xfId="0" applyFont="1" applyBorder="1"/>
    <xf numFmtId="0" fontId="32" fillId="2" borderId="1" xfId="0" applyFont="1" applyFill="1" applyBorder="1"/>
    <xf numFmtId="0" fontId="0" fillId="0" borderId="13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1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14" borderId="2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16" fontId="0" fillId="14" borderId="20" xfId="0" applyNumberForma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quotePrefix="1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14" fontId="0" fillId="4" borderId="1" xfId="0" quotePrefix="1" applyNumberForma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29" fillId="18" borderId="1" xfId="1" applyNumberFormat="1" applyFont="1" applyFill="1" applyBorder="1" applyAlignment="1">
      <alignment horizontal="center" vertical="center"/>
    </xf>
    <xf numFmtId="10" fontId="29" fillId="18" borderId="1" xfId="1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6" fillId="0" borderId="0" xfId="0" applyFont="1"/>
    <xf numFmtId="14" fontId="20" fillId="0" borderId="3" xfId="0" applyNumberFormat="1" applyFont="1" applyBorder="1"/>
    <xf numFmtId="14" fontId="20" fillId="0" borderId="4" xfId="0" applyNumberFormat="1" applyFont="1" applyBorder="1"/>
    <xf numFmtId="14" fontId="20" fillId="0" borderId="5" xfId="0" applyNumberFormat="1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5" fillId="0" borderId="1" xfId="0" applyFont="1" applyBorder="1" applyAlignment="1">
      <alignment horizontal="center"/>
    </xf>
    <xf numFmtId="0" fontId="2" fillId="5" borderId="22" xfId="0" applyFont="1" applyFill="1" applyBorder="1"/>
    <xf numFmtId="0" fontId="2" fillId="0" borderId="23" xfId="0" applyFont="1" applyBorder="1"/>
    <xf numFmtId="0" fontId="16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21" xfId="0" applyBorder="1"/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45" fillId="0" borderId="0" xfId="0" applyFont="1"/>
    <xf numFmtId="14" fontId="45" fillId="3" borderId="0" xfId="0" quotePrefix="1" applyNumberFormat="1" applyFont="1" applyFill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4" fontId="45" fillId="0" borderId="0" xfId="0" applyNumberFormat="1" applyFont="1"/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1" fillId="0" borderId="1" xfId="0" applyFont="1" applyBorder="1" applyAlignment="1">
      <alignment vertical="center"/>
    </xf>
    <xf numFmtId="0" fontId="44" fillId="0" borderId="0" xfId="0" applyFont="1"/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30" fillId="17" borderId="8" xfId="0" applyFont="1" applyFill="1" applyBorder="1" applyAlignment="1">
      <alignment horizontal="center" vertical="center"/>
    </xf>
    <xf numFmtId="0" fontId="30" fillId="17" borderId="9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0" fillId="0" borderId="0" xfId="0" applyAlignment="1">
      <alignment horizontal="center"/>
    </xf>
    <xf numFmtId="0" fontId="24" fillId="5" borderId="3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5" borderId="3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1" fillId="0" borderId="3" xfId="0" applyFont="1" applyBorder="1" applyAlignment="1">
      <alignment horizontal="right" vertical="center"/>
    </xf>
    <xf numFmtId="0" fontId="31" fillId="0" borderId="5" xfId="0" applyFont="1" applyBorder="1" applyAlignment="1">
      <alignment horizontal="right" vertical="center"/>
    </xf>
    <xf numFmtId="0" fontId="40" fillId="17" borderId="3" xfId="0" applyFont="1" applyFill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7" fillId="0" borderId="3" xfId="0" quotePrefix="1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20" fillId="0" borderId="3" xfId="0" applyNumberFormat="1" applyFont="1" applyBorder="1" applyAlignment="1">
      <alignment horizontal="center"/>
    </xf>
    <xf numFmtId="14" fontId="20" fillId="0" borderId="4" xfId="0" applyNumberFormat="1" applyFont="1" applyBorder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29" fillId="0" borderId="1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4" fillId="0" borderId="4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textRotation="90"/>
    </xf>
    <xf numFmtId="0" fontId="31" fillId="0" borderId="1" xfId="0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31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quotePrefix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40" fillId="17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35" fillId="0" borderId="11" xfId="0" applyNumberFormat="1" applyFont="1" applyBorder="1" applyAlignment="1">
      <alignment horizontal="center"/>
    </xf>
    <xf numFmtId="14" fontId="35" fillId="0" borderId="12" xfId="0" applyNumberFormat="1" applyFont="1" applyBorder="1" applyAlignment="1">
      <alignment horizontal="center"/>
    </xf>
    <xf numFmtId="14" fontId="35" fillId="0" borderId="13" xfId="0" applyNumberFormat="1" applyFont="1" applyBorder="1" applyAlignment="1">
      <alignment horizontal="center"/>
    </xf>
    <xf numFmtId="14" fontId="35" fillId="0" borderId="2" xfId="0" applyNumberFormat="1" applyFont="1" applyBorder="1" applyAlignment="1">
      <alignment horizontal="center"/>
    </xf>
    <xf numFmtId="14" fontId="35" fillId="0" borderId="10" xfId="0" applyNumberFormat="1" applyFont="1" applyBorder="1" applyAlignment="1">
      <alignment horizontal="center"/>
    </xf>
    <xf numFmtId="14" fontId="35" fillId="0" borderId="7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1" xfId="0" applyFont="1" applyBorder="1" applyAlignment="1">
      <alignment horizontal="left" wrapText="1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vertical="center" textRotation="180" wrapText="1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5" fillId="0" borderId="0" xfId="0" applyFont="1" applyAlignment="1">
      <alignment horizontal="right" vertical="center" textRotation="90"/>
    </xf>
    <xf numFmtId="0" fontId="6" fillId="0" borderId="2" xfId="0" applyFont="1" applyBorder="1" applyAlignment="1">
      <alignment horizontal="right" vertical="center" textRotation="90"/>
    </xf>
  </cellXfs>
  <cellStyles count="2">
    <cellStyle name="Normal" xfId="0" builtinId="0"/>
    <cellStyle name="Porcentagem" xfId="1" builtinId="5"/>
  </cellStyles>
  <dxfs count="7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BE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100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70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90.png"/><Relationship Id="rId4" Type="http://schemas.openxmlformats.org/officeDocument/2006/relationships/image" Target="../media/image60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5209310</xdr:colOff>
      <xdr:row>29</xdr:row>
      <xdr:rowOff>346365</xdr:rowOff>
    </xdr:from>
    <xdr:to>
      <xdr:col>20</xdr:col>
      <xdr:colOff>789709</xdr:colOff>
      <xdr:row>31</xdr:row>
      <xdr:rowOff>207819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533DEF7F-57E2-4452-8148-A100C05E2DC2}"/>
            </a:ext>
          </a:extLst>
        </xdr:cNvPr>
        <xdr:cNvSpPr/>
      </xdr:nvSpPr>
      <xdr:spPr>
        <a:xfrm>
          <a:off x="8112530" y="15814965"/>
          <a:ext cx="12896849" cy="1122564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547255</xdr:colOff>
      <xdr:row>27</xdr:row>
      <xdr:rowOff>943264</xdr:rowOff>
    </xdr:from>
    <xdr:to>
      <xdr:col>22</xdr:col>
      <xdr:colOff>15702</xdr:colOff>
      <xdr:row>29</xdr:row>
      <xdr:rowOff>544482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D0888246-A996-4E81-BF9A-5A9362664458}"/>
            </a:ext>
          </a:extLst>
        </xdr:cNvPr>
        <xdr:cNvSpPr/>
      </xdr:nvSpPr>
      <xdr:spPr>
        <a:xfrm flipV="1">
          <a:off x="19223182" y="17125373"/>
          <a:ext cx="2502593" cy="1291473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</xdr:row>
      <xdr:rowOff>69273</xdr:rowOff>
    </xdr:from>
    <xdr:to>
      <xdr:col>29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4DE486E5-B6A3-73BF-B645-ECE35BBB8189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608DA262-2B29-4420-939D-9BDDBA3E271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D9E740F8-F300-4361-B142-80FEC7A137E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0D8FF8C0-529C-457F-9440-9770BEC6C080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03866244-1A7D-4563-A1EC-51BFC1DECC6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1F9E3C0F-CF16-44CC-88B3-4FDF3025EC7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5209310</xdr:colOff>
      <xdr:row>29</xdr:row>
      <xdr:rowOff>346365</xdr:rowOff>
    </xdr:from>
    <xdr:to>
      <xdr:col>20</xdr:col>
      <xdr:colOff>789709</xdr:colOff>
      <xdr:row>31</xdr:row>
      <xdr:rowOff>207819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6774C3FA-2A4A-4745-B932-0FB25E2A23BC}"/>
            </a:ext>
          </a:extLst>
        </xdr:cNvPr>
        <xdr:cNvSpPr/>
      </xdr:nvSpPr>
      <xdr:spPr>
        <a:xfrm>
          <a:off x="8120150" y="16637925"/>
          <a:ext cx="12893039" cy="1126374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533400</xdr:colOff>
      <xdr:row>27</xdr:row>
      <xdr:rowOff>444500</xdr:rowOff>
    </xdr:from>
    <xdr:to>
      <xdr:col>21</xdr:col>
      <xdr:colOff>254000</xdr:colOff>
      <xdr:row>29</xdr:row>
      <xdr:rowOff>45718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FCC62B51-6262-4ED4-819D-9282C38E4D1A}"/>
            </a:ext>
          </a:extLst>
        </xdr:cNvPr>
        <xdr:cNvSpPr/>
      </xdr:nvSpPr>
      <xdr:spPr>
        <a:xfrm flipV="1">
          <a:off x="19156680" y="15471140"/>
          <a:ext cx="2501900" cy="866138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1260764</xdr:colOff>
      <xdr:row>1</xdr:row>
      <xdr:rowOff>55418</xdr:rowOff>
    </xdr:from>
    <xdr:to>
      <xdr:col>29</xdr:col>
      <xdr:colOff>1454727</xdr:colOff>
      <xdr:row>1</xdr:row>
      <xdr:rowOff>374073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B9BEF6CE-5725-4B6F-82C6-0D6FD42D87ED}"/>
            </a:ext>
          </a:extLst>
        </xdr:cNvPr>
        <xdr:cNvSpPr/>
      </xdr:nvSpPr>
      <xdr:spPr>
        <a:xfrm>
          <a:off x="30978764" y="49876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33640B8C-E687-40CB-8F2D-245855C835C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305ECF51-3714-4C4B-BC44-D7BE407DF224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986830A2-5A09-40AE-8D2C-B7B159EF332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3689BBD1-0B96-4B5C-AB56-F10DC163922A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D021EAC8-CE2B-4D33-8097-DB8889653EA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390698</xdr:colOff>
      <xdr:row>61</xdr:row>
      <xdr:rowOff>173182</xdr:rowOff>
    </xdr:from>
    <xdr:to>
      <xdr:col>4</xdr:col>
      <xdr:colOff>3146194</xdr:colOff>
      <xdr:row>73</xdr:row>
      <xdr:rowOff>365171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605700-E212-A390-0F27-CC1507D7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425" y="30687818"/>
          <a:ext cx="5378162" cy="6018519"/>
        </a:xfrm>
        <a:prstGeom prst="rect">
          <a:avLst/>
        </a:prstGeom>
      </xdr:spPr>
    </xdr:pic>
    <xdr:clientData/>
  </xdr:twoCellAnchor>
  <xdr:twoCellAnchor editAs="oneCell">
    <xdr:from>
      <xdr:col>4</xdr:col>
      <xdr:colOff>3082706</xdr:colOff>
      <xdr:row>60</xdr:row>
      <xdr:rowOff>363681</xdr:rowOff>
    </xdr:from>
    <xdr:to>
      <xdr:col>15</xdr:col>
      <xdr:colOff>575611</xdr:colOff>
      <xdr:row>72</xdr:row>
      <xdr:rowOff>134735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6CD79D-F5B1-65DA-AE60-B77B86EF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9479" y="30393408"/>
          <a:ext cx="8194206" cy="5593773"/>
        </a:xfrm>
        <a:prstGeom prst="rect">
          <a:avLst/>
        </a:prstGeom>
      </xdr:spPr>
    </xdr:pic>
    <xdr:clientData/>
  </xdr:twoCellAnchor>
  <xdr:twoCellAnchor editAs="oneCell">
    <xdr:from>
      <xdr:col>12</xdr:col>
      <xdr:colOff>731174</xdr:colOff>
      <xdr:row>59</xdr:row>
      <xdr:rowOff>388620</xdr:rowOff>
    </xdr:from>
    <xdr:to>
      <xdr:col>30</xdr:col>
      <xdr:colOff>519034</xdr:colOff>
      <xdr:row>77</xdr:row>
      <xdr:rowOff>96113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06BAECB-7739-6DF9-A389-507BB33F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15356" y="29933438"/>
          <a:ext cx="12520163" cy="8432049"/>
        </a:xfrm>
        <a:prstGeom prst="rect">
          <a:avLst/>
        </a:prstGeom>
      </xdr:spPr>
    </xdr:pic>
    <xdr:clientData/>
  </xdr:twoCellAnchor>
  <xdr:twoCellAnchor>
    <xdr:from>
      <xdr:col>37</xdr:col>
      <xdr:colOff>1260764</xdr:colOff>
      <xdr:row>1</xdr:row>
      <xdr:rowOff>55418</xdr:rowOff>
    </xdr:from>
    <xdr:to>
      <xdr:col>37</xdr:col>
      <xdr:colOff>1454727</xdr:colOff>
      <xdr:row>1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A992B88-03D3-4644-AD1B-33DDDCB0685F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7</xdr:row>
      <xdr:rowOff>55418</xdr:rowOff>
    </xdr:from>
    <xdr:to>
      <xdr:col>37</xdr:col>
      <xdr:colOff>1454727</xdr:colOff>
      <xdr:row>7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ADD82D23-AB4C-427A-AE1A-C0E320ECE386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12</xdr:row>
      <xdr:rowOff>55418</xdr:rowOff>
    </xdr:from>
    <xdr:to>
      <xdr:col>37</xdr:col>
      <xdr:colOff>1454727</xdr:colOff>
      <xdr:row>12</xdr:row>
      <xdr:rowOff>374073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B2EAD910-019A-4E5D-B15C-884A6A5D4219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18</xdr:row>
      <xdr:rowOff>55418</xdr:rowOff>
    </xdr:from>
    <xdr:to>
      <xdr:col>37</xdr:col>
      <xdr:colOff>1454727</xdr:colOff>
      <xdr:row>18</xdr:row>
      <xdr:rowOff>374073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429BDFCB-6B56-47DE-9C5A-5B391118A0F8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24</xdr:row>
      <xdr:rowOff>55418</xdr:rowOff>
    </xdr:from>
    <xdr:to>
      <xdr:col>37</xdr:col>
      <xdr:colOff>1454727</xdr:colOff>
      <xdr:row>24</xdr:row>
      <xdr:rowOff>374073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00D5787D-0745-4DA9-AAE4-4A139FFD558E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30</xdr:row>
      <xdr:rowOff>55418</xdr:rowOff>
    </xdr:from>
    <xdr:to>
      <xdr:col>37</xdr:col>
      <xdr:colOff>1454727</xdr:colOff>
      <xdr:row>30</xdr:row>
      <xdr:rowOff>374073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E88299E9-13B4-4997-B51D-6160CCD6568C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68580</xdr:rowOff>
    </xdr:from>
    <xdr:to>
      <xdr:col>2</xdr:col>
      <xdr:colOff>893445</xdr:colOff>
      <xdr:row>36</xdr:row>
      <xdr:rowOff>117022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17A13A-78ED-4997-B595-5C681359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630"/>
          <a:ext cx="1994535" cy="17221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445770</xdr:rowOff>
    </xdr:from>
    <xdr:to>
      <xdr:col>25</xdr:col>
      <xdr:colOff>360022</xdr:colOff>
      <xdr:row>28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896CEF-C63E-4DE7-BCD0-67DE5A79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4142720"/>
          <a:ext cx="2501242" cy="17830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31</xdr:row>
      <xdr:rowOff>83820</xdr:rowOff>
    </xdr:from>
    <xdr:to>
      <xdr:col>4</xdr:col>
      <xdr:colOff>3105858</xdr:colOff>
      <xdr:row>36</xdr:row>
      <xdr:rowOff>136072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9FCC96-83E9-4876-BC0A-45B06E86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0" y="17247870"/>
          <a:ext cx="2801058" cy="1725930"/>
        </a:xfrm>
        <a:prstGeom prst="rect">
          <a:avLst/>
        </a:prstGeom>
      </xdr:spPr>
    </xdr:pic>
    <xdr:clientData/>
  </xdr:twoCellAnchor>
  <xdr:twoCellAnchor editAs="oneCell">
    <xdr:from>
      <xdr:col>4</xdr:col>
      <xdr:colOff>4438650</xdr:colOff>
      <xdr:row>31</xdr:row>
      <xdr:rowOff>129540</xdr:rowOff>
    </xdr:from>
    <xdr:to>
      <xdr:col>4</xdr:col>
      <xdr:colOff>6762750</xdr:colOff>
      <xdr:row>36</xdr:row>
      <xdr:rowOff>151062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386F2-5042-4F51-B2D0-87527B6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9050" y="17293590"/>
          <a:ext cx="2324100" cy="169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1146809</xdr:colOff>
      <xdr:row>32</xdr:row>
      <xdr:rowOff>91440</xdr:rowOff>
    </xdr:from>
    <xdr:to>
      <xdr:col>14</xdr:col>
      <xdr:colOff>438056</xdr:colOff>
      <xdr:row>35</xdr:row>
      <xdr:rowOff>136071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9C93E3-8EBF-4886-9AC5-489BAA5E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9209" y="17579340"/>
          <a:ext cx="1661067" cy="107061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31</xdr:row>
      <xdr:rowOff>182880</xdr:rowOff>
    </xdr:from>
    <xdr:to>
      <xdr:col>10</xdr:col>
      <xdr:colOff>702045</xdr:colOff>
      <xdr:row>36</xdr:row>
      <xdr:rowOff>78922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D369A7-2C4B-40A6-907B-2618D9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17346930"/>
          <a:ext cx="3569070" cy="1569720"/>
        </a:xfrm>
        <a:prstGeom prst="rect">
          <a:avLst/>
        </a:prstGeom>
      </xdr:spPr>
    </xdr:pic>
    <xdr:clientData/>
  </xdr:twoCellAnchor>
  <xdr:twoCellAnchor editAs="oneCell">
    <xdr:from>
      <xdr:col>15</xdr:col>
      <xdr:colOff>659129</xdr:colOff>
      <xdr:row>32</xdr:row>
      <xdr:rowOff>26670</xdr:rowOff>
    </xdr:from>
    <xdr:to>
      <xdr:col>17</xdr:col>
      <xdr:colOff>1164553</xdr:colOff>
      <xdr:row>35</xdr:row>
      <xdr:rowOff>59871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31080B6-17F5-42FE-BFD2-F71C2D50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4829" y="17514570"/>
          <a:ext cx="2854289" cy="10591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1150620</xdr:colOff>
      <xdr:row>32</xdr:row>
      <xdr:rowOff>68580</xdr:rowOff>
    </xdr:from>
    <xdr:to>
      <xdr:col>20</xdr:col>
      <xdr:colOff>1572972</xdr:colOff>
      <xdr:row>35</xdr:row>
      <xdr:rowOff>231321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92988DD-D022-4D20-B3BC-71D476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9620" y="17556480"/>
          <a:ext cx="3747616" cy="1188720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259080</xdr:rowOff>
    </xdr:from>
    <xdr:to>
      <xdr:col>4</xdr:col>
      <xdr:colOff>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6D2235B-C812-8FF5-4878-29C9990A17AF}"/>
            </a:ext>
          </a:extLst>
        </xdr:cNvPr>
        <xdr:cNvSpPr txBox="1"/>
      </xdr:nvSpPr>
      <xdr:spPr>
        <a:xfrm>
          <a:off x="2114550" y="17423130"/>
          <a:ext cx="1085850" cy="14744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21</xdr:col>
      <xdr:colOff>563880</xdr:colOff>
      <xdr:row>28</xdr:row>
      <xdr:rowOff>502920</xdr:rowOff>
    </xdr:from>
    <xdr:to>
      <xdr:col>24</xdr:col>
      <xdr:colOff>476250</xdr:colOff>
      <xdr:row>30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2730AD4-4BB4-48F3-B795-229624EF2500}"/>
            </a:ext>
          </a:extLst>
        </xdr:cNvPr>
        <xdr:cNvSpPr txBox="1"/>
      </xdr:nvSpPr>
      <xdr:spPr>
        <a:xfrm>
          <a:off x="27100530" y="16085820"/>
          <a:ext cx="1741170" cy="9067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6717030</xdr:colOff>
      <xdr:row>32</xdr:row>
      <xdr:rowOff>281940</xdr:rowOff>
    </xdr:from>
    <xdr:to>
      <xdr:col>6</xdr:col>
      <xdr:colOff>133350</xdr:colOff>
      <xdr:row>35</xdr:row>
      <xdr:rowOff>304800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C66B3BC-815F-43AF-8AAC-E41005BDF0D2}"/>
            </a:ext>
          </a:extLst>
        </xdr:cNvPr>
        <xdr:cNvSpPr txBox="1"/>
      </xdr:nvSpPr>
      <xdr:spPr>
        <a:xfrm>
          <a:off x="9917430" y="17769840"/>
          <a:ext cx="1436370" cy="9944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3550920</xdr:colOff>
      <xdr:row>33</xdr:row>
      <xdr:rowOff>7620</xdr:rowOff>
    </xdr:from>
    <xdr:to>
      <xdr:col>4</xdr:col>
      <xdr:colOff>4572000</xdr:colOff>
      <xdr:row>36</xdr:row>
      <xdr:rowOff>114300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5E577ED-853C-47CA-85CD-4927F412E8C6}"/>
            </a:ext>
          </a:extLst>
        </xdr:cNvPr>
        <xdr:cNvSpPr txBox="1"/>
      </xdr:nvSpPr>
      <xdr:spPr>
        <a:xfrm>
          <a:off x="6751320" y="17819370"/>
          <a:ext cx="1021080" cy="10782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14</xdr:col>
      <xdr:colOff>468630</xdr:colOff>
      <xdr:row>32</xdr:row>
      <xdr:rowOff>213360</xdr:rowOff>
    </xdr:from>
    <xdr:to>
      <xdr:col>15</xdr:col>
      <xdr:colOff>400050</xdr:colOff>
      <xdr:row>36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6971BF-9FBE-43A2-B3AD-01DC44337710}"/>
            </a:ext>
          </a:extLst>
        </xdr:cNvPr>
        <xdr:cNvSpPr txBox="1"/>
      </xdr:nvSpPr>
      <xdr:spPr>
        <a:xfrm>
          <a:off x="18223230" y="17701260"/>
          <a:ext cx="1112520" cy="11201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10</xdr:col>
      <xdr:colOff>727710</xdr:colOff>
      <xdr:row>32</xdr:row>
      <xdr:rowOff>247650</xdr:rowOff>
    </xdr:from>
    <xdr:to>
      <xdr:col>12</xdr:col>
      <xdr:colOff>971550</xdr:colOff>
      <xdr:row>36</xdr:row>
      <xdr:rowOff>95250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14897E6-3DC8-46ED-B13F-CFECE81BCF8E}"/>
            </a:ext>
          </a:extLst>
        </xdr:cNvPr>
        <xdr:cNvSpPr txBox="1"/>
      </xdr:nvSpPr>
      <xdr:spPr>
        <a:xfrm>
          <a:off x="15148560" y="17735550"/>
          <a:ext cx="1215390" cy="1143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17</xdr:col>
      <xdr:colOff>1070610</xdr:colOff>
      <xdr:row>32</xdr:row>
      <xdr:rowOff>224790</xdr:rowOff>
    </xdr:from>
    <xdr:to>
      <xdr:col>19</xdr:col>
      <xdr:colOff>0</xdr:colOff>
      <xdr:row>36</xdr:row>
      <xdr:rowOff>190500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890089E-F943-4E47-B59F-080476F7ADE7}"/>
            </a:ext>
          </a:extLst>
        </xdr:cNvPr>
        <xdr:cNvSpPr txBox="1"/>
      </xdr:nvSpPr>
      <xdr:spPr>
        <a:xfrm>
          <a:off x="22368510" y="17712690"/>
          <a:ext cx="1291590" cy="12611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22</xdr:col>
      <xdr:colOff>240030</xdr:colOff>
      <xdr:row>33</xdr:row>
      <xdr:rowOff>49530</xdr:rowOff>
    </xdr:from>
    <xdr:to>
      <xdr:col>24</xdr:col>
      <xdr:colOff>285750</xdr:colOff>
      <xdr:row>36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4B08375-93E4-42D2-A810-871EB447FCF1}"/>
            </a:ext>
          </a:extLst>
        </xdr:cNvPr>
        <xdr:cNvSpPr txBox="1"/>
      </xdr:nvSpPr>
      <xdr:spPr>
        <a:xfrm>
          <a:off x="27386280" y="17861280"/>
          <a:ext cx="1264920" cy="10744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15</xdr:col>
      <xdr:colOff>892629</xdr:colOff>
      <xdr:row>5</xdr:row>
      <xdr:rowOff>163286</xdr:rowOff>
    </xdr:from>
    <xdr:to>
      <xdr:col>15</xdr:col>
      <xdr:colOff>903515</xdr:colOff>
      <xdr:row>8</xdr:row>
      <xdr:rowOff>566057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E19F6F78-4E18-BE0D-4BC2-3E6C597C57A7}"/>
            </a:ext>
          </a:extLst>
        </xdr:cNvPr>
        <xdr:cNvCxnSpPr/>
      </xdr:nvCxnSpPr>
      <xdr:spPr>
        <a:xfrm>
          <a:off x="19888200" y="2340429"/>
          <a:ext cx="10886" cy="1240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1260764</xdr:colOff>
      <xdr:row>66</xdr:row>
      <xdr:rowOff>55418</xdr:rowOff>
    </xdr:from>
    <xdr:to>
      <xdr:col>18</xdr:col>
      <xdr:colOff>1454727</xdr:colOff>
      <xdr:row>66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383DEB42-D7E7-40B9-A9BE-364737949246}"/>
            </a:ext>
          </a:extLst>
        </xdr:cNvPr>
        <xdr:cNvSpPr/>
      </xdr:nvSpPr>
      <xdr:spPr>
        <a:xfrm>
          <a:off x="32845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1260764</xdr:colOff>
      <xdr:row>72</xdr:row>
      <xdr:rowOff>55418</xdr:rowOff>
    </xdr:from>
    <xdr:to>
      <xdr:col>18</xdr:col>
      <xdr:colOff>1454727</xdr:colOff>
      <xdr:row>72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76B5CABA-1A61-494E-923B-9DE37C5AFB64}"/>
            </a:ext>
          </a:extLst>
        </xdr:cNvPr>
        <xdr:cNvSpPr/>
      </xdr:nvSpPr>
      <xdr:spPr>
        <a:xfrm>
          <a:off x="32845664" y="30881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740230</xdr:colOff>
      <xdr:row>13</xdr:row>
      <xdr:rowOff>174170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C18828-808B-7452-3F80-3007BBB7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560612" y="560613"/>
          <a:ext cx="4822370" cy="37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75762</xdr:rowOff>
    </xdr:from>
    <xdr:to>
      <xdr:col>5</xdr:col>
      <xdr:colOff>925290</xdr:colOff>
      <xdr:row>35</xdr:row>
      <xdr:rowOff>10886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3FB2C2-BD10-0EDE-3315-7B24C56E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1682059" y="6406023"/>
          <a:ext cx="7250324" cy="38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388011</xdr:colOff>
      <xdr:row>17</xdr:row>
      <xdr:rowOff>171771</xdr:rowOff>
    </xdr:from>
    <xdr:to>
      <xdr:col>4</xdr:col>
      <xdr:colOff>153566</xdr:colOff>
      <xdr:row>18</xdr:row>
      <xdr:rowOff>238611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14:cNvPr>
            <xdr14:cNvContentPartPr/>
          </xdr14:nvContentPartPr>
          <xdr14:nvPr macro=""/>
          <xdr14:xfrm>
            <a:off x="1585440" y="5560200"/>
            <a:ext cx="919440" cy="4478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6800" y="5551560"/>
              <a:ext cx="93708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478131</xdr:colOff>
      <xdr:row>7</xdr:row>
      <xdr:rowOff>68469</xdr:rowOff>
    </xdr:from>
    <xdr:to>
      <xdr:col>2</xdr:col>
      <xdr:colOff>459291</xdr:colOff>
      <xdr:row>7</xdr:row>
      <xdr:rowOff>340269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14:cNvPr>
            <xdr14:cNvContentPartPr/>
          </xdr14:nvContentPartPr>
          <xdr14:nvPr macro=""/>
          <xdr14:xfrm>
            <a:off x="1065960" y="2300040"/>
            <a:ext cx="590760" cy="271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7320" y="2291040"/>
              <a:ext cx="6084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119331</xdr:colOff>
      <xdr:row>28</xdr:row>
      <xdr:rowOff>173778</xdr:rowOff>
    </xdr:from>
    <xdr:to>
      <xdr:col>3</xdr:col>
      <xdr:colOff>119691</xdr:colOff>
      <xdr:row>30</xdr:row>
      <xdr:rowOff>119126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14:cNvPr>
            <xdr14:cNvContentPartPr/>
          </xdr14:nvContentPartPr>
          <xdr14:nvPr macro=""/>
          <xdr14:xfrm>
            <a:off x="1926360" y="9034749"/>
            <a:ext cx="360" cy="57672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7360" y="9026109"/>
              <a:ext cx="1800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533211</xdr:colOff>
      <xdr:row>28</xdr:row>
      <xdr:rowOff>183498</xdr:rowOff>
    </xdr:from>
    <xdr:to>
      <xdr:col>3</xdr:col>
      <xdr:colOff>108531</xdr:colOff>
      <xdr:row>29</xdr:row>
      <xdr:rowOff>315292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14:cNvPr>
            <xdr14:cNvContentPartPr/>
          </xdr14:nvContentPartPr>
          <xdr14:nvPr macro=""/>
          <xdr14:xfrm>
            <a:off x="1121040" y="9044469"/>
            <a:ext cx="794520" cy="44748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2040" y="9035469"/>
              <a:ext cx="8121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587246</xdr:colOff>
      <xdr:row>18</xdr:row>
      <xdr:rowOff>86675</xdr:rowOff>
    </xdr:from>
    <xdr:to>
      <xdr:col>5</xdr:col>
      <xdr:colOff>587606</xdr:colOff>
      <xdr:row>18</xdr:row>
      <xdr:rowOff>87035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14:cNvPr>
            <xdr14:cNvContentPartPr/>
          </xdr14:nvContentPartPr>
          <xdr14:nvPr macro=""/>
          <xdr14:xfrm>
            <a:off x="3548160" y="5790789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39520" y="57817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24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10 128 24575,'-1'-2'0,"0"0"0,0 0 0,0 0 0,0 1 0,0-1 0,0 0 0,1 0 0,-1 0 0,1 0 0,-1 0 0,1 0 0,0-1 0,0 1 0,0 0 0,0 0 0,0 0 0,0 0 0,1 0 0,-1 0 0,1 0 0,-1 0 0,1 0 0,0 0 0,0 0 0,1-2 0,1-1 0,-1 0 0,1 1 0,-1 0 0,1-1 0,1 1 0,-1 0 0,1 0 0,-1 1 0,6-5 0,-1 4 0,0 0 0,1 0 0,0 1 0,-1 0 0,1 1 0,0-1 0,0 2 0,0-1 0,0 1 0,0 1 0,1 0 0,-1 0 0,0 0 0,0 2 0,0-1 0,14 5 0,-3-1 0,0 1 0,0 1 0,-1 1 0,0 1 0,0 0 0,22 16 0,-32-18 0,35 22 0,-1 2 0,68 66 0,-101-86 0,0 0 0,0 1 0,-1 0 0,0 1 0,-1 0 0,-1 0 0,0 0 0,-1 1 0,0 0 0,-1 0 0,-1 1 0,0-1 0,-1 1 0,3 24 0,-5 0 0,-1 0 0,-2-1 0,-1 1 0,-2 0 0,-2-1 0,-2 0 0,-1-1 0,-1 0 0,-34 70 0,41-98 0,-1-1 0,1 0 0,-2 0 0,1 0 0,-1 0 0,0-1 0,-1 0 0,0-1 0,0 1 0,0-1 0,-15 9 0,12-10 0,0-1 0,0 0 0,0 0 0,0-1 0,-1-1 0,1 0 0,-1 0 0,1-1 0,-1 0 0,-14-1 0,-5 0 0,0-2 0,-51-8 0,71 8 0,1-1 0,-1 0 0,1 0 0,0-1 0,-1-1 0,2 1 0,-1-1 0,1-1 0,-1 0 0,1 0 0,-13-14 0,15 14 0,0 0 0,0 0 0,1 0 0,0-1 0,0 0 0,1 0 0,0 0 0,0-1 0,1 1 0,-1-1 0,-2-13 0,6 20 0,0 0 0,0 0 0,0 0 0,0 0 0,0 0 0,0 0 0,0 0 0,0 0 0,0 0 0,1 0 0,-1 0 0,0 0 0,1 0 0,-1 0 0,1 0 0,-1 0 0,1 1 0,0-1 0,-1 0 0,1 0 0,0 1 0,-1-1 0,1 0 0,0 1 0,0-1 0,-1 0 0,1 1 0,0-1 0,0 1 0,0 0 0,0-1 0,0 1 0,0 0 0,0-1 0,0 1 0,0 0 0,0 0 0,0 0 0,0 0 0,0 0 0,0 0 0,1 0 0,5 0 0,-1 1 0,1 0 0,-1 0 0,1 0 0,6 3 0,2 0 0,-1 2 0,-1 0 0,1 0 0,-1 1 0,0 1 0,0 0 0,-1 1 0,0 0 0,-1 1 0,0 0 0,-1 1 0,0 0 0,0 1 0,-1 0 0,-1 0 0,0 1 0,7 15 0,55 160-1365,-61-162-5461</inkml:trace>
  <inkml:trace contextRef="#ctx0" brushRef="#br0" timeOffset="2547.62">1341 66 24575,'-7'6'0,"-1"-1"0,0 0 0,1 0 0,-2-1 0,1 0 0,0 0 0,-2-1 0,-16 4 0,-18 8 0,19-5 0,1 2 0,-1 1 0,2 0 0,0 2 0,1 1 0,0 0 0,1 2 0,2 0 0,-1 2 0,2 0 0,1 1 0,0 0 0,2 2 0,-16 29 0,21-32 0,0 1 0,2 0 0,0 1 0,2 0 0,0 0 0,2 1 0,0 0 0,2-1 0,0 2 0,1-1 0,2 0 0,5 40 0,-5-52 0,1 1 0,1-1 0,0 1 0,0-1 0,1 0 0,8 17 0,-8-22 0,1 1 0,-1-1 0,1-1 0,0 1 0,0-1 0,0 0 0,1 0 0,0 0 0,0-1 0,0 1 0,12 4 0,5 4 0,-12-7 0,0 0 0,1-1 0,21 7 0,-28-10 0,0-1 0,1-1 0,-1 1 0,1-1 0,-1 0 0,0 0 0,1-1 0,-1 1 0,1-1 0,-1 0 0,0-1 0,7-2 0,-7 2 0,1 0 0,0-1 0,-1 0 0,0 0 0,0-1 0,0 1 0,0-1 0,-1 0 0,1-1 0,-1 1 0,0-1 0,0 1 0,-1-1 0,1-1 0,4-8 0,0-5 0,0-1 0,-1 0 0,5-27 0,1-3 0,-9 38 0,1-3 0,-1 1 0,0-1 0,2-26 0,-5 39 0,-1-1 0,0 1 0,1-1 0,-1 0 0,0 1 0,-1-1 0,1 1 0,0-1 0,-1 1 0,0 0 0,1-1 0,-1 1 0,0-1 0,0 1 0,0 0 0,-1 0 0,1 0 0,0-1 0,-1 1 0,1 1 0,-1-1 0,0 0 0,0 0 0,0 0 0,0 1 0,0-1 0,0 1 0,0 0 0,-3-2 0,-12-1 0,-1 1 0,0 1 0,0 0 0,0 1 0,0 1 0,0 1 0,-28 4 0,41-5-57,1 1 0,-1-1 1,1 1-1,-1 0 0,1 0 0,-1 1 0,1-1 0,0 1 0,0 0 0,0 0 0,0 1 1,0-1-1,0 1 0,0 0 0,1-1 0,0 2 0,-1-1 0,1 0 0,0 1 1,0-1-1,1 1 0,-1 0 0,-2 7 0,-3 13-6769</inkml:trace>
  <inkml:trace contextRef="#ctx0" brushRef="#br0" timeOffset="4536.3">1492 703 24575,'6'5'0,"0"7"0,-4 1 0,-4 9 0,-6 11 0,-6 0 0,-7-1 0,0 0 0,0-1 0,-3-1 0,-3 1 0,5-6-8191</inkml:trace>
  <inkml:trace contextRef="#ctx0" brushRef="#br0" timeOffset="6586.27">2098 339 24575,'-11'1'0,"1"1"0,-1 0 0,1 1 0,-1 0 0,1 1 0,0 0 0,0 0 0,1 1 0,-1 1 0,1-1 0,0 1 0,0 1 0,1 0 0,0 0 0,0 1 0,1 0 0,-12 15 0,16-18 0,0-1 0,-1 1 0,2 0 0,-1 0 0,0 1 0,1-1 0,0 0 0,1 1 0,-1-1 0,1 1 0,0 0 0,0-1 0,1 1 0,-1 0 0,1 0 0,0-1 0,1 1 0,0 0 0,0-1 0,0 1 0,0 0 0,1-1 0,0 1 0,0-1 0,1 0 0,-1 0 0,1 0 0,0 0 0,1 0 0,-1-1 0,1 1 0,0-1 0,0 0 0,6 6 0,14 11 0,2-1 0,0-1 0,2-1 0,0-2 0,0 0 0,57 21 0,-70-33 0,0 0 0,-1 0 0,1-1 0,1-1 0,-1 0 0,0-2 0,0 1 0,1-2 0,15-2 0,-24 2 0,1 0 0,-1-1 0,0 0 0,0 0 0,0 0 0,0-1 0,0 0 0,-1-1 0,1 0 0,-1 0 0,0 0 0,0 0 0,0-1 0,-1 0 0,0 0 0,0-1 0,0 0 0,0 0 0,-1 0 0,4-8 0,4-6 0,-2-1 0,-1-1 0,-1-1 0,0 1 0,-2 0 0,-1-1 0,0 0 0,-2 0 0,1-26 0,-4 34 0,0 0 0,-1-1 0,0 1 0,-1 1 0,-7-24 0,8 34 0,0 0 0,-1 0 0,0 0 0,0 0 0,0 0 0,0 1 0,-1-1 0,1 1 0,-1 0 0,0 0 0,0 0 0,0 0 0,0 0 0,0 0 0,-1 1 0,0 0 0,1 0 0,-1 0 0,0 0 0,0 0 0,0 1 0,0-1 0,0 1 0,-6-1 0,-28-1 0,-1 1 0,0 2 0,-54 6 0,71-4 0,4-1 0,1 2 0,-1 0 0,0 1 0,1 1 0,0 0 0,0 2 0,1 0 0,-1 0 0,2 2 0,-29 19 0,35-22 0,1 1 0,-1 1 0,2-1 0,-1 1 0,1 0 0,0 1 0,1 0 0,0 0 0,1 0 0,-1 1 0,2 0 0,-1 0 0,2 0 0,-1 0 0,1 1 0,1-1 0,0 1 0,0 0 0,1 11 0,0-8-114,1 10-303,-1 1 0,-7 33 0,2-32-6409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3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51 24575,'-19'331'0,"8"4"0,11-298 0,-1-139 0,2-119 0,0 210 0,0 1 0,0-1 0,1 1 0,0 0 0,0 0 0,8-17 0,-9 23 0,1 0 0,0 1 0,0-1 0,1 1 0,-1 0 0,0 0 0,1 0 0,0 0 0,0 0 0,0 0 0,0 1 0,0 0 0,1-1 0,-1 1 0,1 0 0,0 1 0,-1-1 0,1 1 0,0-1 0,6 0 0,12 0 0,1 0 0,-1 2 0,0 1 0,1 1 0,-1 0 0,41 11 0,22 2 0,35-6 0,147-8 0,-115-3 0,411 2 0,-546 1 0,-1 0 0,27 7 0,-4-1 0,-37-7 0,0 0 0,-1 0 0,1 0 0,0 0 0,0 0 0,0 0 0,0 0 0,0-1 0,-1 1 0,1-1 0,0 0 0,0 1 0,-1-1 0,1 0 0,0 0 0,-1 0 0,1 0 0,-1 0 0,1 0 0,-1-1 0,0 1 0,1 0 0,-1-1 0,0 1 0,0-1 0,0 1 0,0-1 0,0 0 0,0 1 0,-1-1 0,1 0 0,0 0 0,-1 1 0,0-1 0,1 0 0,-1 0 0,0-2 0,2-11 0,0 1 0,-2-1 0,-1-26 0,0 22 0,-4-176 0,5 912-1365,0-691-5461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24575,'0'1575'-1365,"0"-1549"-5461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3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2086 185 24575,'0'-4'0,"0"0"0,-1-1 0,1 1 0,-1 0 0,0 0 0,0 0 0,0 0 0,-1 0 0,1 0 0,-1 0 0,0 0 0,0 0 0,0 1 0,-1-1 0,1 1 0,-5-5 0,2 3 0,0 1 0,-1 0 0,0 0 0,0 0 0,0 1 0,0 0 0,0 0 0,0 0 0,-9-2 0,-8 0 0,-1 1 0,1 0 0,0 2 0,-43 1 0,8-1 0,-64-10 0,-50-2 0,88 13 0,-103 5 0,182-4 0,1 0 0,0 1 0,0 0 0,0 0 0,0 1 0,0-1 0,0 1 0,1-1 0,-1 1 0,0 1 0,1-1 0,-1 0 0,1 1 0,0-1 0,0 1 0,0 0 0,0 0 0,1 1 0,-1-1 0,1 0 0,0 1 0,-1-1 0,2 1 0,-1 0 0,0 0 0,1 0 0,0 0 0,-2 8 0,0 9 0,0-1 0,1 1 0,2 0 0,2 32 0,-1-29 0,-1-15 0,1 0 0,1-1 0,-1 1 0,1 0 0,1-1 0,-1 0 0,2 1 0,-1-1 0,1 0 0,6 9 0,2 0 0,1 0 0,0-1 0,20 18 0,-21-22 0,0-1 0,1-1 0,1 0 0,0-1 0,0 0 0,1-1 0,0-1 0,0 0 0,1-1 0,0-1 0,22 5 0,2-4 0,1-1 0,0-1 0,61-4 0,-47-1 0,-20 2 0,0-2 0,64-11 0,-88 10 0,-1-1 0,1 0 0,-1 0 0,0-1 0,0-1 0,-1 0 0,1 0 0,-1-1 0,0 0 0,0 0 0,-1-1 0,0 0 0,11-13 0,71-96 0,-83 107-170,-1 0-1,0-1 0,-1 1 1,0-1-1,0-1 0,-1 1 1,4-17-1,-1-7-6655</inkml:trace>
  <inkml:trace contextRef="#ctx0" brushRef="#br0" timeOffset="346.75">2147 185 24575,'-5'0'0,"-7"0"0,-2 0-8191</inkml:trace>
  <inkml:trace contextRef="#ctx0" brushRef="#br0" timeOffset="3049.14">1210 34 24575,'0'-1'0,"1"0"0,-1-1 0,0 1 0,1 0 0,-1 0 0,1 0 0,-1 1 0,1-1 0,-1 0 0,1 0 0,0 0 0,-1 0 0,1 0 0,0 1 0,0-1 0,0 0 0,-1 1 0,1-1 0,0 0 0,0 1 0,0-1 0,0 1 0,0 0 0,0-1 0,0 1 0,2-1 0,32-5 0,-31 6 0,43-5 0,0 3 0,65 6 0,-93-1 0,1 1 0,-1 0 0,0 2 0,0 0 0,22 12 0,-15-7 0,46 12 0,-47-17 0,10 2 0,38 14 0,-63-18 0,1 0 0,-1 1 0,-1 0 0,1 1 0,-1 0 0,1 0 0,14 15 0,-22-19 0,0-1 0,-1 0 0,1 1 0,-1-1 0,1 1 0,-1-1 0,0 1 0,1 0 0,-1 0 0,0 0 0,0-1 0,0 1 0,-1 0 0,1 0 0,0 0 0,-1 0 0,1 0 0,-1 0 0,0 1 0,0-1 0,0 0 0,0 0 0,0 0 0,0 0 0,0 0 0,-1 0 0,1 0 0,-1 0 0,1 0 0,-1 0 0,0 0 0,0 0 0,0 0 0,0 0 0,-2 2 0,0-1 0,-1 1 0,0-1 0,1 0 0,-2 0 0,1-1 0,0 1 0,0-1 0,-1 0 0,1 0 0,-1 0 0,0-1 0,1 1 0,-1-1 0,-6 1 0,-84 8 0,-57 10 0,-98 28 0,226-40 0,53-10 0,321-74 0,-102 18 0,-216 53 0,39-1 0,20-4 0,-86 9-119,-4 1 49,1 0 1,-1 0 0,0 0 0,1 0 0,-1-1-1,0 1 1,1 0 0,-1-1 0,0 1 0,0-1-1,1 0 1,-1 1 0,0-1 0,0 0 0,0 0-1,0 0 1,1-1 0</inkml:trace>
  <inkml:trace contextRef="#ctx0" brushRef="#br0" timeOffset="6539.2">0 850 24575,'794'0'0,"-771"-2"0,-1 0 0,34-8 0,-32 5 0,39-2 0,-63 7 0,0 0 0,0 0 0,0 0 0,0 0 0,1 0 0,-1 0 0,0 0 0,0 0 0,0 0 0,1 0 0,-1 0 0,0 0 0,0 0 0,0 0 0,0 0 0,0 1 0,1-1 0,-1 0 0,0 0 0,0 0 0,0 0 0,0 0 0,0 0 0,0 1 0,1-1 0,-1 0 0,0 0 0,0 0 0,0 0 0,0 1 0,0-1 0,0 0 0,0 0 0,0 0 0,0 1 0,0-1 0,0 0 0,0 0 0,0 0 0,0 1 0,0-1 0,-3 13 0,-9 12 0,1-10 0,0 0 0,-1 0 0,0-1 0,-1-1 0,-1 0 0,0-1 0,-24 17 0,-118 64 0,139-84 0,-73 31 0,66-31 0,1 1 0,1 1 0,0 0 0,-21 16 0,34-20 0,-20 16 0,27-22 0,1 0 0,0 0 0,0 0 0,-1-1 0,1 1 0,-1 0 0,1-1 0,0 1 0,-1-1 0,1 1 0,-1-1 0,1 0 0,-1 1 0,0-1 0,1 0 0,-1 0 0,-1-1 0,2 1 0,1 0 0,-1-1 0,1 1 0,0-1 0,-1 0 0,1 1 0,0-1 0,-1 1 0,1-1 0,0 0 0,-1 1 0,1-1 0,0 1 0,0-1 0,0 0 0,0 1 0,0-1 0,0 0 0,0 1 0,0-1 0,0 0 0,0 1 0,0-1 0,0 0 0,0 1 0,1-1 0,-1 0 0,0 1 0,0-1 0,1 1 0,-1-1 0,0 0 0,1 1 0,-1-1 0,1 1 0,0-1 0,15-23 0,3 3 0,2 0 0,0 2 0,36-26 0,79-42 0,-64 43 0,-43 27 0,2 2 0,63-24 0,-91 38 0,-1 0 0,1 0 0,0 0 0,-1 0 0,1 0 0,-1-1 0,0 1 0,1-1 0,-1 0 0,0 0 0,0 0 0,0 0 0,0 0 0,2-4 0,-3 5 0,-1 0 0,0-1 0,0 1 0,0 0 0,1-1 0,-1 1 0,-1 0 0,1 0 0,0-1 0,0 1 0,0 0 0,-1-1 0,1 1 0,0 0 0,-1 0 0,1 0 0,-1-1 0,0 1 0,1 0 0,-1 0 0,0 0 0,0 0 0,0 0 0,1 0 0,-1 0 0,0 0 0,0 1 0,0-1 0,-1 0 0,1 0 0,0 1 0,0-1 0,-2 0 0,-17-10 0,-1 1 0,0 1 0,-29-9 0,-18-7 0,27 6 0,-2 3 0,1 1 0,-2 1 0,-55-8 0,84 19 7,0-1 0,0-1 0,-24-10-1,4 1-1398,10 7-5434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12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84D-30DF-44FF-A43F-5BAC28BB59E7}">
  <sheetPr>
    <tabColor rgb="FF92D050"/>
  </sheetPr>
  <dimension ref="B1:I14"/>
  <sheetViews>
    <sheetView zoomScale="70" zoomScaleNormal="70" workbookViewId="0">
      <selection activeCell="D5" sqref="D5"/>
    </sheetView>
  </sheetViews>
  <sheetFormatPr defaultColWidth="8.86328125" defaultRowHeight="18"/>
  <cols>
    <col min="1" max="1" width="3.6640625" style="63" customWidth="1"/>
    <col min="2" max="2" width="56.6640625" style="63" customWidth="1"/>
    <col min="3" max="3" width="16.86328125" style="63" customWidth="1"/>
    <col min="4" max="5" width="18.46484375" style="63" customWidth="1"/>
    <col min="6" max="7" width="24.6640625" style="63" customWidth="1"/>
    <col min="8" max="8" width="21.33203125" style="63" customWidth="1"/>
    <col min="9" max="9" width="19.1328125" style="63" customWidth="1"/>
    <col min="10" max="16384" width="8.86328125" style="63"/>
  </cols>
  <sheetData>
    <row r="1" spans="2:9" ht="40.25" customHeight="1">
      <c r="B1" s="161" t="s">
        <v>106</v>
      </c>
      <c r="C1" s="86" t="s">
        <v>229</v>
      </c>
      <c r="D1" s="159" t="s">
        <v>239</v>
      </c>
      <c r="E1" s="160"/>
      <c r="F1" s="157" t="s">
        <v>245</v>
      </c>
      <c r="G1" s="158"/>
      <c r="H1" s="155" t="s">
        <v>246</v>
      </c>
      <c r="I1" s="156"/>
    </row>
    <row r="2" spans="2:9" ht="40.25" customHeight="1">
      <c r="B2" s="162"/>
      <c r="C2" s="86" t="s">
        <v>106</v>
      </c>
      <c r="D2" s="87" t="s">
        <v>235</v>
      </c>
      <c r="E2" s="87" t="s">
        <v>230</v>
      </c>
      <c r="F2" s="88" t="s">
        <v>235</v>
      </c>
      <c r="G2" s="88" t="s">
        <v>230</v>
      </c>
      <c r="H2" s="89" t="s">
        <v>235</v>
      </c>
      <c r="I2" s="89" t="s">
        <v>230</v>
      </c>
    </row>
    <row r="3" spans="2:9" ht="40.25" customHeight="1">
      <c r="B3" s="64" t="s">
        <v>231</v>
      </c>
      <c r="C3" s="86">
        <f>COUNTIF(' CADASTRO'!$F$2:$F$745,"PN")</f>
        <v>642</v>
      </c>
      <c r="D3" s="104">
        <f>SUMIFS(' CADASTRO'!$D$2:$D$745,' CADASTRO'!$F$2:$F$745,"PN")</f>
        <v>235</v>
      </c>
      <c r="E3" s="117">
        <f>D3/C3</f>
        <v>0.36604361370716509</v>
      </c>
      <c r="F3" s="105">
        <f>SUMIFS(' CADASTRO'!$T$2:$T$745,' CADASTRO'!$F$2:$F$745,"PN")</f>
        <v>156</v>
      </c>
      <c r="G3" s="116">
        <f>F3/C3</f>
        <v>0.24299065420560748</v>
      </c>
      <c r="H3" s="106">
        <f>SUMIFS(' CADASTRO'!$X$2:$X$745,' CADASTRO'!$F$2:$F$745,"PN")</f>
        <v>104</v>
      </c>
      <c r="I3" s="115">
        <f>H3/C3</f>
        <v>0.16199376947040497</v>
      </c>
    </row>
    <row r="4" spans="2:9" ht="40.25" customHeight="1">
      <c r="B4" s="64" t="s">
        <v>232</v>
      </c>
      <c r="C4" s="86">
        <f>COUNTIF(' CADASTRO'!$F$2:$F$745,"PE")</f>
        <v>78</v>
      </c>
      <c r="D4" s="104">
        <f>SUMIFS(' CADASTRO'!$D$2:$D$745,' CADASTRO'!$F$2:$F$745,"PE")</f>
        <v>30</v>
      </c>
      <c r="E4" s="117">
        <f t="shared" ref="E4:E5" si="0">D4/C4</f>
        <v>0.38461538461538464</v>
      </c>
      <c r="F4" s="105">
        <f>SUMIFS(' CADASTRO'!$T$2:$T$745,' CADASTRO'!$F$2:$F$745,"PE")</f>
        <v>19</v>
      </c>
      <c r="G4" s="116">
        <f>F4/C4</f>
        <v>0.24358974358974358</v>
      </c>
      <c r="H4" s="106">
        <f>SUMIFS(' CADASTRO'!$X$2:$X$745,' CADASTRO'!$F$2:$F$745,"PE")</f>
        <v>13</v>
      </c>
      <c r="I4" s="115">
        <f>H4/C4</f>
        <v>0.16666666666666666</v>
      </c>
    </row>
    <row r="5" spans="2:9" ht="40.25" customHeight="1">
      <c r="B5" s="64" t="s">
        <v>233</v>
      </c>
      <c r="C5" s="86">
        <f>COUNTIF(' CADASTRO'!$F$2:$F$745,"PF")</f>
        <v>24</v>
      </c>
      <c r="D5" s="104">
        <f>SUMIFS(' CADASTRO'!$D$2:$D$745,' CADASTRO'!$F$2:$F$745,"PF")</f>
        <v>6</v>
      </c>
      <c r="E5" s="117">
        <f t="shared" si="0"/>
        <v>0.25</v>
      </c>
      <c r="F5" s="105">
        <f>SUMIFS(' CADASTRO'!$T$2:$T$745,' CADASTRO'!$F$2:$F$745,"PF")</f>
        <v>6</v>
      </c>
      <c r="G5" s="116">
        <f>F5/C5</f>
        <v>0.25</v>
      </c>
      <c r="H5" s="106">
        <f>SUMIFS(' CADASTRO'!$X$2:$X$745,' CADASTRO'!$F$2:$F$745,"PF")</f>
        <v>4</v>
      </c>
      <c r="I5" s="115">
        <f>H5/C5</f>
        <v>0.16666666666666666</v>
      </c>
    </row>
    <row r="6" spans="2:9" ht="37.25" customHeight="1">
      <c r="B6" s="63" t="s">
        <v>234</v>
      </c>
      <c r="C6" s="86">
        <f>SUM(C3:C5)</f>
        <v>744</v>
      </c>
      <c r="D6" s="104">
        <f t="shared" ref="D6" si="1">SUM(D3:D5)</f>
        <v>271</v>
      </c>
      <c r="E6" s="118">
        <f>D6/C6</f>
        <v>0.364247311827957</v>
      </c>
    </row>
    <row r="9" spans="2:9" ht="40.25" customHeight="1">
      <c r="B9" s="163" t="s">
        <v>105</v>
      </c>
      <c r="C9" s="86" t="s">
        <v>229</v>
      </c>
      <c r="D9" s="159" t="s">
        <v>239</v>
      </c>
      <c r="E9" s="160"/>
      <c r="F9" s="157" t="s">
        <v>245</v>
      </c>
      <c r="G9" s="158"/>
      <c r="H9" s="155" t="s">
        <v>246</v>
      </c>
      <c r="I9" s="156"/>
    </row>
    <row r="10" spans="2:9" ht="40.25" customHeight="1">
      <c r="B10" s="164"/>
      <c r="C10" s="86" t="s">
        <v>105</v>
      </c>
      <c r="D10" s="87" t="s">
        <v>235</v>
      </c>
      <c r="E10" s="87" t="s">
        <v>230</v>
      </c>
      <c r="F10" s="88" t="s">
        <v>235</v>
      </c>
      <c r="G10" s="88" t="s">
        <v>230</v>
      </c>
      <c r="H10" s="89" t="s">
        <v>235</v>
      </c>
      <c r="I10" s="89" t="s">
        <v>230</v>
      </c>
    </row>
    <row r="11" spans="2:9" ht="40.25" customHeight="1">
      <c r="B11" s="64" t="s">
        <v>231</v>
      </c>
      <c r="C11" s="107">
        <f>COUNTIF(' CADASTRO'!$F$746:$F$895,"PN")</f>
        <v>105</v>
      </c>
      <c r="D11" s="104">
        <f>SUMIFS(' CADASTRO'!$D$746:$D$895,' CADASTRO'!$F$746:$F$895,"PN")</f>
        <v>75</v>
      </c>
      <c r="E11" s="117">
        <f>D11/C11</f>
        <v>0.7142857142857143</v>
      </c>
      <c r="F11" s="105">
        <f>SUMIFS(' CADASTRO'!$T$746:$T$895,' CADASTRO'!$F$746:$F$895,"PN")</f>
        <v>40</v>
      </c>
      <c r="G11" s="116">
        <f>F11/C11</f>
        <v>0.38095238095238093</v>
      </c>
      <c r="H11" s="106">
        <f>SUMIFS(' CADASTRO'!$X$746:$X$895,' CADASTRO'!$F$746:$F$895,"PN")</f>
        <v>28</v>
      </c>
      <c r="I11" s="114">
        <f>H11/C11</f>
        <v>0.26666666666666666</v>
      </c>
    </row>
    <row r="12" spans="2:9" ht="40.25" customHeight="1">
      <c r="B12" s="64" t="s">
        <v>232</v>
      </c>
      <c r="C12" s="107">
        <f>'CALCULOS '!A8</f>
        <v>37</v>
      </c>
      <c r="D12" s="104">
        <f>SUM(' CADASTRO'!$D$746:$D$893)-'CAPA DAS OBRAS'!D11-'CAPA DAS OBRAS'!D13</f>
        <v>11</v>
      </c>
      <c r="E12" s="117">
        <f t="shared" ref="E12:E13" si="2">D12/C12</f>
        <v>0.29729729729729731</v>
      </c>
      <c r="F12" s="105">
        <f>SUM(' CADASTRO'!$T$746:$T$893,-(F11+F13))</f>
        <v>1</v>
      </c>
      <c r="G12" s="116">
        <f>F12/C12</f>
        <v>2.7027027027027029E-2</v>
      </c>
      <c r="H12" s="106">
        <f>SUM(' CADASTRO'!$X$746:$X$893)-(H11+H13)</f>
        <v>0</v>
      </c>
      <c r="I12" s="114">
        <f>H12/C12</f>
        <v>0</v>
      </c>
    </row>
    <row r="13" spans="2:9" ht="40.25" customHeight="1">
      <c r="B13" s="64" t="s">
        <v>233</v>
      </c>
      <c r="C13" s="107">
        <f>COUNTIF(' CADASTRO'!$F$746:$F$895,"PF")</f>
        <v>6</v>
      </c>
      <c r="D13" s="104">
        <f>SUMIFS(' CADASTRO'!$D$746:$D$895,' CADASTRO'!$F$746:$F$895,"PF")</f>
        <v>6</v>
      </c>
      <c r="E13" s="117">
        <f t="shared" si="2"/>
        <v>1</v>
      </c>
      <c r="F13" s="105">
        <f>SUMIFS(' CADASTRO'!$T$746:$T$895,' CADASTRO'!$F$746:$F$895,"PF")</f>
        <v>1</v>
      </c>
      <c r="G13" s="116">
        <f>F13/C13</f>
        <v>0.16666666666666666</v>
      </c>
      <c r="H13" s="106">
        <f>SUMIFS(' CADASTRO'!$X$746:$X$895,' CADASTRO'!$F$746:$F$895,"PF")</f>
        <v>0</v>
      </c>
      <c r="I13" s="114">
        <f>H13/C13</f>
        <v>0</v>
      </c>
    </row>
    <row r="14" spans="2:9" ht="27" customHeight="1">
      <c r="B14" s="63" t="s">
        <v>234</v>
      </c>
      <c r="C14" s="107">
        <f>SUM(C11:C13)</f>
        <v>148</v>
      </c>
      <c r="D14" s="104">
        <f>SUM(D11:D13)</f>
        <v>92</v>
      </c>
      <c r="E14" s="117">
        <f>D14/C14</f>
        <v>0.6216216216216216</v>
      </c>
    </row>
  </sheetData>
  <mergeCells count="8">
    <mergeCell ref="H1:I1"/>
    <mergeCell ref="H9:I9"/>
    <mergeCell ref="F9:G9"/>
    <mergeCell ref="D1:E1"/>
    <mergeCell ref="B1:B2"/>
    <mergeCell ref="B9:B10"/>
    <mergeCell ref="D9:E9"/>
    <mergeCell ref="F1:G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134-FFD1-4693-B9A4-7A2CD156AE45}">
  <dimension ref="A1:AI894"/>
  <sheetViews>
    <sheetView tabSelected="1" zoomScale="102" zoomScaleNormal="102" zoomScaleSheetLayoutView="115" workbookViewId="0">
      <pane xSplit="5" ySplit="1" topLeftCell="F829" activePane="bottomRight" state="frozen"/>
      <selection pane="topRight" activeCell="D1" sqref="D1"/>
      <selection pane="bottomLeft" activeCell="A2" sqref="A2"/>
      <selection pane="bottomRight" activeCell="U898" sqref="U898"/>
    </sheetView>
  </sheetViews>
  <sheetFormatPr defaultColWidth="8.86328125" defaultRowHeight="18"/>
  <cols>
    <col min="1" max="1" width="8.86328125" style="14"/>
    <col min="2" max="2" width="11.53125" style="67" bestFit="1" customWidth="1"/>
    <col min="3" max="3" width="11.6640625" style="14" customWidth="1"/>
    <col min="4" max="4" width="11.6640625" style="14" hidden="1" customWidth="1"/>
    <col min="5" max="5" width="23.46484375" style="14" customWidth="1"/>
    <col min="6" max="6" width="7.1328125" style="14" customWidth="1"/>
    <col min="7" max="7" width="4.6640625" style="14" customWidth="1"/>
    <col min="8" max="8" width="6.1328125" style="14" customWidth="1"/>
    <col min="9" max="9" width="13" style="14" customWidth="1"/>
    <col min="10" max="10" width="6.1328125" style="14" customWidth="1"/>
    <col min="11" max="11" width="17.46484375" style="14" hidden="1" customWidth="1"/>
    <col min="12" max="12" width="19.1328125" style="14" hidden="1" customWidth="1"/>
    <col min="13" max="13" width="19.46484375" style="14" hidden="1" customWidth="1"/>
    <col min="14" max="16" width="18.46484375" style="14" hidden="1" customWidth="1"/>
    <col min="17" max="17" width="30.86328125" style="14" customWidth="1"/>
    <col min="18" max="18" width="17.6640625" style="14" customWidth="1"/>
    <col min="19" max="19" width="8.86328125" style="14"/>
    <col min="20" max="20" width="8.86328125" style="14" hidden="1" customWidth="1"/>
    <col min="21" max="22" width="15.6640625" style="14" customWidth="1"/>
    <col min="23" max="23" width="16.1328125" style="63" customWidth="1"/>
    <col min="24" max="24" width="16.1328125" style="94" hidden="1" customWidth="1"/>
    <col min="25" max="25" width="14.33203125" style="13" customWidth="1"/>
    <col min="36" max="36" width="8.86328125" style="14" customWidth="1"/>
    <col min="37" max="16384" width="8.86328125" style="14"/>
  </cols>
  <sheetData>
    <row r="1" spans="1:25" ht="27.6" customHeight="1">
      <c r="A1" s="97" t="s">
        <v>47</v>
      </c>
      <c r="B1" s="98" t="s">
        <v>164</v>
      </c>
      <c r="C1" s="99" t="s">
        <v>48</v>
      </c>
      <c r="D1" s="99" t="s">
        <v>240</v>
      </c>
      <c r="E1" s="99" t="s">
        <v>49</v>
      </c>
      <c r="F1" s="100" t="s">
        <v>50</v>
      </c>
      <c r="G1" s="101"/>
      <c r="H1" s="79"/>
      <c r="I1" s="79"/>
      <c r="J1" s="102" t="s">
        <v>51</v>
      </c>
      <c r="K1" s="15" t="s">
        <v>118</v>
      </c>
      <c r="L1" s="15" t="s">
        <v>119</v>
      </c>
      <c r="M1" s="15" t="s">
        <v>120</v>
      </c>
      <c r="N1" s="15" t="s">
        <v>121</v>
      </c>
      <c r="O1" s="45" t="s">
        <v>123</v>
      </c>
      <c r="P1" s="15" t="s">
        <v>126</v>
      </c>
      <c r="Q1" s="76" t="s">
        <v>91</v>
      </c>
      <c r="R1" s="82" t="s">
        <v>165</v>
      </c>
      <c r="S1" s="83" t="s">
        <v>166</v>
      </c>
      <c r="T1" s="83" t="s">
        <v>167</v>
      </c>
      <c r="U1" s="84" t="s">
        <v>226</v>
      </c>
      <c r="V1" s="84" t="s">
        <v>227</v>
      </c>
      <c r="W1" s="84" t="s">
        <v>228</v>
      </c>
      <c r="X1" s="85" t="s">
        <v>244</v>
      </c>
      <c r="Y1" s="85" t="s">
        <v>1015</v>
      </c>
    </row>
    <row r="2" spans="1:25" ht="28.25" customHeight="1">
      <c r="A2" s="90">
        <v>1</v>
      </c>
      <c r="B2" s="68">
        <v>45797</v>
      </c>
      <c r="C2" s="40">
        <v>29</v>
      </c>
      <c r="D2" s="40">
        <f t="shared" ref="D2:D65" si="0">IF(B2&gt;0,1,"")</f>
        <v>1</v>
      </c>
      <c r="E2" s="41" t="s">
        <v>92</v>
      </c>
      <c r="F2" s="17" t="s">
        <v>61</v>
      </c>
      <c r="G2" s="17" t="s">
        <v>86</v>
      </c>
      <c r="H2" s="42" t="s">
        <v>93</v>
      </c>
      <c r="I2" s="17" t="str">
        <f t="shared" ref="I2:I65" si="1">_xlfn.CONCAT(F2,G2,H2)</f>
        <v>PF-01</v>
      </c>
      <c r="J2" s="18" t="s">
        <v>61</v>
      </c>
      <c r="K2" s="19" t="e">
        <f>IF(J2="","SEM #CH",VLOOKUP(J2,#REF!,2,0))</f>
        <v>#REF!</v>
      </c>
      <c r="L2" s="19" t="e">
        <f>IF(J2="","SEM #CH",VLOOKUP(J2,#REF!,3,0))</f>
        <v>#REF!</v>
      </c>
      <c r="M2" s="19" t="e">
        <f>IF(J2="","SEM #CH",VLOOKUP(J2,#REF!,4,0))</f>
        <v>#REF!</v>
      </c>
      <c r="N2" s="19" t="e">
        <f>IF(J2="","SEM #CH",VLOOKUP(J2,#REF!,5,0))</f>
        <v>#REF!</v>
      </c>
      <c r="O2" s="19" t="e">
        <f>IF(J2="","SEM #CH",VLOOKUP(J2,#REF!,6,0))</f>
        <v>#REF!</v>
      </c>
      <c r="P2" s="19" t="e">
        <f>IF(J2="","SEM #CH",VLOOKUP(J2,#REF!,7,0))</f>
        <v>#REF!</v>
      </c>
      <c r="Q2" s="77" t="str">
        <f>VLOOKUP(J2,'p1'!$B$2:$C$30,2,0)</f>
        <v>SEM CHAPA</v>
      </c>
      <c r="R2" s="95">
        <v>45799</v>
      </c>
      <c r="S2" s="91" t="s">
        <v>221</v>
      </c>
      <c r="T2" s="91">
        <f t="shared" ref="T2:T65" si="2">IF(R2=0,"",1)</f>
        <v>1</v>
      </c>
      <c r="U2" s="95">
        <v>45824</v>
      </c>
      <c r="V2" s="92" t="s">
        <v>86</v>
      </c>
      <c r="W2" s="93">
        <v>2387</v>
      </c>
      <c r="X2" s="94">
        <f t="shared" ref="X2:X65" si="3">IF(U2&gt;0,1,"")</f>
        <v>1</v>
      </c>
      <c r="Y2"/>
    </row>
    <row r="3" spans="1:25">
      <c r="A3" s="90">
        <v>2</v>
      </c>
      <c r="B3" s="68">
        <v>45733</v>
      </c>
      <c r="C3" s="40">
        <v>1</v>
      </c>
      <c r="D3" s="40">
        <f t="shared" si="0"/>
        <v>1</v>
      </c>
      <c r="E3" s="41" t="s">
        <v>92</v>
      </c>
      <c r="F3" s="21" t="s">
        <v>58</v>
      </c>
      <c r="G3" s="17" t="s">
        <v>86</v>
      </c>
      <c r="H3" s="42" t="s">
        <v>94</v>
      </c>
      <c r="I3" s="17" t="str">
        <f t="shared" si="1"/>
        <v>PN-02</v>
      </c>
      <c r="J3" s="18" t="s">
        <v>85</v>
      </c>
      <c r="K3" s="19" t="e">
        <f>IF(J3="","SEM #CH",VLOOKUP(J3,#REF!,2,0))</f>
        <v>#REF!</v>
      </c>
      <c r="L3" s="19" t="e">
        <f>IF(J3="","SEM #CH",VLOOKUP(J3,#REF!,3,0))</f>
        <v>#REF!</v>
      </c>
      <c r="M3" s="19" t="e">
        <f>IF(J3="","SEM #CH",VLOOKUP(J3,#REF!,4,0))</f>
        <v>#REF!</v>
      </c>
      <c r="N3" s="19" t="e">
        <f>IF(J3="","SEM #CH",VLOOKUP(J3,#REF!,5,0))</f>
        <v>#REF!</v>
      </c>
      <c r="O3" s="19" t="e">
        <f>IF(J3="","SEM #CH",VLOOKUP(J3,#REF!,6,0))</f>
        <v>#REF!</v>
      </c>
      <c r="P3" s="19" t="e">
        <f>IF(J3="","SEM #CH",VLOOKUP(J3,#REF!,7,0))</f>
        <v>#REF!</v>
      </c>
      <c r="Q3" s="77" t="str">
        <f>VLOOKUP(J3,'p1'!$B$2:$C$30,2,0)</f>
        <v>NÃO TEM CHAPA</v>
      </c>
      <c r="R3" s="95">
        <v>45738</v>
      </c>
      <c r="S3" s="91" t="s">
        <v>221</v>
      </c>
      <c r="T3" s="91">
        <f t="shared" si="2"/>
        <v>1</v>
      </c>
      <c r="U3" s="95">
        <v>45818</v>
      </c>
      <c r="V3" s="92" t="s">
        <v>86</v>
      </c>
      <c r="W3" s="93">
        <v>2373</v>
      </c>
      <c r="X3" s="94">
        <f t="shared" si="3"/>
        <v>1</v>
      </c>
      <c r="Y3"/>
    </row>
    <row r="4" spans="1:25">
      <c r="A4" s="90">
        <v>3</v>
      </c>
      <c r="B4" s="68">
        <v>45733</v>
      </c>
      <c r="C4" s="40">
        <v>1</v>
      </c>
      <c r="D4" s="40">
        <f t="shared" si="0"/>
        <v>1</v>
      </c>
      <c r="E4" s="41" t="s">
        <v>92</v>
      </c>
      <c r="F4" s="17" t="s">
        <v>58</v>
      </c>
      <c r="G4" s="17" t="s">
        <v>86</v>
      </c>
      <c r="H4" s="42" t="s">
        <v>95</v>
      </c>
      <c r="I4" s="17" t="str">
        <f t="shared" si="1"/>
        <v>PN-03</v>
      </c>
      <c r="J4" s="18" t="s">
        <v>85</v>
      </c>
      <c r="K4" s="19" t="e">
        <f>IF(J4="","SEM #CH",VLOOKUP(J4,#REF!,2,0))</f>
        <v>#REF!</v>
      </c>
      <c r="L4" s="19" t="e">
        <f>IF(J4="","SEM #CH",VLOOKUP(J4,#REF!,3,0))</f>
        <v>#REF!</v>
      </c>
      <c r="M4" s="19" t="e">
        <f>IF(J4="","SEM #CH",VLOOKUP(J4,#REF!,4,0))</f>
        <v>#REF!</v>
      </c>
      <c r="N4" s="19" t="e">
        <f>IF(J4="","SEM #CH",VLOOKUP(J4,#REF!,5,0))</f>
        <v>#REF!</v>
      </c>
      <c r="O4" s="19" t="e">
        <f>IF(J4="","SEM #CH",VLOOKUP(J4,#REF!,6,0))</f>
        <v>#REF!</v>
      </c>
      <c r="P4" s="19" t="e">
        <f>IF(J4="","SEM #CH",VLOOKUP(J4,#REF!,7,0))</f>
        <v>#REF!</v>
      </c>
      <c r="Q4" s="77" t="str">
        <f>VLOOKUP(J4,'p1'!$B$2:$C$30,2,0)</f>
        <v>NÃO TEM CHAPA</v>
      </c>
      <c r="R4" s="95">
        <v>45738</v>
      </c>
      <c r="S4" s="91" t="s">
        <v>221</v>
      </c>
      <c r="T4" s="91">
        <f t="shared" si="2"/>
        <v>1</v>
      </c>
      <c r="U4" s="95">
        <v>45818</v>
      </c>
      <c r="V4" s="92" t="s">
        <v>86</v>
      </c>
      <c r="W4" s="93">
        <v>2373</v>
      </c>
      <c r="X4" s="94">
        <f t="shared" si="3"/>
        <v>1</v>
      </c>
      <c r="Y4"/>
    </row>
    <row r="5" spans="1:25">
      <c r="A5" s="90">
        <v>4</v>
      </c>
      <c r="B5" s="68">
        <v>45733</v>
      </c>
      <c r="C5" s="40">
        <v>1</v>
      </c>
      <c r="D5" s="40">
        <f t="shared" si="0"/>
        <v>1</v>
      </c>
      <c r="E5" s="41" t="s">
        <v>92</v>
      </c>
      <c r="F5" s="17" t="s">
        <v>58</v>
      </c>
      <c r="G5" s="17" t="s">
        <v>86</v>
      </c>
      <c r="H5" s="42" t="s">
        <v>96</v>
      </c>
      <c r="I5" s="17" t="str">
        <f t="shared" si="1"/>
        <v>PN-04</v>
      </c>
      <c r="J5" s="18" t="s">
        <v>85</v>
      </c>
      <c r="K5" s="19" t="e">
        <f>IF(J5="","SEM #CH",VLOOKUP(J5,#REF!,2,0))</f>
        <v>#REF!</v>
      </c>
      <c r="L5" s="19" t="e">
        <f>IF(J5="","SEM #CH",VLOOKUP(J5,#REF!,3,0))</f>
        <v>#REF!</v>
      </c>
      <c r="M5" s="19" t="e">
        <f>IF(J5="","SEM #CH",VLOOKUP(J5,#REF!,4,0))</f>
        <v>#REF!</v>
      </c>
      <c r="N5" s="19" t="e">
        <f>IF(J5="","SEM #CH",VLOOKUP(J5,#REF!,5,0))</f>
        <v>#REF!</v>
      </c>
      <c r="O5" s="19" t="e">
        <f>IF(J5="","SEM #CH",VLOOKUP(J5,#REF!,6,0))</f>
        <v>#REF!</v>
      </c>
      <c r="P5" s="19" t="e">
        <f>IF(J5="","SEM #CH",VLOOKUP(J5,#REF!,7,0))</f>
        <v>#REF!</v>
      </c>
      <c r="Q5" s="77" t="str">
        <f>VLOOKUP(J5,'p1'!$B$2:$C$30,2,0)</f>
        <v>NÃO TEM CHAPA</v>
      </c>
      <c r="R5" s="95">
        <v>45743</v>
      </c>
      <c r="S5" s="91" t="s">
        <v>221</v>
      </c>
      <c r="T5" s="91">
        <f t="shared" si="2"/>
        <v>1</v>
      </c>
      <c r="U5" s="95">
        <v>45824</v>
      </c>
      <c r="V5" s="92" t="s">
        <v>86</v>
      </c>
      <c r="W5" s="93">
        <v>2387</v>
      </c>
      <c r="X5" s="94">
        <f t="shared" si="3"/>
        <v>1</v>
      </c>
      <c r="Y5"/>
    </row>
    <row r="6" spans="1:25">
      <c r="A6" s="90">
        <v>5</v>
      </c>
      <c r="B6" s="68">
        <v>45733</v>
      </c>
      <c r="C6" s="40">
        <v>1</v>
      </c>
      <c r="D6" s="40">
        <f t="shared" si="0"/>
        <v>1</v>
      </c>
      <c r="E6" s="41" t="s">
        <v>92</v>
      </c>
      <c r="F6" s="17" t="s">
        <v>58</v>
      </c>
      <c r="G6" s="17" t="s">
        <v>86</v>
      </c>
      <c r="H6" s="42" t="s">
        <v>97</v>
      </c>
      <c r="I6" s="17" t="str">
        <f t="shared" si="1"/>
        <v>PN-05</v>
      </c>
      <c r="J6" s="18" t="s">
        <v>85</v>
      </c>
      <c r="K6" s="19" t="e">
        <f>IF(J6="","SEM #CH",VLOOKUP(J6,#REF!,2,0))</f>
        <v>#REF!</v>
      </c>
      <c r="L6" s="19" t="e">
        <f>IF(J6="","SEM #CH",VLOOKUP(J6,#REF!,3,0))</f>
        <v>#REF!</v>
      </c>
      <c r="M6" s="19" t="e">
        <f>IF(J6="","SEM #CH",VLOOKUP(J6,#REF!,4,0))</f>
        <v>#REF!</v>
      </c>
      <c r="N6" s="19" t="e">
        <f>IF(J6="","SEM #CH",VLOOKUP(J6,#REF!,5,0))</f>
        <v>#REF!</v>
      </c>
      <c r="O6" s="19" t="e">
        <f>IF(J6="","SEM #CH",VLOOKUP(J6,#REF!,6,0))</f>
        <v>#REF!</v>
      </c>
      <c r="P6" s="19" t="e">
        <f>IF(J6="","SEM #CH",VLOOKUP(J6,#REF!,7,0))</f>
        <v>#REF!</v>
      </c>
      <c r="Q6" s="77" t="str">
        <f>VLOOKUP(J6,'p1'!$B$2:$C$30,2,0)</f>
        <v>NÃO TEM CHAPA</v>
      </c>
      <c r="R6" s="95">
        <v>45741</v>
      </c>
      <c r="S6" s="91" t="s">
        <v>221</v>
      </c>
      <c r="T6" s="91">
        <f t="shared" si="2"/>
        <v>1</v>
      </c>
      <c r="U6" s="95">
        <v>45818</v>
      </c>
      <c r="V6" s="91" t="s">
        <v>86</v>
      </c>
      <c r="W6" s="93">
        <v>2373</v>
      </c>
      <c r="X6" s="94">
        <f t="shared" si="3"/>
        <v>1</v>
      </c>
      <c r="Y6"/>
    </row>
    <row r="7" spans="1:25">
      <c r="A7" s="90">
        <v>6</v>
      </c>
      <c r="B7" s="68">
        <v>45733</v>
      </c>
      <c r="C7" s="40">
        <v>1</v>
      </c>
      <c r="D7" s="40">
        <f t="shared" si="0"/>
        <v>1</v>
      </c>
      <c r="E7" s="41" t="s">
        <v>92</v>
      </c>
      <c r="F7" s="17" t="s">
        <v>58</v>
      </c>
      <c r="G7" s="17" t="s">
        <v>86</v>
      </c>
      <c r="H7" s="42" t="s">
        <v>98</v>
      </c>
      <c r="I7" s="17" t="str">
        <f t="shared" si="1"/>
        <v>PN-06</v>
      </c>
      <c r="J7" s="18" t="s">
        <v>85</v>
      </c>
      <c r="K7" s="19" t="e">
        <f>IF(J7="","SEM #CH",VLOOKUP(J7,#REF!,2,0))</f>
        <v>#REF!</v>
      </c>
      <c r="L7" s="19" t="e">
        <f>IF(J7="","SEM #CH",VLOOKUP(J7,#REF!,3,0))</f>
        <v>#REF!</v>
      </c>
      <c r="M7" s="19" t="e">
        <f>IF(J7="","SEM #CH",VLOOKUP(J7,#REF!,4,0))</f>
        <v>#REF!</v>
      </c>
      <c r="N7" s="19" t="e">
        <f>IF(J7="","SEM #CH",VLOOKUP(J7,#REF!,5,0))</f>
        <v>#REF!</v>
      </c>
      <c r="O7" s="19" t="e">
        <f>IF(J7="","SEM #CH",VLOOKUP(J7,#REF!,6,0))</f>
        <v>#REF!</v>
      </c>
      <c r="P7" s="19" t="e">
        <f>IF(J7="","SEM #CH",VLOOKUP(J7,#REF!,7,0))</f>
        <v>#REF!</v>
      </c>
      <c r="Q7" s="77" t="str">
        <f>VLOOKUP(J7,'p1'!$B$2:$C$30,2,0)</f>
        <v>NÃO TEM CHAPA</v>
      </c>
      <c r="R7" s="95">
        <v>45741</v>
      </c>
      <c r="S7" s="91" t="s">
        <v>221</v>
      </c>
      <c r="T7" s="91">
        <f t="shared" si="2"/>
        <v>1</v>
      </c>
      <c r="U7" s="95">
        <v>45818</v>
      </c>
      <c r="V7" s="91" t="s">
        <v>86</v>
      </c>
      <c r="W7" s="93">
        <v>2372</v>
      </c>
      <c r="X7" s="94">
        <f t="shared" si="3"/>
        <v>1</v>
      </c>
      <c r="Y7"/>
    </row>
    <row r="8" spans="1:25">
      <c r="A8" s="90">
        <v>7</v>
      </c>
      <c r="B8" s="68">
        <v>45806</v>
      </c>
      <c r="C8" s="40">
        <v>31</v>
      </c>
      <c r="D8" s="40">
        <f t="shared" si="0"/>
        <v>1</v>
      </c>
      <c r="E8" s="41" t="s">
        <v>92</v>
      </c>
      <c r="F8" s="17" t="s">
        <v>60</v>
      </c>
      <c r="G8" s="17" t="s">
        <v>86</v>
      </c>
      <c r="H8" s="42" t="s">
        <v>99</v>
      </c>
      <c r="I8" s="17" t="str">
        <f t="shared" si="1"/>
        <v>PE-07</v>
      </c>
      <c r="J8" s="18" t="s">
        <v>88</v>
      </c>
      <c r="K8" s="19" t="e">
        <f>IF(J8="","SEM #CH",VLOOKUP(J8,#REF!,2,0))</f>
        <v>#REF!</v>
      </c>
      <c r="L8" s="19" t="e">
        <f>IF(J8="","SEM #CH",VLOOKUP(J8,#REF!,3,0))</f>
        <v>#REF!</v>
      </c>
      <c r="M8" s="19" t="e">
        <f>IF(J8="","SEM #CH",VLOOKUP(J8,#REF!,4,0))</f>
        <v>#REF!</v>
      </c>
      <c r="N8" s="19" t="e">
        <f>IF(J8="","SEM #CH",VLOOKUP(J8,#REF!,5,0))</f>
        <v>#REF!</v>
      </c>
      <c r="O8" s="19" t="e">
        <f>IF(J8="","SEM #CH",VLOOKUP(J8,#REF!,6,0))</f>
        <v>#REF!</v>
      </c>
      <c r="P8" s="19" t="e">
        <f>IF(J8="","SEM #CH",VLOOKUP(J8,#REF!,7,0))</f>
        <v>#REF!</v>
      </c>
      <c r="Q8" s="77" t="str">
        <f>VLOOKUP(J8,'p1'!$B$2:$C$30,2,0)</f>
        <v>#3/8-1315X1315</v>
      </c>
      <c r="R8" s="95">
        <v>45812</v>
      </c>
      <c r="S8" s="91" t="s">
        <v>221</v>
      </c>
      <c r="T8" s="91">
        <f t="shared" si="2"/>
        <v>1</v>
      </c>
      <c r="U8" s="95">
        <v>45821</v>
      </c>
      <c r="V8" s="91" t="s">
        <v>86</v>
      </c>
      <c r="W8" s="93">
        <v>2383</v>
      </c>
      <c r="X8" s="94">
        <f t="shared" si="3"/>
        <v>1</v>
      </c>
      <c r="Y8"/>
    </row>
    <row r="9" spans="1:25">
      <c r="A9" s="90">
        <v>8</v>
      </c>
      <c r="B9" s="68">
        <v>45806</v>
      </c>
      <c r="C9" s="40">
        <v>31</v>
      </c>
      <c r="D9" s="40">
        <f t="shared" si="0"/>
        <v>1</v>
      </c>
      <c r="E9" s="41" t="s">
        <v>92</v>
      </c>
      <c r="F9" s="17" t="s">
        <v>60</v>
      </c>
      <c r="G9" s="17" t="s">
        <v>86</v>
      </c>
      <c r="H9" s="42" t="s">
        <v>100</v>
      </c>
      <c r="I9" s="17" t="str">
        <f t="shared" si="1"/>
        <v>PE-08</v>
      </c>
      <c r="J9" s="18" t="s">
        <v>87</v>
      </c>
      <c r="K9" s="19" t="e">
        <f>IF(J9="","SEM #CH",VLOOKUP(J9,#REF!,2,0))</f>
        <v>#REF!</v>
      </c>
      <c r="L9" s="19" t="e">
        <f>IF(J9="","SEM #CH",VLOOKUP(J9,#REF!,3,0))</f>
        <v>#REF!</v>
      </c>
      <c r="M9" s="19" t="e">
        <f>IF(J9="","SEM #CH",VLOOKUP(J9,#REF!,4,0))</f>
        <v>#REF!</v>
      </c>
      <c r="N9" s="19" t="e">
        <f>IF(J9="","SEM #CH",VLOOKUP(J9,#REF!,5,0))</f>
        <v>#REF!</v>
      </c>
      <c r="O9" s="19" t="e">
        <f>IF(J9="","SEM #CH",VLOOKUP(J9,#REF!,6,0))</f>
        <v>#REF!</v>
      </c>
      <c r="P9" s="19" t="e">
        <f>IF(J9="","SEM #CH",VLOOKUP(J9,#REF!,7,0))</f>
        <v>#REF!</v>
      </c>
      <c r="Q9" s="77" t="str">
        <f>VLOOKUP(J9,'p1'!$B$2:$C$30,2,0)</f>
        <v>#3/8-1620X1620</v>
      </c>
      <c r="R9" s="95">
        <v>45813</v>
      </c>
      <c r="S9" s="91" t="s">
        <v>221</v>
      </c>
      <c r="T9" s="91">
        <f t="shared" si="2"/>
        <v>1</v>
      </c>
      <c r="U9" s="95">
        <v>45814</v>
      </c>
      <c r="V9" s="91" t="s">
        <v>997</v>
      </c>
      <c r="W9" s="93">
        <v>2367</v>
      </c>
      <c r="X9" s="94">
        <f t="shared" si="3"/>
        <v>1</v>
      </c>
      <c r="Y9"/>
    </row>
    <row r="10" spans="1:25">
      <c r="A10" s="90">
        <v>9</v>
      </c>
      <c r="B10" s="68">
        <v>45806</v>
      </c>
      <c r="C10" s="40">
        <v>31</v>
      </c>
      <c r="D10" s="40">
        <f t="shared" si="0"/>
        <v>1</v>
      </c>
      <c r="E10" s="41" t="s">
        <v>92</v>
      </c>
      <c r="F10" s="17" t="s">
        <v>60</v>
      </c>
      <c r="G10" s="17" t="s">
        <v>86</v>
      </c>
      <c r="H10" s="42" t="s">
        <v>101</v>
      </c>
      <c r="I10" s="17" t="str">
        <f t="shared" si="1"/>
        <v>PE-09</v>
      </c>
      <c r="J10" s="18" t="s">
        <v>89</v>
      </c>
      <c r="K10" s="19" t="e">
        <f>IF(J10="","SEM #CH",VLOOKUP(J10,#REF!,2,0))</f>
        <v>#REF!</v>
      </c>
      <c r="L10" s="19" t="e">
        <f>IF(J10="","SEM #CH",VLOOKUP(J10,#REF!,3,0))</f>
        <v>#REF!</v>
      </c>
      <c r="M10" s="19" t="e">
        <f>IF(J10="","SEM #CH",VLOOKUP(J10,#REF!,4,0))</f>
        <v>#REF!</v>
      </c>
      <c r="N10" s="19" t="e">
        <f>IF(J10="","SEM #CH",VLOOKUP(J10,#REF!,5,0))</f>
        <v>#REF!</v>
      </c>
      <c r="O10" s="19" t="e">
        <f>IF(J10="","SEM #CH",VLOOKUP(J10,#REF!,6,0))</f>
        <v>#REF!</v>
      </c>
      <c r="P10" s="19" t="e">
        <f>IF(J10="","SEM #CH",VLOOKUP(J10,#REF!,7,0))</f>
        <v>#REF!</v>
      </c>
      <c r="Q10" s="77" t="str">
        <f>VLOOKUP(J10,'p1'!$B$2:$C$30,2,0)</f>
        <v>#3/8-1200X1200</v>
      </c>
      <c r="R10" s="95">
        <v>45810</v>
      </c>
      <c r="S10" s="91" t="s">
        <v>221</v>
      </c>
      <c r="T10" s="91">
        <f t="shared" si="2"/>
        <v>1</v>
      </c>
      <c r="U10" s="95">
        <v>45817</v>
      </c>
      <c r="V10" s="91" t="s">
        <v>86</v>
      </c>
      <c r="W10" s="93">
        <v>2370</v>
      </c>
      <c r="X10" s="94">
        <f t="shared" si="3"/>
        <v>1</v>
      </c>
      <c r="Y10"/>
    </row>
    <row r="11" spans="1:25">
      <c r="A11" s="90">
        <v>10</v>
      </c>
      <c r="B11" s="68">
        <v>45733</v>
      </c>
      <c r="C11" s="40">
        <v>1</v>
      </c>
      <c r="D11" s="40">
        <f t="shared" si="0"/>
        <v>1</v>
      </c>
      <c r="E11" s="41" t="s">
        <v>92</v>
      </c>
      <c r="F11" s="17" t="s">
        <v>58</v>
      </c>
      <c r="G11" s="17" t="s">
        <v>86</v>
      </c>
      <c r="H11" s="42" t="s">
        <v>247</v>
      </c>
      <c r="I11" s="17" t="str">
        <f t="shared" si="1"/>
        <v>PN-10</v>
      </c>
      <c r="J11" s="18" t="s">
        <v>85</v>
      </c>
      <c r="K11" s="19" t="e">
        <f>IF(J11="","SEM #CH",VLOOKUP(J11,#REF!,2,0))</f>
        <v>#REF!</v>
      </c>
      <c r="L11" s="19" t="e">
        <f>IF(J11="","SEM #CH",VLOOKUP(J11,#REF!,3,0))</f>
        <v>#REF!</v>
      </c>
      <c r="M11" s="19" t="e">
        <f>IF(J11="","SEM #CH",VLOOKUP(J11,#REF!,4,0))</f>
        <v>#REF!</v>
      </c>
      <c r="N11" s="19" t="e">
        <f>IF(J11="","SEM #CH",VLOOKUP(J11,#REF!,5,0))</f>
        <v>#REF!</v>
      </c>
      <c r="O11" s="19" t="e">
        <f>IF(J11="","SEM #CH",VLOOKUP(J11,#REF!,6,0))</f>
        <v>#REF!</v>
      </c>
      <c r="P11" s="19" t="e">
        <f>IF(J11="","SEM #CH",VLOOKUP(J11,#REF!,7,0))</f>
        <v>#REF!</v>
      </c>
      <c r="Q11" s="77" t="str">
        <f>VLOOKUP(J11,'p1'!$B$2:$C$30,2,0)</f>
        <v>NÃO TEM CHAPA</v>
      </c>
      <c r="R11" s="95">
        <v>45740</v>
      </c>
      <c r="S11" s="91" t="s">
        <v>221</v>
      </c>
      <c r="T11" s="91">
        <f t="shared" si="2"/>
        <v>1</v>
      </c>
      <c r="U11" s="95">
        <v>45818</v>
      </c>
      <c r="V11" s="91" t="s">
        <v>86</v>
      </c>
      <c r="W11" s="93">
        <v>2372</v>
      </c>
      <c r="X11" s="94">
        <f t="shared" si="3"/>
        <v>1</v>
      </c>
      <c r="Y11"/>
    </row>
    <row r="12" spans="1:25">
      <c r="A12" s="90">
        <v>11</v>
      </c>
      <c r="B12" s="68">
        <v>45733</v>
      </c>
      <c r="C12" s="40">
        <v>1</v>
      </c>
      <c r="D12" s="40">
        <f t="shared" si="0"/>
        <v>1</v>
      </c>
      <c r="E12" s="41" t="s">
        <v>92</v>
      </c>
      <c r="F12" s="17" t="s">
        <v>58</v>
      </c>
      <c r="G12" s="17" t="s">
        <v>86</v>
      </c>
      <c r="H12" s="42" t="s">
        <v>248</v>
      </c>
      <c r="I12" s="17" t="str">
        <f t="shared" si="1"/>
        <v>PN-11</v>
      </c>
      <c r="J12" s="18" t="s">
        <v>85</v>
      </c>
      <c r="K12" s="19" t="e">
        <f>IF(J12="","SEM #CH",VLOOKUP(J12,#REF!,2,0))</f>
        <v>#REF!</v>
      </c>
      <c r="L12" s="19" t="e">
        <f>IF(J12="","SEM #CH",VLOOKUP(J12,#REF!,3,0))</f>
        <v>#REF!</v>
      </c>
      <c r="M12" s="19" t="e">
        <f>IF(J12="","SEM #CH",VLOOKUP(J12,#REF!,4,0))</f>
        <v>#REF!</v>
      </c>
      <c r="N12" s="19" t="e">
        <f>IF(J12="","SEM #CH",VLOOKUP(J12,#REF!,5,0))</f>
        <v>#REF!</v>
      </c>
      <c r="O12" s="19" t="e">
        <f>IF(J12="","SEM #CH",VLOOKUP(J12,#REF!,6,0))</f>
        <v>#REF!</v>
      </c>
      <c r="P12" s="19" t="e">
        <f>IF(J12="","SEM #CH",VLOOKUP(J12,#REF!,7,0))</f>
        <v>#REF!</v>
      </c>
      <c r="Q12" s="77" t="str">
        <f>VLOOKUP(J12,'p1'!$B$2:$C$30,2,0)</f>
        <v>NÃO TEM CHAPA</v>
      </c>
      <c r="R12" s="95">
        <v>45740</v>
      </c>
      <c r="S12" s="91" t="s">
        <v>221</v>
      </c>
      <c r="T12" s="91">
        <f t="shared" si="2"/>
        <v>1</v>
      </c>
      <c r="U12" s="95">
        <v>45759</v>
      </c>
      <c r="V12" s="91" t="s">
        <v>86</v>
      </c>
      <c r="W12" s="93">
        <v>2373</v>
      </c>
      <c r="X12" s="94">
        <f t="shared" si="3"/>
        <v>1</v>
      </c>
      <c r="Y12"/>
    </row>
    <row r="13" spans="1:25">
      <c r="A13" s="90">
        <v>12</v>
      </c>
      <c r="B13" s="68">
        <v>45741</v>
      </c>
      <c r="C13" s="40">
        <v>2</v>
      </c>
      <c r="D13" s="40">
        <f t="shared" si="0"/>
        <v>1</v>
      </c>
      <c r="E13" s="41" t="s">
        <v>92</v>
      </c>
      <c r="F13" s="17" t="s">
        <v>58</v>
      </c>
      <c r="G13" s="17" t="s">
        <v>86</v>
      </c>
      <c r="H13" s="42" t="s">
        <v>249</v>
      </c>
      <c r="I13" s="17" t="str">
        <f t="shared" si="1"/>
        <v>PN-12</v>
      </c>
      <c r="J13" s="18" t="s">
        <v>85</v>
      </c>
      <c r="K13" s="19" t="e">
        <f>IF(J13="","SEM #CH",VLOOKUP(J13,#REF!,2,0))</f>
        <v>#REF!</v>
      </c>
      <c r="L13" s="19" t="e">
        <f>IF(J13="","SEM #CH",VLOOKUP(J13,#REF!,3,0))</f>
        <v>#REF!</v>
      </c>
      <c r="M13" s="19" t="e">
        <f>IF(J13="","SEM #CH",VLOOKUP(J13,#REF!,4,0))</f>
        <v>#REF!</v>
      </c>
      <c r="N13" s="19" t="e">
        <f>IF(J13="","SEM #CH",VLOOKUP(J13,#REF!,5,0))</f>
        <v>#REF!</v>
      </c>
      <c r="O13" s="19" t="e">
        <f>IF(J13="","SEM #CH",VLOOKUP(J13,#REF!,6,0))</f>
        <v>#REF!</v>
      </c>
      <c r="P13" s="19" t="e">
        <f>IF(J13="","SEM #CH",VLOOKUP(J13,#REF!,7,0))</f>
        <v>#REF!</v>
      </c>
      <c r="Q13" s="77" t="str">
        <f>VLOOKUP(J13,'p1'!$B$2:$C$30,2,0)</f>
        <v>NÃO TEM CHAPA</v>
      </c>
      <c r="R13" s="95">
        <v>45743</v>
      </c>
      <c r="S13" s="91" t="s">
        <v>221</v>
      </c>
      <c r="T13" s="91">
        <f t="shared" si="2"/>
        <v>1</v>
      </c>
      <c r="U13" s="95">
        <v>45831</v>
      </c>
      <c r="V13" s="91" t="s">
        <v>86</v>
      </c>
      <c r="W13" s="93">
        <v>2405</v>
      </c>
      <c r="X13" s="94">
        <f t="shared" si="3"/>
        <v>1</v>
      </c>
      <c r="Y13"/>
    </row>
    <row r="14" spans="1:25" ht="15" customHeight="1">
      <c r="A14" s="90">
        <v>13</v>
      </c>
      <c r="B14" s="68">
        <v>45741</v>
      </c>
      <c r="C14" s="40">
        <v>2</v>
      </c>
      <c r="D14" s="40">
        <f t="shared" si="0"/>
        <v>1</v>
      </c>
      <c r="E14" s="41" t="s">
        <v>92</v>
      </c>
      <c r="F14" s="17" t="s">
        <v>58</v>
      </c>
      <c r="G14" s="17" t="s">
        <v>86</v>
      </c>
      <c r="H14" s="42" t="s">
        <v>250</v>
      </c>
      <c r="I14" s="17" t="str">
        <f t="shared" si="1"/>
        <v>PN-13</v>
      </c>
      <c r="J14" s="18" t="s">
        <v>85</v>
      </c>
      <c r="K14" s="19" t="e">
        <f>IF(J14="","SEM #CH",VLOOKUP(J14,#REF!,2,0))</f>
        <v>#REF!</v>
      </c>
      <c r="L14" s="19" t="e">
        <f>IF(J14="","SEM #CH",VLOOKUP(J14,#REF!,3,0))</f>
        <v>#REF!</v>
      </c>
      <c r="M14" s="19" t="e">
        <f>IF(J14="","SEM #CH",VLOOKUP(J14,#REF!,4,0))</f>
        <v>#REF!</v>
      </c>
      <c r="N14" s="19" t="e">
        <f>IF(J14="","SEM #CH",VLOOKUP(J14,#REF!,5,0))</f>
        <v>#REF!</v>
      </c>
      <c r="O14" s="19" t="e">
        <f>IF(J14="","SEM #CH",VLOOKUP(J14,#REF!,6,0))</f>
        <v>#REF!</v>
      </c>
      <c r="P14" s="19" t="e">
        <f>IF(J14="","SEM #CH",VLOOKUP(J14,#REF!,7,0))</f>
        <v>#REF!</v>
      </c>
      <c r="Q14" s="77" t="str">
        <f>VLOOKUP(J14,'p1'!$B$2:$C$30,2,0)</f>
        <v>NÃO TEM CHAPA</v>
      </c>
      <c r="R14" s="95">
        <v>45747</v>
      </c>
      <c r="S14" s="91" t="s">
        <v>221</v>
      </c>
      <c r="T14" s="91">
        <f t="shared" si="2"/>
        <v>1</v>
      </c>
      <c r="U14" s="95">
        <v>45817</v>
      </c>
      <c r="V14" s="91" t="s">
        <v>86</v>
      </c>
      <c r="W14" s="93">
        <v>2371</v>
      </c>
      <c r="X14" s="94">
        <f t="shared" si="3"/>
        <v>1</v>
      </c>
      <c r="Y14"/>
    </row>
    <row r="15" spans="1:25">
      <c r="A15" s="90">
        <v>14</v>
      </c>
      <c r="B15" s="68">
        <v>45741</v>
      </c>
      <c r="C15" s="40">
        <v>2</v>
      </c>
      <c r="D15" s="40">
        <f t="shared" si="0"/>
        <v>1</v>
      </c>
      <c r="E15" s="41" t="s">
        <v>92</v>
      </c>
      <c r="F15" s="17" t="s">
        <v>58</v>
      </c>
      <c r="G15" s="17" t="s">
        <v>86</v>
      </c>
      <c r="H15" s="42" t="s">
        <v>251</v>
      </c>
      <c r="I15" s="17" t="str">
        <f t="shared" si="1"/>
        <v>PN-14</v>
      </c>
      <c r="J15" s="18" t="s">
        <v>85</v>
      </c>
      <c r="K15" s="19" t="e">
        <f>IF(J15="","SEM #CH",VLOOKUP(J15,#REF!,2,0))</f>
        <v>#REF!</v>
      </c>
      <c r="L15" s="19" t="e">
        <f>IF(J15="","SEM #CH",VLOOKUP(J15,#REF!,3,0))</f>
        <v>#REF!</v>
      </c>
      <c r="M15" s="19" t="e">
        <f>IF(J15="","SEM #CH",VLOOKUP(J15,#REF!,4,0))</f>
        <v>#REF!</v>
      </c>
      <c r="N15" s="19" t="e">
        <f>IF(J15="","SEM #CH",VLOOKUP(J15,#REF!,5,0))</f>
        <v>#REF!</v>
      </c>
      <c r="O15" s="19" t="e">
        <f>IF(J15="","SEM #CH",VLOOKUP(J15,#REF!,6,0))</f>
        <v>#REF!</v>
      </c>
      <c r="P15" s="19" t="e">
        <f>IF(J15="","SEM #CH",VLOOKUP(J15,#REF!,7,0))</f>
        <v>#REF!</v>
      </c>
      <c r="Q15" s="77" t="str">
        <f>VLOOKUP(J15,'p1'!$B$2:$C$30,2,0)</f>
        <v>NÃO TEM CHAPA</v>
      </c>
      <c r="R15" s="95">
        <v>45747</v>
      </c>
      <c r="S15" s="91" t="s">
        <v>221</v>
      </c>
      <c r="T15" s="91">
        <f t="shared" si="2"/>
        <v>1</v>
      </c>
      <c r="U15" s="95">
        <v>45818</v>
      </c>
      <c r="V15" s="91" t="s">
        <v>86</v>
      </c>
      <c r="W15" s="93">
        <v>2375</v>
      </c>
      <c r="X15" s="94">
        <f t="shared" si="3"/>
        <v>1</v>
      </c>
      <c r="Y15"/>
    </row>
    <row r="16" spans="1:25">
      <c r="A16" s="90">
        <v>15</v>
      </c>
      <c r="B16" s="68">
        <v>45741</v>
      </c>
      <c r="C16" s="40">
        <v>2</v>
      </c>
      <c r="D16" s="40">
        <f t="shared" si="0"/>
        <v>1</v>
      </c>
      <c r="E16" s="41" t="s">
        <v>92</v>
      </c>
      <c r="F16" s="17" t="s">
        <v>58</v>
      </c>
      <c r="G16" s="17" t="s">
        <v>86</v>
      </c>
      <c r="H16" s="42" t="s">
        <v>252</v>
      </c>
      <c r="I16" s="17" t="str">
        <f t="shared" si="1"/>
        <v>PN-15</v>
      </c>
      <c r="J16" s="18" t="s">
        <v>85</v>
      </c>
      <c r="K16" s="19" t="e">
        <f>IF(J16="","SEM #CH",VLOOKUP(J16,#REF!,2,0))</f>
        <v>#REF!</v>
      </c>
      <c r="L16" s="19" t="e">
        <f>IF(J16="","SEM #CH",VLOOKUP(J16,#REF!,3,0))</f>
        <v>#REF!</v>
      </c>
      <c r="M16" s="19" t="e">
        <f>IF(J16="","SEM #CH",VLOOKUP(J16,#REF!,4,0))</f>
        <v>#REF!</v>
      </c>
      <c r="N16" s="19" t="e">
        <f>IF(J16="","SEM #CH",VLOOKUP(J16,#REF!,5,0))</f>
        <v>#REF!</v>
      </c>
      <c r="O16" s="19" t="e">
        <f>IF(J16="","SEM #CH",VLOOKUP(J16,#REF!,6,0))</f>
        <v>#REF!</v>
      </c>
      <c r="P16" s="19" t="e">
        <f>IF(J16="","SEM #CH",VLOOKUP(J16,#REF!,7,0))</f>
        <v>#REF!</v>
      </c>
      <c r="Q16" s="77" t="str">
        <f>VLOOKUP(J16,'p1'!$B$2:$C$30,2,0)</f>
        <v>NÃO TEM CHAPA</v>
      </c>
      <c r="R16" s="95">
        <v>45745</v>
      </c>
      <c r="S16" s="91" t="s">
        <v>221</v>
      </c>
      <c r="T16" s="91">
        <f t="shared" si="2"/>
        <v>1</v>
      </c>
      <c r="U16" s="95">
        <v>45818</v>
      </c>
      <c r="V16" s="91" t="s">
        <v>86</v>
      </c>
      <c r="W16" s="93">
        <v>2372</v>
      </c>
      <c r="X16" s="94">
        <f t="shared" si="3"/>
        <v>1</v>
      </c>
      <c r="Y16"/>
    </row>
    <row r="17" spans="1:25">
      <c r="A17" s="90">
        <v>16</v>
      </c>
      <c r="B17" s="68">
        <v>45741</v>
      </c>
      <c r="C17" s="40">
        <v>2</v>
      </c>
      <c r="D17" s="40">
        <f t="shared" si="0"/>
        <v>1</v>
      </c>
      <c r="E17" s="41" t="s">
        <v>92</v>
      </c>
      <c r="F17" s="17" t="s">
        <v>58</v>
      </c>
      <c r="G17" s="17" t="s">
        <v>86</v>
      </c>
      <c r="H17" s="42" t="s">
        <v>253</v>
      </c>
      <c r="I17" s="17" t="str">
        <f t="shared" si="1"/>
        <v>PN-16</v>
      </c>
      <c r="J17" s="18" t="s">
        <v>85</v>
      </c>
      <c r="K17" s="19" t="e">
        <f>IF(J17="","SEM #CH",VLOOKUP(J17,#REF!,2,0))</f>
        <v>#REF!</v>
      </c>
      <c r="L17" s="19" t="e">
        <f>IF(J17="","SEM #CH",VLOOKUP(J17,#REF!,3,0))</f>
        <v>#REF!</v>
      </c>
      <c r="M17" s="19" t="e">
        <f>IF(J17="","SEM #CH",VLOOKUP(J17,#REF!,4,0))</f>
        <v>#REF!</v>
      </c>
      <c r="N17" s="19" t="e">
        <f>IF(J17="","SEM #CH",VLOOKUP(J17,#REF!,5,0))</f>
        <v>#REF!</v>
      </c>
      <c r="O17" s="19" t="e">
        <f>IF(J17="","SEM #CH",VLOOKUP(J17,#REF!,6,0))</f>
        <v>#REF!</v>
      </c>
      <c r="P17" s="19" t="e">
        <f>IF(J17="","SEM #CH",VLOOKUP(J17,#REF!,7,0))</f>
        <v>#REF!</v>
      </c>
      <c r="Q17" s="77" t="str">
        <f>VLOOKUP(J17,'p1'!$B$2:$C$30,2,0)</f>
        <v>NÃO TEM CHAPA</v>
      </c>
      <c r="R17" s="95">
        <v>45745</v>
      </c>
      <c r="S17" s="91" t="s">
        <v>221</v>
      </c>
      <c r="T17" s="91">
        <f t="shared" si="2"/>
        <v>1</v>
      </c>
      <c r="U17" s="91"/>
      <c r="V17" s="91"/>
      <c r="W17" s="91"/>
      <c r="X17" s="94" t="str">
        <f t="shared" si="3"/>
        <v/>
      </c>
      <c r="Y17"/>
    </row>
    <row r="18" spans="1:25">
      <c r="A18" s="90">
        <v>17</v>
      </c>
      <c r="B18" s="68">
        <v>45741</v>
      </c>
      <c r="C18" s="40">
        <v>2</v>
      </c>
      <c r="D18" s="40">
        <f t="shared" si="0"/>
        <v>1</v>
      </c>
      <c r="E18" s="41" t="s">
        <v>92</v>
      </c>
      <c r="F18" s="17" t="s">
        <v>58</v>
      </c>
      <c r="G18" s="17" t="s">
        <v>86</v>
      </c>
      <c r="H18" s="42" t="s">
        <v>254</v>
      </c>
      <c r="I18" s="17" t="str">
        <f t="shared" si="1"/>
        <v>PN-17</v>
      </c>
      <c r="J18" s="18" t="s">
        <v>85</v>
      </c>
      <c r="K18" s="19" t="e">
        <f>IF(J18="","SEM #CH",VLOOKUP(J18,#REF!,2,0))</f>
        <v>#REF!</v>
      </c>
      <c r="L18" s="19" t="e">
        <f>IF(J18="","SEM #CH",VLOOKUP(J18,#REF!,3,0))</f>
        <v>#REF!</v>
      </c>
      <c r="M18" s="19" t="e">
        <f>IF(J18="","SEM #CH",VLOOKUP(J18,#REF!,4,0))</f>
        <v>#REF!</v>
      </c>
      <c r="N18" s="19" t="e">
        <f>IF(J18="","SEM #CH",VLOOKUP(J18,#REF!,5,0))</f>
        <v>#REF!</v>
      </c>
      <c r="O18" s="19" t="e">
        <f>IF(J18="","SEM #CH",VLOOKUP(J18,#REF!,6,0))</f>
        <v>#REF!</v>
      </c>
      <c r="P18" s="19" t="e">
        <f>IF(J18="","SEM #CH",VLOOKUP(J18,#REF!,7,0))</f>
        <v>#REF!</v>
      </c>
      <c r="Q18" s="77" t="str">
        <f>VLOOKUP(J18,'p1'!$B$2:$C$30,2,0)</f>
        <v>NÃO TEM CHAPA</v>
      </c>
      <c r="R18" s="95">
        <v>45744</v>
      </c>
      <c r="S18" s="91" t="s">
        <v>221</v>
      </c>
      <c r="T18" s="91">
        <f t="shared" si="2"/>
        <v>1</v>
      </c>
      <c r="U18" s="91"/>
      <c r="V18" s="91"/>
      <c r="W18" s="91"/>
      <c r="X18" s="94" t="str">
        <f t="shared" si="3"/>
        <v/>
      </c>
      <c r="Y18"/>
    </row>
    <row r="19" spans="1:25">
      <c r="A19" s="90">
        <v>18</v>
      </c>
      <c r="B19" s="68">
        <v>45741</v>
      </c>
      <c r="C19" s="40">
        <v>2</v>
      </c>
      <c r="D19" s="40">
        <f t="shared" si="0"/>
        <v>1</v>
      </c>
      <c r="E19" s="41" t="s">
        <v>92</v>
      </c>
      <c r="F19" s="17" t="s">
        <v>58</v>
      </c>
      <c r="G19" s="17" t="s">
        <v>86</v>
      </c>
      <c r="H19" s="42" t="s">
        <v>255</v>
      </c>
      <c r="I19" s="17" t="str">
        <f t="shared" si="1"/>
        <v>PN-18</v>
      </c>
      <c r="J19" s="18" t="s">
        <v>85</v>
      </c>
      <c r="K19" s="19" t="e">
        <f>IF(J19="","SEM #CH",VLOOKUP(J19,#REF!,2,0))</f>
        <v>#REF!</v>
      </c>
      <c r="L19" s="19" t="e">
        <f>IF(J19="","SEM #CH",VLOOKUP(J19,#REF!,3,0))</f>
        <v>#REF!</v>
      </c>
      <c r="M19" s="19" t="e">
        <f>IF(J19="","SEM #CH",VLOOKUP(J19,#REF!,4,0))</f>
        <v>#REF!</v>
      </c>
      <c r="N19" s="19" t="e">
        <f>IF(J19="","SEM #CH",VLOOKUP(J19,#REF!,5,0))</f>
        <v>#REF!</v>
      </c>
      <c r="O19" s="19" t="e">
        <f>IF(J19="","SEM #CH",VLOOKUP(J19,#REF!,6,0))</f>
        <v>#REF!</v>
      </c>
      <c r="P19" s="19" t="e">
        <f>IF(J19="","SEM #CH",VLOOKUP(J19,#REF!,7,0))</f>
        <v>#REF!</v>
      </c>
      <c r="Q19" s="77" t="str">
        <f>VLOOKUP(J19,'p1'!$B$2:$C$30,2,0)</f>
        <v>NÃO TEM CHAPA</v>
      </c>
      <c r="R19" s="95">
        <v>45775</v>
      </c>
      <c r="S19" s="91" t="s">
        <v>221</v>
      </c>
      <c r="T19" s="91">
        <f t="shared" si="2"/>
        <v>1</v>
      </c>
      <c r="U19" s="95">
        <v>45833</v>
      </c>
      <c r="V19" s="91" t="s">
        <v>86</v>
      </c>
      <c r="W19" s="91">
        <v>2416</v>
      </c>
      <c r="X19" s="94">
        <f t="shared" si="3"/>
        <v>1</v>
      </c>
      <c r="Y19"/>
    </row>
    <row r="20" spans="1:25">
      <c r="A20" s="90">
        <v>19</v>
      </c>
      <c r="B20" s="68">
        <v>45742</v>
      </c>
      <c r="C20" s="40">
        <v>3</v>
      </c>
      <c r="D20" s="40">
        <f t="shared" si="0"/>
        <v>1</v>
      </c>
      <c r="E20" s="41" t="s">
        <v>92</v>
      </c>
      <c r="F20" s="17" t="s">
        <v>58</v>
      </c>
      <c r="G20" s="17" t="s">
        <v>86</v>
      </c>
      <c r="H20" s="42" t="s">
        <v>256</v>
      </c>
      <c r="I20" s="17" t="str">
        <f t="shared" si="1"/>
        <v>PN-19</v>
      </c>
      <c r="J20" s="18" t="s">
        <v>85</v>
      </c>
      <c r="K20" s="19" t="e">
        <f>IF(J20="","SEM #CH",VLOOKUP(J20,#REF!,2,0))</f>
        <v>#REF!</v>
      </c>
      <c r="L20" s="19" t="e">
        <f>IF(J20="","SEM #CH",VLOOKUP(J20,#REF!,3,0))</f>
        <v>#REF!</v>
      </c>
      <c r="M20" s="19" t="e">
        <f>IF(J20="","SEM #CH",VLOOKUP(J20,#REF!,4,0))</f>
        <v>#REF!</v>
      </c>
      <c r="N20" s="19" t="e">
        <f>IF(J20="","SEM #CH",VLOOKUP(J20,#REF!,5,0))</f>
        <v>#REF!</v>
      </c>
      <c r="O20" s="19" t="e">
        <f>IF(J20="","SEM #CH",VLOOKUP(J20,#REF!,6,0))</f>
        <v>#REF!</v>
      </c>
      <c r="P20" s="19" t="e">
        <f>IF(J20="","SEM #CH",VLOOKUP(J20,#REF!,7,0))</f>
        <v>#REF!</v>
      </c>
      <c r="Q20" s="77" t="str">
        <f>VLOOKUP(J20,'p1'!$B$2:$C$30,2,0)</f>
        <v>NÃO TEM CHAPA</v>
      </c>
      <c r="R20" s="95">
        <v>45751</v>
      </c>
      <c r="S20" s="91" t="s">
        <v>222</v>
      </c>
      <c r="T20" s="91">
        <f t="shared" si="2"/>
        <v>1</v>
      </c>
      <c r="U20" s="95">
        <v>45811</v>
      </c>
      <c r="V20" s="91" t="s">
        <v>995</v>
      </c>
      <c r="W20" s="93">
        <v>2364</v>
      </c>
      <c r="X20" s="94">
        <f t="shared" si="3"/>
        <v>1</v>
      </c>
      <c r="Y20"/>
    </row>
    <row r="21" spans="1:25">
      <c r="A21" s="90">
        <v>20</v>
      </c>
      <c r="B21" s="68">
        <v>45742</v>
      </c>
      <c r="C21" s="40">
        <v>3</v>
      </c>
      <c r="D21" s="40">
        <f t="shared" si="0"/>
        <v>1</v>
      </c>
      <c r="E21" s="41" t="s">
        <v>92</v>
      </c>
      <c r="F21" s="17" t="s">
        <v>58</v>
      </c>
      <c r="G21" s="17" t="s">
        <v>86</v>
      </c>
      <c r="H21" s="42" t="s">
        <v>257</v>
      </c>
      <c r="I21" s="17" t="str">
        <f t="shared" si="1"/>
        <v>PN-20</v>
      </c>
      <c r="J21" s="18" t="s">
        <v>85</v>
      </c>
      <c r="K21" s="19" t="e">
        <f>IF(J21="","SEM #CH",VLOOKUP(J21,#REF!,2,0))</f>
        <v>#REF!</v>
      </c>
      <c r="L21" s="19" t="e">
        <f>IF(J21="","SEM #CH",VLOOKUP(J21,#REF!,3,0))</f>
        <v>#REF!</v>
      </c>
      <c r="M21" s="19" t="e">
        <f>IF(J21="","SEM #CH",VLOOKUP(J21,#REF!,4,0))</f>
        <v>#REF!</v>
      </c>
      <c r="N21" s="19" t="e">
        <f>IF(J21="","SEM #CH",VLOOKUP(J21,#REF!,5,0))</f>
        <v>#REF!</v>
      </c>
      <c r="O21" s="19" t="e">
        <f>IF(J21="","SEM #CH",VLOOKUP(J21,#REF!,6,0))</f>
        <v>#REF!</v>
      </c>
      <c r="P21" s="19" t="e">
        <f>IF(J21="","SEM #CH",VLOOKUP(J21,#REF!,7,0))</f>
        <v>#REF!</v>
      </c>
      <c r="Q21" s="77" t="str">
        <f>VLOOKUP(J21,'p1'!$B$2:$C$30,2,0)</f>
        <v>NÃO TEM CHAPA</v>
      </c>
      <c r="R21" s="95">
        <v>45751</v>
      </c>
      <c r="S21" s="91" t="s">
        <v>222</v>
      </c>
      <c r="T21" s="91">
        <f t="shared" si="2"/>
        <v>1</v>
      </c>
      <c r="U21" s="95">
        <v>45811</v>
      </c>
      <c r="V21" s="91" t="s">
        <v>996</v>
      </c>
      <c r="W21" s="93">
        <v>2365</v>
      </c>
      <c r="X21" s="94">
        <f t="shared" si="3"/>
        <v>1</v>
      </c>
      <c r="Y21"/>
    </row>
    <row r="22" spans="1:25">
      <c r="A22" s="90">
        <v>21</v>
      </c>
      <c r="B22" s="68">
        <v>45742</v>
      </c>
      <c r="C22" s="40">
        <v>3</v>
      </c>
      <c r="D22" s="40">
        <f t="shared" si="0"/>
        <v>1</v>
      </c>
      <c r="E22" s="41" t="s">
        <v>92</v>
      </c>
      <c r="F22" s="17" t="s">
        <v>58</v>
      </c>
      <c r="G22" s="17" t="s">
        <v>86</v>
      </c>
      <c r="H22" s="42" t="s">
        <v>258</v>
      </c>
      <c r="I22" s="17" t="str">
        <f t="shared" si="1"/>
        <v>PN-21</v>
      </c>
      <c r="J22" s="18" t="s">
        <v>85</v>
      </c>
      <c r="K22" s="19" t="e">
        <f>IF(J22="","SEM #CH",VLOOKUP(J22,#REF!,2,0))</f>
        <v>#REF!</v>
      </c>
      <c r="L22" s="19" t="e">
        <f>IF(J22="","SEM #CH",VLOOKUP(J22,#REF!,3,0))</f>
        <v>#REF!</v>
      </c>
      <c r="M22" s="19" t="e">
        <f>IF(J22="","SEM #CH",VLOOKUP(J22,#REF!,4,0))</f>
        <v>#REF!</v>
      </c>
      <c r="N22" s="19" t="e">
        <f>IF(J22="","SEM #CH",VLOOKUP(J22,#REF!,5,0))</f>
        <v>#REF!</v>
      </c>
      <c r="O22" s="19" t="e">
        <f>IF(J22="","SEM #CH",VLOOKUP(J22,#REF!,6,0))</f>
        <v>#REF!</v>
      </c>
      <c r="P22" s="19" t="e">
        <f>IF(J22="","SEM #CH",VLOOKUP(J22,#REF!,7,0))</f>
        <v>#REF!</v>
      </c>
      <c r="Q22" s="77" t="str">
        <f>VLOOKUP(J22,'p1'!$B$2:$C$30,2,0)</f>
        <v>NÃO TEM CHAPA</v>
      </c>
      <c r="R22" s="95">
        <v>45749</v>
      </c>
      <c r="S22" s="91" t="s">
        <v>222</v>
      </c>
      <c r="T22" s="91">
        <f t="shared" si="2"/>
        <v>1</v>
      </c>
      <c r="U22" s="95">
        <v>45811</v>
      </c>
      <c r="V22" s="91" t="s">
        <v>996</v>
      </c>
      <c r="W22" s="93">
        <v>2365</v>
      </c>
      <c r="X22" s="94">
        <f t="shared" si="3"/>
        <v>1</v>
      </c>
      <c r="Y22"/>
    </row>
    <row r="23" spans="1:25">
      <c r="A23" s="90">
        <v>22</v>
      </c>
      <c r="B23" s="68">
        <v>45742</v>
      </c>
      <c r="C23" s="40">
        <v>3</v>
      </c>
      <c r="D23" s="40">
        <f t="shared" si="0"/>
        <v>1</v>
      </c>
      <c r="E23" s="41" t="s">
        <v>92</v>
      </c>
      <c r="F23" s="17" t="s">
        <v>58</v>
      </c>
      <c r="G23" s="17" t="s">
        <v>86</v>
      </c>
      <c r="H23" s="42" t="s">
        <v>259</v>
      </c>
      <c r="I23" s="17" t="str">
        <f t="shared" si="1"/>
        <v>PN-22</v>
      </c>
      <c r="J23" s="18" t="s">
        <v>85</v>
      </c>
      <c r="K23" s="19" t="e">
        <f>IF(J23="","SEM #CH",VLOOKUP(J23,#REF!,2,0))</f>
        <v>#REF!</v>
      </c>
      <c r="L23" s="19" t="e">
        <f>IF(J23="","SEM #CH",VLOOKUP(J23,#REF!,3,0))</f>
        <v>#REF!</v>
      </c>
      <c r="M23" s="19" t="e">
        <f>IF(J23="","SEM #CH",VLOOKUP(J23,#REF!,4,0))</f>
        <v>#REF!</v>
      </c>
      <c r="N23" s="19" t="e">
        <f>IF(J23="","SEM #CH",VLOOKUP(J23,#REF!,5,0))</f>
        <v>#REF!</v>
      </c>
      <c r="O23" s="19" t="e">
        <f>IF(J23="","SEM #CH",VLOOKUP(J23,#REF!,6,0))</f>
        <v>#REF!</v>
      </c>
      <c r="P23" s="19" t="e">
        <f>IF(J23="","SEM #CH",VLOOKUP(J23,#REF!,7,0))</f>
        <v>#REF!</v>
      </c>
      <c r="Q23" s="77" t="str">
        <f>VLOOKUP(J23,'p1'!$B$2:$C$30,2,0)</f>
        <v>NÃO TEM CHAPA</v>
      </c>
      <c r="R23" s="95">
        <v>45748</v>
      </c>
      <c r="S23" s="91" t="s">
        <v>222</v>
      </c>
      <c r="T23" s="91">
        <f t="shared" si="2"/>
        <v>1</v>
      </c>
      <c r="U23" s="95">
        <v>45811</v>
      </c>
      <c r="V23" s="91" t="s">
        <v>996</v>
      </c>
      <c r="W23" s="93">
        <v>2365</v>
      </c>
      <c r="X23" s="94">
        <f t="shared" si="3"/>
        <v>1</v>
      </c>
      <c r="Y23"/>
    </row>
    <row r="24" spans="1:25">
      <c r="A24" s="90">
        <v>23</v>
      </c>
      <c r="B24" s="68">
        <v>45742</v>
      </c>
      <c r="C24" s="40">
        <v>3</v>
      </c>
      <c r="D24" s="40">
        <f t="shared" si="0"/>
        <v>1</v>
      </c>
      <c r="E24" s="41" t="s">
        <v>92</v>
      </c>
      <c r="F24" s="17" t="s">
        <v>58</v>
      </c>
      <c r="G24" s="17" t="s">
        <v>86</v>
      </c>
      <c r="H24" s="42" t="s">
        <v>260</v>
      </c>
      <c r="I24" s="17" t="str">
        <f t="shared" si="1"/>
        <v>PN-23</v>
      </c>
      <c r="J24" s="18" t="s">
        <v>85</v>
      </c>
      <c r="K24" s="19" t="e">
        <f>IF(J24="","SEM #CH",VLOOKUP(J24,#REF!,2,0))</f>
        <v>#REF!</v>
      </c>
      <c r="L24" s="19" t="e">
        <f>IF(J24="","SEM #CH",VLOOKUP(J24,#REF!,3,0))</f>
        <v>#REF!</v>
      </c>
      <c r="M24" s="19" t="e">
        <f>IF(J24="","SEM #CH",VLOOKUP(J24,#REF!,4,0))</f>
        <v>#REF!</v>
      </c>
      <c r="N24" s="19" t="e">
        <f>IF(J24="","SEM #CH",VLOOKUP(J24,#REF!,5,0))</f>
        <v>#REF!</v>
      </c>
      <c r="O24" s="19" t="e">
        <f>IF(J24="","SEM #CH",VLOOKUP(J24,#REF!,6,0))</f>
        <v>#REF!</v>
      </c>
      <c r="P24" s="19" t="e">
        <f>IF(J24="","SEM #CH",VLOOKUP(J24,#REF!,7,0))</f>
        <v>#REF!</v>
      </c>
      <c r="Q24" s="77" t="str">
        <f>VLOOKUP(J24,'p1'!$B$2:$C$30,2,0)</f>
        <v>NÃO TEM CHAPA</v>
      </c>
      <c r="R24" s="95">
        <v>45748</v>
      </c>
      <c r="S24" s="91" t="s">
        <v>222</v>
      </c>
      <c r="T24" s="91">
        <f t="shared" si="2"/>
        <v>1</v>
      </c>
      <c r="U24" s="95">
        <v>45818</v>
      </c>
      <c r="V24" s="91" t="s">
        <v>86</v>
      </c>
      <c r="W24" s="93">
        <v>2374</v>
      </c>
      <c r="X24" s="94">
        <f t="shared" si="3"/>
        <v>1</v>
      </c>
      <c r="Y24"/>
    </row>
    <row r="25" spans="1:25">
      <c r="A25" s="90">
        <v>24</v>
      </c>
      <c r="B25" s="68">
        <v>45806</v>
      </c>
      <c r="C25" s="40">
        <v>31</v>
      </c>
      <c r="D25" s="40">
        <f t="shared" si="0"/>
        <v>1</v>
      </c>
      <c r="E25" s="41" t="s">
        <v>92</v>
      </c>
      <c r="F25" s="17" t="s">
        <v>60</v>
      </c>
      <c r="G25" s="17" t="s">
        <v>86</v>
      </c>
      <c r="H25" s="42" t="s">
        <v>261</v>
      </c>
      <c r="I25" s="17" t="str">
        <f t="shared" si="1"/>
        <v>PE-24</v>
      </c>
      <c r="J25" s="18" t="s">
        <v>90</v>
      </c>
      <c r="K25" s="19" t="e">
        <f>IF(J25="","SEM #CH",VLOOKUP(J25,#REF!,2,0))</f>
        <v>#REF!</v>
      </c>
      <c r="L25" s="19" t="e">
        <f>IF(J25="","SEM #CH",VLOOKUP(J25,#REF!,3,0))</f>
        <v>#REF!</v>
      </c>
      <c r="M25" s="19" t="e">
        <f>IF(J25="","SEM #CH",VLOOKUP(J25,#REF!,4,0))</f>
        <v>#REF!</v>
      </c>
      <c r="N25" s="19" t="e">
        <f>IF(J25="","SEM #CH",VLOOKUP(J25,#REF!,5,0))</f>
        <v>#REF!</v>
      </c>
      <c r="O25" s="19" t="e">
        <f>IF(J25="","SEM #CH",VLOOKUP(J25,#REF!,6,0))</f>
        <v>#REF!</v>
      </c>
      <c r="P25" s="19" t="e">
        <f>IF(J25="","SEM #CH",VLOOKUP(J25,#REF!,7,0))</f>
        <v>#REF!</v>
      </c>
      <c r="Q25" s="77" t="str">
        <f>VLOOKUP(J25,'p1'!$B$2:$C$30,2,0)</f>
        <v>#3/8-530X530</v>
      </c>
      <c r="R25" s="95">
        <v>45810</v>
      </c>
      <c r="S25" s="91" t="s">
        <v>221</v>
      </c>
      <c r="T25" s="91">
        <f t="shared" si="2"/>
        <v>1</v>
      </c>
      <c r="U25" s="91"/>
      <c r="V25" s="91"/>
      <c r="W25" s="93"/>
      <c r="X25" s="94" t="str">
        <f t="shared" si="3"/>
        <v/>
      </c>
      <c r="Y25"/>
    </row>
    <row r="26" spans="1:25">
      <c r="A26" s="90">
        <v>25</v>
      </c>
      <c r="B26" s="68">
        <v>45742</v>
      </c>
      <c r="C26" s="40">
        <v>3</v>
      </c>
      <c r="D26" s="40">
        <f t="shared" si="0"/>
        <v>1</v>
      </c>
      <c r="E26" s="41" t="s">
        <v>92</v>
      </c>
      <c r="F26" s="17" t="s">
        <v>58</v>
      </c>
      <c r="G26" s="17" t="s">
        <v>86</v>
      </c>
      <c r="H26" s="42" t="s">
        <v>262</v>
      </c>
      <c r="I26" s="17" t="str">
        <f t="shared" si="1"/>
        <v>PN-25</v>
      </c>
      <c r="J26" s="18" t="s">
        <v>85</v>
      </c>
      <c r="K26" s="19" t="e">
        <f>IF(J26="","SEM #CH",VLOOKUP(J26,#REF!,2,0))</f>
        <v>#REF!</v>
      </c>
      <c r="L26" s="19" t="e">
        <f>IF(J26="","SEM #CH",VLOOKUP(J26,#REF!,3,0))</f>
        <v>#REF!</v>
      </c>
      <c r="M26" s="19" t="e">
        <f>IF(J26="","SEM #CH",VLOOKUP(J26,#REF!,4,0))</f>
        <v>#REF!</v>
      </c>
      <c r="N26" s="19" t="e">
        <f>IF(J26="","SEM #CH",VLOOKUP(J26,#REF!,5,0))</f>
        <v>#REF!</v>
      </c>
      <c r="O26" s="19" t="e">
        <f>IF(J26="","SEM #CH",VLOOKUP(J26,#REF!,6,0))</f>
        <v>#REF!</v>
      </c>
      <c r="P26" s="19" t="e">
        <f>IF(J26="","SEM #CH",VLOOKUP(J26,#REF!,7,0))</f>
        <v>#REF!</v>
      </c>
      <c r="Q26" s="77" t="str">
        <f>VLOOKUP(J26,'p1'!$B$2:$C$30,2,0)</f>
        <v>NÃO TEM CHAPA</v>
      </c>
      <c r="R26" s="95">
        <v>45745</v>
      </c>
      <c r="S26" s="91" t="s">
        <v>222</v>
      </c>
      <c r="T26" s="91">
        <f t="shared" si="2"/>
        <v>1</v>
      </c>
      <c r="U26" s="95">
        <v>45818</v>
      </c>
      <c r="V26" s="91" t="s">
        <v>86</v>
      </c>
      <c r="W26" s="93">
        <v>2374</v>
      </c>
      <c r="X26" s="94">
        <f t="shared" si="3"/>
        <v>1</v>
      </c>
      <c r="Y26"/>
    </row>
    <row r="27" spans="1:25">
      <c r="A27" s="90">
        <v>26</v>
      </c>
      <c r="B27" s="68">
        <v>45742</v>
      </c>
      <c r="C27" s="40">
        <v>3</v>
      </c>
      <c r="D27" s="40">
        <f t="shared" si="0"/>
        <v>1</v>
      </c>
      <c r="E27" s="41" t="s">
        <v>92</v>
      </c>
      <c r="F27" s="17" t="s">
        <v>58</v>
      </c>
      <c r="G27" s="17" t="s">
        <v>86</v>
      </c>
      <c r="H27" s="42" t="s">
        <v>263</v>
      </c>
      <c r="I27" s="17" t="str">
        <f t="shared" si="1"/>
        <v>PN-26</v>
      </c>
      <c r="J27" s="18" t="s">
        <v>85</v>
      </c>
      <c r="K27" s="19" t="e">
        <f>IF(J27="","SEM #CH",VLOOKUP(J27,#REF!,2,0))</f>
        <v>#REF!</v>
      </c>
      <c r="L27" s="19" t="e">
        <f>IF(J27="","SEM #CH",VLOOKUP(J27,#REF!,3,0))</f>
        <v>#REF!</v>
      </c>
      <c r="M27" s="19" t="e">
        <f>IF(J27="","SEM #CH",VLOOKUP(J27,#REF!,4,0))</f>
        <v>#REF!</v>
      </c>
      <c r="N27" s="19" t="e">
        <f>IF(J27="","SEM #CH",VLOOKUP(J27,#REF!,5,0))</f>
        <v>#REF!</v>
      </c>
      <c r="O27" s="19" t="e">
        <f>IF(J27="","SEM #CH",VLOOKUP(J27,#REF!,6,0))</f>
        <v>#REF!</v>
      </c>
      <c r="P27" s="19" t="e">
        <f>IF(J27="","SEM #CH",VLOOKUP(J27,#REF!,7,0))</f>
        <v>#REF!</v>
      </c>
      <c r="Q27" s="77" t="str">
        <f>VLOOKUP(J27,'p1'!$B$2:$C$30,2,0)</f>
        <v>NÃO TEM CHAPA</v>
      </c>
      <c r="R27" s="95">
        <v>45749</v>
      </c>
      <c r="S27" s="91" t="s">
        <v>222</v>
      </c>
      <c r="T27" s="91">
        <f t="shared" si="2"/>
        <v>1</v>
      </c>
      <c r="U27" s="95">
        <v>45818</v>
      </c>
      <c r="V27" s="91" t="s">
        <v>86</v>
      </c>
      <c r="W27" s="93">
        <v>2374</v>
      </c>
      <c r="X27" s="94">
        <f t="shared" si="3"/>
        <v>1</v>
      </c>
      <c r="Y27"/>
    </row>
    <row r="28" spans="1:25">
      <c r="A28" s="90">
        <v>27</v>
      </c>
      <c r="B28" s="68">
        <v>45743</v>
      </c>
      <c r="C28" s="40">
        <v>4</v>
      </c>
      <c r="D28" s="40">
        <f t="shared" si="0"/>
        <v>1</v>
      </c>
      <c r="E28" s="41" t="s">
        <v>92</v>
      </c>
      <c r="F28" s="17" t="s">
        <v>58</v>
      </c>
      <c r="G28" s="17" t="s">
        <v>86</v>
      </c>
      <c r="H28" s="42" t="s">
        <v>264</v>
      </c>
      <c r="I28" s="17" t="str">
        <f t="shared" si="1"/>
        <v>PN-27</v>
      </c>
      <c r="J28" s="18" t="s">
        <v>85</v>
      </c>
      <c r="K28" s="19" t="e">
        <f>IF(J28="","SEM #CH",VLOOKUP(J28,#REF!,2,0))</f>
        <v>#REF!</v>
      </c>
      <c r="L28" s="19" t="e">
        <f>IF(J28="","SEM #CH",VLOOKUP(J28,#REF!,3,0))</f>
        <v>#REF!</v>
      </c>
      <c r="M28" s="19" t="e">
        <f>IF(J28="","SEM #CH",VLOOKUP(J28,#REF!,4,0))</f>
        <v>#REF!</v>
      </c>
      <c r="N28" s="19" t="e">
        <f>IF(J28="","SEM #CH",VLOOKUP(J28,#REF!,5,0))</f>
        <v>#REF!</v>
      </c>
      <c r="O28" s="19" t="e">
        <f>IF(J28="","SEM #CH",VLOOKUP(J28,#REF!,6,0))</f>
        <v>#REF!</v>
      </c>
      <c r="P28" s="19" t="e">
        <f>IF(J28="","SEM #CH",VLOOKUP(J28,#REF!,7,0))</f>
        <v>#REF!</v>
      </c>
      <c r="Q28" s="77" t="str">
        <f>VLOOKUP(J28,'p1'!$B$2:$C$30,2,0)</f>
        <v>NÃO TEM CHAPA</v>
      </c>
      <c r="R28" s="91"/>
      <c r="S28" s="91"/>
      <c r="T28" s="91" t="str">
        <f t="shared" si="2"/>
        <v/>
      </c>
      <c r="U28" s="91"/>
      <c r="V28" s="91"/>
      <c r="W28" s="93"/>
      <c r="X28" s="94" t="str">
        <f t="shared" si="3"/>
        <v/>
      </c>
      <c r="Y28"/>
    </row>
    <row r="29" spans="1:25">
      <c r="A29" s="90">
        <v>28</v>
      </c>
      <c r="B29" s="68">
        <v>45743</v>
      </c>
      <c r="C29" s="40">
        <v>4</v>
      </c>
      <c r="D29" s="40">
        <f t="shared" si="0"/>
        <v>1</v>
      </c>
      <c r="E29" s="41" t="s">
        <v>92</v>
      </c>
      <c r="F29" s="17" t="s">
        <v>58</v>
      </c>
      <c r="G29" s="17" t="s">
        <v>86</v>
      </c>
      <c r="H29" s="42" t="s">
        <v>265</v>
      </c>
      <c r="I29" s="17" t="str">
        <f t="shared" si="1"/>
        <v>PN-28</v>
      </c>
      <c r="J29" s="18" t="s">
        <v>85</v>
      </c>
      <c r="K29" s="19" t="e">
        <f>IF(J29="","SEM #CH",VLOOKUP(J29,#REF!,2,0))</f>
        <v>#REF!</v>
      </c>
      <c r="L29" s="19" t="e">
        <f>IF(J29="","SEM #CH",VLOOKUP(J29,#REF!,3,0))</f>
        <v>#REF!</v>
      </c>
      <c r="M29" s="19" t="e">
        <f>IF(J29="","SEM #CH",VLOOKUP(J29,#REF!,4,0))</f>
        <v>#REF!</v>
      </c>
      <c r="N29" s="19" t="e">
        <f>IF(J29="","SEM #CH",VLOOKUP(J29,#REF!,5,0))</f>
        <v>#REF!</v>
      </c>
      <c r="O29" s="19" t="e">
        <f>IF(J29="","SEM #CH",VLOOKUP(J29,#REF!,6,0))</f>
        <v>#REF!</v>
      </c>
      <c r="P29" s="19" t="e">
        <f>IF(J29="","SEM #CH",VLOOKUP(J29,#REF!,7,0))</f>
        <v>#REF!</v>
      </c>
      <c r="Q29" s="77" t="str">
        <f>VLOOKUP(J29,'p1'!$B$2:$C$30,2,0)</f>
        <v>NÃO TEM CHAPA</v>
      </c>
      <c r="R29" s="95">
        <v>45752</v>
      </c>
      <c r="S29" s="91" t="s">
        <v>221</v>
      </c>
      <c r="T29" s="91">
        <f t="shared" si="2"/>
        <v>1</v>
      </c>
      <c r="U29" s="95">
        <v>45817</v>
      </c>
      <c r="V29" s="91" t="s">
        <v>86</v>
      </c>
      <c r="W29" s="93">
        <v>2371</v>
      </c>
      <c r="X29" s="94">
        <f t="shared" si="3"/>
        <v>1</v>
      </c>
      <c r="Y29"/>
    </row>
    <row r="30" spans="1:25">
      <c r="A30" s="90">
        <v>29</v>
      </c>
      <c r="B30" s="68">
        <v>45743</v>
      </c>
      <c r="C30" s="40">
        <v>4</v>
      </c>
      <c r="D30" s="40">
        <f t="shared" si="0"/>
        <v>1</v>
      </c>
      <c r="E30" s="41" t="s">
        <v>92</v>
      </c>
      <c r="F30" s="17" t="s">
        <v>58</v>
      </c>
      <c r="G30" s="17" t="s">
        <v>86</v>
      </c>
      <c r="H30" s="42" t="s">
        <v>266</v>
      </c>
      <c r="I30" s="17" t="str">
        <f t="shared" si="1"/>
        <v>PN-29</v>
      </c>
      <c r="J30" s="18" t="s">
        <v>85</v>
      </c>
      <c r="K30" s="19" t="e">
        <f>IF(J30="","SEM #CH",VLOOKUP(J30,#REF!,2,0))</f>
        <v>#REF!</v>
      </c>
      <c r="L30" s="19" t="e">
        <f>IF(J30="","SEM #CH",VLOOKUP(J30,#REF!,3,0))</f>
        <v>#REF!</v>
      </c>
      <c r="M30" s="19" t="e">
        <f>IF(J30="","SEM #CH",VLOOKUP(J30,#REF!,4,0))</f>
        <v>#REF!</v>
      </c>
      <c r="N30" s="19" t="e">
        <f>IF(J30="","SEM #CH",VLOOKUP(J30,#REF!,5,0))</f>
        <v>#REF!</v>
      </c>
      <c r="O30" s="19" t="e">
        <f>IF(J30="","SEM #CH",VLOOKUP(J30,#REF!,6,0))</f>
        <v>#REF!</v>
      </c>
      <c r="P30" s="19" t="e">
        <f>IF(J30="","SEM #CH",VLOOKUP(J30,#REF!,7,0))</f>
        <v>#REF!</v>
      </c>
      <c r="Q30" s="77" t="str">
        <f>VLOOKUP(J30,'p1'!$B$2:$C$30,2,0)</f>
        <v>NÃO TEM CHAPA</v>
      </c>
      <c r="R30" s="95">
        <v>45752</v>
      </c>
      <c r="S30" s="91" t="s">
        <v>221</v>
      </c>
      <c r="T30" s="91">
        <f t="shared" si="2"/>
        <v>1</v>
      </c>
      <c r="U30" s="91"/>
      <c r="V30" s="91"/>
      <c r="W30" s="93"/>
      <c r="X30" s="94" t="str">
        <f t="shared" si="3"/>
        <v/>
      </c>
      <c r="Y30"/>
    </row>
    <row r="31" spans="1:25">
      <c r="A31" s="90">
        <v>30</v>
      </c>
      <c r="B31" s="68">
        <v>45743</v>
      </c>
      <c r="C31" s="40">
        <v>4</v>
      </c>
      <c r="D31" s="40">
        <f t="shared" si="0"/>
        <v>1</v>
      </c>
      <c r="E31" s="41" t="s">
        <v>92</v>
      </c>
      <c r="F31" s="17" t="s">
        <v>58</v>
      </c>
      <c r="G31" s="17" t="s">
        <v>86</v>
      </c>
      <c r="H31" s="42" t="s">
        <v>267</v>
      </c>
      <c r="I31" s="17" t="str">
        <f t="shared" si="1"/>
        <v>PN-30</v>
      </c>
      <c r="J31" s="18" t="s">
        <v>85</v>
      </c>
      <c r="K31" s="19" t="e">
        <f>IF(J31="","SEM #CH",VLOOKUP(J31,#REF!,2,0))</f>
        <v>#REF!</v>
      </c>
      <c r="L31" s="19" t="e">
        <f>IF(J31="","SEM #CH",VLOOKUP(J31,#REF!,3,0))</f>
        <v>#REF!</v>
      </c>
      <c r="M31" s="19" t="e">
        <f>IF(J31="","SEM #CH",VLOOKUP(J31,#REF!,4,0))</f>
        <v>#REF!</v>
      </c>
      <c r="N31" s="19" t="e">
        <f>IF(J31="","SEM #CH",VLOOKUP(J31,#REF!,5,0))</f>
        <v>#REF!</v>
      </c>
      <c r="O31" s="19" t="e">
        <f>IF(J31="","SEM #CH",VLOOKUP(J31,#REF!,6,0))</f>
        <v>#REF!</v>
      </c>
      <c r="P31" s="19" t="e">
        <f>IF(J31="","SEM #CH",VLOOKUP(J31,#REF!,7,0))</f>
        <v>#REF!</v>
      </c>
      <c r="Q31" s="77" t="str">
        <f>VLOOKUP(J31,'p1'!$B$2:$C$30,2,0)</f>
        <v>NÃO TEM CHAPA</v>
      </c>
      <c r="R31" s="95">
        <v>45750</v>
      </c>
      <c r="S31" s="91" t="s">
        <v>221</v>
      </c>
      <c r="T31" s="91">
        <f t="shared" si="2"/>
        <v>1</v>
      </c>
      <c r="U31" s="95">
        <v>45814</v>
      </c>
      <c r="V31" s="91" t="s">
        <v>86</v>
      </c>
      <c r="W31" s="93">
        <v>2369</v>
      </c>
      <c r="X31" s="94">
        <f t="shared" si="3"/>
        <v>1</v>
      </c>
      <c r="Y31"/>
    </row>
    <row r="32" spans="1:25">
      <c r="A32" s="90">
        <v>31</v>
      </c>
      <c r="B32" s="68">
        <v>45743</v>
      </c>
      <c r="C32" s="40">
        <v>4</v>
      </c>
      <c r="D32" s="40">
        <f t="shared" si="0"/>
        <v>1</v>
      </c>
      <c r="E32" s="41" t="s">
        <v>92</v>
      </c>
      <c r="F32" s="17" t="s">
        <v>58</v>
      </c>
      <c r="G32" s="17" t="s">
        <v>86</v>
      </c>
      <c r="H32" s="42" t="s">
        <v>268</v>
      </c>
      <c r="I32" s="17" t="str">
        <f t="shared" si="1"/>
        <v>PN-31</v>
      </c>
      <c r="J32" s="18" t="s">
        <v>85</v>
      </c>
      <c r="K32" s="19" t="e">
        <f>IF(J32="","SEM #CH",VLOOKUP(J32,#REF!,2,0))</f>
        <v>#REF!</v>
      </c>
      <c r="L32" s="19" t="e">
        <f>IF(J32="","SEM #CH",VLOOKUP(J32,#REF!,3,0))</f>
        <v>#REF!</v>
      </c>
      <c r="M32" s="19" t="e">
        <f>IF(J32="","SEM #CH",VLOOKUP(J32,#REF!,4,0))</f>
        <v>#REF!</v>
      </c>
      <c r="N32" s="19" t="e">
        <f>IF(J32="","SEM #CH",VLOOKUP(J32,#REF!,5,0))</f>
        <v>#REF!</v>
      </c>
      <c r="O32" s="19" t="e">
        <f>IF(J32="","SEM #CH",VLOOKUP(J32,#REF!,6,0))</f>
        <v>#REF!</v>
      </c>
      <c r="P32" s="19" t="e">
        <f>IF(J32="","SEM #CH",VLOOKUP(J32,#REF!,7,0))</f>
        <v>#REF!</v>
      </c>
      <c r="Q32" s="77" t="str">
        <f>VLOOKUP(J32,'p1'!$B$2:$C$30,2,0)</f>
        <v>NÃO TEM CHAPA</v>
      </c>
      <c r="R32" s="95">
        <v>45750</v>
      </c>
      <c r="S32" s="91" t="s">
        <v>221</v>
      </c>
      <c r="T32" s="91">
        <f t="shared" si="2"/>
        <v>1</v>
      </c>
      <c r="U32" s="95">
        <v>45814</v>
      </c>
      <c r="V32" s="91" t="s">
        <v>86</v>
      </c>
      <c r="W32" s="93">
        <v>2369</v>
      </c>
      <c r="X32" s="94">
        <f t="shared" si="3"/>
        <v>1</v>
      </c>
      <c r="Y32"/>
    </row>
    <row r="33" spans="1:25">
      <c r="A33" s="90">
        <v>32</v>
      </c>
      <c r="B33" s="68">
        <v>45800</v>
      </c>
      <c r="C33" s="40">
        <v>30</v>
      </c>
      <c r="D33" s="40">
        <f t="shared" si="0"/>
        <v>1</v>
      </c>
      <c r="E33" s="41" t="s">
        <v>92</v>
      </c>
      <c r="F33" s="17" t="s">
        <v>61</v>
      </c>
      <c r="G33" s="17" t="s">
        <v>86</v>
      </c>
      <c r="H33" s="42" t="s">
        <v>269</v>
      </c>
      <c r="I33" s="17" t="str">
        <f t="shared" si="1"/>
        <v>PF-32</v>
      </c>
      <c r="J33" s="18" t="s">
        <v>61</v>
      </c>
      <c r="K33" s="19" t="e">
        <f>IF(J33="","SEM #CH",VLOOKUP(J33,#REF!,2,0))</f>
        <v>#REF!</v>
      </c>
      <c r="L33" s="19" t="e">
        <f>IF(J33="","SEM #CH",VLOOKUP(J33,#REF!,3,0))</f>
        <v>#REF!</v>
      </c>
      <c r="M33" s="19" t="e">
        <f>IF(J33="","SEM #CH",VLOOKUP(J33,#REF!,4,0))</f>
        <v>#REF!</v>
      </c>
      <c r="N33" s="19" t="e">
        <f>IF(J33="","SEM #CH",VLOOKUP(J33,#REF!,5,0))</f>
        <v>#REF!</v>
      </c>
      <c r="O33" s="19" t="e">
        <f>IF(J33="","SEM #CH",VLOOKUP(J33,#REF!,6,0))</f>
        <v>#REF!</v>
      </c>
      <c r="P33" s="19" t="e">
        <f>IF(J33="","SEM #CH",VLOOKUP(J33,#REF!,7,0))</f>
        <v>#REF!</v>
      </c>
      <c r="Q33" s="77" t="str">
        <f>VLOOKUP(J33,'p1'!$B$2:$C$30,2,0)</f>
        <v>SEM CHAPA</v>
      </c>
      <c r="R33" s="95">
        <v>45804</v>
      </c>
      <c r="S33" s="91" t="s">
        <v>221</v>
      </c>
      <c r="T33" s="91">
        <f t="shared" si="2"/>
        <v>1</v>
      </c>
      <c r="U33" s="95">
        <v>45818</v>
      </c>
      <c r="V33" s="91" t="s">
        <v>86</v>
      </c>
      <c r="W33" s="93">
        <v>2375</v>
      </c>
      <c r="X33" s="94">
        <f t="shared" si="3"/>
        <v>1</v>
      </c>
      <c r="Y33"/>
    </row>
    <row r="34" spans="1:25">
      <c r="A34" s="90">
        <v>33</v>
      </c>
      <c r="B34" s="68">
        <v>45743</v>
      </c>
      <c r="C34" s="40">
        <v>4</v>
      </c>
      <c r="D34" s="40">
        <f t="shared" si="0"/>
        <v>1</v>
      </c>
      <c r="E34" s="41" t="s">
        <v>92</v>
      </c>
      <c r="F34" s="17" t="s">
        <v>58</v>
      </c>
      <c r="G34" s="17" t="s">
        <v>86</v>
      </c>
      <c r="H34" s="42" t="s">
        <v>270</v>
      </c>
      <c r="I34" s="17" t="str">
        <f t="shared" si="1"/>
        <v>PN-33</v>
      </c>
      <c r="J34" s="18" t="s">
        <v>85</v>
      </c>
      <c r="K34" s="19" t="e">
        <f>IF(J34="","SEM #CH",VLOOKUP(J34,#REF!,2,0))</f>
        <v>#REF!</v>
      </c>
      <c r="L34" s="19" t="e">
        <f>IF(J34="","SEM #CH",VLOOKUP(J34,#REF!,3,0))</f>
        <v>#REF!</v>
      </c>
      <c r="M34" s="19" t="e">
        <f>IF(J34="","SEM #CH",VLOOKUP(J34,#REF!,4,0))</f>
        <v>#REF!</v>
      </c>
      <c r="N34" s="19" t="e">
        <f>IF(J34="","SEM #CH",VLOOKUP(J34,#REF!,5,0))</f>
        <v>#REF!</v>
      </c>
      <c r="O34" s="19" t="e">
        <f>IF(J34="","SEM #CH",VLOOKUP(J34,#REF!,6,0))</f>
        <v>#REF!</v>
      </c>
      <c r="P34" s="19" t="e">
        <f>IF(J34="","SEM #CH",VLOOKUP(J34,#REF!,7,0))</f>
        <v>#REF!</v>
      </c>
      <c r="Q34" s="77" t="str">
        <f>VLOOKUP(J34,'p1'!$B$2:$C$30,2,0)</f>
        <v>NÃO TEM CHAPA</v>
      </c>
      <c r="R34" s="95">
        <v>45748</v>
      </c>
      <c r="S34" s="91" t="s">
        <v>221</v>
      </c>
      <c r="T34" s="91">
        <f t="shared" si="2"/>
        <v>1</v>
      </c>
      <c r="U34" s="95">
        <v>45814</v>
      </c>
      <c r="V34" s="91" t="s">
        <v>997</v>
      </c>
      <c r="W34" s="93">
        <v>2367</v>
      </c>
      <c r="X34" s="94">
        <f t="shared" si="3"/>
        <v>1</v>
      </c>
      <c r="Y34"/>
    </row>
    <row r="35" spans="1:25">
      <c r="A35" s="90">
        <v>34</v>
      </c>
      <c r="B35" s="68">
        <v>45743</v>
      </c>
      <c r="C35" s="40">
        <v>4</v>
      </c>
      <c r="D35" s="40">
        <f t="shared" si="0"/>
        <v>1</v>
      </c>
      <c r="E35" s="41" t="s">
        <v>92</v>
      </c>
      <c r="F35" s="17" t="s">
        <v>58</v>
      </c>
      <c r="G35" s="17" t="s">
        <v>86</v>
      </c>
      <c r="H35" s="42" t="s">
        <v>271</v>
      </c>
      <c r="I35" s="17" t="str">
        <f t="shared" si="1"/>
        <v>PN-34</v>
      </c>
      <c r="J35" s="18" t="s">
        <v>85</v>
      </c>
      <c r="K35" s="19" t="e">
        <f>IF(J35="","SEM #CH",VLOOKUP(J35,#REF!,2,0))</f>
        <v>#REF!</v>
      </c>
      <c r="L35" s="19" t="e">
        <f>IF(J35="","SEM #CH",VLOOKUP(J35,#REF!,3,0))</f>
        <v>#REF!</v>
      </c>
      <c r="M35" s="19" t="e">
        <f>IF(J35="","SEM #CH",VLOOKUP(J35,#REF!,4,0))</f>
        <v>#REF!</v>
      </c>
      <c r="N35" s="19" t="e">
        <f>IF(J35="","SEM #CH",VLOOKUP(J35,#REF!,5,0))</f>
        <v>#REF!</v>
      </c>
      <c r="O35" s="19" t="e">
        <f>IF(J35="","SEM #CH",VLOOKUP(J35,#REF!,6,0))</f>
        <v>#REF!</v>
      </c>
      <c r="P35" s="19" t="e">
        <f>IF(J35="","SEM #CH",VLOOKUP(J35,#REF!,7,0))</f>
        <v>#REF!</v>
      </c>
      <c r="Q35" s="77" t="str">
        <f>VLOOKUP(J35,'p1'!$B$2:$C$30,2,0)</f>
        <v>NÃO TEM CHAPA</v>
      </c>
      <c r="R35" s="95">
        <v>45748</v>
      </c>
      <c r="S35" s="91" t="s">
        <v>221</v>
      </c>
      <c r="T35" s="91">
        <f t="shared" si="2"/>
        <v>1</v>
      </c>
      <c r="U35" s="95">
        <v>45814</v>
      </c>
      <c r="V35" s="91" t="s">
        <v>997</v>
      </c>
      <c r="W35" s="93">
        <v>2367</v>
      </c>
      <c r="X35" s="94">
        <f t="shared" si="3"/>
        <v>1</v>
      </c>
      <c r="Y35"/>
    </row>
    <row r="36" spans="1:25">
      <c r="A36" s="90">
        <v>35</v>
      </c>
      <c r="B36" s="68">
        <v>45744</v>
      </c>
      <c r="C36" s="40">
        <v>5</v>
      </c>
      <c r="D36" s="40">
        <f t="shared" si="0"/>
        <v>1</v>
      </c>
      <c r="E36" s="41" t="s">
        <v>92</v>
      </c>
      <c r="F36" s="17" t="s">
        <v>58</v>
      </c>
      <c r="G36" s="17" t="s">
        <v>86</v>
      </c>
      <c r="H36" s="42" t="s">
        <v>272</v>
      </c>
      <c r="I36" s="17" t="str">
        <f t="shared" si="1"/>
        <v>PN-35</v>
      </c>
      <c r="J36" s="18" t="s">
        <v>85</v>
      </c>
      <c r="K36" s="19" t="e">
        <f>IF(J36="","SEM #CH",VLOOKUP(J36,#REF!,2,0))</f>
        <v>#REF!</v>
      </c>
      <c r="L36" s="19" t="e">
        <f>IF(J36="","SEM #CH",VLOOKUP(J36,#REF!,3,0))</f>
        <v>#REF!</v>
      </c>
      <c r="M36" s="19" t="e">
        <f>IF(J36="","SEM #CH",VLOOKUP(J36,#REF!,4,0))</f>
        <v>#REF!</v>
      </c>
      <c r="N36" s="19" t="e">
        <f>IF(J36="","SEM #CH",VLOOKUP(J36,#REF!,5,0))</f>
        <v>#REF!</v>
      </c>
      <c r="O36" s="19" t="e">
        <f>IF(J36="","SEM #CH",VLOOKUP(J36,#REF!,6,0))</f>
        <v>#REF!</v>
      </c>
      <c r="P36" s="19" t="e">
        <f>IF(J36="","SEM #CH",VLOOKUP(J36,#REF!,7,0))</f>
        <v>#REF!</v>
      </c>
      <c r="Q36" s="77" t="str">
        <f>VLOOKUP(J36,'p1'!$B$2:$C$30,2,0)</f>
        <v>NÃO TEM CHAPA</v>
      </c>
      <c r="R36" s="95">
        <v>45752</v>
      </c>
      <c r="S36" s="91" t="s">
        <v>222</v>
      </c>
      <c r="T36" s="91">
        <f t="shared" si="2"/>
        <v>1</v>
      </c>
      <c r="U36" s="95">
        <v>45828</v>
      </c>
      <c r="V36" s="91" t="s">
        <v>86</v>
      </c>
      <c r="W36" s="93">
        <v>2398</v>
      </c>
      <c r="X36" s="94">
        <f t="shared" si="3"/>
        <v>1</v>
      </c>
      <c r="Y36"/>
    </row>
    <row r="37" spans="1:25">
      <c r="A37" s="90">
        <v>36</v>
      </c>
      <c r="B37" s="68">
        <v>45744</v>
      </c>
      <c r="C37" s="40">
        <v>5</v>
      </c>
      <c r="D37" s="40">
        <f t="shared" si="0"/>
        <v>1</v>
      </c>
      <c r="E37" s="41" t="s">
        <v>92</v>
      </c>
      <c r="F37" s="17" t="s">
        <v>58</v>
      </c>
      <c r="G37" s="17" t="s">
        <v>86</v>
      </c>
      <c r="H37" s="42" t="s">
        <v>273</v>
      </c>
      <c r="I37" s="17" t="str">
        <f t="shared" si="1"/>
        <v>PN-36</v>
      </c>
      <c r="J37" s="18" t="s">
        <v>85</v>
      </c>
      <c r="K37" s="19" t="e">
        <f>IF(J37="","SEM #CH",VLOOKUP(J37,#REF!,2,0))</f>
        <v>#REF!</v>
      </c>
      <c r="L37" s="19" t="e">
        <f>IF(J37="","SEM #CH",VLOOKUP(J37,#REF!,3,0))</f>
        <v>#REF!</v>
      </c>
      <c r="M37" s="19" t="e">
        <f>IF(J37="","SEM #CH",VLOOKUP(J37,#REF!,4,0))</f>
        <v>#REF!</v>
      </c>
      <c r="N37" s="19" t="e">
        <f>IF(J37="","SEM #CH",VLOOKUP(J37,#REF!,5,0))</f>
        <v>#REF!</v>
      </c>
      <c r="O37" s="19" t="e">
        <f>IF(J37="","SEM #CH",VLOOKUP(J37,#REF!,6,0))</f>
        <v>#REF!</v>
      </c>
      <c r="P37" s="19" t="e">
        <f>IF(J37="","SEM #CH",VLOOKUP(J37,#REF!,7,0))</f>
        <v>#REF!</v>
      </c>
      <c r="Q37" s="77" t="str">
        <f>VLOOKUP(J37,'p1'!$B$2:$C$30,2,0)</f>
        <v>NÃO TEM CHAPA</v>
      </c>
      <c r="R37" s="95">
        <v>45752</v>
      </c>
      <c r="S37" s="91" t="s">
        <v>222</v>
      </c>
      <c r="T37" s="91">
        <f t="shared" si="2"/>
        <v>1</v>
      </c>
      <c r="U37" s="95">
        <v>45821</v>
      </c>
      <c r="V37" s="91" t="s">
        <v>86</v>
      </c>
      <c r="W37" s="93">
        <v>2384</v>
      </c>
      <c r="X37" s="94">
        <f t="shared" si="3"/>
        <v>1</v>
      </c>
      <c r="Y37"/>
    </row>
    <row r="38" spans="1:25">
      <c r="A38" s="90">
        <v>37</v>
      </c>
      <c r="B38" s="68">
        <v>45744</v>
      </c>
      <c r="C38" s="40">
        <v>5</v>
      </c>
      <c r="D38" s="40">
        <f t="shared" si="0"/>
        <v>1</v>
      </c>
      <c r="E38" s="41" t="s">
        <v>92</v>
      </c>
      <c r="F38" s="17" t="s">
        <v>58</v>
      </c>
      <c r="G38" s="17" t="s">
        <v>86</v>
      </c>
      <c r="H38" s="42" t="s">
        <v>274</v>
      </c>
      <c r="I38" s="17" t="str">
        <f t="shared" si="1"/>
        <v>PN-37</v>
      </c>
      <c r="J38" s="18" t="s">
        <v>85</v>
      </c>
      <c r="K38" s="19" t="e">
        <f>IF(J38="","SEM #CH",VLOOKUP(J38,#REF!,2,0))</f>
        <v>#REF!</v>
      </c>
      <c r="L38" s="19" t="e">
        <f>IF(J38="","SEM #CH",VLOOKUP(J38,#REF!,3,0))</f>
        <v>#REF!</v>
      </c>
      <c r="M38" s="19" t="e">
        <f>IF(J38="","SEM #CH",VLOOKUP(J38,#REF!,4,0))</f>
        <v>#REF!</v>
      </c>
      <c r="N38" s="19" t="e">
        <f>IF(J38="","SEM #CH",VLOOKUP(J38,#REF!,5,0))</f>
        <v>#REF!</v>
      </c>
      <c r="O38" s="19" t="e">
        <f>IF(J38="","SEM #CH",VLOOKUP(J38,#REF!,6,0))</f>
        <v>#REF!</v>
      </c>
      <c r="P38" s="19" t="e">
        <f>IF(J38="","SEM #CH",VLOOKUP(J38,#REF!,7,0))</f>
        <v>#REF!</v>
      </c>
      <c r="Q38" s="77" t="str">
        <f>VLOOKUP(J38,'p1'!$B$2:$C$30,2,0)</f>
        <v>NÃO TEM CHAPA</v>
      </c>
      <c r="R38" s="95">
        <v>45754</v>
      </c>
      <c r="S38" s="91" t="s">
        <v>222</v>
      </c>
      <c r="T38" s="91">
        <f t="shared" si="2"/>
        <v>1</v>
      </c>
      <c r="U38" s="95">
        <v>45820</v>
      </c>
      <c r="V38" s="91" t="s">
        <v>86</v>
      </c>
      <c r="W38" s="93">
        <v>2382</v>
      </c>
      <c r="X38" s="94">
        <f t="shared" si="3"/>
        <v>1</v>
      </c>
      <c r="Y38"/>
    </row>
    <row r="39" spans="1:25">
      <c r="A39" s="90">
        <v>38</v>
      </c>
      <c r="B39" s="68">
        <v>45744</v>
      </c>
      <c r="C39" s="40">
        <v>5</v>
      </c>
      <c r="D39" s="40">
        <f t="shared" si="0"/>
        <v>1</v>
      </c>
      <c r="E39" s="41" t="s">
        <v>92</v>
      </c>
      <c r="F39" s="17" t="s">
        <v>58</v>
      </c>
      <c r="G39" s="17" t="s">
        <v>86</v>
      </c>
      <c r="H39" s="42" t="s">
        <v>275</v>
      </c>
      <c r="I39" s="17" t="str">
        <f t="shared" si="1"/>
        <v>PN-38</v>
      </c>
      <c r="J39" s="18" t="s">
        <v>85</v>
      </c>
      <c r="K39" s="19" t="e">
        <f>IF(J39="","SEM #CH",VLOOKUP(J39,#REF!,2,0))</f>
        <v>#REF!</v>
      </c>
      <c r="L39" s="19" t="e">
        <f>IF(J39="","SEM #CH",VLOOKUP(J39,#REF!,3,0))</f>
        <v>#REF!</v>
      </c>
      <c r="M39" s="19" t="e">
        <f>IF(J39="","SEM #CH",VLOOKUP(J39,#REF!,4,0))</f>
        <v>#REF!</v>
      </c>
      <c r="N39" s="19" t="e">
        <f>IF(J39="","SEM #CH",VLOOKUP(J39,#REF!,5,0))</f>
        <v>#REF!</v>
      </c>
      <c r="O39" s="19" t="e">
        <f>IF(J39="","SEM #CH",VLOOKUP(J39,#REF!,6,0))</f>
        <v>#REF!</v>
      </c>
      <c r="P39" s="19" t="e">
        <f>IF(J39="","SEM #CH",VLOOKUP(J39,#REF!,7,0))</f>
        <v>#REF!</v>
      </c>
      <c r="Q39" s="77" t="str">
        <f>VLOOKUP(J39,'p1'!$B$2:$C$30,2,0)</f>
        <v>NÃO TEM CHAPA</v>
      </c>
      <c r="R39" s="95">
        <v>45754</v>
      </c>
      <c r="S39" s="91" t="s">
        <v>222</v>
      </c>
      <c r="T39" s="91">
        <f t="shared" si="2"/>
        <v>1</v>
      </c>
      <c r="U39" s="95">
        <v>45821</v>
      </c>
      <c r="V39" s="91" t="s">
        <v>86</v>
      </c>
      <c r="W39" s="93">
        <v>2384</v>
      </c>
      <c r="X39" s="94">
        <f t="shared" si="3"/>
        <v>1</v>
      </c>
      <c r="Y39"/>
    </row>
    <row r="40" spans="1:25">
      <c r="A40" s="90">
        <v>39</v>
      </c>
      <c r="B40" s="68">
        <v>45806</v>
      </c>
      <c r="C40" s="40">
        <v>31</v>
      </c>
      <c r="D40" s="40">
        <f t="shared" si="0"/>
        <v>1</v>
      </c>
      <c r="E40" s="41" t="s">
        <v>92</v>
      </c>
      <c r="F40" s="17" t="s">
        <v>60</v>
      </c>
      <c r="G40" s="17" t="s">
        <v>86</v>
      </c>
      <c r="H40" s="42" t="s">
        <v>276</v>
      </c>
      <c r="I40" s="17" t="str">
        <f t="shared" si="1"/>
        <v>PE-39</v>
      </c>
      <c r="J40" s="18" t="s">
        <v>88</v>
      </c>
      <c r="K40" s="19" t="e">
        <f>IF(J40="","SEM #CH",VLOOKUP(J40,#REF!,2,0))</f>
        <v>#REF!</v>
      </c>
      <c r="L40" s="19" t="e">
        <f>IF(J40="","SEM #CH",VLOOKUP(J40,#REF!,3,0))</f>
        <v>#REF!</v>
      </c>
      <c r="M40" s="19" t="e">
        <f>IF(J40="","SEM #CH",VLOOKUP(J40,#REF!,4,0))</f>
        <v>#REF!</v>
      </c>
      <c r="N40" s="19" t="e">
        <f>IF(J40="","SEM #CH",VLOOKUP(J40,#REF!,5,0))</f>
        <v>#REF!</v>
      </c>
      <c r="O40" s="19" t="e">
        <f>IF(J40="","SEM #CH",VLOOKUP(J40,#REF!,6,0))</f>
        <v>#REF!</v>
      </c>
      <c r="P40" s="19" t="e">
        <f>IF(J40="","SEM #CH",VLOOKUP(J40,#REF!,7,0))</f>
        <v>#REF!</v>
      </c>
      <c r="Q40" s="77" t="str">
        <f>VLOOKUP(J40,'p1'!$B$2:$C$30,2,0)</f>
        <v>#3/8-1315X1315</v>
      </c>
      <c r="R40" s="95">
        <v>45812</v>
      </c>
      <c r="S40" s="91" t="s">
        <v>221</v>
      </c>
      <c r="T40" s="91">
        <f t="shared" si="2"/>
        <v>1</v>
      </c>
      <c r="U40" s="95">
        <v>45814</v>
      </c>
      <c r="V40" s="91" t="s">
        <v>86</v>
      </c>
      <c r="W40" s="93">
        <v>2369</v>
      </c>
      <c r="X40" s="94">
        <f t="shared" si="3"/>
        <v>1</v>
      </c>
      <c r="Y40"/>
    </row>
    <row r="41" spans="1:25">
      <c r="A41" s="90">
        <v>40</v>
      </c>
      <c r="B41" s="68">
        <v>45744</v>
      </c>
      <c r="C41" s="40">
        <v>5</v>
      </c>
      <c r="D41" s="40">
        <f t="shared" si="0"/>
        <v>1</v>
      </c>
      <c r="E41" s="41" t="s">
        <v>92</v>
      </c>
      <c r="F41" s="17" t="s">
        <v>58</v>
      </c>
      <c r="G41" s="17" t="s">
        <v>86</v>
      </c>
      <c r="H41" s="42" t="s">
        <v>277</v>
      </c>
      <c r="I41" s="17" t="str">
        <f t="shared" si="1"/>
        <v>PN-40</v>
      </c>
      <c r="J41" s="18" t="s">
        <v>85</v>
      </c>
      <c r="K41" s="19" t="e">
        <f>IF(J41="","SEM #CH",VLOOKUP(J41,#REF!,2,0))</f>
        <v>#REF!</v>
      </c>
      <c r="L41" s="19" t="e">
        <f>IF(J41="","SEM #CH",VLOOKUP(J41,#REF!,3,0))</f>
        <v>#REF!</v>
      </c>
      <c r="M41" s="19" t="e">
        <f>IF(J41="","SEM #CH",VLOOKUP(J41,#REF!,4,0))</f>
        <v>#REF!</v>
      </c>
      <c r="N41" s="19" t="e">
        <f>IF(J41="","SEM #CH",VLOOKUP(J41,#REF!,5,0))</f>
        <v>#REF!</v>
      </c>
      <c r="O41" s="19" t="e">
        <f>IF(J41="","SEM #CH",VLOOKUP(J41,#REF!,6,0))</f>
        <v>#REF!</v>
      </c>
      <c r="P41" s="19" t="e">
        <f>IF(J41="","SEM #CH",VLOOKUP(J41,#REF!,7,0))</f>
        <v>#REF!</v>
      </c>
      <c r="Q41" s="77" t="str">
        <f>VLOOKUP(J41,'p1'!$B$2:$C$30,2,0)</f>
        <v>NÃO TEM CHAPA</v>
      </c>
      <c r="R41" s="95">
        <v>45758</v>
      </c>
      <c r="S41" s="91" t="s">
        <v>222</v>
      </c>
      <c r="T41" s="91">
        <f t="shared" si="2"/>
        <v>1</v>
      </c>
      <c r="U41" s="91"/>
      <c r="V41" s="91"/>
      <c r="W41" s="93"/>
      <c r="X41" s="94" t="str">
        <f t="shared" si="3"/>
        <v/>
      </c>
      <c r="Y41"/>
    </row>
    <row r="42" spans="1:25">
      <c r="A42" s="90">
        <v>41</v>
      </c>
      <c r="B42" s="68">
        <v>45744</v>
      </c>
      <c r="C42" s="40">
        <v>5</v>
      </c>
      <c r="D42" s="40">
        <f t="shared" si="0"/>
        <v>1</v>
      </c>
      <c r="E42" s="41" t="s">
        <v>92</v>
      </c>
      <c r="F42" s="17" t="s">
        <v>58</v>
      </c>
      <c r="G42" s="17" t="s">
        <v>86</v>
      </c>
      <c r="H42" s="42" t="s">
        <v>278</v>
      </c>
      <c r="I42" s="17" t="str">
        <f t="shared" si="1"/>
        <v>PN-41</v>
      </c>
      <c r="J42" s="18" t="s">
        <v>85</v>
      </c>
      <c r="K42" s="19" t="e">
        <f>IF(J42="","SEM #CH",VLOOKUP(J42,#REF!,2,0))</f>
        <v>#REF!</v>
      </c>
      <c r="L42" s="19" t="e">
        <f>IF(J42="","SEM #CH",VLOOKUP(J42,#REF!,3,0))</f>
        <v>#REF!</v>
      </c>
      <c r="M42" s="19" t="e">
        <f>IF(J42="","SEM #CH",VLOOKUP(J42,#REF!,4,0))</f>
        <v>#REF!</v>
      </c>
      <c r="N42" s="19" t="e">
        <f>IF(J42="","SEM #CH",VLOOKUP(J42,#REF!,5,0))</f>
        <v>#REF!</v>
      </c>
      <c r="O42" s="19" t="e">
        <f>IF(J42="","SEM #CH",VLOOKUP(J42,#REF!,6,0))</f>
        <v>#REF!</v>
      </c>
      <c r="P42" s="19" t="e">
        <f>IF(J42="","SEM #CH",VLOOKUP(J42,#REF!,7,0))</f>
        <v>#REF!</v>
      </c>
      <c r="Q42" s="77" t="str">
        <f>VLOOKUP(J42,'p1'!$B$2:$C$30,2,0)</f>
        <v>NÃO TEM CHAPA</v>
      </c>
      <c r="R42" s="95">
        <v>45756</v>
      </c>
      <c r="S42" s="91" t="s">
        <v>222</v>
      </c>
      <c r="T42" s="91">
        <f t="shared" si="2"/>
        <v>1</v>
      </c>
      <c r="U42" s="95">
        <v>45820</v>
      </c>
      <c r="V42" s="91" t="s">
        <v>86</v>
      </c>
      <c r="W42" s="93">
        <v>2382</v>
      </c>
      <c r="X42" s="94">
        <f t="shared" si="3"/>
        <v>1</v>
      </c>
      <c r="Y42"/>
    </row>
    <row r="43" spans="1:25">
      <c r="A43" s="90">
        <v>42</v>
      </c>
      <c r="B43" s="68">
        <v>45744</v>
      </c>
      <c r="C43" s="40">
        <v>5</v>
      </c>
      <c r="D43" s="40">
        <f t="shared" si="0"/>
        <v>1</v>
      </c>
      <c r="E43" s="41" t="s">
        <v>92</v>
      </c>
      <c r="F43" s="17" t="s">
        <v>58</v>
      </c>
      <c r="G43" s="17" t="s">
        <v>86</v>
      </c>
      <c r="H43" s="42" t="s">
        <v>279</v>
      </c>
      <c r="I43" s="17" t="str">
        <f t="shared" si="1"/>
        <v>PN-42</v>
      </c>
      <c r="J43" s="18" t="s">
        <v>85</v>
      </c>
      <c r="K43" s="19" t="e">
        <f>IF(J43="","SEM #CH",VLOOKUP(J43,#REF!,2,0))</f>
        <v>#REF!</v>
      </c>
      <c r="L43" s="19" t="e">
        <f>IF(J43="","SEM #CH",VLOOKUP(J43,#REF!,3,0))</f>
        <v>#REF!</v>
      </c>
      <c r="M43" s="19" t="e">
        <f>IF(J43="","SEM #CH",VLOOKUP(J43,#REF!,4,0))</f>
        <v>#REF!</v>
      </c>
      <c r="N43" s="19" t="e">
        <f>IF(J43="","SEM #CH",VLOOKUP(J43,#REF!,5,0))</f>
        <v>#REF!</v>
      </c>
      <c r="O43" s="19" t="e">
        <f>IF(J43="","SEM #CH",VLOOKUP(J43,#REF!,6,0))</f>
        <v>#REF!</v>
      </c>
      <c r="P43" s="19" t="e">
        <f>IF(J43="","SEM #CH",VLOOKUP(J43,#REF!,7,0))</f>
        <v>#REF!</v>
      </c>
      <c r="Q43" s="77" t="str">
        <f>VLOOKUP(J43,'p1'!$B$2:$C$30,2,0)</f>
        <v>NÃO TEM CHAPA</v>
      </c>
      <c r="R43" s="95">
        <v>45797</v>
      </c>
      <c r="S43" s="91" t="s">
        <v>222</v>
      </c>
      <c r="T43" s="91">
        <f t="shared" si="2"/>
        <v>1</v>
      </c>
      <c r="U43" s="95">
        <v>45833</v>
      </c>
      <c r="V43" s="91" t="s">
        <v>86</v>
      </c>
      <c r="W43" s="93">
        <v>2414</v>
      </c>
      <c r="X43" s="94">
        <f t="shared" si="3"/>
        <v>1</v>
      </c>
      <c r="Y43"/>
    </row>
    <row r="44" spans="1:25">
      <c r="A44" s="90">
        <v>43</v>
      </c>
      <c r="B44" s="68">
        <v>45747</v>
      </c>
      <c r="C44" s="40">
        <v>6</v>
      </c>
      <c r="D44" s="40">
        <f t="shared" si="0"/>
        <v>1</v>
      </c>
      <c r="E44" s="41" t="s">
        <v>92</v>
      </c>
      <c r="F44" s="17" t="s">
        <v>58</v>
      </c>
      <c r="G44" s="17" t="s">
        <v>86</v>
      </c>
      <c r="H44" s="42" t="s">
        <v>280</v>
      </c>
      <c r="I44" s="17" t="str">
        <f t="shared" si="1"/>
        <v>PN-43</v>
      </c>
      <c r="J44" s="18" t="s">
        <v>85</v>
      </c>
      <c r="K44" s="19" t="e">
        <f>IF(J44="","SEM #CH",VLOOKUP(J44,#REF!,2,0))</f>
        <v>#REF!</v>
      </c>
      <c r="L44" s="19" t="e">
        <f>IF(J44="","SEM #CH",VLOOKUP(J44,#REF!,3,0))</f>
        <v>#REF!</v>
      </c>
      <c r="M44" s="19" t="e">
        <f>IF(J44="","SEM #CH",VLOOKUP(J44,#REF!,4,0))</f>
        <v>#REF!</v>
      </c>
      <c r="N44" s="19" t="e">
        <f>IF(J44="","SEM #CH",VLOOKUP(J44,#REF!,5,0))</f>
        <v>#REF!</v>
      </c>
      <c r="O44" s="19" t="e">
        <f>IF(J44="","SEM #CH",VLOOKUP(J44,#REF!,6,0))</f>
        <v>#REF!</v>
      </c>
      <c r="P44" s="19" t="e">
        <f>IF(J44="","SEM #CH",VLOOKUP(J44,#REF!,7,0))</f>
        <v>#REF!</v>
      </c>
      <c r="Q44" s="77" t="str">
        <f>VLOOKUP(J44,'p1'!$B$2:$C$30,2,0)</f>
        <v>NÃO TEM CHAPA</v>
      </c>
      <c r="R44" s="91"/>
      <c r="S44" s="91" t="s">
        <v>221</v>
      </c>
      <c r="T44" s="91" t="str">
        <f t="shared" si="2"/>
        <v/>
      </c>
      <c r="U44" s="91"/>
      <c r="V44" s="91"/>
      <c r="W44" s="93"/>
      <c r="X44" s="94" t="str">
        <f t="shared" si="3"/>
        <v/>
      </c>
      <c r="Y44"/>
    </row>
    <row r="45" spans="1:25">
      <c r="A45" s="90">
        <v>44</v>
      </c>
      <c r="B45" s="68">
        <v>45747</v>
      </c>
      <c r="C45" s="40">
        <v>6</v>
      </c>
      <c r="D45" s="40">
        <f t="shared" si="0"/>
        <v>1</v>
      </c>
      <c r="E45" s="41" t="s">
        <v>92</v>
      </c>
      <c r="F45" s="17" t="s">
        <v>58</v>
      </c>
      <c r="G45" s="17" t="s">
        <v>86</v>
      </c>
      <c r="H45" s="42" t="s">
        <v>281</v>
      </c>
      <c r="I45" s="17" t="str">
        <f t="shared" si="1"/>
        <v>PN-44</v>
      </c>
      <c r="J45" s="18" t="s">
        <v>85</v>
      </c>
      <c r="K45" s="19" t="e">
        <f>IF(J45="","SEM #CH",VLOOKUP(J45,#REF!,2,0))</f>
        <v>#REF!</v>
      </c>
      <c r="L45" s="19" t="e">
        <f>IF(J45="","SEM #CH",VLOOKUP(J45,#REF!,3,0))</f>
        <v>#REF!</v>
      </c>
      <c r="M45" s="19" t="e">
        <f>IF(J45="","SEM #CH",VLOOKUP(J45,#REF!,4,0))</f>
        <v>#REF!</v>
      </c>
      <c r="N45" s="19" t="e">
        <f>IF(J45="","SEM #CH",VLOOKUP(J45,#REF!,5,0))</f>
        <v>#REF!</v>
      </c>
      <c r="O45" s="19" t="e">
        <f>IF(J45="","SEM #CH",VLOOKUP(J45,#REF!,6,0))</f>
        <v>#REF!</v>
      </c>
      <c r="P45" s="19" t="e">
        <f>IF(J45="","SEM #CH",VLOOKUP(J45,#REF!,7,0))</f>
        <v>#REF!</v>
      </c>
      <c r="Q45" s="77" t="str">
        <f>VLOOKUP(J45,'p1'!$B$2:$C$30,2,0)</f>
        <v>NÃO TEM CHAPA</v>
      </c>
      <c r="R45" s="91"/>
      <c r="S45" s="91" t="s">
        <v>221</v>
      </c>
      <c r="T45" s="91" t="str">
        <f t="shared" si="2"/>
        <v/>
      </c>
      <c r="U45" s="91"/>
      <c r="V45" s="91"/>
      <c r="W45" s="93"/>
      <c r="X45" s="94" t="str">
        <f t="shared" si="3"/>
        <v/>
      </c>
      <c r="Y45"/>
    </row>
    <row r="46" spans="1:25">
      <c r="A46" s="90">
        <v>45</v>
      </c>
      <c r="B46" s="68">
        <v>45747</v>
      </c>
      <c r="C46" s="40">
        <v>6</v>
      </c>
      <c r="D46" s="40">
        <f t="shared" si="0"/>
        <v>1</v>
      </c>
      <c r="E46" s="41" t="s">
        <v>92</v>
      </c>
      <c r="F46" s="17" t="s">
        <v>58</v>
      </c>
      <c r="G46" s="17" t="s">
        <v>86</v>
      </c>
      <c r="H46" s="42" t="s">
        <v>282</v>
      </c>
      <c r="I46" s="17" t="str">
        <f t="shared" si="1"/>
        <v>PN-45</v>
      </c>
      <c r="J46" s="18" t="s">
        <v>85</v>
      </c>
      <c r="K46" s="19" t="e">
        <f>IF(J46="","SEM #CH",VLOOKUP(J46,#REF!,2,0))</f>
        <v>#REF!</v>
      </c>
      <c r="L46" s="19" t="e">
        <f>IF(J46="","SEM #CH",VLOOKUP(J46,#REF!,3,0))</f>
        <v>#REF!</v>
      </c>
      <c r="M46" s="19" t="e">
        <f>IF(J46="","SEM #CH",VLOOKUP(J46,#REF!,4,0))</f>
        <v>#REF!</v>
      </c>
      <c r="N46" s="19" t="e">
        <f>IF(J46="","SEM #CH",VLOOKUP(J46,#REF!,5,0))</f>
        <v>#REF!</v>
      </c>
      <c r="O46" s="19" t="e">
        <f>IF(J46="","SEM #CH",VLOOKUP(J46,#REF!,6,0))</f>
        <v>#REF!</v>
      </c>
      <c r="P46" s="19" t="e">
        <f>IF(J46="","SEM #CH",VLOOKUP(J46,#REF!,7,0))</f>
        <v>#REF!</v>
      </c>
      <c r="Q46" s="77" t="str">
        <f>VLOOKUP(J46,'p1'!$B$2:$C$30,2,0)</f>
        <v>NÃO TEM CHAPA</v>
      </c>
      <c r="R46" s="91"/>
      <c r="S46" s="91" t="s">
        <v>221</v>
      </c>
      <c r="T46" s="91" t="str">
        <f t="shared" si="2"/>
        <v/>
      </c>
      <c r="U46" s="91"/>
      <c r="V46" s="91"/>
      <c r="W46" s="93"/>
      <c r="X46" s="94" t="str">
        <f t="shared" si="3"/>
        <v/>
      </c>
      <c r="Y46"/>
    </row>
    <row r="47" spans="1:25">
      <c r="A47" s="90">
        <v>46</v>
      </c>
      <c r="B47" s="68">
        <v>45747</v>
      </c>
      <c r="C47" s="40">
        <v>6</v>
      </c>
      <c r="D47" s="40">
        <f t="shared" si="0"/>
        <v>1</v>
      </c>
      <c r="E47" s="41" t="s">
        <v>92</v>
      </c>
      <c r="F47" s="17" t="s">
        <v>58</v>
      </c>
      <c r="G47" s="17" t="s">
        <v>86</v>
      </c>
      <c r="H47" s="42" t="s">
        <v>283</v>
      </c>
      <c r="I47" s="17" t="str">
        <f t="shared" si="1"/>
        <v>PN-46</v>
      </c>
      <c r="J47" s="18" t="s">
        <v>85</v>
      </c>
      <c r="K47" s="19" t="e">
        <f>IF(J47="","SEM #CH",VLOOKUP(J47,#REF!,2,0))</f>
        <v>#REF!</v>
      </c>
      <c r="L47" s="19" t="e">
        <f>IF(J47="","SEM #CH",VLOOKUP(J47,#REF!,3,0))</f>
        <v>#REF!</v>
      </c>
      <c r="M47" s="19" t="e">
        <f>IF(J47="","SEM #CH",VLOOKUP(J47,#REF!,4,0))</f>
        <v>#REF!</v>
      </c>
      <c r="N47" s="19" t="e">
        <f>IF(J47="","SEM #CH",VLOOKUP(J47,#REF!,5,0))</f>
        <v>#REF!</v>
      </c>
      <c r="O47" s="19" t="e">
        <f>IF(J47="","SEM #CH",VLOOKUP(J47,#REF!,6,0))</f>
        <v>#REF!</v>
      </c>
      <c r="P47" s="19" t="e">
        <f>IF(J47="","SEM #CH",VLOOKUP(J47,#REF!,7,0))</f>
        <v>#REF!</v>
      </c>
      <c r="Q47" s="77" t="str">
        <f>VLOOKUP(J47,'p1'!$B$2:$C$30,2,0)</f>
        <v>NÃO TEM CHAPA</v>
      </c>
      <c r="R47" s="95">
        <v>45758</v>
      </c>
      <c r="S47" s="91" t="s">
        <v>221</v>
      </c>
      <c r="T47" s="91">
        <f t="shared" si="2"/>
        <v>1</v>
      </c>
      <c r="U47" s="95">
        <v>45817</v>
      </c>
      <c r="V47" s="91" t="s">
        <v>86</v>
      </c>
      <c r="W47" s="93">
        <v>2370</v>
      </c>
      <c r="X47" s="94">
        <f t="shared" si="3"/>
        <v>1</v>
      </c>
      <c r="Y47"/>
    </row>
    <row r="48" spans="1:25">
      <c r="A48" s="90">
        <v>47</v>
      </c>
      <c r="B48" s="68">
        <v>45747</v>
      </c>
      <c r="C48" s="40">
        <v>6</v>
      </c>
      <c r="D48" s="40">
        <f t="shared" si="0"/>
        <v>1</v>
      </c>
      <c r="E48" s="41" t="s">
        <v>92</v>
      </c>
      <c r="F48" s="17" t="s">
        <v>58</v>
      </c>
      <c r="G48" s="17" t="s">
        <v>86</v>
      </c>
      <c r="H48" s="42" t="s">
        <v>284</v>
      </c>
      <c r="I48" s="17" t="str">
        <f t="shared" si="1"/>
        <v>PN-47</v>
      </c>
      <c r="J48" s="18" t="s">
        <v>85</v>
      </c>
      <c r="K48" s="19" t="e">
        <f>IF(J48="","SEM #CH",VLOOKUP(J48,#REF!,2,0))</f>
        <v>#REF!</v>
      </c>
      <c r="L48" s="19" t="e">
        <f>IF(J48="","SEM #CH",VLOOKUP(J48,#REF!,3,0))</f>
        <v>#REF!</v>
      </c>
      <c r="M48" s="19" t="e">
        <f>IF(J48="","SEM #CH",VLOOKUP(J48,#REF!,4,0))</f>
        <v>#REF!</v>
      </c>
      <c r="N48" s="19" t="e">
        <f>IF(J48="","SEM #CH",VLOOKUP(J48,#REF!,5,0))</f>
        <v>#REF!</v>
      </c>
      <c r="O48" s="19" t="e">
        <f>IF(J48="","SEM #CH",VLOOKUP(J48,#REF!,6,0))</f>
        <v>#REF!</v>
      </c>
      <c r="P48" s="19" t="e">
        <f>IF(J48="","SEM #CH",VLOOKUP(J48,#REF!,7,0))</f>
        <v>#REF!</v>
      </c>
      <c r="Q48" s="77" t="str">
        <f>VLOOKUP(J48,'p1'!$B$2:$C$30,2,0)</f>
        <v>NÃO TEM CHAPA</v>
      </c>
      <c r="R48" s="95">
        <v>45758</v>
      </c>
      <c r="S48" s="91" t="s">
        <v>221</v>
      </c>
      <c r="T48" s="91">
        <f t="shared" si="2"/>
        <v>1</v>
      </c>
      <c r="U48" s="95">
        <v>45818</v>
      </c>
      <c r="V48" s="91" t="s">
        <v>86</v>
      </c>
      <c r="W48" s="93">
        <v>2375</v>
      </c>
      <c r="X48" s="94">
        <f t="shared" si="3"/>
        <v>1</v>
      </c>
      <c r="Y48"/>
    </row>
    <row r="49" spans="1:25">
      <c r="A49" s="90">
        <v>48</v>
      </c>
      <c r="B49" s="68">
        <v>45747</v>
      </c>
      <c r="C49" s="40">
        <v>6</v>
      </c>
      <c r="D49" s="40">
        <f t="shared" si="0"/>
        <v>1</v>
      </c>
      <c r="E49" s="41" t="s">
        <v>92</v>
      </c>
      <c r="F49" s="17" t="s">
        <v>58</v>
      </c>
      <c r="G49" s="17" t="s">
        <v>86</v>
      </c>
      <c r="H49" s="42" t="s">
        <v>285</v>
      </c>
      <c r="I49" s="17" t="str">
        <f t="shared" si="1"/>
        <v>PN-48</v>
      </c>
      <c r="J49" s="18" t="s">
        <v>85</v>
      </c>
      <c r="K49" s="19" t="e">
        <f>IF(J49="","SEM #CH",VLOOKUP(J49,#REF!,2,0))</f>
        <v>#REF!</v>
      </c>
      <c r="L49" s="19" t="e">
        <f>IF(J49="","SEM #CH",VLOOKUP(J49,#REF!,3,0))</f>
        <v>#REF!</v>
      </c>
      <c r="M49" s="19" t="e">
        <f>IF(J49="","SEM #CH",VLOOKUP(J49,#REF!,4,0))</f>
        <v>#REF!</v>
      </c>
      <c r="N49" s="19" t="e">
        <f>IF(J49="","SEM #CH",VLOOKUP(J49,#REF!,5,0))</f>
        <v>#REF!</v>
      </c>
      <c r="O49" s="19" t="e">
        <f>IF(J49="","SEM #CH",VLOOKUP(J49,#REF!,6,0))</f>
        <v>#REF!</v>
      </c>
      <c r="P49" s="19" t="e">
        <f>IF(J49="","SEM #CH",VLOOKUP(J49,#REF!,7,0))</f>
        <v>#REF!</v>
      </c>
      <c r="Q49" s="77" t="str">
        <f>VLOOKUP(J49,'p1'!$B$2:$C$30,2,0)</f>
        <v>NÃO TEM CHAPA</v>
      </c>
      <c r="R49" s="95">
        <v>45756</v>
      </c>
      <c r="S49" s="91" t="s">
        <v>221</v>
      </c>
      <c r="T49" s="91">
        <f t="shared" si="2"/>
        <v>1</v>
      </c>
      <c r="U49" s="95">
        <v>45817</v>
      </c>
      <c r="V49" s="91" t="s">
        <v>86</v>
      </c>
      <c r="W49" s="93">
        <v>2370</v>
      </c>
      <c r="X49" s="94">
        <f t="shared" si="3"/>
        <v>1</v>
      </c>
      <c r="Y49"/>
    </row>
    <row r="50" spans="1:25">
      <c r="A50" s="90">
        <v>49</v>
      </c>
      <c r="B50" s="68">
        <v>45747</v>
      </c>
      <c r="C50" s="40">
        <v>6</v>
      </c>
      <c r="D50" s="40">
        <f t="shared" si="0"/>
        <v>1</v>
      </c>
      <c r="E50" s="41" t="s">
        <v>92</v>
      </c>
      <c r="F50" s="17" t="s">
        <v>58</v>
      </c>
      <c r="G50" s="17" t="s">
        <v>86</v>
      </c>
      <c r="H50" s="42" t="s">
        <v>286</v>
      </c>
      <c r="I50" s="17" t="str">
        <f t="shared" si="1"/>
        <v>PN-49</v>
      </c>
      <c r="J50" s="18" t="s">
        <v>85</v>
      </c>
      <c r="K50" s="19" t="e">
        <f>IF(J50="","SEM #CH",VLOOKUP(J50,#REF!,2,0))</f>
        <v>#REF!</v>
      </c>
      <c r="L50" s="19" t="e">
        <f>IF(J50="","SEM #CH",VLOOKUP(J50,#REF!,3,0))</f>
        <v>#REF!</v>
      </c>
      <c r="M50" s="19" t="e">
        <f>IF(J50="","SEM #CH",VLOOKUP(J50,#REF!,4,0))</f>
        <v>#REF!</v>
      </c>
      <c r="N50" s="19" t="e">
        <f>IF(J50="","SEM #CH",VLOOKUP(J50,#REF!,5,0))</f>
        <v>#REF!</v>
      </c>
      <c r="O50" s="19" t="e">
        <f>IF(J50="","SEM #CH",VLOOKUP(J50,#REF!,6,0))</f>
        <v>#REF!</v>
      </c>
      <c r="P50" s="19" t="e">
        <f>IF(J50="","SEM #CH",VLOOKUP(J50,#REF!,7,0))</f>
        <v>#REF!</v>
      </c>
      <c r="Q50" s="77" t="str">
        <f>VLOOKUP(J50,'p1'!$B$2:$C$30,2,0)</f>
        <v>NÃO TEM CHAPA</v>
      </c>
      <c r="R50" s="95">
        <v>45756</v>
      </c>
      <c r="S50" s="91" t="s">
        <v>221</v>
      </c>
      <c r="T50" s="91">
        <f t="shared" si="2"/>
        <v>1</v>
      </c>
      <c r="U50" s="95">
        <v>45817</v>
      </c>
      <c r="V50" s="91" t="s">
        <v>86</v>
      </c>
      <c r="W50" s="93">
        <v>2371</v>
      </c>
      <c r="X50" s="94">
        <f t="shared" si="3"/>
        <v>1</v>
      </c>
      <c r="Y50"/>
    </row>
    <row r="51" spans="1:25">
      <c r="A51" s="90">
        <v>50</v>
      </c>
      <c r="B51" s="68">
        <v>45749</v>
      </c>
      <c r="C51" s="40">
        <v>7</v>
      </c>
      <c r="D51" s="40">
        <f t="shared" si="0"/>
        <v>1</v>
      </c>
      <c r="E51" s="41" t="s">
        <v>92</v>
      </c>
      <c r="F51" s="17" t="s">
        <v>58</v>
      </c>
      <c r="G51" s="17" t="s">
        <v>86</v>
      </c>
      <c r="H51" s="42" t="s">
        <v>287</v>
      </c>
      <c r="I51" s="17" t="str">
        <f t="shared" si="1"/>
        <v>PN-50</v>
      </c>
      <c r="J51" s="18" t="s">
        <v>85</v>
      </c>
      <c r="K51" s="19" t="e">
        <f>IF(J51="","SEM #CH",VLOOKUP(J51,#REF!,2,0))</f>
        <v>#REF!</v>
      </c>
      <c r="L51" s="19" t="e">
        <f>IF(J51="","SEM #CH",VLOOKUP(J51,#REF!,3,0))</f>
        <v>#REF!</v>
      </c>
      <c r="M51" s="19" t="e">
        <f>IF(J51="","SEM #CH",VLOOKUP(J51,#REF!,4,0))</f>
        <v>#REF!</v>
      </c>
      <c r="N51" s="19" t="e">
        <f>IF(J51="","SEM #CH",VLOOKUP(J51,#REF!,5,0))</f>
        <v>#REF!</v>
      </c>
      <c r="O51" s="19" t="e">
        <f>IF(J51="","SEM #CH",VLOOKUP(J51,#REF!,6,0))</f>
        <v>#REF!</v>
      </c>
      <c r="P51" s="19" t="e">
        <f>IF(J51="","SEM #CH",VLOOKUP(J51,#REF!,7,0))</f>
        <v>#REF!</v>
      </c>
      <c r="Q51" s="77" t="str">
        <f>VLOOKUP(J51,'p1'!$B$2:$C$30,2,0)</f>
        <v>NÃO TEM CHAPA</v>
      </c>
      <c r="R51" s="95">
        <v>45762</v>
      </c>
      <c r="S51" s="91" t="s">
        <v>222</v>
      </c>
      <c r="T51" s="91">
        <f t="shared" si="2"/>
        <v>1</v>
      </c>
      <c r="U51" s="95">
        <v>45819</v>
      </c>
      <c r="V51" s="91" t="s">
        <v>86</v>
      </c>
      <c r="W51" s="93">
        <v>2379</v>
      </c>
      <c r="X51" s="94">
        <f t="shared" si="3"/>
        <v>1</v>
      </c>
      <c r="Y51"/>
    </row>
    <row r="52" spans="1:25">
      <c r="A52" s="90">
        <v>51</v>
      </c>
      <c r="B52" s="68">
        <v>45749</v>
      </c>
      <c r="C52" s="40">
        <v>7</v>
      </c>
      <c r="D52" s="40">
        <f t="shared" si="0"/>
        <v>1</v>
      </c>
      <c r="E52" s="41" t="s">
        <v>92</v>
      </c>
      <c r="F52" s="17" t="s">
        <v>58</v>
      </c>
      <c r="G52" s="17" t="s">
        <v>86</v>
      </c>
      <c r="H52" s="42" t="s">
        <v>288</v>
      </c>
      <c r="I52" s="17" t="str">
        <f t="shared" si="1"/>
        <v>PN-51</v>
      </c>
      <c r="J52" s="18" t="s">
        <v>85</v>
      </c>
      <c r="K52" s="19" t="e">
        <f>IF(J52="","SEM #CH",VLOOKUP(J52,#REF!,2,0))</f>
        <v>#REF!</v>
      </c>
      <c r="L52" s="19" t="e">
        <f>IF(J52="","SEM #CH",VLOOKUP(J52,#REF!,3,0))</f>
        <v>#REF!</v>
      </c>
      <c r="M52" s="19" t="e">
        <f>IF(J52="","SEM #CH",VLOOKUP(J52,#REF!,4,0))</f>
        <v>#REF!</v>
      </c>
      <c r="N52" s="19" t="e">
        <f>IF(J52="","SEM #CH",VLOOKUP(J52,#REF!,5,0))</f>
        <v>#REF!</v>
      </c>
      <c r="O52" s="19" t="e">
        <f>IF(J52="","SEM #CH",VLOOKUP(J52,#REF!,6,0))</f>
        <v>#REF!</v>
      </c>
      <c r="P52" s="19" t="e">
        <f>IF(J52="","SEM #CH",VLOOKUP(J52,#REF!,7,0))</f>
        <v>#REF!</v>
      </c>
      <c r="Q52" s="77" t="str">
        <f>VLOOKUP(J52,'p1'!$B$2:$C$30,2,0)</f>
        <v>NÃO TEM CHAPA</v>
      </c>
      <c r="R52" s="95">
        <v>45773</v>
      </c>
      <c r="S52" s="91" t="s">
        <v>222</v>
      </c>
      <c r="T52" s="91">
        <f t="shared" si="2"/>
        <v>1</v>
      </c>
      <c r="U52" s="95">
        <v>45820</v>
      </c>
      <c r="V52" s="91" t="s">
        <v>1053</v>
      </c>
      <c r="W52" s="93">
        <v>2381</v>
      </c>
      <c r="X52" s="94">
        <f t="shared" si="3"/>
        <v>1</v>
      </c>
      <c r="Y52"/>
    </row>
    <row r="53" spans="1:25">
      <c r="A53" s="90">
        <v>52</v>
      </c>
      <c r="B53" s="68">
        <v>45749</v>
      </c>
      <c r="C53" s="40">
        <v>7</v>
      </c>
      <c r="D53" s="40">
        <f t="shared" si="0"/>
        <v>1</v>
      </c>
      <c r="E53" s="41" t="s">
        <v>92</v>
      </c>
      <c r="F53" s="17" t="s">
        <v>58</v>
      </c>
      <c r="G53" s="17" t="s">
        <v>86</v>
      </c>
      <c r="H53" s="42" t="s">
        <v>289</v>
      </c>
      <c r="I53" s="17" t="str">
        <f t="shared" si="1"/>
        <v>PN-52</v>
      </c>
      <c r="J53" s="18" t="s">
        <v>85</v>
      </c>
      <c r="K53" s="19" t="e">
        <f>IF(J53="","SEM #CH",VLOOKUP(J53,#REF!,2,0))</f>
        <v>#REF!</v>
      </c>
      <c r="L53" s="19" t="e">
        <f>IF(J53="","SEM #CH",VLOOKUP(J53,#REF!,3,0))</f>
        <v>#REF!</v>
      </c>
      <c r="M53" s="19" t="e">
        <f>IF(J53="","SEM #CH",VLOOKUP(J53,#REF!,4,0))</f>
        <v>#REF!</v>
      </c>
      <c r="N53" s="19" t="e">
        <f>IF(J53="","SEM #CH",VLOOKUP(J53,#REF!,5,0))</f>
        <v>#REF!</v>
      </c>
      <c r="O53" s="19" t="e">
        <f>IF(J53="","SEM #CH",VLOOKUP(J53,#REF!,6,0))</f>
        <v>#REF!</v>
      </c>
      <c r="P53" s="19" t="e">
        <f>IF(J53="","SEM #CH",VLOOKUP(J53,#REF!,7,0))</f>
        <v>#REF!</v>
      </c>
      <c r="Q53" s="77" t="str">
        <f>VLOOKUP(J53,'p1'!$B$2:$C$30,2,0)</f>
        <v>NÃO TEM CHAPA</v>
      </c>
      <c r="R53" s="95">
        <v>45773</v>
      </c>
      <c r="S53" s="91" t="s">
        <v>222</v>
      </c>
      <c r="T53" s="91">
        <f t="shared" si="2"/>
        <v>1</v>
      </c>
      <c r="U53" s="95">
        <v>45820</v>
      </c>
      <c r="V53" s="91" t="s">
        <v>1053</v>
      </c>
      <c r="W53" s="93">
        <v>2381</v>
      </c>
      <c r="X53" s="94">
        <f t="shared" si="3"/>
        <v>1</v>
      </c>
      <c r="Y53"/>
    </row>
    <row r="54" spans="1:25">
      <c r="A54" s="90">
        <v>53</v>
      </c>
      <c r="B54" s="68">
        <v>45749</v>
      </c>
      <c r="C54" s="40">
        <v>7</v>
      </c>
      <c r="D54" s="40">
        <f t="shared" si="0"/>
        <v>1</v>
      </c>
      <c r="E54" s="41" t="s">
        <v>92</v>
      </c>
      <c r="F54" s="17" t="s">
        <v>58</v>
      </c>
      <c r="G54" s="17" t="s">
        <v>86</v>
      </c>
      <c r="H54" s="42" t="s">
        <v>290</v>
      </c>
      <c r="I54" s="17" t="str">
        <f t="shared" si="1"/>
        <v>PN-53</v>
      </c>
      <c r="J54" s="18" t="s">
        <v>85</v>
      </c>
      <c r="K54" s="19" t="e">
        <f>IF(J54="","SEM #CH",VLOOKUP(J54,#REF!,2,0))</f>
        <v>#REF!</v>
      </c>
      <c r="L54" s="19" t="e">
        <f>IF(J54="","SEM #CH",VLOOKUP(J54,#REF!,3,0))</f>
        <v>#REF!</v>
      </c>
      <c r="M54" s="19" t="e">
        <f>IF(J54="","SEM #CH",VLOOKUP(J54,#REF!,4,0))</f>
        <v>#REF!</v>
      </c>
      <c r="N54" s="19" t="e">
        <f>IF(J54="","SEM #CH",VLOOKUP(J54,#REF!,5,0))</f>
        <v>#REF!</v>
      </c>
      <c r="O54" s="19" t="e">
        <f>IF(J54="","SEM #CH",VLOOKUP(J54,#REF!,6,0))</f>
        <v>#REF!</v>
      </c>
      <c r="P54" s="19" t="e">
        <f>IF(J54="","SEM #CH",VLOOKUP(J54,#REF!,7,0))</f>
        <v>#REF!</v>
      </c>
      <c r="Q54" s="77" t="str">
        <f>VLOOKUP(J54,'p1'!$B$2:$C$30,2,0)</f>
        <v>NÃO TEM CHAPA</v>
      </c>
      <c r="R54" s="95">
        <v>45771</v>
      </c>
      <c r="S54" s="91" t="s">
        <v>222</v>
      </c>
      <c r="T54" s="91">
        <f t="shared" si="2"/>
        <v>1</v>
      </c>
      <c r="U54" s="95">
        <v>45811</v>
      </c>
      <c r="V54" s="91" t="s">
        <v>995</v>
      </c>
      <c r="W54" s="93">
        <v>2364</v>
      </c>
      <c r="X54" s="94">
        <f t="shared" si="3"/>
        <v>1</v>
      </c>
      <c r="Y54"/>
    </row>
    <row r="55" spans="1:25">
      <c r="A55" s="90">
        <v>54</v>
      </c>
      <c r="B55" s="68">
        <v>45749</v>
      </c>
      <c r="C55" s="40">
        <v>7</v>
      </c>
      <c r="D55" s="40">
        <f t="shared" si="0"/>
        <v>1</v>
      </c>
      <c r="E55" s="41" t="s">
        <v>92</v>
      </c>
      <c r="F55" s="17" t="s">
        <v>58</v>
      </c>
      <c r="G55" s="17" t="s">
        <v>86</v>
      </c>
      <c r="H55" s="42" t="s">
        <v>291</v>
      </c>
      <c r="I55" s="17" t="str">
        <f t="shared" si="1"/>
        <v>PN-54</v>
      </c>
      <c r="J55" s="18" t="s">
        <v>85</v>
      </c>
      <c r="K55" s="19" t="e">
        <f>IF(J55="","SEM #CH",VLOOKUP(J55,#REF!,2,0))</f>
        <v>#REF!</v>
      </c>
      <c r="L55" s="19" t="e">
        <f>IF(J55="","SEM #CH",VLOOKUP(J55,#REF!,3,0))</f>
        <v>#REF!</v>
      </c>
      <c r="M55" s="19" t="e">
        <f>IF(J55="","SEM #CH",VLOOKUP(J55,#REF!,4,0))</f>
        <v>#REF!</v>
      </c>
      <c r="N55" s="19" t="e">
        <f>IF(J55="","SEM #CH",VLOOKUP(J55,#REF!,5,0))</f>
        <v>#REF!</v>
      </c>
      <c r="O55" s="19" t="e">
        <f>IF(J55="","SEM #CH",VLOOKUP(J55,#REF!,6,0))</f>
        <v>#REF!</v>
      </c>
      <c r="P55" s="19" t="e">
        <f>IF(J55="","SEM #CH",VLOOKUP(J55,#REF!,7,0))</f>
        <v>#REF!</v>
      </c>
      <c r="Q55" s="77" t="str">
        <f>VLOOKUP(J55,'p1'!$B$2:$C$30,2,0)</f>
        <v>NÃO TEM CHAPA</v>
      </c>
      <c r="R55" s="95">
        <v>45771</v>
      </c>
      <c r="S55" s="91" t="s">
        <v>222</v>
      </c>
      <c r="T55" s="91">
        <f t="shared" si="2"/>
        <v>1</v>
      </c>
      <c r="U55" s="95">
        <v>45811</v>
      </c>
      <c r="V55" s="91" t="s">
        <v>995</v>
      </c>
      <c r="W55" s="93">
        <v>2364</v>
      </c>
      <c r="X55" s="94">
        <f t="shared" si="3"/>
        <v>1</v>
      </c>
      <c r="Y55"/>
    </row>
    <row r="56" spans="1:25">
      <c r="A56" s="90">
        <v>55</v>
      </c>
      <c r="B56" s="68">
        <v>45806</v>
      </c>
      <c r="C56" s="40">
        <v>31</v>
      </c>
      <c r="D56" s="40">
        <f t="shared" si="0"/>
        <v>1</v>
      </c>
      <c r="E56" s="41" t="s">
        <v>92</v>
      </c>
      <c r="F56" s="17" t="s">
        <v>60</v>
      </c>
      <c r="G56" s="17" t="s">
        <v>86</v>
      </c>
      <c r="H56" s="42" t="s">
        <v>292</v>
      </c>
      <c r="I56" s="17" t="str">
        <f t="shared" si="1"/>
        <v>PE-55</v>
      </c>
      <c r="J56" s="18" t="s">
        <v>90</v>
      </c>
      <c r="K56" s="19" t="e">
        <f>IF(J56="","SEM #CH",VLOOKUP(J56,#REF!,2,0))</f>
        <v>#REF!</v>
      </c>
      <c r="L56" s="19" t="e">
        <f>IF(J56="","SEM #CH",VLOOKUP(J56,#REF!,3,0))</f>
        <v>#REF!</v>
      </c>
      <c r="M56" s="19" t="e">
        <f>IF(J56="","SEM #CH",VLOOKUP(J56,#REF!,4,0))</f>
        <v>#REF!</v>
      </c>
      <c r="N56" s="19" t="e">
        <f>IF(J56="","SEM #CH",VLOOKUP(J56,#REF!,5,0))</f>
        <v>#REF!</v>
      </c>
      <c r="O56" s="19" t="e">
        <f>IF(J56="","SEM #CH",VLOOKUP(J56,#REF!,6,0))</f>
        <v>#REF!</v>
      </c>
      <c r="P56" s="19" t="e">
        <f>IF(J56="","SEM #CH",VLOOKUP(J56,#REF!,7,0))</f>
        <v>#REF!</v>
      </c>
      <c r="Q56" s="77" t="str">
        <f>VLOOKUP(J56,'p1'!$B$2:$C$30,2,0)</f>
        <v>#3/8-530X530</v>
      </c>
      <c r="R56" s="95">
        <v>45815</v>
      </c>
      <c r="S56" s="91" t="s">
        <v>221</v>
      </c>
      <c r="T56" s="91">
        <f t="shared" si="2"/>
        <v>1</v>
      </c>
      <c r="U56" s="95">
        <v>45828</v>
      </c>
      <c r="V56" s="91" t="s">
        <v>86</v>
      </c>
      <c r="W56" s="93">
        <v>2403</v>
      </c>
      <c r="X56" s="94">
        <f t="shared" si="3"/>
        <v>1</v>
      </c>
      <c r="Y56"/>
    </row>
    <row r="57" spans="1:25">
      <c r="A57" s="90">
        <v>56</v>
      </c>
      <c r="B57" s="68">
        <v>45749</v>
      </c>
      <c r="C57" s="40">
        <v>7</v>
      </c>
      <c r="D57" s="40">
        <f t="shared" si="0"/>
        <v>1</v>
      </c>
      <c r="E57" s="41" t="s">
        <v>92</v>
      </c>
      <c r="F57" s="17" t="s">
        <v>58</v>
      </c>
      <c r="G57" s="17" t="s">
        <v>86</v>
      </c>
      <c r="H57" s="42" t="s">
        <v>293</v>
      </c>
      <c r="I57" s="17" t="str">
        <f t="shared" si="1"/>
        <v>PN-56</v>
      </c>
      <c r="J57" s="18" t="s">
        <v>85</v>
      </c>
      <c r="K57" s="19" t="e">
        <f>IF(J57="","SEM #CH",VLOOKUP(J57,#REF!,2,0))</f>
        <v>#REF!</v>
      </c>
      <c r="L57" s="19" t="e">
        <f>IF(J57="","SEM #CH",VLOOKUP(J57,#REF!,3,0))</f>
        <v>#REF!</v>
      </c>
      <c r="M57" s="19" t="e">
        <f>IF(J57="","SEM #CH",VLOOKUP(J57,#REF!,4,0))</f>
        <v>#REF!</v>
      </c>
      <c r="N57" s="19" t="e">
        <f>IF(J57="","SEM #CH",VLOOKUP(J57,#REF!,5,0))</f>
        <v>#REF!</v>
      </c>
      <c r="O57" s="19" t="e">
        <f>IF(J57="","SEM #CH",VLOOKUP(J57,#REF!,6,0))</f>
        <v>#REF!</v>
      </c>
      <c r="P57" s="19" t="e">
        <f>IF(J57="","SEM #CH",VLOOKUP(J57,#REF!,7,0))</f>
        <v>#REF!</v>
      </c>
      <c r="Q57" s="77" t="str">
        <f>VLOOKUP(J57,'p1'!$B$2:$C$30,2,0)</f>
        <v>NÃO TEM CHAPA</v>
      </c>
      <c r="R57" s="95">
        <v>45764</v>
      </c>
      <c r="S57" s="91" t="s">
        <v>222</v>
      </c>
      <c r="T57" s="91">
        <f t="shared" si="2"/>
        <v>1</v>
      </c>
      <c r="U57" s="95">
        <v>45821</v>
      </c>
      <c r="V57" s="91" t="s">
        <v>86</v>
      </c>
      <c r="W57" s="93">
        <v>2383</v>
      </c>
      <c r="X57" s="94">
        <f t="shared" si="3"/>
        <v>1</v>
      </c>
      <c r="Y57"/>
    </row>
    <row r="58" spans="1:25">
      <c r="A58" s="90">
        <v>57</v>
      </c>
      <c r="B58" s="68">
        <v>45749</v>
      </c>
      <c r="C58" s="40">
        <v>7</v>
      </c>
      <c r="D58" s="40">
        <f t="shared" si="0"/>
        <v>1</v>
      </c>
      <c r="E58" s="41" t="s">
        <v>92</v>
      </c>
      <c r="F58" s="17" t="s">
        <v>58</v>
      </c>
      <c r="G58" s="17" t="s">
        <v>86</v>
      </c>
      <c r="H58" s="42" t="s">
        <v>294</v>
      </c>
      <c r="I58" s="17" t="str">
        <f t="shared" si="1"/>
        <v>PN-57</v>
      </c>
      <c r="J58" s="18" t="s">
        <v>85</v>
      </c>
      <c r="K58" s="19" t="e">
        <f>IF(J58="","SEM #CH",VLOOKUP(J58,#REF!,2,0))</f>
        <v>#REF!</v>
      </c>
      <c r="L58" s="19" t="e">
        <f>IF(J58="","SEM #CH",VLOOKUP(J58,#REF!,3,0))</f>
        <v>#REF!</v>
      </c>
      <c r="M58" s="19" t="e">
        <f>IF(J58="","SEM #CH",VLOOKUP(J58,#REF!,4,0))</f>
        <v>#REF!</v>
      </c>
      <c r="N58" s="19" t="e">
        <f>IF(J58="","SEM #CH",VLOOKUP(J58,#REF!,5,0))</f>
        <v>#REF!</v>
      </c>
      <c r="O58" s="19" t="e">
        <f>IF(J58="","SEM #CH",VLOOKUP(J58,#REF!,6,0))</f>
        <v>#REF!</v>
      </c>
      <c r="P58" s="19" t="e">
        <f>IF(J58="","SEM #CH",VLOOKUP(J58,#REF!,7,0))</f>
        <v>#REF!</v>
      </c>
      <c r="Q58" s="77" t="str">
        <f>VLOOKUP(J58,'p1'!$B$2:$C$30,2,0)</f>
        <v>NÃO TEM CHAPA</v>
      </c>
      <c r="R58" s="95">
        <v>45769</v>
      </c>
      <c r="S58" s="91" t="s">
        <v>222</v>
      </c>
      <c r="T58" s="91">
        <f t="shared" si="2"/>
        <v>1</v>
      </c>
      <c r="U58" s="91"/>
      <c r="V58" s="91"/>
      <c r="W58" s="93"/>
      <c r="X58" s="94" t="str">
        <f t="shared" si="3"/>
        <v/>
      </c>
      <c r="Y58"/>
    </row>
    <row r="59" spans="1:25">
      <c r="A59" s="90">
        <v>58</v>
      </c>
      <c r="B59" s="68">
        <v>45750</v>
      </c>
      <c r="C59" s="40">
        <v>8</v>
      </c>
      <c r="D59" s="40">
        <f t="shared" si="0"/>
        <v>1</v>
      </c>
      <c r="E59" s="41" t="s">
        <v>92</v>
      </c>
      <c r="F59" s="17" t="s">
        <v>58</v>
      </c>
      <c r="G59" s="17" t="s">
        <v>86</v>
      </c>
      <c r="H59" s="42" t="s">
        <v>295</v>
      </c>
      <c r="I59" s="17" t="str">
        <f t="shared" si="1"/>
        <v>PN-58</v>
      </c>
      <c r="J59" s="18" t="s">
        <v>85</v>
      </c>
      <c r="K59" s="19" t="e">
        <f>IF(J59="","SEM #CH",VLOOKUP(J59,#REF!,2,0))</f>
        <v>#REF!</v>
      </c>
      <c r="L59" s="19" t="e">
        <f>IF(J59="","SEM #CH",VLOOKUP(J59,#REF!,3,0))</f>
        <v>#REF!</v>
      </c>
      <c r="M59" s="19" t="e">
        <f>IF(J59="","SEM #CH",VLOOKUP(J59,#REF!,4,0))</f>
        <v>#REF!</v>
      </c>
      <c r="N59" s="19" t="e">
        <f>IF(J59="","SEM #CH",VLOOKUP(J59,#REF!,5,0))</f>
        <v>#REF!</v>
      </c>
      <c r="O59" s="19" t="e">
        <f>IF(J59="","SEM #CH",VLOOKUP(J59,#REF!,6,0))</f>
        <v>#REF!</v>
      </c>
      <c r="P59" s="19" t="e">
        <f>IF(J59="","SEM #CH",VLOOKUP(J59,#REF!,7,0))</f>
        <v>#REF!</v>
      </c>
      <c r="Q59" s="77" t="str">
        <f>VLOOKUP(J59,'p1'!$B$2:$C$30,2,0)</f>
        <v>NÃO TEM CHAPA</v>
      </c>
      <c r="R59" s="95"/>
      <c r="S59" s="91" t="s">
        <v>221</v>
      </c>
      <c r="T59" s="91" t="str">
        <f t="shared" si="2"/>
        <v/>
      </c>
      <c r="U59" s="91"/>
      <c r="V59" s="91"/>
      <c r="W59" s="93"/>
      <c r="X59" s="94" t="str">
        <f t="shared" si="3"/>
        <v/>
      </c>
      <c r="Y59"/>
    </row>
    <row r="60" spans="1:25">
      <c r="A60" s="90">
        <v>59</v>
      </c>
      <c r="B60" s="68">
        <v>45750</v>
      </c>
      <c r="C60" s="40">
        <v>8</v>
      </c>
      <c r="D60" s="40">
        <f t="shared" si="0"/>
        <v>1</v>
      </c>
      <c r="E60" s="41" t="s">
        <v>92</v>
      </c>
      <c r="F60" s="17" t="s">
        <v>58</v>
      </c>
      <c r="G60" s="17" t="s">
        <v>86</v>
      </c>
      <c r="H60" s="42" t="s">
        <v>296</v>
      </c>
      <c r="I60" s="17" t="str">
        <f t="shared" si="1"/>
        <v>PN-59</v>
      </c>
      <c r="J60" s="18" t="s">
        <v>85</v>
      </c>
      <c r="K60" s="19" t="e">
        <f>IF(J60="","SEM #CH",VLOOKUP(J60,#REF!,2,0))</f>
        <v>#REF!</v>
      </c>
      <c r="L60" s="19" t="e">
        <f>IF(J60="","SEM #CH",VLOOKUP(J60,#REF!,3,0))</f>
        <v>#REF!</v>
      </c>
      <c r="M60" s="19" t="e">
        <f>IF(J60="","SEM #CH",VLOOKUP(J60,#REF!,4,0))</f>
        <v>#REF!</v>
      </c>
      <c r="N60" s="19" t="e">
        <f>IF(J60="","SEM #CH",VLOOKUP(J60,#REF!,5,0))</f>
        <v>#REF!</v>
      </c>
      <c r="O60" s="19" t="e">
        <f>IF(J60="","SEM #CH",VLOOKUP(J60,#REF!,6,0))</f>
        <v>#REF!</v>
      </c>
      <c r="P60" s="19" t="e">
        <f>IF(J60="","SEM #CH",VLOOKUP(J60,#REF!,7,0))</f>
        <v>#REF!</v>
      </c>
      <c r="Q60" s="77" t="str">
        <f>VLOOKUP(J60,'p1'!$B$2:$C$30,2,0)</f>
        <v>NÃO TEM CHAPA</v>
      </c>
      <c r="R60" s="95"/>
      <c r="S60" s="91" t="s">
        <v>221</v>
      </c>
      <c r="T60" s="91" t="str">
        <f t="shared" si="2"/>
        <v/>
      </c>
      <c r="U60" s="91"/>
      <c r="V60" s="91"/>
      <c r="W60" s="93"/>
      <c r="X60" s="94" t="str">
        <f t="shared" si="3"/>
        <v/>
      </c>
      <c r="Y60"/>
    </row>
    <row r="61" spans="1:25">
      <c r="A61" s="90">
        <v>60</v>
      </c>
      <c r="B61" s="68">
        <v>45750</v>
      </c>
      <c r="C61" s="40">
        <v>8</v>
      </c>
      <c r="D61" s="40">
        <f t="shared" si="0"/>
        <v>1</v>
      </c>
      <c r="E61" s="41" t="s">
        <v>92</v>
      </c>
      <c r="F61" s="17" t="s">
        <v>58</v>
      </c>
      <c r="G61" s="17" t="s">
        <v>86</v>
      </c>
      <c r="H61" s="42" t="s">
        <v>297</v>
      </c>
      <c r="I61" s="17" t="str">
        <f t="shared" si="1"/>
        <v>PN-60</v>
      </c>
      <c r="J61" s="18" t="s">
        <v>85</v>
      </c>
      <c r="K61" s="19" t="e">
        <f>IF(J61="","SEM #CH",VLOOKUP(J61,#REF!,2,0))</f>
        <v>#REF!</v>
      </c>
      <c r="L61" s="19" t="e">
        <f>IF(J61="","SEM #CH",VLOOKUP(J61,#REF!,3,0))</f>
        <v>#REF!</v>
      </c>
      <c r="M61" s="19" t="e">
        <f>IF(J61="","SEM #CH",VLOOKUP(J61,#REF!,4,0))</f>
        <v>#REF!</v>
      </c>
      <c r="N61" s="19" t="e">
        <f>IF(J61="","SEM #CH",VLOOKUP(J61,#REF!,5,0))</f>
        <v>#REF!</v>
      </c>
      <c r="O61" s="19" t="e">
        <f>IF(J61="","SEM #CH",VLOOKUP(J61,#REF!,6,0))</f>
        <v>#REF!</v>
      </c>
      <c r="P61" s="19" t="e">
        <f>IF(J61="","SEM #CH",VLOOKUP(J61,#REF!,7,0))</f>
        <v>#REF!</v>
      </c>
      <c r="Q61" s="77" t="str">
        <f>VLOOKUP(J61,'p1'!$B$2:$C$30,2,0)</f>
        <v>NÃO TEM CHAPA</v>
      </c>
      <c r="R61" s="95"/>
      <c r="S61" s="91" t="s">
        <v>221</v>
      </c>
      <c r="T61" s="91" t="str">
        <f t="shared" si="2"/>
        <v/>
      </c>
      <c r="U61" s="91"/>
      <c r="V61" s="91"/>
      <c r="W61" s="93"/>
      <c r="X61" s="94" t="str">
        <f t="shared" si="3"/>
        <v/>
      </c>
      <c r="Y61"/>
    </row>
    <row r="62" spans="1:25">
      <c r="A62" s="90">
        <v>61</v>
      </c>
      <c r="B62" s="68">
        <v>45750</v>
      </c>
      <c r="C62" s="40">
        <v>8</v>
      </c>
      <c r="D62" s="40">
        <f t="shared" si="0"/>
        <v>1</v>
      </c>
      <c r="E62" s="41" t="s">
        <v>92</v>
      </c>
      <c r="F62" s="17" t="s">
        <v>58</v>
      </c>
      <c r="G62" s="17" t="s">
        <v>86</v>
      </c>
      <c r="H62" s="42" t="s">
        <v>298</v>
      </c>
      <c r="I62" s="17" t="str">
        <f t="shared" si="1"/>
        <v>PN-61</v>
      </c>
      <c r="J62" s="18" t="s">
        <v>85</v>
      </c>
      <c r="K62" s="19" t="e">
        <f>IF(J62="","SEM #CH",VLOOKUP(J62,#REF!,2,0))</f>
        <v>#REF!</v>
      </c>
      <c r="L62" s="19" t="e">
        <f>IF(J62="","SEM #CH",VLOOKUP(J62,#REF!,3,0))</f>
        <v>#REF!</v>
      </c>
      <c r="M62" s="19" t="e">
        <f>IF(J62="","SEM #CH",VLOOKUP(J62,#REF!,4,0))</f>
        <v>#REF!</v>
      </c>
      <c r="N62" s="19" t="e">
        <f>IF(J62="","SEM #CH",VLOOKUP(J62,#REF!,5,0))</f>
        <v>#REF!</v>
      </c>
      <c r="O62" s="19" t="e">
        <f>IF(J62="","SEM #CH",VLOOKUP(J62,#REF!,6,0))</f>
        <v>#REF!</v>
      </c>
      <c r="P62" s="19" t="e">
        <f>IF(J62="","SEM #CH",VLOOKUP(J62,#REF!,7,0))</f>
        <v>#REF!</v>
      </c>
      <c r="Q62" s="77" t="str">
        <f>VLOOKUP(J62,'p1'!$B$2:$C$30,2,0)</f>
        <v>NÃO TEM CHAPA</v>
      </c>
      <c r="R62" s="95"/>
      <c r="S62" s="91" t="s">
        <v>221</v>
      </c>
      <c r="T62" s="91" t="str">
        <f t="shared" si="2"/>
        <v/>
      </c>
      <c r="U62" s="91"/>
      <c r="V62" s="91"/>
      <c r="W62" s="93"/>
      <c r="X62" s="94" t="str">
        <f t="shared" si="3"/>
        <v/>
      </c>
      <c r="Y62"/>
    </row>
    <row r="63" spans="1:25">
      <c r="A63" s="90">
        <v>62</v>
      </c>
      <c r="B63" s="68">
        <v>45750</v>
      </c>
      <c r="C63" s="40">
        <v>8</v>
      </c>
      <c r="D63" s="40">
        <f t="shared" si="0"/>
        <v>1</v>
      </c>
      <c r="E63" s="41" t="s">
        <v>92</v>
      </c>
      <c r="F63" s="17" t="s">
        <v>58</v>
      </c>
      <c r="G63" s="17" t="s">
        <v>86</v>
      </c>
      <c r="H63" s="42" t="s">
        <v>299</v>
      </c>
      <c r="I63" s="17" t="str">
        <f t="shared" si="1"/>
        <v>PN-62</v>
      </c>
      <c r="J63" s="18" t="s">
        <v>85</v>
      </c>
      <c r="K63" s="19" t="e">
        <f>IF(J63="","SEM #CH",VLOOKUP(J63,#REF!,2,0))</f>
        <v>#REF!</v>
      </c>
      <c r="L63" s="19" t="e">
        <f>IF(J63="","SEM #CH",VLOOKUP(J63,#REF!,3,0))</f>
        <v>#REF!</v>
      </c>
      <c r="M63" s="19" t="e">
        <f>IF(J63="","SEM #CH",VLOOKUP(J63,#REF!,4,0))</f>
        <v>#REF!</v>
      </c>
      <c r="N63" s="19" t="e">
        <f>IF(J63="","SEM #CH",VLOOKUP(J63,#REF!,5,0))</f>
        <v>#REF!</v>
      </c>
      <c r="O63" s="19" t="e">
        <f>IF(J63="","SEM #CH",VLOOKUP(J63,#REF!,6,0))</f>
        <v>#REF!</v>
      </c>
      <c r="P63" s="19" t="e">
        <f>IF(J63="","SEM #CH",VLOOKUP(J63,#REF!,7,0))</f>
        <v>#REF!</v>
      </c>
      <c r="Q63" s="77" t="str">
        <f>VLOOKUP(J63,'p1'!$B$2:$C$30,2,0)</f>
        <v>NÃO TEM CHAPA</v>
      </c>
      <c r="R63" s="95">
        <v>45773</v>
      </c>
      <c r="S63" s="91" t="s">
        <v>221</v>
      </c>
      <c r="T63" s="91">
        <f t="shared" si="2"/>
        <v>1</v>
      </c>
      <c r="U63" s="91"/>
      <c r="V63" s="91"/>
      <c r="W63" s="93"/>
      <c r="X63" s="94" t="str">
        <f t="shared" si="3"/>
        <v/>
      </c>
      <c r="Y63"/>
    </row>
    <row r="64" spans="1:25">
      <c r="A64" s="90">
        <v>63</v>
      </c>
      <c r="B64" s="68">
        <v>45814</v>
      </c>
      <c r="C64" s="40">
        <v>33</v>
      </c>
      <c r="D64" s="40">
        <f t="shared" si="0"/>
        <v>1</v>
      </c>
      <c r="E64" s="44" t="s">
        <v>117</v>
      </c>
      <c r="F64" s="17" t="s">
        <v>61</v>
      </c>
      <c r="G64" s="17" t="s">
        <v>86</v>
      </c>
      <c r="H64" s="42" t="s">
        <v>300</v>
      </c>
      <c r="I64" s="17" t="str">
        <f t="shared" si="1"/>
        <v>PF-63</v>
      </c>
      <c r="J64" s="18" t="s">
        <v>61</v>
      </c>
      <c r="K64" s="19" t="e">
        <f>IF(J64="","SEM #CH",VLOOKUP(J64,#REF!,2,0))</f>
        <v>#REF!</v>
      </c>
      <c r="L64" s="19" t="e">
        <f>IF(J64="","SEM #CH",VLOOKUP(J64,#REF!,3,0))</f>
        <v>#REF!</v>
      </c>
      <c r="M64" s="19" t="e">
        <f>IF(J64="","SEM #CH",VLOOKUP(J64,#REF!,4,0))</f>
        <v>#REF!</v>
      </c>
      <c r="N64" s="19" t="e">
        <f>IF(J64="","SEM #CH",VLOOKUP(J64,#REF!,5,0))</f>
        <v>#REF!</v>
      </c>
      <c r="O64" s="19" t="e">
        <f>IF(J64="","SEM #CH",VLOOKUP(J64,#REF!,6,0))</f>
        <v>#REF!</v>
      </c>
      <c r="P64" s="19" t="e">
        <f>IF(J64="","SEM #CH",VLOOKUP(J64,#REF!,7,0))</f>
        <v>#REF!</v>
      </c>
      <c r="Q64" s="77" t="str">
        <f>VLOOKUP(J64,'p1'!$B$2:$C$30,2,0)</f>
        <v>SEM CHAPA</v>
      </c>
      <c r="R64" s="95">
        <v>45818</v>
      </c>
      <c r="S64" s="91" t="s">
        <v>221</v>
      </c>
      <c r="T64" s="91">
        <f t="shared" si="2"/>
        <v>1</v>
      </c>
      <c r="U64" s="95">
        <v>45828</v>
      </c>
      <c r="V64" s="91" t="s">
        <v>86</v>
      </c>
      <c r="W64" s="93">
        <v>2403</v>
      </c>
      <c r="X64" s="94">
        <f t="shared" si="3"/>
        <v>1</v>
      </c>
      <c r="Y64"/>
    </row>
    <row r="65" spans="1:25">
      <c r="A65" s="90">
        <v>64</v>
      </c>
      <c r="B65" s="68">
        <v>45750</v>
      </c>
      <c r="C65" s="40">
        <v>8</v>
      </c>
      <c r="D65" s="40">
        <f t="shared" si="0"/>
        <v>1</v>
      </c>
      <c r="E65" s="44" t="s">
        <v>117</v>
      </c>
      <c r="F65" s="17" t="s">
        <v>58</v>
      </c>
      <c r="G65" s="17" t="s">
        <v>86</v>
      </c>
      <c r="H65" s="42" t="s">
        <v>301</v>
      </c>
      <c r="I65" s="17" t="str">
        <f t="shared" si="1"/>
        <v>PN-64</v>
      </c>
      <c r="J65" s="18" t="s">
        <v>85</v>
      </c>
      <c r="K65" s="19" t="e">
        <f>IF(J65="","SEM #CH",VLOOKUP(J65,#REF!,2,0))</f>
        <v>#REF!</v>
      </c>
      <c r="L65" s="19" t="e">
        <f>IF(J65="","SEM #CH",VLOOKUP(J65,#REF!,3,0))</f>
        <v>#REF!</v>
      </c>
      <c r="M65" s="19" t="e">
        <f>IF(J65="","SEM #CH",VLOOKUP(J65,#REF!,4,0))</f>
        <v>#REF!</v>
      </c>
      <c r="N65" s="19" t="e">
        <f>IF(J65="","SEM #CH",VLOOKUP(J65,#REF!,5,0))</f>
        <v>#REF!</v>
      </c>
      <c r="O65" s="19" t="e">
        <f>IF(J65="","SEM #CH",VLOOKUP(J65,#REF!,6,0))</f>
        <v>#REF!</v>
      </c>
      <c r="P65" s="19" t="e">
        <f>IF(J65="","SEM #CH",VLOOKUP(J65,#REF!,7,0))</f>
        <v>#REF!</v>
      </c>
      <c r="Q65" s="77" t="str">
        <f>VLOOKUP(J65,'p1'!$B$2:$C$30,2,0)</f>
        <v>NÃO TEM CHAPA</v>
      </c>
      <c r="R65" s="95">
        <v>45764</v>
      </c>
      <c r="S65" s="91" t="s">
        <v>221</v>
      </c>
      <c r="T65" s="91">
        <f t="shared" si="2"/>
        <v>1</v>
      </c>
      <c r="U65" s="91"/>
      <c r="V65" s="91"/>
      <c r="W65" s="93"/>
      <c r="X65" s="94" t="str">
        <f t="shared" si="3"/>
        <v/>
      </c>
      <c r="Y65"/>
    </row>
    <row r="66" spans="1:25">
      <c r="A66" s="90">
        <v>65</v>
      </c>
      <c r="B66" s="68">
        <v>45750</v>
      </c>
      <c r="C66" s="40">
        <v>8</v>
      </c>
      <c r="D66" s="40">
        <f t="shared" ref="D66:D129" si="4">IF(B66&gt;0,1,"")</f>
        <v>1</v>
      </c>
      <c r="E66" s="44" t="s">
        <v>117</v>
      </c>
      <c r="F66" s="17" t="s">
        <v>58</v>
      </c>
      <c r="G66" s="17" t="s">
        <v>86</v>
      </c>
      <c r="H66" s="42" t="s">
        <v>302</v>
      </c>
      <c r="I66" s="17" t="str">
        <f t="shared" ref="I66:I129" si="5">_xlfn.CONCAT(F66,G66,H66)</f>
        <v>PN-65</v>
      </c>
      <c r="J66" s="18" t="s">
        <v>85</v>
      </c>
      <c r="K66" s="19" t="e">
        <f>IF(J66="","SEM #CH",VLOOKUP(J66,#REF!,2,0))</f>
        <v>#REF!</v>
      </c>
      <c r="L66" s="19" t="e">
        <f>IF(J66="","SEM #CH",VLOOKUP(J66,#REF!,3,0))</f>
        <v>#REF!</v>
      </c>
      <c r="M66" s="19" t="e">
        <f>IF(J66="","SEM #CH",VLOOKUP(J66,#REF!,4,0))</f>
        <v>#REF!</v>
      </c>
      <c r="N66" s="19" t="e">
        <f>IF(J66="","SEM #CH",VLOOKUP(J66,#REF!,5,0))</f>
        <v>#REF!</v>
      </c>
      <c r="O66" s="19" t="e">
        <f>IF(J66="","SEM #CH",VLOOKUP(J66,#REF!,6,0))</f>
        <v>#REF!</v>
      </c>
      <c r="P66" s="19" t="e">
        <f>IF(J66="","SEM #CH",VLOOKUP(J66,#REF!,7,0))</f>
        <v>#REF!</v>
      </c>
      <c r="Q66" s="77" t="str">
        <f>VLOOKUP(J66,'p1'!$B$2:$C$30,2,0)</f>
        <v>NÃO TEM CHAPA</v>
      </c>
      <c r="R66" s="95">
        <v>45764</v>
      </c>
      <c r="S66" s="91" t="s">
        <v>221</v>
      </c>
      <c r="T66" s="91">
        <f t="shared" ref="T66:T129" si="6">IF(R66=0,"",1)</f>
        <v>1</v>
      </c>
      <c r="U66" s="91"/>
      <c r="V66" s="91"/>
      <c r="W66" s="93"/>
      <c r="X66" s="94" t="str">
        <f t="shared" ref="X66:X129" si="7">IF(U66&gt;0,1,"")</f>
        <v/>
      </c>
      <c r="Y66"/>
    </row>
    <row r="67" spans="1:25">
      <c r="A67" s="90">
        <v>66</v>
      </c>
      <c r="B67" s="68">
        <v>45752</v>
      </c>
      <c r="C67" s="40">
        <v>9</v>
      </c>
      <c r="D67" s="40">
        <f t="shared" si="4"/>
        <v>1</v>
      </c>
      <c r="E67" s="44" t="s">
        <v>117</v>
      </c>
      <c r="F67" s="17" t="s">
        <v>58</v>
      </c>
      <c r="G67" s="17" t="s">
        <v>86</v>
      </c>
      <c r="H67" s="42" t="s">
        <v>303</v>
      </c>
      <c r="I67" s="17" t="str">
        <f t="shared" si="5"/>
        <v>PN-66</v>
      </c>
      <c r="J67" s="18" t="s">
        <v>85</v>
      </c>
      <c r="K67" s="19" t="e">
        <f>IF(J67="","SEM #CH",VLOOKUP(J67,#REF!,2,0))</f>
        <v>#REF!</v>
      </c>
      <c r="L67" s="19" t="e">
        <f>IF(J67="","SEM #CH",VLOOKUP(J67,#REF!,3,0))</f>
        <v>#REF!</v>
      </c>
      <c r="M67" s="19" t="e">
        <f>IF(J67="","SEM #CH",VLOOKUP(J67,#REF!,4,0))</f>
        <v>#REF!</v>
      </c>
      <c r="N67" s="19" t="e">
        <f>IF(J67="","SEM #CH",VLOOKUP(J67,#REF!,5,0))</f>
        <v>#REF!</v>
      </c>
      <c r="O67" s="19" t="e">
        <f>IF(J67="","SEM #CH",VLOOKUP(J67,#REF!,6,0))</f>
        <v>#REF!</v>
      </c>
      <c r="P67" s="19" t="e">
        <f>IF(J67="","SEM #CH",VLOOKUP(J67,#REF!,7,0))</f>
        <v>#REF!</v>
      </c>
      <c r="Q67" s="77" t="str">
        <f>VLOOKUP(J67,'p1'!$B$2:$C$30,2,0)</f>
        <v>NÃO TEM CHAPA</v>
      </c>
      <c r="R67" s="95">
        <v>45784</v>
      </c>
      <c r="S67" s="91" t="s">
        <v>222</v>
      </c>
      <c r="T67" s="91">
        <f t="shared" si="6"/>
        <v>1</v>
      </c>
      <c r="U67" s="95">
        <v>45832</v>
      </c>
      <c r="V67" s="91" t="s">
        <v>86</v>
      </c>
      <c r="W67" s="93">
        <v>2410</v>
      </c>
      <c r="X67" s="94">
        <f t="shared" si="7"/>
        <v>1</v>
      </c>
      <c r="Y67"/>
    </row>
    <row r="68" spans="1:25">
      <c r="A68" s="90">
        <v>67</v>
      </c>
      <c r="B68" s="68">
        <v>45752</v>
      </c>
      <c r="C68" s="40">
        <v>9</v>
      </c>
      <c r="D68" s="40">
        <f t="shared" si="4"/>
        <v>1</v>
      </c>
      <c r="E68" s="44" t="s">
        <v>117</v>
      </c>
      <c r="F68" s="17" t="s">
        <v>58</v>
      </c>
      <c r="G68" s="17" t="s">
        <v>86</v>
      </c>
      <c r="H68" s="42" t="s">
        <v>304</v>
      </c>
      <c r="I68" s="17" t="str">
        <f t="shared" si="5"/>
        <v>PN-67</v>
      </c>
      <c r="J68" s="18" t="s">
        <v>85</v>
      </c>
      <c r="K68" s="19" t="e">
        <f>IF(J68="","SEM #CH",VLOOKUP(J68,#REF!,2,0))</f>
        <v>#REF!</v>
      </c>
      <c r="L68" s="19" t="e">
        <f>IF(J68="","SEM #CH",VLOOKUP(J68,#REF!,3,0))</f>
        <v>#REF!</v>
      </c>
      <c r="M68" s="19" t="e">
        <f>IF(J68="","SEM #CH",VLOOKUP(J68,#REF!,4,0))</f>
        <v>#REF!</v>
      </c>
      <c r="N68" s="19" t="e">
        <f>IF(J68="","SEM #CH",VLOOKUP(J68,#REF!,5,0))</f>
        <v>#REF!</v>
      </c>
      <c r="O68" s="19" t="e">
        <f>IF(J68="","SEM #CH",VLOOKUP(J68,#REF!,6,0))</f>
        <v>#REF!</v>
      </c>
      <c r="P68" s="19" t="e">
        <f>IF(J68="","SEM #CH",VLOOKUP(J68,#REF!,7,0))</f>
        <v>#REF!</v>
      </c>
      <c r="Q68" s="77" t="str">
        <f>VLOOKUP(J68,'p1'!$B$2:$C$30,2,0)</f>
        <v>NÃO TEM CHAPA</v>
      </c>
      <c r="R68" s="95">
        <v>45782</v>
      </c>
      <c r="S68" s="91" t="s">
        <v>222</v>
      </c>
      <c r="T68" s="91">
        <f t="shared" si="6"/>
        <v>1</v>
      </c>
      <c r="U68" s="95">
        <v>45833</v>
      </c>
      <c r="V68" s="91" t="s">
        <v>86</v>
      </c>
      <c r="W68" s="93">
        <v>2413</v>
      </c>
      <c r="X68" s="94">
        <f t="shared" si="7"/>
        <v>1</v>
      </c>
      <c r="Y68"/>
    </row>
    <row r="69" spans="1:25">
      <c r="A69" s="90">
        <v>68</v>
      </c>
      <c r="B69" s="68">
        <v>45752</v>
      </c>
      <c r="C69" s="40">
        <v>9</v>
      </c>
      <c r="D69" s="40">
        <f t="shared" si="4"/>
        <v>1</v>
      </c>
      <c r="E69" s="44" t="s">
        <v>117</v>
      </c>
      <c r="F69" s="17" t="s">
        <v>58</v>
      </c>
      <c r="G69" s="17" t="s">
        <v>86</v>
      </c>
      <c r="H69" s="42" t="s">
        <v>305</v>
      </c>
      <c r="I69" s="17" t="str">
        <f t="shared" si="5"/>
        <v>PN-68</v>
      </c>
      <c r="J69" s="18" t="s">
        <v>85</v>
      </c>
      <c r="K69" s="19" t="e">
        <f>IF(J69="","SEM #CH",VLOOKUP(J69,#REF!,2,0))</f>
        <v>#REF!</v>
      </c>
      <c r="L69" s="19" t="e">
        <f>IF(J69="","SEM #CH",VLOOKUP(J69,#REF!,3,0))</f>
        <v>#REF!</v>
      </c>
      <c r="M69" s="19" t="e">
        <f>IF(J69="","SEM #CH",VLOOKUP(J69,#REF!,4,0))</f>
        <v>#REF!</v>
      </c>
      <c r="N69" s="19" t="e">
        <f>IF(J69="","SEM #CH",VLOOKUP(J69,#REF!,5,0))</f>
        <v>#REF!</v>
      </c>
      <c r="O69" s="19" t="e">
        <f>IF(J69="","SEM #CH",VLOOKUP(J69,#REF!,6,0))</f>
        <v>#REF!</v>
      </c>
      <c r="P69" s="19" t="e">
        <f>IF(J69="","SEM #CH",VLOOKUP(J69,#REF!,7,0))</f>
        <v>#REF!</v>
      </c>
      <c r="Q69" s="77" t="str">
        <f>VLOOKUP(J69,'p1'!$B$2:$C$30,2,0)</f>
        <v>NÃO TEM CHAPA</v>
      </c>
      <c r="R69" s="95">
        <v>45782</v>
      </c>
      <c r="S69" s="91" t="s">
        <v>222</v>
      </c>
      <c r="T69" s="91">
        <f t="shared" si="6"/>
        <v>1</v>
      </c>
      <c r="U69" s="95">
        <v>45832</v>
      </c>
      <c r="V69" s="91" t="s">
        <v>86</v>
      </c>
      <c r="W69" s="93">
        <v>2410</v>
      </c>
      <c r="X69" s="94">
        <f t="shared" si="7"/>
        <v>1</v>
      </c>
      <c r="Y69"/>
    </row>
    <row r="70" spans="1:25">
      <c r="A70" s="90">
        <v>69</v>
      </c>
      <c r="B70" s="68">
        <v>45812</v>
      </c>
      <c r="C70" s="40">
        <v>32</v>
      </c>
      <c r="D70" s="40">
        <f t="shared" si="4"/>
        <v>1</v>
      </c>
      <c r="E70" s="44" t="s">
        <v>117</v>
      </c>
      <c r="F70" s="17" t="s">
        <v>60</v>
      </c>
      <c r="G70" s="17" t="s">
        <v>86</v>
      </c>
      <c r="H70" s="42" t="s">
        <v>306</v>
      </c>
      <c r="I70" s="17" t="str">
        <f t="shared" si="5"/>
        <v>PE-69</v>
      </c>
      <c r="J70" s="18" t="s">
        <v>88</v>
      </c>
      <c r="K70" s="19" t="e">
        <f>IF(J70="","SEM #CH",VLOOKUP(J70,#REF!,2,0))</f>
        <v>#REF!</v>
      </c>
      <c r="L70" s="19" t="e">
        <f>IF(J70="","SEM #CH",VLOOKUP(J70,#REF!,3,0))</f>
        <v>#REF!</v>
      </c>
      <c r="M70" s="19" t="e">
        <f>IF(J70="","SEM #CH",VLOOKUP(J70,#REF!,4,0))</f>
        <v>#REF!</v>
      </c>
      <c r="N70" s="19" t="e">
        <f>IF(J70="","SEM #CH",VLOOKUP(J70,#REF!,5,0))</f>
        <v>#REF!</v>
      </c>
      <c r="O70" s="19" t="e">
        <f>IF(J70="","SEM #CH",VLOOKUP(J70,#REF!,6,0))</f>
        <v>#REF!</v>
      </c>
      <c r="P70" s="19" t="e">
        <f>IF(J70="","SEM #CH",VLOOKUP(J70,#REF!,7,0))</f>
        <v>#REF!</v>
      </c>
      <c r="Q70" s="77" t="str">
        <f>VLOOKUP(J70,'p1'!$B$2:$C$30,2,0)</f>
        <v>#3/8-1315X1315</v>
      </c>
      <c r="R70" s="95">
        <v>45831</v>
      </c>
      <c r="S70" s="91" t="s">
        <v>221</v>
      </c>
      <c r="T70" s="91">
        <f t="shared" si="6"/>
        <v>1</v>
      </c>
      <c r="U70" s="95">
        <v>45831</v>
      </c>
      <c r="V70" s="91" t="s">
        <v>86</v>
      </c>
      <c r="W70" s="93">
        <v>2405</v>
      </c>
      <c r="X70" s="94">
        <f t="shared" si="7"/>
        <v>1</v>
      </c>
      <c r="Y70"/>
    </row>
    <row r="71" spans="1:25">
      <c r="A71" s="90">
        <v>70</v>
      </c>
      <c r="B71" s="68">
        <v>45812</v>
      </c>
      <c r="C71" s="40">
        <v>32</v>
      </c>
      <c r="D71" s="40">
        <f t="shared" si="4"/>
        <v>1</v>
      </c>
      <c r="E71" s="44" t="s">
        <v>117</v>
      </c>
      <c r="F71" s="17" t="s">
        <v>60</v>
      </c>
      <c r="G71" s="17" t="s">
        <v>86</v>
      </c>
      <c r="H71" s="42" t="s">
        <v>307</v>
      </c>
      <c r="I71" s="17" t="str">
        <f t="shared" si="5"/>
        <v>PE-70</v>
      </c>
      <c r="J71" s="18" t="s">
        <v>87</v>
      </c>
      <c r="K71" s="19" t="e">
        <f>IF(J71="","SEM #CH",VLOOKUP(J71,#REF!,2,0))</f>
        <v>#REF!</v>
      </c>
      <c r="L71" s="19" t="e">
        <f>IF(J71="","SEM #CH",VLOOKUP(J71,#REF!,3,0))</f>
        <v>#REF!</v>
      </c>
      <c r="M71" s="19" t="e">
        <f>IF(J71="","SEM #CH",VLOOKUP(J71,#REF!,4,0))</f>
        <v>#REF!</v>
      </c>
      <c r="N71" s="19" t="e">
        <f>IF(J71="","SEM #CH",VLOOKUP(J71,#REF!,5,0))</f>
        <v>#REF!</v>
      </c>
      <c r="O71" s="19" t="e">
        <f>IF(J71="","SEM #CH",VLOOKUP(J71,#REF!,6,0))</f>
        <v>#REF!</v>
      </c>
      <c r="P71" s="19" t="e">
        <f>IF(J71="","SEM #CH",VLOOKUP(J71,#REF!,7,0))</f>
        <v>#REF!</v>
      </c>
      <c r="Q71" s="77" t="str">
        <f>VLOOKUP(J71,'p1'!$B$2:$C$30,2,0)</f>
        <v>#3/8-1620X1620</v>
      </c>
      <c r="R71" s="95">
        <v>45846</v>
      </c>
      <c r="S71" s="91" t="s">
        <v>221</v>
      </c>
      <c r="T71" s="91">
        <f t="shared" si="6"/>
        <v>1</v>
      </c>
      <c r="U71" s="91"/>
      <c r="V71" s="91"/>
      <c r="W71" s="93"/>
      <c r="X71" s="94" t="str">
        <f t="shared" si="7"/>
        <v/>
      </c>
      <c r="Y71"/>
    </row>
    <row r="72" spans="1:25">
      <c r="A72" s="90">
        <v>71</v>
      </c>
      <c r="B72" s="68">
        <v>45812</v>
      </c>
      <c r="C72" s="40">
        <v>32</v>
      </c>
      <c r="D72" s="40">
        <f t="shared" si="4"/>
        <v>1</v>
      </c>
      <c r="E72" s="44" t="s">
        <v>117</v>
      </c>
      <c r="F72" s="17" t="s">
        <v>60</v>
      </c>
      <c r="G72" s="17" t="s">
        <v>86</v>
      </c>
      <c r="H72" s="42" t="s">
        <v>308</v>
      </c>
      <c r="I72" s="17" t="str">
        <f t="shared" si="5"/>
        <v>PE-71</v>
      </c>
      <c r="J72" s="18" t="s">
        <v>89</v>
      </c>
      <c r="K72" s="19" t="e">
        <f>IF(J72="","SEM #CH",VLOOKUP(J72,#REF!,2,0))</f>
        <v>#REF!</v>
      </c>
      <c r="L72" s="19" t="e">
        <f>IF(J72="","SEM #CH",VLOOKUP(J72,#REF!,3,0))</f>
        <v>#REF!</v>
      </c>
      <c r="M72" s="19" t="e">
        <f>IF(J72="","SEM #CH",VLOOKUP(J72,#REF!,4,0))</f>
        <v>#REF!</v>
      </c>
      <c r="N72" s="19" t="e">
        <f>IF(J72="","SEM #CH",VLOOKUP(J72,#REF!,5,0))</f>
        <v>#REF!</v>
      </c>
      <c r="O72" s="19" t="e">
        <f>IF(J72="","SEM #CH",VLOOKUP(J72,#REF!,6,0))</f>
        <v>#REF!</v>
      </c>
      <c r="P72" s="19" t="e">
        <f>IF(J72="","SEM #CH",VLOOKUP(J72,#REF!,7,0))</f>
        <v>#REF!</v>
      </c>
      <c r="Q72" s="77" t="str">
        <f>VLOOKUP(J72,'p1'!$B$2:$C$30,2,0)</f>
        <v>#3/8-1200X1200</v>
      </c>
      <c r="R72" s="95">
        <v>45848</v>
      </c>
      <c r="S72" s="91" t="s">
        <v>221</v>
      </c>
      <c r="T72" s="91">
        <f t="shared" si="6"/>
        <v>1</v>
      </c>
      <c r="U72" s="91"/>
      <c r="V72" s="91"/>
      <c r="W72" s="93"/>
      <c r="X72" s="94" t="str">
        <f t="shared" si="7"/>
        <v/>
      </c>
      <c r="Y72"/>
    </row>
    <row r="73" spans="1:25">
      <c r="A73" s="90">
        <v>72</v>
      </c>
      <c r="B73" s="68">
        <v>45752</v>
      </c>
      <c r="C73" s="40">
        <v>9</v>
      </c>
      <c r="D73" s="40">
        <f t="shared" si="4"/>
        <v>1</v>
      </c>
      <c r="E73" s="44" t="s">
        <v>117</v>
      </c>
      <c r="F73" s="17" t="s">
        <v>58</v>
      </c>
      <c r="G73" s="17" t="s">
        <v>86</v>
      </c>
      <c r="H73" s="42" t="s">
        <v>309</v>
      </c>
      <c r="I73" s="17" t="str">
        <f t="shared" si="5"/>
        <v>PN-72</v>
      </c>
      <c r="J73" s="18" t="s">
        <v>85</v>
      </c>
      <c r="K73" s="19" t="e">
        <f>IF(J73="","SEM #CH",VLOOKUP(J73,#REF!,2,0))</f>
        <v>#REF!</v>
      </c>
      <c r="L73" s="19" t="e">
        <f>IF(J73="","SEM #CH",VLOOKUP(J73,#REF!,3,0))</f>
        <v>#REF!</v>
      </c>
      <c r="M73" s="19" t="e">
        <f>IF(J73="","SEM #CH",VLOOKUP(J73,#REF!,4,0))</f>
        <v>#REF!</v>
      </c>
      <c r="N73" s="19" t="e">
        <f>IF(J73="","SEM #CH",VLOOKUP(J73,#REF!,5,0))</f>
        <v>#REF!</v>
      </c>
      <c r="O73" s="19" t="e">
        <f>IF(J73="","SEM #CH",VLOOKUP(J73,#REF!,6,0))</f>
        <v>#REF!</v>
      </c>
      <c r="P73" s="19" t="e">
        <f>IF(J73="","SEM #CH",VLOOKUP(J73,#REF!,7,0))</f>
        <v>#REF!</v>
      </c>
      <c r="Q73" s="77" t="str">
        <f>VLOOKUP(J73,'p1'!$B$2:$C$30,2,0)</f>
        <v>NÃO TEM CHAPA</v>
      </c>
      <c r="R73" s="95">
        <v>45779</v>
      </c>
      <c r="S73" s="91" t="s">
        <v>222</v>
      </c>
      <c r="T73" s="91">
        <f t="shared" si="6"/>
        <v>1</v>
      </c>
      <c r="U73" s="95">
        <v>45833</v>
      </c>
      <c r="V73" s="91" t="s">
        <v>86</v>
      </c>
      <c r="W73" s="93">
        <v>2413</v>
      </c>
      <c r="X73" s="94">
        <f t="shared" si="7"/>
        <v>1</v>
      </c>
      <c r="Y73"/>
    </row>
    <row r="74" spans="1:25">
      <c r="A74" s="90">
        <v>73</v>
      </c>
      <c r="B74" s="68">
        <v>45752</v>
      </c>
      <c r="C74" s="40">
        <v>9</v>
      </c>
      <c r="D74" s="40">
        <f t="shared" si="4"/>
        <v>1</v>
      </c>
      <c r="E74" s="44" t="s">
        <v>117</v>
      </c>
      <c r="F74" s="17" t="s">
        <v>58</v>
      </c>
      <c r="G74" s="17" t="s">
        <v>86</v>
      </c>
      <c r="H74" s="42" t="s">
        <v>310</v>
      </c>
      <c r="I74" s="17" t="str">
        <f t="shared" si="5"/>
        <v>PN-73</v>
      </c>
      <c r="J74" s="18" t="s">
        <v>85</v>
      </c>
      <c r="K74" s="19" t="e">
        <f>IF(J74="","SEM #CH",VLOOKUP(J74,#REF!,2,0))</f>
        <v>#REF!</v>
      </c>
      <c r="L74" s="19" t="e">
        <f>IF(J74="","SEM #CH",VLOOKUP(J74,#REF!,3,0))</f>
        <v>#REF!</v>
      </c>
      <c r="M74" s="19" t="e">
        <f>IF(J74="","SEM #CH",VLOOKUP(J74,#REF!,4,0))</f>
        <v>#REF!</v>
      </c>
      <c r="N74" s="19" t="e">
        <f>IF(J74="","SEM #CH",VLOOKUP(J74,#REF!,5,0))</f>
        <v>#REF!</v>
      </c>
      <c r="O74" s="19" t="e">
        <f>IF(J74="","SEM #CH",VLOOKUP(J74,#REF!,6,0))</f>
        <v>#REF!</v>
      </c>
      <c r="P74" s="19" t="e">
        <f>IF(J74="","SEM #CH",VLOOKUP(J74,#REF!,7,0))</f>
        <v>#REF!</v>
      </c>
      <c r="Q74" s="77" t="str">
        <f>VLOOKUP(J74,'p1'!$B$2:$C$30,2,0)</f>
        <v>NÃO TEM CHAPA</v>
      </c>
      <c r="R74" s="95">
        <v>45779</v>
      </c>
      <c r="S74" s="91" t="s">
        <v>222</v>
      </c>
      <c r="T74" s="91">
        <f t="shared" si="6"/>
        <v>1</v>
      </c>
      <c r="U74" s="95">
        <v>45819</v>
      </c>
      <c r="V74" s="91" t="s">
        <v>86</v>
      </c>
      <c r="W74" s="93">
        <v>2379</v>
      </c>
      <c r="X74" s="94">
        <f t="shared" si="7"/>
        <v>1</v>
      </c>
      <c r="Y74"/>
    </row>
    <row r="75" spans="1:25">
      <c r="A75" s="90">
        <v>74</v>
      </c>
      <c r="B75" s="68">
        <v>45752</v>
      </c>
      <c r="C75" s="40">
        <v>9</v>
      </c>
      <c r="D75" s="40">
        <f t="shared" si="4"/>
        <v>1</v>
      </c>
      <c r="E75" s="44" t="s">
        <v>117</v>
      </c>
      <c r="F75" s="17" t="s">
        <v>58</v>
      </c>
      <c r="G75" s="17" t="s">
        <v>86</v>
      </c>
      <c r="H75" s="42" t="s">
        <v>311</v>
      </c>
      <c r="I75" s="17" t="str">
        <f t="shared" si="5"/>
        <v>PN-74</v>
      </c>
      <c r="J75" s="18" t="s">
        <v>85</v>
      </c>
      <c r="K75" s="19" t="e">
        <f>IF(J75="","SEM #CH",VLOOKUP(J75,#REF!,2,0))</f>
        <v>#REF!</v>
      </c>
      <c r="L75" s="19" t="e">
        <f>IF(J75="","SEM #CH",VLOOKUP(J75,#REF!,3,0))</f>
        <v>#REF!</v>
      </c>
      <c r="M75" s="19" t="e">
        <f>IF(J75="","SEM #CH",VLOOKUP(J75,#REF!,4,0))</f>
        <v>#REF!</v>
      </c>
      <c r="N75" s="19" t="e">
        <f>IF(J75="","SEM #CH",VLOOKUP(J75,#REF!,5,0))</f>
        <v>#REF!</v>
      </c>
      <c r="O75" s="19" t="e">
        <f>IF(J75="","SEM #CH",VLOOKUP(J75,#REF!,6,0))</f>
        <v>#REF!</v>
      </c>
      <c r="P75" s="19" t="e">
        <f>IF(J75="","SEM #CH",VLOOKUP(J75,#REF!,7,0))</f>
        <v>#REF!</v>
      </c>
      <c r="Q75" s="77" t="str">
        <f>VLOOKUP(J75,'p1'!$B$2:$C$30,2,0)</f>
        <v>NÃO TEM CHAPA</v>
      </c>
      <c r="R75" s="95">
        <v>45777</v>
      </c>
      <c r="S75" s="91" t="s">
        <v>222</v>
      </c>
      <c r="T75" s="91">
        <f t="shared" si="6"/>
        <v>1</v>
      </c>
      <c r="U75" s="95">
        <v>45820</v>
      </c>
      <c r="V75" s="91" t="s">
        <v>1053</v>
      </c>
      <c r="W75" s="93">
        <v>2381</v>
      </c>
      <c r="X75" s="94">
        <f t="shared" si="7"/>
        <v>1</v>
      </c>
      <c r="Y75"/>
    </row>
    <row r="76" spans="1:25">
      <c r="A76" s="90">
        <v>75</v>
      </c>
      <c r="B76" s="68">
        <v>45752</v>
      </c>
      <c r="C76" s="40">
        <v>9</v>
      </c>
      <c r="D76" s="40">
        <f t="shared" si="4"/>
        <v>1</v>
      </c>
      <c r="E76" s="44" t="s">
        <v>117</v>
      </c>
      <c r="F76" s="17" t="s">
        <v>58</v>
      </c>
      <c r="G76" s="17" t="s">
        <v>86</v>
      </c>
      <c r="H76" s="42" t="s">
        <v>312</v>
      </c>
      <c r="I76" s="17" t="str">
        <f t="shared" si="5"/>
        <v>PN-75</v>
      </c>
      <c r="J76" s="18" t="s">
        <v>85</v>
      </c>
      <c r="K76" s="19" t="e">
        <f>IF(J76="","SEM #CH",VLOOKUP(J76,#REF!,2,0))</f>
        <v>#REF!</v>
      </c>
      <c r="L76" s="19" t="e">
        <f>IF(J76="","SEM #CH",VLOOKUP(J76,#REF!,3,0))</f>
        <v>#REF!</v>
      </c>
      <c r="M76" s="19" t="e">
        <f>IF(J76="","SEM #CH",VLOOKUP(J76,#REF!,4,0))</f>
        <v>#REF!</v>
      </c>
      <c r="N76" s="19" t="e">
        <f>IF(J76="","SEM #CH",VLOOKUP(J76,#REF!,5,0))</f>
        <v>#REF!</v>
      </c>
      <c r="O76" s="19" t="e">
        <f>IF(J76="","SEM #CH",VLOOKUP(J76,#REF!,6,0))</f>
        <v>#REF!</v>
      </c>
      <c r="P76" s="19" t="e">
        <f>IF(J76="","SEM #CH",VLOOKUP(J76,#REF!,7,0))</f>
        <v>#REF!</v>
      </c>
      <c r="Q76" s="77" t="str">
        <f>VLOOKUP(J76,'p1'!$B$2:$C$30,2,0)</f>
        <v>NÃO TEM CHAPA</v>
      </c>
      <c r="R76" s="95">
        <v>45777</v>
      </c>
      <c r="S76" s="91" t="s">
        <v>222</v>
      </c>
      <c r="T76" s="91">
        <f t="shared" si="6"/>
        <v>1</v>
      </c>
      <c r="U76" s="95">
        <v>45819</v>
      </c>
      <c r="V76" s="91" t="s">
        <v>86</v>
      </c>
      <c r="W76" s="93">
        <v>2379</v>
      </c>
      <c r="X76" s="94">
        <f t="shared" si="7"/>
        <v>1</v>
      </c>
      <c r="Y76"/>
    </row>
    <row r="77" spans="1:25">
      <c r="A77" s="90">
        <v>76</v>
      </c>
      <c r="B77" s="68">
        <v>45754</v>
      </c>
      <c r="C77" s="40">
        <v>10</v>
      </c>
      <c r="D77" s="40">
        <f t="shared" si="4"/>
        <v>1</v>
      </c>
      <c r="E77" s="44" t="s">
        <v>117</v>
      </c>
      <c r="F77" s="17" t="s">
        <v>58</v>
      </c>
      <c r="G77" s="17" t="s">
        <v>86</v>
      </c>
      <c r="H77" s="42" t="s">
        <v>313</v>
      </c>
      <c r="I77" s="17" t="str">
        <f t="shared" si="5"/>
        <v>PN-76</v>
      </c>
      <c r="J77" s="18" t="s">
        <v>85</v>
      </c>
      <c r="K77" s="19" t="e">
        <f>IF(J77="","SEM #CH",VLOOKUP(J77,#REF!,2,0))</f>
        <v>#REF!</v>
      </c>
      <c r="L77" s="19" t="e">
        <f>IF(J77="","SEM #CH",VLOOKUP(J77,#REF!,3,0))</f>
        <v>#REF!</v>
      </c>
      <c r="M77" s="19" t="e">
        <f>IF(J77="","SEM #CH",VLOOKUP(J77,#REF!,4,0))</f>
        <v>#REF!</v>
      </c>
      <c r="N77" s="19" t="e">
        <f>IF(J77="","SEM #CH",VLOOKUP(J77,#REF!,5,0))</f>
        <v>#REF!</v>
      </c>
      <c r="O77" s="19" t="e">
        <f>IF(J77="","SEM #CH",VLOOKUP(J77,#REF!,6,0))</f>
        <v>#REF!</v>
      </c>
      <c r="P77" s="19" t="e">
        <f>IF(J77="","SEM #CH",VLOOKUP(J77,#REF!,7,0))</f>
        <v>#REF!</v>
      </c>
      <c r="Q77" s="77" t="str">
        <f>VLOOKUP(J77,'p1'!$B$2:$C$30,2,0)</f>
        <v>NÃO TEM CHAPA</v>
      </c>
      <c r="R77" s="95"/>
      <c r="S77" s="91" t="s">
        <v>221</v>
      </c>
      <c r="T77" s="91" t="str">
        <f t="shared" si="6"/>
        <v/>
      </c>
      <c r="U77" s="91"/>
      <c r="V77" s="91"/>
      <c r="W77" s="93"/>
      <c r="X77" s="94" t="str">
        <f t="shared" si="7"/>
        <v/>
      </c>
      <c r="Y77"/>
    </row>
    <row r="78" spans="1:25">
      <c r="A78" s="90">
        <v>77</v>
      </c>
      <c r="B78" s="68">
        <v>45754</v>
      </c>
      <c r="C78" s="40">
        <v>10</v>
      </c>
      <c r="D78" s="40">
        <f t="shared" si="4"/>
        <v>1</v>
      </c>
      <c r="E78" s="44" t="s">
        <v>117</v>
      </c>
      <c r="F78" s="17" t="s">
        <v>58</v>
      </c>
      <c r="G78" s="17" t="s">
        <v>86</v>
      </c>
      <c r="H78" s="42" t="s">
        <v>314</v>
      </c>
      <c r="I78" s="17" t="str">
        <f t="shared" si="5"/>
        <v>PN-77</v>
      </c>
      <c r="J78" s="18" t="s">
        <v>85</v>
      </c>
      <c r="K78" s="19" t="e">
        <f>IF(J78="","SEM #CH",VLOOKUP(J78,#REF!,2,0))</f>
        <v>#REF!</v>
      </c>
      <c r="L78" s="19" t="e">
        <f>IF(J78="","SEM #CH",VLOOKUP(J78,#REF!,3,0))</f>
        <v>#REF!</v>
      </c>
      <c r="M78" s="19" t="e">
        <f>IF(J78="","SEM #CH",VLOOKUP(J78,#REF!,4,0))</f>
        <v>#REF!</v>
      </c>
      <c r="N78" s="19" t="e">
        <f>IF(J78="","SEM #CH",VLOOKUP(J78,#REF!,5,0))</f>
        <v>#REF!</v>
      </c>
      <c r="O78" s="19" t="e">
        <f>IF(J78="","SEM #CH",VLOOKUP(J78,#REF!,6,0))</f>
        <v>#REF!</v>
      </c>
      <c r="P78" s="19" t="e">
        <f>IF(J78="","SEM #CH",VLOOKUP(J78,#REF!,7,0))</f>
        <v>#REF!</v>
      </c>
      <c r="Q78" s="77" t="str">
        <f>VLOOKUP(J78,'p1'!$B$2:$C$30,2,0)</f>
        <v>NÃO TEM CHAPA</v>
      </c>
      <c r="R78" s="95"/>
      <c r="S78" s="91" t="s">
        <v>221</v>
      </c>
      <c r="T78" s="91" t="str">
        <f t="shared" si="6"/>
        <v/>
      </c>
      <c r="U78" s="91"/>
      <c r="V78" s="91"/>
      <c r="W78" s="93"/>
      <c r="X78" s="94" t="str">
        <f t="shared" si="7"/>
        <v/>
      </c>
      <c r="Y78"/>
    </row>
    <row r="79" spans="1:25">
      <c r="A79" s="90">
        <v>78</v>
      </c>
      <c r="B79" s="68">
        <v>45754</v>
      </c>
      <c r="C79" s="40">
        <v>10</v>
      </c>
      <c r="D79" s="40">
        <f t="shared" si="4"/>
        <v>1</v>
      </c>
      <c r="E79" s="44" t="s">
        <v>117</v>
      </c>
      <c r="F79" s="17" t="s">
        <v>58</v>
      </c>
      <c r="G79" s="17" t="s">
        <v>86</v>
      </c>
      <c r="H79" s="42" t="s">
        <v>315</v>
      </c>
      <c r="I79" s="17" t="str">
        <f t="shared" si="5"/>
        <v>PN-78</v>
      </c>
      <c r="J79" s="18" t="s">
        <v>85</v>
      </c>
      <c r="K79" s="19" t="e">
        <f>IF(J79="","SEM #CH",VLOOKUP(J79,#REF!,2,0))</f>
        <v>#REF!</v>
      </c>
      <c r="L79" s="19" t="e">
        <f>IF(J79="","SEM #CH",VLOOKUP(J79,#REF!,3,0))</f>
        <v>#REF!</v>
      </c>
      <c r="M79" s="19" t="e">
        <f>IF(J79="","SEM #CH",VLOOKUP(J79,#REF!,4,0))</f>
        <v>#REF!</v>
      </c>
      <c r="N79" s="19" t="e">
        <f>IF(J79="","SEM #CH",VLOOKUP(J79,#REF!,5,0))</f>
        <v>#REF!</v>
      </c>
      <c r="O79" s="19" t="e">
        <f>IF(J79="","SEM #CH",VLOOKUP(J79,#REF!,6,0))</f>
        <v>#REF!</v>
      </c>
      <c r="P79" s="19" t="e">
        <f>IF(J79="","SEM #CH",VLOOKUP(J79,#REF!,7,0))</f>
        <v>#REF!</v>
      </c>
      <c r="Q79" s="77" t="str">
        <f>VLOOKUP(J79,'p1'!$B$2:$C$30,2,0)</f>
        <v>NÃO TEM CHAPA</v>
      </c>
      <c r="R79" s="95"/>
      <c r="S79" s="91" t="s">
        <v>221</v>
      </c>
      <c r="T79" s="91" t="str">
        <f t="shared" si="6"/>
        <v/>
      </c>
      <c r="U79" s="91"/>
      <c r="V79" s="91"/>
      <c r="W79" s="93"/>
      <c r="X79" s="94" t="str">
        <f t="shared" si="7"/>
        <v/>
      </c>
      <c r="Y79"/>
    </row>
    <row r="80" spans="1:25">
      <c r="A80" s="90">
        <v>79</v>
      </c>
      <c r="B80" s="68">
        <v>45754</v>
      </c>
      <c r="C80" s="40">
        <v>10</v>
      </c>
      <c r="D80" s="40">
        <f t="shared" si="4"/>
        <v>1</v>
      </c>
      <c r="E80" s="44" t="s">
        <v>117</v>
      </c>
      <c r="F80" s="17" t="s">
        <v>58</v>
      </c>
      <c r="G80" s="17" t="s">
        <v>86</v>
      </c>
      <c r="H80" s="42" t="s">
        <v>316</v>
      </c>
      <c r="I80" s="17" t="str">
        <f t="shared" si="5"/>
        <v>PN-79</v>
      </c>
      <c r="J80" s="18" t="s">
        <v>85</v>
      </c>
      <c r="K80" s="19" t="e">
        <f>IF(J80="","SEM #CH",VLOOKUP(J80,#REF!,2,0))</f>
        <v>#REF!</v>
      </c>
      <c r="L80" s="19" t="e">
        <f>IF(J80="","SEM #CH",VLOOKUP(J80,#REF!,3,0))</f>
        <v>#REF!</v>
      </c>
      <c r="M80" s="19" t="e">
        <f>IF(J80="","SEM #CH",VLOOKUP(J80,#REF!,4,0))</f>
        <v>#REF!</v>
      </c>
      <c r="N80" s="19" t="e">
        <f>IF(J80="","SEM #CH",VLOOKUP(J80,#REF!,5,0))</f>
        <v>#REF!</v>
      </c>
      <c r="O80" s="19" t="e">
        <f>IF(J80="","SEM #CH",VLOOKUP(J80,#REF!,6,0))</f>
        <v>#REF!</v>
      </c>
      <c r="P80" s="19" t="e">
        <f>IF(J80="","SEM #CH",VLOOKUP(J80,#REF!,7,0))</f>
        <v>#REF!</v>
      </c>
      <c r="Q80" s="77" t="str">
        <f>VLOOKUP(J80,'p1'!$B$2:$C$30,2,0)</f>
        <v>NÃO TEM CHAPA</v>
      </c>
      <c r="R80" s="95"/>
      <c r="S80" s="91" t="s">
        <v>221</v>
      </c>
      <c r="T80" s="91" t="str">
        <f t="shared" si="6"/>
        <v/>
      </c>
      <c r="U80" s="91"/>
      <c r="V80" s="91"/>
      <c r="W80" s="93"/>
      <c r="X80" s="94" t="str">
        <f t="shared" si="7"/>
        <v/>
      </c>
      <c r="Y80"/>
    </row>
    <row r="81" spans="1:25">
      <c r="A81" s="90">
        <v>80</v>
      </c>
      <c r="B81" s="68">
        <v>45754</v>
      </c>
      <c r="C81" s="40">
        <v>10</v>
      </c>
      <c r="D81" s="40">
        <f t="shared" si="4"/>
        <v>1</v>
      </c>
      <c r="E81" s="44" t="s">
        <v>117</v>
      </c>
      <c r="F81" s="17" t="s">
        <v>58</v>
      </c>
      <c r="G81" s="17" t="s">
        <v>86</v>
      </c>
      <c r="H81" s="42" t="s">
        <v>317</v>
      </c>
      <c r="I81" s="17" t="str">
        <f t="shared" si="5"/>
        <v>PN-80</v>
      </c>
      <c r="J81" s="18" t="s">
        <v>85</v>
      </c>
      <c r="K81" s="19" t="e">
        <f>IF(J81="","SEM #CH",VLOOKUP(J81,#REF!,2,0))</f>
        <v>#REF!</v>
      </c>
      <c r="L81" s="19" t="e">
        <f>IF(J81="","SEM #CH",VLOOKUP(J81,#REF!,3,0))</f>
        <v>#REF!</v>
      </c>
      <c r="M81" s="19" t="e">
        <f>IF(J81="","SEM #CH",VLOOKUP(J81,#REF!,4,0))</f>
        <v>#REF!</v>
      </c>
      <c r="N81" s="19" t="e">
        <f>IF(J81="","SEM #CH",VLOOKUP(J81,#REF!,5,0))</f>
        <v>#REF!</v>
      </c>
      <c r="O81" s="19" t="e">
        <f>IF(J81="","SEM #CH",VLOOKUP(J81,#REF!,6,0))</f>
        <v>#REF!</v>
      </c>
      <c r="P81" s="19" t="e">
        <f>IF(J81="","SEM #CH",VLOOKUP(J81,#REF!,7,0))</f>
        <v>#REF!</v>
      </c>
      <c r="Q81" s="77" t="str">
        <f>VLOOKUP(J81,'p1'!$B$2:$C$30,2,0)</f>
        <v>NÃO TEM CHAPA</v>
      </c>
      <c r="R81" s="95"/>
      <c r="S81" s="91" t="s">
        <v>221</v>
      </c>
      <c r="T81" s="91" t="str">
        <f t="shared" si="6"/>
        <v/>
      </c>
      <c r="U81" s="91"/>
      <c r="V81" s="91"/>
      <c r="W81" s="93"/>
      <c r="X81" s="94" t="str">
        <f t="shared" si="7"/>
        <v/>
      </c>
      <c r="Y81"/>
    </row>
    <row r="82" spans="1:25">
      <c r="A82" s="90">
        <v>81</v>
      </c>
      <c r="B82" s="68">
        <v>45754</v>
      </c>
      <c r="C82" s="40">
        <v>10</v>
      </c>
      <c r="D82" s="40">
        <f t="shared" si="4"/>
        <v>1</v>
      </c>
      <c r="E82" s="44" t="s">
        <v>117</v>
      </c>
      <c r="F82" s="17" t="s">
        <v>58</v>
      </c>
      <c r="G82" s="17" t="s">
        <v>86</v>
      </c>
      <c r="H82" s="42" t="s">
        <v>318</v>
      </c>
      <c r="I82" s="17" t="str">
        <f t="shared" si="5"/>
        <v>PN-81</v>
      </c>
      <c r="J82" s="18" t="s">
        <v>85</v>
      </c>
      <c r="K82" s="19" t="e">
        <f>IF(J82="","SEM #CH",VLOOKUP(J82,#REF!,2,0))</f>
        <v>#REF!</v>
      </c>
      <c r="L82" s="19" t="e">
        <f>IF(J82="","SEM #CH",VLOOKUP(J82,#REF!,3,0))</f>
        <v>#REF!</v>
      </c>
      <c r="M82" s="19" t="e">
        <f>IF(J82="","SEM #CH",VLOOKUP(J82,#REF!,4,0))</f>
        <v>#REF!</v>
      </c>
      <c r="N82" s="19" t="e">
        <f>IF(J82="","SEM #CH",VLOOKUP(J82,#REF!,5,0))</f>
        <v>#REF!</v>
      </c>
      <c r="O82" s="19" t="e">
        <f>IF(J82="","SEM #CH",VLOOKUP(J82,#REF!,6,0))</f>
        <v>#REF!</v>
      </c>
      <c r="P82" s="19" t="e">
        <f>IF(J82="","SEM #CH",VLOOKUP(J82,#REF!,7,0))</f>
        <v>#REF!</v>
      </c>
      <c r="Q82" s="77" t="str">
        <f>VLOOKUP(J82,'p1'!$B$2:$C$30,2,0)</f>
        <v>NÃO TEM CHAPA</v>
      </c>
      <c r="R82" s="95"/>
      <c r="S82" s="91" t="s">
        <v>221</v>
      </c>
      <c r="T82" s="91" t="str">
        <f t="shared" si="6"/>
        <v/>
      </c>
      <c r="U82" s="91"/>
      <c r="V82" s="91"/>
      <c r="W82" s="93"/>
      <c r="X82" s="94" t="str">
        <f t="shared" si="7"/>
        <v/>
      </c>
      <c r="Y82"/>
    </row>
    <row r="83" spans="1:25">
      <c r="A83" s="90">
        <v>82</v>
      </c>
      <c r="B83" s="68">
        <v>45754</v>
      </c>
      <c r="C83" s="40">
        <v>10</v>
      </c>
      <c r="D83" s="40">
        <f t="shared" si="4"/>
        <v>1</v>
      </c>
      <c r="E83" s="44" t="s">
        <v>117</v>
      </c>
      <c r="F83" s="17" t="s">
        <v>58</v>
      </c>
      <c r="G83" s="17" t="s">
        <v>86</v>
      </c>
      <c r="H83" s="42" t="s">
        <v>319</v>
      </c>
      <c r="I83" s="17" t="str">
        <f t="shared" si="5"/>
        <v>PN-82</v>
      </c>
      <c r="J83" s="18" t="s">
        <v>85</v>
      </c>
      <c r="K83" s="19" t="e">
        <f>IF(J83="","SEM #CH",VLOOKUP(J83,#REF!,2,0))</f>
        <v>#REF!</v>
      </c>
      <c r="L83" s="19" t="e">
        <f>IF(J83="","SEM #CH",VLOOKUP(J83,#REF!,3,0))</f>
        <v>#REF!</v>
      </c>
      <c r="M83" s="19" t="e">
        <f>IF(J83="","SEM #CH",VLOOKUP(J83,#REF!,4,0))</f>
        <v>#REF!</v>
      </c>
      <c r="N83" s="19" t="e">
        <f>IF(J83="","SEM #CH",VLOOKUP(J83,#REF!,5,0))</f>
        <v>#REF!</v>
      </c>
      <c r="O83" s="19" t="e">
        <f>IF(J83="","SEM #CH",VLOOKUP(J83,#REF!,6,0))</f>
        <v>#REF!</v>
      </c>
      <c r="P83" s="19" t="e">
        <f>IF(J83="","SEM #CH",VLOOKUP(J83,#REF!,7,0))</f>
        <v>#REF!</v>
      </c>
      <c r="Q83" s="77" t="str">
        <f>VLOOKUP(J83,'p1'!$B$2:$C$30,2,0)</f>
        <v>NÃO TEM CHAPA</v>
      </c>
      <c r="R83" s="95">
        <v>45776</v>
      </c>
      <c r="S83" s="91" t="s">
        <v>221</v>
      </c>
      <c r="T83" s="91">
        <f t="shared" si="6"/>
        <v>1</v>
      </c>
      <c r="U83" s="91"/>
      <c r="V83" s="91"/>
      <c r="W83" s="93"/>
      <c r="X83" s="94" t="str">
        <f t="shared" si="7"/>
        <v/>
      </c>
      <c r="Y83"/>
    </row>
    <row r="84" spans="1:25">
      <c r="A84" s="90">
        <v>83</v>
      </c>
      <c r="B84" s="68">
        <v>45755</v>
      </c>
      <c r="C84" s="40">
        <v>11</v>
      </c>
      <c r="D84" s="40">
        <f t="shared" si="4"/>
        <v>1</v>
      </c>
      <c r="E84" s="44" t="s">
        <v>117</v>
      </c>
      <c r="F84" s="17" t="s">
        <v>58</v>
      </c>
      <c r="G84" s="17" t="s">
        <v>86</v>
      </c>
      <c r="H84" s="42" t="s">
        <v>320</v>
      </c>
      <c r="I84" s="17" t="str">
        <f t="shared" si="5"/>
        <v>PN-83</v>
      </c>
      <c r="J84" s="18" t="s">
        <v>85</v>
      </c>
      <c r="K84" s="19" t="e">
        <f>IF(J84="","SEM #CH",VLOOKUP(J84,#REF!,2,0))</f>
        <v>#REF!</v>
      </c>
      <c r="L84" s="19" t="e">
        <f>IF(J84="","SEM #CH",VLOOKUP(J84,#REF!,3,0))</f>
        <v>#REF!</v>
      </c>
      <c r="M84" s="19" t="e">
        <f>IF(J84="","SEM #CH",VLOOKUP(J84,#REF!,4,0))</f>
        <v>#REF!</v>
      </c>
      <c r="N84" s="19" t="e">
        <f>IF(J84="","SEM #CH",VLOOKUP(J84,#REF!,5,0))</f>
        <v>#REF!</v>
      </c>
      <c r="O84" s="19" t="e">
        <f>IF(J84="","SEM #CH",VLOOKUP(J84,#REF!,6,0))</f>
        <v>#REF!</v>
      </c>
      <c r="P84" s="19" t="e">
        <f>IF(J84="","SEM #CH",VLOOKUP(J84,#REF!,7,0))</f>
        <v>#REF!</v>
      </c>
      <c r="Q84" s="77" t="str">
        <f>VLOOKUP(J84,'p1'!$B$2:$C$30,2,0)</f>
        <v>NÃO TEM CHAPA</v>
      </c>
      <c r="R84" s="95">
        <v>45803</v>
      </c>
      <c r="S84" s="91" t="s">
        <v>222</v>
      </c>
      <c r="T84" s="91">
        <f t="shared" si="6"/>
        <v>1</v>
      </c>
      <c r="U84" s="95">
        <v>45828</v>
      </c>
      <c r="V84" s="91" t="s">
        <v>86</v>
      </c>
      <c r="W84" s="93">
        <v>2396</v>
      </c>
      <c r="X84" s="94">
        <f t="shared" si="7"/>
        <v>1</v>
      </c>
      <c r="Y84"/>
    </row>
    <row r="85" spans="1:25">
      <c r="A85" s="90">
        <v>84</v>
      </c>
      <c r="B85" s="68">
        <v>45755</v>
      </c>
      <c r="C85" s="40">
        <v>11</v>
      </c>
      <c r="D85" s="40">
        <f t="shared" si="4"/>
        <v>1</v>
      </c>
      <c r="E85" s="44" t="s">
        <v>117</v>
      </c>
      <c r="F85" s="17" t="s">
        <v>58</v>
      </c>
      <c r="G85" s="17" t="s">
        <v>86</v>
      </c>
      <c r="H85" s="42" t="s">
        <v>321</v>
      </c>
      <c r="I85" s="17" t="str">
        <f t="shared" si="5"/>
        <v>PN-84</v>
      </c>
      <c r="J85" s="18" t="s">
        <v>85</v>
      </c>
      <c r="K85" s="19" t="e">
        <f>IF(J85="","SEM #CH",VLOOKUP(J85,#REF!,2,0))</f>
        <v>#REF!</v>
      </c>
      <c r="L85" s="19" t="e">
        <f>IF(J85="","SEM #CH",VLOOKUP(J85,#REF!,3,0))</f>
        <v>#REF!</v>
      </c>
      <c r="M85" s="19" t="e">
        <f>IF(J85="","SEM #CH",VLOOKUP(J85,#REF!,4,0))</f>
        <v>#REF!</v>
      </c>
      <c r="N85" s="19" t="e">
        <f>IF(J85="","SEM #CH",VLOOKUP(J85,#REF!,5,0))</f>
        <v>#REF!</v>
      </c>
      <c r="O85" s="19" t="e">
        <f>IF(J85="","SEM #CH",VLOOKUP(J85,#REF!,6,0))</f>
        <v>#REF!</v>
      </c>
      <c r="P85" s="19" t="e">
        <f>IF(J85="","SEM #CH",VLOOKUP(J85,#REF!,7,0))</f>
        <v>#REF!</v>
      </c>
      <c r="Q85" s="77" t="str">
        <f>VLOOKUP(J85,'p1'!$B$2:$C$30,2,0)</f>
        <v>NÃO TEM CHAPA</v>
      </c>
      <c r="R85" s="95">
        <v>45804</v>
      </c>
      <c r="S85" s="91" t="s">
        <v>222</v>
      </c>
      <c r="T85" s="91">
        <f t="shared" si="6"/>
        <v>1</v>
      </c>
      <c r="U85" s="95">
        <v>45828</v>
      </c>
      <c r="V85" s="91" t="s">
        <v>86</v>
      </c>
      <c r="W85" s="93">
        <v>2396</v>
      </c>
      <c r="X85" s="94">
        <f t="shared" si="7"/>
        <v>1</v>
      </c>
      <c r="Y85"/>
    </row>
    <row r="86" spans="1:25">
      <c r="A86" s="90">
        <v>85</v>
      </c>
      <c r="B86" s="68">
        <v>45755</v>
      </c>
      <c r="C86" s="40">
        <v>11</v>
      </c>
      <c r="D86" s="40">
        <f t="shared" si="4"/>
        <v>1</v>
      </c>
      <c r="E86" s="44" t="s">
        <v>117</v>
      </c>
      <c r="F86" s="17" t="s">
        <v>58</v>
      </c>
      <c r="G86" s="17" t="s">
        <v>86</v>
      </c>
      <c r="H86" s="42" t="s">
        <v>322</v>
      </c>
      <c r="I86" s="17" t="str">
        <f t="shared" si="5"/>
        <v>PN-85</v>
      </c>
      <c r="J86" s="18" t="s">
        <v>85</v>
      </c>
      <c r="K86" s="19" t="e">
        <f>IF(J86="","SEM #CH",VLOOKUP(J86,#REF!,2,0))</f>
        <v>#REF!</v>
      </c>
      <c r="L86" s="19" t="e">
        <f>IF(J86="","SEM #CH",VLOOKUP(J86,#REF!,3,0))</f>
        <v>#REF!</v>
      </c>
      <c r="M86" s="19" t="e">
        <f>IF(J86="","SEM #CH",VLOOKUP(J86,#REF!,4,0))</f>
        <v>#REF!</v>
      </c>
      <c r="N86" s="19" t="e">
        <f>IF(J86="","SEM #CH",VLOOKUP(J86,#REF!,5,0))</f>
        <v>#REF!</v>
      </c>
      <c r="O86" s="19" t="e">
        <f>IF(J86="","SEM #CH",VLOOKUP(J86,#REF!,6,0))</f>
        <v>#REF!</v>
      </c>
      <c r="P86" s="19" t="e">
        <f>IF(J86="","SEM #CH",VLOOKUP(J86,#REF!,7,0))</f>
        <v>#REF!</v>
      </c>
      <c r="Q86" s="77" t="str">
        <f>VLOOKUP(J86,'p1'!$B$2:$C$30,2,0)</f>
        <v>NÃO TEM CHAPA</v>
      </c>
      <c r="R86" s="95">
        <v>45804</v>
      </c>
      <c r="S86" s="91" t="s">
        <v>222</v>
      </c>
      <c r="T86" s="91">
        <f t="shared" si="6"/>
        <v>1</v>
      </c>
      <c r="U86" s="95">
        <v>45828</v>
      </c>
      <c r="V86" s="91" t="s">
        <v>86</v>
      </c>
      <c r="W86" s="93">
        <v>2398</v>
      </c>
      <c r="X86" s="94">
        <f t="shared" si="7"/>
        <v>1</v>
      </c>
      <c r="Y86"/>
    </row>
    <row r="87" spans="1:25">
      <c r="A87" s="90">
        <v>86</v>
      </c>
      <c r="B87" s="68">
        <v>45812</v>
      </c>
      <c r="C87" s="40">
        <v>32</v>
      </c>
      <c r="D87" s="40">
        <f t="shared" si="4"/>
        <v>1</v>
      </c>
      <c r="E87" s="44" t="s">
        <v>117</v>
      </c>
      <c r="F87" s="17" t="s">
        <v>60</v>
      </c>
      <c r="G87" s="17" t="s">
        <v>86</v>
      </c>
      <c r="H87" s="42" t="s">
        <v>323</v>
      </c>
      <c r="I87" s="17" t="str">
        <f t="shared" si="5"/>
        <v>PE-86</v>
      </c>
      <c r="J87" s="18" t="s">
        <v>90</v>
      </c>
      <c r="K87" s="19" t="e">
        <f>IF(J87="","SEM #CH",VLOOKUP(J87,#REF!,2,0))</f>
        <v>#REF!</v>
      </c>
      <c r="L87" s="19" t="e">
        <f>IF(J87="","SEM #CH",VLOOKUP(J87,#REF!,3,0))</f>
        <v>#REF!</v>
      </c>
      <c r="M87" s="19" t="e">
        <f>IF(J87="","SEM #CH",VLOOKUP(J87,#REF!,4,0))</f>
        <v>#REF!</v>
      </c>
      <c r="N87" s="19" t="e">
        <f>IF(J87="","SEM #CH",VLOOKUP(J87,#REF!,5,0))</f>
        <v>#REF!</v>
      </c>
      <c r="O87" s="19" t="e">
        <f>IF(J87="","SEM #CH",VLOOKUP(J87,#REF!,6,0))</f>
        <v>#REF!</v>
      </c>
      <c r="P87" s="19" t="e">
        <f>IF(J87="","SEM #CH",VLOOKUP(J87,#REF!,7,0))</f>
        <v>#REF!</v>
      </c>
      <c r="Q87" s="77" t="str">
        <f>VLOOKUP(J87,'p1'!$B$2:$C$30,2,0)</f>
        <v>#3/8-530X530</v>
      </c>
      <c r="R87" s="95">
        <v>45815</v>
      </c>
      <c r="S87" s="91" t="s">
        <v>221</v>
      </c>
      <c r="T87" s="91">
        <f t="shared" si="6"/>
        <v>1</v>
      </c>
      <c r="U87" s="95">
        <v>45819</v>
      </c>
      <c r="V87" s="91" t="s">
        <v>86</v>
      </c>
      <c r="W87" s="93">
        <v>2378</v>
      </c>
      <c r="X87" s="94">
        <f t="shared" si="7"/>
        <v>1</v>
      </c>
      <c r="Y87"/>
    </row>
    <row r="88" spans="1:25">
      <c r="A88" s="90">
        <v>87</v>
      </c>
      <c r="B88" s="68">
        <v>45755</v>
      </c>
      <c r="C88" s="40">
        <v>11</v>
      </c>
      <c r="D88" s="40">
        <f t="shared" si="4"/>
        <v>1</v>
      </c>
      <c r="E88" s="44" t="s">
        <v>117</v>
      </c>
      <c r="F88" s="17" t="s">
        <v>58</v>
      </c>
      <c r="G88" s="17" t="s">
        <v>86</v>
      </c>
      <c r="H88" s="42" t="s">
        <v>324</v>
      </c>
      <c r="I88" s="17" t="str">
        <f t="shared" si="5"/>
        <v>PN-87</v>
      </c>
      <c r="J88" s="18" t="s">
        <v>85</v>
      </c>
      <c r="K88" s="19" t="e">
        <f>IF(J88="","SEM #CH",VLOOKUP(J88,#REF!,2,0))</f>
        <v>#REF!</v>
      </c>
      <c r="L88" s="19" t="e">
        <f>IF(J88="","SEM #CH",VLOOKUP(J88,#REF!,3,0))</f>
        <v>#REF!</v>
      </c>
      <c r="M88" s="19" t="e">
        <f>IF(J88="","SEM #CH",VLOOKUP(J88,#REF!,4,0))</f>
        <v>#REF!</v>
      </c>
      <c r="N88" s="19" t="e">
        <f>IF(J88="","SEM #CH",VLOOKUP(J88,#REF!,5,0))</f>
        <v>#REF!</v>
      </c>
      <c r="O88" s="19" t="e">
        <f>IF(J88="","SEM #CH",VLOOKUP(J88,#REF!,6,0))</f>
        <v>#REF!</v>
      </c>
      <c r="P88" s="19" t="e">
        <f>IF(J88="","SEM #CH",VLOOKUP(J88,#REF!,7,0))</f>
        <v>#REF!</v>
      </c>
      <c r="Q88" s="77" t="str">
        <f>VLOOKUP(J88,'p1'!$B$2:$C$30,2,0)</f>
        <v>NÃO TEM CHAPA</v>
      </c>
      <c r="R88" s="95">
        <v>45807</v>
      </c>
      <c r="S88" s="91" t="s">
        <v>222</v>
      </c>
      <c r="T88" s="91">
        <f t="shared" si="6"/>
        <v>1</v>
      </c>
      <c r="U88" s="95">
        <v>45828</v>
      </c>
      <c r="V88" s="91" t="s">
        <v>86</v>
      </c>
      <c r="W88" s="93">
        <v>2398</v>
      </c>
      <c r="X88" s="94">
        <f t="shared" si="7"/>
        <v>1</v>
      </c>
      <c r="Y88"/>
    </row>
    <row r="89" spans="1:25">
      <c r="A89" s="90">
        <v>88</v>
      </c>
      <c r="B89" s="68">
        <v>45755</v>
      </c>
      <c r="C89" s="40">
        <v>11</v>
      </c>
      <c r="D89" s="40">
        <f t="shared" si="4"/>
        <v>1</v>
      </c>
      <c r="E89" s="44" t="s">
        <v>117</v>
      </c>
      <c r="F89" s="17" t="s">
        <v>58</v>
      </c>
      <c r="G89" s="17" t="s">
        <v>86</v>
      </c>
      <c r="H89" s="42" t="s">
        <v>325</v>
      </c>
      <c r="I89" s="17" t="str">
        <f t="shared" si="5"/>
        <v>PN-88</v>
      </c>
      <c r="J89" s="18" t="s">
        <v>85</v>
      </c>
      <c r="K89" s="19" t="e">
        <f>IF(J89="","SEM #CH",VLOOKUP(J89,#REF!,2,0))</f>
        <v>#REF!</v>
      </c>
      <c r="L89" s="19" t="e">
        <f>IF(J89="","SEM #CH",VLOOKUP(J89,#REF!,3,0))</f>
        <v>#REF!</v>
      </c>
      <c r="M89" s="19" t="e">
        <f>IF(J89="","SEM #CH",VLOOKUP(J89,#REF!,4,0))</f>
        <v>#REF!</v>
      </c>
      <c r="N89" s="19" t="e">
        <f>IF(J89="","SEM #CH",VLOOKUP(J89,#REF!,5,0))</f>
        <v>#REF!</v>
      </c>
      <c r="O89" s="19" t="e">
        <f>IF(J89="","SEM #CH",VLOOKUP(J89,#REF!,6,0))</f>
        <v>#REF!</v>
      </c>
      <c r="P89" s="19" t="e">
        <f>IF(J89="","SEM #CH",VLOOKUP(J89,#REF!,7,0))</f>
        <v>#REF!</v>
      </c>
      <c r="Q89" s="77" t="str">
        <f>VLOOKUP(J89,'p1'!$B$2:$C$30,2,0)</f>
        <v>NÃO TEM CHAPA</v>
      </c>
      <c r="R89" s="95">
        <v>45807</v>
      </c>
      <c r="S89" s="91" t="s">
        <v>222</v>
      </c>
      <c r="T89" s="91">
        <f t="shared" si="6"/>
        <v>1</v>
      </c>
      <c r="U89" s="95">
        <v>45828</v>
      </c>
      <c r="V89" s="91" t="s">
        <v>86</v>
      </c>
      <c r="W89" s="93">
        <v>2396</v>
      </c>
      <c r="X89" s="94">
        <f t="shared" si="7"/>
        <v>1</v>
      </c>
      <c r="Y89"/>
    </row>
    <row r="90" spans="1:25">
      <c r="A90" s="90">
        <v>89</v>
      </c>
      <c r="B90" s="68">
        <v>45755</v>
      </c>
      <c r="C90" s="40">
        <v>11</v>
      </c>
      <c r="D90" s="40">
        <f t="shared" si="4"/>
        <v>1</v>
      </c>
      <c r="E90" s="44" t="s">
        <v>117</v>
      </c>
      <c r="F90" s="17" t="s">
        <v>58</v>
      </c>
      <c r="G90" s="17" t="s">
        <v>86</v>
      </c>
      <c r="H90" s="42" t="s">
        <v>326</v>
      </c>
      <c r="I90" s="17" t="str">
        <f t="shared" si="5"/>
        <v>PN-89</v>
      </c>
      <c r="J90" s="18" t="s">
        <v>85</v>
      </c>
      <c r="K90" s="19" t="e">
        <f>IF(J90="","SEM #CH",VLOOKUP(J90,#REF!,2,0))</f>
        <v>#REF!</v>
      </c>
      <c r="L90" s="19" t="e">
        <f>IF(J90="","SEM #CH",VLOOKUP(J90,#REF!,3,0))</f>
        <v>#REF!</v>
      </c>
      <c r="M90" s="19" t="e">
        <f>IF(J90="","SEM #CH",VLOOKUP(J90,#REF!,4,0))</f>
        <v>#REF!</v>
      </c>
      <c r="N90" s="19" t="e">
        <f>IF(J90="","SEM #CH",VLOOKUP(J90,#REF!,5,0))</f>
        <v>#REF!</v>
      </c>
      <c r="O90" s="19" t="e">
        <f>IF(J90="","SEM #CH",VLOOKUP(J90,#REF!,6,0))</f>
        <v>#REF!</v>
      </c>
      <c r="P90" s="19" t="e">
        <f>IF(J90="","SEM #CH",VLOOKUP(J90,#REF!,7,0))</f>
        <v>#REF!</v>
      </c>
      <c r="Q90" s="77" t="str">
        <f>VLOOKUP(J90,'p1'!$B$2:$C$30,2,0)</f>
        <v>NÃO TEM CHAPA</v>
      </c>
      <c r="R90" s="95">
        <v>45811</v>
      </c>
      <c r="S90" s="91" t="s">
        <v>222</v>
      </c>
      <c r="T90" s="91">
        <f t="shared" si="6"/>
        <v>1</v>
      </c>
      <c r="U90" s="95">
        <v>45831</v>
      </c>
      <c r="V90" s="91" t="s">
        <v>1051</v>
      </c>
      <c r="W90" s="93">
        <v>2404</v>
      </c>
      <c r="X90" s="94">
        <f t="shared" si="7"/>
        <v>1</v>
      </c>
      <c r="Y90"/>
    </row>
    <row r="91" spans="1:25">
      <c r="A91" s="90">
        <v>90</v>
      </c>
      <c r="B91" s="68">
        <v>45755</v>
      </c>
      <c r="C91" s="40">
        <v>11</v>
      </c>
      <c r="D91" s="40">
        <f t="shared" si="4"/>
        <v>1</v>
      </c>
      <c r="E91" s="44" t="s">
        <v>117</v>
      </c>
      <c r="F91" s="17" t="s">
        <v>58</v>
      </c>
      <c r="G91" s="17" t="s">
        <v>86</v>
      </c>
      <c r="H91" s="42" t="s">
        <v>327</v>
      </c>
      <c r="I91" s="17" t="str">
        <f t="shared" si="5"/>
        <v>PN-90</v>
      </c>
      <c r="J91" s="18" t="s">
        <v>85</v>
      </c>
      <c r="K91" s="19" t="e">
        <f>IF(J91="","SEM #CH",VLOOKUP(J91,#REF!,2,0))</f>
        <v>#REF!</v>
      </c>
      <c r="L91" s="19" t="e">
        <f>IF(J91="","SEM #CH",VLOOKUP(J91,#REF!,3,0))</f>
        <v>#REF!</v>
      </c>
      <c r="M91" s="19" t="e">
        <f>IF(J91="","SEM #CH",VLOOKUP(J91,#REF!,4,0))</f>
        <v>#REF!</v>
      </c>
      <c r="N91" s="19" t="e">
        <f>IF(J91="","SEM #CH",VLOOKUP(J91,#REF!,5,0))</f>
        <v>#REF!</v>
      </c>
      <c r="O91" s="19" t="e">
        <f>IF(J91="","SEM #CH",VLOOKUP(J91,#REF!,6,0))</f>
        <v>#REF!</v>
      </c>
      <c r="P91" s="19" t="e">
        <f>IF(J91="","SEM #CH",VLOOKUP(J91,#REF!,7,0))</f>
        <v>#REF!</v>
      </c>
      <c r="Q91" s="77" t="str">
        <f>VLOOKUP(J91,'p1'!$B$2:$C$30,2,0)</f>
        <v>NÃO TEM CHAPA</v>
      </c>
      <c r="R91" s="95">
        <v>45811</v>
      </c>
      <c r="S91" s="91" t="s">
        <v>222</v>
      </c>
      <c r="T91" s="91">
        <f t="shared" si="6"/>
        <v>1</v>
      </c>
      <c r="U91" s="95">
        <v>45831</v>
      </c>
      <c r="V91" s="91" t="s">
        <v>1051</v>
      </c>
      <c r="W91" s="93">
        <v>2404</v>
      </c>
      <c r="X91" s="94">
        <f t="shared" si="7"/>
        <v>1</v>
      </c>
      <c r="Y91"/>
    </row>
    <row r="92" spans="1:25">
      <c r="A92" s="90">
        <v>91</v>
      </c>
      <c r="B92" s="68">
        <v>45757</v>
      </c>
      <c r="C92" s="40">
        <v>12</v>
      </c>
      <c r="D92" s="40">
        <f t="shared" si="4"/>
        <v>1</v>
      </c>
      <c r="E92" s="44" t="s">
        <v>117</v>
      </c>
      <c r="F92" s="17" t="s">
        <v>58</v>
      </c>
      <c r="G92" s="17" t="s">
        <v>86</v>
      </c>
      <c r="H92" s="42" t="s">
        <v>328</v>
      </c>
      <c r="I92" s="17" t="str">
        <f t="shared" si="5"/>
        <v>PN-91</v>
      </c>
      <c r="J92" s="18" t="s">
        <v>85</v>
      </c>
      <c r="K92" s="19" t="e">
        <f>IF(J92="","SEM #CH",VLOOKUP(J92,#REF!,2,0))</f>
        <v>#REF!</v>
      </c>
      <c r="L92" s="19" t="e">
        <f>IF(J92="","SEM #CH",VLOOKUP(J92,#REF!,3,0))</f>
        <v>#REF!</v>
      </c>
      <c r="M92" s="19" t="e">
        <f>IF(J92="","SEM #CH",VLOOKUP(J92,#REF!,4,0))</f>
        <v>#REF!</v>
      </c>
      <c r="N92" s="19" t="e">
        <f>IF(J92="","SEM #CH",VLOOKUP(J92,#REF!,5,0))</f>
        <v>#REF!</v>
      </c>
      <c r="O92" s="19" t="e">
        <f>IF(J92="","SEM #CH",VLOOKUP(J92,#REF!,6,0))</f>
        <v>#REF!</v>
      </c>
      <c r="P92" s="19" t="e">
        <f>IF(J92="","SEM #CH",VLOOKUP(J92,#REF!,7,0))</f>
        <v>#REF!</v>
      </c>
      <c r="Q92" s="77" t="str">
        <f>VLOOKUP(J92,'p1'!$B$2:$C$30,2,0)</f>
        <v>NÃO TEM CHAPA</v>
      </c>
      <c r="R92" s="95">
        <v>45797</v>
      </c>
      <c r="S92" s="91" t="s">
        <v>221</v>
      </c>
      <c r="T92" s="91">
        <f t="shared" si="6"/>
        <v>1</v>
      </c>
      <c r="U92" s="95">
        <v>45833</v>
      </c>
      <c r="V92" s="91" t="s">
        <v>86</v>
      </c>
      <c r="W92" s="93">
        <v>2414</v>
      </c>
      <c r="X92" s="94">
        <f t="shared" si="7"/>
        <v>1</v>
      </c>
      <c r="Y92"/>
    </row>
    <row r="93" spans="1:25">
      <c r="A93" s="90">
        <v>92</v>
      </c>
      <c r="B93" s="68">
        <v>45757</v>
      </c>
      <c r="C93" s="40">
        <v>12</v>
      </c>
      <c r="D93" s="40">
        <f t="shared" si="4"/>
        <v>1</v>
      </c>
      <c r="E93" s="44" t="s">
        <v>117</v>
      </c>
      <c r="F93" s="17" t="s">
        <v>58</v>
      </c>
      <c r="G93" s="17" t="s">
        <v>86</v>
      </c>
      <c r="H93" s="42" t="s">
        <v>329</v>
      </c>
      <c r="I93" s="17" t="str">
        <f t="shared" si="5"/>
        <v>PN-92</v>
      </c>
      <c r="J93" s="18" t="s">
        <v>85</v>
      </c>
      <c r="K93" s="19" t="e">
        <f>IF(J93="","SEM #CH",VLOOKUP(J93,#REF!,2,0))</f>
        <v>#REF!</v>
      </c>
      <c r="L93" s="19" t="e">
        <f>IF(J93="","SEM #CH",VLOOKUP(J93,#REF!,3,0))</f>
        <v>#REF!</v>
      </c>
      <c r="M93" s="19" t="e">
        <f>IF(J93="","SEM #CH",VLOOKUP(J93,#REF!,4,0))</f>
        <v>#REF!</v>
      </c>
      <c r="N93" s="19" t="e">
        <f>IF(J93="","SEM #CH",VLOOKUP(J93,#REF!,5,0))</f>
        <v>#REF!</v>
      </c>
      <c r="O93" s="19" t="e">
        <f>IF(J93="","SEM #CH",VLOOKUP(J93,#REF!,6,0))</f>
        <v>#REF!</v>
      </c>
      <c r="P93" s="19" t="e">
        <f>IF(J93="","SEM #CH",VLOOKUP(J93,#REF!,7,0))</f>
        <v>#REF!</v>
      </c>
      <c r="Q93" s="77" t="str">
        <f>VLOOKUP(J93,'p1'!$B$2:$C$30,2,0)</f>
        <v>NÃO TEM CHAPA</v>
      </c>
      <c r="R93" s="95">
        <v>45791</v>
      </c>
      <c r="S93" s="91" t="s">
        <v>221</v>
      </c>
      <c r="T93" s="91">
        <f t="shared" si="6"/>
        <v>1</v>
      </c>
      <c r="U93" s="91"/>
      <c r="V93" s="91"/>
      <c r="W93" s="93"/>
      <c r="X93" s="94" t="str">
        <f t="shared" si="7"/>
        <v/>
      </c>
      <c r="Y93"/>
    </row>
    <row r="94" spans="1:25">
      <c r="A94" s="90">
        <v>93</v>
      </c>
      <c r="B94" s="68">
        <v>45757</v>
      </c>
      <c r="C94" s="40">
        <v>12</v>
      </c>
      <c r="D94" s="40">
        <f t="shared" si="4"/>
        <v>1</v>
      </c>
      <c r="E94" s="44" t="s">
        <v>117</v>
      </c>
      <c r="F94" s="17" t="s">
        <v>58</v>
      </c>
      <c r="G94" s="17" t="s">
        <v>86</v>
      </c>
      <c r="H94" s="42" t="s">
        <v>330</v>
      </c>
      <c r="I94" s="17" t="str">
        <f t="shared" si="5"/>
        <v>PN-93</v>
      </c>
      <c r="J94" s="18" t="s">
        <v>85</v>
      </c>
      <c r="K94" s="19" t="e">
        <f>IF(J94="","SEM #CH",VLOOKUP(J94,#REF!,2,0))</f>
        <v>#REF!</v>
      </c>
      <c r="L94" s="19" t="e">
        <f>IF(J94="","SEM #CH",VLOOKUP(J94,#REF!,3,0))</f>
        <v>#REF!</v>
      </c>
      <c r="M94" s="19" t="e">
        <f>IF(J94="","SEM #CH",VLOOKUP(J94,#REF!,4,0))</f>
        <v>#REF!</v>
      </c>
      <c r="N94" s="19" t="e">
        <f>IF(J94="","SEM #CH",VLOOKUP(J94,#REF!,5,0))</f>
        <v>#REF!</v>
      </c>
      <c r="O94" s="19" t="e">
        <f>IF(J94="","SEM #CH",VLOOKUP(J94,#REF!,6,0))</f>
        <v>#REF!</v>
      </c>
      <c r="P94" s="19" t="e">
        <f>IF(J94="","SEM #CH",VLOOKUP(J94,#REF!,7,0))</f>
        <v>#REF!</v>
      </c>
      <c r="Q94" s="77" t="str">
        <f>VLOOKUP(J94,'p1'!$B$2:$C$30,2,0)</f>
        <v>NÃO TEM CHAPA</v>
      </c>
      <c r="R94" s="95">
        <v>45791</v>
      </c>
      <c r="S94" s="91" t="s">
        <v>221</v>
      </c>
      <c r="T94" s="91">
        <f t="shared" si="6"/>
        <v>1</v>
      </c>
      <c r="U94" s="91"/>
      <c r="V94" s="91"/>
      <c r="W94" s="93"/>
      <c r="X94" s="94" t="str">
        <f t="shared" si="7"/>
        <v/>
      </c>
      <c r="Y94"/>
    </row>
    <row r="95" spans="1:25">
      <c r="A95" s="90">
        <v>94</v>
      </c>
      <c r="B95" s="68">
        <v>45825</v>
      </c>
      <c r="C95" s="40">
        <v>36</v>
      </c>
      <c r="D95" s="40">
        <f t="shared" si="4"/>
        <v>1</v>
      </c>
      <c r="E95" s="44" t="s">
        <v>117</v>
      </c>
      <c r="F95" s="17" t="s">
        <v>61</v>
      </c>
      <c r="G95" s="17" t="s">
        <v>86</v>
      </c>
      <c r="H95" s="42" t="s">
        <v>331</v>
      </c>
      <c r="I95" s="17" t="str">
        <f t="shared" si="5"/>
        <v>PF-94</v>
      </c>
      <c r="J95" s="18" t="s">
        <v>61</v>
      </c>
      <c r="K95" s="19" t="e">
        <f>IF(J95="","SEM #CH",VLOOKUP(J95,#REF!,2,0))</f>
        <v>#REF!</v>
      </c>
      <c r="L95" s="19" t="e">
        <f>IF(J95="","SEM #CH",VLOOKUP(J95,#REF!,3,0))</f>
        <v>#REF!</v>
      </c>
      <c r="M95" s="19" t="e">
        <f>IF(J95="","SEM #CH",VLOOKUP(J95,#REF!,4,0))</f>
        <v>#REF!</v>
      </c>
      <c r="N95" s="19" t="e">
        <f>IF(J95="","SEM #CH",VLOOKUP(J95,#REF!,5,0))</f>
        <v>#REF!</v>
      </c>
      <c r="O95" s="19" t="e">
        <f>IF(J95="","SEM #CH",VLOOKUP(J95,#REF!,6,0))</f>
        <v>#REF!</v>
      </c>
      <c r="P95" s="19" t="e">
        <f>IF(J95="","SEM #CH",VLOOKUP(J95,#REF!,7,0))</f>
        <v>#REF!</v>
      </c>
      <c r="Q95" s="77" t="str">
        <f>VLOOKUP(J95,'p1'!$B$2:$C$30,2,0)</f>
        <v>SEM CHAPA</v>
      </c>
      <c r="R95" s="95">
        <v>45832</v>
      </c>
      <c r="S95" s="91" t="s">
        <v>221</v>
      </c>
      <c r="T95" s="91">
        <f t="shared" si="6"/>
        <v>1</v>
      </c>
      <c r="U95" s="95">
        <v>45833</v>
      </c>
      <c r="V95" s="91" t="s">
        <v>86</v>
      </c>
      <c r="W95" s="91">
        <v>2416</v>
      </c>
      <c r="X95" s="94">
        <f t="shared" si="7"/>
        <v>1</v>
      </c>
      <c r="Y95"/>
    </row>
    <row r="96" spans="1:25">
      <c r="A96" s="90">
        <v>95</v>
      </c>
      <c r="B96" s="68">
        <v>45757</v>
      </c>
      <c r="C96" s="40">
        <v>12</v>
      </c>
      <c r="D96" s="40">
        <f t="shared" si="4"/>
        <v>1</v>
      </c>
      <c r="E96" s="44" t="s">
        <v>117</v>
      </c>
      <c r="F96" s="17" t="s">
        <v>58</v>
      </c>
      <c r="G96" s="17" t="s">
        <v>86</v>
      </c>
      <c r="H96" s="42" t="s">
        <v>332</v>
      </c>
      <c r="I96" s="17" t="str">
        <f t="shared" si="5"/>
        <v>PN-95</v>
      </c>
      <c r="J96" s="18" t="s">
        <v>85</v>
      </c>
      <c r="K96" s="19" t="e">
        <f>IF(J96="","SEM #CH",VLOOKUP(J96,#REF!,2,0))</f>
        <v>#REF!</v>
      </c>
      <c r="L96" s="19" t="e">
        <f>IF(J96="","SEM #CH",VLOOKUP(J96,#REF!,3,0))</f>
        <v>#REF!</v>
      </c>
      <c r="M96" s="19" t="e">
        <f>IF(J96="","SEM #CH",VLOOKUP(J96,#REF!,4,0))</f>
        <v>#REF!</v>
      </c>
      <c r="N96" s="19" t="e">
        <f>IF(J96="","SEM #CH",VLOOKUP(J96,#REF!,5,0))</f>
        <v>#REF!</v>
      </c>
      <c r="O96" s="19" t="e">
        <f>IF(J96="","SEM #CH",VLOOKUP(J96,#REF!,6,0))</f>
        <v>#REF!</v>
      </c>
      <c r="P96" s="19" t="e">
        <f>IF(J96="","SEM #CH",VLOOKUP(J96,#REF!,7,0))</f>
        <v>#REF!</v>
      </c>
      <c r="Q96" s="77" t="str">
        <f>VLOOKUP(J96,'p1'!$B$2:$C$30,2,0)</f>
        <v>NÃO TEM CHAPA</v>
      </c>
      <c r="R96" s="95">
        <v>45786</v>
      </c>
      <c r="S96" s="91" t="s">
        <v>221</v>
      </c>
      <c r="T96" s="91">
        <f t="shared" si="6"/>
        <v>1</v>
      </c>
      <c r="U96" s="95">
        <v>45832</v>
      </c>
      <c r="V96" s="91" t="s">
        <v>1052</v>
      </c>
      <c r="W96" s="93">
        <v>2409</v>
      </c>
      <c r="X96" s="94">
        <f t="shared" si="7"/>
        <v>1</v>
      </c>
      <c r="Y96"/>
    </row>
    <row r="97" spans="1:25">
      <c r="A97" s="90">
        <v>96</v>
      </c>
      <c r="B97" s="68">
        <v>45757</v>
      </c>
      <c r="C97" s="40">
        <v>12</v>
      </c>
      <c r="D97" s="40">
        <f t="shared" si="4"/>
        <v>1</v>
      </c>
      <c r="E97" s="44" t="s">
        <v>117</v>
      </c>
      <c r="F97" s="17" t="s">
        <v>58</v>
      </c>
      <c r="G97" s="17" t="s">
        <v>86</v>
      </c>
      <c r="H97" s="42" t="s">
        <v>333</v>
      </c>
      <c r="I97" s="17" t="str">
        <f t="shared" si="5"/>
        <v>PN-96</v>
      </c>
      <c r="J97" s="18" t="s">
        <v>85</v>
      </c>
      <c r="K97" s="19" t="e">
        <f>IF(J97="","SEM #CH",VLOOKUP(J97,#REF!,2,0))</f>
        <v>#REF!</v>
      </c>
      <c r="L97" s="19" t="e">
        <f>IF(J97="","SEM #CH",VLOOKUP(J97,#REF!,3,0))</f>
        <v>#REF!</v>
      </c>
      <c r="M97" s="19" t="e">
        <f>IF(J97="","SEM #CH",VLOOKUP(J97,#REF!,4,0))</f>
        <v>#REF!</v>
      </c>
      <c r="N97" s="19" t="e">
        <f>IF(J97="","SEM #CH",VLOOKUP(J97,#REF!,5,0))</f>
        <v>#REF!</v>
      </c>
      <c r="O97" s="19" t="e">
        <f>IF(J97="","SEM #CH",VLOOKUP(J97,#REF!,6,0))</f>
        <v>#REF!</v>
      </c>
      <c r="P97" s="19" t="e">
        <f>IF(J97="","SEM #CH",VLOOKUP(J97,#REF!,7,0))</f>
        <v>#REF!</v>
      </c>
      <c r="Q97" s="77" t="str">
        <f>VLOOKUP(J97,'p1'!$B$2:$C$30,2,0)</f>
        <v>NÃO TEM CHAPA</v>
      </c>
      <c r="R97" s="95">
        <v>45786</v>
      </c>
      <c r="S97" s="91" t="s">
        <v>221</v>
      </c>
      <c r="T97" s="91">
        <f t="shared" si="6"/>
        <v>1</v>
      </c>
      <c r="U97" s="95">
        <v>45832</v>
      </c>
      <c r="V97" s="91" t="s">
        <v>1052</v>
      </c>
      <c r="W97" s="93">
        <v>2409</v>
      </c>
      <c r="X97" s="94">
        <f t="shared" si="7"/>
        <v>1</v>
      </c>
      <c r="Y97"/>
    </row>
    <row r="98" spans="1:25">
      <c r="A98" s="90">
        <v>97</v>
      </c>
      <c r="B98" s="68">
        <v>45757</v>
      </c>
      <c r="C98" s="40">
        <v>12</v>
      </c>
      <c r="D98" s="40">
        <f t="shared" si="4"/>
        <v>1</v>
      </c>
      <c r="E98" s="44" t="s">
        <v>117</v>
      </c>
      <c r="F98" s="17" t="s">
        <v>58</v>
      </c>
      <c r="G98" s="17" t="s">
        <v>86</v>
      </c>
      <c r="H98" s="42" t="s">
        <v>334</v>
      </c>
      <c r="I98" s="17" t="str">
        <f t="shared" si="5"/>
        <v>PN-97</v>
      </c>
      <c r="J98" s="18" t="s">
        <v>85</v>
      </c>
      <c r="K98" s="19" t="e">
        <f>IF(J98="","SEM #CH",VLOOKUP(J98,#REF!,2,0))</f>
        <v>#REF!</v>
      </c>
      <c r="L98" s="19" t="e">
        <f>IF(J98="","SEM #CH",VLOOKUP(J98,#REF!,3,0))</f>
        <v>#REF!</v>
      </c>
      <c r="M98" s="19" t="e">
        <f>IF(J98="","SEM #CH",VLOOKUP(J98,#REF!,4,0))</f>
        <v>#REF!</v>
      </c>
      <c r="N98" s="19" t="e">
        <f>IF(J98="","SEM #CH",VLOOKUP(J98,#REF!,5,0))</f>
        <v>#REF!</v>
      </c>
      <c r="O98" s="19" t="e">
        <f>IF(J98="","SEM #CH",VLOOKUP(J98,#REF!,6,0))</f>
        <v>#REF!</v>
      </c>
      <c r="P98" s="19" t="e">
        <f>IF(J98="","SEM #CH",VLOOKUP(J98,#REF!,7,0))</f>
        <v>#REF!</v>
      </c>
      <c r="Q98" s="77" t="str">
        <f>VLOOKUP(J98,'p1'!$B$2:$C$30,2,0)</f>
        <v>NÃO TEM CHAPA</v>
      </c>
      <c r="R98" s="95">
        <v>45784</v>
      </c>
      <c r="S98" s="91" t="s">
        <v>221</v>
      </c>
      <c r="T98" s="91">
        <f t="shared" si="6"/>
        <v>1</v>
      </c>
      <c r="U98" s="95">
        <v>45832</v>
      </c>
      <c r="V98" s="91" t="s">
        <v>86</v>
      </c>
      <c r="W98" s="93">
        <v>2410</v>
      </c>
      <c r="X98" s="94">
        <f t="shared" si="7"/>
        <v>1</v>
      </c>
      <c r="Y98"/>
    </row>
    <row r="99" spans="1:25">
      <c r="A99" s="90">
        <v>98</v>
      </c>
      <c r="B99" s="68">
        <v>45757</v>
      </c>
      <c r="C99" s="40">
        <v>12</v>
      </c>
      <c r="D99" s="40">
        <f t="shared" si="4"/>
        <v>1</v>
      </c>
      <c r="E99" s="44" t="s">
        <v>117</v>
      </c>
      <c r="F99" s="17" t="s">
        <v>58</v>
      </c>
      <c r="G99" s="17" t="s">
        <v>86</v>
      </c>
      <c r="H99" s="42" t="s">
        <v>335</v>
      </c>
      <c r="I99" s="17" t="str">
        <f t="shared" si="5"/>
        <v>PN-98</v>
      </c>
      <c r="J99" s="18" t="s">
        <v>85</v>
      </c>
      <c r="K99" s="19" t="e">
        <f>IF(J99="","SEM #CH",VLOOKUP(J99,#REF!,2,0))</f>
        <v>#REF!</v>
      </c>
      <c r="L99" s="19" t="e">
        <f>IF(J99="","SEM #CH",VLOOKUP(J99,#REF!,3,0))</f>
        <v>#REF!</v>
      </c>
      <c r="M99" s="19" t="e">
        <f>IF(J99="","SEM #CH",VLOOKUP(J99,#REF!,4,0))</f>
        <v>#REF!</v>
      </c>
      <c r="N99" s="19" t="e">
        <f>IF(J99="","SEM #CH",VLOOKUP(J99,#REF!,5,0))</f>
        <v>#REF!</v>
      </c>
      <c r="O99" s="19" t="e">
        <f>IF(J99="","SEM #CH",VLOOKUP(J99,#REF!,6,0))</f>
        <v>#REF!</v>
      </c>
      <c r="P99" s="19" t="e">
        <f>IF(J99="","SEM #CH",VLOOKUP(J99,#REF!,7,0))</f>
        <v>#REF!</v>
      </c>
      <c r="Q99" s="77" t="str">
        <f>VLOOKUP(J99,'p1'!$B$2:$C$30,2,0)</f>
        <v>NÃO TEM CHAPA</v>
      </c>
      <c r="R99" s="95">
        <v>45769</v>
      </c>
      <c r="S99" s="91" t="s">
        <v>221</v>
      </c>
      <c r="T99" s="91">
        <f t="shared" si="6"/>
        <v>1</v>
      </c>
      <c r="U99" s="95">
        <v>45820</v>
      </c>
      <c r="V99" s="91" t="s">
        <v>86</v>
      </c>
      <c r="W99" s="93">
        <v>2382</v>
      </c>
      <c r="X99" s="94">
        <f t="shared" si="7"/>
        <v>1</v>
      </c>
      <c r="Y99"/>
    </row>
    <row r="100" spans="1:25">
      <c r="A100" s="90">
        <v>99</v>
      </c>
      <c r="B100" s="68">
        <v>45758</v>
      </c>
      <c r="C100" s="40">
        <v>13</v>
      </c>
      <c r="D100" s="40">
        <f t="shared" si="4"/>
        <v>1</v>
      </c>
      <c r="E100" s="44" t="s">
        <v>117</v>
      </c>
      <c r="F100" s="17" t="s">
        <v>58</v>
      </c>
      <c r="G100" s="17" t="s">
        <v>86</v>
      </c>
      <c r="H100" s="42" t="s">
        <v>336</v>
      </c>
      <c r="I100" s="17" t="str">
        <f t="shared" si="5"/>
        <v>PN-99</v>
      </c>
      <c r="J100" s="18" t="s">
        <v>85</v>
      </c>
      <c r="K100" s="19" t="e">
        <f>IF(J100="","SEM #CH",VLOOKUP(J100,#REF!,2,0))</f>
        <v>#REF!</v>
      </c>
      <c r="L100" s="19" t="e">
        <f>IF(J100="","SEM #CH",VLOOKUP(J100,#REF!,3,0))</f>
        <v>#REF!</v>
      </c>
      <c r="M100" s="19" t="e">
        <f>IF(J100="","SEM #CH",VLOOKUP(J100,#REF!,4,0))</f>
        <v>#REF!</v>
      </c>
      <c r="N100" s="19" t="e">
        <f>IF(J100="","SEM #CH",VLOOKUP(J100,#REF!,5,0))</f>
        <v>#REF!</v>
      </c>
      <c r="O100" s="19" t="e">
        <f>IF(J100="","SEM #CH",VLOOKUP(J100,#REF!,6,0))</f>
        <v>#REF!</v>
      </c>
      <c r="P100" s="19" t="e">
        <f>IF(J100="","SEM #CH",VLOOKUP(J100,#REF!,7,0))</f>
        <v>#REF!</v>
      </c>
      <c r="Q100" s="77" t="str">
        <f>VLOOKUP(J100,'p1'!$B$2:$C$30,2,0)</f>
        <v>NÃO TEM CHAPA</v>
      </c>
      <c r="R100" s="95"/>
      <c r="S100" s="91" t="s">
        <v>221</v>
      </c>
      <c r="T100" s="91" t="str">
        <f t="shared" si="6"/>
        <v/>
      </c>
      <c r="U100" s="91"/>
      <c r="V100" s="91"/>
      <c r="W100" s="93"/>
      <c r="X100" s="94" t="str">
        <f t="shared" si="7"/>
        <v/>
      </c>
      <c r="Y100"/>
    </row>
    <row r="101" spans="1:25">
      <c r="A101" s="90">
        <v>100</v>
      </c>
      <c r="B101" s="68">
        <v>45758</v>
      </c>
      <c r="C101" s="40">
        <v>13</v>
      </c>
      <c r="D101" s="40">
        <f t="shared" si="4"/>
        <v>1</v>
      </c>
      <c r="E101" s="44" t="s">
        <v>117</v>
      </c>
      <c r="F101" s="17" t="s">
        <v>58</v>
      </c>
      <c r="G101" s="17" t="s">
        <v>86</v>
      </c>
      <c r="H101" s="42" t="s">
        <v>337</v>
      </c>
      <c r="I101" s="17" t="str">
        <f t="shared" si="5"/>
        <v>PN-100</v>
      </c>
      <c r="J101" s="18" t="s">
        <v>85</v>
      </c>
      <c r="K101" s="19" t="e">
        <f>IF(J101="","SEM #CH",VLOOKUP(J101,#REF!,2,0))</f>
        <v>#REF!</v>
      </c>
      <c r="L101" s="19" t="e">
        <f>IF(J101="","SEM #CH",VLOOKUP(J101,#REF!,3,0))</f>
        <v>#REF!</v>
      </c>
      <c r="M101" s="19" t="e">
        <f>IF(J101="","SEM #CH",VLOOKUP(J101,#REF!,4,0))</f>
        <v>#REF!</v>
      </c>
      <c r="N101" s="19" t="e">
        <f>IF(J101="","SEM #CH",VLOOKUP(J101,#REF!,5,0))</f>
        <v>#REF!</v>
      </c>
      <c r="O101" s="19" t="e">
        <f>IF(J101="","SEM #CH",VLOOKUP(J101,#REF!,6,0))</f>
        <v>#REF!</v>
      </c>
      <c r="P101" s="19" t="e">
        <f>IF(J101="","SEM #CH",VLOOKUP(J101,#REF!,7,0))</f>
        <v>#REF!</v>
      </c>
      <c r="Q101" s="77" t="str">
        <f>VLOOKUP(J101,'p1'!$B$2:$C$30,2,0)</f>
        <v>NÃO TEM CHAPA</v>
      </c>
      <c r="R101" s="95"/>
      <c r="S101" s="91" t="s">
        <v>221</v>
      </c>
      <c r="T101" s="91" t="str">
        <f t="shared" si="6"/>
        <v/>
      </c>
      <c r="U101" s="91"/>
      <c r="V101" s="91"/>
      <c r="W101" s="93"/>
      <c r="X101" s="94" t="str">
        <f t="shared" si="7"/>
        <v/>
      </c>
      <c r="Y101"/>
    </row>
    <row r="102" spans="1:25">
      <c r="A102" s="90">
        <v>101</v>
      </c>
      <c r="B102" s="68">
        <v>45812</v>
      </c>
      <c r="C102" s="40">
        <v>32</v>
      </c>
      <c r="D102" s="40">
        <f t="shared" si="4"/>
        <v>1</v>
      </c>
      <c r="E102" s="44" t="s">
        <v>117</v>
      </c>
      <c r="F102" s="17" t="s">
        <v>60</v>
      </c>
      <c r="G102" s="17" t="s">
        <v>86</v>
      </c>
      <c r="H102" s="42" t="s">
        <v>338</v>
      </c>
      <c r="I102" s="17" t="str">
        <f t="shared" si="5"/>
        <v>PE-101</v>
      </c>
      <c r="J102" s="18" t="s">
        <v>88</v>
      </c>
      <c r="K102" s="19" t="e">
        <f>IF(J102="","SEM #CH",VLOOKUP(J102,#REF!,2,0))</f>
        <v>#REF!</v>
      </c>
      <c r="L102" s="19" t="e">
        <f>IF(J102="","SEM #CH",VLOOKUP(J102,#REF!,3,0))</f>
        <v>#REF!</v>
      </c>
      <c r="M102" s="19" t="e">
        <f>IF(J102="","SEM #CH",VLOOKUP(J102,#REF!,4,0))</f>
        <v>#REF!</v>
      </c>
      <c r="N102" s="19" t="e">
        <f>IF(J102="","SEM #CH",VLOOKUP(J102,#REF!,5,0))</f>
        <v>#REF!</v>
      </c>
      <c r="O102" s="19" t="e">
        <f>IF(J102="","SEM #CH",VLOOKUP(J102,#REF!,6,0))</f>
        <v>#REF!</v>
      </c>
      <c r="P102" s="19" t="e">
        <f>IF(J102="","SEM #CH",VLOOKUP(J102,#REF!,7,0))</f>
        <v>#REF!</v>
      </c>
      <c r="Q102" s="77" t="str">
        <f>VLOOKUP(J102,'p1'!$B$2:$C$30,2,0)</f>
        <v>#3/8-1315X1315</v>
      </c>
      <c r="R102" s="95">
        <v>45821</v>
      </c>
      <c r="S102" s="91" t="s">
        <v>221</v>
      </c>
      <c r="T102" s="91">
        <f t="shared" si="6"/>
        <v>1</v>
      </c>
      <c r="U102" s="95">
        <v>45835</v>
      </c>
      <c r="V102" s="91" t="s">
        <v>86</v>
      </c>
      <c r="W102" s="93">
        <v>2422</v>
      </c>
      <c r="X102" s="94">
        <f t="shared" si="7"/>
        <v>1</v>
      </c>
      <c r="Y102"/>
    </row>
    <row r="103" spans="1:25">
      <c r="A103" s="90">
        <v>102</v>
      </c>
      <c r="B103" s="68">
        <v>45758</v>
      </c>
      <c r="C103" s="40">
        <v>13</v>
      </c>
      <c r="D103" s="40">
        <f t="shared" si="4"/>
        <v>1</v>
      </c>
      <c r="E103" s="44" t="s">
        <v>117</v>
      </c>
      <c r="F103" s="17" t="s">
        <v>58</v>
      </c>
      <c r="G103" s="17" t="s">
        <v>86</v>
      </c>
      <c r="H103" s="42" t="s">
        <v>339</v>
      </c>
      <c r="I103" s="17" t="str">
        <f t="shared" si="5"/>
        <v>PN-102</v>
      </c>
      <c r="J103" s="18" t="s">
        <v>85</v>
      </c>
      <c r="K103" s="19" t="e">
        <f>IF(J103="","SEM #CH",VLOOKUP(J103,#REF!,2,0))</f>
        <v>#REF!</v>
      </c>
      <c r="L103" s="19" t="e">
        <f>IF(J103="","SEM #CH",VLOOKUP(J103,#REF!,3,0))</f>
        <v>#REF!</v>
      </c>
      <c r="M103" s="19" t="e">
        <f>IF(J103="","SEM #CH",VLOOKUP(J103,#REF!,4,0))</f>
        <v>#REF!</v>
      </c>
      <c r="N103" s="19" t="e">
        <f>IF(J103="","SEM #CH",VLOOKUP(J103,#REF!,5,0))</f>
        <v>#REF!</v>
      </c>
      <c r="O103" s="19" t="e">
        <f>IF(J103="","SEM #CH",VLOOKUP(J103,#REF!,6,0))</f>
        <v>#REF!</v>
      </c>
      <c r="P103" s="19" t="e">
        <f>IF(J103="","SEM #CH",VLOOKUP(J103,#REF!,7,0))</f>
        <v>#REF!</v>
      </c>
      <c r="Q103" s="77" t="str">
        <f>VLOOKUP(J103,'p1'!$B$2:$C$30,2,0)</f>
        <v>NÃO TEM CHAPA</v>
      </c>
      <c r="R103" s="95">
        <v>45849</v>
      </c>
      <c r="S103" s="91" t="s">
        <v>221</v>
      </c>
      <c r="T103" s="91">
        <f t="shared" si="6"/>
        <v>1</v>
      </c>
      <c r="U103" s="91"/>
      <c r="V103" s="91"/>
      <c r="W103" s="93"/>
      <c r="X103" s="94" t="str">
        <f t="shared" si="7"/>
        <v/>
      </c>
      <c r="Y103"/>
    </row>
    <row r="104" spans="1:25">
      <c r="A104" s="90">
        <v>103</v>
      </c>
      <c r="B104" s="68">
        <v>45758</v>
      </c>
      <c r="C104" s="40">
        <v>13</v>
      </c>
      <c r="D104" s="40">
        <f t="shared" si="4"/>
        <v>1</v>
      </c>
      <c r="E104" s="44" t="s">
        <v>117</v>
      </c>
      <c r="F104" s="17" t="s">
        <v>58</v>
      </c>
      <c r="G104" s="17" t="s">
        <v>86</v>
      </c>
      <c r="H104" s="42" t="s">
        <v>340</v>
      </c>
      <c r="I104" s="17" t="str">
        <f t="shared" si="5"/>
        <v>PN-103</v>
      </c>
      <c r="J104" s="18" t="s">
        <v>85</v>
      </c>
      <c r="K104" s="19" t="e">
        <f>IF(J104="","SEM #CH",VLOOKUP(J104,#REF!,2,0))</f>
        <v>#REF!</v>
      </c>
      <c r="L104" s="19" t="e">
        <f>IF(J104="","SEM #CH",VLOOKUP(J104,#REF!,3,0))</f>
        <v>#REF!</v>
      </c>
      <c r="M104" s="19" t="e">
        <f>IF(J104="","SEM #CH",VLOOKUP(J104,#REF!,4,0))</f>
        <v>#REF!</v>
      </c>
      <c r="N104" s="19" t="e">
        <f>IF(J104="","SEM #CH",VLOOKUP(J104,#REF!,5,0))</f>
        <v>#REF!</v>
      </c>
      <c r="O104" s="19" t="e">
        <f>IF(J104="","SEM #CH",VLOOKUP(J104,#REF!,6,0))</f>
        <v>#REF!</v>
      </c>
      <c r="P104" s="19" t="e">
        <f>IF(J104="","SEM #CH",VLOOKUP(J104,#REF!,7,0))</f>
        <v>#REF!</v>
      </c>
      <c r="Q104" s="77" t="str">
        <f>VLOOKUP(J104,'p1'!$B$2:$C$30,2,0)</f>
        <v>NÃO TEM CHAPA</v>
      </c>
      <c r="R104" s="95">
        <v>45827</v>
      </c>
      <c r="S104" s="91" t="s">
        <v>221</v>
      </c>
      <c r="T104" s="91">
        <f t="shared" si="6"/>
        <v>1</v>
      </c>
      <c r="U104" s="95">
        <v>45835</v>
      </c>
      <c r="V104" s="91" t="s">
        <v>86</v>
      </c>
      <c r="W104" s="93">
        <v>2422</v>
      </c>
      <c r="X104" s="94">
        <f t="shared" si="7"/>
        <v>1</v>
      </c>
      <c r="Y104"/>
    </row>
    <row r="105" spans="1:25">
      <c r="A105" s="90">
        <v>104</v>
      </c>
      <c r="B105" s="68">
        <v>45758</v>
      </c>
      <c r="C105" s="40">
        <v>13</v>
      </c>
      <c r="D105" s="40">
        <f t="shared" si="4"/>
        <v>1</v>
      </c>
      <c r="E105" s="44" t="s">
        <v>117</v>
      </c>
      <c r="F105" s="17" t="s">
        <v>58</v>
      </c>
      <c r="G105" s="17" t="s">
        <v>86</v>
      </c>
      <c r="H105" s="42" t="s">
        <v>341</v>
      </c>
      <c r="I105" s="17" t="str">
        <f t="shared" si="5"/>
        <v>PN-104</v>
      </c>
      <c r="J105" s="18" t="s">
        <v>85</v>
      </c>
      <c r="K105" s="19" t="e">
        <f>IF(J105="","SEM #CH",VLOOKUP(J105,#REF!,2,0))</f>
        <v>#REF!</v>
      </c>
      <c r="L105" s="19" t="e">
        <f>IF(J105="","SEM #CH",VLOOKUP(J105,#REF!,3,0))</f>
        <v>#REF!</v>
      </c>
      <c r="M105" s="19" t="e">
        <f>IF(J105="","SEM #CH",VLOOKUP(J105,#REF!,4,0))</f>
        <v>#REF!</v>
      </c>
      <c r="N105" s="19" t="e">
        <f>IF(J105="","SEM #CH",VLOOKUP(J105,#REF!,5,0))</f>
        <v>#REF!</v>
      </c>
      <c r="O105" s="19" t="e">
        <f>IF(J105="","SEM #CH",VLOOKUP(J105,#REF!,6,0))</f>
        <v>#REF!</v>
      </c>
      <c r="P105" s="19" t="e">
        <f>IF(J105="","SEM #CH",VLOOKUP(J105,#REF!,7,0))</f>
        <v>#REF!</v>
      </c>
      <c r="Q105" s="77" t="str">
        <f>VLOOKUP(J105,'p1'!$B$2:$C$30,2,0)</f>
        <v>NÃO TEM CHAPA</v>
      </c>
      <c r="R105" s="95">
        <v>45791</v>
      </c>
      <c r="S105" s="91" t="s">
        <v>221</v>
      </c>
      <c r="T105" s="91">
        <f t="shared" si="6"/>
        <v>1</v>
      </c>
      <c r="U105" s="91"/>
      <c r="V105" s="91"/>
      <c r="W105" s="93"/>
      <c r="X105" s="94" t="str">
        <f t="shared" si="7"/>
        <v/>
      </c>
      <c r="Y105"/>
    </row>
    <row r="106" spans="1:25">
      <c r="A106" s="90">
        <v>105</v>
      </c>
      <c r="B106" s="68">
        <v>45758</v>
      </c>
      <c r="C106" s="40">
        <v>13</v>
      </c>
      <c r="D106" s="40">
        <f t="shared" si="4"/>
        <v>1</v>
      </c>
      <c r="E106" s="44" t="s">
        <v>117</v>
      </c>
      <c r="F106" s="17" t="s">
        <v>58</v>
      </c>
      <c r="G106" s="17" t="s">
        <v>86</v>
      </c>
      <c r="H106" s="42" t="s">
        <v>342</v>
      </c>
      <c r="I106" s="17" t="str">
        <f t="shared" si="5"/>
        <v>PN-105</v>
      </c>
      <c r="J106" s="18" t="s">
        <v>85</v>
      </c>
      <c r="K106" s="19" t="e">
        <f>IF(J106="","SEM #CH",VLOOKUP(J106,#REF!,2,0))</f>
        <v>#REF!</v>
      </c>
      <c r="L106" s="19" t="e">
        <f>IF(J106="","SEM #CH",VLOOKUP(J106,#REF!,3,0))</f>
        <v>#REF!</v>
      </c>
      <c r="M106" s="19" t="e">
        <f>IF(J106="","SEM #CH",VLOOKUP(J106,#REF!,4,0))</f>
        <v>#REF!</v>
      </c>
      <c r="N106" s="19" t="e">
        <f>IF(J106="","SEM #CH",VLOOKUP(J106,#REF!,5,0))</f>
        <v>#REF!</v>
      </c>
      <c r="O106" s="19" t="e">
        <f>IF(J106="","SEM #CH",VLOOKUP(J106,#REF!,6,0))</f>
        <v>#REF!</v>
      </c>
      <c r="P106" s="19" t="e">
        <f>IF(J106="","SEM #CH",VLOOKUP(J106,#REF!,7,0))</f>
        <v>#REF!</v>
      </c>
      <c r="Q106" s="77" t="str">
        <f>VLOOKUP(J106,'p1'!$B$2:$C$30,2,0)</f>
        <v>NÃO TEM CHAPA</v>
      </c>
      <c r="R106" s="95">
        <v>45769</v>
      </c>
      <c r="S106" s="91" t="s">
        <v>221</v>
      </c>
      <c r="T106" s="91">
        <f t="shared" si="6"/>
        <v>1</v>
      </c>
      <c r="U106" s="91"/>
      <c r="V106" s="91"/>
      <c r="W106" s="93"/>
      <c r="X106" s="94" t="str">
        <f t="shared" si="7"/>
        <v/>
      </c>
      <c r="Y106"/>
    </row>
    <row r="107" spans="1:25">
      <c r="A107" s="90">
        <v>106</v>
      </c>
      <c r="B107" s="68">
        <v>45758</v>
      </c>
      <c r="C107" s="40">
        <v>13</v>
      </c>
      <c r="D107" s="40">
        <f t="shared" si="4"/>
        <v>1</v>
      </c>
      <c r="E107" s="44" t="s">
        <v>117</v>
      </c>
      <c r="F107" s="17" t="s">
        <v>58</v>
      </c>
      <c r="G107" s="17" t="s">
        <v>86</v>
      </c>
      <c r="H107" s="42" t="s">
        <v>343</v>
      </c>
      <c r="I107" s="17" t="str">
        <f t="shared" si="5"/>
        <v>PN-106</v>
      </c>
      <c r="J107" s="18" t="s">
        <v>85</v>
      </c>
      <c r="K107" s="19" t="e">
        <f>IF(J107="","SEM #CH",VLOOKUP(J107,#REF!,2,0))</f>
        <v>#REF!</v>
      </c>
      <c r="L107" s="19" t="e">
        <f>IF(J107="","SEM #CH",VLOOKUP(J107,#REF!,3,0))</f>
        <v>#REF!</v>
      </c>
      <c r="M107" s="19" t="e">
        <f>IF(J107="","SEM #CH",VLOOKUP(J107,#REF!,4,0))</f>
        <v>#REF!</v>
      </c>
      <c r="N107" s="19" t="e">
        <f>IF(J107="","SEM #CH",VLOOKUP(J107,#REF!,5,0))</f>
        <v>#REF!</v>
      </c>
      <c r="O107" s="19" t="e">
        <f>IF(J107="","SEM #CH",VLOOKUP(J107,#REF!,6,0))</f>
        <v>#REF!</v>
      </c>
      <c r="P107" s="19" t="e">
        <f>IF(J107="","SEM #CH",VLOOKUP(J107,#REF!,7,0))</f>
        <v>#REF!</v>
      </c>
      <c r="Q107" s="77" t="str">
        <f>VLOOKUP(J107,'p1'!$B$2:$C$30,2,0)</f>
        <v>NÃO TEM CHAPA</v>
      </c>
      <c r="R107" s="95">
        <v>45769</v>
      </c>
      <c r="S107" s="91" t="s">
        <v>221</v>
      </c>
      <c r="T107" s="91">
        <f t="shared" si="6"/>
        <v>1</v>
      </c>
      <c r="U107" s="91"/>
      <c r="V107" s="91"/>
      <c r="W107" s="93"/>
      <c r="X107" s="94" t="str">
        <f t="shared" si="7"/>
        <v/>
      </c>
      <c r="Y107"/>
    </row>
    <row r="108" spans="1:25">
      <c r="A108" s="90">
        <v>107</v>
      </c>
      <c r="B108" s="68">
        <v>45762</v>
      </c>
      <c r="C108" s="40">
        <v>15</v>
      </c>
      <c r="D108" s="40">
        <f t="shared" si="4"/>
        <v>1</v>
      </c>
      <c r="E108" s="44" t="s">
        <v>117</v>
      </c>
      <c r="F108" s="17" t="s">
        <v>58</v>
      </c>
      <c r="G108" s="17" t="s">
        <v>86</v>
      </c>
      <c r="H108" s="42" t="s">
        <v>344</v>
      </c>
      <c r="I108" s="17" t="str">
        <f t="shared" si="5"/>
        <v>PN-107</v>
      </c>
      <c r="J108" s="18" t="s">
        <v>85</v>
      </c>
      <c r="K108" s="19" t="e">
        <f>IF(J108="","SEM #CH",VLOOKUP(J108,#REF!,2,0))</f>
        <v>#REF!</v>
      </c>
      <c r="L108" s="19" t="e">
        <f>IF(J108="","SEM #CH",VLOOKUP(J108,#REF!,3,0))</f>
        <v>#REF!</v>
      </c>
      <c r="M108" s="19" t="e">
        <f>IF(J108="","SEM #CH",VLOOKUP(J108,#REF!,4,0))</f>
        <v>#REF!</v>
      </c>
      <c r="N108" s="19" t="e">
        <f>IF(J108="","SEM #CH",VLOOKUP(J108,#REF!,5,0))</f>
        <v>#REF!</v>
      </c>
      <c r="O108" s="19" t="e">
        <f>IF(J108="","SEM #CH",VLOOKUP(J108,#REF!,6,0))</f>
        <v>#REF!</v>
      </c>
      <c r="P108" s="19" t="e">
        <f>IF(J108="","SEM #CH",VLOOKUP(J108,#REF!,7,0))</f>
        <v>#REF!</v>
      </c>
      <c r="Q108" s="77" t="str">
        <f>VLOOKUP(J108,'p1'!$B$2:$C$30,2,0)</f>
        <v>NÃO TEM CHAPA</v>
      </c>
      <c r="R108" s="95">
        <v>45803</v>
      </c>
      <c r="S108" s="91" t="s">
        <v>222</v>
      </c>
      <c r="T108" s="91">
        <f t="shared" si="6"/>
        <v>1</v>
      </c>
      <c r="U108" s="95">
        <v>45828</v>
      </c>
      <c r="V108" s="91" t="s">
        <v>86</v>
      </c>
      <c r="W108" s="93">
        <v>2398</v>
      </c>
      <c r="X108" s="94">
        <f t="shared" si="7"/>
        <v>1</v>
      </c>
      <c r="Y108"/>
    </row>
    <row r="109" spans="1:25">
      <c r="A109" s="90">
        <v>108</v>
      </c>
      <c r="B109" s="68">
        <v>45761</v>
      </c>
      <c r="C109" s="40">
        <v>14</v>
      </c>
      <c r="D109" s="40">
        <f t="shared" si="4"/>
        <v>1</v>
      </c>
      <c r="E109" s="44" t="s">
        <v>117</v>
      </c>
      <c r="F109" s="17" t="s">
        <v>58</v>
      </c>
      <c r="G109" s="17" t="s">
        <v>86</v>
      </c>
      <c r="H109" s="42" t="s">
        <v>345</v>
      </c>
      <c r="I109" s="17" t="str">
        <f t="shared" si="5"/>
        <v>PN-108</v>
      </c>
      <c r="J109" s="18" t="s">
        <v>85</v>
      </c>
      <c r="K109" s="19" t="e">
        <f>IF(J109="","SEM #CH",VLOOKUP(J109,#REF!,2,0))</f>
        <v>#REF!</v>
      </c>
      <c r="L109" s="19" t="e">
        <f>IF(J109="","SEM #CH",VLOOKUP(J109,#REF!,3,0))</f>
        <v>#REF!</v>
      </c>
      <c r="M109" s="19" t="e">
        <f>IF(J109="","SEM #CH",VLOOKUP(J109,#REF!,4,0))</f>
        <v>#REF!</v>
      </c>
      <c r="N109" s="19" t="e">
        <f>IF(J109="","SEM #CH",VLOOKUP(J109,#REF!,5,0))</f>
        <v>#REF!</v>
      </c>
      <c r="O109" s="19" t="e">
        <f>IF(J109="","SEM #CH",VLOOKUP(J109,#REF!,6,0))</f>
        <v>#REF!</v>
      </c>
      <c r="P109" s="19" t="e">
        <f>IF(J109="","SEM #CH",VLOOKUP(J109,#REF!,7,0))</f>
        <v>#REF!</v>
      </c>
      <c r="Q109" s="77" t="str">
        <f>VLOOKUP(J109,'p1'!$B$2:$C$30,2,0)</f>
        <v>NÃO TEM CHAPA</v>
      </c>
      <c r="R109" s="95">
        <v>45773</v>
      </c>
      <c r="S109" s="91" t="s">
        <v>221</v>
      </c>
      <c r="T109" s="91">
        <f t="shared" si="6"/>
        <v>1</v>
      </c>
      <c r="U109" s="91"/>
      <c r="V109" s="91"/>
      <c r="W109" s="93"/>
      <c r="X109" s="94" t="str">
        <f t="shared" si="7"/>
        <v/>
      </c>
      <c r="Y109"/>
    </row>
    <row r="110" spans="1:25">
      <c r="A110" s="90">
        <v>109</v>
      </c>
      <c r="B110" s="68">
        <v>45761</v>
      </c>
      <c r="C110" s="40">
        <v>14</v>
      </c>
      <c r="D110" s="40">
        <f t="shared" si="4"/>
        <v>1</v>
      </c>
      <c r="E110" s="44" t="s">
        <v>117</v>
      </c>
      <c r="F110" s="17" t="s">
        <v>58</v>
      </c>
      <c r="G110" s="17" t="s">
        <v>86</v>
      </c>
      <c r="H110" s="42" t="s">
        <v>346</v>
      </c>
      <c r="I110" s="17" t="str">
        <f t="shared" si="5"/>
        <v>PN-109</v>
      </c>
      <c r="J110" s="18" t="s">
        <v>85</v>
      </c>
      <c r="K110" s="19" t="e">
        <f>IF(J110="","SEM #CH",VLOOKUP(J110,#REF!,2,0))</f>
        <v>#REF!</v>
      </c>
      <c r="L110" s="19" t="e">
        <f>IF(J110="","SEM #CH",VLOOKUP(J110,#REF!,3,0))</f>
        <v>#REF!</v>
      </c>
      <c r="M110" s="19" t="e">
        <f>IF(J110="","SEM #CH",VLOOKUP(J110,#REF!,4,0))</f>
        <v>#REF!</v>
      </c>
      <c r="N110" s="19" t="e">
        <f>IF(J110="","SEM #CH",VLOOKUP(J110,#REF!,5,0))</f>
        <v>#REF!</v>
      </c>
      <c r="O110" s="19" t="e">
        <f>IF(J110="","SEM #CH",VLOOKUP(J110,#REF!,6,0))</f>
        <v>#REF!</v>
      </c>
      <c r="P110" s="19" t="e">
        <f>IF(J110="","SEM #CH",VLOOKUP(J110,#REF!,7,0))</f>
        <v>#REF!</v>
      </c>
      <c r="Q110" s="77" t="str">
        <f>VLOOKUP(J110,'p1'!$B$2:$C$30,2,0)</f>
        <v>NÃO TEM CHAPA</v>
      </c>
      <c r="R110" s="95"/>
      <c r="S110" s="91" t="s">
        <v>221</v>
      </c>
      <c r="T110" s="91" t="str">
        <f t="shared" si="6"/>
        <v/>
      </c>
      <c r="U110" s="91"/>
      <c r="V110" s="91"/>
      <c r="W110" s="93"/>
      <c r="X110" s="94" t="str">
        <f t="shared" si="7"/>
        <v/>
      </c>
      <c r="Y110"/>
    </row>
    <row r="111" spans="1:25">
      <c r="A111" s="90">
        <v>110</v>
      </c>
      <c r="B111" s="68">
        <v>45761</v>
      </c>
      <c r="C111" s="40">
        <v>14</v>
      </c>
      <c r="D111" s="40">
        <f t="shared" si="4"/>
        <v>1</v>
      </c>
      <c r="E111" s="44" t="s">
        <v>117</v>
      </c>
      <c r="F111" s="17" t="s">
        <v>58</v>
      </c>
      <c r="G111" s="17" t="s">
        <v>86</v>
      </c>
      <c r="H111" s="42" t="s">
        <v>347</v>
      </c>
      <c r="I111" s="17" t="str">
        <f t="shared" si="5"/>
        <v>PN-110</v>
      </c>
      <c r="J111" s="18" t="s">
        <v>85</v>
      </c>
      <c r="K111" s="19" t="e">
        <f>IF(J111="","SEM #CH",VLOOKUP(J111,#REF!,2,0))</f>
        <v>#REF!</v>
      </c>
      <c r="L111" s="19" t="e">
        <f>IF(J111="","SEM #CH",VLOOKUP(J111,#REF!,3,0))</f>
        <v>#REF!</v>
      </c>
      <c r="M111" s="19" t="e">
        <f>IF(J111="","SEM #CH",VLOOKUP(J111,#REF!,4,0))</f>
        <v>#REF!</v>
      </c>
      <c r="N111" s="19" t="e">
        <f>IF(J111="","SEM #CH",VLOOKUP(J111,#REF!,5,0))</f>
        <v>#REF!</v>
      </c>
      <c r="O111" s="19" t="e">
        <f>IF(J111="","SEM #CH",VLOOKUP(J111,#REF!,6,0))</f>
        <v>#REF!</v>
      </c>
      <c r="P111" s="19" t="e">
        <f>IF(J111="","SEM #CH",VLOOKUP(J111,#REF!,7,0))</f>
        <v>#REF!</v>
      </c>
      <c r="Q111" s="77" t="str">
        <f>VLOOKUP(J111,'p1'!$B$2:$C$30,2,0)</f>
        <v>NÃO TEM CHAPA</v>
      </c>
      <c r="R111" s="95"/>
      <c r="S111" s="91" t="s">
        <v>221</v>
      </c>
      <c r="T111" s="91" t="str">
        <f t="shared" si="6"/>
        <v/>
      </c>
      <c r="U111" s="91"/>
      <c r="V111" s="91"/>
      <c r="W111" s="93"/>
      <c r="X111" s="94" t="str">
        <f t="shared" si="7"/>
        <v/>
      </c>
      <c r="Y111"/>
    </row>
    <row r="112" spans="1:25">
      <c r="A112" s="90">
        <v>111</v>
      </c>
      <c r="B112" s="68">
        <v>45761</v>
      </c>
      <c r="C112" s="40">
        <v>14</v>
      </c>
      <c r="D112" s="40">
        <f t="shared" si="4"/>
        <v>1</v>
      </c>
      <c r="E112" s="44" t="s">
        <v>117</v>
      </c>
      <c r="F112" s="17" t="s">
        <v>58</v>
      </c>
      <c r="G112" s="17" t="s">
        <v>86</v>
      </c>
      <c r="H112" s="42" t="s">
        <v>348</v>
      </c>
      <c r="I112" s="17" t="str">
        <f t="shared" si="5"/>
        <v>PN-111</v>
      </c>
      <c r="J112" s="18" t="s">
        <v>85</v>
      </c>
      <c r="K112" s="19" t="e">
        <f>IF(J112="","SEM #CH",VLOOKUP(J112,#REF!,2,0))</f>
        <v>#REF!</v>
      </c>
      <c r="L112" s="19" t="e">
        <f>IF(J112="","SEM #CH",VLOOKUP(J112,#REF!,3,0))</f>
        <v>#REF!</v>
      </c>
      <c r="M112" s="19" t="e">
        <f>IF(J112="","SEM #CH",VLOOKUP(J112,#REF!,4,0))</f>
        <v>#REF!</v>
      </c>
      <c r="N112" s="19" t="e">
        <f>IF(J112="","SEM #CH",VLOOKUP(J112,#REF!,5,0))</f>
        <v>#REF!</v>
      </c>
      <c r="O112" s="19" t="e">
        <f>IF(J112="","SEM #CH",VLOOKUP(J112,#REF!,6,0))</f>
        <v>#REF!</v>
      </c>
      <c r="P112" s="19" t="e">
        <f>IF(J112="","SEM #CH",VLOOKUP(J112,#REF!,7,0))</f>
        <v>#REF!</v>
      </c>
      <c r="Q112" s="77" t="str">
        <f>VLOOKUP(J112,'p1'!$B$2:$C$30,2,0)</f>
        <v>NÃO TEM CHAPA</v>
      </c>
      <c r="R112" s="95"/>
      <c r="S112" s="91" t="s">
        <v>221</v>
      </c>
      <c r="T112" s="91" t="str">
        <f t="shared" si="6"/>
        <v/>
      </c>
      <c r="U112" s="91"/>
      <c r="V112" s="91"/>
      <c r="W112" s="93"/>
      <c r="X112" s="94" t="str">
        <f t="shared" si="7"/>
        <v/>
      </c>
      <c r="Y112"/>
    </row>
    <row r="113" spans="1:25">
      <c r="A113" s="90">
        <v>112</v>
      </c>
      <c r="B113" s="68">
        <v>45761</v>
      </c>
      <c r="C113" s="40">
        <v>14</v>
      </c>
      <c r="D113" s="40">
        <f t="shared" si="4"/>
        <v>1</v>
      </c>
      <c r="E113" s="44" t="s">
        <v>117</v>
      </c>
      <c r="F113" s="17" t="s">
        <v>58</v>
      </c>
      <c r="G113" s="17" t="s">
        <v>86</v>
      </c>
      <c r="H113" s="42" t="s">
        <v>349</v>
      </c>
      <c r="I113" s="17" t="str">
        <f t="shared" si="5"/>
        <v>PN-112</v>
      </c>
      <c r="J113" s="18" t="s">
        <v>85</v>
      </c>
      <c r="K113" s="19" t="e">
        <f>IF(J113="","SEM #CH",VLOOKUP(J113,#REF!,2,0))</f>
        <v>#REF!</v>
      </c>
      <c r="L113" s="19" t="e">
        <f>IF(J113="","SEM #CH",VLOOKUP(J113,#REF!,3,0))</f>
        <v>#REF!</v>
      </c>
      <c r="M113" s="19" t="e">
        <f>IF(J113="","SEM #CH",VLOOKUP(J113,#REF!,4,0))</f>
        <v>#REF!</v>
      </c>
      <c r="N113" s="19" t="e">
        <f>IF(J113="","SEM #CH",VLOOKUP(J113,#REF!,5,0))</f>
        <v>#REF!</v>
      </c>
      <c r="O113" s="19" t="e">
        <f>IF(J113="","SEM #CH",VLOOKUP(J113,#REF!,6,0))</f>
        <v>#REF!</v>
      </c>
      <c r="P113" s="19" t="e">
        <f>IF(J113="","SEM #CH",VLOOKUP(J113,#REF!,7,0))</f>
        <v>#REF!</v>
      </c>
      <c r="Q113" s="77" t="str">
        <f>VLOOKUP(J113,'p1'!$B$2:$C$30,2,0)</f>
        <v>NÃO TEM CHAPA</v>
      </c>
      <c r="R113" s="95">
        <v>45779</v>
      </c>
      <c r="S113" s="91" t="s">
        <v>221</v>
      </c>
      <c r="T113" s="91">
        <f t="shared" si="6"/>
        <v>1</v>
      </c>
      <c r="U113" s="91"/>
      <c r="V113" s="91"/>
      <c r="W113" s="93"/>
      <c r="X113" s="94" t="str">
        <f t="shared" si="7"/>
        <v/>
      </c>
      <c r="Y113"/>
    </row>
    <row r="114" spans="1:25">
      <c r="A114" s="90">
        <v>113</v>
      </c>
      <c r="B114" s="68">
        <v>45761</v>
      </c>
      <c r="C114" s="40">
        <v>14</v>
      </c>
      <c r="D114" s="40">
        <f t="shared" si="4"/>
        <v>1</v>
      </c>
      <c r="E114" s="44" t="s">
        <v>117</v>
      </c>
      <c r="F114" s="17" t="s">
        <v>58</v>
      </c>
      <c r="G114" s="17" t="s">
        <v>86</v>
      </c>
      <c r="H114" s="42" t="s">
        <v>350</v>
      </c>
      <c r="I114" s="17" t="str">
        <f t="shared" si="5"/>
        <v>PN-113</v>
      </c>
      <c r="J114" s="18" t="s">
        <v>85</v>
      </c>
      <c r="K114" s="19" t="e">
        <f>IF(J114="","SEM #CH",VLOOKUP(J114,#REF!,2,0))</f>
        <v>#REF!</v>
      </c>
      <c r="L114" s="19" t="e">
        <f>IF(J114="","SEM #CH",VLOOKUP(J114,#REF!,3,0))</f>
        <v>#REF!</v>
      </c>
      <c r="M114" s="19" t="e">
        <f>IF(J114="","SEM #CH",VLOOKUP(J114,#REF!,4,0))</f>
        <v>#REF!</v>
      </c>
      <c r="N114" s="19" t="e">
        <f>IF(J114="","SEM #CH",VLOOKUP(J114,#REF!,5,0))</f>
        <v>#REF!</v>
      </c>
      <c r="O114" s="19" t="e">
        <f>IF(J114="","SEM #CH",VLOOKUP(J114,#REF!,6,0))</f>
        <v>#REF!</v>
      </c>
      <c r="P114" s="19" t="e">
        <f>IF(J114="","SEM #CH",VLOOKUP(J114,#REF!,7,0))</f>
        <v>#REF!</v>
      </c>
      <c r="Q114" s="77" t="str">
        <f>VLOOKUP(J114,'p1'!$B$2:$C$30,2,0)</f>
        <v>NÃO TEM CHAPA</v>
      </c>
      <c r="R114" s="95">
        <v>45779</v>
      </c>
      <c r="S114" s="91" t="s">
        <v>221</v>
      </c>
      <c r="T114" s="91">
        <f t="shared" si="6"/>
        <v>1</v>
      </c>
      <c r="U114" s="91"/>
      <c r="V114" s="91"/>
      <c r="W114" s="93"/>
      <c r="X114" s="94" t="str">
        <f t="shared" si="7"/>
        <v/>
      </c>
      <c r="Y114"/>
    </row>
    <row r="115" spans="1:25">
      <c r="A115" s="90">
        <v>114</v>
      </c>
      <c r="B115" s="68">
        <v>45762</v>
      </c>
      <c r="C115" s="40">
        <v>15</v>
      </c>
      <c r="D115" s="40">
        <f t="shared" si="4"/>
        <v>1</v>
      </c>
      <c r="E115" s="44" t="s">
        <v>117</v>
      </c>
      <c r="F115" s="17" t="s">
        <v>58</v>
      </c>
      <c r="G115" s="17" t="s">
        <v>86</v>
      </c>
      <c r="H115" s="42" t="s">
        <v>351</v>
      </c>
      <c r="I115" s="17" t="str">
        <f t="shared" si="5"/>
        <v>PN-114</v>
      </c>
      <c r="J115" s="18" t="s">
        <v>85</v>
      </c>
      <c r="K115" s="19" t="e">
        <f>IF(J115="","SEM #CH",VLOOKUP(J115,#REF!,2,0))</f>
        <v>#REF!</v>
      </c>
      <c r="L115" s="19" t="e">
        <f>IF(J115="","SEM #CH",VLOOKUP(J115,#REF!,3,0))</f>
        <v>#REF!</v>
      </c>
      <c r="M115" s="19" t="e">
        <f>IF(J115="","SEM #CH",VLOOKUP(J115,#REF!,4,0))</f>
        <v>#REF!</v>
      </c>
      <c r="N115" s="19" t="e">
        <f>IF(J115="","SEM #CH",VLOOKUP(J115,#REF!,5,0))</f>
        <v>#REF!</v>
      </c>
      <c r="O115" s="19" t="e">
        <f>IF(J115="","SEM #CH",VLOOKUP(J115,#REF!,6,0))</f>
        <v>#REF!</v>
      </c>
      <c r="P115" s="19" t="e">
        <f>IF(J115="","SEM #CH",VLOOKUP(J115,#REF!,7,0))</f>
        <v>#REF!</v>
      </c>
      <c r="Q115" s="77" t="str">
        <f>VLOOKUP(J115,'p1'!$B$2:$C$30,2,0)</f>
        <v>NÃO TEM CHAPA</v>
      </c>
      <c r="R115" s="95">
        <v>45800</v>
      </c>
      <c r="S115" s="91" t="s">
        <v>222</v>
      </c>
      <c r="T115" s="91">
        <f t="shared" si="6"/>
        <v>1</v>
      </c>
      <c r="U115" s="95">
        <v>45832</v>
      </c>
      <c r="V115" s="91" t="s">
        <v>1052</v>
      </c>
      <c r="W115" s="93">
        <v>2409</v>
      </c>
      <c r="X115" s="94">
        <f t="shared" si="7"/>
        <v>1</v>
      </c>
      <c r="Y115"/>
    </row>
    <row r="116" spans="1:25">
      <c r="A116" s="90">
        <v>115</v>
      </c>
      <c r="B116" s="68">
        <v>45762</v>
      </c>
      <c r="C116" s="40">
        <v>15</v>
      </c>
      <c r="D116" s="40">
        <f t="shared" si="4"/>
        <v>1</v>
      </c>
      <c r="E116" s="44" t="s">
        <v>117</v>
      </c>
      <c r="F116" s="17" t="s">
        <v>58</v>
      </c>
      <c r="G116" s="17" t="s">
        <v>86</v>
      </c>
      <c r="H116" s="42" t="s">
        <v>352</v>
      </c>
      <c r="I116" s="17" t="str">
        <f t="shared" si="5"/>
        <v>PN-115</v>
      </c>
      <c r="J116" s="18" t="s">
        <v>85</v>
      </c>
      <c r="K116" s="19" t="e">
        <f>IF(J116="","SEM #CH",VLOOKUP(J116,#REF!,2,0))</f>
        <v>#REF!</v>
      </c>
      <c r="L116" s="19" t="e">
        <f>IF(J116="","SEM #CH",VLOOKUP(J116,#REF!,3,0))</f>
        <v>#REF!</v>
      </c>
      <c r="M116" s="19" t="e">
        <f>IF(J116="","SEM #CH",VLOOKUP(J116,#REF!,4,0))</f>
        <v>#REF!</v>
      </c>
      <c r="N116" s="19" t="e">
        <f>IF(J116="","SEM #CH",VLOOKUP(J116,#REF!,5,0))</f>
        <v>#REF!</v>
      </c>
      <c r="O116" s="19" t="e">
        <f>IF(J116="","SEM #CH",VLOOKUP(J116,#REF!,6,0))</f>
        <v>#REF!</v>
      </c>
      <c r="P116" s="19" t="e">
        <f>IF(J116="","SEM #CH",VLOOKUP(J116,#REF!,7,0))</f>
        <v>#REF!</v>
      </c>
      <c r="Q116" s="77" t="str">
        <f>VLOOKUP(J116,'p1'!$B$2:$C$30,2,0)</f>
        <v>NÃO TEM CHAPA</v>
      </c>
      <c r="R116" s="95">
        <v>45800</v>
      </c>
      <c r="S116" s="91" t="s">
        <v>222</v>
      </c>
      <c r="T116" s="91">
        <f t="shared" si="6"/>
        <v>1</v>
      </c>
      <c r="U116" s="95">
        <v>45828</v>
      </c>
      <c r="V116" s="91" t="s">
        <v>86</v>
      </c>
      <c r="W116" s="93">
        <v>2396</v>
      </c>
      <c r="X116" s="94">
        <f t="shared" si="7"/>
        <v>1</v>
      </c>
      <c r="Y116"/>
    </row>
    <row r="117" spans="1:25">
      <c r="A117" s="90">
        <v>116</v>
      </c>
      <c r="B117" s="68">
        <v>45762</v>
      </c>
      <c r="C117" s="40">
        <v>15</v>
      </c>
      <c r="D117" s="40">
        <f t="shared" si="4"/>
        <v>1</v>
      </c>
      <c r="E117" s="44" t="s">
        <v>117</v>
      </c>
      <c r="F117" s="17" t="s">
        <v>58</v>
      </c>
      <c r="G117" s="17" t="s">
        <v>86</v>
      </c>
      <c r="H117" s="42" t="s">
        <v>353</v>
      </c>
      <c r="I117" s="17" t="str">
        <f t="shared" si="5"/>
        <v>PN-116</v>
      </c>
      <c r="J117" s="18" t="s">
        <v>85</v>
      </c>
      <c r="K117" s="19" t="e">
        <f>IF(J117="","SEM #CH",VLOOKUP(J117,#REF!,2,0))</f>
        <v>#REF!</v>
      </c>
      <c r="L117" s="19" t="e">
        <f>IF(J117="","SEM #CH",VLOOKUP(J117,#REF!,3,0))</f>
        <v>#REF!</v>
      </c>
      <c r="M117" s="19" t="e">
        <f>IF(J117="","SEM #CH",VLOOKUP(J117,#REF!,4,0))</f>
        <v>#REF!</v>
      </c>
      <c r="N117" s="19" t="e">
        <f>IF(J117="","SEM #CH",VLOOKUP(J117,#REF!,5,0))</f>
        <v>#REF!</v>
      </c>
      <c r="O117" s="19" t="e">
        <f>IF(J117="","SEM #CH",VLOOKUP(J117,#REF!,6,0))</f>
        <v>#REF!</v>
      </c>
      <c r="P117" s="19" t="e">
        <f>IF(J117="","SEM #CH",VLOOKUP(J117,#REF!,7,0))</f>
        <v>#REF!</v>
      </c>
      <c r="Q117" s="77" t="str">
        <f>VLOOKUP(J117,'p1'!$B$2:$C$30,2,0)</f>
        <v>NÃO TEM CHAPA</v>
      </c>
      <c r="R117" s="95">
        <v>45798</v>
      </c>
      <c r="S117" s="91" t="s">
        <v>222</v>
      </c>
      <c r="T117" s="91">
        <f t="shared" si="6"/>
        <v>1</v>
      </c>
      <c r="U117" s="95">
        <v>45833</v>
      </c>
      <c r="V117" s="91" t="s">
        <v>86</v>
      </c>
      <c r="W117" s="93">
        <v>2413</v>
      </c>
      <c r="X117" s="94">
        <f t="shared" si="7"/>
        <v>1</v>
      </c>
      <c r="Y117"/>
    </row>
    <row r="118" spans="1:25">
      <c r="A118" s="90">
        <v>117</v>
      </c>
      <c r="B118" s="68">
        <v>45812</v>
      </c>
      <c r="C118" s="40">
        <v>32</v>
      </c>
      <c r="D118" s="40">
        <f t="shared" si="4"/>
        <v>1</v>
      </c>
      <c r="E118" s="44" t="s">
        <v>117</v>
      </c>
      <c r="F118" s="17" t="s">
        <v>60</v>
      </c>
      <c r="G118" s="17" t="s">
        <v>86</v>
      </c>
      <c r="H118" s="42" t="s">
        <v>354</v>
      </c>
      <c r="I118" s="17" t="str">
        <f t="shared" si="5"/>
        <v>PE-117</v>
      </c>
      <c r="J118" s="18" t="s">
        <v>90</v>
      </c>
      <c r="K118" s="19" t="e">
        <f>IF(J118="","SEM #CH",VLOOKUP(J118,#REF!,2,0))</f>
        <v>#REF!</v>
      </c>
      <c r="L118" s="19" t="e">
        <f>IF(J118="","SEM #CH",VLOOKUP(J118,#REF!,3,0))</f>
        <v>#REF!</v>
      </c>
      <c r="M118" s="19" t="e">
        <f>IF(J118="","SEM #CH",VLOOKUP(J118,#REF!,4,0))</f>
        <v>#REF!</v>
      </c>
      <c r="N118" s="19" t="e">
        <f>IF(J118="","SEM #CH",VLOOKUP(J118,#REF!,5,0))</f>
        <v>#REF!</v>
      </c>
      <c r="O118" s="19" t="e">
        <f>IF(J118="","SEM #CH",VLOOKUP(J118,#REF!,6,0))</f>
        <v>#REF!</v>
      </c>
      <c r="P118" s="19" t="e">
        <f>IF(J118="","SEM #CH",VLOOKUP(J118,#REF!,7,0))</f>
        <v>#REF!</v>
      </c>
      <c r="Q118" s="77" t="str">
        <f>VLOOKUP(J118,'p1'!$B$2:$C$30,2,0)</f>
        <v>#3/8-530X530</v>
      </c>
      <c r="R118" s="95">
        <v>45822</v>
      </c>
      <c r="S118" s="91" t="s">
        <v>221</v>
      </c>
      <c r="T118" s="91">
        <f t="shared" si="6"/>
        <v>1</v>
      </c>
      <c r="U118" s="95">
        <v>45824</v>
      </c>
      <c r="V118" s="91" t="s">
        <v>86</v>
      </c>
      <c r="W118" s="93">
        <v>2387</v>
      </c>
      <c r="X118" s="94">
        <f t="shared" si="7"/>
        <v>1</v>
      </c>
      <c r="Y118"/>
    </row>
    <row r="119" spans="1:25">
      <c r="A119" s="90">
        <v>118</v>
      </c>
      <c r="B119" s="68">
        <v>45762</v>
      </c>
      <c r="C119" s="40">
        <v>15</v>
      </c>
      <c r="D119" s="40">
        <f t="shared" si="4"/>
        <v>1</v>
      </c>
      <c r="E119" s="44" t="s">
        <v>117</v>
      </c>
      <c r="F119" s="17" t="s">
        <v>58</v>
      </c>
      <c r="G119" s="17" t="s">
        <v>86</v>
      </c>
      <c r="H119" s="42" t="s">
        <v>355</v>
      </c>
      <c r="I119" s="17" t="str">
        <f t="shared" si="5"/>
        <v>PN-118</v>
      </c>
      <c r="J119" s="18" t="s">
        <v>85</v>
      </c>
      <c r="K119" s="19" t="e">
        <f>IF(J119="","SEM #CH",VLOOKUP(J119,#REF!,2,0))</f>
        <v>#REF!</v>
      </c>
      <c r="L119" s="19" t="e">
        <f>IF(J119="","SEM #CH",VLOOKUP(J119,#REF!,3,0))</f>
        <v>#REF!</v>
      </c>
      <c r="M119" s="19" t="e">
        <f>IF(J119="","SEM #CH",VLOOKUP(J119,#REF!,4,0))</f>
        <v>#REF!</v>
      </c>
      <c r="N119" s="19" t="e">
        <f>IF(J119="","SEM #CH",VLOOKUP(J119,#REF!,5,0))</f>
        <v>#REF!</v>
      </c>
      <c r="O119" s="19" t="e">
        <f>IF(J119="","SEM #CH",VLOOKUP(J119,#REF!,6,0))</f>
        <v>#REF!</v>
      </c>
      <c r="P119" s="19" t="e">
        <f>IF(J119="","SEM #CH",VLOOKUP(J119,#REF!,7,0))</f>
        <v>#REF!</v>
      </c>
      <c r="Q119" s="77" t="str">
        <f>VLOOKUP(J119,'p1'!$B$2:$C$30,2,0)</f>
        <v>NÃO TEM CHAPA</v>
      </c>
      <c r="R119" s="95">
        <v>45798</v>
      </c>
      <c r="S119" s="91" t="s">
        <v>222</v>
      </c>
      <c r="T119" s="91">
        <f t="shared" si="6"/>
        <v>1</v>
      </c>
      <c r="U119" s="95">
        <v>45833</v>
      </c>
      <c r="V119" s="91" t="s">
        <v>86</v>
      </c>
      <c r="W119" s="93">
        <v>2414</v>
      </c>
      <c r="X119" s="94">
        <f t="shared" si="7"/>
        <v>1</v>
      </c>
      <c r="Y119"/>
    </row>
    <row r="120" spans="1:25">
      <c r="A120" s="90">
        <v>119</v>
      </c>
      <c r="B120" s="68">
        <v>45762</v>
      </c>
      <c r="C120" s="40">
        <v>15</v>
      </c>
      <c r="D120" s="40">
        <f t="shared" si="4"/>
        <v>1</v>
      </c>
      <c r="E120" s="44" t="s">
        <v>117</v>
      </c>
      <c r="F120" s="17" t="s">
        <v>58</v>
      </c>
      <c r="G120" s="17" t="s">
        <v>86</v>
      </c>
      <c r="H120" s="42" t="s">
        <v>356</v>
      </c>
      <c r="I120" s="17" t="str">
        <f t="shared" si="5"/>
        <v>PN-119</v>
      </c>
      <c r="J120" s="18" t="s">
        <v>85</v>
      </c>
      <c r="K120" s="19" t="e">
        <f>IF(J120="","SEM #CH",VLOOKUP(J120,#REF!,2,0))</f>
        <v>#REF!</v>
      </c>
      <c r="L120" s="19" t="e">
        <f>IF(J120="","SEM #CH",VLOOKUP(J120,#REF!,3,0))</f>
        <v>#REF!</v>
      </c>
      <c r="M120" s="19" t="e">
        <f>IF(J120="","SEM #CH",VLOOKUP(J120,#REF!,4,0))</f>
        <v>#REF!</v>
      </c>
      <c r="N120" s="19" t="e">
        <f>IF(J120="","SEM #CH",VLOOKUP(J120,#REF!,5,0))</f>
        <v>#REF!</v>
      </c>
      <c r="O120" s="19" t="e">
        <f>IF(J120="","SEM #CH",VLOOKUP(J120,#REF!,6,0))</f>
        <v>#REF!</v>
      </c>
      <c r="P120" s="19" t="e">
        <f>IF(J120="","SEM #CH",VLOOKUP(J120,#REF!,7,0))</f>
        <v>#REF!</v>
      </c>
      <c r="Q120" s="77" t="str">
        <f>VLOOKUP(J120,'p1'!$B$2:$C$30,2,0)</f>
        <v>NÃO TEM CHAPA</v>
      </c>
      <c r="R120" s="95">
        <v>45793</v>
      </c>
      <c r="S120" s="91" t="s">
        <v>222</v>
      </c>
      <c r="T120" s="91">
        <f t="shared" si="6"/>
        <v>1</v>
      </c>
      <c r="U120" s="95">
        <v>45833</v>
      </c>
      <c r="V120" s="91" t="s">
        <v>86</v>
      </c>
      <c r="W120" s="93">
        <v>2418</v>
      </c>
      <c r="X120" s="94">
        <f t="shared" si="7"/>
        <v>1</v>
      </c>
      <c r="Y120"/>
    </row>
    <row r="121" spans="1:25">
      <c r="A121" s="90">
        <v>120</v>
      </c>
      <c r="B121" s="68">
        <v>45762</v>
      </c>
      <c r="C121" s="40">
        <v>15</v>
      </c>
      <c r="D121" s="40">
        <f t="shared" si="4"/>
        <v>1</v>
      </c>
      <c r="E121" s="44" t="s">
        <v>117</v>
      </c>
      <c r="F121" s="17" t="s">
        <v>58</v>
      </c>
      <c r="G121" s="17" t="s">
        <v>86</v>
      </c>
      <c r="H121" s="42" t="s">
        <v>357</v>
      </c>
      <c r="I121" s="17" t="str">
        <f t="shared" si="5"/>
        <v>PN-120</v>
      </c>
      <c r="J121" s="18" t="s">
        <v>85</v>
      </c>
      <c r="K121" s="19" t="e">
        <f>IF(J121="","SEM #CH",VLOOKUP(J121,#REF!,2,0))</f>
        <v>#REF!</v>
      </c>
      <c r="L121" s="19" t="e">
        <f>IF(J121="","SEM #CH",VLOOKUP(J121,#REF!,3,0))</f>
        <v>#REF!</v>
      </c>
      <c r="M121" s="19" t="e">
        <f>IF(J121="","SEM #CH",VLOOKUP(J121,#REF!,4,0))</f>
        <v>#REF!</v>
      </c>
      <c r="N121" s="19" t="e">
        <f>IF(J121="","SEM #CH",VLOOKUP(J121,#REF!,5,0))</f>
        <v>#REF!</v>
      </c>
      <c r="O121" s="19" t="e">
        <f>IF(J121="","SEM #CH",VLOOKUP(J121,#REF!,6,0))</f>
        <v>#REF!</v>
      </c>
      <c r="P121" s="19" t="e">
        <f>IF(J121="","SEM #CH",VLOOKUP(J121,#REF!,7,0))</f>
        <v>#REF!</v>
      </c>
      <c r="Q121" s="77" t="str">
        <f>VLOOKUP(J121,'p1'!$B$2:$C$30,2,0)</f>
        <v>NÃO TEM CHAPA</v>
      </c>
      <c r="R121" s="95">
        <v>45793</v>
      </c>
      <c r="S121" s="91" t="s">
        <v>222</v>
      </c>
      <c r="T121" s="91">
        <f t="shared" si="6"/>
        <v>1</v>
      </c>
      <c r="U121" s="91"/>
      <c r="V121" s="91"/>
      <c r="W121" s="93"/>
      <c r="X121" s="94" t="str">
        <f t="shared" si="7"/>
        <v/>
      </c>
      <c r="Y121"/>
    </row>
    <row r="122" spans="1:25">
      <c r="A122" s="90">
        <v>121</v>
      </c>
      <c r="B122" s="68">
        <v>45764</v>
      </c>
      <c r="C122" s="40">
        <v>16</v>
      </c>
      <c r="D122" s="40">
        <f t="shared" si="4"/>
        <v>1</v>
      </c>
      <c r="E122" s="44" t="s">
        <v>117</v>
      </c>
      <c r="F122" s="17" t="s">
        <v>58</v>
      </c>
      <c r="G122" s="17" t="s">
        <v>86</v>
      </c>
      <c r="H122" s="42" t="s">
        <v>358</v>
      </c>
      <c r="I122" s="17" t="str">
        <f t="shared" si="5"/>
        <v>PN-121</v>
      </c>
      <c r="J122" s="18" t="s">
        <v>85</v>
      </c>
      <c r="K122" s="19" t="e">
        <f>IF(J122="","SEM #CH",VLOOKUP(J122,#REF!,2,0))</f>
        <v>#REF!</v>
      </c>
      <c r="L122" s="19" t="e">
        <f>IF(J122="","SEM #CH",VLOOKUP(J122,#REF!,3,0))</f>
        <v>#REF!</v>
      </c>
      <c r="M122" s="19" t="e">
        <f>IF(J122="","SEM #CH",VLOOKUP(J122,#REF!,4,0))</f>
        <v>#REF!</v>
      </c>
      <c r="N122" s="19" t="e">
        <f>IF(J122="","SEM #CH",VLOOKUP(J122,#REF!,5,0))</f>
        <v>#REF!</v>
      </c>
      <c r="O122" s="19" t="e">
        <f>IF(J122="","SEM #CH",VLOOKUP(J122,#REF!,6,0))</f>
        <v>#REF!</v>
      </c>
      <c r="P122" s="19" t="e">
        <f>IF(J122="","SEM #CH",VLOOKUP(J122,#REF!,7,0))</f>
        <v>#REF!</v>
      </c>
      <c r="Q122" s="77" t="str">
        <f>VLOOKUP(J122,'p1'!$B$2:$C$30,2,0)</f>
        <v>NÃO TEM CHAPA</v>
      </c>
      <c r="R122" s="95">
        <v>45777</v>
      </c>
      <c r="S122" s="91" t="s">
        <v>221</v>
      </c>
      <c r="T122" s="91">
        <f t="shared" si="6"/>
        <v>1</v>
      </c>
      <c r="U122" s="91"/>
      <c r="V122" s="91"/>
      <c r="W122" s="93"/>
      <c r="X122" s="94" t="str">
        <f t="shared" si="7"/>
        <v/>
      </c>
      <c r="Y122"/>
    </row>
    <row r="123" spans="1:25">
      <c r="A123" s="90">
        <v>122</v>
      </c>
      <c r="B123" s="68">
        <v>45764</v>
      </c>
      <c r="C123" s="40">
        <v>16</v>
      </c>
      <c r="D123" s="40">
        <f t="shared" si="4"/>
        <v>1</v>
      </c>
      <c r="E123" s="44" t="s">
        <v>117</v>
      </c>
      <c r="F123" s="17" t="s">
        <v>58</v>
      </c>
      <c r="G123" s="17" t="s">
        <v>86</v>
      </c>
      <c r="H123" s="42" t="s">
        <v>359</v>
      </c>
      <c r="I123" s="17" t="str">
        <f t="shared" si="5"/>
        <v>PN-122</v>
      </c>
      <c r="J123" s="18" t="s">
        <v>85</v>
      </c>
      <c r="K123" s="19" t="e">
        <f>IF(J123="","SEM #CH",VLOOKUP(J123,#REF!,2,0))</f>
        <v>#REF!</v>
      </c>
      <c r="L123" s="19" t="e">
        <f>IF(J123="","SEM #CH",VLOOKUP(J123,#REF!,3,0))</f>
        <v>#REF!</v>
      </c>
      <c r="M123" s="19" t="e">
        <f>IF(J123="","SEM #CH",VLOOKUP(J123,#REF!,4,0))</f>
        <v>#REF!</v>
      </c>
      <c r="N123" s="19" t="e">
        <f>IF(J123="","SEM #CH",VLOOKUP(J123,#REF!,5,0))</f>
        <v>#REF!</v>
      </c>
      <c r="O123" s="19" t="e">
        <f>IF(J123="","SEM #CH",VLOOKUP(J123,#REF!,6,0))</f>
        <v>#REF!</v>
      </c>
      <c r="P123" s="19" t="e">
        <f>IF(J123="","SEM #CH",VLOOKUP(J123,#REF!,7,0))</f>
        <v>#REF!</v>
      </c>
      <c r="Q123" s="77" t="str">
        <f>VLOOKUP(J123,'p1'!$B$2:$C$30,2,0)</f>
        <v>NÃO TEM CHAPA</v>
      </c>
      <c r="R123" s="95">
        <v>45776</v>
      </c>
      <c r="S123" s="91" t="s">
        <v>221</v>
      </c>
      <c r="T123" s="91">
        <f t="shared" si="6"/>
        <v>1</v>
      </c>
      <c r="U123" s="91"/>
      <c r="V123" s="91"/>
      <c r="W123" s="93"/>
      <c r="X123" s="94" t="str">
        <f t="shared" si="7"/>
        <v/>
      </c>
      <c r="Y123"/>
    </row>
    <row r="124" spans="1:25">
      <c r="A124" s="90">
        <v>123</v>
      </c>
      <c r="B124" s="68">
        <v>45764</v>
      </c>
      <c r="C124" s="40">
        <v>16</v>
      </c>
      <c r="D124" s="40">
        <f t="shared" si="4"/>
        <v>1</v>
      </c>
      <c r="E124" s="44" t="s">
        <v>117</v>
      </c>
      <c r="F124" s="17" t="s">
        <v>58</v>
      </c>
      <c r="G124" s="17" t="s">
        <v>86</v>
      </c>
      <c r="H124" s="42" t="s">
        <v>360</v>
      </c>
      <c r="I124" s="17" t="str">
        <f t="shared" si="5"/>
        <v>PN-123</v>
      </c>
      <c r="J124" s="18" t="s">
        <v>85</v>
      </c>
      <c r="K124" s="19" t="e">
        <f>IF(J124="","SEM #CH",VLOOKUP(J124,#REF!,2,0))</f>
        <v>#REF!</v>
      </c>
      <c r="L124" s="19" t="e">
        <f>IF(J124="","SEM #CH",VLOOKUP(J124,#REF!,3,0))</f>
        <v>#REF!</v>
      </c>
      <c r="M124" s="19" t="e">
        <f>IF(J124="","SEM #CH",VLOOKUP(J124,#REF!,4,0))</f>
        <v>#REF!</v>
      </c>
      <c r="N124" s="19" t="e">
        <f>IF(J124="","SEM #CH",VLOOKUP(J124,#REF!,5,0))</f>
        <v>#REF!</v>
      </c>
      <c r="O124" s="19" t="e">
        <f>IF(J124="","SEM #CH",VLOOKUP(J124,#REF!,6,0))</f>
        <v>#REF!</v>
      </c>
      <c r="P124" s="19" t="e">
        <f>IF(J124="","SEM #CH",VLOOKUP(J124,#REF!,7,0))</f>
        <v>#REF!</v>
      </c>
      <c r="Q124" s="77" t="str">
        <f>VLOOKUP(J124,'p1'!$B$2:$C$30,2,0)</f>
        <v>NÃO TEM CHAPA</v>
      </c>
      <c r="R124" s="95">
        <v>45789</v>
      </c>
      <c r="S124" s="91" t="s">
        <v>221</v>
      </c>
      <c r="T124" s="91">
        <f t="shared" si="6"/>
        <v>1</v>
      </c>
      <c r="U124" s="91"/>
      <c r="V124" s="91"/>
      <c r="W124" s="93"/>
      <c r="X124" s="94" t="str">
        <f t="shared" si="7"/>
        <v/>
      </c>
      <c r="Y124"/>
    </row>
    <row r="125" spans="1:25">
      <c r="A125" s="90">
        <v>124</v>
      </c>
      <c r="B125" s="68">
        <v>45764</v>
      </c>
      <c r="C125" s="40">
        <v>16</v>
      </c>
      <c r="D125" s="40">
        <f t="shared" si="4"/>
        <v>1</v>
      </c>
      <c r="E125" s="44" t="s">
        <v>117</v>
      </c>
      <c r="F125" s="17" t="s">
        <v>58</v>
      </c>
      <c r="G125" s="17" t="s">
        <v>86</v>
      </c>
      <c r="H125" s="42" t="s">
        <v>361</v>
      </c>
      <c r="I125" s="17" t="str">
        <f t="shared" si="5"/>
        <v>PN-124</v>
      </c>
      <c r="J125" s="18" t="s">
        <v>85</v>
      </c>
      <c r="K125" s="19" t="e">
        <f>IF(J125="","SEM #CH",VLOOKUP(J125,#REF!,2,0))</f>
        <v>#REF!</v>
      </c>
      <c r="L125" s="19" t="e">
        <f>IF(J125="","SEM #CH",VLOOKUP(J125,#REF!,3,0))</f>
        <v>#REF!</v>
      </c>
      <c r="M125" s="19" t="e">
        <f>IF(J125="","SEM #CH",VLOOKUP(J125,#REF!,4,0))</f>
        <v>#REF!</v>
      </c>
      <c r="N125" s="19" t="e">
        <f>IF(J125="","SEM #CH",VLOOKUP(J125,#REF!,5,0))</f>
        <v>#REF!</v>
      </c>
      <c r="O125" s="19" t="e">
        <f>IF(J125="","SEM #CH",VLOOKUP(J125,#REF!,6,0))</f>
        <v>#REF!</v>
      </c>
      <c r="P125" s="19" t="e">
        <f>IF(J125="","SEM #CH",VLOOKUP(J125,#REF!,7,0))</f>
        <v>#REF!</v>
      </c>
      <c r="Q125" s="77" t="str">
        <f>VLOOKUP(J125,'p1'!$B$2:$C$30,2,0)</f>
        <v>NÃO TEM CHAPA</v>
      </c>
      <c r="R125" s="95">
        <v>45783</v>
      </c>
      <c r="S125" s="91" t="s">
        <v>221</v>
      </c>
      <c r="T125" s="91">
        <f t="shared" si="6"/>
        <v>1</v>
      </c>
      <c r="U125" s="91"/>
      <c r="V125" s="91"/>
      <c r="W125" s="93"/>
      <c r="X125" s="94" t="str">
        <f t="shared" si="7"/>
        <v/>
      </c>
      <c r="Y125"/>
    </row>
    <row r="126" spans="1:25">
      <c r="A126" s="90">
        <v>125</v>
      </c>
      <c r="B126" s="68">
        <v>45835</v>
      </c>
      <c r="C126" s="40">
        <v>41</v>
      </c>
      <c r="D126" s="40">
        <f t="shared" si="4"/>
        <v>1</v>
      </c>
      <c r="E126" s="46" t="s">
        <v>128</v>
      </c>
      <c r="F126" s="17" t="s">
        <v>61</v>
      </c>
      <c r="G126" s="17" t="s">
        <v>86</v>
      </c>
      <c r="H126" s="42" t="s">
        <v>362</v>
      </c>
      <c r="I126" s="17" t="str">
        <f t="shared" si="5"/>
        <v>PF-125</v>
      </c>
      <c r="J126" s="18" t="s">
        <v>61</v>
      </c>
      <c r="K126" s="19" t="e">
        <f>IF(J126="","SEM #CH",VLOOKUP(J126,#REF!,2,0))</f>
        <v>#REF!</v>
      </c>
      <c r="L126" s="19" t="e">
        <f>IF(J126="","SEM #CH",VLOOKUP(J126,#REF!,3,0))</f>
        <v>#REF!</v>
      </c>
      <c r="M126" s="19" t="e">
        <f>IF(J126="","SEM #CH",VLOOKUP(J126,#REF!,4,0))</f>
        <v>#REF!</v>
      </c>
      <c r="N126" s="19" t="e">
        <f>IF(J126="","SEM #CH",VLOOKUP(J126,#REF!,5,0))</f>
        <v>#REF!</v>
      </c>
      <c r="O126" s="19" t="e">
        <f>IF(J126="","SEM #CH",VLOOKUP(J126,#REF!,6,0))</f>
        <v>#REF!</v>
      </c>
      <c r="P126" s="19" t="e">
        <f>IF(J126="","SEM #CH",VLOOKUP(J126,#REF!,7,0))</f>
        <v>#REF!</v>
      </c>
      <c r="Q126" s="77" t="str">
        <f>VLOOKUP(J126,'p1'!$B$2:$C$30,2,0)</f>
        <v>SEM CHAPA</v>
      </c>
      <c r="R126" s="95">
        <v>45839</v>
      </c>
      <c r="S126" s="91" t="s">
        <v>221</v>
      </c>
      <c r="T126" s="91">
        <f t="shared" si="6"/>
        <v>1</v>
      </c>
      <c r="U126" s="91"/>
      <c r="V126" s="91"/>
      <c r="W126" s="93"/>
      <c r="X126" s="94" t="str">
        <f t="shared" si="7"/>
        <v/>
      </c>
      <c r="Y126"/>
    </row>
    <row r="127" spans="1:25">
      <c r="A127" s="90">
        <v>126</v>
      </c>
      <c r="B127" s="68">
        <v>45764</v>
      </c>
      <c r="C127" s="40">
        <v>16</v>
      </c>
      <c r="D127" s="40">
        <f t="shared" si="4"/>
        <v>1</v>
      </c>
      <c r="E127" s="46" t="s">
        <v>128</v>
      </c>
      <c r="F127" s="17" t="s">
        <v>58</v>
      </c>
      <c r="G127" s="17" t="s">
        <v>86</v>
      </c>
      <c r="H127" s="42" t="s">
        <v>363</v>
      </c>
      <c r="I127" s="17" t="str">
        <f t="shared" si="5"/>
        <v>PN-126</v>
      </c>
      <c r="J127" s="18" t="s">
        <v>85</v>
      </c>
      <c r="K127" s="19" t="e">
        <f>IF(J127="","SEM #CH",VLOOKUP(J127,#REF!,2,0))</f>
        <v>#REF!</v>
      </c>
      <c r="L127" s="19" t="e">
        <f>IF(J127="","SEM #CH",VLOOKUP(J127,#REF!,3,0))</f>
        <v>#REF!</v>
      </c>
      <c r="M127" s="19" t="e">
        <f>IF(J127="","SEM #CH",VLOOKUP(J127,#REF!,4,0))</f>
        <v>#REF!</v>
      </c>
      <c r="N127" s="19" t="e">
        <f>IF(J127="","SEM #CH",VLOOKUP(J127,#REF!,5,0))</f>
        <v>#REF!</v>
      </c>
      <c r="O127" s="19" t="e">
        <f>IF(J127="","SEM #CH",VLOOKUP(J127,#REF!,6,0))</f>
        <v>#REF!</v>
      </c>
      <c r="P127" s="19" t="e">
        <f>IF(J127="","SEM #CH",VLOOKUP(J127,#REF!,7,0))</f>
        <v>#REF!</v>
      </c>
      <c r="Q127" s="77" t="str">
        <f>VLOOKUP(J127,'p1'!$B$2:$C$30,2,0)</f>
        <v>NÃO TEM CHAPA</v>
      </c>
      <c r="R127" s="95"/>
      <c r="S127" s="91" t="s">
        <v>221</v>
      </c>
      <c r="T127" s="91" t="str">
        <f t="shared" si="6"/>
        <v/>
      </c>
      <c r="U127" s="91"/>
      <c r="V127" s="91"/>
      <c r="W127" s="93"/>
      <c r="X127" s="94" t="str">
        <f t="shared" si="7"/>
        <v/>
      </c>
      <c r="Y127"/>
    </row>
    <row r="128" spans="1:25">
      <c r="A128" s="90">
        <v>127</v>
      </c>
      <c r="B128" s="68">
        <v>45764</v>
      </c>
      <c r="C128" s="40">
        <v>16</v>
      </c>
      <c r="D128" s="40">
        <f t="shared" si="4"/>
        <v>1</v>
      </c>
      <c r="E128" s="46" t="s">
        <v>128</v>
      </c>
      <c r="F128" s="17" t="s">
        <v>58</v>
      </c>
      <c r="G128" s="17" t="s">
        <v>86</v>
      </c>
      <c r="H128" s="42" t="s">
        <v>364</v>
      </c>
      <c r="I128" s="17" t="str">
        <f t="shared" si="5"/>
        <v>PN-127</v>
      </c>
      <c r="J128" s="18" t="s">
        <v>85</v>
      </c>
      <c r="K128" s="19" t="e">
        <f>IF(J128="","SEM #CH",VLOOKUP(J128,#REF!,2,0))</f>
        <v>#REF!</v>
      </c>
      <c r="L128" s="19" t="e">
        <f>IF(J128="","SEM #CH",VLOOKUP(J128,#REF!,3,0))</f>
        <v>#REF!</v>
      </c>
      <c r="M128" s="19" t="e">
        <f>IF(J128="","SEM #CH",VLOOKUP(J128,#REF!,4,0))</f>
        <v>#REF!</v>
      </c>
      <c r="N128" s="19" t="e">
        <f>IF(J128="","SEM #CH",VLOOKUP(J128,#REF!,5,0))</f>
        <v>#REF!</v>
      </c>
      <c r="O128" s="19" t="e">
        <f>IF(J128="","SEM #CH",VLOOKUP(J128,#REF!,6,0))</f>
        <v>#REF!</v>
      </c>
      <c r="P128" s="19" t="e">
        <f>IF(J128="","SEM #CH",VLOOKUP(J128,#REF!,7,0))</f>
        <v>#REF!</v>
      </c>
      <c r="Q128" s="77" t="str">
        <f>VLOOKUP(J128,'p1'!$B$2:$C$30,2,0)</f>
        <v>NÃO TEM CHAPA</v>
      </c>
      <c r="R128" s="95"/>
      <c r="S128" s="91" t="s">
        <v>221</v>
      </c>
      <c r="T128" s="91" t="str">
        <f t="shared" si="6"/>
        <v/>
      </c>
      <c r="U128" s="91"/>
      <c r="V128" s="91"/>
      <c r="W128" s="93"/>
      <c r="X128" s="94" t="str">
        <f t="shared" si="7"/>
        <v/>
      </c>
      <c r="Y128"/>
    </row>
    <row r="129" spans="1:25">
      <c r="A129" s="90">
        <v>128</v>
      </c>
      <c r="B129" s="68">
        <v>45764</v>
      </c>
      <c r="C129" s="40">
        <v>16</v>
      </c>
      <c r="D129" s="40">
        <f t="shared" si="4"/>
        <v>1</v>
      </c>
      <c r="E129" s="46" t="s">
        <v>128</v>
      </c>
      <c r="F129" s="17" t="s">
        <v>58</v>
      </c>
      <c r="G129" s="17" t="s">
        <v>86</v>
      </c>
      <c r="H129" s="42" t="s">
        <v>365</v>
      </c>
      <c r="I129" s="17" t="str">
        <f t="shared" si="5"/>
        <v>PN-128</v>
      </c>
      <c r="J129" s="18" t="s">
        <v>85</v>
      </c>
      <c r="K129" s="19" t="e">
        <f>IF(J129="","SEM #CH",VLOOKUP(J129,#REF!,2,0))</f>
        <v>#REF!</v>
      </c>
      <c r="L129" s="19" t="e">
        <f>IF(J129="","SEM #CH",VLOOKUP(J129,#REF!,3,0))</f>
        <v>#REF!</v>
      </c>
      <c r="M129" s="19" t="e">
        <f>IF(J129="","SEM #CH",VLOOKUP(J129,#REF!,4,0))</f>
        <v>#REF!</v>
      </c>
      <c r="N129" s="19" t="e">
        <f>IF(J129="","SEM #CH",VLOOKUP(J129,#REF!,5,0))</f>
        <v>#REF!</v>
      </c>
      <c r="O129" s="19" t="e">
        <f>IF(J129="","SEM #CH",VLOOKUP(J129,#REF!,6,0))</f>
        <v>#REF!</v>
      </c>
      <c r="P129" s="19" t="e">
        <f>IF(J129="","SEM #CH",VLOOKUP(J129,#REF!,7,0))</f>
        <v>#REF!</v>
      </c>
      <c r="Q129" s="77" t="str">
        <f>VLOOKUP(J129,'p1'!$B$2:$C$30,2,0)</f>
        <v>NÃO TEM CHAPA</v>
      </c>
      <c r="R129" s="95"/>
      <c r="S129" s="91" t="s">
        <v>221</v>
      </c>
      <c r="T129" s="91" t="str">
        <f t="shared" si="6"/>
        <v/>
      </c>
      <c r="U129" s="91"/>
      <c r="V129" s="91"/>
      <c r="W129" s="93"/>
      <c r="X129" s="94" t="str">
        <f t="shared" si="7"/>
        <v/>
      </c>
      <c r="Y129"/>
    </row>
    <row r="130" spans="1:25">
      <c r="A130" s="90">
        <v>129</v>
      </c>
      <c r="B130" s="68">
        <v>45764</v>
      </c>
      <c r="C130" s="40">
        <v>17</v>
      </c>
      <c r="D130" s="40">
        <f t="shared" ref="D130:D193" si="8">IF(B130&gt;0,1,"")</f>
        <v>1</v>
      </c>
      <c r="E130" s="46" t="s">
        <v>128</v>
      </c>
      <c r="F130" s="17" t="s">
        <v>58</v>
      </c>
      <c r="G130" s="17" t="s">
        <v>86</v>
      </c>
      <c r="H130" s="42" t="s">
        <v>366</v>
      </c>
      <c r="I130" s="17" t="str">
        <f t="shared" ref="I130:I193" si="9">_xlfn.CONCAT(F130,G130,H130)</f>
        <v>PN-129</v>
      </c>
      <c r="J130" s="18" t="s">
        <v>85</v>
      </c>
      <c r="K130" s="19" t="e">
        <f>IF(J130="","SEM #CH",VLOOKUP(J130,#REF!,2,0))</f>
        <v>#REF!</v>
      </c>
      <c r="L130" s="19" t="e">
        <f>IF(J130="","SEM #CH",VLOOKUP(J130,#REF!,3,0))</f>
        <v>#REF!</v>
      </c>
      <c r="M130" s="19" t="e">
        <f>IF(J130="","SEM #CH",VLOOKUP(J130,#REF!,4,0))</f>
        <v>#REF!</v>
      </c>
      <c r="N130" s="19" t="e">
        <f>IF(J130="","SEM #CH",VLOOKUP(J130,#REF!,5,0))</f>
        <v>#REF!</v>
      </c>
      <c r="O130" s="19" t="e">
        <f>IF(J130="","SEM #CH",VLOOKUP(J130,#REF!,6,0))</f>
        <v>#REF!</v>
      </c>
      <c r="P130" s="19" t="e">
        <f>IF(J130="","SEM #CH",VLOOKUP(J130,#REF!,7,0))</f>
        <v>#REF!</v>
      </c>
      <c r="Q130" s="77" t="str">
        <f>VLOOKUP(J130,'p1'!$B$2:$C$30,2,0)</f>
        <v>NÃO TEM CHAPA</v>
      </c>
      <c r="R130" s="95"/>
      <c r="S130" s="91" t="s">
        <v>222</v>
      </c>
      <c r="T130" s="91" t="str">
        <f t="shared" ref="T130:T193" si="10">IF(R130=0,"",1)</f>
        <v/>
      </c>
      <c r="U130" s="91"/>
      <c r="V130" s="91"/>
      <c r="W130" s="93"/>
      <c r="X130" s="94" t="str">
        <f t="shared" ref="X130:X193" si="11">IF(U130&gt;0,1,"")</f>
        <v/>
      </c>
      <c r="Y130"/>
    </row>
    <row r="131" spans="1:25">
      <c r="A131" s="90">
        <v>130</v>
      </c>
      <c r="B131" s="68">
        <v>45764</v>
      </c>
      <c r="C131" s="40">
        <v>17</v>
      </c>
      <c r="D131" s="40">
        <f t="shared" si="8"/>
        <v>1</v>
      </c>
      <c r="E131" s="46" t="s">
        <v>128</v>
      </c>
      <c r="F131" s="17" t="s">
        <v>58</v>
      </c>
      <c r="G131" s="17" t="s">
        <v>86</v>
      </c>
      <c r="H131" s="42" t="s">
        <v>367</v>
      </c>
      <c r="I131" s="17" t="str">
        <f t="shared" si="9"/>
        <v>PN-130</v>
      </c>
      <c r="J131" s="18" t="s">
        <v>85</v>
      </c>
      <c r="K131" s="19" t="e">
        <f>IF(J131="","SEM #CH",VLOOKUP(J131,#REF!,2,0))</f>
        <v>#REF!</v>
      </c>
      <c r="L131" s="19" t="e">
        <f>IF(J131="","SEM #CH",VLOOKUP(J131,#REF!,3,0))</f>
        <v>#REF!</v>
      </c>
      <c r="M131" s="19" t="e">
        <f>IF(J131="","SEM #CH",VLOOKUP(J131,#REF!,4,0))</f>
        <v>#REF!</v>
      </c>
      <c r="N131" s="19" t="e">
        <f>IF(J131="","SEM #CH",VLOOKUP(J131,#REF!,5,0))</f>
        <v>#REF!</v>
      </c>
      <c r="O131" s="19" t="e">
        <f>IF(J131="","SEM #CH",VLOOKUP(J131,#REF!,6,0))</f>
        <v>#REF!</v>
      </c>
      <c r="P131" s="19" t="e">
        <f>IF(J131="","SEM #CH",VLOOKUP(J131,#REF!,7,0))</f>
        <v>#REF!</v>
      </c>
      <c r="Q131" s="77" t="str">
        <f>VLOOKUP(J131,'p1'!$B$2:$C$30,2,0)</f>
        <v>NÃO TEM CHAPA</v>
      </c>
      <c r="R131" s="95"/>
      <c r="S131" s="91" t="s">
        <v>222</v>
      </c>
      <c r="T131" s="91" t="str">
        <f t="shared" si="10"/>
        <v/>
      </c>
      <c r="U131" s="91"/>
      <c r="V131" s="91"/>
      <c r="W131" s="93"/>
      <c r="X131" s="94" t="str">
        <f t="shared" si="11"/>
        <v/>
      </c>
      <c r="Y131"/>
    </row>
    <row r="132" spans="1:25">
      <c r="A132" s="90">
        <v>131</v>
      </c>
      <c r="B132" s="68">
        <v>45764</v>
      </c>
      <c r="C132" s="40">
        <v>17</v>
      </c>
      <c r="D132" s="40">
        <f t="shared" si="8"/>
        <v>1</v>
      </c>
      <c r="E132" s="46" t="s">
        <v>128</v>
      </c>
      <c r="F132" s="17" t="s">
        <v>58</v>
      </c>
      <c r="G132" s="17" t="s">
        <v>86</v>
      </c>
      <c r="H132" s="42" t="s">
        <v>368</v>
      </c>
      <c r="I132" s="17" t="str">
        <f t="shared" si="9"/>
        <v>PN-131</v>
      </c>
      <c r="J132" s="18" t="s">
        <v>85</v>
      </c>
      <c r="K132" s="19" t="e">
        <f>IF(J132="","SEM #CH",VLOOKUP(J132,#REF!,2,0))</f>
        <v>#REF!</v>
      </c>
      <c r="L132" s="19" t="e">
        <f>IF(J132="","SEM #CH",VLOOKUP(J132,#REF!,3,0))</f>
        <v>#REF!</v>
      </c>
      <c r="M132" s="19" t="e">
        <f>IF(J132="","SEM #CH",VLOOKUP(J132,#REF!,4,0))</f>
        <v>#REF!</v>
      </c>
      <c r="N132" s="19" t="e">
        <f>IF(J132="","SEM #CH",VLOOKUP(J132,#REF!,5,0))</f>
        <v>#REF!</v>
      </c>
      <c r="O132" s="19" t="e">
        <f>IF(J132="","SEM #CH",VLOOKUP(J132,#REF!,6,0))</f>
        <v>#REF!</v>
      </c>
      <c r="P132" s="19" t="e">
        <f>IF(J132="","SEM #CH",VLOOKUP(J132,#REF!,7,0))</f>
        <v>#REF!</v>
      </c>
      <c r="Q132" s="77" t="str">
        <f>VLOOKUP(J132,'p1'!$B$2:$C$30,2,0)</f>
        <v>NÃO TEM CHAPA</v>
      </c>
      <c r="R132" s="95"/>
      <c r="S132" s="91" t="s">
        <v>222</v>
      </c>
      <c r="T132" s="91" t="str">
        <f t="shared" si="10"/>
        <v/>
      </c>
      <c r="U132" s="91"/>
      <c r="V132" s="91"/>
      <c r="W132" s="93"/>
      <c r="X132" s="94" t="str">
        <f t="shared" si="11"/>
        <v/>
      </c>
      <c r="Y132"/>
    </row>
    <row r="133" spans="1:25">
      <c r="A133" s="90">
        <v>132</v>
      </c>
      <c r="B133" s="68">
        <v>45764</v>
      </c>
      <c r="C133" s="40">
        <v>17</v>
      </c>
      <c r="D133" s="40">
        <f t="shared" si="8"/>
        <v>1</v>
      </c>
      <c r="E133" s="46" t="s">
        <v>128</v>
      </c>
      <c r="F133" s="17" t="s">
        <v>58</v>
      </c>
      <c r="G133" s="17" t="s">
        <v>86</v>
      </c>
      <c r="H133" s="42" t="s">
        <v>369</v>
      </c>
      <c r="I133" s="17" t="str">
        <f t="shared" si="9"/>
        <v>PN-132</v>
      </c>
      <c r="J133" s="18" t="s">
        <v>85</v>
      </c>
      <c r="K133" s="19" t="e">
        <f>IF(J133="","SEM #CH",VLOOKUP(J133,#REF!,2,0))</f>
        <v>#REF!</v>
      </c>
      <c r="L133" s="19" t="e">
        <f>IF(J133="","SEM #CH",VLOOKUP(J133,#REF!,3,0))</f>
        <v>#REF!</v>
      </c>
      <c r="M133" s="19" t="e">
        <f>IF(J133="","SEM #CH",VLOOKUP(J133,#REF!,4,0))</f>
        <v>#REF!</v>
      </c>
      <c r="N133" s="19" t="e">
        <f>IF(J133="","SEM #CH",VLOOKUP(J133,#REF!,5,0))</f>
        <v>#REF!</v>
      </c>
      <c r="O133" s="19" t="e">
        <f>IF(J133="","SEM #CH",VLOOKUP(J133,#REF!,6,0))</f>
        <v>#REF!</v>
      </c>
      <c r="P133" s="19" t="e">
        <f>IF(J133="","SEM #CH",VLOOKUP(J133,#REF!,7,0))</f>
        <v>#REF!</v>
      </c>
      <c r="Q133" s="77" t="str">
        <f>VLOOKUP(J133,'p1'!$B$2:$C$30,2,0)</f>
        <v>NÃO TEM CHAPA</v>
      </c>
      <c r="R133" s="95"/>
      <c r="S133" s="91" t="s">
        <v>222</v>
      </c>
      <c r="T133" s="91" t="str">
        <f t="shared" si="10"/>
        <v/>
      </c>
      <c r="U133" s="91"/>
      <c r="V133" s="91"/>
      <c r="W133" s="93"/>
      <c r="X133" s="94" t="str">
        <f t="shared" si="11"/>
        <v/>
      </c>
      <c r="Y133"/>
    </row>
    <row r="134" spans="1:25">
      <c r="A134" s="90">
        <v>133</v>
      </c>
      <c r="B134" s="68">
        <v>45818</v>
      </c>
      <c r="C134" s="40">
        <v>34</v>
      </c>
      <c r="D134" s="40">
        <f t="shared" si="8"/>
        <v>1</v>
      </c>
      <c r="E134" s="46" t="s">
        <v>128</v>
      </c>
      <c r="F134" s="17" t="s">
        <v>60</v>
      </c>
      <c r="G134" s="17" t="s">
        <v>86</v>
      </c>
      <c r="H134" s="42" t="s">
        <v>370</v>
      </c>
      <c r="I134" s="17" t="str">
        <f t="shared" si="9"/>
        <v>PE-133</v>
      </c>
      <c r="J134" s="18" t="s">
        <v>90</v>
      </c>
      <c r="K134" s="19" t="e">
        <f>IF(J134="","SEM #CH",VLOOKUP(J134,#REF!,2,0))</f>
        <v>#REF!</v>
      </c>
      <c r="L134" s="19" t="e">
        <f>IF(J134="","SEM #CH",VLOOKUP(J134,#REF!,3,0))</f>
        <v>#REF!</v>
      </c>
      <c r="M134" s="19" t="e">
        <f>IF(J134="","SEM #CH",VLOOKUP(J134,#REF!,4,0))</f>
        <v>#REF!</v>
      </c>
      <c r="N134" s="19" t="e">
        <f>IF(J134="","SEM #CH",VLOOKUP(J134,#REF!,5,0))</f>
        <v>#REF!</v>
      </c>
      <c r="O134" s="19" t="e">
        <f>IF(J134="","SEM #CH",VLOOKUP(J134,#REF!,6,0))</f>
        <v>#REF!</v>
      </c>
      <c r="P134" s="19" t="e">
        <f>IF(J134="","SEM #CH",VLOOKUP(J134,#REF!,7,0))</f>
        <v>#REF!</v>
      </c>
      <c r="Q134" s="77" t="str">
        <f>VLOOKUP(J134,'p1'!$B$2:$C$30,2,0)</f>
        <v>#3/8-530X530</v>
      </c>
      <c r="R134" s="95"/>
      <c r="S134" s="91" t="s">
        <v>221</v>
      </c>
      <c r="T134" s="91" t="str">
        <f t="shared" si="10"/>
        <v/>
      </c>
      <c r="U134" s="91"/>
      <c r="V134" s="91"/>
      <c r="W134" s="93"/>
      <c r="X134" s="94" t="str">
        <f t="shared" si="11"/>
        <v/>
      </c>
      <c r="Y134"/>
    </row>
    <row r="135" spans="1:25">
      <c r="A135" s="90">
        <v>134</v>
      </c>
      <c r="B135" s="68">
        <v>45764</v>
      </c>
      <c r="C135" s="40">
        <v>17</v>
      </c>
      <c r="D135" s="40">
        <f t="shared" si="8"/>
        <v>1</v>
      </c>
      <c r="E135" s="46" t="s">
        <v>128</v>
      </c>
      <c r="F135" s="17" t="s">
        <v>58</v>
      </c>
      <c r="G135" s="17" t="s">
        <v>86</v>
      </c>
      <c r="H135" s="42" t="s">
        <v>371</v>
      </c>
      <c r="I135" s="17" t="str">
        <f t="shared" si="9"/>
        <v>PN-134</v>
      </c>
      <c r="J135" s="18" t="s">
        <v>85</v>
      </c>
      <c r="K135" s="19" t="e">
        <f>IF(J135="","SEM #CH",VLOOKUP(J135,#REF!,2,0))</f>
        <v>#REF!</v>
      </c>
      <c r="L135" s="19" t="e">
        <f>IF(J135="","SEM #CH",VLOOKUP(J135,#REF!,3,0))</f>
        <v>#REF!</v>
      </c>
      <c r="M135" s="19" t="e">
        <f>IF(J135="","SEM #CH",VLOOKUP(J135,#REF!,4,0))</f>
        <v>#REF!</v>
      </c>
      <c r="N135" s="19" t="e">
        <f>IF(J135="","SEM #CH",VLOOKUP(J135,#REF!,5,0))</f>
        <v>#REF!</v>
      </c>
      <c r="O135" s="19" t="e">
        <f>IF(J135="","SEM #CH",VLOOKUP(J135,#REF!,6,0))</f>
        <v>#REF!</v>
      </c>
      <c r="P135" s="19" t="e">
        <f>IF(J135="","SEM #CH",VLOOKUP(J135,#REF!,7,0))</f>
        <v>#REF!</v>
      </c>
      <c r="Q135" s="77" t="str">
        <f>VLOOKUP(J135,'p1'!$B$2:$C$30,2,0)</f>
        <v>NÃO TEM CHAPA</v>
      </c>
      <c r="R135" s="95">
        <v>45849</v>
      </c>
      <c r="S135" s="91" t="s">
        <v>222</v>
      </c>
      <c r="T135" s="91">
        <f t="shared" si="10"/>
        <v>1</v>
      </c>
      <c r="U135" s="91"/>
      <c r="V135" s="91"/>
      <c r="W135" s="93"/>
      <c r="X135" s="94" t="str">
        <f t="shared" si="11"/>
        <v/>
      </c>
      <c r="Y135"/>
    </row>
    <row r="136" spans="1:25">
      <c r="A136" s="90">
        <v>135</v>
      </c>
      <c r="B136" s="68">
        <v>45764</v>
      </c>
      <c r="C136" s="40">
        <v>17</v>
      </c>
      <c r="D136" s="40">
        <f t="shared" si="8"/>
        <v>1</v>
      </c>
      <c r="E136" s="46" t="s">
        <v>128</v>
      </c>
      <c r="F136" s="17" t="s">
        <v>58</v>
      </c>
      <c r="G136" s="17" t="s">
        <v>86</v>
      </c>
      <c r="H136" s="42" t="s">
        <v>372</v>
      </c>
      <c r="I136" s="17" t="str">
        <f t="shared" si="9"/>
        <v>PN-135</v>
      </c>
      <c r="J136" s="18" t="s">
        <v>85</v>
      </c>
      <c r="K136" s="19" t="e">
        <f>IF(J136="","SEM #CH",VLOOKUP(J136,#REF!,2,0))</f>
        <v>#REF!</v>
      </c>
      <c r="L136" s="19" t="e">
        <f>IF(J136="","SEM #CH",VLOOKUP(J136,#REF!,3,0))</f>
        <v>#REF!</v>
      </c>
      <c r="M136" s="19" t="e">
        <f>IF(J136="","SEM #CH",VLOOKUP(J136,#REF!,4,0))</f>
        <v>#REF!</v>
      </c>
      <c r="N136" s="19" t="e">
        <f>IF(J136="","SEM #CH",VLOOKUP(J136,#REF!,5,0))</f>
        <v>#REF!</v>
      </c>
      <c r="O136" s="19" t="e">
        <f>IF(J136="","SEM #CH",VLOOKUP(J136,#REF!,6,0))</f>
        <v>#REF!</v>
      </c>
      <c r="P136" s="19" t="e">
        <f>IF(J136="","SEM #CH",VLOOKUP(J136,#REF!,7,0))</f>
        <v>#REF!</v>
      </c>
      <c r="Q136" s="77" t="str">
        <f>VLOOKUP(J136,'p1'!$B$2:$C$30,2,0)</f>
        <v>NÃO TEM CHAPA</v>
      </c>
      <c r="R136" s="95"/>
      <c r="S136" s="91" t="s">
        <v>222</v>
      </c>
      <c r="T136" s="91" t="str">
        <f t="shared" si="10"/>
        <v/>
      </c>
      <c r="U136" s="91"/>
      <c r="V136" s="91"/>
      <c r="W136" s="93"/>
      <c r="X136" s="94" t="str">
        <f t="shared" si="11"/>
        <v/>
      </c>
      <c r="Y136"/>
    </row>
    <row r="137" spans="1:25">
      <c r="A137" s="90">
        <v>136</v>
      </c>
      <c r="B137" s="68">
        <v>45764</v>
      </c>
      <c r="C137" s="40">
        <v>17</v>
      </c>
      <c r="D137" s="40">
        <f t="shared" si="8"/>
        <v>1</v>
      </c>
      <c r="E137" s="46" t="s">
        <v>128</v>
      </c>
      <c r="F137" s="17" t="s">
        <v>58</v>
      </c>
      <c r="G137" s="17" t="s">
        <v>86</v>
      </c>
      <c r="H137" s="42" t="s">
        <v>373</v>
      </c>
      <c r="I137" s="17" t="str">
        <f t="shared" si="9"/>
        <v>PN-136</v>
      </c>
      <c r="J137" s="18" t="s">
        <v>85</v>
      </c>
      <c r="K137" s="19" t="e">
        <f>IF(J137="","SEM #CH",VLOOKUP(J137,#REF!,2,0))</f>
        <v>#REF!</v>
      </c>
      <c r="L137" s="19" t="e">
        <f>IF(J137="","SEM #CH",VLOOKUP(J137,#REF!,3,0))</f>
        <v>#REF!</v>
      </c>
      <c r="M137" s="19" t="e">
        <f>IF(J137="","SEM #CH",VLOOKUP(J137,#REF!,4,0))</f>
        <v>#REF!</v>
      </c>
      <c r="N137" s="19" t="e">
        <f>IF(J137="","SEM #CH",VLOOKUP(J137,#REF!,5,0))</f>
        <v>#REF!</v>
      </c>
      <c r="O137" s="19" t="e">
        <f>IF(J137="","SEM #CH",VLOOKUP(J137,#REF!,6,0))</f>
        <v>#REF!</v>
      </c>
      <c r="P137" s="19" t="e">
        <f>IF(J137="","SEM #CH",VLOOKUP(J137,#REF!,7,0))</f>
        <v>#REF!</v>
      </c>
      <c r="Q137" s="77" t="str">
        <f>VLOOKUP(J137,'p1'!$B$2:$C$30,2,0)</f>
        <v>NÃO TEM CHAPA</v>
      </c>
      <c r="R137" s="95">
        <v>45835</v>
      </c>
      <c r="S137" s="91" t="s">
        <v>222</v>
      </c>
      <c r="T137" s="91">
        <f t="shared" si="10"/>
        <v>1</v>
      </c>
      <c r="U137" s="95">
        <v>45842</v>
      </c>
      <c r="V137" s="91" t="s">
        <v>86</v>
      </c>
      <c r="W137" s="93">
        <v>2426</v>
      </c>
      <c r="X137" s="94">
        <f t="shared" si="11"/>
        <v>1</v>
      </c>
      <c r="Y137"/>
    </row>
    <row r="138" spans="1:25">
      <c r="A138" s="90">
        <v>137</v>
      </c>
      <c r="B138" s="68">
        <v>45770</v>
      </c>
      <c r="C138" s="40">
        <v>18</v>
      </c>
      <c r="D138" s="40">
        <f t="shared" si="8"/>
        <v>1</v>
      </c>
      <c r="E138" s="46" t="s">
        <v>128</v>
      </c>
      <c r="F138" s="17" t="s">
        <v>58</v>
      </c>
      <c r="G138" s="17" t="s">
        <v>86</v>
      </c>
      <c r="H138" s="42" t="s">
        <v>374</v>
      </c>
      <c r="I138" s="17" t="str">
        <f t="shared" si="9"/>
        <v>PN-137</v>
      </c>
      <c r="J138" s="18" t="s">
        <v>85</v>
      </c>
      <c r="K138" s="19" t="e">
        <f>IF(J138="","SEM #CH",VLOOKUP(J138,#REF!,2,0))</f>
        <v>#REF!</v>
      </c>
      <c r="L138" s="19" t="e">
        <f>IF(J138="","SEM #CH",VLOOKUP(J138,#REF!,3,0))</f>
        <v>#REF!</v>
      </c>
      <c r="M138" s="19" t="e">
        <f>IF(J138="","SEM #CH",VLOOKUP(J138,#REF!,4,0))</f>
        <v>#REF!</v>
      </c>
      <c r="N138" s="19" t="e">
        <f>IF(J138="","SEM #CH",VLOOKUP(J138,#REF!,5,0))</f>
        <v>#REF!</v>
      </c>
      <c r="O138" s="19" t="e">
        <f>IF(J138="","SEM #CH",VLOOKUP(J138,#REF!,6,0))</f>
        <v>#REF!</v>
      </c>
      <c r="P138" s="19" t="e">
        <f>IF(J138="","SEM #CH",VLOOKUP(J138,#REF!,7,0))</f>
        <v>#REF!</v>
      </c>
      <c r="Q138" s="77" t="str">
        <f>VLOOKUP(J138,'p1'!$B$2:$C$30,2,0)</f>
        <v>NÃO TEM CHAPA</v>
      </c>
      <c r="R138" s="95"/>
      <c r="S138" s="91" t="s">
        <v>222</v>
      </c>
      <c r="T138" s="91" t="str">
        <f t="shared" si="10"/>
        <v/>
      </c>
      <c r="U138" s="91"/>
      <c r="V138" s="91"/>
      <c r="W138" s="93"/>
      <c r="X138" s="94" t="str">
        <f t="shared" si="11"/>
        <v/>
      </c>
      <c r="Y138"/>
    </row>
    <row r="139" spans="1:25">
      <c r="A139" s="90">
        <v>138</v>
      </c>
      <c r="B139" s="68">
        <v>45770</v>
      </c>
      <c r="C139" s="40">
        <v>18</v>
      </c>
      <c r="D139" s="40">
        <f t="shared" si="8"/>
        <v>1</v>
      </c>
      <c r="E139" s="46" t="s">
        <v>128</v>
      </c>
      <c r="F139" s="17" t="s">
        <v>58</v>
      </c>
      <c r="G139" s="17" t="s">
        <v>86</v>
      </c>
      <c r="H139" s="42" t="s">
        <v>375</v>
      </c>
      <c r="I139" s="17" t="str">
        <f t="shared" si="9"/>
        <v>PN-138</v>
      </c>
      <c r="J139" s="18" t="s">
        <v>85</v>
      </c>
      <c r="K139" s="19" t="e">
        <f>IF(J139="","SEM #CH",VLOOKUP(J139,#REF!,2,0))</f>
        <v>#REF!</v>
      </c>
      <c r="L139" s="19" t="e">
        <f>IF(J139="","SEM #CH",VLOOKUP(J139,#REF!,3,0))</f>
        <v>#REF!</v>
      </c>
      <c r="M139" s="19" t="e">
        <f>IF(J139="","SEM #CH",VLOOKUP(J139,#REF!,4,0))</f>
        <v>#REF!</v>
      </c>
      <c r="N139" s="19" t="e">
        <f>IF(J139="","SEM #CH",VLOOKUP(J139,#REF!,5,0))</f>
        <v>#REF!</v>
      </c>
      <c r="O139" s="19" t="e">
        <f>IF(J139="","SEM #CH",VLOOKUP(J139,#REF!,6,0))</f>
        <v>#REF!</v>
      </c>
      <c r="P139" s="19" t="e">
        <f>IF(J139="","SEM #CH",VLOOKUP(J139,#REF!,7,0))</f>
        <v>#REF!</v>
      </c>
      <c r="Q139" s="77" t="str">
        <f>VLOOKUP(J139,'p1'!$B$2:$C$30,2,0)</f>
        <v>NÃO TEM CHAPA</v>
      </c>
      <c r="R139" s="95"/>
      <c r="S139" s="91" t="s">
        <v>222</v>
      </c>
      <c r="T139" s="91" t="str">
        <f t="shared" si="10"/>
        <v/>
      </c>
      <c r="U139" s="91"/>
      <c r="V139" s="91"/>
      <c r="W139" s="93"/>
      <c r="X139" s="94" t="str">
        <f t="shared" si="11"/>
        <v/>
      </c>
      <c r="Y139"/>
    </row>
    <row r="140" spans="1:25">
      <c r="A140" s="90">
        <v>139</v>
      </c>
      <c r="B140" s="68">
        <v>45770</v>
      </c>
      <c r="C140" s="40">
        <v>18</v>
      </c>
      <c r="D140" s="40">
        <f t="shared" si="8"/>
        <v>1</v>
      </c>
      <c r="E140" s="46" t="s">
        <v>128</v>
      </c>
      <c r="F140" s="17" t="s">
        <v>58</v>
      </c>
      <c r="G140" s="17" t="s">
        <v>86</v>
      </c>
      <c r="H140" s="42" t="s">
        <v>376</v>
      </c>
      <c r="I140" s="17" t="str">
        <f t="shared" si="9"/>
        <v>PN-139</v>
      </c>
      <c r="J140" s="18" t="s">
        <v>85</v>
      </c>
      <c r="K140" s="19" t="e">
        <f>IF(J140="","SEM #CH",VLOOKUP(J140,#REF!,2,0))</f>
        <v>#REF!</v>
      </c>
      <c r="L140" s="19" t="e">
        <f>IF(J140="","SEM #CH",VLOOKUP(J140,#REF!,3,0))</f>
        <v>#REF!</v>
      </c>
      <c r="M140" s="19" t="e">
        <f>IF(J140="","SEM #CH",VLOOKUP(J140,#REF!,4,0))</f>
        <v>#REF!</v>
      </c>
      <c r="N140" s="19" t="e">
        <f>IF(J140="","SEM #CH",VLOOKUP(J140,#REF!,5,0))</f>
        <v>#REF!</v>
      </c>
      <c r="O140" s="19" t="e">
        <f>IF(J140="","SEM #CH",VLOOKUP(J140,#REF!,6,0))</f>
        <v>#REF!</v>
      </c>
      <c r="P140" s="19" t="e">
        <f>IF(J140="","SEM #CH",VLOOKUP(J140,#REF!,7,0))</f>
        <v>#REF!</v>
      </c>
      <c r="Q140" s="77" t="str">
        <f>VLOOKUP(J140,'p1'!$B$2:$C$30,2,0)</f>
        <v>NÃO TEM CHAPA</v>
      </c>
      <c r="R140" s="95"/>
      <c r="S140" s="91" t="s">
        <v>222</v>
      </c>
      <c r="T140" s="91" t="str">
        <f t="shared" si="10"/>
        <v/>
      </c>
      <c r="U140" s="91"/>
      <c r="V140" s="91"/>
      <c r="W140" s="93"/>
      <c r="X140" s="94" t="str">
        <f t="shared" si="11"/>
        <v/>
      </c>
      <c r="Y140"/>
    </row>
    <row r="141" spans="1:25">
      <c r="A141" s="90">
        <v>140</v>
      </c>
      <c r="B141" s="68">
        <v>45770</v>
      </c>
      <c r="C141" s="40">
        <v>18</v>
      </c>
      <c r="D141" s="40">
        <f t="shared" si="8"/>
        <v>1</v>
      </c>
      <c r="E141" s="46" t="s">
        <v>128</v>
      </c>
      <c r="F141" s="17" t="s">
        <v>58</v>
      </c>
      <c r="G141" s="17" t="s">
        <v>86</v>
      </c>
      <c r="H141" s="42" t="s">
        <v>377</v>
      </c>
      <c r="I141" s="17" t="str">
        <f t="shared" si="9"/>
        <v>PN-140</v>
      </c>
      <c r="J141" s="18" t="s">
        <v>85</v>
      </c>
      <c r="K141" s="19" t="e">
        <f>IF(J141="","SEM #CH",VLOOKUP(J141,#REF!,2,0))</f>
        <v>#REF!</v>
      </c>
      <c r="L141" s="19" t="e">
        <f>IF(J141="","SEM #CH",VLOOKUP(J141,#REF!,3,0))</f>
        <v>#REF!</v>
      </c>
      <c r="M141" s="19" t="e">
        <f>IF(J141="","SEM #CH",VLOOKUP(J141,#REF!,4,0))</f>
        <v>#REF!</v>
      </c>
      <c r="N141" s="19" t="e">
        <f>IF(J141="","SEM #CH",VLOOKUP(J141,#REF!,5,0))</f>
        <v>#REF!</v>
      </c>
      <c r="O141" s="19" t="e">
        <f>IF(J141="","SEM #CH",VLOOKUP(J141,#REF!,6,0))</f>
        <v>#REF!</v>
      </c>
      <c r="P141" s="19" t="e">
        <f>IF(J141="","SEM #CH",VLOOKUP(J141,#REF!,7,0))</f>
        <v>#REF!</v>
      </c>
      <c r="Q141" s="77" t="str">
        <f>VLOOKUP(J141,'p1'!$B$2:$C$30,2,0)</f>
        <v>NÃO TEM CHAPA</v>
      </c>
      <c r="R141" s="95"/>
      <c r="S141" s="91" t="s">
        <v>222</v>
      </c>
      <c r="T141" s="91" t="str">
        <f t="shared" si="10"/>
        <v/>
      </c>
      <c r="U141" s="91"/>
      <c r="V141" s="91"/>
      <c r="W141" s="93"/>
      <c r="X141" s="94" t="str">
        <f t="shared" si="11"/>
        <v/>
      </c>
      <c r="Y141"/>
    </row>
    <row r="142" spans="1:25">
      <c r="A142" s="90">
        <v>141</v>
      </c>
      <c r="B142" s="68">
        <v>45770</v>
      </c>
      <c r="C142" s="40">
        <v>18</v>
      </c>
      <c r="D142" s="40">
        <f t="shared" si="8"/>
        <v>1</v>
      </c>
      <c r="E142" s="46" t="s">
        <v>128</v>
      </c>
      <c r="F142" s="17" t="s">
        <v>58</v>
      </c>
      <c r="G142" s="17" t="s">
        <v>86</v>
      </c>
      <c r="H142" s="42" t="s">
        <v>378</v>
      </c>
      <c r="I142" s="17" t="str">
        <f t="shared" si="9"/>
        <v>PN-141</v>
      </c>
      <c r="J142" s="18" t="s">
        <v>85</v>
      </c>
      <c r="K142" s="19" t="e">
        <f>IF(J142="","SEM #CH",VLOOKUP(J142,#REF!,2,0))</f>
        <v>#REF!</v>
      </c>
      <c r="L142" s="19" t="e">
        <f>IF(J142="","SEM #CH",VLOOKUP(J142,#REF!,3,0))</f>
        <v>#REF!</v>
      </c>
      <c r="M142" s="19" t="e">
        <f>IF(J142="","SEM #CH",VLOOKUP(J142,#REF!,4,0))</f>
        <v>#REF!</v>
      </c>
      <c r="N142" s="19" t="e">
        <f>IF(J142="","SEM #CH",VLOOKUP(J142,#REF!,5,0))</f>
        <v>#REF!</v>
      </c>
      <c r="O142" s="19" t="e">
        <f>IF(J142="","SEM #CH",VLOOKUP(J142,#REF!,6,0))</f>
        <v>#REF!</v>
      </c>
      <c r="P142" s="19" t="e">
        <f>IF(J142="","SEM #CH",VLOOKUP(J142,#REF!,7,0))</f>
        <v>#REF!</v>
      </c>
      <c r="Q142" s="77" t="str">
        <f>VLOOKUP(J142,'p1'!$B$2:$C$30,2,0)</f>
        <v>NÃO TEM CHAPA</v>
      </c>
      <c r="R142" s="95"/>
      <c r="S142" s="91" t="s">
        <v>222</v>
      </c>
      <c r="T142" s="91" t="str">
        <f t="shared" si="10"/>
        <v/>
      </c>
      <c r="U142" s="91"/>
      <c r="V142" s="91"/>
      <c r="W142" s="93"/>
      <c r="X142" s="94" t="str">
        <f t="shared" si="11"/>
        <v/>
      </c>
      <c r="Y142"/>
    </row>
    <row r="143" spans="1:25">
      <c r="A143" s="90">
        <v>142</v>
      </c>
      <c r="B143" s="68">
        <v>45770</v>
      </c>
      <c r="C143" s="40">
        <v>18</v>
      </c>
      <c r="D143" s="40">
        <f t="shared" si="8"/>
        <v>1</v>
      </c>
      <c r="E143" s="46" t="s">
        <v>128</v>
      </c>
      <c r="F143" s="17" t="s">
        <v>58</v>
      </c>
      <c r="G143" s="17" t="s">
        <v>86</v>
      </c>
      <c r="H143" s="42" t="s">
        <v>379</v>
      </c>
      <c r="I143" s="17" t="str">
        <f t="shared" si="9"/>
        <v>PN-142</v>
      </c>
      <c r="J143" s="18" t="s">
        <v>85</v>
      </c>
      <c r="K143" s="19" t="e">
        <f>IF(J143="","SEM #CH",VLOOKUP(J143,#REF!,2,0))</f>
        <v>#REF!</v>
      </c>
      <c r="L143" s="19" t="e">
        <f>IF(J143="","SEM #CH",VLOOKUP(J143,#REF!,3,0))</f>
        <v>#REF!</v>
      </c>
      <c r="M143" s="19" t="e">
        <f>IF(J143="","SEM #CH",VLOOKUP(J143,#REF!,4,0))</f>
        <v>#REF!</v>
      </c>
      <c r="N143" s="19" t="e">
        <f>IF(J143="","SEM #CH",VLOOKUP(J143,#REF!,5,0))</f>
        <v>#REF!</v>
      </c>
      <c r="O143" s="19" t="e">
        <f>IF(J143="","SEM #CH",VLOOKUP(J143,#REF!,6,0))</f>
        <v>#REF!</v>
      </c>
      <c r="P143" s="19" t="e">
        <f>IF(J143="","SEM #CH",VLOOKUP(J143,#REF!,7,0))</f>
        <v>#REF!</v>
      </c>
      <c r="Q143" s="77" t="str">
        <f>VLOOKUP(J143,'p1'!$B$2:$C$30,2,0)</f>
        <v>NÃO TEM CHAPA</v>
      </c>
      <c r="R143" s="95">
        <v>45836</v>
      </c>
      <c r="S143" s="91" t="s">
        <v>222</v>
      </c>
      <c r="T143" s="91">
        <f t="shared" si="10"/>
        <v>1</v>
      </c>
      <c r="U143" s="91"/>
      <c r="V143" s="91"/>
      <c r="W143" s="93"/>
      <c r="X143" s="94" t="str">
        <f t="shared" si="11"/>
        <v/>
      </c>
      <c r="Y143"/>
    </row>
    <row r="144" spans="1:25">
      <c r="A144" s="90">
        <v>143</v>
      </c>
      <c r="B144" s="68">
        <v>45770</v>
      </c>
      <c r="C144" s="40">
        <v>18</v>
      </c>
      <c r="D144" s="40">
        <f t="shared" si="8"/>
        <v>1</v>
      </c>
      <c r="E144" s="46" t="s">
        <v>128</v>
      </c>
      <c r="F144" s="17" t="s">
        <v>58</v>
      </c>
      <c r="G144" s="17" t="s">
        <v>86</v>
      </c>
      <c r="H144" s="42" t="s">
        <v>380</v>
      </c>
      <c r="I144" s="17" t="str">
        <f t="shared" si="9"/>
        <v>PN-143</v>
      </c>
      <c r="J144" s="18" t="s">
        <v>85</v>
      </c>
      <c r="K144" s="19" t="e">
        <f>IF(J144="","SEM #CH",VLOOKUP(J144,#REF!,2,0))</f>
        <v>#REF!</v>
      </c>
      <c r="L144" s="19" t="e">
        <f>IF(J144="","SEM #CH",VLOOKUP(J144,#REF!,3,0))</f>
        <v>#REF!</v>
      </c>
      <c r="M144" s="19" t="e">
        <f>IF(J144="","SEM #CH",VLOOKUP(J144,#REF!,4,0))</f>
        <v>#REF!</v>
      </c>
      <c r="N144" s="19" t="e">
        <f>IF(J144="","SEM #CH",VLOOKUP(J144,#REF!,5,0))</f>
        <v>#REF!</v>
      </c>
      <c r="O144" s="19" t="e">
        <f>IF(J144="","SEM #CH",VLOOKUP(J144,#REF!,6,0))</f>
        <v>#REF!</v>
      </c>
      <c r="P144" s="19" t="e">
        <f>IF(J144="","SEM #CH",VLOOKUP(J144,#REF!,7,0))</f>
        <v>#REF!</v>
      </c>
      <c r="Q144" s="77" t="str">
        <f>VLOOKUP(J144,'p1'!$B$2:$C$30,2,0)</f>
        <v>NÃO TEM CHAPA</v>
      </c>
      <c r="R144" s="95">
        <v>45832</v>
      </c>
      <c r="S144" s="91" t="s">
        <v>222</v>
      </c>
      <c r="T144" s="91">
        <f t="shared" si="10"/>
        <v>1</v>
      </c>
      <c r="U144" s="91"/>
      <c r="V144" s="91"/>
      <c r="W144" s="93"/>
      <c r="X144" s="94" t="str">
        <f t="shared" si="11"/>
        <v/>
      </c>
      <c r="Y144"/>
    </row>
    <row r="145" spans="1:25">
      <c r="A145" s="90">
        <v>144</v>
      </c>
      <c r="B145" s="68">
        <v>45771</v>
      </c>
      <c r="C145" s="40">
        <v>19</v>
      </c>
      <c r="D145" s="40">
        <f t="shared" si="8"/>
        <v>1</v>
      </c>
      <c r="E145" s="46" t="s">
        <v>128</v>
      </c>
      <c r="F145" s="17" t="s">
        <v>58</v>
      </c>
      <c r="G145" s="17" t="s">
        <v>86</v>
      </c>
      <c r="H145" s="42" t="s">
        <v>381</v>
      </c>
      <c r="I145" s="17" t="str">
        <f t="shared" si="9"/>
        <v>PN-144</v>
      </c>
      <c r="J145" s="18" t="s">
        <v>85</v>
      </c>
      <c r="K145" s="19" t="e">
        <f>IF(J145="","SEM #CH",VLOOKUP(J145,#REF!,2,0))</f>
        <v>#REF!</v>
      </c>
      <c r="L145" s="19" t="e">
        <f>IF(J145="","SEM #CH",VLOOKUP(J145,#REF!,3,0))</f>
        <v>#REF!</v>
      </c>
      <c r="M145" s="19" t="e">
        <f>IF(J145="","SEM #CH",VLOOKUP(J145,#REF!,4,0))</f>
        <v>#REF!</v>
      </c>
      <c r="N145" s="19" t="e">
        <f>IF(J145="","SEM #CH",VLOOKUP(J145,#REF!,5,0))</f>
        <v>#REF!</v>
      </c>
      <c r="O145" s="19" t="e">
        <f>IF(J145="","SEM #CH",VLOOKUP(J145,#REF!,6,0))</f>
        <v>#REF!</v>
      </c>
      <c r="P145" s="19" t="e">
        <f>IF(J145="","SEM #CH",VLOOKUP(J145,#REF!,7,0))</f>
        <v>#REF!</v>
      </c>
      <c r="Q145" s="77" t="str">
        <f>VLOOKUP(J145,'p1'!$B$2:$C$30,2,0)</f>
        <v>NÃO TEM CHAPA</v>
      </c>
      <c r="R145" s="95"/>
      <c r="S145" s="91" t="s">
        <v>221</v>
      </c>
      <c r="T145" s="91" t="str">
        <f t="shared" si="10"/>
        <v/>
      </c>
      <c r="U145" s="91"/>
      <c r="V145" s="91"/>
      <c r="W145" s="93"/>
      <c r="X145" s="94" t="str">
        <f t="shared" si="11"/>
        <v/>
      </c>
      <c r="Y145"/>
    </row>
    <row r="146" spans="1:25">
      <c r="A146" s="90">
        <v>145</v>
      </c>
      <c r="B146" s="68">
        <v>45771</v>
      </c>
      <c r="C146" s="40">
        <v>19</v>
      </c>
      <c r="D146" s="40">
        <f t="shared" si="8"/>
        <v>1</v>
      </c>
      <c r="E146" s="46" t="s">
        <v>128</v>
      </c>
      <c r="F146" s="17" t="s">
        <v>58</v>
      </c>
      <c r="G146" s="17" t="s">
        <v>86</v>
      </c>
      <c r="H146" s="42" t="s">
        <v>382</v>
      </c>
      <c r="I146" s="17" t="str">
        <f t="shared" si="9"/>
        <v>PN-145</v>
      </c>
      <c r="J146" s="18" t="s">
        <v>85</v>
      </c>
      <c r="K146" s="19" t="e">
        <f>IF(J146="","SEM #CH",VLOOKUP(J146,#REF!,2,0))</f>
        <v>#REF!</v>
      </c>
      <c r="L146" s="19" t="e">
        <f>IF(J146="","SEM #CH",VLOOKUP(J146,#REF!,3,0))</f>
        <v>#REF!</v>
      </c>
      <c r="M146" s="19" t="e">
        <f>IF(J146="","SEM #CH",VLOOKUP(J146,#REF!,4,0))</f>
        <v>#REF!</v>
      </c>
      <c r="N146" s="19" t="e">
        <f>IF(J146="","SEM #CH",VLOOKUP(J146,#REF!,5,0))</f>
        <v>#REF!</v>
      </c>
      <c r="O146" s="19" t="e">
        <f>IF(J146="","SEM #CH",VLOOKUP(J146,#REF!,6,0))</f>
        <v>#REF!</v>
      </c>
      <c r="P146" s="19" t="e">
        <f>IF(J146="","SEM #CH",VLOOKUP(J146,#REF!,7,0))</f>
        <v>#REF!</v>
      </c>
      <c r="Q146" s="77" t="str">
        <f>VLOOKUP(J146,'p1'!$B$2:$C$30,2,0)</f>
        <v>NÃO TEM CHAPA</v>
      </c>
      <c r="R146" s="95"/>
      <c r="S146" s="91" t="s">
        <v>221</v>
      </c>
      <c r="T146" s="91" t="str">
        <f t="shared" si="10"/>
        <v/>
      </c>
      <c r="U146" s="91"/>
      <c r="V146" s="91"/>
      <c r="W146" s="93"/>
      <c r="X146" s="94" t="str">
        <f t="shared" si="11"/>
        <v/>
      </c>
      <c r="Y146"/>
    </row>
    <row r="147" spans="1:25">
      <c r="A147" s="90">
        <v>146</v>
      </c>
      <c r="B147" s="68">
        <v>45771</v>
      </c>
      <c r="C147" s="40">
        <v>19</v>
      </c>
      <c r="D147" s="40">
        <f t="shared" si="8"/>
        <v>1</v>
      </c>
      <c r="E147" s="46" t="s">
        <v>128</v>
      </c>
      <c r="F147" s="17" t="s">
        <v>58</v>
      </c>
      <c r="G147" s="17" t="s">
        <v>86</v>
      </c>
      <c r="H147" s="42" t="s">
        <v>383</v>
      </c>
      <c r="I147" s="17" t="str">
        <f t="shared" si="9"/>
        <v>PN-146</v>
      </c>
      <c r="J147" s="18" t="s">
        <v>85</v>
      </c>
      <c r="K147" s="19" t="e">
        <f>IF(J147="","SEM #CH",VLOOKUP(J147,#REF!,2,0))</f>
        <v>#REF!</v>
      </c>
      <c r="L147" s="19" t="e">
        <f>IF(J147="","SEM #CH",VLOOKUP(J147,#REF!,3,0))</f>
        <v>#REF!</v>
      </c>
      <c r="M147" s="19" t="e">
        <f>IF(J147="","SEM #CH",VLOOKUP(J147,#REF!,4,0))</f>
        <v>#REF!</v>
      </c>
      <c r="N147" s="19" t="e">
        <f>IF(J147="","SEM #CH",VLOOKUP(J147,#REF!,5,0))</f>
        <v>#REF!</v>
      </c>
      <c r="O147" s="19" t="e">
        <f>IF(J147="","SEM #CH",VLOOKUP(J147,#REF!,6,0))</f>
        <v>#REF!</v>
      </c>
      <c r="P147" s="19" t="e">
        <f>IF(J147="","SEM #CH",VLOOKUP(J147,#REF!,7,0))</f>
        <v>#REF!</v>
      </c>
      <c r="Q147" s="77" t="str">
        <f>VLOOKUP(J147,'p1'!$B$2:$C$30,2,0)</f>
        <v>NÃO TEM CHAPA</v>
      </c>
      <c r="R147" s="95"/>
      <c r="S147" s="91" t="s">
        <v>221</v>
      </c>
      <c r="T147" s="91" t="str">
        <f t="shared" si="10"/>
        <v/>
      </c>
      <c r="U147" s="91"/>
      <c r="V147" s="91"/>
      <c r="W147" s="93"/>
      <c r="X147" s="94" t="str">
        <f t="shared" si="11"/>
        <v/>
      </c>
      <c r="Y147"/>
    </row>
    <row r="148" spans="1:25">
      <c r="A148" s="90">
        <v>147</v>
      </c>
      <c r="B148" s="68">
        <v>45771</v>
      </c>
      <c r="C148" s="40">
        <v>19</v>
      </c>
      <c r="D148" s="40">
        <f t="shared" si="8"/>
        <v>1</v>
      </c>
      <c r="E148" s="46" t="s">
        <v>128</v>
      </c>
      <c r="F148" s="17" t="s">
        <v>58</v>
      </c>
      <c r="G148" s="17" t="s">
        <v>86</v>
      </c>
      <c r="H148" s="42" t="s">
        <v>384</v>
      </c>
      <c r="I148" s="17" t="str">
        <f t="shared" si="9"/>
        <v>PN-147</v>
      </c>
      <c r="J148" s="18" t="s">
        <v>85</v>
      </c>
      <c r="K148" s="19" t="e">
        <f>IF(J148="","SEM #CH",VLOOKUP(J148,#REF!,2,0))</f>
        <v>#REF!</v>
      </c>
      <c r="L148" s="19" t="e">
        <f>IF(J148="","SEM #CH",VLOOKUP(J148,#REF!,3,0))</f>
        <v>#REF!</v>
      </c>
      <c r="M148" s="19" t="e">
        <f>IF(J148="","SEM #CH",VLOOKUP(J148,#REF!,4,0))</f>
        <v>#REF!</v>
      </c>
      <c r="N148" s="19" t="e">
        <f>IF(J148="","SEM #CH",VLOOKUP(J148,#REF!,5,0))</f>
        <v>#REF!</v>
      </c>
      <c r="O148" s="19" t="e">
        <f>IF(J148="","SEM #CH",VLOOKUP(J148,#REF!,6,0))</f>
        <v>#REF!</v>
      </c>
      <c r="P148" s="19" t="e">
        <f>IF(J148="","SEM #CH",VLOOKUP(J148,#REF!,7,0))</f>
        <v>#REF!</v>
      </c>
      <c r="Q148" s="77" t="str">
        <f>VLOOKUP(J148,'p1'!$B$2:$C$30,2,0)</f>
        <v>NÃO TEM CHAPA</v>
      </c>
      <c r="R148" s="95"/>
      <c r="S148" s="91" t="s">
        <v>221</v>
      </c>
      <c r="T148" s="91" t="str">
        <f t="shared" si="10"/>
        <v/>
      </c>
      <c r="U148" s="91"/>
      <c r="V148" s="91"/>
      <c r="W148" s="93"/>
      <c r="X148" s="94" t="str">
        <f t="shared" si="11"/>
        <v/>
      </c>
      <c r="Y148"/>
    </row>
    <row r="149" spans="1:25">
      <c r="A149" s="90">
        <v>148</v>
      </c>
      <c r="B149" s="68">
        <v>45818</v>
      </c>
      <c r="C149" s="40">
        <v>34</v>
      </c>
      <c r="D149" s="40">
        <f t="shared" si="8"/>
        <v>1</v>
      </c>
      <c r="E149" s="46" t="s">
        <v>128</v>
      </c>
      <c r="F149" s="17" t="s">
        <v>60</v>
      </c>
      <c r="G149" s="17" t="s">
        <v>86</v>
      </c>
      <c r="H149" s="42" t="s">
        <v>385</v>
      </c>
      <c r="I149" s="17" t="str">
        <f t="shared" si="9"/>
        <v>PE-148</v>
      </c>
      <c r="J149" s="18" t="s">
        <v>89</v>
      </c>
      <c r="K149" s="19" t="e">
        <f>IF(J149="","SEM #CH",VLOOKUP(J149,#REF!,2,0))</f>
        <v>#REF!</v>
      </c>
      <c r="L149" s="19" t="e">
        <f>IF(J149="","SEM #CH",VLOOKUP(J149,#REF!,3,0))</f>
        <v>#REF!</v>
      </c>
      <c r="M149" s="19" t="e">
        <f>IF(J149="","SEM #CH",VLOOKUP(J149,#REF!,4,0))</f>
        <v>#REF!</v>
      </c>
      <c r="N149" s="19" t="e">
        <f>IF(J149="","SEM #CH",VLOOKUP(J149,#REF!,5,0))</f>
        <v>#REF!</v>
      </c>
      <c r="O149" s="19" t="e">
        <f>IF(J149="","SEM #CH",VLOOKUP(J149,#REF!,6,0))</f>
        <v>#REF!</v>
      </c>
      <c r="P149" s="19" t="e">
        <f>IF(J149="","SEM #CH",VLOOKUP(J149,#REF!,7,0))</f>
        <v>#REF!</v>
      </c>
      <c r="Q149" s="77" t="str">
        <f>VLOOKUP(J149,'p1'!$B$2:$C$30,2,0)</f>
        <v>#3/8-1200X1200</v>
      </c>
      <c r="R149" s="95"/>
      <c r="S149" s="91" t="s">
        <v>221</v>
      </c>
      <c r="T149" s="91" t="str">
        <f t="shared" si="10"/>
        <v/>
      </c>
      <c r="U149" s="91"/>
      <c r="V149" s="91"/>
      <c r="W149" s="93"/>
      <c r="X149" s="94" t="str">
        <f t="shared" si="11"/>
        <v/>
      </c>
      <c r="Y149"/>
    </row>
    <row r="150" spans="1:25">
      <c r="A150" s="90">
        <v>149</v>
      </c>
      <c r="B150" s="68">
        <v>45818</v>
      </c>
      <c r="C150" s="40">
        <v>34</v>
      </c>
      <c r="D150" s="40">
        <f t="shared" si="8"/>
        <v>1</v>
      </c>
      <c r="E150" s="46" t="s">
        <v>128</v>
      </c>
      <c r="F150" s="17" t="s">
        <v>60</v>
      </c>
      <c r="G150" s="17" t="s">
        <v>86</v>
      </c>
      <c r="H150" s="42" t="s">
        <v>386</v>
      </c>
      <c r="I150" s="17" t="str">
        <f t="shared" si="9"/>
        <v>PE-149</v>
      </c>
      <c r="J150" s="18" t="s">
        <v>87</v>
      </c>
      <c r="K150" s="19" t="e">
        <f>IF(J150="","SEM #CH",VLOOKUP(J150,#REF!,2,0))</f>
        <v>#REF!</v>
      </c>
      <c r="L150" s="19" t="e">
        <f>IF(J150="","SEM #CH",VLOOKUP(J150,#REF!,3,0))</f>
        <v>#REF!</v>
      </c>
      <c r="M150" s="19" t="e">
        <f>IF(J150="","SEM #CH",VLOOKUP(J150,#REF!,4,0))</f>
        <v>#REF!</v>
      </c>
      <c r="N150" s="19" t="e">
        <f>IF(J150="","SEM #CH",VLOOKUP(J150,#REF!,5,0))</f>
        <v>#REF!</v>
      </c>
      <c r="O150" s="19" t="e">
        <f>IF(J150="","SEM #CH",VLOOKUP(J150,#REF!,6,0))</f>
        <v>#REF!</v>
      </c>
      <c r="P150" s="19" t="e">
        <f>IF(J150="","SEM #CH",VLOOKUP(J150,#REF!,7,0))</f>
        <v>#REF!</v>
      </c>
      <c r="Q150" s="77" t="str">
        <f>VLOOKUP(J150,'p1'!$B$2:$C$30,2,0)</f>
        <v>#3/8-1620X1620</v>
      </c>
      <c r="R150" s="95"/>
      <c r="S150" s="91" t="s">
        <v>221</v>
      </c>
      <c r="T150" s="91" t="str">
        <f t="shared" si="10"/>
        <v/>
      </c>
      <c r="U150" s="91"/>
      <c r="V150" s="91"/>
      <c r="W150" s="93"/>
      <c r="X150" s="94" t="str">
        <f t="shared" si="11"/>
        <v/>
      </c>
      <c r="Y150"/>
    </row>
    <row r="151" spans="1:25">
      <c r="A151" s="90">
        <v>150</v>
      </c>
      <c r="B151" s="68">
        <v>45818</v>
      </c>
      <c r="C151" s="40">
        <v>34</v>
      </c>
      <c r="D151" s="40">
        <f t="shared" si="8"/>
        <v>1</v>
      </c>
      <c r="E151" s="46" t="s">
        <v>128</v>
      </c>
      <c r="F151" s="17" t="s">
        <v>60</v>
      </c>
      <c r="G151" s="17" t="s">
        <v>86</v>
      </c>
      <c r="H151" s="42" t="s">
        <v>387</v>
      </c>
      <c r="I151" s="17" t="str">
        <f t="shared" si="9"/>
        <v>PE-150</v>
      </c>
      <c r="J151" s="18" t="s">
        <v>88</v>
      </c>
      <c r="K151" s="19" t="e">
        <f>IF(J151="","SEM #CH",VLOOKUP(J151,#REF!,2,0))</f>
        <v>#REF!</v>
      </c>
      <c r="L151" s="19" t="e">
        <f>IF(J151="","SEM #CH",VLOOKUP(J151,#REF!,3,0))</f>
        <v>#REF!</v>
      </c>
      <c r="M151" s="19" t="e">
        <f>IF(J151="","SEM #CH",VLOOKUP(J151,#REF!,4,0))</f>
        <v>#REF!</v>
      </c>
      <c r="N151" s="19" t="e">
        <f>IF(J151="","SEM #CH",VLOOKUP(J151,#REF!,5,0))</f>
        <v>#REF!</v>
      </c>
      <c r="O151" s="19" t="e">
        <f>IF(J151="","SEM #CH",VLOOKUP(J151,#REF!,6,0))</f>
        <v>#REF!</v>
      </c>
      <c r="P151" s="19" t="e">
        <f>IF(J151="","SEM #CH",VLOOKUP(J151,#REF!,7,0))</f>
        <v>#REF!</v>
      </c>
      <c r="Q151" s="77" t="str">
        <f>VLOOKUP(J151,'p1'!$B$2:$C$30,2,0)</f>
        <v>#3/8-1315X1315</v>
      </c>
      <c r="R151" s="95"/>
      <c r="S151" s="91" t="s">
        <v>221</v>
      </c>
      <c r="T151" s="91" t="str">
        <f t="shared" si="10"/>
        <v/>
      </c>
      <c r="U151" s="91"/>
      <c r="V151" s="91"/>
      <c r="W151" s="93"/>
      <c r="X151" s="94" t="str">
        <f t="shared" si="11"/>
        <v/>
      </c>
      <c r="Y151"/>
    </row>
    <row r="152" spans="1:25">
      <c r="A152" s="90">
        <v>151</v>
      </c>
      <c r="B152" s="68">
        <v>45771</v>
      </c>
      <c r="C152" s="40">
        <v>19</v>
      </c>
      <c r="D152" s="40">
        <f t="shared" si="8"/>
        <v>1</v>
      </c>
      <c r="E152" s="46" t="s">
        <v>128</v>
      </c>
      <c r="F152" s="17" t="s">
        <v>58</v>
      </c>
      <c r="G152" s="17" t="s">
        <v>86</v>
      </c>
      <c r="H152" s="42" t="s">
        <v>388</v>
      </c>
      <c r="I152" s="17" t="str">
        <f t="shared" si="9"/>
        <v>PN-151</v>
      </c>
      <c r="J152" s="18" t="s">
        <v>85</v>
      </c>
      <c r="K152" s="19" t="e">
        <f>IF(J152="","SEM #CH",VLOOKUP(J152,#REF!,2,0))</f>
        <v>#REF!</v>
      </c>
      <c r="L152" s="19" t="e">
        <f>IF(J152="","SEM #CH",VLOOKUP(J152,#REF!,3,0))</f>
        <v>#REF!</v>
      </c>
      <c r="M152" s="19" t="e">
        <f>IF(J152="","SEM #CH",VLOOKUP(J152,#REF!,4,0))</f>
        <v>#REF!</v>
      </c>
      <c r="N152" s="19" t="e">
        <f>IF(J152="","SEM #CH",VLOOKUP(J152,#REF!,5,0))</f>
        <v>#REF!</v>
      </c>
      <c r="O152" s="19" t="e">
        <f>IF(J152="","SEM #CH",VLOOKUP(J152,#REF!,6,0))</f>
        <v>#REF!</v>
      </c>
      <c r="P152" s="19" t="e">
        <f>IF(J152="","SEM #CH",VLOOKUP(J152,#REF!,7,0))</f>
        <v>#REF!</v>
      </c>
      <c r="Q152" s="77" t="str">
        <f>VLOOKUP(J152,'p1'!$B$2:$C$30,2,0)</f>
        <v>NÃO TEM CHAPA</v>
      </c>
      <c r="R152" s="95"/>
      <c r="S152" s="91" t="s">
        <v>221</v>
      </c>
      <c r="T152" s="91" t="str">
        <f t="shared" si="10"/>
        <v/>
      </c>
      <c r="U152" s="91"/>
      <c r="V152" s="91"/>
      <c r="W152" s="93"/>
      <c r="X152" s="94" t="str">
        <f t="shared" si="11"/>
        <v/>
      </c>
      <c r="Y152"/>
    </row>
    <row r="153" spans="1:25">
      <c r="A153" s="90">
        <v>152</v>
      </c>
      <c r="B153" s="68">
        <v>45771</v>
      </c>
      <c r="C153" s="40">
        <v>19</v>
      </c>
      <c r="D153" s="40">
        <f t="shared" si="8"/>
        <v>1</v>
      </c>
      <c r="E153" s="46" t="s">
        <v>128</v>
      </c>
      <c r="F153" s="17" t="s">
        <v>58</v>
      </c>
      <c r="G153" s="17" t="s">
        <v>86</v>
      </c>
      <c r="H153" s="42" t="s">
        <v>389</v>
      </c>
      <c r="I153" s="17" t="str">
        <f t="shared" si="9"/>
        <v>PN-152</v>
      </c>
      <c r="J153" s="18" t="s">
        <v>85</v>
      </c>
      <c r="K153" s="19" t="e">
        <f>IF(J153="","SEM #CH",VLOOKUP(J153,#REF!,2,0))</f>
        <v>#REF!</v>
      </c>
      <c r="L153" s="19" t="e">
        <f>IF(J153="","SEM #CH",VLOOKUP(J153,#REF!,3,0))</f>
        <v>#REF!</v>
      </c>
      <c r="M153" s="19" t="e">
        <f>IF(J153="","SEM #CH",VLOOKUP(J153,#REF!,4,0))</f>
        <v>#REF!</v>
      </c>
      <c r="N153" s="19" t="e">
        <f>IF(J153="","SEM #CH",VLOOKUP(J153,#REF!,5,0))</f>
        <v>#REF!</v>
      </c>
      <c r="O153" s="19" t="e">
        <f>IF(J153="","SEM #CH",VLOOKUP(J153,#REF!,6,0))</f>
        <v>#REF!</v>
      </c>
      <c r="P153" s="19" t="e">
        <f>IF(J153="","SEM #CH",VLOOKUP(J153,#REF!,7,0))</f>
        <v>#REF!</v>
      </c>
      <c r="Q153" s="77" t="str">
        <f>VLOOKUP(J153,'p1'!$B$2:$C$30,2,0)</f>
        <v>NÃO TEM CHAPA</v>
      </c>
      <c r="R153" s="95"/>
      <c r="S153" s="91" t="s">
        <v>221</v>
      </c>
      <c r="T153" s="91" t="str">
        <f t="shared" si="10"/>
        <v/>
      </c>
      <c r="U153" s="91"/>
      <c r="V153" s="91"/>
      <c r="W153" s="93"/>
      <c r="X153" s="94" t="str">
        <f t="shared" si="11"/>
        <v/>
      </c>
      <c r="Y153"/>
    </row>
    <row r="154" spans="1:25">
      <c r="A154" s="90">
        <v>153</v>
      </c>
      <c r="B154" s="68">
        <v>45771</v>
      </c>
      <c r="C154" s="40">
        <v>19</v>
      </c>
      <c r="D154" s="40">
        <f t="shared" si="8"/>
        <v>1</v>
      </c>
      <c r="E154" s="46" t="s">
        <v>128</v>
      </c>
      <c r="F154" s="17" t="s">
        <v>58</v>
      </c>
      <c r="G154" s="17" t="s">
        <v>86</v>
      </c>
      <c r="H154" s="42" t="s">
        <v>390</v>
      </c>
      <c r="I154" s="17" t="str">
        <f t="shared" si="9"/>
        <v>PN-153</v>
      </c>
      <c r="J154" s="18" t="s">
        <v>85</v>
      </c>
      <c r="K154" s="19" t="e">
        <f>IF(J154="","SEM #CH",VLOOKUP(J154,#REF!,2,0))</f>
        <v>#REF!</v>
      </c>
      <c r="L154" s="19" t="e">
        <f>IF(J154="","SEM #CH",VLOOKUP(J154,#REF!,3,0))</f>
        <v>#REF!</v>
      </c>
      <c r="M154" s="19" t="e">
        <f>IF(J154="","SEM #CH",VLOOKUP(J154,#REF!,4,0))</f>
        <v>#REF!</v>
      </c>
      <c r="N154" s="19" t="e">
        <f>IF(J154="","SEM #CH",VLOOKUP(J154,#REF!,5,0))</f>
        <v>#REF!</v>
      </c>
      <c r="O154" s="19" t="e">
        <f>IF(J154="","SEM #CH",VLOOKUP(J154,#REF!,6,0))</f>
        <v>#REF!</v>
      </c>
      <c r="P154" s="19" t="e">
        <f>IF(J154="","SEM #CH",VLOOKUP(J154,#REF!,7,0))</f>
        <v>#REF!</v>
      </c>
      <c r="Q154" s="77" t="str">
        <f>VLOOKUP(J154,'p1'!$B$2:$C$30,2,0)</f>
        <v>NÃO TEM CHAPA</v>
      </c>
      <c r="R154" s="95"/>
      <c r="S154" s="91" t="s">
        <v>221</v>
      </c>
      <c r="T154" s="91" t="str">
        <f t="shared" si="10"/>
        <v/>
      </c>
      <c r="U154" s="91"/>
      <c r="V154" s="91"/>
      <c r="W154" s="93"/>
      <c r="X154" s="94" t="str">
        <f t="shared" si="11"/>
        <v/>
      </c>
      <c r="Y154"/>
    </row>
    <row r="155" spans="1:25">
      <c r="A155" s="90">
        <v>154</v>
      </c>
      <c r="B155" s="68">
        <v>45773</v>
      </c>
      <c r="C155" s="40">
        <v>20</v>
      </c>
      <c r="D155" s="40">
        <f t="shared" si="8"/>
        <v>1</v>
      </c>
      <c r="E155" s="46" t="s">
        <v>128</v>
      </c>
      <c r="F155" s="17" t="s">
        <v>58</v>
      </c>
      <c r="G155" s="17" t="s">
        <v>86</v>
      </c>
      <c r="H155" s="42" t="s">
        <v>391</v>
      </c>
      <c r="I155" s="17" t="str">
        <f t="shared" si="9"/>
        <v>PN-154</v>
      </c>
      <c r="J155" s="18" t="s">
        <v>85</v>
      </c>
      <c r="K155" s="19" t="e">
        <f>IF(J155="","SEM #CH",VLOOKUP(J155,#REF!,2,0))</f>
        <v>#REF!</v>
      </c>
      <c r="L155" s="19" t="e">
        <f>IF(J155="","SEM #CH",VLOOKUP(J155,#REF!,3,0))</f>
        <v>#REF!</v>
      </c>
      <c r="M155" s="19" t="e">
        <f>IF(J155="","SEM #CH",VLOOKUP(J155,#REF!,4,0))</f>
        <v>#REF!</v>
      </c>
      <c r="N155" s="19" t="e">
        <f>IF(J155="","SEM #CH",VLOOKUP(J155,#REF!,5,0))</f>
        <v>#REF!</v>
      </c>
      <c r="O155" s="19" t="e">
        <f>IF(J155="","SEM #CH",VLOOKUP(J155,#REF!,6,0))</f>
        <v>#REF!</v>
      </c>
      <c r="P155" s="19" t="e">
        <f>IF(J155="","SEM #CH",VLOOKUP(J155,#REF!,7,0))</f>
        <v>#REF!</v>
      </c>
      <c r="Q155" s="77" t="str">
        <f>VLOOKUP(J155,'p1'!$B$2:$C$30,2,0)</f>
        <v>NÃO TEM CHAPA</v>
      </c>
      <c r="R155" s="95">
        <v>45822</v>
      </c>
      <c r="S155" s="91" t="s">
        <v>222</v>
      </c>
      <c r="T155" s="91">
        <f t="shared" si="10"/>
        <v>1</v>
      </c>
      <c r="U155" s="95">
        <v>45824</v>
      </c>
      <c r="V155" s="91" t="s">
        <v>86</v>
      </c>
      <c r="W155" s="93">
        <v>2389</v>
      </c>
      <c r="X155" s="94">
        <f t="shared" si="11"/>
        <v>1</v>
      </c>
      <c r="Y155"/>
    </row>
    <row r="156" spans="1:25">
      <c r="A156" s="90">
        <v>155</v>
      </c>
      <c r="B156" s="68">
        <v>45773</v>
      </c>
      <c r="C156" s="40">
        <v>20</v>
      </c>
      <c r="D156" s="40">
        <f t="shared" si="8"/>
        <v>1</v>
      </c>
      <c r="E156" s="46" t="s">
        <v>128</v>
      </c>
      <c r="F156" s="17" t="s">
        <v>58</v>
      </c>
      <c r="G156" s="17" t="s">
        <v>86</v>
      </c>
      <c r="H156" s="42" t="s">
        <v>392</v>
      </c>
      <c r="I156" s="17" t="str">
        <f t="shared" si="9"/>
        <v>PN-155</v>
      </c>
      <c r="J156" s="18" t="s">
        <v>85</v>
      </c>
      <c r="K156" s="19" t="e">
        <f>IF(J156="","SEM #CH",VLOOKUP(J156,#REF!,2,0))</f>
        <v>#REF!</v>
      </c>
      <c r="L156" s="19" t="e">
        <f>IF(J156="","SEM #CH",VLOOKUP(J156,#REF!,3,0))</f>
        <v>#REF!</v>
      </c>
      <c r="M156" s="19" t="e">
        <f>IF(J156="","SEM #CH",VLOOKUP(J156,#REF!,4,0))</f>
        <v>#REF!</v>
      </c>
      <c r="N156" s="19" t="e">
        <f>IF(J156="","SEM #CH",VLOOKUP(J156,#REF!,5,0))</f>
        <v>#REF!</v>
      </c>
      <c r="O156" s="19" t="e">
        <f>IF(J156="","SEM #CH",VLOOKUP(J156,#REF!,6,0))</f>
        <v>#REF!</v>
      </c>
      <c r="P156" s="19" t="e">
        <f>IF(J156="","SEM #CH",VLOOKUP(J156,#REF!,7,0))</f>
        <v>#REF!</v>
      </c>
      <c r="Q156" s="77" t="str">
        <f>VLOOKUP(J156,'p1'!$B$2:$C$30,2,0)</f>
        <v>NÃO TEM CHAPA</v>
      </c>
      <c r="R156" s="95">
        <v>45822</v>
      </c>
      <c r="S156" s="91" t="s">
        <v>222</v>
      </c>
      <c r="T156" s="91">
        <f t="shared" si="10"/>
        <v>1</v>
      </c>
      <c r="U156" s="95">
        <v>45824</v>
      </c>
      <c r="V156" s="91" t="s">
        <v>86</v>
      </c>
      <c r="W156" s="93">
        <v>2389</v>
      </c>
      <c r="X156" s="94">
        <f t="shared" si="11"/>
        <v>1</v>
      </c>
      <c r="Y156"/>
    </row>
    <row r="157" spans="1:25">
      <c r="A157" s="90">
        <v>156</v>
      </c>
      <c r="B157" s="68">
        <v>45839</v>
      </c>
      <c r="C157" s="40">
        <v>43</v>
      </c>
      <c r="D157" s="40">
        <f t="shared" si="8"/>
        <v>1</v>
      </c>
      <c r="E157" s="46" t="s">
        <v>128</v>
      </c>
      <c r="F157" s="17" t="s">
        <v>61</v>
      </c>
      <c r="G157" s="17" t="s">
        <v>86</v>
      </c>
      <c r="H157" s="42" t="s">
        <v>393</v>
      </c>
      <c r="I157" s="17" t="str">
        <f t="shared" si="9"/>
        <v>PF-156</v>
      </c>
      <c r="J157" s="18" t="s">
        <v>61</v>
      </c>
      <c r="K157" s="19" t="e">
        <f>IF(J157="","SEM #CH",VLOOKUP(J157,#REF!,2,0))</f>
        <v>#REF!</v>
      </c>
      <c r="L157" s="19" t="e">
        <f>IF(J157="","SEM #CH",VLOOKUP(J157,#REF!,3,0))</f>
        <v>#REF!</v>
      </c>
      <c r="M157" s="19" t="e">
        <f>IF(J157="","SEM #CH",VLOOKUP(J157,#REF!,4,0))</f>
        <v>#REF!</v>
      </c>
      <c r="N157" s="19" t="e">
        <f>IF(J157="","SEM #CH",VLOOKUP(J157,#REF!,5,0))</f>
        <v>#REF!</v>
      </c>
      <c r="O157" s="19" t="e">
        <f>IF(J157="","SEM #CH",VLOOKUP(J157,#REF!,6,0))</f>
        <v>#REF!</v>
      </c>
      <c r="P157" s="19" t="e">
        <f>IF(J157="","SEM #CH",VLOOKUP(J157,#REF!,7,0))</f>
        <v>#REF!</v>
      </c>
      <c r="Q157" s="77" t="str">
        <f>VLOOKUP(J157,'p1'!$B$2:$C$30,2,0)</f>
        <v>SEM CHAPA</v>
      </c>
      <c r="R157" s="95">
        <v>45845</v>
      </c>
      <c r="S157" s="91" t="s">
        <v>221</v>
      </c>
      <c r="T157" s="91">
        <f t="shared" si="10"/>
        <v>1</v>
      </c>
      <c r="U157" s="91"/>
      <c r="V157" s="91"/>
      <c r="W157" s="93"/>
      <c r="X157" s="94" t="str">
        <f t="shared" si="11"/>
        <v/>
      </c>
      <c r="Y157"/>
    </row>
    <row r="158" spans="1:25">
      <c r="A158" s="90">
        <v>157</v>
      </c>
      <c r="B158" s="68">
        <v>45773</v>
      </c>
      <c r="C158" s="40">
        <v>20</v>
      </c>
      <c r="D158" s="40">
        <f t="shared" si="8"/>
        <v>1</v>
      </c>
      <c r="E158" s="46" t="s">
        <v>128</v>
      </c>
      <c r="F158" s="17" t="s">
        <v>58</v>
      </c>
      <c r="G158" s="17" t="s">
        <v>86</v>
      </c>
      <c r="H158" s="42" t="s">
        <v>394</v>
      </c>
      <c r="I158" s="17" t="str">
        <f t="shared" si="9"/>
        <v>PN-157</v>
      </c>
      <c r="J158" s="18" t="s">
        <v>85</v>
      </c>
      <c r="K158" s="19" t="e">
        <f>IF(J158="","SEM #CH",VLOOKUP(J158,#REF!,2,0))</f>
        <v>#REF!</v>
      </c>
      <c r="L158" s="19" t="e">
        <f>IF(J158="","SEM #CH",VLOOKUP(J158,#REF!,3,0))</f>
        <v>#REF!</v>
      </c>
      <c r="M158" s="19" t="e">
        <f>IF(J158="","SEM #CH",VLOOKUP(J158,#REF!,4,0))</f>
        <v>#REF!</v>
      </c>
      <c r="N158" s="19" t="e">
        <f>IF(J158="","SEM #CH",VLOOKUP(J158,#REF!,5,0))</f>
        <v>#REF!</v>
      </c>
      <c r="O158" s="19" t="e">
        <f>IF(J158="","SEM #CH",VLOOKUP(J158,#REF!,6,0))</f>
        <v>#REF!</v>
      </c>
      <c r="P158" s="19" t="e">
        <f>IF(J158="","SEM #CH",VLOOKUP(J158,#REF!,7,0))</f>
        <v>#REF!</v>
      </c>
      <c r="Q158" s="77" t="str">
        <f>VLOOKUP(J158,'p1'!$B$2:$C$30,2,0)</f>
        <v>NÃO TEM CHAPA</v>
      </c>
      <c r="R158" s="95">
        <v>45822</v>
      </c>
      <c r="S158" s="91" t="s">
        <v>222</v>
      </c>
      <c r="T158" s="91">
        <f t="shared" si="10"/>
        <v>1</v>
      </c>
      <c r="U158" s="95">
        <v>45824</v>
      </c>
      <c r="V158" s="91" t="s">
        <v>86</v>
      </c>
      <c r="W158" s="93">
        <v>2389</v>
      </c>
      <c r="X158" s="94">
        <f t="shared" si="11"/>
        <v>1</v>
      </c>
      <c r="Y158"/>
    </row>
    <row r="159" spans="1:25">
      <c r="A159" s="90">
        <v>158</v>
      </c>
      <c r="B159" s="68">
        <v>45773</v>
      </c>
      <c r="C159" s="40">
        <v>20</v>
      </c>
      <c r="D159" s="40">
        <f t="shared" si="8"/>
        <v>1</v>
      </c>
      <c r="E159" s="46" t="s">
        <v>128</v>
      </c>
      <c r="F159" s="17" t="s">
        <v>58</v>
      </c>
      <c r="G159" s="17" t="s">
        <v>86</v>
      </c>
      <c r="H159" s="42" t="s">
        <v>395</v>
      </c>
      <c r="I159" s="17" t="str">
        <f t="shared" si="9"/>
        <v>PN-158</v>
      </c>
      <c r="J159" s="18" t="s">
        <v>85</v>
      </c>
      <c r="K159" s="19" t="e">
        <f>IF(J159="","SEM #CH",VLOOKUP(J159,#REF!,2,0))</f>
        <v>#REF!</v>
      </c>
      <c r="L159" s="19" t="e">
        <f>IF(J159="","SEM #CH",VLOOKUP(J159,#REF!,3,0))</f>
        <v>#REF!</v>
      </c>
      <c r="M159" s="19" t="e">
        <f>IF(J159="","SEM #CH",VLOOKUP(J159,#REF!,4,0))</f>
        <v>#REF!</v>
      </c>
      <c r="N159" s="19" t="e">
        <f>IF(J159="","SEM #CH",VLOOKUP(J159,#REF!,5,0))</f>
        <v>#REF!</v>
      </c>
      <c r="O159" s="19" t="e">
        <f>IF(J159="","SEM #CH",VLOOKUP(J159,#REF!,6,0))</f>
        <v>#REF!</v>
      </c>
      <c r="P159" s="19" t="e">
        <f>IF(J159="","SEM #CH",VLOOKUP(J159,#REF!,7,0))</f>
        <v>#REF!</v>
      </c>
      <c r="Q159" s="77" t="str">
        <f>VLOOKUP(J159,'p1'!$B$2:$C$30,2,0)</f>
        <v>NÃO TEM CHAPA</v>
      </c>
      <c r="R159" s="95">
        <v>45824</v>
      </c>
      <c r="S159" s="91" t="s">
        <v>222</v>
      </c>
      <c r="T159" s="91">
        <f t="shared" si="10"/>
        <v>1</v>
      </c>
      <c r="U159" s="95">
        <v>45828</v>
      </c>
      <c r="V159" s="91" t="s">
        <v>86</v>
      </c>
      <c r="W159" s="93">
        <v>2402</v>
      </c>
      <c r="X159" s="94">
        <f t="shared" si="11"/>
        <v>1</v>
      </c>
      <c r="Y159"/>
    </row>
    <row r="160" spans="1:25">
      <c r="A160" s="90">
        <v>159</v>
      </c>
      <c r="B160" s="68">
        <v>45773</v>
      </c>
      <c r="C160" s="40">
        <v>20</v>
      </c>
      <c r="D160" s="40">
        <f t="shared" si="8"/>
        <v>1</v>
      </c>
      <c r="E160" s="46" t="s">
        <v>128</v>
      </c>
      <c r="F160" s="17" t="s">
        <v>58</v>
      </c>
      <c r="G160" s="17" t="s">
        <v>86</v>
      </c>
      <c r="H160" s="42" t="s">
        <v>396</v>
      </c>
      <c r="I160" s="17" t="str">
        <f t="shared" si="9"/>
        <v>PN-159</v>
      </c>
      <c r="J160" s="18" t="s">
        <v>85</v>
      </c>
      <c r="K160" s="19" t="e">
        <f>IF(J160="","SEM #CH",VLOOKUP(J160,#REF!,2,0))</f>
        <v>#REF!</v>
      </c>
      <c r="L160" s="19" t="e">
        <f>IF(J160="","SEM #CH",VLOOKUP(J160,#REF!,3,0))</f>
        <v>#REF!</v>
      </c>
      <c r="M160" s="19" t="e">
        <f>IF(J160="","SEM #CH",VLOOKUP(J160,#REF!,4,0))</f>
        <v>#REF!</v>
      </c>
      <c r="N160" s="19" t="e">
        <f>IF(J160="","SEM #CH",VLOOKUP(J160,#REF!,5,0))</f>
        <v>#REF!</v>
      </c>
      <c r="O160" s="19" t="e">
        <f>IF(J160="","SEM #CH",VLOOKUP(J160,#REF!,6,0))</f>
        <v>#REF!</v>
      </c>
      <c r="P160" s="19" t="e">
        <f>IF(J160="","SEM #CH",VLOOKUP(J160,#REF!,7,0))</f>
        <v>#REF!</v>
      </c>
      <c r="Q160" s="77" t="str">
        <f>VLOOKUP(J160,'p1'!$B$2:$C$30,2,0)</f>
        <v>NÃO TEM CHAPA</v>
      </c>
      <c r="R160" s="95">
        <v>45824</v>
      </c>
      <c r="S160" s="91" t="s">
        <v>222</v>
      </c>
      <c r="T160" s="91">
        <f t="shared" si="10"/>
        <v>1</v>
      </c>
      <c r="U160" s="95">
        <v>45828</v>
      </c>
      <c r="V160" s="91" t="s">
        <v>86</v>
      </c>
      <c r="W160" s="93">
        <v>2402</v>
      </c>
      <c r="X160" s="94">
        <f t="shared" si="11"/>
        <v>1</v>
      </c>
      <c r="Y160"/>
    </row>
    <row r="161" spans="1:25">
      <c r="A161" s="90">
        <v>160</v>
      </c>
      <c r="B161" s="68">
        <v>45773</v>
      </c>
      <c r="C161" s="40">
        <v>20</v>
      </c>
      <c r="D161" s="40">
        <f t="shared" si="8"/>
        <v>1</v>
      </c>
      <c r="E161" s="46" t="s">
        <v>128</v>
      </c>
      <c r="F161" s="17" t="s">
        <v>58</v>
      </c>
      <c r="G161" s="17" t="s">
        <v>86</v>
      </c>
      <c r="H161" s="42" t="s">
        <v>397</v>
      </c>
      <c r="I161" s="17" t="str">
        <f t="shared" si="9"/>
        <v>PN-160</v>
      </c>
      <c r="J161" s="18" t="s">
        <v>85</v>
      </c>
      <c r="K161" s="19" t="e">
        <f>IF(J161="","SEM #CH",VLOOKUP(J161,#REF!,2,0))</f>
        <v>#REF!</v>
      </c>
      <c r="L161" s="19" t="e">
        <f>IF(J161="","SEM #CH",VLOOKUP(J161,#REF!,3,0))</f>
        <v>#REF!</v>
      </c>
      <c r="M161" s="19" t="e">
        <f>IF(J161="","SEM #CH",VLOOKUP(J161,#REF!,4,0))</f>
        <v>#REF!</v>
      </c>
      <c r="N161" s="19" t="e">
        <f>IF(J161="","SEM #CH",VLOOKUP(J161,#REF!,5,0))</f>
        <v>#REF!</v>
      </c>
      <c r="O161" s="19" t="e">
        <f>IF(J161="","SEM #CH",VLOOKUP(J161,#REF!,6,0))</f>
        <v>#REF!</v>
      </c>
      <c r="P161" s="19" t="e">
        <f>IF(J161="","SEM #CH",VLOOKUP(J161,#REF!,7,0))</f>
        <v>#REF!</v>
      </c>
      <c r="Q161" s="77" t="str">
        <f>VLOOKUP(J161,'p1'!$B$2:$C$30,2,0)</f>
        <v>NÃO TEM CHAPA</v>
      </c>
      <c r="R161" s="95">
        <v>45824</v>
      </c>
      <c r="S161" s="91" t="s">
        <v>222</v>
      </c>
      <c r="T161" s="91">
        <f t="shared" si="10"/>
        <v>1</v>
      </c>
      <c r="U161" s="95">
        <v>45824</v>
      </c>
      <c r="V161" s="91" t="s">
        <v>86</v>
      </c>
      <c r="W161" s="93">
        <v>2389</v>
      </c>
      <c r="X161" s="94">
        <f t="shared" si="11"/>
        <v>1</v>
      </c>
      <c r="Y161"/>
    </row>
    <row r="162" spans="1:25">
      <c r="A162" s="90">
        <v>161</v>
      </c>
      <c r="B162" s="68">
        <v>45773</v>
      </c>
      <c r="C162" s="40">
        <v>20</v>
      </c>
      <c r="D162" s="40">
        <f t="shared" si="8"/>
        <v>1</v>
      </c>
      <c r="E162" s="46" t="s">
        <v>128</v>
      </c>
      <c r="F162" s="17" t="s">
        <v>58</v>
      </c>
      <c r="G162" s="17" t="s">
        <v>86</v>
      </c>
      <c r="H162" s="42" t="s">
        <v>398</v>
      </c>
      <c r="I162" s="17" t="str">
        <f t="shared" si="9"/>
        <v>PN-161</v>
      </c>
      <c r="J162" s="18" t="s">
        <v>85</v>
      </c>
      <c r="K162" s="19" t="e">
        <f>IF(J162="","SEM #CH",VLOOKUP(J162,#REF!,2,0))</f>
        <v>#REF!</v>
      </c>
      <c r="L162" s="19" t="e">
        <f>IF(J162="","SEM #CH",VLOOKUP(J162,#REF!,3,0))</f>
        <v>#REF!</v>
      </c>
      <c r="M162" s="19" t="e">
        <f>IF(J162="","SEM #CH",VLOOKUP(J162,#REF!,4,0))</f>
        <v>#REF!</v>
      </c>
      <c r="N162" s="19" t="e">
        <f>IF(J162="","SEM #CH",VLOOKUP(J162,#REF!,5,0))</f>
        <v>#REF!</v>
      </c>
      <c r="O162" s="19" t="e">
        <f>IF(J162="","SEM #CH",VLOOKUP(J162,#REF!,6,0))</f>
        <v>#REF!</v>
      </c>
      <c r="P162" s="19" t="e">
        <f>IF(J162="","SEM #CH",VLOOKUP(J162,#REF!,7,0))</f>
        <v>#REF!</v>
      </c>
      <c r="Q162" s="77" t="str">
        <f>VLOOKUP(J162,'p1'!$B$2:$C$30,2,0)</f>
        <v>NÃO TEM CHAPA</v>
      </c>
      <c r="R162" s="95">
        <v>45825</v>
      </c>
      <c r="S162" s="91" t="s">
        <v>222</v>
      </c>
      <c r="T162" s="91">
        <f t="shared" si="10"/>
        <v>1</v>
      </c>
      <c r="U162" s="91"/>
      <c r="V162" s="91"/>
      <c r="W162" s="93"/>
      <c r="X162" s="94" t="str">
        <f t="shared" si="11"/>
        <v/>
      </c>
      <c r="Y162"/>
    </row>
    <row r="163" spans="1:25">
      <c r="A163" s="90">
        <v>162</v>
      </c>
      <c r="B163" s="68">
        <v>45776</v>
      </c>
      <c r="C163" s="40">
        <v>21</v>
      </c>
      <c r="D163" s="40">
        <f t="shared" si="8"/>
        <v>1</v>
      </c>
      <c r="E163" s="46" t="s">
        <v>128</v>
      </c>
      <c r="F163" s="17" t="s">
        <v>58</v>
      </c>
      <c r="G163" s="17" t="s">
        <v>86</v>
      </c>
      <c r="H163" s="42" t="s">
        <v>399</v>
      </c>
      <c r="I163" s="17" t="str">
        <f t="shared" si="9"/>
        <v>PN-162</v>
      </c>
      <c r="J163" s="18" t="s">
        <v>85</v>
      </c>
      <c r="K163" s="19" t="e">
        <f>IF(J163="","SEM #CH",VLOOKUP(J163,#REF!,2,0))</f>
        <v>#REF!</v>
      </c>
      <c r="L163" s="19" t="e">
        <f>IF(J163="","SEM #CH",VLOOKUP(J163,#REF!,3,0))</f>
        <v>#REF!</v>
      </c>
      <c r="M163" s="19" t="e">
        <f>IF(J163="","SEM #CH",VLOOKUP(J163,#REF!,4,0))</f>
        <v>#REF!</v>
      </c>
      <c r="N163" s="19" t="e">
        <f>IF(J163="","SEM #CH",VLOOKUP(J163,#REF!,5,0))</f>
        <v>#REF!</v>
      </c>
      <c r="O163" s="19" t="e">
        <f>IF(J163="","SEM #CH",VLOOKUP(J163,#REF!,6,0))</f>
        <v>#REF!</v>
      </c>
      <c r="P163" s="19" t="e">
        <f>IF(J163="","SEM #CH",VLOOKUP(J163,#REF!,7,0))</f>
        <v>#REF!</v>
      </c>
      <c r="Q163" s="77" t="str">
        <f>VLOOKUP(J163,'p1'!$B$2:$C$30,2,0)</f>
        <v>NÃO TEM CHAPA</v>
      </c>
      <c r="R163" s="95">
        <v>45807</v>
      </c>
      <c r="S163" s="91" t="s">
        <v>221</v>
      </c>
      <c r="T163" s="91">
        <f t="shared" si="10"/>
        <v>1</v>
      </c>
      <c r="U163" s="91"/>
      <c r="V163" s="91"/>
      <c r="W163" s="93"/>
      <c r="X163" s="94" t="str">
        <f t="shared" si="11"/>
        <v/>
      </c>
      <c r="Y163"/>
    </row>
    <row r="164" spans="1:25">
      <c r="A164" s="90">
        <v>163</v>
      </c>
      <c r="B164" s="68">
        <v>45776</v>
      </c>
      <c r="C164" s="40">
        <v>21</v>
      </c>
      <c r="D164" s="40">
        <f t="shared" si="8"/>
        <v>1</v>
      </c>
      <c r="E164" s="46" t="s">
        <v>128</v>
      </c>
      <c r="F164" s="17" t="s">
        <v>58</v>
      </c>
      <c r="G164" s="17" t="s">
        <v>86</v>
      </c>
      <c r="H164" s="42" t="s">
        <v>400</v>
      </c>
      <c r="I164" s="17" t="str">
        <f t="shared" si="9"/>
        <v>PN-163</v>
      </c>
      <c r="J164" s="18" t="s">
        <v>85</v>
      </c>
      <c r="K164" s="19" t="e">
        <f>IF(J164="","SEM #CH",VLOOKUP(J164,#REF!,2,0))</f>
        <v>#REF!</v>
      </c>
      <c r="L164" s="19" t="e">
        <f>IF(J164="","SEM #CH",VLOOKUP(J164,#REF!,3,0))</f>
        <v>#REF!</v>
      </c>
      <c r="M164" s="19" t="e">
        <f>IF(J164="","SEM #CH",VLOOKUP(J164,#REF!,4,0))</f>
        <v>#REF!</v>
      </c>
      <c r="N164" s="19" t="e">
        <f>IF(J164="","SEM #CH",VLOOKUP(J164,#REF!,5,0))</f>
        <v>#REF!</v>
      </c>
      <c r="O164" s="19" t="e">
        <f>IF(J164="","SEM #CH",VLOOKUP(J164,#REF!,6,0))</f>
        <v>#REF!</v>
      </c>
      <c r="P164" s="19" t="e">
        <f>IF(J164="","SEM #CH",VLOOKUP(J164,#REF!,7,0))</f>
        <v>#REF!</v>
      </c>
      <c r="Q164" s="77" t="str">
        <f>VLOOKUP(J164,'p1'!$B$2:$C$30,2,0)</f>
        <v>NÃO TEM CHAPA</v>
      </c>
      <c r="R164" s="95">
        <v>45806</v>
      </c>
      <c r="S164" s="91" t="s">
        <v>221</v>
      </c>
      <c r="T164" s="91">
        <f t="shared" si="10"/>
        <v>1</v>
      </c>
      <c r="U164" s="91"/>
      <c r="V164" s="91"/>
      <c r="W164" s="93"/>
      <c r="X164" s="94" t="str">
        <f t="shared" si="11"/>
        <v/>
      </c>
      <c r="Y164"/>
    </row>
    <row r="165" spans="1:25">
      <c r="A165" s="90">
        <v>164</v>
      </c>
      <c r="B165" s="68">
        <v>45818</v>
      </c>
      <c r="C165" s="40">
        <v>34</v>
      </c>
      <c r="D165" s="40">
        <f t="shared" si="8"/>
        <v>1</v>
      </c>
      <c r="E165" s="46" t="s">
        <v>128</v>
      </c>
      <c r="F165" s="17" t="s">
        <v>60</v>
      </c>
      <c r="G165" s="17" t="s">
        <v>86</v>
      </c>
      <c r="H165" s="42" t="s">
        <v>401</v>
      </c>
      <c r="I165" s="17" t="str">
        <f t="shared" si="9"/>
        <v>PE-164</v>
      </c>
      <c r="J165" s="18" t="s">
        <v>90</v>
      </c>
      <c r="K165" s="19" t="e">
        <f>IF(J165="","SEM #CH",VLOOKUP(J165,#REF!,2,0))</f>
        <v>#REF!</v>
      </c>
      <c r="L165" s="19" t="e">
        <f>IF(J165="","SEM #CH",VLOOKUP(J165,#REF!,3,0))</f>
        <v>#REF!</v>
      </c>
      <c r="M165" s="19" t="e">
        <f>IF(J165="","SEM #CH",VLOOKUP(J165,#REF!,4,0))</f>
        <v>#REF!</v>
      </c>
      <c r="N165" s="19" t="e">
        <f>IF(J165="","SEM #CH",VLOOKUP(J165,#REF!,5,0))</f>
        <v>#REF!</v>
      </c>
      <c r="O165" s="19" t="e">
        <f>IF(J165="","SEM #CH",VLOOKUP(J165,#REF!,6,0))</f>
        <v>#REF!</v>
      </c>
      <c r="P165" s="19" t="e">
        <f>IF(J165="","SEM #CH",VLOOKUP(J165,#REF!,7,0))</f>
        <v>#REF!</v>
      </c>
      <c r="Q165" s="77" t="str">
        <f>VLOOKUP(J165,'p1'!$B$2:$C$30,2,0)</f>
        <v>#3/8-530X530</v>
      </c>
      <c r="R165" s="95"/>
      <c r="S165" s="91" t="s">
        <v>221</v>
      </c>
      <c r="T165" s="91" t="str">
        <f t="shared" si="10"/>
        <v/>
      </c>
      <c r="U165" s="91"/>
      <c r="V165" s="91"/>
      <c r="W165" s="93"/>
      <c r="X165" s="94" t="str">
        <f t="shared" si="11"/>
        <v/>
      </c>
      <c r="Y165"/>
    </row>
    <row r="166" spans="1:25">
      <c r="A166" s="90">
        <v>165</v>
      </c>
      <c r="B166" s="68">
        <v>45776</v>
      </c>
      <c r="C166" s="40">
        <v>21</v>
      </c>
      <c r="D166" s="40">
        <f t="shared" si="8"/>
        <v>1</v>
      </c>
      <c r="E166" s="46" t="s">
        <v>128</v>
      </c>
      <c r="F166" s="17" t="s">
        <v>58</v>
      </c>
      <c r="G166" s="17" t="s">
        <v>86</v>
      </c>
      <c r="H166" s="42" t="s">
        <v>402</v>
      </c>
      <c r="I166" s="17" t="str">
        <f t="shared" si="9"/>
        <v>PN-165</v>
      </c>
      <c r="J166" s="18" t="s">
        <v>85</v>
      </c>
      <c r="K166" s="19" t="e">
        <f>IF(J166="","SEM #CH",VLOOKUP(J166,#REF!,2,0))</f>
        <v>#REF!</v>
      </c>
      <c r="L166" s="19" t="e">
        <f>IF(J166="","SEM #CH",VLOOKUP(J166,#REF!,3,0))</f>
        <v>#REF!</v>
      </c>
      <c r="M166" s="19" t="e">
        <f>IF(J166="","SEM #CH",VLOOKUP(J166,#REF!,4,0))</f>
        <v>#REF!</v>
      </c>
      <c r="N166" s="19" t="e">
        <f>IF(J166="","SEM #CH",VLOOKUP(J166,#REF!,5,0))</f>
        <v>#REF!</v>
      </c>
      <c r="O166" s="19" t="e">
        <f>IF(J166="","SEM #CH",VLOOKUP(J166,#REF!,6,0))</f>
        <v>#REF!</v>
      </c>
      <c r="P166" s="19" t="e">
        <f>IF(J166="","SEM #CH",VLOOKUP(J166,#REF!,7,0))</f>
        <v>#REF!</v>
      </c>
      <c r="Q166" s="77" t="str">
        <f>VLOOKUP(J166,'p1'!$B$2:$C$30,2,0)</f>
        <v>NÃO TEM CHAPA</v>
      </c>
      <c r="R166" s="95">
        <v>45803</v>
      </c>
      <c r="S166" s="91" t="s">
        <v>221</v>
      </c>
      <c r="T166" s="91">
        <f t="shared" si="10"/>
        <v>1</v>
      </c>
      <c r="U166" s="95">
        <v>45819</v>
      </c>
      <c r="V166" s="91" t="s">
        <v>86</v>
      </c>
      <c r="W166" s="93">
        <v>2378</v>
      </c>
      <c r="X166" s="94">
        <f t="shared" si="11"/>
        <v>1</v>
      </c>
      <c r="Y166"/>
    </row>
    <row r="167" spans="1:25">
      <c r="A167" s="90">
        <v>166</v>
      </c>
      <c r="B167" s="68">
        <v>45776</v>
      </c>
      <c r="C167" s="40">
        <v>21</v>
      </c>
      <c r="D167" s="40">
        <f t="shared" si="8"/>
        <v>1</v>
      </c>
      <c r="E167" s="46" t="s">
        <v>128</v>
      </c>
      <c r="F167" s="17" t="s">
        <v>58</v>
      </c>
      <c r="G167" s="17" t="s">
        <v>86</v>
      </c>
      <c r="H167" s="42" t="s">
        <v>403</v>
      </c>
      <c r="I167" s="17" t="str">
        <f t="shared" si="9"/>
        <v>PN-166</v>
      </c>
      <c r="J167" s="18" t="s">
        <v>85</v>
      </c>
      <c r="K167" s="19" t="e">
        <f>IF(J167="","SEM #CH",VLOOKUP(J167,#REF!,2,0))</f>
        <v>#REF!</v>
      </c>
      <c r="L167" s="19" t="e">
        <f>IF(J167="","SEM #CH",VLOOKUP(J167,#REF!,3,0))</f>
        <v>#REF!</v>
      </c>
      <c r="M167" s="19" t="e">
        <f>IF(J167="","SEM #CH",VLOOKUP(J167,#REF!,4,0))</f>
        <v>#REF!</v>
      </c>
      <c r="N167" s="19" t="e">
        <f>IF(J167="","SEM #CH",VLOOKUP(J167,#REF!,5,0))</f>
        <v>#REF!</v>
      </c>
      <c r="O167" s="19" t="e">
        <f>IF(J167="","SEM #CH",VLOOKUP(J167,#REF!,6,0))</f>
        <v>#REF!</v>
      </c>
      <c r="P167" s="19" t="e">
        <f>IF(J167="","SEM #CH",VLOOKUP(J167,#REF!,7,0))</f>
        <v>#REF!</v>
      </c>
      <c r="Q167" s="77" t="str">
        <f>VLOOKUP(J167,'p1'!$B$2:$C$30,2,0)</f>
        <v>NÃO TEM CHAPA</v>
      </c>
      <c r="R167" s="95">
        <v>45803</v>
      </c>
      <c r="S167" s="91" t="s">
        <v>221</v>
      </c>
      <c r="T167" s="91">
        <f t="shared" si="10"/>
        <v>1</v>
      </c>
      <c r="U167" s="95">
        <v>45819</v>
      </c>
      <c r="V167" s="91" t="s">
        <v>86</v>
      </c>
      <c r="W167" s="93">
        <v>2378</v>
      </c>
      <c r="X167" s="94">
        <f t="shared" si="11"/>
        <v>1</v>
      </c>
      <c r="Y167"/>
    </row>
    <row r="168" spans="1:25">
      <c r="A168" s="90">
        <v>167</v>
      </c>
      <c r="B168" s="68">
        <v>45776</v>
      </c>
      <c r="C168" s="40">
        <v>21</v>
      </c>
      <c r="D168" s="40">
        <f t="shared" si="8"/>
        <v>1</v>
      </c>
      <c r="E168" s="46" t="s">
        <v>128</v>
      </c>
      <c r="F168" s="17" t="s">
        <v>58</v>
      </c>
      <c r="G168" s="17" t="s">
        <v>86</v>
      </c>
      <c r="H168" s="42" t="s">
        <v>404</v>
      </c>
      <c r="I168" s="17" t="str">
        <f t="shared" si="9"/>
        <v>PN-167</v>
      </c>
      <c r="J168" s="18" t="s">
        <v>85</v>
      </c>
      <c r="K168" s="19" t="e">
        <f>IF(J168="","SEM #CH",VLOOKUP(J168,#REF!,2,0))</f>
        <v>#REF!</v>
      </c>
      <c r="L168" s="19" t="e">
        <f>IF(J168="","SEM #CH",VLOOKUP(J168,#REF!,3,0))</f>
        <v>#REF!</v>
      </c>
      <c r="M168" s="19" t="e">
        <f>IF(J168="","SEM #CH",VLOOKUP(J168,#REF!,4,0))</f>
        <v>#REF!</v>
      </c>
      <c r="N168" s="19" t="e">
        <f>IF(J168="","SEM #CH",VLOOKUP(J168,#REF!,5,0))</f>
        <v>#REF!</v>
      </c>
      <c r="O168" s="19" t="e">
        <f>IF(J168="","SEM #CH",VLOOKUP(J168,#REF!,6,0))</f>
        <v>#REF!</v>
      </c>
      <c r="P168" s="19" t="e">
        <f>IF(J168="","SEM #CH",VLOOKUP(J168,#REF!,7,0))</f>
        <v>#REF!</v>
      </c>
      <c r="Q168" s="77" t="str">
        <f>VLOOKUP(J168,'p1'!$B$2:$C$30,2,0)</f>
        <v>NÃO TEM CHAPA</v>
      </c>
      <c r="R168" s="95">
        <v>45826</v>
      </c>
      <c r="S168" s="91" t="s">
        <v>221</v>
      </c>
      <c r="T168" s="91">
        <f t="shared" si="10"/>
        <v>1</v>
      </c>
      <c r="U168" s="95">
        <v>45831</v>
      </c>
      <c r="V168" s="91" t="s">
        <v>86</v>
      </c>
      <c r="W168" s="93">
        <v>2405</v>
      </c>
      <c r="X168" s="94">
        <f t="shared" si="11"/>
        <v>1</v>
      </c>
      <c r="Y168"/>
    </row>
    <row r="169" spans="1:25">
      <c r="A169" s="90">
        <v>168</v>
      </c>
      <c r="B169" s="68">
        <v>45776</v>
      </c>
      <c r="C169" s="40">
        <v>21</v>
      </c>
      <c r="D169" s="40">
        <f t="shared" si="8"/>
        <v>1</v>
      </c>
      <c r="E169" s="46" t="s">
        <v>128</v>
      </c>
      <c r="F169" s="17" t="s">
        <v>58</v>
      </c>
      <c r="G169" s="17" t="s">
        <v>86</v>
      </c>
      <c r="H169" s="42" t="s">
        <v>405</v>
      </c>
      <c r="I169" s="17" t="str">
        <f t="shared" si="9"/>
        <v>PN-168</v>
      </c>
      <c r="J169" s="18" t="s">
        <v>85</v>
      </c>
      <c r="K169" s="19" t="e">
        <f>IF(J169="","SEM #CH",VLOOKUP(J169,#REF!,2,0))</f>
        <v>#REF!</v>
      </c>
      <c r="L169" s="19" t="e">
        <f>IF(J169="","SEM #CH",VLOOKUP(J169,#REF!,3,0))</f>
        <v>#REF!</v>
      </c>
      <c r="M169" s="19" t="e">
        <f>IF(J169="","SEM #CH",VLOOKUP(J169,#REF!,4,0))</f>
        <v>#REF!</v>
      </c>
      <c r="N169" s="19" t="e">
        <f>IF(J169="","SEM #CH",VLOOKUP(J169,#REF!,5,0))</f>
        <v>#REF!</v>
      </c>
      <c r="O169" s="19" t="e">
        <f>IF(J169="","SEM #CH",VLOOKUP(J169,#REF!,6,0))</f>
        <v>#REF!</v>
      </c>
      <c r="P169" s="19" t="e">
        <f>IF(J169="","SEM #CH",VLOOKUP(J169,#REF!,7,0))</f>
        <v>#REF!</v>
      </c>
      <c r="Q169" s="77" t="str">
        <f>VLOOKUP(J169,'p1'!$B$2:$C$30,2,0)</f>
        <v>NÃO TEM CHAPA</v>
      </c>
      <c r="R169" s="95"/>
      <c r="S169" s="91" t="s">
        <v>221</v>
      </c>
      <c r="T169" s="91" t="str">
        <f t="shared" si="10"/>
        <v/>
      </c>
      <c r="U169" s="91"/>
      <c r="V169" s="91"/>
      <c r="W169" s="93"/>
      <c r="X169" s="94" t="str">
        <f t="shared" si="11"/>
        <v/>
      </c>
      <c r="Y169"/>
    </row>
    <row r="170" spans="1:25">
      <c r="A170" s="90">
        <v>169</v>
      </c>
      <c r="B170" s="68">
        <v>45776</v>
      </c>
      <c r="C170" s="40">
        <v>21</v>
      </c>
      <c r="D170" s="40">
        <f t="shared" si="8"/>
        <v>1</v>
      </c>
      <c r="E170" s="46" t="s">
        <v>128</v>
      </c>
      <c r="F170" s="17" t="s">
        <v>58</v>
      </c>
      <c r="G170" s="17" t="s">
        <v>86</v>
      </c>
      <c r="H170" s="42" t="s">
        <v>406</v>
      </c>
      <c r="I170" s="17" t="str">
        <f t="shared" si="9"/>
        <v>PN-169</v>
      </c>
      <c r="J170" s="18" t="s">
        <v>85</v>
      </c>
      <c r="K170" s="19" t="e">
        <f>IF(J170="","SEM #CH",VLOOKUP(J170,#REF!,2,0))</f>
        <v>#REF!</v>
      </c>
      <c r="L170" s="19" t="e">
        <f>IF(J170="","SEM #CH",VLOOKUP(J170,#REF!,3,0))</f>
        <v>#REF!</v>
      </c>
      <c r="M170" s="19" t="e">
        <f>IF(J170="","SEM #CH",VLOOKUP(J170,#REF!,4,0))</f>
        <v>#REF!</v>
      </c>
      <c r="N170" s="19" t="e">
        <f>IF(J170="","SEM #CH",VLOOKUP(J170,#REF!,5,0))</f>
        <v>#REF!</v>
      </c>
      <c r="O170" s="19" t="e">
        <f>IF(J170="","SEM #CH",VLOOKUP(J170,#REF!,6,0))</f>
        <v>#REF!</v>
      </c>
      <c r="P170" s="19" t="e">
        <f>IF(J170="","SEM #CH",VLOOKUP(J170,#REF!,7,0))</f>
        <v>#REF!</v>
      </c>
      <c r="Q170" s="77" t="str">
        <f>VLOOKUP(J170,'p1'!$B$2:$C$30,2,0)</f>
        <v>NÃO TEM CHAPA</v>
      </c>
      <c r="R170" s="95"/>
      <c r="S170" s="91" t="s">
        <v>221</v>
      </c>
      <c r="T170" s="91" t="str">
        <f t="shared" si="10"/>
        <v/>
      </c>
      <c r="U170" s="91"/>
      <c r="V170" s="91"/>
      <c r="W170" s="93"/>
      <c r="X170" s="94" t="str">
        <f t="shared" si="11"/>
        <v/>
      </c>
      <c r="Y170"/>
    </row>
    <row r="171" spans="1:25">
      <c r="A171" s="90">
        <v>170</v>
      </c>
      <c r="B171" s="68">
        <v>45777</v>
      </c>
      <c r="C171" s="40">
        <v>22</v>
      </c>
      <c r="D171" s="40">
        <f t="shared" si="8"/>
        <v>1</v>
      </c>
      <c r="E171" s="46" t="s">
        <v>128</v>
      </c>
      <c r="F171" s="17" t="s">
        <v>58</v>
      </c>
      <c r="G171" s="17" t="s">
        <v>86</v>
      </c>
      <c r="H171" s="42" t="s">
        <v>407</v>
      </c>
      <c r="I171" s="17" t="str">
        <f t="shared" si="9"/>
        <v>PN-170</v>
      </c>
      <c r="J171" s="18" t="s">
        <v>85</v>
      </c>
      <c r="K171" s="19" t="e">
        <f>IF(J171="","SEM #CH",VLOOKUP(J171,#REF!,2,0))</f>
        <v>#REF!</v>
      </c>
      <c r="L171" s="19" t="e">
        <f>IF(J171="","SEM #CH",VLOOKUP(J171,#REF!,3,0))</f>
        <v>#REF!</v>
      </c>
      <c r="M171" s="19" t="e">
        <f>IF(J171="","SEM #CH",VLOOKUP(J171,#REF!,4,0))</f>
        <v>#REF!</v>
      </c>
      <c r="N171" s="19" t="e">
        <f>IF(J171="","SEM #CH",VLOOKUP(J171,#REF!,5,0))</f>
        <v>#REF!</v>
      </c>
      <c r="O171" s="19" t="e">
        <f>IF(J171="","SEM #CH",VLOOKUP(J171,#REF!,6,0))</f>
        <v>#REF!</v>
      </c>
      <c r="P171" s="19" t="e">
        <f>IF(J171="","SEM #CH",VLOOKUP(J171,#REF!,7,0))</f>
        <v>#REF!</v>
      </c>
      <c r="Q171" s="77" t="str">
        <f>VLOOKUP(J171,'p1'!$B$2:$C$30,2,0)</f>
        <v>NÃO TEM CHAPA</v>
      </c>
      <c r="R171" s="95">
        <v>45838</v>
      </c>
      <c r="S171" s="91" t="s">
        <v>222</v>
      </c>
      <c r="T171" s="91">
        <f t="shared" si="10"/>
        <v>1</v>
      </c>
      <c r="U171" s="91"/>
      <c r="V171" s="91"/>
      <c r="W171" s="93"/>
      <c r="X171" s="94" t="str">
        <f t="shared" si="11"/>
        <v/>
      </c>
      <c r="Y171"/>
    </row>
    <row r="172" spans="1:25">
      <c r="A172" s="90">
        <v>171</v>
      </c>
      <c r="B172" s="68">
        <v>45777</v>
      </c>
      <c r="C172" s="40">
        <v>22</v>
      </c>
      <c r="D172" s="40">
        <f t="shared" si="8"/>
        <v>1</v>
      </c>
      <c r="E172" s="46" t="s">
        <v>128</v>
      </c>
      <c r="F172" s="17" t="s">
        <v>58</v>
      </c>
      <c r="G172" s="17" t="s">
        <v>86</v>
      </c>
      <c r="H172" s="42" t="s">
        <v>408</v>
      </c>
      <c r="I172" s="17" t="str">
        <f t="shared" si="9"/>
        <v>PN-171</v>
      </c>
      <c r="J172" s="18" t="s">
        <v>85</v>
      </c>
      <c r="K172" s="19" t="e">
        <f>IF(J172="","SEM #CH",VLOOKUP(J172,#REF!,2,0))</f>
        <v>#REF!</v>
      </c>
      <c r="L172" s="19" t="e">
        <f>IF(J172="","SEM #CH",VLOOKUP(J172,#REF!,3,0))</f>
        <v>#REF!</v>
      </c>
      <c r="M172" s="19" t="e">
        <f>IF(J172="","SEM #CH",VLOOKUP(J172,#REF!,4,0))</f>
        <v>#REF!</v>
      </c>
      <c r="N172" s="19" t="e">
        <f>IF(J172="","SEM #CH",VLOOKUP(J172,#REF!,5,0))</f>
        <v>#REF!</v>
      </c>
      <c r="O172" s="19" t="e">
        <f>IF(J172="","SEM #CH",VLOOKUP(J172,#REF!,6,0))</f>
        <v>#REF!</v>
      </c>
      <c r="P172" s="19" t="e">
        <f>IF(J172="","SEM #CH",VLOOKUP(J172,#REF!,7,0))</f>
        <v>#REF!</v>
      </c>
      <c r="Q172" s="77" t="str">
        <f>VLOOKUP(J172,'p1'!$B$2:$C$30,2,0)</f>
        <v>NÃO TEM CHAPA</v>
      </c>
      <c r="R172" s="95">
        <v>45835</v>
      </c>
      <c r="S172" s="91" t="s">
        <v>222</v>
      </c>
      <c r="T172" s="91">
        <f t="shared" si="10"/>
        <v>1</v>
      </c>
      <c r="U172" s="95">
        <v>45842</v>
      </c>
      <c r="V172" s="91" t="s">
        <v>86</v>
      </c>
      <c r="W172" s="93">
        <v>2426</v>
      </c>
      <c r="X172" s="94">
        <f t="shared" si="11"/>
        <v>1</v>
      </c>
      <c r="Y172"/>
    </row>
    <row r="173" spans="1:25">
      <c r="A173" s="90">
        <v>172</v>
      </c>
      <c r="B173" s="68">
        <v>45777</v>
      </c>
      <c r="C173" s="40">
        <v>22</v>
      </c>
      <c r="D173" s="40">
        <f t="shared" si="8"/>
        <v>1</v>
      </c>
      <c r="E173" s="46" t="s">
        <v>128</v>
      </c>
      <c r="F173" s="17" t="s">
        <v>58</v>
      </c>
      <c r="G173" s="17" t="s">
        <v>86</v>
      </c>
      <c r="H173" s="42" t="s">
        <v>409</v>
      </c>
      <c r="I173" s="17" t="str">
        <f t="shared" si="9"/>
        <v>PN-172</v>
      </c>
      <c r="J173" s="18" t="s">
        <v>85</v>
      </c>
      <c r="K173" s="19" t="e">
        <f>IF(J173="","SEM #CH",VLOOKUP(J173,#REF!,2,0))</f>
        <v>#REF!</v>
      </c>
      <c r="L173" s="19" t="e">
        <f>IF(J173="","SEM #CH",VLOOKUP(J173,#REF!,3,0))</f>
        <v>#REF!</v>
      </c>
      <c r="M173" s="19" t="e">
        <f>IF(J173="","SEM #CH",VLOOKUP(J173,#REF!,4,0))</f>
        <v>#REF!</v>
      </c>
      <c r="N173" s="19" t="e">
        <f>IF(J173="","SEM #CH",VLOOKUP(J173,#REF!,5,0))</f>
        <v>#REF!</v>
      </c>
      <c r="O173" s="19" t="e">
        <f>IF(J173="","SEM #CH",VLOOKUP(J173,#REF!,6,0))</f>
        <v>#REF!</v>
      </c>
      <c r="P173" s="19" t="e">
        <f>IF(J173="","SEM #CH",VLOOKUP(J173,#REF!,7,0))</f>
        <v>#REF!</v>
      </c>
      <c r="Q173" s="77" t="str">
        <f>VLOOKUP(J173,'p1'!$B$2:$C$30,2,0)</f>
        <v>NÃO TEM CHAPA</v>
      </c>
      <c r="R173" s="95">
        <v>45834</v>
      </c>
      <c r="S173" s="91" t="s">
        <v>222</v>
      </c>
      <c r="T173" s="91">
        <f t="shared" si="10"/>
        <v>1</v>
      </c>
      <c r="U173" s="95">
        <v>45842</v>
      </c>
      <c r="V173" s="91" t="s">
        <v>86</v>
      </c>
      <c r="W173" s="93">
        <v>2426</v>
      </c>
      <c r="X173" s="94">
        <f t="shared" si="11"/>
        <v>1</v>
      </c>
      <c r="Y173"/>
    </row>
    <row r="174" spans="1:25">
      <c r="A174" s="90">
        <v>173</v>
      </c>
      <c r="B174" s="68">
        <v>45777</v>
      </c>
      <c r="C174" s="40">
        <v>22</v>
      </c>
      <c r="D174" s="40">
        <f t="shared" si="8"/>
        <v>1</v>
      </c>
      <c r="E174" s="46" t="s">
        <v>128</v>
      </c>
      <c r="F174" s="17" t="s">
        <v>58</v>
      </c>
      <c r="G174" s="17" t="s">
        <v>86</v>
      </c>
      <c r="H174" s="42" t="s">
        <v>410</v>
      </c>
      <c r="I174" s="17" t="str">
        <f t="shared" si="9"/>
        <v>PN-173</v>
      </c>
      <c r="J174" s="18" t="s">
        <v>85</v>
      </c>
      <c r="K174" s="19" t="e">
        <f>IF(J174="","SEM #CH",VLOOKUP(J174,#REF!,2,0))</f>
        <v>#REF!</v>
      </c>
      <c r="L174" s="19" t="e">
        <f>IF(J174="","SEM #CH",VLOOKUP(J174,#REF!,3,0))</f>
        <v>#REF!</v>
      </c>
      <c r="M174" s="19" t="e">
        <f>IF(J174="","SEM #CH",VLOOKUP(J174,#REF!,4,0))</f>
        <v>#REF!</v>
      </c>
      <c r="N174" s="19" t="e">
        <f>IF(J174="","SEM #CH",VLOOKUP(J174,#REF!,5,0))</f>
        <v>#REF!</v>
      </c>
      <c r="O174" s="19" t="e">
        <f>IF(J174="","SEM #CH",VLOOKUP(J174,#REF!,6,0))</f>
        <v>#REF!</v>
      </c>
      <c r="P174" s="19" t="e">
        <f>IF(J174="","SEM #CH",VLOOKUP(J174,#REF!,7,0))</f>
        <v>#REF!</v>
      </c>
      <c r="Q174" s="77" t="str">
        <f>VLOOKUP(J174,'p1'!$B$2:$C$30,2,0)</f>
        <v>NÃO TEM CHAPA</v>
      </c>
      <c r="R174" s="95">
        <v>45835</v>
      </c>
      <c r="S174" s="91" t="s">
        <v>222</v>
      </c>
      <c r="T174" s="91">
        <f t="shared" si="10"/>
        <v>1</v>
      </c>
      <c r="U174" s="91"/>
      <c r="V174" s="91"/>
      <c r="W174" s="93"/>
      <c r="X174" s="94" t="str">
        <f t="shared" si="11"/>
        <v/>
      </c>
      <c r="Y174"/>
    </row>
    <row r="175" spans="1:25">
      <c r="A175" s="90">
        <v>174</v>
      </c>
      <c r="B175" s="68">
        <v>45777</v>
      </c>
      <c r="C175" s="40">
        <v>22</v>
      </c>
      <c r="D175" s="40">
        <f t="shared" si="8"/>
        <v>1</v>
      </c>
      <c r="E175" s="46" t="s">
        <v>128</v>
      </c>
      <c r="F175" s="17" t="s">
        <v>58</v>
      </c>
      <c r="G175" s="17" t="s">
        <v>86</v>
      </c>
      <c r="H175" s="42" t="s">
        <v>411</v>
      </c>
      <c r="I175" s="17" t="str">
        <f t="shared" si="9"/>
        <v>PN-174</v>
      </c>
      <c r="J175" s="18" t="s">
        <v>85</v>
      </c>
      <c r="K175" s="19" t="e">
        <f>IF(J175="","SEM #CH",VLOOKUP(J175,#REF!,2,0))</f>
        <v>#REF!</v>
      </c>
      <c r="L175" s="19" t="e">
        <f>IF(J175="","SEM #CH",VLOOKUP(J175,#REF!,3,0))</f>
        <v>#REF!</v>
      </c>
      <c r="M175" s="19" t="e">
        <f>IF(J175="","SEM #CH",VLOOKUP(J175,#REF!,4,0))</f>
        <v>#REF!</v>
      </c>
      <c r="N175" s="19" t="e">
        <f>IF(J175="","SEM #CH",VLOOKUP(J175,#REF!,5,0))</f>
        <v>#REF!</v>
      </c>
      <c r="O175" s="19" t="e">
        <f>IF(J175="","SEM #CH",VLOOKUP(J175,#REF!,6,0))</f>
        <v>#REF!</v>
      </c>
      <c r="P175" s="19" t="e">
        <f>IF(J175="","SEM #CH",VLOOKUP(J175,#REF!,7,0))</f>
        <v>#REF!</v>
      </c>
      <c r="Q175" s="77" t="str">
        <f>VLOOKUP(J175,'p1'!$B$2:$C$30,2,0)</f>
        <v>NÃO TEM CHAPA</v>
      </c>
      <c r="R175" s="95">
        <v>45834</v>
      </c>
      <c r="S175" s="91" t="s">
        <v>222</v>
      </c>
      <c r="T175" s="91">
        <f t="shared" si="10"/>
        <v>1</v>
      </c>
      <c r="U175" s="91"/>
      <c r="V175" s="91"/>
      <c r="W175" s="93"/>
      <c r="X175" s="94" t="str">
        <f t="shared" si="11"/>
        <v/>
      </c>
      <c r="Y175"/>
    </row>
    <row r="176" spans="1:25">
      <c r="A176" s="90">
        <v>175</v>
      </c>
      <c r="B176" s="68">
        <v>45777</v>
      </c>
      <c r="C176" s="40">
        <v>22</v>
      </c>
      <c r="D176" s="40">
        <f t="shared" si="8"/>
        <v>1</v>
      </c>
      <c r="E176" s="46" t="s">
        <v>128</v>
      </c>
      <c r="F176" s="17" t="s">
        <v>58</v>
      </c>
      <c r="G176" s="17" t="s">
        <v>86</v>
      </c>
      <c r="H176" s="42" t="s">
        <v>412</v>
      </c>
      <c r="I176" s="17" t="str">
        <f t="shared" si="9"/>
        <v>PN-175</v>
      </c>
      <c r="J176" s="18" t="s">
        <v>85</v>
      </c>
      <c r="K176" s="19" t="e">
        <f>IF(J176="","SEM #CH",VLOOKUP(J176,#REF!,2,0))</f>
        <v>#REF!</v>
      </c>
      <c r="L176" s="19" t="e">
        <f>IF(J176="","SEM #CH",VLOOKUP(J176,#REF!,3,0))</f>
        <v>#REF!</v>
      </c>
      <c r="M176" s="19" t="e">
        <f>IF(J176="","SEM #CH",VLOOKUP(J176,#REF!,4,0))</f>
        <v>#REF!</v>
      </c>
      <c r="N176" s="19" t="e">
        <f>IF(J176="","SEM #CH",VLOOKUP(J176,#REF!,5,0))</f>
        <v>#REF!</v>
      </c>
      <c r="O176" s="19" t="e">
        <f>IF(J176="","SEM #CH",VLOOKUP(J176,#REF!,6,0))</f>
        <v>#REF!</v>
      </c>
      <c r="P176" s="19" t="e">
        <f>IF(J176="","SEM #CH",VLOOKUP(J176,#REF!,7,0))</f>
        <v>#REF!</v>
      </c>
      <c r="Q176" s="77" t="str">
        <f>VLOOKUP(J176,'p1'!$B$2:$C$30,2,0)</f>
        <v>NÃO TEM CHAPA</v>
      </c>
      <c r="R176" s="95">
        <v>45833</v>
      </c>
      <c r="S176" s="91" t="s">
        <v>222</v>
      </c>
      <c r="T176" s="91">
        <f t="shared" si="10"/>
        <v>1</v>
      </c>
      <c r="U176" s="95">
        <v>45833</v>
      </c>
      <c r="V176" s="91" t="s">
        <v>86</v>
      </c>
      <c r="W176" s="93">
        <v>2418</v>
      </c>
      <c r="X176" s="94">
        <f t="shared" si="11"/>
        <v>1</v>
      </c>
      <c r="Y176"/>
    </row>
    <row r="177" spans="1:25">
      <c r="A177" s="90">
        <v>176</v>
      </c>
      <c r="B177" s="68">
        <v>45777</v>
      </c>
      <c r="C177" s="40">
        <v>22</v>
      </c>
      <c r="D177" s="40">
        <f t="shared" si="8"/>
        <v>1</v>
      </c>
      <c r="E177" s="46" t="s">
        <v>128</v>
      </c>
      <c r="F177" s="17" t="s">
        <v>58</v>
      </c>
      <c r="G177" s="17" t="s">
        <v>86</v>
      </c>
      <c r="H177" s="42" t="s">
        <v>413</v>
      </c>
      <c r="I177" s="17" t="str">
        <f t="shared" si="9"/>
        <v>PN-176</v>
      </c>
      <c r="J177" s="18" t="s">
        <v>85</v>
      </c>
      <c r="K177" s="19" t="e">
        <f>IF(J177="","SEM #CH",VLOOKUP(J177,#REF!,2,0))</f>
        <v>#REF!</v>
      </c>
      <c r="L177" s="19" t="e">
        <f>IF(J177="","SEM #CH",VLOOKUP(J177,#REF!,3,0))</f>
        <v>#REF!</v>
      </c>
      <c r="M177" s="19" t="e">
        <f>IF(J177="","SEM #CH",VLOOKUP(J177,#REF!,4,0))</f>
        <v>#REF!</v>
      </c>
      <c r="N177" s="19" t="e">
        <f>IF(J177="","SEM #CH",VLOOKUP(J177,#REF!,5,0))</f>
        <v>#REF!</v>
      </c>
      <c r="O177" s="19" t="e">
        <f>IF(J177="","SEM #CH",VLOOKUP(J177,#REF!,6,0))</f>
        <v>#REF!</v>
      </c>
      <c r="P177" s="19" t="e">
        <f>IF(J177="","SEM #CH",VLOOKUP(J177,#REF!,7,0))</f>
        <v>#REF!</v>
      </c>
      <c r="Q177" s="77" t="str">
        <f>VLOOKUP(J177,'p1'!$B$2:$C$30,2,0)</f>
        <v>NÃO TEM CHAPA</v>
      </c>
      <c r="R177" s="95">
        <v>45833</v>
      </c>
      <c r="S177" s="91" t="s">
        <v>222</v>
      </c>
      <c r="T177" s="91">
        <f t="shared" si="10"/>
        <v>1</v>
      </c>
      <c r="U177" s="95">
        <v>45833</v>
      </c>
      <c r="V177" s="91" t="s">
        <v>86</v>
      </c>
      <c r="W177" s="93">
        <v>2418</v>
      </c>
      <c r="X177" s="94">
        <f t="shared" si="11"/>
        <v>1</v>
      </c>
      <c r="Y177"/>
    </row>
    <row r="178" spans="1:25">
      <c r="A178" s="90">
        <v>177</v>
      </c>
      <c r="B178" s="68">
        <v>45780</v>
      </c>
      <c r="C178" s="40">
        <v>23</v>
      </c>
      <c r="D178" s="40">
        <f t="shared" si="8"/>
        <v>1</v>
      </c>
      <c r="E178" s="46" t="s">
        <v>128</v>
      </c>
      <c r="F178" s="17" t="s">
        <v>58</v>
      </c>
      <c r="G178" s="17" t="s">
        <v>86</v>
      </c>
      <c r="H178" s="42" t="s">
        <v>414</v>
      </c>
      <c r="I178" s="17" t="str">
        <f t="shared" si="9"/>
        <v>PN-177</v>
      </c>
      <c r="J178" s="18" t="s">
        <v>85</v>
      </c>
      <c r="K178" s="19" t="e">
        <f>IF(J178="","SEM #CH",VLOOKUP(J178,#REF!,2,0))</f>
        <v>#REF!</v>
      </c>
      <c r="L178" s="19" t="e">
        <f>IF(J178="","SEM #CH",VLOOKUP(J178,#REF!,3,0))</f>
        <v>#REF!</v>
      </c>
      <c r="M178" s="19" t="e">
        <f>IF(J178="","SEM #CH",VLOOKUP(J178,#REF!,4,0))</f>
        <v>#REF!</v>
      </c>
      <c r="N178" s="19" t="e">
        <f>IF(J178="","SEM #CH",VLOOKUP(J178,#REF!,5,0))</f>
        <v>#REF!</v>
      </c>
      <c r="O178" s="19" t="e">
        <f>IF(J178="","SEM #CH",VLOOKUP(J178,#REF!,6,0))</f>
        <v>#REF!</v>
      </c>
      <c r="P178" s="19" t="e">
        <f>IF(J178="","SEM #CH",VLOOKUP(J178,#REF!,7,0))</f>
        <v>#REF!</v>
      </c>
      <c r="Q178" s="77" t="str">
        <f>VLOOKUP(J178,'p1'!$B$2:$C$30,2,0)</f>
        <v>NÃO TEM CHAPA</v>
      </c>
      <c r="R178" s="95">
        <v>45797</v>
      </c>
      <c r="S178" s="91" t="s">
        <v>221</v>
      </c>
      <c r="T178" s="91">
        <f t="shared" si="10"/>
        <v>1</v>
      </c>
      <c r="U178" s="91"/>
      <c r="V178" s="91"/>
      <c r="W178" s="93"/>
      <c r="X178" s="94" t="str">
        <f t="shared" si="11"/>
        <v/>
      </c>
      <c r="Y178"/>
    </row>
    <row r="179" spans="1:25">
      <c r="A179" s="90">
        <v>178</v>
      </c>
      <c r="B179" s="68">
        <v>45780</v>
      </c>
      <c r="C179" s="40">
        <v>23</v>
      </c>
      <c r="D179" s="40">
        <f t="shared" si="8"/>
        <v>1</v>
      </c>
      <c r="E179" s="46" t="s">
        <v>128</v>
      </c>
      <c r="F179" s="17" t="s">
        <v>58</v>
      </c>
      <c r="G179" s="17" t="s">
        <v>86</v>
      </c>
      <c r="H179" s="42" t="s">
        <v>415</v>
      </c>
      <c r="I179" s="17" t="str">
        <f t="shared" si="9"/>
        <v>PN-178</v>
      </c>
      <c r="J179" s="18" t="s">
        <v>85</v>
      </c>
      <c r="K179" s="19" t="e">
        <f>IF(J179="","SEM #CH",VLOOKUP(J179,#REF!,2,0))</f>
        <v>#REF!</v>
      </c>
      <c r="L179" s="19" t="e">
        <f>IF(J179="","SEM #CH",VLOOKUP(J179,#REF!,3,0))</f>
        <v>#REF!</v>
      </c>
      <c r="M179" s="19" t="e">
        <f>IF(J179="","SEM #CH",VLOOKUP(J179,#REF!,4,0))</f>
        <v>#REF!</v>
      </c>
      <c r="N179" s="19" t="e">
        <f>IF(J179="","SEM #CH",VLOOKUP(J179,#REF!,5,0))</f>
        <v>#REF!</v>
      </c>
      <c r="O179" s="19" t="e">
        <f>IF(J179="","SEM #CH",VLOOKUP(J179,#REF!,6,0))</f>
        <v>#REF!</v>
      </c>
      <c r="P179" s="19" t="e">
        <f>IF(J179="","SEM #CH",VLOOKUP(J179,#REF!,7,0))</f>
        <v>#REF!</v>
      </c>
      <c r="Q179" s="77" t="str">
        <f>VLOOKUP(J179,'p1'!$B$2:$C$30,2,0)</f>
        <v>NÃO TEM CHAPA</v>
      </c>
      <c r="R179" s="95">
        <v>45797</v>
      </c>
      <c r="S179" s="91" t="s">
        <v>221</v>
      </c>
      <c r="T179" s="91">
        <f t="shared" si="10"/>
        <v>1</v>
      </c>
      <c r="U179" s="91"/>
      <c r="V179" s="91"/>
      <c r="W179" s="93"/>
      <c r="X179" s="94" t="str">
        <f t="shared" si="11"/>
        <v/>
      </c>
      <c r="Y179"/>
    </row>
    <row r="180" spans="1:25">
      <c r="A180" s="90">
        <v>179</v>
      </c>
      <c r="B180" s="68">
        <v>45780</v>
      </c>
      <c r="C180" s="40">
        <v>23</v>
      </c>
      <c r="D180" s="40">
        <f t="shared" si="8"/>
        <v>1</v>
      </c>
      <c r="E180" s="46" t="s">
        <v>128</v>
      </c>
      <c r="F180" s="17" t="s">
        <v>58</v>
      </c>
      <c r="G180" s="17" t="s">
        <v>86</v>
      </c>
      <c r="H180" s="42" t="s">
        <v>416</v>
      </c>
      <c r="I180" s="17" t="str">
        <f t="shared" si="9"/>
        <v>PN-179</v>
      </c>
      <c r="J180" s="18" t="s">
        <v>85</v>
      </c>
      <c r="K180" s="19" t="e">
        <f>IF(J180="","SEM #CH",VLOOKUP(J180,#REF!,2,0))</f>
        <v>#REF!</v>
      </c>
      <c r="L180" s="19" t="e">
        <f>IF(J180="","SEM #CH",VLOOKUP(J180,#REF!,3,0))</f>
        <v>#REF!</v>
      </c>
      <c r="M180" s="19" t="e">
        <f>IF(J180="","SEM #CH",VLOOKUP(J180,#REF!,4,0))</f>
        <v>#REF!</v>
      </c>
      <c r="N180" s="19" t="e">
        <f>IF(J180="","SEM #CH",VLOOKUP(J180,#REF!,5,0))</f>
        <v>#REF!</v>
      </c>
      <c r="O180" s="19" t="e">
        <f>IF(J180="","SEM #CH",VLOOKUP(J180,#REF!,6,0))</f>
        <v>#REF!</v>
      </c>
      <c r="P180" s="19" t="e">
        <f>IF(J180="","SEM #CH",VLOOKUP(J180,#REF!,7,0))</f>
        <v>#REF!</v>
      </c>
      <c r="Q180" s="77" t="str">
        <f>VLOOKUP(J180,'p1'!$B$2:$C$30,2,0)</f>
        <v>NÃO TEM CHAPA</v>
      </c>
      <c r="R180" s="95">
        <v>45798</v>
      </c>
      <c r="S180" s="91" t="s">
        <v>221</v>
      </c>
      <c r="T180" s="91">
        <f t="shared" si="10"/>
        <v>1</v>
      </c>
      <c r="U180" s="91"/>
      <c r="V180" s="91"/>
      <c r="W180" s="93"/>
      <c r="X180" s="94" t="str">
        <f t="shared" si="11"/>
        <v/>
      </c>
      <c r="Y180"/>
    </row>
    <row r="181" spans="1:25">
      <c r="A181" s="90">
        <v>180</v>
      </c>
      <c r="B181" s="68">
        <v>45818</v>
      </c>
      <c r="C181" s="40">
        <v>34</v>
      </c>
      <c r="D181" s="40">
        <f t="shared" si="8"/>
        <v>1</v>
      </c>
      <c r="E181" s="46" t="s">
        <v>128</v>
      </c>
      <c r="F181" s="17" t="s">
        <v>60</v>
      </c>
      <c r="G181" s="17" t="s">
        <v>86</v>
      </c>
      <c r="H181" s="42" t="s">
        <v>417</v>
      </c>
      <c r="I181" s="17" t="str">
        <f t="shared" si="9"/>
        <v>PE-180</v>
      </c>
      <c r="J181" s="18" t="s">
        <v>88</v>
      </c>
      <c r="K181" s="19" t="e">
        <f>IF(J181="","SEM #CH",VLOOKUP(J181,#REF!,2,0))</f>
        <v>#REF!</v>
      </c>
      <c r="L181" s="19" t="e">
        <f>IF(J181="","SEM #CH",VLOOKUP(J181,#REF!,3,0))</f>
        <v>#REF!</v>
      </c>
      <c r="M181" s="19" t="e">
        <f>IF(J181="","SEM #CH",VLOOKUP(J181,#REF!,4,0))</f>
        <v>#REF!</v>
      </c>
      <c r="N181" s="19" t="e">
        <f>IF(J181="","SEM #CH",VLOOKUP(J181,#REF!,5,0))</f>
        <v>#REF!</v>
      </c>
      <c r="O181" s="19" t="e">
        <f>IF(J181="","SEM #CH",VLOOKUP(J181,#REF!,6,0))</f>
        <v>#REF!</v>
      </c>
      <c r="P181" s="19" t="e">
        <f>IF(J181="","SEM #CH",VLOOKUP(J181,#REF!,7,0))</f>
        <v>#REF!</v>
      </c>
      <c r="Q181" s="77" t="str">
        <f>VLOOKUP(J181,'p1'!$B$2:$C$30,2,0)</f>
        <v>#3/8-1315X1315</v>
      </c>
      <c r="R181" s="95">
        <v>45849</v>
      </c>
      <c r="S181" s="91" t="s">
        <v>221</v>
      </c>
      <c r="T181" s="91">
        <f t="shared" si="10"/>
        <v>1</v>
      </c>
      <c r="U181" s="91"/>
      <c r="V181" s="91"/>
      <c r="W181" s="93"/>
      <c r="X181" s="94" t="str">
        <f t="shared" si="11"/>
        <v/>
      </c>
      <c r="Y181"/>
    </row>
    <row r="182" spans="1:25">
      <c r="A182" s="90">
        <v>181</v>
      </c>
      <c r="B182" s="68">
        <v>45780</v>
      </c>
      <c r="C182" s="40">
        <v>23</v>
      </c>
      <c r="D182" s="40">
        <f t="shared" si="8"/>
        <v>1</v>
      </c>
      <c r="E182" s="46" t="s">
        <v>128</v>
      </c>
      <c r="F182" s="17" t="s">
        <v>58</v>
      </c>
      <c r="G182" s="17" t="s">
        <v>86</v>
      </c>
      <c r="H182" s="42" t="s">
        <v>418</v>
      </c>
      <c r="I182" s="17" t="str">
        <f t="shared" si="9"/>
        <v>PN-181</v>
      </c>
      <c r="J182" s="18" t="s">
        <v>85</v>
      </c>
      <c r="K182" s="19" t="e">
        <f>IF(J182="","SEM #CH",VLOOKUP(J182,#REF!,2,0))</f>
        <v>#REF!</v>
      </c>
      <c r="L182" s="19" t="e">
        <f>IF(J182="","SEM #CH",VLOOKUP(J182,#REF!,3,0))</f>
        <v>#REF!</v>
      </c>
      <c r="M182" s="19" t="e">
        <f>IF(J182="","SEM #CH",VLOOKUP(J182,#REF!,4,0))</f>
        <v>#REF!</v>
      </c>
      <c r="N182" s="19" t="e">
        <f>IF(J182="","SEM #CH",VLOOKUP(J182,#REF!,5,0))</f>
        <v>#REF!</v>
      </c>
      <c r="O182" s="19" t="e">
        <f>IF(J182="","SEM #CH",VLOOKUP(J182,#REF!,6,0))</f>
        <v>#REF!</v>
      </c>
      <c r="P182" s="19" t="e">
        <f>IF(J182="","SEM #CH",VLOOKUP(J182,#REF!,7,0))</f>
        <v>#REF!</v>
      </c>
      <c r="Q182" s="77" t="str">
        <f>VLOOKUP(J182,'p1'!$B$2:$C$30,2,0)</f>
        <v>NÃO TEM CHAPA</v>
      </c>
      <c r="R182" s="95">
        <v>45798</v>
      </c>
      <c r="S182" s="91" t="s">
        <v>221</v>
      </c>
      <c r="T182" s="91">
        <f t="shared" si="10"/>
        <v>1</v>
      </c>
      <c r="U182" s="91"/>
      <c r="V182" s="91"/>
      <c r="W182" s="93"/>
      <c r="X182" s="94" t="str">
        <f t="shared" si="11"/>
        <v/>
      </c>
      <c r="Y182"/>
    </row>
    <row r="183" spans="1:25">
      <c r="A183" s="90">
        <v>182</v>
      </c>
      <c r="B183" s="68">
        <v>45780</v>
      </c>
      <c r="C183" s="40">
        <v>23</v>
      </c>
      <c r="D183" s="40">
        <f t="shared" si="8"/>
        <v>1</v>
      </c>
      <c r="E183" s="46" t="s">
        <v>128</v>
      </c>
      <c r="F183" s="17" t="s">
        <v>58</v>
      </c>
      <c r="G183" s="17" t="s">
        <v>86</v>
      </c>
      <c r="H183" s="42" t="s">
        <v>419</v>
      </c>
      <c r="I183" s="17" t="str">
        <f t="shared" si="9"/>
        <v>PN-182</v>
      </c>
      <c r="J183" s="18" t="s">
        <v>85</v>
      </c>
      <c r="K183" s="19" t="e">
        <f>IF(J183="","SEM #CH",VLOOKUP(J183,#REF!,2,0))</f>
        <v>#REF!</v>
      </c>
      <c r="L183" s="19" t="e">
        <f>IF(J183="","SEM #CH",VLOOKUP(J183,#REF!,3,0))</f>
        <v>#REF!</v>
      </c>
      <c r="M183" s="19" t="e">
        <f>IF(J183="","SEM #CH",VLOOKUP(J183,#REF!,4,0))</f>
        <v>#REF!</v>
      </c>
      <c r="N183" s="19" t="e">
        <f>IF(J183="","SEM #CH",VLOOKUP(J183,#REF!,5,0))</f>
        <v>#REF!</v>
      </c>
      <c r="O183" s="19" t="e">
        <f>IF(J183="","SEM #CH",VLOOKUP(J183,#REF!,6,0))</f>
        <v>#REF!</v>
      </c>
      <c r="P183" s="19" t="e">
        <f>IF(J183="","SEM #CH",VLOOKUP(J183,#REF!,7,0))</f>
        <v>#REF!</v>
      </c>
      <c r="Q183" s="77" t="str">
        <f>VLOOKUP(J183,'p1'!$B$2:$C$30,2,0)</f>
        <v>NÃO TEM CHAPA</v>
      </c>
      <c r="R183" s="95">
        <v>45801</v>
      </c>
      <c r="S183" s="91" t="s">
        <v>221</v>
      </c>
      <c r="T183" s="91">
        <f t="shared" si="10"/>
        <v>1</v>
      </c>
      <c r="U183" s="91"/>
      <c r="V183" s="91"/>
      <c r="W183" s="93"/>
      <c r="X183" s="94" t="str">
        <f t="shared" si="11"/>
        <v/>
      </c>
      <c r="Y183"/>
    </row>
    <row r="184" spans="1:25">
      <c r="A184" s="90">
        <v>183</v>
      </c>
      <c r="B184" s="68">
        <v>45780</v>
      </c>
      <c r="C184" s="40">
        <v>23</v>
      </c>
      <c r="D184" s="40">
        <f t="shared" si="8"/>
        <v>1</v>
      </c>
      <c r="E184" s="46" t="s">
        <v>128</v>
      </c>
      <c r="F184" s="17" t="s">
        <v>58</v>
      </c>
      <c r="G184" s="17" t="s">
        <v>86</v>
      </c>
      <c r="H184" s="42" t="s">
        <v>420</v>
      </c>
      <c r="I184" s="17" t="str">
        <f t="shared" si="9"/>
        <v>PN-183</v>
      </c>
      <c r="J184" s="18" t="s">
        <v>85</v>
      </c>
      <c r="K184" s="19" t="e">
        <f>IF(J184="","SEM #CH",VLOOKUP(J184,#REF!,2,0))</f>
        <v>#REF!</v>
      </c>
      <c r="L184" s="19" t="e">
        <f>IF(J184="","SEM #CH",VLOOKUP(J184,#REF!,3,0))</f>
        <v>#REF!</v>
      </c>
      <c r="M184" s="19" t="e">
        <f>IF(J184="","SEM #CH",VLOOKUP(J184,#REF!,4,0))</f>
        <v>#REF!</v>
      </c>
      <c r="N184" s="19" t="e">
        <f>IF(J184="","SEM #CH",VLOOKUP(J184,#REF!,5,0))</f>
        <v>#REF!</v>
      </c>
      <c r="O184" s="19" t="e">
        <f>IF(J184="","SEM #CH",VLOOKUP(J184,#REF!,6,0))</f>
        <v>#REF!</v>
      </c>
      <c r="P184" s="19" t="e">
        <f>IF(J184="","SEM #CH",VLOOKUP(J184,#REF!,7,0))</f>
        <v>#REF!</v>
      </c>
      <c r="Q184" s="77" t="str">
        <f>VLOOKUP(J184,'p1'!$B$2:$C$30,2,0)</f>
        <v>NÃO TEM CHAPA</v>
      </c>
      <c r="R184" s="95">
        <v>45801</v>
      </c>
      <c r="S184" s="91" t="s">
        <v>221</v>
      </c>
      <c r="T184" s="91">
        <f t="shared" si="10"/>
        <v>1</v>
      </c>
      <c r="U184" s="91"/>
      <c r="V184" s="91"/>
      <c r="W184" s="93"/>
      <c r="X184" s="94" t="str">
        <f t="shared" si="11"/>
        <v/>
      </c>
      <c r="Y184"/>
    </row>
    <row r="185" spans="1:25">
      <c r="A185" s="90">
        <v>184</v>
      </c>
      <c r="B185" s="68">
        <v>45780</v>
      </c>
      <c r="C185" s="40">
        <v>23</v>
      </c>
      <c r="D185" s="40">
        <f t="shared" si="8"/>
        <v>1</v>
      </c>
      <c r="E185" s="46" t="s">
        <v>128</v>
      </c>
      <c r="F185" s="17" t="s">
        <v>58</v>
      </c>
      <c r="G185" s="17" t="s">
        <v>86</v>
      </c>
      <c r="H185" s="42" t="s">
        <v>421</v>
      </c>
      <c r="I185" s="17" t="str">
        <f t="shared" si="9"/>
        <v>PN-184</v>
      </c>
      <c r="J185" s="18" t="s">
        <v>85</v>
      </c>
      <c r="K185" s="19" t="e">
        <f>IF(J185="","SEM #CH",VLOOKUP(J185,#REF!,2,0))</f>
        <v>#REF!</v>
      </c>
      <c r="L185" s="19" t="e">
        <f>IF(J185="","SEM #CH",VLOOKUP(J185,#REF!,3,0))</f>
        <v>#REF!</v>
      </c>
      <c r="M185" s="19" t="e">
        <f>IF(J185="","SEM #CH",VLOOKUP(J185,#REF!,4,0))</f>
        <v>#REF!</v>
      </c>
      <c r="N185" s="19" t="e">
        <f>IF(J185="","SEM #CH",VLOOKUP(J185,#REF!,5,0))</f>
        <v>#REF!</v>
      </c>
      <c r="O185" s="19" t="e">
        <f>IF(J185="","SEM #CH",VLOOKUP(J185,#REF!,6,0))</f>
        <v>#REF!</v>
      </c>
      <c r="P185" s="19" t="e">
        <f>IF(J185="","SEM #CH",VLOOKUP(J185,#REF!,7,0))</f>
        <v>#REF!</v>
      </c>
      <c r="Q185" s="77" t="str">
        <f>VLOOKUP(J185,'p1'!$B$2:$C$30,2,0)</f>
        <v>NÃO TEM CHAPA</v>
      </c>
      <c r="R185" s="95">
        <v>45784</v>
      </c>
      <c r="S185" s="91" t="s">
        <v>221</v>
      </c>
      <c r="T185" s="91">
        <f t="shared" si="10"/>
        <v>1</v>
      </c>
      <c r="U185" s="91"/>
      <c r="V185" s="91"/>
      <c r="W185" s="93"/>
      <c r="X185" s="94" t="str">
        <f t="shared" si="11"/>
        <v/>
      </c>
      <c r="Y185"/>
    </row>
    <row r="186" spans="1:25">
      <c r="A186" s="90">
        <v>185</v>
      </c>
      <c r="B186" s="68">
        <v>45782</v>
      </c>
      <c r="C186" s="40">
        <v>24</v>
      </c>
      <c r="D186" s="40">
        <f t="shared" si="8"/>
        <v>1</v>
      </c>
      <c r="E186" s="46" t="s">
        <v>128</v>
      </c>
      <c r="F186" s="17" t="s">
        <v>58</v>
      </c>
      <c r="G186" s="17" t="s">
        <v>86</v>
      </c>
      <c r="H186" s="42" t="s">
        <v>422</v>
      </c>
      <c r="I186" s="17" t="str">
        <f t="shared" si="9"/>
        <v>PN-185</v>
      </c>
      <c r="J186" s="18" t="s">
        <v>85</v>
      </c>
      <c r="K186" s="19" t="e">
        <f>IF(J186="","SEM #CH",VLOOKUP(J186,#REF!,2,0))</f>
        <v>#REF!</v>
      </c>
      <c r="L186" s="19" t="e">
        <f>IF(J186="","SEM #CH",VLOOKUP(J186,#REF!,3,0))</f>
        <v>#REF!</v>
      </c>
      <c r="M186" s="19" t="e">
        <f>IF(J186="","SEM #CH",VLOOKUP(J186,#REF!,4,0))</f>
        <v>#REF!</v>
      </c>
      <c r="N186" s="19" t="e">
        <f>IF(J186="","SEM #CH",VLOOKUP(J186,#REF!,5,0))</f>
        <v>#REF!</v>
      </c>
      <c r="O186" s="19" t="e">
        <f>IF(J186="","SEM #CH",VLOOKUP(J186,#REF!,6,0))</f>
        <v>#REF!</v>
      </c>
      <c r="P186" s="19" t="e">
        <f>IF(J186="","SEM #CH",VLOOKUP(J186,#REF!,7,0))</f>
        <v>#REF!</v>
      </c>
      <c r="Q186" s="77" t="str">
        <f>VLOOKUP(J186,'p1'!$B$2:$C$30,2,0)</f>
        <v>NÃO TEM CHAPA</v>
      </c>
      <c r="R186" s="95">
        <v>45815</v>
      </c>
      <c r="S186" s="91" t="s">
        <v>222</v>
      </c>
      <c r="T186" s="91">
        <f t="shared" si="10"/>
        <v>1</v>
      </c>
      <c r="U186" s="95">
        <v>45821</v>
      </c>
      <c r="V186" s="91" t="s">
        <v>86</v>
      </c>
      <c r="W186" s="93">
        <v>2386</v>
      </c>
      <c r="X186" s="94">
        <f t="shared" si="11"/>
        <v>1</v>
      </c>
      <c r="Y186"/>
    </row>
    <row r="187" spans="1:25">
      <c r="A187" s="90">
        <v>186</v>
      </c>
      <c r="B187" s="68">
        <v>45782</v>
      </c>
      <c r="C187" s="40">
        <v>24</v>
      </c>
      <c r="D187" s="40">
        <f t="shared" si="8"/>
        <v>1</v>
      </c>
      <c r="E187" s="46" t="s">
        <v>128</v>
      </c>
      <c r="F187" s="17" t="s">
        <v>58</v>
      </c>
      <c r="G187" s="17" t="s">
        <v>86</v>
      </c>
      <c r="H187" s="42" t="s">
        <v>423</v>
      </c>
      <c r="I187" s="17" t="str">
        <f t="shared" si="9"/>
        <v>PN-186</v>
      </c>
      <c r="J187" s="18" t="s">
        <v>85</v>
      </c>
      <c r="K187" s="19" t="e">
        <f>IF(J187="","SEM #CH",VLOOKUP(J187,#REF!,2,0))</f>
        <v>#REF!</v>
      </c>
      <c r="L187" s="19" t="e">
        <f>IF(J187="","SEM #CH",VLOOKUP(J187,#REF!,3,0))</f>
        <v>#REF!</v>
      </c>
      <c r="M187" s="19" t="e">
        <f>IF(J187="","SEM #CH",VLOOKUP(J187,#REF!,4,0))</f>
        <v>#REF!</v>
      </c>
      <c r="N187" s="19" t="e">
        <f>IF(J187="","SEM #CH",VLOOKUP(J187,#REF!,5,0))</f>
        <v>#REF!</v>
      </c>
      <c r="O187" s="19" t="e">
        <f>IF(J187="","SEM #CH",VLOOKUP(J187,#REF!,6,0))</f>
        <v>#REF!</v>
      </c>
      <c r="P187" s="19" t="e">
        <f>IF(J187="","SEM #CH",VLOOKUP(J187,#REF!,7,0))</f>
        <v>#REF!</v>
      </c>
      <c r="Q187" s="77" t="str">
        <f>VLOOKUP(J187,'p1'!$B$2:$C$30,2,0)</f>
        <v>NÃO TEM CHAPA</v>
      </c>
      <c r="R187" s="95">
        <v>45817</v>
      </c>
      <c r="S187" s="91" t="s">
        <v>222</v>
      </c>
      <c r="T187" s="91">
        <f t="shared" si="10"/>
        <v>1</v>
      </c>
      <c r="U187" s="95">
        <v>45832</v>
      </c>
      <c r="V187" s="91" t="s">
        <v>86</v>
      </c>
      <c r="W187" s="93">
        <v>2408</v>
      </c>
      <c r="X187" s="94">
        <f t="shared" si="11"/>
        <v>1</v>
      </c>
      <c r="Y187"/>
    </row>
    <row r="188" spans="1:25">
      <c r="A188" s="90">
        <v>187</v>
      </c>
      <c r="B188" s="68"/>
      <c r="C188" s="40"/>
      <c r="D188" s="40" t="str">
        <f t="shared" si="8"/>
        <v/>
      </c>
      <c r="E188" s="47" t="s">
        <v>129</v>
      </c>
      <c r="F188" s="17" t="s">
        <v>61</v>
      </c>
      <c r="G188" s="17" t="s">
        <v>86</v>
      </c>
      <c r="H188" s="42" t="s">
        <v>424</v>
      </c>
      <c r="I188" s="17" t="str">
        <f t="shared" si="9"/>
        <v>PF-187</v>
      </c>
      <c r="J188" s="18" t="s">
        <v>61</v>
      </c>
      <c r="K188" s="19" t="e">
        <f>IF(J188="","SEM #CH",VLOOKUP(J188,#REF!,2,0))</f>
        <v>#REF!</v>
      </c>
      <c r="L188" s="19" t="e">
        <f>IF(J188="","SEM #CH",VLOOKUP(J188,#REF!,3,0))</f>
        <v>#REF!</v>
      </c>
      <c r="M188" s="19" t="e">
        <f>IF(J188="","SEM #CH",VLOOKUP(J188,#REF!,4,0))</f>
        <v>#REF!</v>
      </c>
      <c r="N188" s="19" t="e">
        <f>IF(J188="","SEM #CH",VLOOKUP(J188,#REF!,5,0))</f>
        <v>#REF!</v>
      </c>
      <c r="O188" s="19" t="e">
        <f>IF(J188="","SEM #CH",VLOOKUP(J188,#REF!,6,0))</f>
        <v>#REF!</v>
      </c>
      <c r="P188" s="19" t="e">
        <f>IF(J188="","SEM #CH",VLOOKUP(J188,#REF!,7,0))</f>
        <v>#REF!</v>
      </c>
      <c r="Q188" s="77" t="str">
        <f>VLOOKUP(J188,'p1'!$B$2:$C$30,2,0)</f>
        <v>SEM CHAPA</v>
      </c>
      <c r="R188" s="95"/>
      <c r="S188" s="91"/>
      <c r="T188" s="91" t="str">
        <f t="shared" si="10"/>
        <v/>
      </c>
      <c r="U188" s="91"/>
      <c r="V188" s="91"/>
      <c r="W188" s="93"/>
      <c r="X188" s="94" t="str">
        <f t="shared" si="11"/>
        <v/>
      </c>
      <c r="Y188"/>
    </row>
    <row r="189" spans="1:25">
      <c r="A189" s="90">
        <v>188</v>
      </c>
      <c r="B189" s="68">
        <v>45782</v>
      </c>
      <c r="C189" s="40">
        <v>24</v>
      </c>
      <c r="D189" s="40">
        <f t="shared" si="8"/>
        <v>1</v>
      </c>
      <c r="E189" s="47" t="s">
        <v>129</v>
      </c>
      <c r="F189" s="17" t="s">
        <v>58</v>
      </c>
      <c r="G189" s="17" t="s">
        <v>86</v>
      </c>
      <c r="H189" s="42" t="s">
        <v>425</v>
      </c>
      <c r="I189" s="17" t="str">
        <f t="shared" si="9"/>
        <v>PN-188</v>
      </c>
      <c r="J189" s="18" t="s">
        <v>85</v>
      </c>
      <c r="K189" s="19" t="e">
        <f>IF(J189="","SEM #CH",VLOOKUP(J189,#REF!,2,0))</f>
        <v>#REF!</v>
      </c>
      <c r="L189" s="19" t="e">
        <f>IF(J189="","SEM #CH",VLOOKUP(J189,#REF!,3,0))</f>
        <v>#REF!</v>
      </c>
      <c r="M189" s="19" t="e">
        <f>IF(J189="","SEM #CH",VLOOKUP(J189,#REF!,4,0))</f>
        <v>#REF!</v>
      </c>
      <c r="N189" s="19" t="e">
        <f>IF(J189="","SEM #CH",VLOOKUP(J189,#REF!,5,0))</f>
        <v>#REF!</v>
      </c>
      <c r="O189" s="19" t="e">
        <f>IF(J189="","SEM #CH",VLOOKUP(J189,#REF!,6,0))</f>
        <v>#REF!</v>
      </c>
      <c r="P189" s="19" t="e">
        <f>IF(J189="","SEM #CH",VLOOKUP(J189,#REF!,7,0))</f>
        <v>#REF!</v>
      </c>
      <c r="Q189" s="77" t="str">
        <f>VLOOKUP(J189,'p1'!$B$2:$C$30,2,0)</f>
        <v>NÃO TEM CHAPA</v>
      </c>
      <c r="R189" s="95">
        <v>45815</v>
      </c>
      <c r="S189" s="91" t="s">
        <v>222</v>
      </c>
      <c r="T189" s="91">
        <f t="shared" si="10"/>
        <v>1</v>
      </c>
      <c r="U189" s="95">
        <v>45821</v>
      </c>
      <c r="V189" s="91" t="s">
        <v>86</v>
      </c>
      <c r="W189" s="93">
        <v>2383</v>
      </c>
      <c r="X189" s="94">
        <f t="shared" si="11"/>
        <v>1</v>
      </c>
      <c r="Y189"/>
    </row>
    <row r="190" spans="1:25">
      <c r="A190" s="90">
        <v>189</v>
      </c>
      <c r="B190" s="68">
        <v>45782</v>
      </c>
      <c r="C190" s="40">
        <v>24</v>
      </c>
      <c r="D190" s="40">
        <f t="shared" si="8"/>
        <v>1</v>
      </c>
      <c r="E190" s="47" t="s">
        <v>129</v>
      </c>
      <c r="F190" s="17" t="s">
        <v>58</v>
      </c>
      <c r="G190" s="17" t="s">
        <v>86</v>
      </c>
      <c r="H190" s="42" t="s">
        <v>426</v>
      </c>
      <c r="I190" s="17" t="str">
        <f t="shared" si="9"/>
        <v>PN-189</v>
      </c>
      <c r="J190" s="18" t="s">
        <v>85</v>
      </c>
      <c r="K190" s="19" t="e">
        <f>IF(J190="","SEM #CH",VLOOKUP(J190,#REF!,2,0))</f>
        <v>#REF!</v>
      </c>
      <c r="L190" s="19" t="e">
        <f>IF(J190="","SEM #CH",VLOOKUP(J190,#REF!,3,0))</f>
        <v>#REF!</v>
      </c>
      <c r="M190" s="19" t="e">
        <f>IF(J190="","SEM #CH",VLOOKUP(J190,#REF!,4,0))</f>
        <v>#REF!</v>
      </c>
      <c r="N190" s="19" t="e">
        <f>IF(J190="","SEM #CH",VLOOKUP(J190,#REF!,5,0))</f>
        <v>#REF!</v>
      </c>
      <c r="O190" s="19" t="e">
        <f>IF(J190="","SEM #CH",VLOOKUP(J190,#REF!,6,0))</f>
        <v>#REF!</v>
      </c>
      <c r="P190" s="19" t="e">
        <f>IF(J190="","SEM #CH",VLOOKUP(J190,#REF!,7,0))</f>
        <v>#REF!</v>
      </c>
      <c r="Q190" s="77" t="str">
        <f>VLOOKUP(J190,'p1'!$B$2:$C$30,2,0)</f>
        <v>NÃO TEM CHAPA</v>
      </c>
      <c r="R190" s="95">
        <v>45812</v>
      </c>
      <c r="S190" s="91" t="s">
        <v>222</v>
      </c>
      <c r="T190" s="91">
        <f t="shared" si="10"/>
        <v>1</v>
      </c>
      <c r="U190" s="95">
        <v>45831</v>
      </c>
      <c r="V190" s="91" t="s">
        <v>1051</v>
      </c>
      <c r="W190" s="93">
        <v>2404</v>
      </c>
      <c r="X190" s="94">
        <f t="shared" si="11"/>
        <v>1</v>
      </c>
      <c r="Y190"/>
    </row>
    <row r="191" spans="1:25">
      <c r="A191" s="90">
        <v>190</v>
      </c>
      <c r="B191" s="68">
        <v>45782</v>
      </c>
      <c r="C191" s="40">
        <v>24</v>
      </c>
      <c r="D191" s="40">
        <f t="shared" si="8"/>
        <v>1</v>
      </c>
      <c r="E191" s="47" t="s">
        <v>129</v>
      </c>
      <c r="F191" s="17" t="s">
        <v>58</v>
      </c>
      <c r="G191" s="17" t="s">
        <v>86</v>
      </c>
      <c r="H191" s="42" t="s">
        <v>427</v>
      </c>
      <c r="I191" s="17" t="str">
        <f t="shared" si="9"/>
        <v>PN-190</v>
      </c>
      <c r="J191" s="18" t="s">
        <v>85</v>
      </c>
      <c r="K191" s="19" t="e">
        <f>IF(J191="","SEM #CH",VLOOKUP(J191,#REF!,2,0))</f>
        <v>#REF!</v>
      </c>
      <c r="L191" s="19" t="e">
        <f>IF(J191="","SEM #CH",VLOOKUP(J191,#REF!,3,0))</f>
        <v>#REF!</v>
      </c>
      <c r="M191" s="19" t="e">
        <f>IF(J191="","SEM #CH",VLOOKUP(J191,#REF!,4,0))</f>
        <v>#REF!</v>
      </c>
      <c r="N191" s="19" t="e">
        <f>IF(J191="","SEM #CH",VLOOKUP(J191,#REF!,5,0))</f>
        <v>#REF!</v>
      </c>
      <c r="O191" s="19" t="e">
        <f>IF(J191="","SEM #CH",VLOOKUP(J191,#REF!,6,0))</f>
        <v>#REF!</v>
      </c>
      <c r="P191" s="19" t="e">
        <f>IF(J191="","SEM #CH",VLOOKUP(J191,#REF!,7,0))</f>
        <v>#REF!</v>
      </c>
      <c r="Q191" s="77" t="str">
        <f>VLOOKUP(J191,'p1'!$B$2:$C$30,2,0)</f>
        <v>NÃO TEM CHAPA</v>
      </c>
      <c r="R191" s="95">
        <v>45812</v>
      </c>
      <c r="S191" s="91" t="s">
        <v>222</v>
      </c>
      <c r="T191" s="91">
        <f t="shared" si="10"/>
        <v>1</v>
      </c>
      <c r="U191" s="95">
        <v>45821</v>
      </c>
      <c r="V191" s="91" t="s">
        <v>86</v>
      </c>
      <c r="W191" s="93">
        <v>2386</v>
      </c>
      <c r="X191" s="94">
        <f t="shared" si="11"/>
        <v>1</v>
      </c>
      <c r="Y191"/>
    </row>
    <row r="192" spans="1:25">
      <c r="A192" s="90">
        <v>191</v>
      </c>
      <c r="B192" s="68">
        <v>45782</v>
      </c>
      <c r="C192" s="40">
        <v>24</v>
      </c>
      <c r="D192" s="40">
        <f t="shared" si="8"/>
        <v>1</v>
      </c>
      <c r="E192" s="47" t="s">
        <v>129</v>
      </c>
      <c r="F192" s="17" t="s">
        <v>58</v>
      </c>
      <c r="G192" s="17" t="s">
        <v>86</v>
      </c>
      <c r="H192" s="42" t="s">
        <v>428</v>
      </c>
      <c r="I192" s="17" t="str">
        <f t="shared" si="9"/>
        <v>PN-191</v>
      </c>
      <c r="J192" s="18" t="s">
        <v>85</v>
      </c>
      <c r="K192" s="19" t="e">
        <f>IF(J192="","SEM #CH",VLOOKUP(J192,#REF!,2,0))</f>
        <v>#REF!</v>
      </c>
      <c r="L192" s="19" t="e">
        <f>IF(J192="","SEM #CH",VLOOKUP(J192,#REF!,3,0))</f>
        <v>#REF!</v>
      </c>
      <c r="M192" s="19" t="e">
        <f>IF(J192="","SEM #CH",VLOOKUP(J192,#REF!,4,0))</f>
        <v>#REF!</v>
      </c>
      <c r="N192" s="19" t="e">
        <f>IF(J192="","SEM #CH",VLOOKUP(J192,#REF!,5,0))</f>
        <v>#REF!</v>
      </c>
      <c r="O192" s="19" t="e">
        <f>IF(J192="","SEM #CH",VLOOKUP(J192,#REF!,6,0))</f>
        <v>#REF!</v>
      </c>
      <c r="P192" s="19" t="e">
        <f>IF(J192="","SEM #CH",VLOOKUP(J192,#REF!,7,0))</f>
        <v>#REF!</v>
      </c>
      <c r="Q192" s="77" t="str">
        <f>VLOOKUP(J192,'p1'!$B$2:$C$30,2,0)</f>
        <v>NÃO TEM CHAPA</v>
      </c>
      <c r="R192" s="95">
        <v>45812</v>
      </c>
      <c r="S192" s="91" t="s">
        <v>222</v>
      </c>
      <c r="T192" s="91">
        <f t="shared" si="10"/>
        <v>1</v>
      </c>
      <c r="U192" s="95">
        <v>45821</v>
      </c>
      <c r="V192" s="91" t="s">
        <v>86</v>
      </c>
      <c r="W192" s="93">
        <v>2386</v>
      </c>
      <c r="X192" s="94">
        <f t="shared" si="11"/>
        <v>1</v>
      </c>
      <c r="Y192"/>
    </row>
    <row r="193" spans="1:25">
      <c r="A193" s="90">
        <v>192</v>
      </c>
      <c r="B193" s="68">
        <v>45782</v>
      </c>
      <c r="C193" s="40">
        <v>24</v>
      </c>
      <c r="D193" s="40">
        <f t="shared" si="8"/>
        <v>1</v>
      </c>
      <c r="E193" s="47" t="s">
        <v>129</v>
      </c>
      <c r="F193" s="17" t="s">
        <v>58</v>
      </c>
      <c r="G193" s="17" t="s">
        <v>86</v>
      </c>
      <c r="H193" s="42" t="s">
        <v>429</v>
      </c>
      <c r="I193" s="17" t="str">
        <f t="shared" si="9"/>
        <v>PN-192</v>
      </c>
      <c r="J193" s="18" t="s">
        <v>85</v>
      </c>
      <c r="K193" s="19" t="e">
        <f>IF(J193="","SEM #CH",VLOOKUP(J193,#REF!,2,0))</f>
        <v>#REF!</v>
      </c>
      <c r="L193" s="19" t="e">
        <f>IF(J193="","SEM #CH",VLOOKUP(J193,#REF!,3,0))</f>
        <v>#REF!</v>
      </c>
      <c r="M193" s="19" t="e">
        <f>IF(J193="","SEM #CH",VLOOKUP(J193,#REF!,4,0))</f>
        <v>#REF!</v>
      </c>
      <c r="N193" s="19" t="e">
        <f>IF(J193="","SEM #CH",VLOOKUP(J193,#REF!,5,0))</f>
        <v>#REF!</v>
      </c>
      <c r="O193" s="19" t="e">
        <f>IF(J193="","SEM #CH",VLOOKUP(J193,#REF!,6,0))</f>
        <v>#REF!</v>
      </c>
      <c r="P193" s="19" t="e">
        <f>IF(J193="","SEM #CH",VLOOKUP(J193,#REF!,7,0))</f>
        <v>#REF!</v>
      </c>
      <c r="Q193" s="77" t="str">
        <f>VLOOKUP(J193,'p1'!$B$2:$C$30,2,0)</f>
        <v>NÃO TEM CHAPA</v>
      </c>
      <c r="R193" s="95">
        <v>45811</v>
      </c>
      <c r="S193" s="91" t="s">
        <v>222</v>
      </c>
      <c r="T193" s="91">
        <f t="shared" si="10"/>
        <v>1</v>
      </c>
      <c r="U193" s="95">
        <v>45831</v>
      </c>
      <c r="V193" s="91" t="s">
        <v>1051</v>
      </c>
      <c r="W193" s="93">
        <v>2404</v>
      </c>
      <c r="X193" s="94">
        <f t="shared" si="11"/>
        <v>1</v>
      </c>
      <c r="Y193"/>
    </row>
    <row r="194" spans="1:25">
      <c r="A194" s="90">
        <v>193</v>
      </c>
      <c r="B194" s="68">
        <v>45783</v>
      </c>
      <c r="C194" s="40">
        <v>25</v>
      </c>
      <c r="D194" s="40">
        <f t="shared" ref="D194:D257" si="12">IF(B194&gt;0,1,"")</f>
        <v>1</v>
      </c>
      <c r="E194" s="47" t="s">
        <v>129</v>
      </c>
      <c r="F194" s="17" t="s">
        <v>58</v>
      </c>
      <c r="G194" s="17" t="s">
        <v>86</v>
      </c>
      <c r="H194" s="42" t="s">
        <v>430</v>
      </c>
      <c r="I194" s="17" t="str">
        <f t="shared" ref="I194:I257" si="13">_xlfn.CONCAT(F194,G194,H194)</f>
        <v>PN-193</v>
      </c>
      <c r="J194" s="18" t="s">
        <v>85</v>
      </c>
      <c r="K194" s="19" t="e">
        <f>IF(J194="","SEM #CH",VLOOKUP(J194,#REF!,2,0))</f>
        <v>#REF!</v>
      </c>
      <c r="L194" s="19" t="e">
        <f>IF(J194="","SEM #CH",VLOOKUP(J194,#REF!,3,0))</f>
        <v>#REF!</v>
      </c>
      <c r="M194" s="19" t="e">
        <f>IF(J194="","SEM #CH",VLOOKUP(J194,#REF!,4,0))</f>
        <v>#REF!</v>
      </c>
      <c r="N194" s="19" t="e">
        <f>IF(J194="","SEM #CH",VLOOKUP(J194,#REF!,5,0))</f>
        <v>#REF!</v>
      </c>
      <c r="O194" s="19" t="e">
        <f>IF(J194="","SEM #CH",VLOOKUP(J194,#REF!,6,0))</f>
        <v>#REF!</v>
      </c>
      <c r="P194" s="19" t="e">
        <f>IF(J194="","SEM #CH",VLOOKUP(J194,#REF!,7,0))</f>
        <v>#REF!</v>
      </c>
      <c r="Q194" s="77" t="str">
        <f>VLOOKUP(J194,'p1'!$B$2:$C$30,2,0)</f>
        <v>NÃO TEM CHAPA</v>
      </c>
      <c r="R194" s="95"/>
      <c r="S194" s="91" t="s">
        <v>221</v>
      </c>
      <c r="T194" s="91" t="str">
        <f t="shared" ref="T194:T257" si="14">IF(R194=0,"",1)</f>
        <v/>
      </c>
      <c r="U194" s="91"/>
      <c r="V194" s="91"/>
      <c r="W194" s="93"/>
      <c r="X194" s="94" t="str">
        <f t="shared" ref="X194:X257" si="15">IF(U194&gt;0,1,"")</f>
        <v/>
      </c>
      <c r="Y194"/>
    </row>
    <row r="195" spans="1:25">
      <c r="A195" s="90">
        <v>194</v>
      </c>
      <c r="B195" s="68">
        <v>45783</v>
      </c>
      <c r="C195" s="40">
        <v>25</v>
      </c>
      <c r="D195" s="40">
        <f t="shared" si="12"/>
        <v>1</v>
      </c>
      <c r="E195" s="47" t="s">
        <v>129</v>
      </c>
      <c r="F195" s="17" t="s">
        <v>58</v>
      </c>
      <c r="G195" s="17" t="s">
        <v>86</v>
      </c>
      <c r="H195" s="42" t="s">
        <v>431</v>
      </c>
      <c r="I195" s="17" t="str">
        <f t="shared" si="13"/>
        <v>PN-194</v>
      </c>
      <c r="J195" s="18" t="s">
        <v>85</v>
      </c>
      <c r="K195" s="19" t="e">
        <f>IF(J195="","SEM #CH",VLOOKUP(J195,#REF!,2,0))</f>
        <v>#REF!</v>
      </c>
      <c r="L195" s="19" t="e">
        <f>IF(J195="","SEM #CH",VLOOKUP(J195,#REF!,3,0))</f>
        <v>#REF!</v>
      </c>
      <c r="M195" s="19" t="e">
        <f>IF(J195="","SEM #CH",VLOOKUP(J195,#REF!,4,0))</f>
        <v>#REF!</v>
      </c>
      <c r="N195" s="19" t="e">
        <f>IF(J195="","SEM #CH",VLOOKUP(J195,#REF!,5,0))</f>
        <v>#REF!</v>
      </c>
      <c r="O195" s="19" t="e">
        <f>IF(J195="","SEM #CH",VLOOKUP(J195,#REF!,6,0))</f>
        <v>#REF!</v>
      </c>
      <c r="P195" s="19" t="e">
        <f>IF(J195="","SEM #CH",VLOOKUP(J195,#REF!,7,0))</f>
        <v>#REF!</v>
      </c>
      <c r="Q195" s="77" t="str">
        <f>VLOOKUP(J195,'p1'!$B$2:$C$30,2,0)</f>
        <v>NÃO TEM CHAPA</v>
      </c>
      <c r="R195" s="95"/>
      <c r="S195" s="91" t="s">
        <v>221</v>
      </c>
      <c r="T195" s="91" t="str">
        <f t="shared" si="14"/>
        <v/>
      </c>
      <c r="U195" s="91"/>
      <c r="V195" s="91"/>
      <c r="W195" s="93"/>
      <c r="X195" s="94" t="str">
        <f t="shared" si="15"/>
        <v/>
      </c>
      <c r="Y195"/>
    </row>
    <row r="196" spans="1:25">
      <c r="A196" s="90">
        <v>195</v>
      </c>
      <c r="B196" s="68">
        <v>45821</v>
      </c>
      <c r="C196" s="40">
        <v>35</v>
      </c>
      <c r="D196" s="40">
        <f t="shared" si="12"/>
        <v>1</v>
      </c>
      <c r="E196" s="47" t="s">
        <v>129</v>
      </c>
      <c r="F196" s="17" t="s">
        <v>60</v>
      </c>
      <c r="G196" s="17" t="s">
        <v>86</v>
      </c>
      <c r="H196" s="42" t="s">
        <v>432</v>
      </c>
      <c r="I196" s="17" t="str">
        <f t="shared" si="13"/>
        <v>PE-195</v>
      </c>
      <c r="J196" s="18" t="s">
        <v>90</v>
      </c>
      <c r="K196" s="19" t="e">
        <f>IF(J196="","SEM #CH",VLOOKUP(J196,#REF!,2,0))</f>
        <v>#REF!</v>
      </c>
      <c r="L196" s="19" t="e">
        <f>IF(J196="","SEM #CH",VLOOKUP(J196,#REF!,3,0))</f>
        <v>#REF!</v>
      </c>
      <c r="M196" s="19" t="e">
        <f>IF(J196="","SEM #CH",VLOOKUP(J196,#REF!,4,0))</f>
        <v>#REF!</v>
      </c>
      <c r="N196" s="19" t="e">
        <f>IF(J196="","SEM #CH",VLOOKUP(J196,#REF!,5,0))</f>
        <v>#REF!</v>
      </c>
      <c r="O196" s="19" t="e">
        <f>IF(J196="","SEM #CH",VLOOKUP(J196,#REF!,6,0))</f>
        <v>#REF!</v>
      </c>
      <c r="P196" s="19" t="e">
        <f>IF(J196="","SEM #CH",VLOOKUP(J196,#REF!,7,0))</f>
        <v>#REF!</v>
      </c>
      <c r="Q196" s="77" t="str">
        <f>VLOOKUP(J196,'p1'!$B$2:$C$30,2,0)</f>
        <v>#3/8-530X530</v>
      </c>
      <c r="R196" s="95">
        <v>45833</v>
      </c>
      <c r="S196" s="91" t="s">
        <v>221</v>
      </c>
      <c r="T196" s="91">
        <f t="shared" si="14"/>
        <v>1</v>
      </c>
      <c r="U196" s="95">
        <v>45833</v>
      </c>
      <c r="V196" s="91" t="s">
        <v>86</v>
      </c>
      <c r="W196" s="91">
        <v>2416</v>
      </c>
      <c r="X196" s="94">
        <f t="shared" si="15"/>
        <v>1</v>
      </c>
      <c r="Y196"/>
    </row>
    <row r="197" spans="1:25">
      <c r="A197" s="90">
        <v>196</v>
      </c>
      <c r="B197" s="68">
        <v>45783</v>
      </c>
      <c r="C197" s="40">
        <v>25</v>
      </c>
      <c r="D197" s="40">
        <f t="shared" si="12"/>
        <v>1</v>
      </c>
      <c r="E197" s="47" t="s">
        <v>129</v>
      </c>
      <c r="F197" s="17" t="s">
        <v>58</v>
      </c>
      <c r="G197" s="17" t="s">
        <v>86</v>
      </c>
      <c r="H197" s="42" t="s">
        <v>433</v>
      </c>
      <c r="I197" s="17" t="str">
        <f t="shared" si="13"/>
        <v>PN-196</v>
      </c>
      <c r="J197" s="18" t="s">
        <v>85</v>
      </c>
      <c r="K197" s="19" t="e">
        <f>IF(J197="","SEM #CH",VLOOKUP(J197,#REF!,2,0))</f>
        <v>#REF!</v>
      </c>
      <c r="L197" s="19" t="e">
        <f>IF(J197="","SEM #CH",VLOOKUP(J197,#REF!,3,0))</f>
        <v>#REF!</v>
      </c>
      <c r="M197" s="19" t="e">
        <f>IF(J197="","SEM #CH",VLOOKUP(J197,#REF!,4,0))</f>
        <v>#REF!</v>
      </c>
      <c r="N197" s="19" t="e">
        <f>IF(J197="","SEM #CH",VLOOKUP(J197,#REF!,5,0))</f>
        <v>#REF!</v>
      </c>
      <c r="O197" s="19" t="e">
        <f>IF(J197="","SEM #CH",VLOOKUP(J197,#REF!,6,0))</f>
        <v>#REF!</v>
      </c>
      <c r="P197" s="19" t="e">
        <f>IF(J197="","SEM #CH",VLOOKUP(J197,#REF!,7,0))</f>
        <v>#REF!</v>
      </c>
      <c r="Q197" s="77" t="str">
        <f>VLOOKUP(J197,'p1'!$B$2:$C$30,2,0)</f>
        <v>NÃO TEM CHAPA</v>
      </c>
      <c r="R197" s="95"/>
      <c r="S197" s="91" t="s">
        <v>221</v>
      </c>
      <c r="T197" s="91" t="str">
        <f t="shared" si="14"/>
        <v/>
      </c>
      <c r="U197" s="91"/>
      <c r="V197" s="91"/>
      <c r="W197" s="93"/>
      <c r="X197" s="94" t="str">
        <f t="shared" si="15"/>
        <v/>
      </c>
      <c r="Y197"/>
    </row>
    <row r="198" spans="1:25">
      <c r="A198" s="90">
        <v>197</v>
      </c>
      <c r="B198" s="68">
        <v>45783</v>
      </c>
      <c r="C198" s="40">
        <v>25</v>
      </c>
      <c r="D198" s="40">
        <f t="shared" si="12"/>
        <v>1</v>
      </c>
      <c r="E198" s="47" t="s">
        <v>129</v>
      </c>
      <c r="F198" s="17" t="s">
        <v>58</v>
      </c>
      <c r="G198" s="17" t="s">
        <v>86</v>
      </c>
      <c r="H198" s="42" t="s">
        <v>434</v>
      </c>
      <c r="I198" s="17" t="str">
        <f t="shared" si="13"/>
        <v>PN-197</v>
      </c>
      <c r="J198" s="18" t="s">
        <v>85</v>
      </c>
      <c r="K198" s="19" t="e">
        <f>IF(J198="","SEM #CH",VLOOKUP(J198,#REF!,2,0))</f>
        <v>#REF!</v>
      </c>
      <c r="L198" s="19" t="e">
        <f>IF(J198="","SEM #CH",VLOOKUP(J198,#REF!,3,0))</f>
        <v>#REF!</v>
      </c>
      <c r="M198" s="19" t="e">
        <f>IF(J198="","SEM #CH",VLOOKUP(J198,#REF!,4,0))</f>
        <v>#REF!</v>
      </c>
      <c r="N198" s="19" t="e">
        <f>IF(J198="","SEM #CH",VLOOKUP(J198,#REF!,5,0))</f>
        <v>#REF!</v>
      </c>
      <c r="O198" s="19" t="e">
        <f>IF(J198="","SEM #CH",VLOOKUP(J198,#REF!,6,0))</f>
        <v>#REF!</v>
      </c>
      <c r="P198" s="19" t="e">
        <f>IF(J198="","SEM #CH",VLOOKUP(J198,#REF!,7,0))</f>
        <v>#REF!</v>
      </c>
      <c r="Q198" s="77" t="str">
        <f>VLOOKUP(J198,'p1'!$B$2:$C$30,2,0)</f>
        <v>NÃO TEM CHAPA</v>
      </c>
      <c r="R198" s="95"/>
      <c r="S198" s="91" t="s">
        <v>221</v>
      </c>
      <c r="T198" s="91" t="str">
        <f t="shared" si="14"/>
        <v/>
      </c>
      <c r="U198" s="91"/>
      <c r="V198" s="91"/>
      <c r="W198" s="93"/>
      <c r="X198" s="94" t="str">
        <f t="shared" si="15"/>
        <v/>
      </c>
      <c r="Y198"/>
    </row>
    <row r="199" spans="1:25">
      <c r="A199" s="90">
        <v>198</v>
      </c>
      <c r="B199" s="68">
        <v>45783</v>
      </c>
      <c r="C199" s="40">
        <v>25</v>
      </c>
      <c r="D199" s="40">
        <f t="shared" si="12"/>
        <v>1</v>
      </c>
      <c r="E199" s="47" t="s">
        <v>129</v>
      </c>
      <c r="F199" s="17" t="s">
        <v>58</v>
      </c>
      <c r="G199" s="17" t="s">
        <v>86</v>
      </c>
      <c r="H199" s="42" t="s">
        <v>435</v>
      </c>
      <c r="I199" s="17" t="str">
        <f t="shared" si="13"/>
        <v>PN-198</v>
      </c>
      <c r="J199" s="18" t="s">
        <v>85</v>
      </c>
      <c r="K199" s="19" t="e">
        <f>IF(J199="","SEM #CH",VLOOKUP(J199,#REF!,2,0))</f>
        <v>#REF!</v>
      </c>
      <c r="L199" s="19" t="e">
        <f>IF(J199="","SEM #CH",VLOOKUP(J199,#REF!,3,0))</f>
        <v>#REF!</v>
      </c>
      <c r="M199" s="19" t="e">
        <f>IF(J199="","SEM #CH",VLOOKUP(J199,#REF!,4,0))</f>
        <v>#REF!</v>
      </c>
      <c r="N199" s="19" t="e">
        <f>IF(J199="","SEM #CH",VLOOKUP(J199,#REF!,5,0))</f>
        <v>#REF!</v>
      </c>
      <c r="O199" s="19" t="e">
        <f>IF(J199="","SEM #CH",VLOOKUP(J199,#REF!,6,0))</f>
        <v>#REF!</v>
      </c>
      <c r="P199" s="19" t="e">
        <f>IF(J199="","SEM #CH",VLOOKUP(J199,#REF!,7,0))</f>
        <v>#REF!</v>
      </c>
      <c r="Q199" s="77" t="str">
        <f>VLOOKUP(J199,'p1'!$B$2:$C$30,2,0)</f>
        <v>NÃO TEM CHAPA</v>
      </c>
      <c r="R199" s="95"/>
      <c r="S199" s="91" t="s">
        <v>221</v>
      </c>
      <c r="T199" s="91" t="str">
        <f t="shared" si="14"/>
        <v/>
      </c>
      <c r="U199" s="91"/>
      <c r="V199" s="91"/>
      <c r="W199" s="93"/>
      <c r="X199" s="94" t="str">
        <f t="shared" si="15"/>
        <v/>
      </c>
      <c r="Y199"/>
    </row>
    <row r="200" spans="1:25">
      <c r="A200" s="90">
        <v>199</v>
      </c>
      <c r="B200" s="68">
        <v>45783</v>
      </c>
      <c r="C200" s="40">
        <v>25</v>
      </c>
      <c r="D200" s="40">
        <f t="shared" si="12"/>
        <v>1</v>
      </c>
      <c r="E200" s="47" t="s">
        <v>129</v>
      </c>
      <c r="F200" s="17" t="s">
        <v>58</v>
      </c>
      <c r="G200" s="17" t="s">
        <v>86</v>
      </c>
      <c r="H200" s="42" t="s">
        <v>436</v>
      </c>
      <c r="I200" s="17" t="str">
        <f t="shared" si="13"/>
        <v>PN-199</v>
      </c>
      <c r="J200" s="18" t="s">
        <v>85</v>
      </c>
      <c r="K200" s="19" t="e">
        <f>IF(J200="","SEM #CH",VLOOKUP(J200,#REF!,2,0))</f>
        <v>#REF!</v>
      </c>
      <c r="L200" s="19" t="e">
        <f>IF(J200="","SEM #CH",VLOOKUP(J200,#REF!,3,0))</f>
        <v>#REF!</v>
      </c>
      <c r="M200" s="19" t="e">
        <f>IF(J200="","SEM #CH",VLOOKUP(J200,#REF!,4,0))</f>
        <v>#REF!</v>
      </c>
      <c r="N200" s="19" t="e">
        <f>IF(J200="","SEM #CH",VLOOKUP(J200,#REF!,5,0))</f>
        <v>#REF!</v>
      </c>
      <c r="O200" s="19" t="e">
        <f>IF(J200="","SEM #CH",VLOOKUP(J200,#REF!,6,0))</f>
        <v>#REF!</v>
      </c>
      <c r="P200" s="19" t="e">
        <f>IF(J200="","SEM #CH",VLOOKUP(J200,#REF!,7,0))</f>
        <v>#REF!</v>
      </c>
      <c r="Q200" s="77" t="str">
        <f>VLOOKUP(J200,'p1'!$B$2:$C$30,2,0)</f>
        <v>NÃO TEM CHAPA</v>
      </c>
      <c r="R200" s="95">
        <v>45838</v>
      </c>
      <c r="S200" s="91" t="s">
        <v>221</v>
      </c>
      <c r="T200" s="91">
        <f t="shared" si="14"/>
        <v>1</v>
      </c>
      <c r="U200" s="91"/>
      <c r="V200" s="91"/>
      <c r="W200" s="93"/>
      <c r="X200" s="94" t="str">
        <f t="shared" si="15"/>
        <v/>
      </c>
      <c r="Y200"/>
    </row>
    <row r="201" spans="1:25">
      <c r="A201" s="90">
        <v>200</v>
      </c>
      <c r="B201" s="68">
        <v>45783</v>
      </c>
      <c r="C201" s="40">
        <v>25</v>
      </c>
      <c r="D201" s="40">
        <f t="shared" si="12"/>
        <v>1</v>
      </c>
      <c r="E201" s="47" t="s">
        <v>129</v>
      </c>
      <c r="F201" s="17" t="s">
        <v>58</v>
      </c>
      <c r="G201" s="17" t="s">
        <v>86</v>
      </c>
      <c r="H201" s="42" t="s">
        <v>437</v>
      </c>
      <c r="I201" s="17" t="str">
        <f t="shared" si="13"/>
        <v>PN-200</v>
      </c>
      <c r="J201" s="18" t="s">
        <v>85</v>
      </c>
      <c r="K201" s="19" t="e">
        <f>IF(J201="","SEM #CH",VLOOKUP(J201,#REF!,2,0))</f>
        <v>#REF!</v>
      </c>
      <c r="L201" s="19" t="e">
        <f>IF(J201="","SEM #CH",VLOOKUP(J201,#REF!,3,0))</f>
        <v>#REF!</v>
      </c>
      <c r="M201" s="19" t="e">
        <f>IF(J201="","SEM #CH",VLOOKUP(J201,#REF!,4,0))</f>
        <v>#REF!</v>
      </c>
      <c r="N201" s="19" t="e">
        <f>IF(J201="","SEM #CH",VLOOKUP(J201,#REF!,5,0))</f>
        <v>#REF!</v>
      </c>
      <c r="O201" s="19" t="e">
        <f>IF(J201="","SEM #CH",VLOOKUP(J201,#REF!,6,0))</f>
        <v>#REF!</v>
      </c>
      <c r="P201" s="19" t="e">
        <f>IF(J201="","SEM #CH",VLOOKUP(J201,#REF!,7,0))</f>
        <v>#REF!</v>
      </c>
      <c r="Q201" s="77" t="str">
        <f>VLOOKUP(J201,'p1'!$B$2:$C$30,2,0)</f>
        <v>NÃO TEM CHAPA</v>
      </c>
      <c r="R201" s="95">
        <v>45835</v>
      </c>
      <c r="S201" s="91" t="s">
        <v>221</v>
      </c>
      <c r="T201" s="91">
        <f t="shared" si="14"/>
        <v>1</v>
      </c>
      <c r="U201" s="91"/>
      <c r="V201" s="91"/>
      <c r="W201" s="93"/>
      <c r="X201" s="94" t="str">
        <f t="shared" si="15"/>
        <v/>
      </c>
      <c r="Y201"/>
    </row>
    <row r="202" spans="1:25">
      <c r="A202" s="90">
        <v>201</v>
      </c>
      <c r="B202" s="68">
        <v>45785</v>
      </c>
      <c r="C202" s="40">
        <v>26</v>
      </c>
      <c r="D202" s="40">
        <f t="shared" si="12"/>
        <v>1</v>
      </c>
      <c r="E202" s="47" t="s">
        <v>129</v>
      </c>
      <c r="F202" s="17" t="s">
        <v>58</v>
      </c>
      <c r="G202" s="17" t="s">
        <v>86</v>
      </c>
      <c r="H202" s="42" t="s">
        <v>438</v>
      </c>
      <c r="I202" s="17" t="str">
        <f t="shared" si="13"/>
        <v>PN-201</v>
      </c>
      <c r="J202" s="18" t="s">
        <v>85</v>
      </c>
      <c r="K202" s="19" t="e">
        <f>IF(J202="","SEM #CH",VLOOKUP(J202,#REF!,2,0))</f>
        <v>#REF!</v>
      </c>
      <c r="L202" s="19" t="e">
        <f>IF(J202="","SEM #CH",VLOOKUP(J202,#REF!,3,0))</f>
        <v>#REF!</v>
      </c>
      <c r="M202" s="19" t="e">
        <f>IF(J202="","SEM #CH",VLOOKUP(J202,#REF!,4,0))</f>
        <v>#REF!</v>
      </c>
      <c r="N202" s="19" t="e">
        <f>IF(J202="","SEM #CH",VLOOKUP(J202,#REF!,5,0))</f>
        <v>#REF!</v>
      </c>
      <c r="O202" s="19" t="e">
        <f>IF(J202="","SEM #CH",VLOOKUP(J202,#REF!,6,0))</f>
        <v>#REF!</v>
      </c>
      <c r="P202" s="19" t="e">
        <f>IF(J202="","SEM #CH",VLOOKUP(J202,#REF!,7,0))</f>
        <v>#REF!</v>
      </c>
      <c r="Q202" s="77" t="str">
        <f>VLOOKUP(J202,'p1'!$B$2:$C$30,2,0)</f>
        <v>NÃO TEM CHAPA</v>
      </c>
      <c r="R202" s="95">
        <v>45828</v>
      </c>
      <c r="S202" s="91" t="s">
        <v>222</v>
      </c>
      <c r="T202" s="91">
        <f t="shared" si="14"/>
        <v>1</v>
      </c>
      <c r="U202" s="95">
        <v>45832</v>
      </c>
      <c r="V202" s="91" t="s">
        <v>86</v>
      </c>
      <c r="W202" s="93">
        <v>2408</v>
      </c>
      <c r="X202" s="94">
        <f t="shared" si="15"/>
        <v>1</v>
      </c>
      <c r="Y202"/>
    </row>
    <row r="203" spans="1:25">
      <c r="A203" s="90">
        <v>202</v>
      </c>
      <c r="B203" s="68">
        <v>45785</v>
      </c>
      <c r="C203" s="40">
        <v>26</v>
      </c>
      <c r="D203" s="40">
        <f t="shared" si="12"/>
        <v>1</v>
      </c>
      <c r="E203" s="47" t="s">
        <v>129</v>
      </c>
      <c r="F203" s="17" t="s">
        <v>58</v>
      </c>
      <c r="G203" s="17" t="s">
        <v>86</v>
      </c>
      <c r="H203" s="42" t="s">
        <v>439</v>
      </c>
      <c r="I203" s="17" t="str">
        <f t="shared" si="13"/>
        <v>PN-202</v>
      </c>
      <c r="J203" s="18" t="s">
        <v>85</v>
      </c>
      <c r="K203" s="19" t="e">
        <f>IF(J203="","SEM #CH",VLOOKUP(J203,#REF!,2,0))</f>
        <v>#REF!</v>
      </c>
      <c r="L203" s="19" t="e">
        <f>IF(J203="","SEM #CH",VLOOKUP(J203,#REF!,3,0))</f>
        <v>#REF!</v>
      </c>
      <c r="M203" s="19" t="e">
        <f>IF(J203="","SEM #CH",VLOOKUP(J203,#REF!,4,0))</f>
        <v>#REF!</v>
      </c>
      <c r="N203" s="19" t="e">
        <f>IF(J203="","SEM #CH",VLOOKUP(J203,#REF!,5,0))</f>
        <v>#REF!</v>
      </c>
      <c r="O203" s="19" t="e">
        <f>IF(J203="","SEM #CH",VLOOKUP(J203,#REF!,6,0))</f>
        <v>#REF!</v>
      </c>
      <c r="P203" s="19" t="e">
        <f>IF(J203="","SEM #CH",VLOOKUP(J203,#REF!,7,0))</f>
        <v>#REF!</v>
      </c>
      <c r="Q203" s="77" t="str">
        <f>VLOOKUP(J203,'p1'!$B$2:$C$30,2,0)</f>
        <v>NÃO TEM CHAPA</v>
      </c>
      <c r="R203" s="95">
        <v>45828</v>
      </c>
      <c r="S203" s="91" t="s">
        <v>222</v>
      </c>
      <c r="T203" s="91">
        <f t="shared" si="14"/>
        <v>1</v>
      </c>
      <c r="U203" s="95">
        <v>45832</v>
      </c>
      <c r="V203" s="91" t="s">
        <v>86</v>
      </c>
      <c r="W203" s="93">
        <v>2408</v>
      </c>
      <c r="X203" s="94">
        <f t="shared" si="15"/>
        <v>1</v>
      </c>
      <c r="Y203"/>
    </row>
    <row r="204" spans="1:25">
      <c r="A204" s="90">
        <v>203</v>
      </c>
      <c r="B204" s="68">
        <v>45785</v>
      </c>
      <c r="C204" s="40">
        <v>26</v>
      </c>
      <c r="D204" s="40">
        <f t="shared" si="12"/>
        <v>1</v>
      </c>
      <c r="E204" s="47" t="s">
        <v>129</v>
      </c>
      <c r="F204" s="17" t="s">
        <v>58</v>
      </c>
      <c r="G204" s="17" t="s">
        <v>86</v>
      </c>
      <c r="H204" s="42" t="s">
        <v>440</v>
      </c>
      <c r="I204" s="17" t="str">
        <f t="shared" si="13"/>
        <v>PN-203</v>
      </c>
      <c r="J204" s="18" t="s">
        <v>85</v>
      </c>
      <c r="K204" s="19" t="e">
        <f>IF(J204="","SEM #CH",VLOOKUP(J204,#REF!,2,0))</f>
        <v>#REF!</v>
      </c>
      <c r="L204" s="19" t="e">
        <f>IF(J204="","SEM #CH",VLOOKUP(J204,#REF!,3,0))</f>
        <v>#REF!</v>
      </c>
      <c r="M204" s="19" t="e">
        <f>IF(J204="","SEM #CH",VLOOKUP(J204,#REF!,4,0))</f>
        <v>#REF!</v>
      </c>
      <c r="N204" s="19" t="e">
        <f>IF(J204="","SEM #CH",VLOOKUP(J204,#REF!,5,0))</f>
        <v>#REF!</v>
      </c>
      <c r="O204" s="19" t="e">
        <f>IF(J204="","SEM #CH",VLOOKUP(J204,#REF!,6,0))</f>
        <v>#REF!</v>
      </c>
      <c r="P204" s="19" t="e">
        <f>IF(J204="","SEM #CH",VLOOKUP(J204,#REF!,7,0))</f>
        <v>#REF!</v>
      </c>
      <c r="Q204" s="77" t="str">
        <f>VLOOKUP(J204,'p1'!$B$2:$C$30,2,0)</f>
        <v>NÃO TEM CHAPA</v>
      </c>
      <c r="R204" s="95">
        <v>45827</v>
      </c>
      <c r="S204" s="91" t="s">
        <v>222</v>
      </c>
      <c r="T204" s="91">
        <f t="shared" si="14"/>
        <v>1</v>
      </c>
      <c r="U204" s="95">
        <v>45828</v>
      </c>
      <c r="V204" s="91" t="s">
        <v>86</v>
      </c>
      <c r="W204" s="93">
        <v>2393</v>
      </c>
      <c r="X204" s="94">
        <f t="shared" si="15"/>
        <v>1</v>
      </c>
      <c r="Y204"/>
    </row>
    <row r="205" spans="1:25">
      <c r="A205" s="90">
        <v>204</v>
      </c>
      <c r="B205" s="68">
        <v>45785</v>
      </c>
      <c r="C205" s="40">
        <v>26</v>
      </c>
      <c r="D205" s="40">
        <f t="shared" si="12"/>
        <v>1</v>
      </c>
      <c r="E205" s="47" t="s">
        <v>129</v>
      </c>
      <c r="F205" s="17" t="s">
        <v>58</v>
      </c>
      <c r="G205" s="17" t="s">
        <v>86</v>
      </c>
      <c r="H205" s="42" t="s">
        <v>441</v>
      </c>
      <c r="I205" s="17" t="str">
        <f t="shared" si="13"/>
        <v>PN-204</v>
      </c>
      <c r="J205" s="18" t="s">
        <v>85</v>
      </c>
      <c r="K205" s="19" t="e">
        <f>IF(J205="","SEM #CH",VLOOKUP(J205,#REF!,2,0))</f>
        <v>#REF!</v>
      </c>
      <c r="L205" s="19" t="e">
        <f>IF(J205="","SEM #CH",VLOOKUP(J205,#REF!,3,0))</f>
        <v>#REF!</v>
      </c>
      <c r="M205" s="19" t="e">
        <f>IF(J205="","SEM #CH",VLOOKUP(J205,#REF!,4,0))</f>
        <v>#REF!</v>
      </c>
      <c r="N205" s="19" t="e">
        <f>IF(J205="","SEM #CH",VLOOKUP(J205,#REF!,5,0))</f>
        <v>#REF!</v>
      </c>
      <c r="O205" s="19" t="e">
        <f>IF(J205="","SEM #CH",VLOOKUP(J205,#REF!,6,0))</f>
        <v>#REF!</v>
      </c>
      <c r="P205" s="19" t="e">
        <f>IF(J205="","SEM #CH",VLOOKUP(J205,#REF!,7,0))</f>
        <v>#REF!</v>
      </c>
      <c r="Q205" s="77" t="str">
        <f>VLOOKUP(J205,'p1'!$B$2:$C$30,2,0)</f>
        <v>NÃO TEM CHAPA</v>
      </c>
      <c r="R205" s="95">
        <v>45827</v>
      </c>
      <c r="S205" s="91" t="s">
        <v>222</v>
      </c>
      <c r="T205" s="91">
        <f t="shared" si="14"/>
        <v>1</v>
      </c>
      <c r="U205" s="95">
        <v>45828</v>
      </c>
      <c r="V205" s="91" t="s">
        <v>86</v>
      </c>
      <c r="W205" s="93">
        <v>2393</v>
      </c>
      <c r="X205" s="94">
        <f t="shared" si="15"/>
        <v>1</v>
      </c>
      <c r="Y205"/>
    </row>
    <row r="206" spans="1:25">
      <c r="A206" s="90">
        <v>205</v>
      </c>
      <c r="B206" s="68">
        <v>45785</v>
      </c>
      <c r="C206" s="40">
        <v>26</v>
      </c>
      <c r="D206" s="40">
        <f t="shared" si="12"/>
        <v>1</v>
      </c>
      <c r="E206" s="47" t="s">
        <v>129</v>
      </c>
      <c r="F206" s="17" t="s">
        <v>58</v>
      </c>
      <c r="G206" s="17" t="s">
        <v>86</v>
      </c>
      <c r="H206" s="42" t="s">
        <v>442</v>
      </c>
      <c r="I206" s="17" t="str">
        <f t="shared" si="13"/>
        <v>PN-205</v>
      </c>
      <c r="J206" s="18" t="s">
        <v>85</v>
      </c>
      <c r="K206" s="19" t="e">
        <f>IF(J206="","SEM #CH",VLOOKUP(J206,#REF!,2,0))</f>
        <v>#REF!</v>
      </c>
      <c r="L206" s="19" t="e">
        <f>IF(J206="","SEM #CH",VLOOKUP(J206,#REF!,3,0))</f>
        <v>#REF!</v>
      </c>
      <c r="M206" s="19" t="e">
        <f>IF(J206="","SEM #CH",VLOOKUP(J206,#REF!,4,0))</f>
        <v>#REF!</v>
      </c>
      <c r="N206" s="19" t="e">
        <f>IF(J206="","SEM #CH",VLOOKUP(J206,#REF!,5,0))</f>
        <v>#REF!</v>
      </c>
      <c r="O206" s="19" t="e">
        <f>IF(J206="","SEM #CH",VLOOKUP(J206,#REF!,6,0))</f>
        <v>#REF!</v>
      </c>
      <c r="P206" s="19" t="e">
        <f>IF(J206="","SEM #CH",VLOOKUP(J206,#REF!,7,0))</f>
        <v>#REF!</v>
      </c>
      <c r="Q206" s="77" t="str">
        <f>VLOOKUP(J206,'p1'!$B$2:$C$30,2,0)</f>
        <v>NÃO TEM CHAPA</v>
      </c>
      <c r="R206" s="95">
        <v>45827</v>
      </c>
      <c r="S206" s="91" t="s">
        <v>222</v>
      </c>
      <c r="T206" s="91">
        <f t="shared" si="14"/>
        <v>1</v>
      </c>
      <c r="U206" s="95">
        <v>45828</v>
      </c>
      <c r="V206" s="91" t="s">
        <v>86</v>
      </c>
      <c r="W206" s="93">
        <v>2402</v>
      </c>
      <c r="X206" s="94">
        <f t="shared" si="15"/>
        <v>1</v>
      </c>
      <c r="Y206"/>
    </row>
    <row r="207" spans="1:25">
      <c r="A207" s="90">
        <v>206</v>
      </c>
      <c r="B207" s="68">
        <v>45785</v>
      </c>
      <c r="C207" s="40">
        <v>26</v>
      </c>
      <c r="D207" s="40">
        <f t="shared" si="12"/>
        <v>1</v>
      </c>
      <c r="E207" s="47" t="s">
        <v>129</v>
      </c>
      <c r="F207" s="17" t="s">
        <v>58</v>
      </c>
      <c r="G207" s="17" t="s">
        <v>86</v>
      </c>
      <c r="H207" s="42" t="s">
        <v>443</v>
      </c>
      <c r="I207" s="17" t="str">
        <f t="shared" si="13"/>
        <v>PN-206</v>
      </c>
      <c r="J207" s="18" t="s">
        <v>85</v>
      </c>
      <c r="K207" s="19" t="e">
        <f>IF(J207="","SEM #CH",VLOOKUP(J207,#REF!,2,0))</f>
        <v>#REF!</v>
      </c>
      <c r="L207" s="19" t="e">
        <f>IF(J207="","SEM #CH",VLOOKUP(J207,#REF!,3,0))</f>
        <v>#REF!</v>
      </c>
      <c r="M207" s="19" t="e">
        <f>IF(J207="","SEM #CH",VLOOKUP(J207,#REF!,4,0))</f>
        <v>#REF!</v>
      </c>
      <c r="N207" s="19" t="e">
        <f>IF(J207="","SEM #CH",VLOOKUP(J207,#REF!,5,0))</f>
        <v>#REF!</v>
      </c>
      <c r="O207" s="19" t="e">
        <f>IF(J207="","SEM #CH",VLOOKUP(J207,#REF!,6,0))</f>
        <v>#REF!</v>
      </c>
      <c r="P207" s="19" t="e">
        <f>IF(J207="","SEM #CH",VLOOKUP(J207,#REF!,7,0))</f>
        <v>#REF!</v>
      </c>
      <c r="Q207" s="77" t="str">
        <f>VLOOKUP(J207,'p1'!$B$2:$C$30,2,0)</f>
        <v>NÃO TEM CHAPA</v>
      </c>
      <c r="R207" s="95">
        <v>45825</v>
      </c>
      <c r="S207" s="91" t="s">
        <v>222</v>
      </c>
      <c r="T207" s="91">
        <f t="shared" si="14"/>
        <v>1</v>
      </c>
      <c r="U207" s="95">
        <v>45828</v>
      </c>
      <c r="V207" s="91" t="s">
        <v>86</v>
      </c>
      <c r="W207" s="93">
        <v>2402</v>
      </c>
      <c r="X207" s="94">
        <f t="shared" si="15"/>
        <v>1</v>
      </c>
      <c r="Y207"/>
    </row>
    <row r="208" spans="1:25">
      <c r="A208" s="90">
        <v>207</v>
      </c>
      <c r="B208" s="68">
        <v>45785</v>
      </c>
      <c r="C208" s="40">
        <v>26</v>
      </c>
      <c r="D208" s="40">
        <f t="shared" si="12"/>
        <v>1</v>
      </c>
      <c r="E208" s="47" t="s">
        <v>129</v>
      </c>
      <c r="F208" s="17" t="s">
        <v>58</v>
      </c>
      <c r="G208" s="17" t="s">
        <v>86</v>
      </c>
      <c r="H208" s="42" t="s">
        <v>444</v>
      </c>
      <c r="I208" s="17" t="str">
        <f t="shared" si="13"/>
        <v>PN-207</v>
      </c>
      <c r="J208" s="18" t="s">
        <v>85</v>
      </c>
      <c r="K208" s="19" t="e">
        <f>IF(J208="","SEM #CH",VLOOKUP(J208,#REF!,2,0))</f>
        <v>#REF!</v>
      </c>
      <c r="L208" s="19" t="e">
        <f>IF(J208="","SEM #CH",VLOOKUP(J208,#REF!,3,0))</f>
        <v>#REF!</v>
      </c>
      <c r="M208" s="19" t="e">
        <f>IF(J208="","SEM #CH",VLOOKUP(J208,#REF!,4,0))</f>
        <v>#REF!</v>
      </c>
      <c r="N208" s="19" t="e">
        <f>IF(J208="","SEM #CH",VLOOKUP(J208,#REF!,5,0))</f>
        <v>#REF!</v>
      </c>
      <c r="O208" s="19" t="e">
        <f>IF(J208="","SEM #CH",VLOOKUP(J208,#REF!,6,0))</f>
        <v>#REF!</v>
      </c>
      <c r="P208" s="19" t="e">
        <f>IF(J208="","SEM #CH",VLOOKUP(J208,#REF!,7,0))</f>
        <v>#REF!</v>
      </c>
      <c r="Q208" s="77" t="str">
        <f>VLOOKUP(J208,'p1'!$B$2:$C$30,2,0)</f>
        <v>NÃO TEM CHAPA</v>
      </c>
      <c r="R208" s="95">
        <v>45825</v>
      </c>
      <c r="S208" s="91" t="s">
        <v>222</v>
      </c>
      <c r="T208" s="91">
        <f t="shared" si="14"/>
        <v>1</v>
      </c>
      <c r="U208" s="95">
        <v>45828</v>
      </c>
      <c r="V208" s="91" t="s">
        <v>86</v>
      </c>
      <c r="W208" s="93">
        <v>2393</v>
      </c>
      <c r="X208" s="94">
        <f t="shared" si="15"/>
        <v>1</v>
      </c>
      <c r="Y208"/>
    </row>
    <row r="209" spans="1:25">
      <c r="A209" s="90">
        <v>208</v>
      </c>
      <c r="B209" s="68">
        <v>45786</v>
      </c>
      <c r="C209" s="40">
        <v>27</v>
      </c>
      <c r="D209" s="40">
        <f t="shared" si="12"/>
        <v>1</v>
      </c>
      <c r="E209" s="47" t="s">
        <v>129</v>
      </c>
      <c r="F209" s="17" t="s">
        <v>58</v>
      </c>
      <c r="G209" s="17" t="s">
        <v>86</v>
      </c>
      <c r="H209" s="42" t="s">
        <v>445</v>
      </c>
      <c r="I209" s="17" t="str">
        <f t="shared" si="13"/>
        <v>PN-208</v>
      </c>
      <c r="J209" s="18" t="s">
        <v>85</v>
      </c>
      <c r="K209" s="19" t="e">
        <f>IF(J209="","SEM #CH",VLOOKUP(J209,#REF!,2,0))</f>
        <v>#REF!</v>
      </c>
      <c r="L209" s="19" t="e">
        <f>IF(J209="","SEM #CH",VLOOKUP(J209,#REF!,3,0))</f>
        <v>#REF!</v>
      </c>
      <c r="M209" s="19" t="e">
        <f>IF(J209="","SEM #CH",VLOOKUP(J209,#REF!,4,0))</f>
        <v>#REF!</v>
      </c>
      <c r="N209" s="19" t="e">
        <f>IF(J209="","SEM #CH",VLOOKUP(J209,#REF!,5,0))</f>
        <v>#REF!</v>
      </c>
      <c r="O209" s="19" t="e">
        <f>IF(J209="","SEM #CH",VLOOKUP(J209,#REF!,6,0))</f>
        <v>#REF!</v>
      </c>
      <c r="P209" s="19" t="e">
        <f>IF(J209="","SEM #CH",VLOOKUP(J209,#REF!,7,0))</f>
        <v>#REF!</v>
      </c>
      <c r="Q209" s="77" t="str">
        <f>VLOOKUP(J209,'p1'!$B$2:$C$30,2,0)</f>
        <v>NÃO TEM CHAPA</v>
      </c>
      <c r="R209" s="95">
        <v>45826</v>
      </c>
      <c r="S209" s="91" t="s">
        <v>221</v>
      </c>
      <c r="T209" s="91">
        <f t="shared" si="14"/>
        <v>1</v>
      </c>
      <c r="U209" s="95">
        <v>45828</v>
      </c>
      <c r="V209" s="91" t="s">
        <v>86</v>
      </c>
      <c r="W209" s="93">
        <v>2403</v>
      </c>
      <c r="X209" s="94">
        <f t="shared" si="15"/>
        <v>1</v>
      </c>
      <c r="Y209"/>
    </row>
    <row r="210" spans="1:25">
      <c r="A210" s="90">
        <v>209</v>
      </c>
      <c r="B210" s="68">
        <v>45786</v>
      </c>
      <c r="C210" s="40">
        <v>27</v>
      </c>
      <c r="D210" s="40">
        <f t="shared" si="12"/>
        <v>1</v>
      </c>
      <c r="E210" s="47" t="s">
        <v>129</v>
      </c>
      <c r="F210" s="17" t="s">
        <v>58</v>
      </c>
      <c r="G210" s="17" t="s">
        <v>86</v>
      </c>
      <c r="H210" s="42" t="s">
        <v>446</v>
      </c>
      <c r="I210" s="17" t="str">
        <f t="shared" si="13"/>
        <v>PN-209</v>
      </c>
      <c r="J210" s="18" t="s">
        <v>85</v>
      </c>
      <c r="K210" s="19" t="e">
        <f>IF(J210="","SEM #CH",VLOOKUP(J210,#REF!,2,0))</f>
        <v>#REF!</v>
      </c>
      <c r="L210" s="19" t="e">
        <f>IF(J210="","SEM #CH",VLOOKUP(J210,#REF!,3,0))</f>
        <v>#REF!</v>
      </c>
      <c r="M210" s="19" t="e">
        <f>IF(J210="","SEM #CH",VLOOKUP(J210,#REF!,4,0))</f>
        <v>#REF!</v>
      </c>
      <c r="N210" s="19" t="e">
        <f>IF(J210="","SEM #CH",VLOOKUP(J210,#REF!,5,0))</f>
        <v>#REF!</v>
      </c>
      <c r="O210" s="19" t="e">
        <f>IF(J210="","SEM #CH",VLOOKUP(J210,#REF!,6,0))</f>
        <v>#REF!</v>
      </c>
      <c r="P210" s="19" t="e">
        <f>IF(J210="","SEM #CH",VLOOKUP(J210,#REF!,7,0))</f>
        <v>#REF!</v>
      </c>
      <c r="Q210" s="77" t="str">
        <f>VLOOKUP(J210,'p1'!$B$2:$C$30,2,0)</f>
        <v>NÃO TEM CHAPA</v>
      </c>
      <c r="R210" s="95">
        <v>45827</v>
      </c>
      <c r="S210" s="91" t="s">
        <v>221</v>
      </c>
      <c r="T210" s="91">
        <f t="shared" si="14"/>
        <v>1</v>
      </c>
      <c r="U210" s="95">
        <v>45835</v>
      </c>
      <c r="V210" s="91" t="s">
        <v>86</v>
      </c>
      <c r="W210" s="93">
        <v>2422</v>
      </c>
      <c r="X210" s="94">
        <f t="shared" si="15"/>
        <v>1</v>
      </c>
      <c r="Y210"/>
    </row>
    <row r="211" spans="1:25">
      <c r="A211" s="90">
        <v>210</v>
      </c>
      <c r="B211" s="68">
        <v>45786</v>
      </c>
      <c r="C211" s="40">
        <v>27</v>
      </c>
      <c r="D211" s="40">
        <f t="shared" si="12"/>
        <v>1</v>
      </c>
      <c r="E211" s="47" t="s">
        <v>129</v>
      </c>
      <c r="F211" s="17" t="s">
        <v>58</v>
      </c>
      <c r="G211" s="17" t="s">
        <v>86</v>
      </c>
      <c r="H211" s="42" t="s">
        <v>447</v>
      </c>
      <c r="I211" s="17" t="str">
        <f t="shared" si="13"/>
        <v>PN-210</v>
      </c>
      <c r="J211" s="18" t="s">
        <v>85</v>
      </c>
      <c r="K211" s="19" t="e">
        <f>IF(J211="","SEM #CH",VLOOKUP(J211,#REF!,2,0))</f>
        <v>#REF!</v>
      </c>
      <c r="L211" s="19" t="e">
        <f>IF(J211="","SEM #CH",VLOOKUP(J211,#REF!,3,0))</f>
        <v>#REF!</v>
      </c>
      <c r="M211" s="19" t="e">
        <f>IF(J211="","SEM #CH",VLOOKUP(J211,#REF!,4,0))</f>
        <v>#REF!</v>
      </c>
      <c r="N211" s="19" t="e">
        <f>IF(J211="","SEM #CH",VLOOKUP(J211,#REF!,5,0))</f>
        <v>#REF!</v>
      </c>
      <c r="O211" s="19" t="e">
        <f>IF(J211="","SEM #CH",VLOOKUP(J211,#REF!,6,0))</f>
        <v>#REF!</v>
      </c>
      <c r="P211" s="19" t="e">
        <f>IF(J211="","SEM #CH",VLOOKUP(J211,#REF!,7,0))</f>
        <v>#REF!</v>
      </c>
      <c r="Q211" s="77" t="str">
        <f>VLOOKUP(J211,'p1'!$B$2:$C$30,2,0)</f>
        <v>NÃO TEM CHAPA</v>
      </c>
      <c r="R211" s="95">
        <v>45797</v>
      </c>
      <c r="S211" s="91" t="s">
        <v>221</v>
      </c>
      <c r="T211" s="91">
        <f t="shared" si="14"/>
        <v>1</v>
      </c>
      <c r="U211" s="95">
        <v>45835</v>
      </c>
      <c r="V211" s="91" t="s">
        <v>86</v>
      </c>
      <c r="W211" s="93">
        <v>2419</v>
      </c>
      <c r="X211" s="94">
        <f t="shared" si="15"/>
        <v>1</v>
      </c>
      <c r="Y211"/>
    </row>
    <row r="212" spans="1:25">
      <c r="A212" s="90">
        <v>211</v>
      </c>
      <c r="B212" s="68">
        <v>45821</v>
      </c>
      <c r="C212" s="40">
        <v>35</v>
      </c>
      <c r="D212" s="40">
        <f t="shared" si="12"/>
        <v>1</v>
      </c>
      <c r="E212" s="47" t="s">
        <v>129</v>
      </c>
      <c r="F212" s="17" t="s">
        <v>60</v>
      </c>
      <c r="G212" s="17" t="s">
        <v>86</v>
      </c>
      <c r="H212" s="42" t="s">
        <v>448</v>
      </c>
      <c r="I212" s="17" t="str">
        <f t="shared" si="13"/>
        <v>PE-211</v>
      </c>
      <c r="J212" s="18" t="s">
        <v>88</v>
      </c>
      <c r="K212" s="19" t="e">
        <f>IF(J212="","SEM #CH",VLOOKUP(J212,#REF!,2,0))</f>
        <v>#REF!</v>
      </c>
      <c r="L212" s="19" t="e">
        <f>IF(J212="","SEM #CH",VLOOKUP(J212,#REF!,3,0))</f>
        <v>#REF!</v>
      </c>
      <c r="M212" s="19" t="e">
        <f>IF(J212="","SEM #CH",VLOOKUP(J212,#REF!,4,0))</f>
        <v>#REF!</v>
      </c>
      <c r="N212" s="19" t="e">
        <f>IF(J212="","SEM #CH",VLOOKUP(J212,#REF!,5,0))</f>
        <v>#REF!</v>
      </c>
      <c r="O212" s="19" t="e">
        <f>IF(J212="","SEM #CH",VLOOKUP(J212,#REF!,6,0))</f>
        <v>#REF!</v>
      </c>
      <c r="P212" s="19" t="e">
        <f>IF(J212="","SEM #CH",VLOOKUP(J212,#REF!,7,0))</f>
        <v>#REF!</v>
      </c>
      <c r="Q212" s="77" t="str">
        <f>VLOOKUP(J212,'p1'!$B$2:$C$30,2,0)</f>
        <v>#3/8-1315X1315</v>
      </c>
      <c r="R212" s="95">
        <v>45847</v>
      </c>
      <c r="S212" s="91" t="s">
        <v>221</v>
      </c>
      <c r="T212" s="91">
        <f t="shared" si="14"/>
        <v>1</v>
      </c>
      <c r="U212" s="91"/>
      <c r="V212" s="91"/>
      <c r="W212" s="93"/>
      <c r="X212" s="94" t="str">
        <f t="shared" si="15"/>
        <v/>
      </c>
      <c r="Y212"/>
    </row>
    <row r="213" spans="1:25">
      <c r="A213" s="90">
        <v>212</v>
      </c>
      <c r="B213" s="68">
        <v>45786</v>
      </c>
      <c r="C213" s="40">
        <v>27</v>
      </c>
      <c r="D213" s="40">
        <f t="shared" si="12"/>
        <v>1</v>
      </c>
      <c r="E213" s="47" t="s">
        <v>129</v>
      </c>
      <c r="F213" s="17" t="s">
        <v>58</v>
      </c>
      <c r="G213" s="17" t="s">
        <v>86</v>
      </c>
      <c r="H213" s="42" t="s">
        <v>449</v>
      </c>
      <c r="I213" s="17" t="str">
        <f t="shared" si="13"/>
        <v>PN-212</v>
      </c>
      <c r="J213" s="18" t="s">
        <v>85</v>
      </c>
      <c r="K213" s="19" t="e">
        <f>IF(J213="","SEM #CH",VLOOKUP(J213,#REF!,2,0))</f>
        <v>#REF!</v>
      </c>
      <c r="L213" s="19" t="e">
        <f>IF(J213="","SEM #CH",VLOOKUP(J213,#REF!,3,0))</f>
        <v>#REF!</v>
      </c>
      <c r="M213" s="19" t="e">
        <f>IF(J213="","SEM #CH",VLOOKUP(J213,#REF!,4,0))</f>
        <v>#REF!</v>
      </c>
      <c r="N213" s="19" t="e">
        <f>IF(J213="","SEM #CH",VLOOKUP(J213,#REF!,5,0))</f>
        <v>#REF!</v>
      </c>
      <c r="O213" s="19" t="e">
        <f>IF(J213="","SEM #CH",VLOOKUP(J213,#REF!,6,0))</f>
        <v>#REF!</v>
      </c>
      <c r="P213" s="19" t="e">
        <f>IF(J213="","SEM #CH",VLOOKUP(J213,#REF!,7,0))</f>
        <v>#REF!</v>
      </c>
      <c r="Q213" s="77" t="str">
        <f>VLOOKUP(J213,'p1'!$B$2:$C$30,2,0)</f>
        <v>NÃO TEM CHAPA</v>
      </c>
      <c r="R213" s="95">
        <v>45797</v>
      </c>
      <c r="S213" s="91" t="s">
        <v>221</v>
      </c>
      <c r="T213" s="91">
        <f t="shared" si="14"/>
        <v>1</v>
      </c>
      <c r="U213" s="91"/>
      <c r="V213" s="91"/>
      <c r="W213" s="93"/>
      <c r="X213" s="94" t="str">
        <f t="shared" si="15"/>
        <v/>
      </c>
      <c r="Y213"/>
    </row>
    <row r="214" spans="1:25">
      <c r="A214" s="90">
        <v>213</v>
      </c>
      <c r="B214" s="68">
        <v>45786</v>
      </c>
      <c r="C214" s="40">
        <v>27</v>
      </c>
      <c r="D214" s="40">
        <f t="shared" si="12"/>
        <v>1</v>
      </c>
      <c r="E214" s="47" t="s">
        <v>129</v>
      </c>
      <c r="F214" s="17" t="s">
        <v>58</v>
      </c>
      <c r="G214" s="17" t="s">
        <v>86</v>
      </c>
      <c r="H214" s="42" t="s">
        <v>450</v>
      </c>
      <c r="I214" s="17" t="str">
        <f t="shared" si="13"/>
        <v>PN-213</v>
      </c>
      <c r="J214" s="18" t="s">
        <v>85</v>
      </c>
      <c r="K214" s="19" t="e">
        <f>IF(J214="","SEM #CH",VLOOKUP(J214,#REF!,2,0))</f>
        <v>#REF!</v>
      </c>
      <c r="L214" s="19" t="e">
        <f>IF(J214="","SEM #CH",VLOOKUP(J214,#REF!,3,0))</f>
        <v>#REF!</v>
      </c>
      <c r="M214" s="19" t="e">
        <f>IF(J214="","SEM #CH",VLOOKUP(J214,#REF!,4,0))</f>
        <v>#REF!</v>
      </c>
      <c r="N214" s="19" t="e">
        <f>IF(J214="","SEM #CH",VLOOKUP(J214,#REF!,5,0))</f>
        <v>#REF!</v>
      </c>
      <c r="O214" s="19" t="e">
        <f>IF(J214="","SEM #CH",VLOOKUP(J214,#REF!,6,0))</f>
        <v>#REF!</v>
      </c>
      <c r="P214" s="19" t="e">
        <f>IF(J214="","SEM #CH",VLOOKUP(J214,#REF!,7,0))</f>
        <v>#REF!</v>
      </c>
      <c r="Q214" s="77" t="str">
        <f>VLOOKUP(J214,'p1'!$B$2:$C$30,2,0)</f>
        <v>NÃO TEM CHAPA</v>
      </c>
      <c r="R214" s="95">
        <v>45796</v>
      </c>
      <c r="S214" s="91" t="s">
        <v>221</v>
      </c>
      <c r="T214" s="91">
        <f t="shared" si="14"/>
        <v>1</v>
      </c>
      <c r="U214" s="91"/>
      <c r="V214" s="91"/>
      <c r="W214" s="93"/>
      <c r="X214" s="94" t="str">
        <f t="shared" si="15"/>
        <v/>
      </c>
      <c r="Y214"/>
    </row>
    <row r="215" spans="1:25">
      <c r="A215" s="90">
        <v>214</v>
      </c>
      <c r="B215" s="68">
        <v>45786</v>
      </c>
      <c r="C215" s="40">
        <v>27</v>
      </c>
      <c r="D215" s="40">
        <f t="shared" si="12"/>
        <v>1</v>
      </c>
      <c r="E215" s="47" t="s">
        <v>129</v>
      </c>
      <c r="F215" s="17" t="s">
        <v>58</v>
      </c>
      <c r="G215" s="17" t="s">
        <v>86</v>
      </c>
      <c r="H215" s="42" t="s">
        <v>451</v>
      </c>
      <c r="I215" s="17" t="str">
        <f t="shared" si="13"/>
        <v>PN-214</v>
      </c>
      <c r="J215" s="18" t="s">
        <v>85</v>
      </c>
      <c r="K215" s="19" t="e">
        <f>IF(J215="","SEM #CH",VLOOKUP(J215,#REF!,2,0))</f>
        <v>#REF!</v>
      </c>
      <c r="L215" s="19" t="e">
        <f>IF(J215="","SEM #CH",VLOOKUP(J215,#REF!,3,0))</f>
        <v>#REF!</v>
      </c>
      <c r="M215" s="19" t="e">
        <f>IF(J215="","SEM #CH",VLOOKUP(J215,#REF!,4,0))</f>
        <v>#REF!</v>
      </c>
      <c r="N215" s="19" t="e">
        <f>IF(J215="","SEM #CH",VLOOKUP(J215,#REF!,5,0))</f>
        <v>#REF!</v>
      </c>
      <c r="O215" s="19" t="e">
        <f>IF(J215="","SEM #CH",VLOOKUP(J215,#REF!,6,0))</f>
        <v>#REF!</v>
      </c>
      <c r="P215" s="19" t="e">
        <f>IF(J215="","SEM #CH",VLOOKUP(J215,#REF!,7,0))</f>
        <v>#REF!</v>
      </c>
      <c r="Q215" s="77" t="str">
        <f>VLOOKUP(J215,'p1'!$B$2:$C$30,2,0)</f>
        <v>NÃO TEM CHAPA</v>
      </c>
      <c r="R215" s="95">
        <v>45796</v>
      </c>
      <c r="S215" s="91" t="s">
        <v>221</v>
      </c>
      <c r="T215" s="91">
        <f t="shared" si="14"/>
        <v>1</v>
      </c>
      <c r="U215" s="91"/>
      <c r="V215" s="91"/>
      <c r="W215" s="93"/>
      <c r="X215" s="94" t="str">
        <f t="shared" si="15"/>
        <v/>
      </c>
      <c r="Y215"/>
    </row>
    <row r="216" spans="1:25">
      <c r="A216" s="90">
        <v>215</v>
      </c>
      <c r="B216" s="68">
        <v>45786</v>
      </c>
      <c r="C216" s="40">
        <v>27</v>
      </c>
      <c r="D216" s="40">
        <f t="shared" si="12"/>
        <v>1</v>
      </c>
      <c r="E216" s="47" t="s">
        <v>129</v>
      </c>
      <c r="F216" s="17" t="s">
        <v>58</v>
      </c>
      <c r="G216" s="17" t="s">
        <v>86</v>
      </c>
      <c r="H216" s="42" t="s">
        <v>452</v>
      </c>
      <c r="I216" s="17" t="str">
        <f t="shared" si="13"/>
        <v>PN-215</v>
      </c>
      <c r="J216" s="18" t="s">
        <v>85</v>
      </c>
      <c r="K216" s="19" t="e">
        <f>IF(J216="","SEM #CH",VLOOKUP(J216,#REF!,2,0))</f>
        <v>#REF!</v>
      </c>
      <c r="L216" s="19" t="e">
        <f>IF(J216="","SEM #CH",VLOOKUP(J216,#REF!,3,0))</f>
        <v>#REF!</v>
      </c>
      <c r="M216" s="19" t="e">
        <f>IF(J216="","SEM #CH",VLOOKUP(J216,#REF!,4,0))</f>
        <v>#REF!</v>
      </c>
      <c r="N216" s="19" t="e">
        <f>IF(J216="","SEM #CH",VLOOKUP(J216,#REF!,5,0))</f>
        <v>#REF!</v>
      </c>
      <c r="O216" s="19" t="e">
        <f>IF(J216="","SEM #CH",VLOOKUP(J216,#REF!,6,0))</f>
        <v>#REF!</v>
      </c>
      <c r="P216" s="19" t="e">
        <f>IF(J216="","SEM #CH",VLOOKUP(J216,#REF!,7,0))</f>
        <v>#REF!</v>
      </c>
      <c r="Q216" s="77" t="str">
        <f>VLOOKUP(J216,'p1'!$B$2:$C$30,2,0)</f>
        <v>NÃO TEM CHAPA</v>
      </c>
      <c r="R216" s="95">
        <v>45793</v>
      </c>
      <c r="S216" s="91" t="s">
        <v>221</v>
      </c>
      <c r="T216" s="91">
        <f t="shared" si="14"/>
        <v>1</v>
      </c>
      <c r="U216" s="91"/>
      <c r="V216" s="91"/>
      <c r="W216" s="93"/>
      <c r="X216" s="94" t="str">
        <f t="shared" si="15"/>
        <v/>
      </c>
      <c r="Y216"/>
    </row>
    <row r="217" spans="1:25">
      <c r="A217" s="90">
        <v>216</v>
      </c>
      <c r="B217" s="68">
        <v>45789</v>
      </c>
      <c r="C217" s="40">
        <v>28</v>
      </c>
      <c r="D217" s="40">
        <f t="shared" si="12"/>
        <v>1</v>
      </c>
      <c r="E217" s="47" t="s">
        <v>129</v>
      </c>
      <c r="F217" s="17" t="s">
        <v>58</v>
      </c>
      <c r="G217" s="17" t="s">
        <v>86</v>
      </c>
      <c r="H217" s="42" t="s">
        <v>453</v>
      </c>
      <c r="I217" s="17" t="str">
        <f t="shared" si="13"/>
        <v>PN-216</v>
      </c>
      <c r="J217" s="18" t="s">
        <v>85</v>
      </c>
      <c r="K217" s="19" t="e">
        <f>IF(J217="","SEM #CH",VLOOKUP(J217,#REF!,2,0))</f>
        <v>#REF!</v>
      </c>
      <c r="L217" s="19" t="e">
        <f>IF(J217="","SEM #CH",VLOOKUP(J217,#REF!,3,0))</f>
        <v>#REF!</v>
      </c>
      <c r="M217" s="19" t="e">
        <f>IF(J217="","SEM #CH",VLOOKUP(J217,#REF!,4,0))</f>
        <v>#REF!</v>
      </c>
      <c r="N217" s="19" t="e">
        <f>IF(J217="","SEM #CH",VLOOKUP(J217,#REF!,5,0))</f>
        <v>#REF!</v>
      </c>
      <c r="O217" s="19" t="e">
        <f>IF(J217="","SEM #CH",VLOOKUP(J217,#REF!,6,0))</f>
        <v>#REF!</v>
      </c>
      <c r="P217" s="19" t="e">
        <f>IF(J217="","SEM #CH",VLOOKUP(J217,#REF!,7,0))</f>
        <v>#REF!</v>
      </c>
      <c r="Q217" s="77" t="str">
        <f>VLOOKUP(J217,'p1'!$B$2:$C$30,2,0)</f>
        <v>NÃO TEM CHAPA</v>
      </c>
      <c r="R217" s="95">
        <v>45820</v>
      </c>
      <c r="S217" s="91" t="s">
        <v>222</v>
      </c>
      <c r="T217" s="91">
        <f t="shared" si="14"/>
        <v>1</v>
      </c>
      <c r="U217" s="95">
        <v>45831</v>
      </c>
      <c r="V217" s="91" t="s">
        <v>86</v>
      </c>
      <c r="W217" s="93">
        <v>2407</v>
      </c>
      <c r="X217" s="94">
        <f t="shared" si="15"/>
        <v>1</v>
      </c>
      <c r="Y217"/>
    </row>
    <row r="218" spans="1:25">
      <c r="A218" s="90">
        <v>217</v>
      </c>
      <c r="B218" s="68">
        <v>45789</v>
      </c>
      <c r="C218" s="40">
        <v>28</v>
      </c>
      <c r="D218" s="40">
        <f t="shared" si="12"/>
        <v>1</v>
      </c>
      <c r="E218" s="47" t="s">
        <v>129</v>
      </c>
      <c r="F218" s="17" t="s">
        <v>58</v>
      </c>
      <c r="G218" s="17" t="s">
        <v>86</v>
      </c>
      <c r="H218" s="42" t="s">
        <v>454</v>
      </c>
      <c r="I218" s="17" t="str">
        <f t="shared" si="13"/>
        <v>PN-217</v>
      </c>
      <c r="J218" s="18" t="s">
        <v>85</v>
      </c>
      <c r="K218" s="19" t="e">
        <f>IF(J218="","SEM #CH",VLOOKUP(J218,#REF!,2,0))</f>
        <v>#REF!</v>
      </c>
      <c r="L218" s="19" t="e">
        <f>IF(J218="","SEM #CH",VLOOKUP(J218,#REF!,3,0))</f>
        <v>#REF!</v>
      </c>
      <c r="M218" s="19" t="e">
        <f>IF(J218="","SEM #CH",VLOOKUP(J218,#REF!,4,0))</f>
        <v>#REF!</v>
      </c>
      <c r="N218" s="19" t="e">
        <f>IF(J218="","SEM #CH",VLOOKUP(J218,#REF!,5,0))</f>
        <v>#REF!</v>
      </c>
      <c r="O218" s="19" t="e">
        <f>IF(J218="","SEM #CH",VLOOKUP(J218,#REF!,6,0))</f>
        <v>#REF!</v>
      </c>
      <c r="P218" s="19" t="e">
        <f>IF(J218="","SEM #CH",VLOOKUP(J218,#REF!,7,0))</f>
        <v>#REF!</v>
      </c>
      <c r="Q218" s="77" t="str">
        <f>VLOOKUP(J218,'p1'!$B$2:$C$30,2,0)</f>
        <v>NÃO TEM CHAPA</v>
      </c>
      <c r="R218" s="95">
        <v>45820</v>
      </c>
      <c r="S218" s="91" t="s">
        <v>222</v>
      </c>
      <c r="T218" s="91">
        <f t="shared" si="14"/>
        <v>1</v>
      </c>
      <c r="U218" s="95">
        <v>45831</v>
      </c>
      <c r="V218" s="91" t="s">
        <v>86</v>
      </c>
      <c r="W218" s="93">
        <v>2407</v>
      </c>
      <c r="X218" s="94">
        <f t="shared" si="15"/>
        <v>1</v>
      </c>
      <c r="Y218"/>
    </row>
    <row r="219" spans="1:25">
      <c r="A219" s="90">
        <v>218</v>
      </c>
      <c r="B219" s="68"/>
      <c r="C219" s="40"/>
      <c r="D219" s="40" t="str">
        <f t="shared" si="12"/>
        <v/>
      </c>
      <c r="E219" s="47" t="s">
        <v>129</v>
      </c>
      <c r="F219" s="17" t="s">
        <v>61</v>
      </c>
      <c r="G219" s="17" t="s">
        <v>86</v>
      </c>
      <c r="H219" s="42" t="s">
        <v>455</v>
      </c>
      <c r="I219" s="17" t="str">
        <f t="shared" si="13"/>
        <v>PF-218</v>
      </c>
      <c r="J219" s="18" t="s">
        <v>61</v>
      </c>
      <c r="K219" s="19" t="e">
        <f>IF(J219="","SEM #CH",VLOOKUP(J219,#REF!,2,0))</f>
        <v>#REF!</v>
      </c>
      <c r="L219" s="19" t="e">
        <f>IF(J219="","SEM #CH",VLOOKUP(J219,#REF!,3,0))</f>
        <v>#REF!</v>
      </c>
      <c r="M219" s="19" t="e">
        <f>IF(J219="","SEM #CH",VLOOKUP(J219,#REF!,4,0))</f>
        <v>#REF!</v>
      </c>
      <c r="N219" s="19" t="e">
        <f>IF(J219="","SEM #CH",VLOOKUP(J219,#REF!,5,0))</f>
        <v>#REF!</v>
      </c>
      <c r="O219" s="19" t="e">
        <f>IF(J219="","SEM #CH",VLOOKUP(J219,#REF!,6,0))</f>
        <v>#REF!</v>
      </c>
      <c r="P219" s="19" t="e">
        <f>IF(J219="","SEM #CH",VLOOKUP(J219,#REF!,7,0))</f>
        <v>#REF!</v>
      </c>
      <c r="Q219" s="77" t="str">
        <f>VLOOKUP(J219,'p1'!$B$2:$C$30,2,0)</f>
        <v>SEM CHAPA</v>
      </c>
      <c r="R219" s="95"/>
      <c r="S219" s="91"/>
      <c r="T219" s="91" t="str">
        <f t="shared" si="14"/>
        <v/>
      </c>
      <c r="U219" s="91"/>
      <c r="V219" s="91"/>
      <c r="W219" s="93"/>
      <c r="X219" s="94" t="str">
        <f t="shared" si="15"/>
        <v/>
      </c>
      <c r="Y219"/>
    </row>
    <row r="220" spans="1:25">
      <c r="A220" s="90">
        <v>219</v>
      </c>
      <c r="B220" s="68">
        <v>45789</v>
      </c>
      <c r="C220" s="40">
        <v>28</v>
      </c>
      <c r="D220" s="40">
        <f t="shared" si="12"/>
        <v>1</v>
      </c>
      <c r="E220" s="47" t="s">
        <v>129</v>
      </c>
      <c r="F220" s="17" t="s">
        <v>58</v>
      </c>
      <c r="G220" s="17" t="s">
        <v>86</v>
      </c>
      <c r="H220" s="42" t="s">
        <v>456</v>
      </c>
      <c r="I220" s="17" t="str">
        <f t="shared" si="13"/>
        <v>PN-219</v>
      </c>
      <c r="J220" s="18" t="s">
        <v>85</v>
      </c>
      <c r="K220" s="19" t="e">
        <f>IF(J220="","SEM #CH",VLOOKUP(J220,#REF!,2,0))</f>
        <v>#REF!</v>
      </c>
      <c r="L220" s="19" t="e">
        <f>IF(J220="","SEM #CH",VLOOKUP(J220,#REF!,3,0))</f>
        <v>#REF!</v>
      </c>
      <c r="M220" s="19" t="e">
        <f>IF(J220="","SEM #CH",VLOOKUP(J220,#REF!,4,0))</f>
        <v>#REF!</v>
      </c>
      <c r="N220" s="19" t="e">
        <f>IF(J220="","SEM #CH",VLOOKUP(J220,#REF!,5,0))</f>
        <v>#REF!</v>
      </c>
      <c r="O220" s="19" t="e">
        <f>IF(J220="","SEM #CH",VLOOKUP(J220,#REF!,6,0))</f>
        <v>#REF!</v>
      </c>
      <c r="P220" s="19" t="e">
        <f>IF(J220="","SEM #CH",VLOOKUP(J220,#REF!,7,0))</f>
        <v>#REF!</v>
      </c>
      <c r="Q220" s="77" t="str">
        <f>VLOOKUP(J220,'p1'!$B$2:$C$30,2,0)</f>
        <v>NÃO TEM CHAPA</v>
      </c>
      <c r="R220" s="95">
        <v>45820</v>
      </c>
      <c r="S220" s="91" t="s">
        <v>222</v>
      </c>
      <c r="T220" s="91">
        <f t="shared" si="14"/>
        <v>1</v>
      </c>
      <c r="U220" s="95">
        <v>45821</v>
      </c>
      <c r="V220" s="91" t="s">
        <v>86</v>
      </c>
      <c r="W220" s="93">
        <v>2384</v>
      </c>
      <c r="X220" s="94">
        <f t="shared" si="15"/>
        <v>1</v>
      </c>
      <c r="Y220"/>
    </row>
    <row r="221" spans="1:25">
      <c r="A221" s="90">
        <v>220</v>
      </c>
      <c r="B221" s="68">
        <v>45789</v>
      </c>
      <c r="C221" s="40">
        <v>28</v>
      </c>
      <c r="D221" s="40">
        <f t="shared" si="12"/>
        <v>1</v>
      </c>
      <c r="E221" s="47" t="s">
        <v>129</v>
      </c>
      <c r="F221" s="17" t="s">
        <v>58</v>
      </c>
      <c r="G221" s="17" t="s">
        <v>86</v>
      </c>
      <c r="H221" s="42" t="s">
        <v>457</v>
      </c>
      <c r="I221" s="17" t="str">
        <f t="shared" si="13"/>
        <v>PN-220</v>
      </c>
      <c r="J221" s="18" t="s">
        <v>85</v>
      </c>
      <c r="K221" s="19" t="e">
        <f>IF(J221="","SEM #CH",VLOOKUP(J221,#REF!,2,0))</f>
        <v>#REF!</v>
      </c>
      <c r="L221" s="19" t="e">
        <f>IF(J221="","SEM #CH",VLOOKUP(J221,#REF!,3,0))</f>
        <v>#REF!</v>
      </c>
      <c r="M221" s="19" t="e">
        <f>IF(J221="","SEM #CH",VLOOKUP(J221,#REF!,4,0))</f>
        <v>#REF!</v>
      </c>
      <c r="N221" s="19" t="e">
        <f>IF(J221="","SEM #CH",VLOOKUP(J221,#REF!,5,0))</f>
        <v>#REF!</v>
      </c>
      <c r="O221" s="19" t="e">
        <f>IF(J221="","SEM #CH",VLOOKUP(J221,#REF!,6,0))</f>
        <v>#REF!</v>
      </c>
      <c r="P221" s="19" t="e">
        <f>IF(J221="","SEM #CH",VLOOKUP(J221,#REF!,7,0))</f>
        <v>#REF!</v>
      </c>
      <c r="Q221" s="77" t="str">
        <f>VLOOKUP(J221,'p1'!$B$2:$C$30,2,0)</f>
        <v>NÃO TEM CHAPA</v>
      </c>
      <c r="R221" s="95">
        <v>45819</v>
      </c>
      <c r="S221" s="91" t="s">
        <v>222</v>
      </c>
      <c r="T221" s="91">
        <f t="shared" si="14"/>
        <v>1</v>
      </c>
      <c r="U221" s="95">
        <v>45831</v>
      </c>
      <c r="V221" s="91" t="s">
        <v>86</v>
      </c>
      <c r="W221" s="93">
        <v>2407</v>
      </c>
      <c r="X221" s="94">
        <f t="shared" si="15"/>
        <v>1</v>
      </c>
      <c r="Y221"/>
    </row>
    <row r="222" spans="1:25">
      <c r="A222" s="90">
        <v>221</v>
      </c>
      <c r="B222" s="68">
        <v>45789</v>
      </c>
      <c r="C222" s="40">
        <v>28</v>
      </c>
      <c r="D222" s="40">
        <f t="shared" si="12"/>
        <v>1</v>
      </c>
      <c r="E222" s="47" t="s">
        <v>129</v>
      </c>
      <c r="F222" s="17" t="s">
        <v>58</v>
      </c>
      <c r="G222" s="17" t="s">
        <v>86</v>
      </c>
      <c r="H222" s="42" t="s">
        <v>458</v>
      </c>
      <c r="I222" s="17" t="str">
        <f t="shared" si="13"/>
        <v>PN-221</v>
      </c>
      <c r="J222" s="18" t="s">
        <v>85</v>
      </c>
      <c r="K222" s="19" t="e">
        <f>IF(J222="","SEM #CH",VLOOKUP(J222,#REF!,2,0))</f>
        <v>#REF!</v>
      </c>
      <c r="L222" s="19" t="e">
        <f>IF(J222="","SEM #CH",VLOOKUP(J222,#REF!,3,0))</f>
        <v>#REF!</v>
      </c>
      <c r="M222" s="19" t="e">
        <f>IF(J222="","SEM #CH",VLOOKUP(J222,#REF!,4,0))</f>
        <v>#REF!</v>
      </c>
      <c r="N222" s="19" t="e">
        <f>IF(J222="","SEM #CH",VLOOKUP(J222,#REF!,5,0))</f>
        <v>#REF!</v>
      </c>
      <c r="O222" s="19" t="e">
        <f>IF(J222="","SEM #CH",VLOOKUP(J222,#REF!,6,0))</f>
        <v>#REF!</v>
      </c>
      <c r="P222" s="19" t="e">
        <f>IF(J222="","SEM #CH",VLOOKUP(J222,#REF!,7,0))</f>
        <v>#REF!</v>
      </c>
      <c r="Q222" s="77" t="str">
        <f>VLOOKUP(J222,'p1'!$B$2:$C$30,2,0)</f>
        <v>NÃO TEM CHAPA</v>
      </c>
      <c r="R222" s="95">
        <v>45819</v>
      </c>
      <c r="S222" s="91" t="s">
        <v>222</v>
      </c>
      <c r="T222" s="91">
        <f t="shared" si="14"/>
        <v>1</v>
      </c>
      <c r="U222" s="95">
        <v>45831</v>
      </c>
      <c r="V222" s="91" t="s">
        <v>86</v>
      </c>
      <c r="W222" s="93">
        <v>2407</v>
      </c>
      <c r="X222" s="94">
        <f t="shared" si="15"/>
        <v>1</v>
      </c>
      <c r="Y222"/>
    </row>
    <row r="223" spans="1:25">
      <c r="A223" s="90">
        <v>222</v>
      </c>
      <c r="B223" s="68">
        <v>45789</v>
      </c>
      <c r="C223" s="40">
        <v>28</v>
      </c>
      <c r="D223" s="40">
        <f t="shared" si="12"/>
        <v>1</v>
      </c>
      <c r="E223" s="47" t="s">
        <v>129</v>
      </c>
      <c r="F223" s="17" t="s">
        <v>58</v>
      </c>
      <c r="G223" s="17" t="s">
        <v>86</v>
      </c>
      <c r="H223" s="42" t="s">
        <v>459</v>
      </c>
      <c r="I223" s="17" t="str">
        <f t="shared" si="13"/>
        <v>PN-222</v>
      </c>
      <c r="J223" s="18" t="s">
        <v>85</v>
      </c>
      <c r="K223" s="19" t="e">
        <f>IF(J223="","SEM #CH",VLOOKUP(J223,#REF!,2,0))</f>
        <v>#REF!</v>
      </c>
      <c r="L223" s="19" t="e">
        <f>IF(J223="","SEM #CH",VLOOKUP(J223,#REF!,3,0))</f>
        <v>#REF!</v>
      </c>
      <c r="M223" s="19" t="e">
        <f>IF(J223="","SEM #CH",VLOOKUP(J223,#REF!,4,0))</f>
        <v>#REF!</v>
      </c>
      <c r="N223" s="19" t="e">
        <f>IF(J223="","SEM #CH",VLOOKUP(J223,#REF!,5,0))</f>
        <v>#REF!</v>
      </c>
      <c r="O223" s="19" t="e">
        <f>IF(J223="","SEM #CH",VLOOKUP(J223,#REF!,6,0))</f>
        <v>#REF!</v>
      </c>
      <c r="P223" s="19" t="e">
        <f>IF(J223="","SEM #CH",VLOOKUP(J223,#REF!,7,0))</f>
        <v>#REF!</v>
      </c>
      <c r="Q223" s="77" t="str">
        <f>VLOOKUP(J223,'p1'!$B$2:$C$30,2,0)</f>
        <v>NÃO TEM CHAPA</v>
      </c>
      <c r="R223" s="95">
        <v>45818</v>
      </c>
      <c r="S223" s="91" t="s">
        <v>222</v>
      </c>
      <c r="T223" s="91">
        <f t="shared" si="14"/>
        <v>1</v>
      </c>
      <c r="U223" s="95">
        <v>45832</v>
      </c>
      <c r="V223" s="91" t="s">
        <v>86</v>
      </c>
      <c r="W223" s="93">
        <v>2408</v>
      </c>
      <c r="X223" s="94">
        <f t="shared" si="15"/>
        <v>1</v>
      </c>
      <c r="Y223"/>
    </row>
    <row r="224" spans="1:25">
      <c r="A224" s="90">
        <v>223</v>
      </c>
      <c r="B224" s="68">
        <v>45789</v>
      </c>
      <c r="C224" s="40">
        <v>28</v>
      </c>
      <c r="D224" s="40">
        <f t="shared" si="12"/>
        <v>1</v>
      </c>
      <c r="E224" s="47" t="s">
        <v>129</v>
      </c>
      <c r="F224" s="17" t="s">
        <v>58</v>
      </c>
      <c r="G224" s="17" t="s">
        <v>86</v>
      </c>
      <c r="H224" s="42" t="s">
        <v>460</v>
      </c>
      <c r="I224" s="17" t="str">
        <f t="shared" si="13"/>
        <v>PN-223</v>
      </c>
      <c r="J224" s="18" t="s">
        <v>85</v>
      </c>
      <c r="K224" s="19" t="e">
        <f>IF(J224="","SEM #CH",VLOOKUP(J224,#REF!,2,0))</f>
        <v>#REF!</v>
      </c>
      <c r="L224" s="19" t="e">
        <f>IF(J224="","SEM #CH",VLOOKUP(J224,#REF!,3,0))</f>
        <v>#REF!</v>
      </c>
      <c r="M224" s="19" t="e">
        <f>IF(J224="","SEM #CH",VLOOKUP(J224,#REF!,4,0))</f>
        <v>#REF!</v>
      </c>
      <c r="N224" s="19" t="e">
        <f>IF(J224="","SEM #CH",VLOOKUP(J224,#REF!,5,0))</f>
        <v>#REF!</v>
      </c>
      <c r="O224" s="19" t="e">
        <f>IF(J224="","SEM #CH",VLOOKUP(J224,#REF!,6,0))</f>
        <v>#REF!</v>
      </c>
      <c r="P224" s="19" t="e">
        <f>IF(J224="","SEM #CH",VLOOKUP(J224,#REF!,7,0))</f>
        <v>#REF!</v>
      </c>
      <c r="Q224" s="77" t="str">
        <f>VLOOKUP(J224,'p1'!$B$2:$C$30,2,0)</f>
        <v>NÃO TEM CHAPA</v>
      </c>
      <c r="R224" s="95">
        <v>45817</v>
      </c>
      <c r="S224" s="91" t="s">
        <v>222</v>
      </c>
      <c r="T224" s="91">
        <f t="shared" si="14"/>
        <v>1</v>
      </c>
      <c r="U224" s="95">
        <v>45832</v>
      </c>
      <c r="V224" s="91" t="s">
        <v>1052</v>
      </c>
      <c r="W224" s="93">
        <v>2409</v>
      </c>
      <c r="X224" s="94">
        <f t="shared" si="15"/>
        <v>1</v>
      </c>
      <c r="Y224"/>
    </row>
    <row r="225" spans="1:25">
      <c r="A225" s="90">
        <v>224</v>
      </c>
      <c r="B225" s="68">
        <v>45806</v>
      </c>
      <c r="C225" s="40">
        <v>31</v>
      </c>
      <c r="D225" s="40">
        <f t="shared" si="12"/>
        <v>1</v>
      </c>
      <c r="E225" s="47" t="s">
        <v>129</v>
      </c>
      <c r="F225" s="17" t="s">
        <v>58</v>
      </c>
      <c r="G225" s="17" t="s">
        <v>86</v>
      </c>
      <c r="H225" s="42" t="s">
        <v>461</v>
      </c>
      <c r="I225" s="17" t="str">
        <f t="shared" si="13"/>
        <v>PN-224</v>
      </c>
      <c r="J225" s="18" t="s">
        <v>85</v>
      </c>
      <c r="K225" s="19" t="e">
        <f>IF(J225="","SEM #CH",VLOOKUP(J225,#REF!,2,0))</f>
        <v>#REF!</v>
      </c>
      <c r="L225" s="19" t="e">
        <f>IF(J225="","SEM #CH",VLOOKUP(J225,#REF!,3,0))</f>
        <v>#REF!</v>
      </c>
      <c r="M225" s="19" t="e">
        <f>IF(J225="","SEM #CH",VLOOKUP(J225,#REF!,4,0))</f>
        <v>#REF!</v>
      </c>
      <c r="N225" s="19" t="e">
        <f>IF(J225="","SEM #CH",VLOOKUP(J225,#REF!,5,0))</f>
        <v>#REF!</v>
      </c>
      <c r="O225" s="19" t="e">
        <f>IF(J225="","SEM #CH",VLOOKUP(J225,#REF!,6,0))</f>
        <v>#REF!</v>
      </c>
      <c r="P225" s="19" t="e">
        <f>IF(J225="","SEM #CH",VLOOKUP(J225,#REF!,7,0))</f>
        <v>#REF!</v>
      </c>
      <c r="Q225" s="77" t="str">
        <f>VLOOKUP(J225,'p1'!$B$2:$C$30,2,0)</f>
        <v>NÃO TEM CHAPA</v>
      </c>
      <c r="R225" s="95">
        <v>45820</v>
      </c>
      <c r="S225" s="91" t="s">
        <v>221</v>
      </c>
      <c r="T225" s="91">
        <f t="shared" si="14"/>
        <v>1</v>
      </c>
      <c r="U225" s="91"/>
      <c r="V225" s="91"/>
      <c r="W225" s="93"/>
      <c r="X225" s="94" t="str">
        <f t="shared" si="15"/>
        <v/>
      </c>
      <c r="Y225"/>
    </row>
    <row r="226" spans="1:25">
      <c r="A226" s="90">
        <v>225</v>
      </c>
      <c r="B226" s="68">
        <v>45812</v>
      </c>
      <c r="C226" s="40">
        <v>32</v>
      </c>
      <c r="D226" s="40">
        <f t="shared" si="12"/>
        <v>1</v>
      </c>
      <c r="E226" s="47" t="s">
        <v>129</v>
      </c>
      <c r="F226" s="17" t="s">
        <v>58</v>
      </c>
      <c r="G226" s="17" t="s">
        <v>86</v>
      </c>
      <c r="H226" s="42" t="s">
        <v>462</v>
      </c>
      <c r="I226" s="17" t="str">
        <f t="shared" si="13"/>
        <v>PN-225</v>
      </c>
      <c r="J226" s="18" t="s">
        <v>85</v>
      </c>
      <c r="K226" s="19" t="e">
        <f>IF(J226="","SEM #CH",VLOOKUP(J226,#REF!,2,0))</f>
        <v>#REF!</v>
      </c>
      <c r="L226" s="19" t="e">
        <f>IF(J226="","SEM #CH",VLOOKUP(J226,#REF!,3,0))</f>
        <v>#REF!</v>
      </c>
      <c r="M226" s="19" t="e">
        <f>IF(J226="","SEM #CH",VLOOKUP(J226,#REF!,4,0))</f>
        <v>#REF!</v>
      </c>
      <c r="N226" s="19" t="e">
        <f>IF(J226="","SEM #CH",VLOOKUP(J226,#REF!,5,0))</f>
        <v>#REF!</v>
      </c>
      <c r="O226" s="19" t="e">
        <f>IF(J226="","SEM #CH",VLOOKUP(J226,#REF!,6,0))</f>
        <v>#REF!</v>
      </c>
      <c r="P226" s="19" t="e">
        <f>IF(J226="","SEM #CH",VLOOKUP(J226,#REF!,7,0))</f>
        <v>#REF!</v>
      </c>
      <c r="Q226" s="77" t="str">
        <f>VLOOKUP(J226,'p1'!$B$2:$C$30,2,0)</f>
        <v>NÃO TEM CHAPA</v>
      </c>
      <c r="R226" s="95"/>
      <c r="S226" s="91" t="s">
        <v>221</v>
      </c>
      <c r="T226" s="91" t="str">
        <f t="shared" si="14"/>
        <v/>
      </c>
      <c r="U226" s="91"/>
      <c r="V226" s="91"/>
      <c r="W226" s="93"/>
      <c r="X226" s="94" t="str">
        <f t="shared" si="15"/>
        <v/>
      </c>
      <c r="Y226"/>
    </row>
    <row r="227" spans="1:25">
      <c r="A227" s="90">
        <v>226</v>
      </c>
      <c r="B227" s="68">
        <v>45821</v>
      </c>
      <c r="C227" s="40">
        <v>35</v>
      </c>
      <c r="D227" s="40">
        <f t="shared" si="12"/>
        <v>1</v>
      </c>
      <c r="E227" s="47" t="s">
        <v>129</v>
      </c>
      <c r="F227" s="17" t="s">
        <v>60</v>
      </c>
      <c r="G227" s="17" t="s">
        <v>86</v>
      </c>
      <c r="H227" s="42" t="s">
        <v>463</v>
      </c>
      <c r="I227" s="17" t="str">
        <f t="shared" si="13"/>
        <v>PE-226</v>
      </c>
      <c r="J227" s="18" t="s">
        <v>90</v>
      </c>
      <c r="K227" s="19" t="e">
        <f>IF(J227="","SEM #CH",VLOOKUP(J227,#REF!,2,0))</f>
        <v>#REF!</v>
      </c>
      <c r="L227" s="19" t="e">
        <f>IF(J227="","SEM #CH",VLOOKUP(J227,#REF!,3,0))</f>
        <v>#REF!</v>
      </c>
      <c r="M227" s="19" t="e">
        <f>IF(J227="","SEM #CH",VLOOKUP(J227,#REF!,4,0))</f>
        <v>#REF!</v>
      </c>
      <c r="N227" s="19" t="e">
        <f>IF(J227="","SEM #CH",VLOOKUP(J227,#REF!,5,0))</f>
        <v>#REF!</v>
      </c>
      <c r="O227" s="19" t="e">
        <f>IF(J227="","SEM #CH",VLOOKUP(J227,#REF!,6,0))</f>
        <v>#REF!</v>
      </c>
      <c r="P227" s="19" t="e">
        <f>IF(J227="","SEM #CH",VLOOKUP(J227,#REF!,7,0))</f>
        <v>#REF!</v>
      </c>
      <c r="Q227" s="77" t="str">
        <f>VLOOKUP(J227,'p1'!$B$2:$C$30,2,0)</f>
        <v>#3/8-530X530</v>
      </c>
      <c r="R227" s="95">
        <v>45834</v>
      </c>
      <c r="S227" s="91" t="s">
        <v>221</v>
      </c>
      <c r="T227" s="91">
        <f t="shared" si="14"/>
        <v>1</v>
      </c>
      <c r="U227" s="95">
        <v>45835</v>
      </c>
      <c r="V227" s="91" t="s">
        <v>86</v>
      </c>
      <c r="W227" s="93">
        <v>2419</v>
      </c>
      <c r="X227" s="94">
        <f t="shared" si="15"/>
        <v>1</v>
      </c>
      <c r="Y227"/>
    </row>
    <row r="228" spans="1:25">
      <c r="A228" s="90">
        <v>227</v>
      </c>
      <c r="B228" s="68">
        <v>45818</v>
      </c>
      <c r="C228" s="40">
        <v>34</v>
      </c>
      <c r="D228" s="40">
        <f t="shared" si="12"/>
        <v>1</v>
      </c>
      <c r="E228" s="47" t="s">
        <v>129</v>
      </c>
      <c r="F228" s="17" t="s">
        <v>58</v>
      </c>
      <c r="G228" s="17" t="s">
        <v>86</v>
      </c>
      <c r="H228" s="42" t="s">
        <v>464</v>
      </c>
      <c r="I228" s="17" t="str">
        <f t="shared" si="13"/>
        <v>PN-227</v>
      </c>
      <c r="J228" s="18" t="s">
        <v>85</v>
      </c>
      <c r="K228" s="19" t="e">
        <f>IF(J228="","SEM #CH",VLOOKUP(J228,#REF!,2,0))</f>
        <v>#REF!</v>
      </c>
      <c r="L228" s="19" t="e">
        <f>IF(J228="","SEM #CH",VLOOKUP(J228,#REF!,3,0))</f>
        <v>#REF!</v>
      </c>
      <c r="M228" s="19" t="e">
        <f>IF(J228="","SEM #CH",VLOOKUP(J228,#REF!,4,0))</f>
        <v>#REF!</v>
      </c>
      <c r="N228" s="19" t="e">
        <f>IF(J228="","SEM #CH",VLOOKUP(J228,#REF!,5,0))</f>
        <v>#REF!</v>
      </c>
      <c r="O228" s="19" t="e">
        <f>IF(J228="","SEM #CH",VLOOKUP(J228,#REF!,6,0))</f>
        <v>#REF!</v>
      </c>
      <c r="P228" s="19" t="e">
        <f>IF(J228="","SEM #CH",VLOOKUP(J228,#REF!,7,0))</f>
        <v>#REF!</v>
      </c>
      <c r="Q228" s="77" t="str">
        <f>VLOOKUP(J228,'p1'!$B$2:$C$30,2,0)</f>
        <v>NÃO TEM CHAPA</v>
      </c>
      <c r="R228" s="95">
        <v>45847</v>
      </c>
      <c r="S228" s="91" t="s">
        <v>221</v>
      </c>
      <c r="T228" s="91">
        <f t="shared" si="14"/>
        <v>1</v>
      </c>
      <c r="U228" s="91"/>
      <c r="V228" s="91"/>
      <c r="W228" s="93"/>
      <c r="X228" s="94" t="str">
        <f t="shared" si="15"/>
        <v/>
      </c>
      <c r="Y228"/>
    </row>
    <row r="229" spans="1:25">
      <c r="A229" s="90">
        <v>228</v>
      </c>
      <c r="B229" s="68">
        <v>45821</v>
      </c>
      <c r="C229" s="40">
        <v>35</v>
      </c>
      <c r="D229" s="40">
        <f t="shared" si="12"/>
        <v>1</v>
      </c>
      <c r="E229" s="47" t="s">
        <v>129</v>
      </c>
      <c r="F229" s="17" t="s">
        <v>58</v>
      </c>
      <c r="G229" s="17" t="s">
        <v>86</v>
      </c>
      <c r="H229" s="42" t="s">
        <v>465</v>
      </c>
      <c r="I229" s="17" t="str">
        <f t="shared" si="13"/>
        <v>PN-228</v>
      </c>
      <c r="J229" s="18" t="s">
        <v>85</v>
      </c>
      <c r="K229" s="19" t="e">
        <f>IF(J229="","SEM #CH",VLOOKUP(J229,#REF!,2,0))</f>
        <v>#REF!</v>
      </c>
      <c r="L229" s="19" t="e">
        <f>IF(J229="","SEM #CH",VLOOKUP(J229,#REF!,3,0))</f>
        <v>#REF!</v>
      </c>
      <c r="M229" s="19" t="e">
        <f>IF(J229="","SEM #CH",VLOOKUP(J229,#REF!,4,0))</f>
        <v>#REF!</v>
      </c>
      <c r="N229" s="19" t="e">
        <f>IF(J229="","SEM #CH",VLOOKUP(J229,#REF!,5,0))</f>
        <v>#REF!</v>
      </c>
      <c r="O229" s="19" t="e">
        <f>IF(J229="","SEM #CH",VLOOKUP(J229,#REF!,6,0))</f>
        <v>#REF!</v>
      </c>
      <c r="P229" s="19" t="e">
        <f>IF(J229="","SEM #CH",VLOOKUP(J229,#REF!,7,0))</f>
        <v>#REF!</v>
      </c>
      <c r="Q229" s="77" t="str">
        <f>VLOOKUP(J229,'p1'!$B$2:$C$30,2,0)</f>
        <v>NÃO TEM CHAPA</v>
      </c>
      <c r="R229" s="91"/>
      <c r="S229" s="91" t="s">
        <v>221</v>
      </c>
      <c r="T229" s="91" t="str">
        <f t="shared" si="14"/>
        <v/>
      </c>
      <c r="U229" s="91"/>
      <c r="V229" s="91"/>
      <c r="W229" s="93"/>
      <c r="X229" s="94" t="str">
        <f t="shared" si="15"/>
        <v/>
      </c>
      <c r="Y229"/>
    </row>
    <row r="230" spans="1:25">
      <c r="A230" s="90">
        <v>229</v>
      </c>
      <c r="B230" s="68">
        <v>45827</v>
      </c>
      <c r="C230" s="40">
        <v>37</v>
      </c>
      <c r="D230" s="40">
        <f t="shared" si="12"/>
        <v>1</v>
      </c>
      <c r="E230" s="47" t="s">
        <v>129</v>
      </c>
      <c r="F230" s="17" t="s">
        <v>58</v>
      </c>
      <c r="G230" s="17" t="s">
        <v>86</v>
      </c>
      <c r="H230" s="42" t="s">
        <v>466</v>
      </c>
      <c r="I230" s="17" t="str">
        <f t="shared" si="13"/>
        <v>PN-229</v>
      </c>
      <c r="J230" s="18" t="s">
        <v>85</v>
      </c>
      <c r="K230" s="19" t="e">
        <f>IF(J230="","SEM #CH",VLOOKUP(J230,#REF!,2,0))</f>
        <v>#REF!</v>
      </c>
      <c r="L230" s="19" t="e">
        <f>IF(J230="","SEM #CH",VLOOKUP(J230,#REF!,3,0))</f>
        <v>#REF!</v>
      </c>
      <c r="M230" s="19" t="e">
        <f>IF(J230="","SEM #CH",VLOOKUP(J230,#REF!,4,0))</f>
        <v>#REF!</v>
      </c>
      <c r="N230" s="19" t="e">
        <f>IF(J230="","SEM #CH",VLOOKUP(J230,#REF!,5,0))</f>
        <v>#REF!</v>
      </c>
      <c r="O230" s="19" t="e">
        <f>IF(J230="","SEM #CH",VLOOKUP(J230,#REF!,6,0))</f>
        <v>#REF!</v>
      </c>
      <c r="P230" s="19" t="e">
        <f>IF(J230="","SEM #CH",VLOOKUP(J230,#REF!,7,0))</f>
        <v>#REF!</v>
      </c>
      <c r="Q230" s="77" t="str">
        <f>VLOOKUP(J230,'p1'!$B$2:$C$30,2,0)</f>
        <v>NÃO TEM CHAPA</v>
      </c>
      <c r="R230" s="95">
        <v>45849</v>
      </c>
      <c r="S230" s="91" t="s">
        <v>221</v>
      </c>
      <c r="T230" s="91">
        <f t="shared" si="14"/>
        <v>1</v>
      </c>
      <c r="U230" s="91"/>
      <c r="V230" s="91"/>
      <c r="W230" s="93"/>
      <c r="X230" s="94" t="str">
        <f t="shared" si="15"/>
        <v/>
      </c>
      <c r="Y230"/>
    </row>
    <row r="231" spans="1:25">
      <c r="A231" s="90">
        <v>230</v>
      </c>
      <c r="B231" s="68">
        <v>45827</v>
      </c>
      <c r="C231" s="40">
        <v>37</v>
      </c>
      <c r="D231" s="40">
        <f t="shared" si="12"/>
        <v>1</v>
      </c>
      <c r="E231" s="47" t="s">
        <v>129</v>
      </c>
      <c r="F231" s="17" t="s">
        <v>58</v>
      </c>
      <c r="G231" s="17" t="s">
        <v>86</v>
      </c>
      <c r="H231" s="42" t="s">
        <v>467</v>
      </c>
      <c r="I231" s="17" t="str">
        <f t="shared" si="13"/>
        <v>PN-230</v>
      </c>
      <c r="J231" s="18" t="s">
        <v>85</v>
      </c>
      <c r="K231" s="19" t="e">
        <f>IF(J231="","SEM #CH",VLOOKUP(J231,#REF!,2,0))</f>
        <v>#REF!</v>
      </c>
      <c r="L231" s="19" t="e">
        <f>IF(J231="","SEM #CH",VLOOKUP(J231,#REF!,3,0))</f>
        <v>#REF!</v>
      </c>
      <c r="M231" s="19" t="e">
        <f>IF(J231="","SEM #CH",VLOOKUP(J231,#REF!,4,0))</f>
        <v>#REF!</v>
      </c>
      <c r="N231" s="19" t="e">
        <f>IF(J231="","SEM #CH",VLOOKUP(J231,#REF!,5,0))</f>
        <v>#REF!</v>
      </c>
      <c r="O231" s="19" t="e">
        <f>IF(J231="","SEM #CH",VLOOKUP(J231,#REF!,6,0))</f>
        <v>#REF!</v>
      </c>
      <c r="P231" s="19" t="e">
        <f>IF(J231="","SEM #CH",VLOOKUP(J231,#REF!,7,0))</f>
        <v>#REF!</v>
      </c>
      <c r="Q231" s="77" t="str">
        <f>VLOOKUP(J231,'p1'!$B$2:$C$30,2,0)</f>
        <v>NÃO TEM CHAPA</v>
      </c>
      <c r="R231" s="91"/>
      <c r="S231" s="91" t="s">
        <v>221</v>
      </c>
      <c r="T231" s="91" t="str">
        <f t="shared" si="14"/>
        <v/>
      </c>
      <c r="U231" s="91"/>
      <c r="V231" s="91"/>
      <c r="W231" s="93"/>
      <c r="X231" s="94" t="str">
        <f t="shared" si="15"/>
        <v/>
      </c>
      <c r="Y231"/>
    </row>
    <row r="232" spans="1:25">
      <c r="A232" s="90">
        <v>231</v>
      </c>
      <c r="B232" s="68">
        <v>45827</v>
      </c>
      <c r="C232" s="40">
        <v>37</v>
      </c>
      <c r="D232" s="40">
        <f t="shared" si="12"/>
        <v>1</v>
      </c>
      <c r="E232" s="47" t="s">
        <v>129</v>
      </c>
      <c r="F232" s="17" t="s">
        <v>58</v>
      </c>
      <c r="G232" s="17" t="s">
        <v>86</v>
      </c>
      <c r="H232" s="42" t="s">
        <v>468</v>
      </c>
      <c r="I232" s="17" t="str">
        <f t="shared" si="13"/>
        <v>PN-231</v>
      </c>
      <c r="J232" s="18" t="s">
        <v>85</v>
      </c>
      <c r="K232" s="19" t="e">
        <f>IF(J232="","SEM #CH",VLOOKUP(J232,#REF!,2,0))</f>
        <v>#REF!</v>
      </c>
      <c r="L232" s="19" t="e">
        <f>IF(J232="","SEM #CH",VLOOKUP(J232,#REF!,3,0))</f>
        <v>#REF!</v>
      </c>
      <c r="M232" s="19" t="e">
        <f>IF(J232="","SEM #CH",VLOOKUP(J232,#REF!,4,0))</f>
        <v>#REF!</v>
      </c>
      <c r="N232" s="19" t="e">
        <f>IF(J232="","SEM #CH",VLOOKUP(J232,#REF!,5,0))</f>
        <v>#REF!</v>
      </c>
      <c r="O232" s="19" t="e">
        <f>IF(J232="","SEM #CH",VLOOKUP(J232,#REF!,6,0))</f>
        <v>#REF!</v>
      </c>
      <c r="P232" s="19" t="e">
        <f>IF(J232="","SEM #CH",VLOOKUP(J232,#REF!,7,0))</f>
        <v>#REF!</v>
      </c>
      <c r="Q232" s="77" t="str">
        <f>VLOOKUP(J232,'p1'!$B$2:$C$30,2,0)</f>
        <v>NÃO TEM CHAPA</v>
      </c>
      <c r="R232" s="95">
        <v>45845</v>
      </c>
      <c r="S232" s="91" t="s">
        <v>221</v>
      </c>
      <c r="T232" s="91">
        <f t="shared" si="14"/>
        <v>1</v>
      </c>
      <c r="U232" s="91"/>
      <c r="V232" s="91"/>
      <c r="W232" s="93"/>
      <c r="X232" s="94" t="str">
        <f t="shared" si="15"/>
        <v/>
      </c>
      <c r="Y232"/>
    </row>
    <row r="233" spans="1:25">
      <c r="A233" s="90">
        <v>232</v>
      </c>
      <c r="B233" s="68">
        <v>45827</v>
      </c>
      <c r="C233" s="40">
        <v>37</v>
      </c>
      <c r="D233" s="40">
        <f t="shared" si="12"/>
        <v>1</v>
      </c>
      <c r="E233" s="47" t="s">
        <v>129</v>
      </c>
      <c r="F233" s="17" t="s">
        <v>58</v>
      </c>
      <c r="G233" s="17" t="s">
        <v>86</v>
      </c>
      <c r="H233" s="42" t="s">
        <v>469</v>
      </c>
      <c r="I233" s="17" t="str">
        <f t="shared" si="13"/>
        <v>PN-232</v>
      </c>
      <c r="J233" s="18" t="s">
        <v>85</v>
      </c>
      <c r="K233" s="19" t="e">
        <f>IF(J233="","SEM #CH",VLOOKUP(J233,#REF!,2,0))</f>
        <v>#REF!</v>
      </c>
      <c r="L233" s="19" t="e">
        <f>IF(J233="","SEM #CH",VLOOKUP(J233,#REF!,3,0))</f>
        <v>#REF!</v>
      </c>
      <c r="M233" s="19" t="e">
        <f>IF(J233="","SEM #CH",VLOOKUP(J233,#REF!,4,0))</f>
        <v>#REF!</v>
      </c>
      <c r="N233" s="19" t="e">
        <f>IF(J233="","SEM #CH",VLOOKUP(J233,#REF!,5,0))</f>
        <v>#REF!</v>
      </c>
      <c r="O233" s="19" t="e">
        <f>IF(J233="","SEM #CH",VLOOKUP(J233,#REF!,6,0))</f>
        <v>#REF!</v>
      </c>
      <c r="P233" s="19" t="e">
        <f>IF(J233="","SEM #CH",VLOOKUP(J233,#REF!,7,0))</f>
        <v>#REF!</v>
      </c>
      <c r="Q233" s="77" t="str">
        <f>VLOOKUP(J233,'p1'!$B$2:$C$30,2,0)</f>
        <v>NÃO TEM CHAPA</v>
      </c>
      <c r="R233" s="95">
        <v>45845</v>
      </c>
      <c r="S233" s="91" t="s">
        <v>221</v>
      </c>
      <c r="T233" s="91">
        <f t="shared" si="14"/>
        <v>1</v>
      </c>
      <c r="U233" s="91"/>
      <c r="V233" s="91"/>
      <c r="W233" s="93"/>
      <c r="X233" s="94" t="str">
        <f t="shared" si="15"/>
        <v/>
      </c>
      <c r="Y233"/>
    </row>
    <row r="234" spans="1:25">
      <c r="A234" s="90">
        <v>233</v>
      </c>
      <c r="B234" s="68">
        <v>45827</v>
      </c>
      <c r="C234" s="40">
        <v>37</v>
      </c>
      <c r="D234" s="40">
        <f t="shared" si="12"/>
        <v>1</v>
      </c>
      <c r="E234" s="47" t="s">
        <v>129</v>
      </c>
      <c r="F234" s="17" t="s">
        <v>58</v>
      </c>
      <c r="G234" s="17" t="s">
        <v>86</v>
      </c>
      <c r="H234" s="42" t="s">
        <v>470</v>
      </c>
      <c r="I234" s="17" t="str">
        <f t="shared" si="13"/>
        <v>PN-233</v>
      </c>
      <c r="J234" s="18" t="s">
        <v>85</v>
      </c>
      <c r="K234" s="19" t="e">
        <f>IF(J234="","SEM #CH",VLOOKUP(J234,#REF!,2,0))</f>
        <v>#REF!</v>
      </c>
      <c r="L234" s="19" t="e">
        <f>IF(J234="","SEM #CH",VLOOKUP(J234,#REF!,3,0))</f>
        <v>#REF!</v>
      </c>
      <c r="M234" s="19" t="e">
        <f>IF(J234="","SEM #CH",VLOOKUP(J234,#REF!,4,0))</f>
        <v>#REF!</v>
      </c>
      <c r="N234" s="19" t="e">
        <f>IF(J234="","SEM #CH",VLOOKUP(J234,#REF!,5,0))</f>
        <v>#REF!</v>
      </c>
      <c r="O234" s="19" t="e">
        <f>IF(J234="","SEM #CH",VLOOKUP(J234,#REF!,6,0))</f>
        <v>#REF!</v>
      </c>
      <c r="P234" s="19" t="e">
        <f>IF(J234="","SEM #CH",VLOOKUP(J234,#REF!,7,0))</f>
        <v>#REF!</v>
      </c>
      <c r="Q234" s="77" t="str">
        <f>VLOOKUP(J234,'p1'!$B$2:$C$30,2,0)</f>
        <v>NÃO TEM CHAPA</v>
      </c>
      <c r="R234" s="91" t="s">
        <v>1055</v>
      </c>
      <c r="S234" s="91" t="s">
        <v>221</v>
      </c>
      <c r="T234" s="91">
        <f t="shared" si="14"/>
        <v>1</v>
      </c>
      <c r="U234" s="91"/>
      <c r="V234" s="91"/>
      <c r="W234" s="93"/>
      <c r="X234" s="94" t="str">
        <f t="shared" si="15"/>
        <v/>
      </c>
      <c r="Y234"/>
    </row>
    <row r="235" spans="1:25">
      <c r="A235" s="90">
        <v>234</v>
      </c>
      <c r="B235" s="68">
        <v>45827</v>
      </c>
      <c r="C235" s="40">
        <v>37</v>
      </c>
      <c r="D235" s="40">
        <f t="shared" si="12"/>
        <v>1</v>
      </c>
      <c r="E235" s="47" t="s">
        <v>129</v>
      </c>
      <c r="F235" s="17" t="s">
        <v>58</v>
      </c>
      <c r="G235" s="17" t="s">
        <v>86</v>
      </c>
      <c r="H235" s="42" t="s">
        <v>471</v>
      </c>
      <c r="I235" s="17" t="str">
        <f t="shared" si="13"/>
        <v>PN-234</v>
      </c>
      <c r="J235" s="18" t="s">
        <v>85</v>
      </c>
      <c r="K235" s="19" t="e">
        <f>IF(J235="","SEM #CH",VLOOKUP(J235,#REF!,2,0))</f>
        <v>#REF!</v>
      </c>
      <c r="L235" s="19" t="e">
        <f>IF(J235="","SEM #CH",VLOOKUP(J235,#REF!,3,0))</f>
        <v>#REF!</v>
      </c>
      <c r="M235" s="19" t="e">
        <f>IF(J235="","SEM #CH",VLOOKUP(J235,#REF!,4,0))</f>
        <v>#REF!</v>
      </c>
      <c r="N235" s="19" t="e">
        <f>IF(J235="","SEM #CH",VLOOKUP(J235,#REF!,5,0))</f>
        <v>#REF!</v>
      </c>
      <c r="O235" s="19" t="e">
        <f>IF(J235="","SEM #CH",VLOOKUP(J235,#REF!,6,0))</f>
        <v>#REF!</v>
      </c>
      <c r="P235" s="19" t="e">
        <f>IF(J235="","SEM #CH",VLOOKUP(J235,#REF!,7,0))</f>
        <v>#REF!</v>
      </c>
      <c r="Q235" s="77" t="str">
        <f>VLOOKUP(J235,'p1'!$B$2:$C$30,2,0)</f>
        <v>NÃO TEM CHAPA</v>
      </c>
      <c r="R235" s="95">
        <v>45840</v>
      </c>
      <c r="S235" s="91" t="s">
        <v>221</v>
      </c>
      <c r="T235" s="91">
        <f t="shared" si="14"/>
        <v>1</v>
      </c>
      <c r="U235" s="91"/>
      <c r="V235" s="91"/>
      <c r="W235" s="93"/>
      <c r="X235" s="94" t="str">
        <f t="shared" si="15"/>
        <v/>
      </c>
      <c r="Y235"/>
    </row>
    <row r="236" spans="1:25">
      <c r="A236" s="90">
        <v>235</v>
      </c>
      <c r="B236" s="68">
        <v>45833</v>
      </c>
      <c r="C236" s="40">
        <v>39</v>
      </c>
      <c r="D236" s="40">
        <f t="shared" si="12"/>
        <v>1</v>
      </c>
      <c r="E236" s="47" t="s">
        <v>129</v>
      </c>
      <c r="F236" s="17" t="s">
        <v>58</v>
      </c>
      <c r="G236" s="17" t="s">
        <v>86</v>
      </c>
      <c r="H236" s="42" t="s">
        <v>472</v>
      </c>
      <c r="I236" s="17" t="str">
        <f t="shared" si="13"/>
        <v>PN-235</v>
      </c>
      <c r="J236" s="18" t="s">
        <v>85</v>
      </c>
      <c r="K236" s="19" t="e">
        <f>IF(J236="","SEM #CH",VLOOKUP(J236,#REF!,2,0))</f>
        <v>#REF!</v>
      </c>
      <c r="L236" s="19" t="e">
        <f>IF(J236="","SEM #CH",VLOOKUP(J236,#REF!,3,0))</f>
        <v>#REF!</v>
      </c>
      <c r="M236" s="19" t="e">
        <f>IF(J236="","SEM #CH",VLOOKUP(J236,#REF!,4,0))</f>
        <v>#REF!</v>
      </c>
      <c r="N236" s="19" t="e">
        <f>IF(J236="","SEM #CH",VLOOKUP(J236,#REF!,5,0))</f>
        <v>#REF!</v>
      </c>
      <c r="O236" s="19" t="e">
        <f>IF(J236="","SEM #CH",VLOOKUP(J236,#REF!,6,0))</f>
        <v>#REF!</v>
      </c>
      <c r="P236" s="19" t="e">
        <f>IF(J236="","SEM #CH",VLOOKUP(J236,#REF!,7,0))</f>
        <v>#REF!</v>
      </c>
      <c r="Q236" s="77" t="str">
        <f>VLOOKUP(J236,'p1'!$B$2:$C$30,2,0)</f>
        <v>NÃO TEM CHAPA</v>
      </c>
      <c r="R236" s="91"/>
      <c r="S236" s="91" t="s">
        <v>221</v>
      </c>
      <c r="T236" s="91" t="str">
        <f t="shared" si="14"/>
        <v/>
      </c>
      <c r="U236" s="91"/>
      <c r="V236" s="91"/>
      <c r="W236" s="93"/>
      <c r="X236" s="94" t="str">
        <f t="shared" si="15"/>
        <v/>
      </c>
      <c r="Y236"/>
    </row>
    <row r="237" spans="1:25">
      <c r="A237" s="90">
        <v>236</v>
      </c>
      <c r="B237" s="68">
        <v>45833</v>
      </c>
      <c r="C237" s="40">
        <v>39</v>
      </c>
      <c r="D237" s="40">
        <f t="shared" si="12"/>
        <v>1</v>
      </c>
      <c r="E237" s="47" t="s">
        <v>129</v>
      </c>
      <c r="F237" s="17" t="s">
        <v>58</v>
      </c>
      <c r="G237" s="17" t="s">
        <v>86</v>
      </c>
      <c r="H237" s="42" t="s">
        <v>473</v>
      </c>
      <c r="I237" s="17" t="str">
        <f t="shared" si="13"/>
        <v>PN-236</v>
      </c>
      <c r="J237" s="18" t="s">
        <v>85</v>
      </c>
      <c r="K237" s="19" t="e">
        <f>IF(J237="","SEM #CH",VLOOKUP(J237,#REF!,2,0))</f>
        <v>#REF!</v>
      </c>
      <c r="L237" s="19" t="e">
        <f>IF(J237="","SEM #CH",VLOOKUP(J237,#REF!,3,0))</f>
        <v>#REF!</v>
      </c>
      <c r="M237" s="19" t="e">
        <f>IF(J237="","SEM #CH",VLOOKUP(J237,#REF!,4,0))</f>
        <v>#REF!</v>
      </c>
      <c r="N237" s="19" t="e">
        <f>IF(J237="","SEM #CH",VLOOKUP(J237,#REF!,5,0))</f>
        <v>#REF!</v>
      </c>
      <c r="O237" s="19" t="e">
        <f>IF(J237="","SEM #CH",VLOOKUP(J237,#REF!,6,0))</f>
        <v>#REF!</v>
      </c>
      <c r="P237" s="19" t="e">
        <f>IF(J237="","SEM #CH",VLOOKUP(J237,#REF!,7,0))</f>
        <v>#REF!</v>
      </c>
      <c r="Q237" s="77" t="str">
        <f>VLOOKUP(J237,'p1'!$B$2:$C$30,2,0)</f>
        <v>NÃO TEM CHAPA</v>
      </c>
      <c r="R237" s="91"/>
      <c r="S237" s="91" t="s">
        <v>221</v>
      </c>
      <c r="T237" s="91" t="str">
        <f t="shared" si="14"/>
        <v/>
      </c>
      <c r="U237" s="91"/>
      <c r="V237" s="91"/>
      <c r="W237" s="93"/>
      <c r="X237" s="94" t="str">
        <f t="shared" si="15"/>
        <v/>
      </c>
      <c r="Y237"/>
    </row>
    <row r="238" spans="1:25">
      <c r="A238" s="90">
        <v>237</v>
      </c>
      <c r="B238" s="68">
        <v>45833</v>
      </c>
      <c r="C238" s="40">
        <v>39</v>
      </c>
      <c r="D238" s="40">
        <f t="shared" si="12"/>
        <v>1</v>
      </c>
      <c r="E238" s="47" t="s">
        <v>129</v>
      </c>
      <c r="F238" s="17" t="s">
        <v>58</v>
      </c>
      <c r="G238" s="17" t="s">
        <v>86</v>
      </c>
      <c r="H238" s="42" t="s">
        <v>474</v>
      </c>
      <c r="I238" s="17" t="str">
        <f t="shared" si="13"/>
        <v>PN-237</v>
      </c>
      <c r="J238" s="18" t="s">
        <v>85</v>
      </c>
      <c r="K238" s="19" t="e">
        <f>IF(J238="","SEM #CH",VLOOKUP(J238,#REF!,2,0))</f>
        <v>#REF!</v>
      </c>
      <c r="L238" s="19" t="e">
        <f>IF(J238="","SEM #CH",VLOOKUP(J238,#REF!,3,0))</f>
        <v>#REF!</v>
      </c>
      <c r="M238" s="19" t="e">
        <f>IF(J238="","SEM #CH",VLOOKUP(J238,#REF!,4,0))</f>
        <v>#REF!</v>
      </c>
      <c r="N238" s="19" t="e">
        <f>IF(J238="","SEM #CH",VLOOKUP(J238,#REF!,5,0))</f>
        <v>#REF!</v>
      </c>
      <c r="O238" s="19" t="e">
        <f>IF(J238="","SEM #CH",VLOOKUP(J238,#REF!,6,0))</f>
        <v>#REF!</v>
      </c>
      <c r="P238" s="19" t="e">
        <f>IF(J238="","SEM #CH",VLOOKUP(J238,#REF!,7,0))</f>
        <v>#REF!</v>
      </c>
      <c r="Q238" s="77" t="str">
        <f>VLOOKUP(J238,'p1'!$B$2:$C$30,2,0)</f>
        <v>NÃO TEM CHAPA</v>
      </c>
      <c r="R238" s="91"/>
      <c r="S238" s="91" t="s">
        <v>221</v>
      </c>
      <c r="T238" s="91" t="str">
        <f t="shared" si="14"/>
        <v/>
      </c>
      <c r="U238" s="91"/>
      <c r="V238" s="91"/>
      <c r="W238" s="93"/>
      <c r="X238" s="94" t="str">
        <f t="shared" si="15"/>
        <v/>
      </c>
      <c r="Y238"/>
    </row>
    <row r="239" spans="1:25">
      <c r="A239" s="90">
        <v>238</v>
      </c>
      <c r="B239" s="68">
        <v>45833</v>
      </c>
      <c r="C239" s="40">
        <v>39</v>
      </c>
      <c r="D239" s="40">
        <f t="shared" si="12"/>
        <v>1</v>
      </c>
      <c r="E239" s="47" t="s">
        <v>129</v>
      </c>
      <c r="F239" s="17" t="s">
        <v>58</v>
      </c>
      <c r="G239" s="17" t="s">
        <v>86</v>
      </c>
      <c r="H239" s="42" t="s">
        <v>475</v>
      </c>
      <c r="I239" s="17" t="str">
        <f t="shared" si="13"/>
        <v>PN-238</v>
      </c>
      <c r="J239" s="18" t="s">
        <v>85</v>
      </c>
      <c r="K239" s="19" t="e">
        <f>IF(J239="","SEM #CH",VLOOKUP(J239,#REF!,2,0))</f>
        <v>#REF!</v>
      </c>
      <c r="L239" s="19" t="e">
        <f>IF(J239="","SEM #CH",VLOOKUP(J239,#REF!,3,0))</f>
        <v>#REF!</v>
      </c>
      <c r="M239" s="19" t="e">
        <f>IF(J239="","SEM #CH",VLOOKUP(J239,#REF!,4,0))</f>
        <v>#REF!</v>
      </c>
      <c r="N239" s="19" t="e">
        <f>IF(J239="","SEM #CH",VLOOKUP(J239,#REF!,5,0))</f>
        <v>#REF!</v>
      </c>
      <c r="O239" s="19" t="e">
        <f>IF(J239="","SEM #CH",VLOOKUP(J239,#REF!,6,0))</f>
        <v>#REF!</v>
      </c>
      <c r="P239" s="19" t="e">
        <f>IF(J239="","SEM #CH",VLOOKUP(J239,#REF!,7,0))</f>
        <v>#REF!</v>
      </c>
      <c r="Q239" s="77" t="str">
        <f>VLOOKUP(J239,'p1'!$B$2:$C$30,2,0)</f>
        <v>NÃO TEM CHAPA</v>
      </c>
      <c r="R239" s="91"/>
      <c r="S239" s="91" t="s">
        <v>221</v>
      </c>
      <c r="T239" s="91" t="str">
        <f t="shared" si="14"/>
        <v/>
      </c>
      <c r="U239" s="91"/>
      <c r="V239" s="91"/>
      <c r="W239" s="93"/>
      <c r="X239" s="94" t="str">
        <f t="shared" si="15"/>
        <v/>
      </c>
      <c r="Y239"/>
    </row>
    <row r="240" spans="1:25">
      <c r="A240" s="90">
        <v>239</v>
      </c>
      <c r="B240" s="68">
        <v>45833</v>
      </c>
      <c r="C240" s="40">
        <v>39</v>
      </c>
      <c r="D240" s="40">
        <f t="shared" si="12"/>
        <v>1</v>
      </c>
      <c r="E240" s="47" t="s">
        <v>129</v>
      </c>
      <c r="F240" s="17" t="s">
        <v>58</v>
      </c>
      <c r="G240" s="17" t="s">
        <v>86</v>
      </c>
      <c r="H240" s="42" t="s">
        <v>476</v>
      </c>
      <c r="I240" s="17" t="str">
        <f t="shared" si="13"/>
        <v>PN-239</v>
      </c>
      <c r="J240" s="18" t="s">
        <v>85</v>
      </c>
      <c r="K240" s="19" t="e">
        <f>IF(J240="","SEM #CH",VLOOKUP(J240,#REF!,2,0))</f>
        <v>#REF!</v>
      </c>
      <c r="L240" s="19" t="e">
        <f>IF(J240="","SEM #CH",VLOOKUP(J240,#REF!,3,0))</f>
        <v>#REF!</v>
      </c>
      <c r="M240" s="19" t="e">
        <f>IF(J240="","SEM #CH",VLOOKUP(J240,#REF!,4,0))</f>
        <v>#REF!</v>
      </c>
      <c r="N240" s="19" t="e">
        <f>IF(J240="","SEM #CH",VLOOKUP(J240,#REF!,5,0))</f>
        <v>#REF!</v>
      </c>
      <c r="O240" s="19" t="e">
        <f>IF(J240="","SEM #CH",VLOOKUP(J240,#REF!,6,0))</f>
        <v>#REF!</v>
      </c>
      <c r="P240" s="19" t="e">
        <f>IF(J240="","SEM #CH",VLOOKUP(J240,#REF!,7,0))</f>
        <v>#REF!</v>
      </c>
      <c r="Q240" s="77" t="str">
        <f>VLOOKUP(J240,'p1'!$B$2:$C$30,2,0)</f>
        <v>NÃO TEM CHAPA</v>
      </c>
      <c r="R240" s="91"/>
      <c r="S240" s="91" t="s">
        <v>221</v>
      </c>
      <c r="T240" s="91" t="str">
        <f t="shared" si="14"/>
        <v/>
      </c>
      <c r="U240" s="91"/>
      <c r="V240" s="91"/>
      <c r="W240" s="93"/>
      <c r="X240" s="94" t="str">
        <f t="shared" si="15"/>
        <v/>
      </c>
      <c r="Y240"/>
    </row>
    <row r="241" spans="1:25">
      <c r="A241" s="90">
        <v>240</v>
      </c>
      <c r="B241" s="68">
        <v>45833</v>
      </c>
      <c r="C241" s="40">
        <v>39</v>
      </c>
      <c r="D241" s="40">
        <f t="shared" si="12"/>
        <v>1</v>
      </c>
      <c r="E241" s="47" t="s">
        <v>129</v>
      </c>
      <c r="F241" s="17" t="s">
        <v>58</v>
      </c>
      <c r="G241" s="17" t="s">
        <v>86</v>
      </c>
      <c r="H241" s="42" t="s">
        <v>477</v>
      </c>
      <c r="I241" s="17" t="str">
        <f t="shared" si="13"/>
        <v>PN-240</v>
      </c>
      <c r="J241" s="18" t="s">
        <v>85</v>
      </c>
      <c r="K241" s="19" t="e">
        <f>IF(J241="","SEM #CH",VLOOKUP(J241,#REF!,2,0))</f>
        <v>#REF!</v>
      </c>
      <c r="L241" s="19" t="e">
        <f>IF(J241="","SEM #CH",VLOOKUP(J241,#REF!,3,0))</f>
        <v>#REF!</v>
      </c>
      <c r="M241" s="19" t="e">
        <f>IF(J241="","SEM #CH",VLOOKUP(J241,#REF!,4,0))</f>
        <v>#REF!</v>
      </c>
      <c r="N241" s="19" t="e">
        <f>IF(J241="","SEM #CH",VLOOKUP(J241,#REF!,5,0))</f>
        <v>#REF!</v>
      </c>
      <c r="O241" s="19" t="e">
        <f>IF(J241="","SEM #CH",VLOOKUP(J241,#REF!,6,0))</f>
        <v>#REF!</v>
      </c>
      <c r="P241" s="19" t="e">
        <f>IF(J241="","SEM #CH",VLOOKUP(J241,#REF!,7,0))</f>
        <v>#REF!</v>
      </c>
      <c r="Q241" s="77" t="str">
        <f>VLOOKUP(J241,'p1'!$B$2:$C$30,2,0)</f>
        <v>NÃO TEM CHAPA</v>
      </c>
      <c r="R241" s="91"/>
      <c r="S241" s="91" t="s">
        <v>221</v>
      </c>
      <c r="T241" s="91" t="str">
        <f t="shared" si="14"/>
        <v/>
      </c>
      <c r="U241" s="91"/>
      <c r="V241" s="91"/>
      <c r="W241" s="93"/>
      <c r="X241" s="94" t="str">
        <f t="shared" si="15"/>
        <v/>
      </c>
      <c r="Y241"/>
    </row>
    <row r="242" spans="1:25">
      <c r="A242" s="90">
        <v>241</v>
      </c>
      <c r="B242" s="68">
        <v>45821</v>
      </c>
      <c r="C242" s="40">
        <v>35</v>
      </c>
      <c r="D242" s="40">
        <f t="shared" si="12"/>
        <v>1</v>
      </c>
      <c r="E242" s="47" t="s">
        <v>129</v>
      </c>
      <c r="F242" s="17" t="s">
        <v>60</v>
      </c>
      <c r="G242" s="17" t="s">
        <v>86</v>
      </c>
      <c r="H242" s="42" t="s">
        <v>478</v>
      </c>
      <c r="I242" s="17" t="str">
        <f t="shared" si="13"/>
        <v>PE-241</v>
      </c>
      <c r="J242" s="18" t="s">
        <v>89</v>
      </c>
      <c r="K242" s="19" t="e">
        <f>IF(J242="","SEM #CH",VLOOKUP(J242,#REF!,2,0))</f>
        <v>#REF!</v>
      </c>
      <c r="L242" s="19" t="e">
        <f>IF(J242="","SEM #CH",VLOOKUP(J242,#REF!,3,0))</f>
        <v>#REF!</v>
      </c>
      <c r="M242" s="19" t="e">
        <f>IF(J242="","SEM #CH",VLOOKUP(J242,#REF!,4,0))</f>
        <v>#REF!</v>
      </c>
      <c r="N242" s="19" t="e">
        <f>IF(J242="","SEM #CH",VLOOKUP(J242,#REF!,5,0))</f>
        <v>#REF!</v>
      </c>
      <c r="O242" s="19" t="e">
        <f>IF(J242="","SEM #CH",VLOOKUP(J242,#REF!,6,0))</f>
        <v>#REF!</v>
      </c>
      <c r="P242" s="19" t="e">
        <f>IF(J242="","SEM #CH",VLOOKUP(J242,#REF!,7,0))</f>
        <v>#REF!</v>
      </c>
      <c r="Q242" s="77" t="str">
        <f>VLOOKUP(J242,'p1'!$B$2:$C$30,2,0)</f>
        <v>#3/8-1200X1200</v>
      </c>
      <c r="R242" s="95">
        <v>45831</v>
      </c>
      <c r="S242" s="91" t="s">
        <v>221</v>
      </c>
      <c r="T242" s="91">
        <f t="shared" si="14"/>
        <v>1</v>
      </c>
      <c r="U242" s="95">
        <v>45835</v>
      </c>
      <c r="V242" s="91" t="s">
        <v>86</v>
      </c>
      <c r="W242" s="93">
        <v>2422</v>
      </c>
      <c r="X242" s="94">
        <f t="shared" si="15"/>
        <v>1</v>
      </c>
      <c r="Y242"/>
    </row>
    <row r="243" spans="1:25">
      <c r="A243" s="90">
        <v>242</v>
      </c>
      <c r="B243" s="68">
        <v>45821</v>
      </c>
      <c r="C243" s="40">
        <v>35</v>
      </c>
      <c r="D243" s="40">
        <f t="shared" si="12"/>
        <v>1</v>
      </c>
      <c r="E243" s="47" t="s">
        <v>129</v>
      </c>
      <c r="F243" s="17" t="s">
        <v>60</v>
      </c>
      <c r="G243" s="17" t="s">
        <v>86</v>
      </c>
      <c r="H243" s="42" t="s">
        <v>479</v>
      </c>
      <c r="I243" s="17" t="str">
        <f t="shared" si="13"/>
        <v>PE-242</v>
      </c>
      <c r="J243" s="18" t="s">
        <v>87</v>
      </c>
      <c r="K243" s="19" t="e">
        <f>IF(J243="","SEM #CH",VLOOKUP(J243,#REF!,2,0))</f>
        <v>#REF!</v>
      </c>
      <c r="L243" s="19" t="e">
        <f>IF(J243="","SEM #CH",VLOOKUP(J243,#REF!,3,0))</f>
        <v>#REF!</v>
      </c>
      <c r="M243" s="19" t="e">
        <f>IF(J243="","SEM #CH",VLOOKUP(J243,#REF!,4,0))</f>
        <v>#REF!</v>
      </c>
      <c r="N243" s="19" t="e">
        <f>IF(J243="","SEM #CH",VLOOKUP(J243,#REF!,5,0))</f>
        <v>#REF!</v>
      </c>
      <c r="O243" s="19" t="e">
        <f>IF(J243="","SEM #CH",VLOOKUP(J243,#REF!,6,0))</f>
        <v>#REF!</v>
      </c>
      <c r="P243" s="19" t="e">
        <f>IF(J243="","SEM #CH",VLOOKUP(J243,#REF!,7,0))</f>
        <v>#REF!</v>
      </c>
      <c r="Q243" s="77" t="str">
        <f>VLOOKUP(J243,'p1'!$B$2:$C$30,2,0)</f>
        <v>#3/8-1620X1620</v>
      </c>
      <c r="R243" s="95">
        <v>45828</v>
      </c>
      <c r="S243" s="91" t="s">
        <v>221</v>
      </c>
      <c r="T243" s="91">
        <f t="shared" si="14"/>
        <v>1</v>
      </c>
      <c r="U243" s="95">
        <v>45835</v>
      </c>
      <c r="V243" s="91" t="s">
        <v>86</v>
      </c>
      <c r="W243" s="93">
        <v>2419</v>
      </c>
      <c r="X243" s="94">
        <f t="shared" si="15"/>
        <v>1</v>
      </c>
      <c r="Y243"/>
    </row>
    <row r="244" spans="1:25">
      <c r="A244" s="90">
        <v>243</v>
      </c>
      <c r="B244" s="68">
        <v>45821</v>
      </c>
      <c r="C244" s="40">
        <v>35</v>
      </c>
      <c r="D244" s="40">
        <f t="shared" si="12"/>
        <v>1</v>
      </c>
      <c r="E244" s="47" t="s">
        <v>129</v>
      </c>
      <c r="F244" s="17" t="s">
        <v>60</v>
      </c>
      <c r="G244" s="17" t="s">
        <v>86</v>
      </c>
      <c r="H244" s="42" t="s">
        <v>480</v>
      </c>
      <c r="I244" s="17" t="str">
        <f t="shared" si="13"/>
        <v>PE-243</v>
      </c>
      <c r="J244" s="18" t="s">
        <v>88</v>
      </c>
      <c r="K244" s="19" t="e">
        <f>IF(J244="","SEM #CH",VLOOKUP(J244,#REF!,2,0))</f>
        <v>#REF!</v>
      </c>
      <c r="L244" s="19" t="e">
        <f>IF(J244="","SEM #CH",VLOOKUP(J244,#REF!,3,0))</f>
        <v>#REF!</v>
      </c>
      <c r="M244" s="19" t="e">
        <f>IF(J244="","SEM #CH",VLOOKUP(J244,#REF!,4,0))</f>
        <v>#REF!</v>
      </c>
      <c r="N244" s="19" t="e">
        <f>IF(J244="","SEM #CH",VLOOKUP(J244,#REF!,5,0))</f>
        <v>#REF!</v>
      </c>
      <c r="O244" s="19" t="e">
        <f>IF(J244="","SEM #CH",VLOOKUP(J244,#REF!,6,0))</f>
        <v>#REF!</v>
      </c>
      <c r="P244" s="19" t="e">
        <f>IF(J244="","SEM #CH",VLOOKUP(J244,#REF!,7,0))</f>
        <v>#REF!</v>
      </c>
      <c r="Q244" s="77" t="str">
        <f>VLOOKUP(J244,'p1'!$B$2:$C$30,2,0)</f>
        <v>#3/8-1315X1315</v>
      </c>
      <c r="R244" s="91"/>
      <c r="S244" s="91" t="s">
        <v>221</v>
      </c>
      <c r="T244" s="91" t="str">
        <f t="shared" si="14"/>
        <v/>
      </c>
      <c r="U244" s="91"/>
      <c r="V244" s="91"/>
      <c r="W244" s="93"/>
      <c r="X244" s="94" t="str">
        <f t="shared" si="15"/>
        <v/>
      </c>
      <c r="Y244"/>
    </row>
    <row r="245" spans="1:25">
      <c r="A245" s="90">
        <v>244</v>
      </c>
      <c r="B245" s="68">
        <v>45842</v>
      </c>
      <c r="C245" s="40">
        <v>44</v>
      </c>
      <c r="D245" s="40">
        <f t="shared" si="12"/>
        <v>1</v>
      </c>
      <c r="E245" s="47" t="s">
        <v>129</v>
      </c>
      <c r="F245" s="17" t="s">
        <v>58</v>
      </c>
      <c r="G245" s="17" t="s">
        <v>86</v>
      </c>
      <c r="H245" s="42" t="s">
        <v>481</v>
      </c>
      <c r="I245" s="17" t="str">
        <f t="shared" si="13"/>
        <v>PN-244</v>
      </c>
      <c r="J245" s="18" t="s">
        <v>85</v>
      </c>
      <c r="K245" s="19" t="e">
        <f>IF(J245="","SEM #CH",VLOOKUP(J245,#REF!,2,0))</f>
        <v>#REF!</v>
      </c>
      <c r="L245" s="19" t="e">
        <f>IF(J245="","SEM #CH",VLOOKUP(J245,#REF!,3,0))</f>
        <v>#REF!</v>
      </c>
      <c r="M245" s="19" t="e">
        <f>IF(J245="","SEM #CH",VLOOKUP(J245,#REF!,4,0))</f>
        <v>#REF!</v>
      </c>
      <c r="N245" s="19" t="e">
        <f>IF(J245="","SEM #CH",VLOOKUP(J245,#REF!,5,0))</f>
        <v>#REF!</v>
      </c>
      <c r="O245" s="19" t="e">
        <f>IF(J245="","SEM #CH",VLOOKUP(J245,#REF!,6,0))</f>
        <v>#REF!</v>
      </c>
      <c r="P245" s="19" t="e">
        <f>IF(J245="","SEM #CH",VLOOKUP(J245,#REF!,7,0))</f>
        <v>#REF!</v>
      </c>
      <c r="Q245" s="77" t="str">
        <f>VLOOKUP(J245,'p1'!$B$2:$C$30,2,0)</f>
        <v>NÃO TEM CHAPA</v>
      </c>
      <c r="R245" s="91"/>
      <c r="S245" s="91"/>
      <c r="T245" s="91" t="str">
        <f t="shared" si="14"/>
        <v/>
      </c>
      <c r="U245" s="91"/>
      <c r="V245" s="91"/>
      <c r="W245" s="93"/>
      <c r="X245" s="94" t="str">
        <f t="shared" si="15"/>
        <v/>
      </c>
      <c r="Y245"/>
    </row>
    <row r="246" spans="1:25">
      <c r="A246" s="90">
        <v>245</v>
      </c>
      <c r="B246" s="68">
        <v>45842</v>
      </c>
      <c r="C246" s="40">
        <v>44</v>
      </c>
      <c r="D246" s="40">
        <f t="shared" si="12"/>
        <v>1</v>
      </c>
      <c r="E246" s="47" t="s">
        <v>129</v>
      </c>
      <c r="F246" s="17" t="s">
        <v>58</v>
      </c>
      <c r="G246" s="17" t="s">
        <v>86</v>
      </c>
      <c r="H246" s="42" t="s">
        <v>482</v>
      </c>
      <c r="I246" s="17" t="str">
        <f t="shared" si="13"/>
        <v>PN-245</v>
      </c>
      <c r="J246" s="18" t="s">
        <v>85</v>
      </c>
      <c r="K246" s="19" t="e">
        <f>IF(J246="","SEM #CH",VLOOKUP(J246,#REF!,2,0))</f>
        <v>#REF!</v>
      </c>
      <c r="L246" s="19" t="e">
        <f>IF(J246="","SEM #CH",VLOOKUP(J246,#REF!,3,0))</f>
        <v>#REF!</v>
      </c>
      <c r="M246" s="19" t="e">
        <f>IF(J246="","SEM #CH",VLOOKUP(J246,#REF!,4,0))</f>
        <v>#REF!</v>
      </c>
      <c r="N246" s="19" t="e">
        <f>IF(J246="","SEM #CH",VLOOKUP(J246,#REF!,5,0))</f>
        <v>#REF!</v>
      </c>
      <c r="O246" s="19" t="e">
        <f>IF(J246="","SEM #CH",VLOOKUP(J246,#REF!,6,0))</f>
        <v>#REF!</v>
      </c>
      <c r="P246" s="19" t="e">
        <f>IF(J246="","SEM #CH",VLOOKUP(J246,#REF!,7,0))</f>
        <v>#REF!</v>
      </c>
      <c r="Q246" s="77" t="str">
        <f>VLOOKUP(J246,'p1'!$B$2:$C$30,2,0)</f>
        <v>NÃO TEM CHAPA</v>
      </c>
      <c r="R246" s="91"/>
      <c r="S246" s="91"/>
      <c r="T246" s="91" t="str">
        <f t="shared" si="14"/>
        <v/>
      </c>
      <c r="U246" s="91"/>
      <c r="V246" s="91"/>
      <c r="W246" s="93"/>
      <c r="X246" s="94" t="str">
        <f t="shared" si="15"/>
        <v/>
      </c>
      <c r="Y246"/>
    </row>
    <row r="247" spans="1:25">
      <c r="A247" s="90">
        <v>246</v>
      </c>
      <c r="B247" s="68">
        <v>45842</v>
      </c>
      <c r="C247" s="40">
        <v>44</v>
      </c>
      <c r="D247" s="40">
        <f t="shared" si="12"/>
        <v>1</v>
      </c>
      <c r="E247" s="47" t="s">
        <v>129</v>
      </c>
      <c r="F247" s="17" t="s">
        <v>58</v>
      </c>
      <c r="G247" s="17" t="s">
        <v>86</v>
      </c>
      <c r="H247" s="42" t="s">
        <v>483</v>
      </c>
      <c r="I247" s="17" t="str">
        <f t="shared" si="13"/>
        <v>PN-246</v>
      </c>
      <c r="J247" s="18" t="s">
        <v>85</v>
      </c>
      <c r="K247" s="19" t="e">
        <f>IF(J247="","SEM #CH",VLOOKUP(J247,#REF!,2,0))</f>
        <v>#REF!</v>
      </c>
      <c r="L247" s="19" t="e">
        <f>IF(J247="","SEM #CH",VLOOKUP(J247,#REF!,3,0))</f>
        <v>#REF!</v>
      </c>
      <c r="M247" s="19" t="e">
        <f>IF(J247="","SEM #CH",VLOOKUP(J247,#REF!,4,0))</f>
        <v>#REF!</v>
      </c>
      <c r="N247" s="19" t="e">
        <f>IF(J247="","SEM #CH",VLOOKUP(J247,#REF!,5,0))</f>
        <v>#REF!</v>
      </c>
      <c r="O247" s="19" t="e">
        <f>IF(J247="","SEM #CH",VLOOKUP(J247,#REF!,6,0))</f>
        <v>#REF!</v>
      </c>
      <c r="P247" s="19" t="e">
        <f>IF(J247="","SEM #CH",VLOOKUP(J247,#REF!,7,0))</f>
        <v>#REF!</v>
      </c>
      <c r="Q247" s="77" t="str">
        <f>VLOOKUP(J247,'p1'!$B$2:$C$30,2,0)</f>
        <v>NÃO TEM CHAPA</v>
      </c>
      <c r="R247" s="91"/>
      <c r="S247" s="91"/>
      <c r="T247" s="91" t="str">
        <f t="shared" si="14"/>
        <v/>
      </c>
      <c r="U247" s="91"/>
      <c r="V247" s="91"/>
      <c r="W247" s="93"/>
      <c r="X247" s="94" t="str">
        <f t="shared" si="15"/>
        <v/>
      </c>
      <c r="Y247"/>
    </row>
    <row r="248" spans="1:25">
      <c r="A248" s="90">
        <v>247</v>
      </c>
      <c r="B248" s="68">
        <v>45842</v>
      </c>
      <c r="C248" s="40">
        <v>44</v>
      </c>
      <c r="D248" s="40">
        <f t="shared" si="12"/>
        <v>1</v>
      </c>
      <c r="E248" s="47" t="s">
        <v>129</v>
      </c>
      <c r="F248" s="17" t="s">
        <v>58</v>
      </c>
      <c r="G248" s="17" t="s">
        <v>86</v>
      </c>
      <c r="H248" s="42" t="s">
        <v>484</v>
      </c>
      <c r="I248" s="17" t="str">
        <f t="shared" si="13"/>
        <v>PN-247</v>
      </c>
      <c r="J248" s="18" t="s">
        <v>85</v>
      </c>
      <c r="K248" s="19" t="e">
        <f>IF(J248="","SEM #CH",VLOOKUP(J248,#REF!,2,0))</f>
        <v>#REF!</v>
      </c>
      <c r="L248" s="19" t="e">
        <f>IF(J248="","SEM #CH",VLOOKUP(J248,#REF!,3,0))</f>
        <v>#REF!</v>
      </c>
      <c r="M248" s="19" t="e">
        <f>IF(J248="","SEM #CH",VLOOKUP(J248,#REF!,4,0))</f>
        <v>#REF!</v>
      </c>
      <c r="N248" s="19" t="e">
        <f>IF(J248="","SEM #CH",VLOOKUP(J248,#REF!,5,0))</f>
        <v>#REF!</v>
      </c>
      <c r="O248" s="19" t="e">
        <f>IF(J248="","SEM #CH",VLOOKUP(J248,#REF!,6,0))</f>
        <v>#REF!</v>
      </c>
      <c r="P248" s="19" t="e">
        <f>IF(J248="","SEM #CH",VLOOKUP(J248,#REF!,7,0))</f>
        <v>#REF!</v>
      </c>
      <c r="Q248" s="77" t="str">
        <f>VLOOKUP(J248,'p1'!$B$2:$C$30,2,0)</f>
        <v>NÃO TEM CHAPA</v>
      </c>
      <c r="R248" s="91"/>
      <c r="S248" s="91"/>
      <c r="T248" s="91" t="str">
        <f t="shared" si="14"/>
        <v/>
      </c>
      <c r="U248" s="91"/>
      <c r="V248" s="91"/>
      <c r="W248" s="93"/>
      <c r="X248" s="94" t="str">
        <f t="shared" si="15"/>
        <v/>
      </c>
      <c r="Y248"/>
    </row>
    <row r="249" spans="1:25">
      <c r="A249" s="90">
        <v>248</v>
      </c>
      <c r="B249" s="68">
        <v>45842</v>
      </c>
      <c r="C249" s="40">
        <v>44</v>
      </c>
      <c r="D249" s="40">
        <f t="shared" si="12"/>
        <v>1</v>
      </c>
      <c r="E249" s="47" t="s">
        <v>129</v>
      </c>
      <c r="F249" s="17" t="s">
        <v>58</v>
      </c>
      <c r="G249" s="17" t="s">
        <v>86</v>
      </c>
      <c r="H249" s="42" t="s">
        <v>485</v>
      </c>
      <c r="I249" s="17" t="str">
        <f t="shared" si="13"/>
        <v>PN-248</v>
      </c>
      <c r="J249" s="18" t="s">
        <v>85</v>
      </c>
      <c r="K249" s="19" t="e">
        <f>IF(J249="","SEM #CH",VLOOKUP(J249,#REF!,2,0))</f>
        <v>#REF!</v>
      </c>
      <c r="L249" s="19" t="e">
        <f>IF(J249="","SEM #CH",VLOOKUP(J249,#REF!,3,0))</f>
        <v>#REF!</v>
      </c>
      <c r="M249" s="19" t="e">
        <f>IF(J249="","SEM #CH",VLOOKUP(J249,#REF!,4,0))</f>
        <v>#REF!</v>
      </c>
      <c r="N249" s="19" t="e">
        <f>IF(J249="","SEM #CH",VLOOKUP(J249,#REF!,5,0))</f>
        <v>#REF!</v>
      </c>
      <c r="O249" s="19" t="e">
        <f>IF(J249="","SEM #CH",VLOOKUP(J249,#REF!,6,0))</f>
        <v>#REF!</v>
      </c>
      <c r="P249" s="19" t="e">
        <f>IF(J249="","SEM #CH",VLOOKUP(J249,#REF!,7,0))</f>
        <v>#REF!</v>
      </c>
      <c r="Q249" s="77" t="str">
        <f>VLOOKUP(J249,'p1'!$B$2:$C$30,2,0)</f>
        <v>NÃO TEM CHAPA</v>
      </c>
      <c r="R249" s="91"/>
      <c r="S249" s="91"/>
      <c r="T249" s="91" t="str">
        <f t="shared" si="14"/>
        <v/>
      </c>
      <c r="U249" s="91"/>
      <c r="V249" s="91"/>
      <c r="W249" s="93"/>
      <c r="X249" s="94" t="str">
        <f t="shared" si="15"/>
        <v/>
      </c>
      <c r="Y249"/>
    </row>
    <row r="250" spans="1:25">
      <c r="A250" s="90">
        <v>249</v>
      </c>
      <c r="B250" s="68"/>
      <c r="C250" s="40"/>
      <c r="D250" s="40" t="str">
        <f t="shared" si="12"/>
        <v/>
      </c>
      <c r="E250" s="48" t="s">
        <v>131</v>
      </c>
      <c r="F250" s="17" t="s">
        <v>61</v>
      </c>
      <c r="G250" s="17" t="s">
        <v>86</v>
      </c>
      <c r="H250" s="42" t="s">
        <v>486</v>
      </c>
      <c r="I250" s="17" t="str">
        <f t="shared" si="13"/>
        <v>PF-249</v>
      </c>
      <c r="J250" s="18" t="s">
        <v>61</v>
      </c>
      <c r="K250" s="19" t="e">
        <f>IF(J250="","SEM #CH",VLOOKUP(J250,#REF!,2,0))</f>
        <v>#REF!</v>
      </c>
      <c r="L250" s="19" t="e">
        <f>IF(J250="","SEM #CH",VLOOKUP(J250,#REF!,3,0))</f>
        <v>#REF!</v>
      </c>
      <c r="M250" s="19" t="e">
        <f>IF(J250="","SEM #CH",VLOOKUP(J250,#REF!,4,0))</f>
        <v>#REF!</v>
      </c>
      <c r="N250" s="19" t="e">
        <f>IF(J250="","SEM #CH",VLOOKUP(J250,#REF!,5,0))</f>
        <v>#REF!</v>
      </c>
      <c r="O250" s="19" t="e">
        <f>IF(J250="","SEM #CH",VLOOKUP(J250,#REF!,6,0))</f>
        <v>#REF!</v>
      </c>
      <c r="P250" s="19" t="e">
        <f>IF(J250="","SEM #CH",VLOOKUP(J250,#REF!,7,0))</f>
        <v>#REF!</v>
      </c>
      <c r="Q250" s="77" t="str">
        <f>VLOOKUP(J250,'p1'!$B$2:$C$30,2,0)</f>
        <v>SEM CHAPA</v>
      </c>
      <c r="R250" s="91"/>
      <c r="S250" s="91"/>
      <c r="T250" s="91" t="str">
        <f t="shared" si="14"/>
        <v/>
      </c>
      <c r="U250" s="91"/>
      <c r="V250" s="91"/>
      <c r="W250" s="93"/>
      <c r="X250" s="94" t="str">
        <f t="shared" si="15"/>
        <v/>
      </c>
      <c r="Y250"/>
    </row>
    <row r="251" spans="1:25">
      <c r="A251" s="90">
        <v>250</v>
      </c>
      <c r="B251" s="68">
        <v>45842</v>
      </c>
      <c r="C251" s="40">
        <v>44</v>
      </c>
      <c r="D251" s="40">
        <f t="shared" si="12"/>
        <v>1</v>
      </c>
      <c r="E251" s="48" t="s">
        <v>131</v>
      </c>
      <c r="F251" s="17" t="s">
        <v>58</v>
      </c>
      <c r="G251" s="17" t="s">
        <v>86</v>
      </c>
      <c r="H251" s="42" t="s">
        <v>487</v>
      </c>
      <c r="I251" s="17" t="str">
        <f t="shared" si="13"/>
        <v>PN-250</v>
      </c>
      <c r="J251" s="18" t="s">
        <v>85</v>
      </c>
      <c r="K251" s="19" t="e">
        <f>IF(J251="","SEM #CH",VLOOKUP(J251,#REF!,2,0))</f>
        <v>#REF!</v>
      </c>
      <c r="L251" s="19" t="e">
        <f>IF(J251="","SEM #CH",VLOOKUP(J251,#REF!,3,0))</f>
        <v>#REF!</v>
      </c>
      <c r="M251" s="19" t="e">
        <f>IF(J251="","SEM #CH",VLOOKUP(J251,#REF!,4,0))</f>
        <v>#REF!</v>
      </c>
      <c r="N251" s="19" t="e">
        <f>IF(J251="","SEM #CH",VLOOKUP(J251,#REF!,5,0))</f>
        <v>#REF!</v>
      </c>
      <c r="O251" s="19" t="e">
        <f>IF(J251="","SEM #CH",VLOOKUP(J251,#REF!,6,0))</f>
        <v>#REF!</v>
      </c>
      <c r="P251" s="19" t="e">
        <f>IF(J251="","SEM #CH",VLOOKUP(J251,#REF!,7,0))</f>
        <v>#REF!</v>
      </c>
      <c r="Q251" s="77" t="str">
        <f>VLOOKUP(J251,'p1'!$B$2:$C$30,2,0)</f>
        <v>NÃO TEM CHAPA</v>
      </c>
      <c r="R251" s="91"/>
      <c r="S251" s="91"/>
      <c r="T251" s="91" t="str">
        <f t="shared" si="14"/>
        <v/>
      </c>
      <c r="U251" s="91"/>
      <c r="V251" s="91"/>
      <c r="W251" s="93"/>
      <c r="X251" s="94" t="str">
        <f t="shared" si="15"/>
        <v/>
      </c>
      <c r="Y251"/>
    </row>
    <row r="252" spans="1:25">
      <c r="A252" s="90">
        <v>251</v>
      </c>
      <c r="B252" s="68">
        <v>45848</v>
      </c>
      <c r="C252" s="40">
        <v>46</v>
      </c>
      <c r="D252" s="40">
        <f t="shared" si="12"/>
        <v>1</v>
      </c>
      <c r="E252" s="48" t="s">
        <v>131</v>
      </c>
      <c r="F252" s="17" t="s">
        <v>58</v>
      </c>
      <c r="G252" s="17" t="s">
        <v>86</v>
      </c>
      <c r="H252" s="42" t="s">
        <v>488</v>
      </c>
      <c r="I252" s="17" t="str">
        <f t="shared" si="13"/>
        <v>PN-251</v>
      </c>
      <c r="J252" s="18" t="s">
        <v>85</v>
      </c>
      <c r="K252" s="19" t="e">
        <f>IF(J252="","SEM #CH",VLOOKUP(J252,#REF!,2,0))</f>
        <v>#REF!</v>
      </c>
      <c r="L252" s="19" t="e">
        <f>IF(J252="","SEM #CH",VLOOKUP(J252,#REF!,3,0))</f>
        <v>#REF!</v>
      </c>
      <c r="M252" s="19" t="e">
        <f>IF(J252="","SEM #CH",VLOOKUP(J252,#REF!,4,0))</f>
        <v>#REF!</v>
      </c>
      <c r="N252" s="19" t="e">
        <f>IF(J252="","SEM #CH",VLOOKUP(J252,#REF!,5,0))</f>
        <v>#REF!</v>
      </c>
      <c r="O252" s="19" t="e">
        <f>IF(J252="","SEM #CH",VLOOKUP(J252,#REF!,6,0))</f>
        <v>#REF!</v>
      </c>
      <c r="P252" s="19" t="e">
        <f>IF(J252="","SEM #CH",VLOOKUP(J252,#REF!,7,0))</f>
        <v>#REF!</v>
      </c>
      <c r="Q252" s="77" t="str">
        <f>VLOOKUP(J252,'p1'!$B$2:$C$30,2,0)</f>
        <v>NÃO TEM CHAPA</v>
      </c>
      <c r="R252" s="91"/>
      <c r="S252" s="91"/>
      <c r="T252" s="91" t="str">
        <f t="shared" si="14"/>
        <v/>
      </c>
      <c r="U252" s="91"/>
      <c r="V252" s="91"/>
      <c r="W252" s="93"/>
      <c r="X252" s="94" t="str">
        <f t="shared" si="15"/>
        <v/>
      </c>
      <c r="Y252"/>
    </row>
    <row r="253" spans="1:25">
      <c r="A253" s="90">
        <v>252</v>
      </c>
      <c r="B253" s="68">
        <v>45848</v>
      </c>
      <c r="C253" s="40">
        <v>46</v>
      </c>
      <c r="D253" s="40">
        <f t="shared" si="12"/>
        <v>1</v>
      </c>
      <c r="E253" s="48" t="s">
        <v>131</v>
      </c>
      <c r="F253" s="17" t="s">
        <v>58</v>
      </c>
      <c r="G253" s="17" t="s">
        <v>86</v>
      </c>
      <c r="H253" s="42" t="s">
        <v>489</v>
      </c>
      <c r="I253" s="17" t="str">
        <f t="shared" si="13"/>
        <v>PN-252</v>
      </c>
      <c r="J253" s="18" t="s">
        <v>85</v>
      </c>
      <c r="K253" s="19" t="e">
        <f>IF(J253="","SEM #CH",VLOOKUP(J253,#REF!,2,0))</f>
        <v>#REF!</v>
      </c>
      <c r="L253" s="19" t="e">
        <f>IF(J253="","SEM #CH",VLOOKUP(J253,#REF!,3,0))</f>
        <v>#REF!</v>
      </c>
      <c r="M253" s="19" t="e">
        <f>IF(J253="","SEM #CH",VLOOKUP(J253,#REF!,4,0))</f>
        <v>#REF!</v>
      </c>
      <c r="N253" s="19" t="e">
        <f>IF(J253="","SEM #CH",VLOOKUP(J253,#REF!,5,0))</f>
        <v>#REF!</v>
      </c>
      <c r="O253" s="19" t="e">
        <f>IF(J253="","SEM #CH",VLOOKUP(J253,#REF!,6,0))</f>
        <v>#REF!</v>
      </c>
      <c r="P253" s="19" t="e">
        <f>IF(J253="","SEM #CH",VLOOKUP(J253,#REF!,7,0))</f>
        <v>#REF!</v>
      </c>
      <c r="Q253" s="77" t="str">
        <f>VLOOKUP(J253,'p1'!$B$2:$C$30,2,0)</f>
        <v>NÃO TEM CHAPA</v>
      </c>
      <c r="R253" s="91"/>
      <c r="S253" s="91"/>
      <c r="T253" s="91" t="str">
        <f t="shared" si="14"/>
        <v/>
      </c>
      <c r="U253" s="91"/>
      <c r="V253" s="91"/>
      <c r="W253" s="93"/>
      <c r="X253" s="94" t="str">
        <f t="shared" si="15"/>
        <v/>
      </c>
      <c r="Y253"/>
    </row>
    <row r="254" spans="1:25">
      <c r="A254" s="90">
        <v>253</v>
      </c>
      <c r="B254" s="68">
        <v>45848</v>
      </c>
      <c r="C254" s="40">
        <v>46</v>
      </c>
      <c r="D254" s="40">
        <f t="shared" si="12"/>
        <v>1</v>
      </c>
      <c r="E254" s="48" t="s">
        <v>131</v>
      </c>
      <c r="F254" s="17" t="s">
        <v>58</v>
      </c>
      <c r="G254" s="17" t="s">
        <v>86</v>
      </c>
      <c r="H254" s="42" t="s">
        <v>490</v>
      </c>
      <c r="I254" s="17" t="str">
        <f t="shared" si="13"/>
        <v>PN-253</v>
      </c>
      <c r="J254" s="18" t="s">
        <v>85</v>
      </c>
      <c r="K254" s="19" t="e">
        <f>IF(J254="","SEM #CH",VLOOKUP(J254,#REF!,2,0))</f>
        <v>#REF!</v>
      </c>
      <c r="L254" s="19" t="e">
        <f>IF(J254="","SEM #CH",VLOOKUP(J254,#REF!,3,0))</f>
        <v>#REF!</v>
      </c>
      <c r="M254" s="19" t="e">
        <f>IF(J254="","SEM #CH",VLOOKUP(J254,#REF!,4,0))</f>
        <v>#REF!</v>
      </c>
      <c r="N254" s="19" t="e">
        <f>IF(J254="","SEM #CH",VLOOKUP(J254,#REF!,5,0))</f>
        <v>#REF!</v>
      </c>
      <c r="O254" s="19" t="e">
        <f>IF(J254="","SEM #CH",VLOOKUP(J254,#REF!,6,0))</f>
        <v>#REF!</v>
      </c>
      <c r="P254" s="19" t="e">
        <f>IF(J254="","SEM #CH",VLOOKUP(J254,#REF!,7,0))</f>
        <v>#REF!</v>
      </c>
      <c r="Q254" s="77" t="str">
        <f>VLOOKUP(J254,'p1'!$B$2:$C$30,2,0)</f>
        <v>NÃO TEM CHAPA</v>
      </c>
      <c r="R254" s="91"/>
      <c r="S254" s="91"/>
      <c r="T254" s="91" t="str">
        <f t="shared" si="14"/>
        <v/>
      </c>
      <c r="U254" s="91"/>
      <c r="V254" s="91"/>
      <c r="W254" s="93"/>
      <c r="X254" s="94" t="str">
        <f t="shared" si="15"/>
        <v/>
      </c>
      <c r="Y254"/>
    </row>
    <row r="255" spans="1:25">
      <c r="A255" s="90">
        <v>254</v>
      </c>
      <c r="B255" s="68">
        <v>45848</v>
      </c>
      <c r="C255" s="40">
        <v>46</v>
      </c>
      <c r="D255" s="40">
        <f t="shared" si="12"/>
        <v>1</v>
      </c>
      <c r="E255" s="48" t="s">
        <v>131</v>
      </c>
      <c r="F255" s="17" t="s">
        <v>58</v>
      </c>
      <c r="G255" s="17" t="s">
        <v>86</v>
      </c>
      <c r="H255" s="42" t="s">
        <v>491</v>
      </c>
      <c r="I255" s="17" t="str">
        <f t="shared" si="13"/>
        <v>PN-254</v>
      </c>
      <c r="J255" s="18" t="s">
        <v>85</v>
      </c>
      <c r="K255" s="19" t="e">
        <f>IF(J255="","SEM #CH",VLOOKUP(J255,#REF!,2,0))</f>
        <v>#REF!</v>
      </c>
      <c r="L255" s="19" t="e">
        <f>IF(J255="","SEM #CH",VLOOKUP(J255,#REF!,3,0))</f>
        <v>#REF!</v>
      </c>
      <c r="M255" s="19" t="e">
        <f>IF(J255="","SEM #CH",VLOOKUP(J255,#REF!,4,0))</f>
        <v>#REF!</v>
      </c>
      <c r="N255" s="19" t="e">
        <f>IF(J255="","SEM #CH",VLOOKUP(J255,#REF!,5,0))</f>
        <v>#REF!</v>
      </c>
      <c r="O255" s="19" t="e">
        <f>IF(J255="","SEM #CH",VLOOKUP(J255,#REF!,6,0))</f>
        <v>#REF!</v>
      </c>
      <c r="P255" s="19" t="e">
        <f>IF(J255="","SEM #CH",VLOOKUP(J255,#REF!,7,0))</f>
        <v>#REF!</v>
      </c>
      <c r="Q255" s="77" t="str">
        <f>VLOOKUP(J255,'p1'!$B$2:$C$30,2,0)</f>
        <v>NÃO TEM CHAPA</v>
      </c>
      <c r="R255" s="91"/>
      <c r="S255" s="91"/>
      <c r="T255" s="91" t="str">
        <f t="shared" si="14"/>
        <v/>
      </c>
      <c r="U255" s="91"/>
      <c r="V255" s="91"/>
      <c r="W255" s="93"/>
      <c r="X255" s="94" t="str">
        <f t="shared" si="15"/>
        <v/>
      </c>
      <c r="Y255"/>
    </row>
    <row r="256" spans="1:25">
      <c r="A256" s="90">
        <v>255</v>
      </c>
      <c r="B256" s="68">
        <v>45848</v>
      </c>
      <c r="C256" s="40">
        <v>46</v>
      </c>
      <c r="D256" s="40">
        <f t="shared" si="12"/>
        <v>1</v>
      </c>
      <c r="E256" s="48" t="s">
        <v>131</v>
      </c>
      <c r="F256" s="17" t="s">
        <v>58</v>
      </c>
      <c r="G256" s="17" t="s">
        <v>86</v>
      </c>
      <c r="H256" s="42" t="s">
        <v>492</v>
      </c>
      <c r="I256" s="17" t="str">
        <f t="shared" si="13"/>
        <v>PN-255</v>
      </c>
      <c r="J256" s="18" t="s">
        <v>85</v>
      </c>
      <c r="K256" s="19" t="e">
        <f>IF(J256="","SEM #CH",VLOOKUP(J256,#REF!,2,0))</f>
        <v>#REF!</v>
      </c>
      <c r="L256" s="19" t="e">
        <f>IF(J256="","SEM #CH",VLOOKUP(J256,#REF!,3,0))</f>
        <v>#REF!</v>
      </c>
      <c r="M256" s="19" t="e">
        <f>IF(J256="","SEM #CH",VLOOKUP(J256,#REF!,4,0))</f>
        <v>#REF!</v>
      </c>
      <c r="N256" s="19" t="e">
        <f>IF(J256="","SEM #CH",VLOOKUP(J256,#REF!,5,0))</f>
        <v>#REF!</v>
      </c>
      <c r="O256" s="19" t="e">
        <f>IF(J256="","SEM #CH",VLOOKUP(J256,#REF!,6,0))</f>
        <v>#REF!</v>
      </c>
      <c r="P256" s="19" t="e">
        <f>IF(J256="","SEM #CH",VLOOKUP(J256,#REF!,7,0))</f>
        <v>#REF!</v>
      </c>
      <c r="Q256" s="77" t="str">
        <f>VLOOKUP(J256,'p1'!$B$2:$C$30,2,0)</f>
        <v>NÃO TEM CHAPA</v>
      </c>
      <c r="R256" s="91"/>
      <c r="S256" s="91"/>
      <c r="T256" s="91" t="str">
        <f t="shared" si="14"/>
        <v/>
      </c>
      <c r="U256" s="91"/>
      <c r="V256" s="91"/>
      <c r="W256" s="93"/>
      <c r="X256" s="94" t="str">
        <f t="shared" si="15"/>
        <v/>
      </c>
      <c r="Y256"/>
    </row>
    <row r="257" spans="1:25">
      <c r="A257" s="90">
        <v>256</v>
      </c>
      <c r="B257" s="68">
        <v>45848</v>
      </c>
      <c r="C257" s="40">
        <v>46</v>
      </c>
      <c r="D257" s="40">
        <f t="shared" si="12"/>
        <v>1</v>
      </c>
      <c r="E257" s="48" t="s">
        <v>131</v>
      </c>
      <c r="F257" s="17" t="s">
        <v>58</v>
      </c>
      <c r="G257" s="17" t="s">
        <v>86</v>
      </c>
      <c r="H257" s="42" t="s">
        <v>493</v>
      </c>
      <c r="I257" s="17" t="str">
        <f t="shared" si="13"/>
        <v>PN-256</v>
      </c>
      <c r="J257" s="18" t="s">
        <v>85</v>
      </c>
      <c r="K257" s="19" t="e">
        <f>IF(J257="","SEM #CH",VLOOKUP(J257,#REF!,2,0))</f>
        <v>#REF!</v>
      </c>
      <c r="L257" s="19" t="e">
        <f>IF(J257="","SEM #CH",VLOOKUP(J257,#REF!,3,0))</f>
        <v>#REF!</v>
      </c>
      <c r="M257" s="19" t="e">
        <f>IF(J257="","SEM #CH",VLOOKUP(J257,#REF!,4,0))</f>
        <v>#REF!</v>
      </c>
      <c r="N257" s="19" t="e">
        <f>IF(J257="","SEM #CH",VLOOKUP(J257,#REF!,5,0))</f>
        <v>#REF!</v>
      </c>
      <c r="O257" s="19" t="e">
        <f>IF(J257="","SEM #CH",VLOOKUP(J257,#REF!,6,0))</f>
        <v>#REF!</v>
      </c>
      <c r="P257" s="19" t="e">
        <f>IF(J257="","SEM #CH",VLOOKUP(J257,#REF!,7,0))</f>
        <v>#REF!</v>
      </c>
      <c r="Q257" s="77" t="str">
        <f>VLOOKUP(J257,'p1'!$B$2:$C$30,2,0)</f>
        <v>NÃO TEM CHAPA</v>
      </c>
      <c r="R257" s="91"/>
      <c r="S257" s="91"/>
      <c r="T257" s="91" t="str">
        <f t="shared" si="14"/>
        <v/>
      </c>
      <c r="U257" s="91"/>
      <c r="V257" s="91"/>
      <c r="W257" s="93"/>
      <c r="X257" s="94" t="str">
        <f t="shared" si="15"/>
        <v/>
      </c>
      <c r="Y257"/>
    </row>
    <row r="258" spans="1:25">
      <c r="A258" s="90">
        <v>257</v>
      </c>
      <c r="B258" s="68">
        <v>45827</v>
      </c>
      <c r="C258" s="40">
        <v>37</v>
      </c>
      <c r="D258" s="40">
        <f t="shared" ref="D258:D321" si="16">IF(B258&gt;0,1,"")</f>
        <v>1</v>
      </c>
      <c r="E258" s="48" t="s">
        <v>131</v>
      </c>
      <c r="F258" s="17" t="s">
        <v>60</v>
      </c>
      <c r="G258" s="17" t="s">
        <v>86</v>
      </c>
      <c r="H258" s="42" t="s">
        <v>494</v>
      </c>
      <c r="I258" s="17" t="str">
        <f t="shared" ref="I258:I321" si="17">_xlfn.CONCAT(F258,G258,H258)</f>
        <v>PE-257</v>
      </c>
      <c r="J258" s="18" t="s">
        <v>90</v>
      </c>
      <c r="K258" s="19" t="e">
        <f>IF(J258="","SEM #CH",VLOOKUP(J258,#REF!,2,0))</f>
        <v>#REF!</v>
      </c>
      <c r="L258" s="19" t="e">
        <f>IF(J258="","SEM #CH",VLOOKUP(J258,#REF!,3,0))</f>
        <v>#REF!</v>
      </c>
      <c r="M258" s="19" t="e">
        <f>IF(J258="","SEM #CH",VLOOKUP(J258,#REF!,4,0))</f>
        <v>#REF!</v>
      </c>
      <c r="N258" s="19" t="e">
        <f>IF(J258="","SEM #CH",VLOOKUP(J258,#REF!,5,0))</f>
        <v>#REF!</v>
      </c>
      <c r="O258" s="19" t="e">
        <f>IF(J258="","SEM #CH",VLOOKUP(J258,#REF!,6,0))</f>
        <v>#REF!</v>
      </c>
      <c r="P258" s="19" t="e">
        <f>IF(J258="","SEM #CH",VLOOKUP(J258,#REF!,7,0))</f>
        <v>#REF!</v>
      </c>
      <c r="Q258" s="77" t="str">
        <f>VLOOKUP(J258,'p1'!$B$2:$C$30,2,0)</f>
        <v>#3/8-530X530</v>
      </c>
      <c r="R258" s="95">
        <v>45846</v>
      </c>
      <c r="S258" s="91" t="s">
        <v>221</v>
      </c>
      <c r="T258" s="91">
        <f t="shared" ref="T258:T321" si="18">IF(R258=0,"",1)</f>
        <v>1</v>
      </c>
      <c r="U258" s="91"/>
      <c r="V258" s="91"/>
      <c r="W258" s="93"/>
      <c r="X258" s="94" t="str">
        <f t="shared" ref="X258:X321" si="19">IF(U258&gt;0,1,"")</f>
        <v/>
      </c>
      <c r="Y258"/>
    </row>
    <row r="259" spans="1:25">
      <c r="A259" s="90">
        <v>258</v>
      </c>
      <c r="B259" s="68">
        <v>45850</v>
      </c>
      <c r="C259" s="40">
        <v>47</v>
      </c>
      <c r="D259" s="40">
        <f t="shared" si="16"/>
        <v>1</v>
      </c>
      <c r="E259" s="48" t="s">
        <v>131</v>
      </c>
      <c r="F259" s="17" t="s">
        <v>58</v>
      </c>
      <c r="G259" s="17" t="s">
        <v>86</v>
      </c>
      <c r="H259" s="42" t="s">
        <v>495</v>
      </c>
      <c r="I259" s="17" t="str">
        <f t="shared" si="17"/>
        <v>PN-258</v>
      </c>
      <c r="J259" s="18" t="s">
        <v>85</v>
      </c>
      <c r="K259" s="19" t="e">
        <f>IF(J259="","SEM #CH",VLOOKUP(J259,#REF!,2,0))</f>
        <v>#REF!</v>
      </c>
      <c r="L259" s="19" t="e">
        <f>IF(J259="","SEM #CH",VLOOKUP(J259,#REF!,3,0))</f>
        <v>#REF!</v>
      </c>
      <c r="M259" s="19" t="e">
        <f>IF(J259="","SEM #CH",VLOOKUP(J259,#REF!,4,0))</f>
        <v>#REF!</v>
      </c>
      <c r="N259" s="19" t="e">
        <f>IF(J259="","SEM #CH",VLOOKUP(J259,#REF!,5,0))</f>
        <v>#REF!</v>
      </c>
      <c r="O259" s="19" t="e">
        <f>IF(J259="","SEM #CH",VLOOKUP(J259,#REF!,6,0))</f>
        <v>#REF!</v>
      </c>
      <c r="P259" s="19" t="e">
        <f>IF(J259="","SEM #CH",VLOOKUP(J259,#REF!,7,0))</f>
        <v>#REF!</v>
      </c>
      <c r="Q259" s="77" t="str">
        <f>VLOOKUP(J259,'p1'!$B$2:$C$30,2,0)</f>
        <v>NÃO TEM CHAPA</v>
      </c>
      <c r="R259" s="91"/>
      <c r="S259" s="91" t="s">
        <v>221</v>
      </c>
      <c r="T259" s="91" t="str">
        <f t="shared" si="18"/>
        <v/>
      </c>
      <c r="U259" s="91"/>
      <c r="V259" s="91"/>
      <c r="W259" s="93"/>
      <c r="X259" s="94" t="str">
        <f t="shared" si="19"/>
        <v/>
      </c>
      <c r="Y259"/>
    </row>
    <row r="260" spans="1:25">
      <c r="A260" s="90">
        <v>259</v>
      </c>
      <c r="B260" s="68">
        <v>45850</v>
      </c>
      <c r="C260" s="40">
        <v>47</v>
      </c>
      <c r="D260" s="40">
        <f t="shared" si="16"/>
        <v>1</v>
      </c>
      <c r="E260" s="48" t="s">
        <v>131</v>
      </c>
      <c r="F260" s="17" t="s">
        <v>58</v>
      </c>
      <c r="G260" s="17" t="s">
        <v>86</v>
      </c>
      <c r="H260" s="42" t="s">
        <v>496</v>
      </c>
      <c r="I260" s="17" t="str">
        <f t="shared" si="17"/>
        <v>PN-259</v>
      </c>
      <c r="J260" s="18" t="s">
        <v>85</v>
      </c>
      <c r="K260" s="19" t="e">
        <f>IF(J260="","SEM #CH",VLOOKUP(J260,#REF!,2,0))</f>
        <v>#REF!</v>
      </c>
      <c r="L260" s="19" t="e">
        <f>IF(J260="","SEM #CH",VLOOKUP(J260,#REF!,3,0))</f>
        <v>#REF!</v>
      </c>
      <c r="M260" s="19" t="e">
        <f>IF(J260="","SEM #CH",VLOOKUP(J260,#REF!,4,0))</f>
        <v>#REF!</v>
      </c>
      <c r="N260" s="19" t="e">
        <f>IF(J260="","SEM #CH",VLOOKUP(J260,#REF!,5,0))</f>
        <v>#REF!</v>
      </c>
      <c r="O260" s="19" t="e">
        <f>IF(J260="","SEM #CH",VLOOKUP(J260,#REF!,6,0))</f>
        <v>#REF!</v>
      </c>
      <c r="P260" s="19" t="e">
        <f>IF(J260="","SEM #CH",VLOOKUP(J260,#REF!,7,0))</f>
        <v>#REF!</v>
      </c>
      <c r="Q260" s="77" t="str">
        <f>VLOOKUP(J260,'p1'!$B$2:$C$30,2,0)</f>
        <v>NÃO TEM CHAPA</v>
      </c>
      <c r="R260" s="91"/>
      <c r="S260" s="91" t="s">
        <v>221</v>
      </c>
      <c r="T260" s="91" t="str">
        <f t="shared" si="18"/>
        <v/>
      </c>
      <c r="U260" s="91"/>
      <c r="V260" s="91"/>
      <c r="W260" s="93"/>
      <c r="X260" s="94" t="str">
        <f t="shared" si="19"/>
        <v/>
      </c>
      <c r="Y260"/>
    </row>
    <row r="261" spans="1:25">
      <c r="A261" s="90">
        <v>260</v>
      </c>
      <c r="B261" s="68">
        <v>45850</v>
      </c>
      <c r="C261" s="40">
        <v>47</v>
      </c>
      <c r="D261" s="40">
        <f t="shared" si="16"/>
        <v>1</v>
      </c>
      <c r="E261" s="48" t="s">
        <v>131</v>
      </c>
      <c r="F261" s="17" t="s">
        <v>58</v>
      </c>
      <c r="G261" s="17" t="s">
        <v>86</v>
      </c>
      <c r="H261" s="42" t="s">
        <v>497</v>
      </c>
      <c r="I261" s="17" t="str">
        <f t="shared" si="17"/>
        <v>PN-260</v>
      </c>
      <c r="J261" s="18" t="s">
        <v>85</v>
      </c>
      <c r="K261" s="19" t="e">
        <f>IF(J261="","SEM #CH",VLOOKUP(J261,#REF!,2,0))</f>
        <v>#REF!</v>
      </c>
      <c r="L261" s="19" t="e">
        <f>IF(J261="","SEM #CH",VLOOKUP(J261,#REF!,3,0))</f>
        <v>#REF!</v>
      </c>
      <c r="M261" s="19" t="e">
        <f>IF(J261="","SEM #CH",VLOOKUP(J261,#REF!,4,0))</f>
        <v>#REF!</v>
      </c>
      <c r="N261" s="19" t="e">
        <f>IF(J261="","SEM #CH",VLOOKUP(J261,#REF!,5,0))</f>
        <v>#REF!</v>
      </c>
      <c r="O261" s="19" t="e">
        <f>IF(J261="","SEM #CH",VLOOKUP(J261,#REF!,6,0))</f>
        <v>#REF!</v>
      </c>
      <c r="P261" s="19" t="e">
        <f>IF(J261="","SEM #CH",VLOOKUP(J261,#REF!,7,0))</f>
        <v>#REF!</v>
      </c>
      <c r="Q261" s="77" t="str">
        <f>VLOOKUP(J261,'p1'!$B$2:$C$30,2,0)</f>
        <v>NÃO TEM CHAPA</v>
      </c>
      <c r="R261" s="91"/>
      <c r="S261" s="91" t="s">
        <v>221</v>
      </c>
      <c r="T261" s="91" t="str">
        <f t="shared" si="18"/>
        <v/>
      </c>
      <c r="U261" s="91"/>
      <c r="V261" s="91"/>
      <c r="W261" s="93"/>
      <c r="X261" s="94" t="str">
        <f t="shared" si="19"/>
        <v/>
      </c>
      <c r="Y261"/>
    </row>
    <row r="262" spans="1:25">
      <c r="A262" s="90">
        <v>261</v>
      </c>
      <c r="B262" s="68">
        <v>45850</v>
      </c>
      <c r="C262" s="40">
        <v>47</v>
      </c>
      <c r="D262" s="40">
        <f t="shared" si="16"/>
        <v>1</v>
      </c>
      <c r="E262" s="48" t="s">
        <v>131</v>
      </c>
      <c r="F262" s="17" t="s">
        <v>58</v>
      </c>
      <c r="G262" s="17" t="s">
        <v>86</v>
      </c>
      <c r="H262" s="42" t="s">
        <v>498</v>
      </c>
      <c r="I262" s="17" t="str">
        <f t="shared" si="17"/>
        <v>PN-261</v>
      </c>
      <c r="J262" s="18" t="s">
        <v>85</v>
      </c>
      <c r="K262" s="19" t="e">
        <f>IF(J262="","SEM #CH",VLOOKUP(J262,#REF!,2,0))</f>
        <v>#REF!</v>
      </c>
      <c r="L262" s="19" t="e">
        <f>IF(J262="","SEM #CH",VLOOKUP(J262,#REF!,3,0))</f>
        <v>#REF!</v>
      </c>
      <c r="M262" s="19" t="e">
        <f>IF(J262="","SEM #CH",VLOOKUP(J262,#REF!,4,0))</f>
        <v>#REF!</v>
      </c>
      <c r="N262" s="19" t="e">
        <f>IF(J262="","SEM #CH",VLOOKUP(J262,#REF!,5,0))</f>
        <v>#REF!</v>
      </c>
      <c r="O262" s="19" t="e">
        <f>IF(J262="","SEM #CH",VLOOKUP(J262,#REF!,6,0))</f>
        <v>#REF!</v>
      </c>
      <c r="P262" s="19" t="e">
        <f>IF(J262="","SEM #CH",VLOOKUP(J262,#REF!,7,0))</f>
        <v>#REF!</v>
      </c>
      <c r="Q262" s="77" t="str">
        <f>VLOOKUP(J262,'p1'!$B$2:$C$30,2,0)</f>
        <v>NÃO TEM CHAPA</v>
      </c>
      <c r="R262" s="91"/>
      <c r="S262" s="91" t="s">
        <v>221</v>
      </c>
      <c r="T262" s="91" t="str">
        <f t="shared" si="18"/>
        <v/>
      </c>
      <c r="U262" s="91"/>
      <c r="V262" s="91"/>
      <c r="W262" s="93"/>
      <c r="X262" s="94" t="str">
        <f t="shared" si="19"/>
        <v/>
      </c>
      <c r="Y262"/>
    </row>
    <row r="263" spans="1:25">
      <c r="A263" s="90">
        <v>262</v>
      </c>
      <c r="B263" s="68">
        <v>45850</v>
      </c>
      <c r="C263" s="40">
        <v>47</v>
      </c>
      <c r="D263" s="40">
        <f t="shared" si="16"/>
        <v>1</v>
      </c>
      <c r="E263" s="48" t="s">
        <v>131</v>
      </c>
      <c r="F263" s="17" t="s">
        <v>58</v>
      </c>
      <c r="G263" s="17" t="s">
        <v>86</v>
      </c>
      <c r="H263" s="42" t="s">
        <v>499</v>
      </c>
      <c r="I263" s="17" t="str">
        <f t="shared" si="17"/>
        <v>PN-262</v>
      </c>
      <c r="J263" s="18" t="s">
        <v>85</v>
      </c>
      <c r="K263" s="19" t="e">
        <f>IF(J263="","SEM #CH",VLOOKUP(J263,#REF!,2,0))</f>
        <v>#REF!</v>
      </c>
      <c r="L263" s="19" t="e">
        <f>IF(J263="","SEM #CH",VLOOKUP(J263,#REF!,3,0))</f>
        <v>#REF!</v>
      </c>
      <c r="M263" s="19" t="e">
        <f>IF(J263="","SEM #CH",VLOOKUP(J263,#REF!,4,0))</f>
        <v>#REF!</v>
      </c>
      <c r="N263" s="19" t="e">
        <f>IF(J263="","SEM #CH",VLOOKUP(J263,#REF!,5,0))</f>
        <v>#REF!</v>
      </c>
      <c r="O263" s="19" t="e">
        <f>IF(J263="","SEM #CH",VLOOKUP(J263,#REF!,6,0))</f>
        <v>#REF!</v>
      </c>
      <c r="P263" s="19" t="e">
        <f>IF(J263="","SEM #CH",VLOOKUP(J263,#REF!,7,0))</f>
        <v>#REF!</v>
      </c>
      <c r="Q263" s="77" t="str">
        <f>VLOOKUP(J263,'p1'!$B$2:$C$30,2,0)</f>
        <v>NÃO TEM CHAPA</v>
      </c>
      <c r="R263" s="91"/>
      <c r="S263" s="91" t="s">
        <v>221</v>
      </c>
      <c r="T263" s="91" t="str">
        <f t="shared" si="18"/>
        <v/>
      </c>
      <c r="U263" s="91"/>
      <c r="V263" s="91"/>
      <c r="W263" s="93"/>
      <c r="X263" s="94" t="str">
        <f t="shared" si="19"/>
        <v/>
      </c>
      <c r="Y263"/>
    </row>
    <row r="264" spans="1:25">
      <c r="A264" s="90">
        <v>263</v>
      </c>
      <c r="B264" s="68">
        <v>45850</v>
      </c>
      <c r="C264" s="40">
        <v>47</v>
      </c>
      <c r="D264" s="40">
        <f t="shared" si="16"/>
        <v>1</v>
      </c>
      <c r="E264" s="48" t="s">
        <v>131</v>
      </c>
      <c r="F264" s="17" t="s">
        <v>58</v>
      </c>
      <c r="G264" s="17" t="s">
        <v>86</v>
      </c>
      <c r="H264" s="42" t="s">
        <v>500</v>
      </c>
      <c r="I264" s="17" t="str">
        <f t="shared" si="17"/>
        <v>PN-263</v>
      </c>
      <c r="J264" s="18" t="s">
        <v>85</v>
      </c>
      <c r="K264" s="19" t="e">
        <f>IF(J264="","SEM #CH",VLOOKUP(J264,#REF!,2,0))</f>
        <v>#REF!</v>
      </c>
      <c r="L264" s="19" t="e">
        <f>IF(J264="","SEM #CH",VLOOKUP(J264,#REF!,3,0))</f>
        <v>#REF!</v>
      </c>
      <c r="M264" s="19" t="e">
        <f>IF(J264="","SEM #CH",VLOOKUP(J264,#REF!,4,0))</f>
        <v>#REF!</v>
      </c>
      <c r="N264" s="19" t="e">
        <f>IF(J264="","SEM #CH",VLOOKUP(J264,#REF!,5,0))</f>
        <v>#REF!</v>
      </c>
      <c r="O264" s="19" t="e">
        <f>IF(J264="","SEM #CH",VLOOKUP(J264,#REF!,6,0))</f>
        <v>#REF!</v>
      </c>
      <c r="P264" s="19" t="e">
        <f>IF(J264="","SEM #CH",VLOOKUP(J264,#REF!,7,0))</f>
        <v>#REF!</v>
      </c>
      <c r="Q264" s="77" t="str">
        <f>VLOOKUP(J264,'p1'!$B$2:$C$30,2,0)</f>
        <v>NÃO TEM CHAPA</v>
      </c>
      <c r="R264" s="91"/>
      <c r="S264" s="91" t="s">
        <v>221</v>
      </c>
      <c r="T264" s="91" t="str">
        <f t="shared" si="18"/>
        <v/>
      </c>
      <c r="U264" s="91"/>
      <c r="V264" s="91"/>
      <c r="W264" s="93"/>
      <c r="X264" s="94" t="str">
        <f t="shared" si="19"/>
        <v/>
      </c>
      <c r="Y264"/>
    </row>
    <row r="265" spans="1:25">
      <c r="A265" s="90">
        <v>264</v>
      </c>
      <c r="B265" s="68">
        <v>45853</v>
      </c>
      <c r="C265" s="40">
        <v>48</v>
      </c>
      <c r="D265" s="40">
        <f t="shared" si="16"/>
        <v>1</v>
      </c>
      <c r="E265" s="48" t="s">
        <v>131</v>
      </c>
      <c r="F265" s="17" t="s">
        <v>58</v>
      </c>
      <c r="G265" s="17" t="s">
        <v>86</v>
      </c>
      <c r="H265" s="42" t="s">
        <v>501</v>
      </c>
      <c r="I265" s="17" t="str">
        <f t="shared" si="17"/>
        <v>PN-264</v>
      </c>
      <c r="J265" s="18" t="s">
        <v>85</v>
      </c>
      <c r="K265" s="19" t="e">
        <f>IF(J265="","SEM #CH",VLOOKUP(J265,#REF!,2,0))</f>
        <v>#REF!</v>
      </c>
      <c r="L265" s="19" t="e">
        <f>IF(J265="","SEM #CH",VLOOKUP(J265,#REF!,3,0))</f>
        <v>#REF!</v>
      </c>
      <c r="M265" s="19" t="e">
        <f>IF(J265="","SEM #CH",VLOOKUP(J265,#REF!,4,0))</f>
        <v>#REF!</v>
      </c>
      <c r="N265" s="19" t="e">
        <f>IF(J265="","SEM #CH",VLOOKUP(J265,#REF!,5,0))</f>
        <v>#REF!</v>
      </c>
      <c r="O265" s="19" t="e">
        <f>IF(J265="","SEM #CH",VLOOKUP(J265,#REF!,6,0))</f>
        <v>#REF!</v>
      </c>
      <c r="P265" s="19" t="e">
        <f>IF(J265="","SEM #CH",VLOOKUP(J265,#REF!,7,0))</f>
        <v>#REF!</v>
      </c>
      <c r="Q265" s="77" t="str">
        <f>VLOOKUP(J265,'p1'!$B$2:$C$30,2,0)</f>
        <v>NÃO TEM CHAPA</v>
      </c>
      <c r="R265" s="91"/>
      <c r="S265" s="91"/>
      <c r="T265" s="91" t="str">
        <f t="shared" si="18"/>
        <v/>
      </c>
      <c r="U265" s="91"/>
      <c r="V265" s="91"/>
      <c r="W265" s="93"/>
      <c r="X265" s="94" t="str">
        <f t="shared" si="19"/>
        <v/>
      </c>
      <c r="Y265"/>
    </row>
    <row r="266" spans="1:25">
      <c r="A266" s="90">
        <v>265</v>
      </c>
      <c r="B266" s="68">
        <v>45853</v>
      </c>
      <c r="C266" s="40">
        <v>48</v>
      </c>
      <c r="D266" s="40">
        <f t="shared" si="16"/>
        <v>1</v>
      </c>
      <c r="E266" s="48" t="s">
        <v>131</v>
      </c>
      <c r="F266" s="17" t="s">
        <v>58</v>
      </c>
      <c r="G266" s="17" t="s">
        <v>86</v>
      </c>
      <c r="H266" s="42" t="s">
        <v>502</v>
      </c>
      <c r="I266" s="17" t="str">
        <f t="shared" si="17"/>
        <v>PN-265</v>
      </c>
      <c r="J266" s="18" t="s">
        <v>85</v>
      </c>
      <c r="K266" s="19" t="e">
        <f>IF(J266="","SEM #CH",VLOOKUP(J266,#REF!,2,0))</f>
        <v>#REF!</v>
      </c>
      <c r="L266" s="19" t="e">
        <f>IF(J266="","SEM #CH",VLOOKUP(J266,#REF!,3,0))</f>
        <v>#REF!</v>
      </c>
      <c r="M266" s="19" t="e">
        <f>IF(J266="","SEM #CH",VLOOKUP(J266,#REF!,4,0))</f>
        <v>#REF!</v>
      </c>
      <c r="N266" s="19" t="e">
        <f>IF(J266="","SEM #CH",VLOOKUP(J266,#REF!,5,0))</f>
        <v>#REF!</v>
      </c>
      <c r="O266" s="19" t="e">
        <f>IF(J266="","SEM #CH",VLOOKUP(J266,#REF!,6,0))</f>
        <v>#REF!</v>
      </c>
      <c r="P266" s="19" t="e">
        <f>IF(J266="","SEM #CH",VLOOKUP(J266,#REF!,7,0))</f>
        <v>#REF!</v>
      </c>
      <c r="Q266" s="77" t="str">
        <f>VLOOKUP(J266,'p1'!$B$2:$C$30,2,0)</f>
        <v>NÃO TEM CHAPA</v>
      </c>
      <c r="R266" s="91"/>
      <c r="S266" s="91"/>
      <c r="T266" s="91" t="str">
        <f t="shared" si="18"/>
        <v/>
      </c>
      <c r="U266" s="91"/>
      <c r="V266" s="91"/>
      <c r="W266" s="93"/>
      <c r="X266" s="94" t="str">
        <f t="shared" si="19"/>
        <v/>
      </c>
      <c r="Y266"/>
    </row>
    <row r="267" spans="1:25">
      <c r="A267" s="90">
        <v>266</v>
      </c>
      <c r="B267" s="68">
        <v>45853</v>
      </c>
      <c r="C267" s="40">
        <v>48</v>
      </c>
      <c r="D267" s="40">
        <f t="shared" si="16"/>
        <v>1</v>
      </c>
      <c r="E267" s="48" t="s">
        <v>131</v>
      </c>
      <c r="F267" s="17" t="s">
        <v>58</v>
      </c>
      <c r="G267" s="17" t="s">
        <v>86</v>
      </c>
      <c r="H267" s="42" t="s">
        <v>503</v>
      </c>
      <c r="I267" s="17" t="str">
        <f t="shared" si="17"/>
        <v>PN-266</v>
      </c>
      <c r="J267" s="18" t="s">
        <v>85</v>
      </c>
      <c r="K267" s="19" t="e">
        <f>IF(J267="","SEM #CH",VLOOKUP(J267,#REF!,2,0))</f>
        <v>#REF!</v>
      </c>
      <c r="L267" s="19" t="e">
        <f>IF(J267="","SEM #CH",VLOOKUP(J267,#REF!,3,0))</f>
        <v>#REF!</v>
      </c>
      <c r="M267" s="19" t="e">
        <f>IF(J267="","SEM #CH",VLOOKUP(J267,#REF!,4,0))</f>
        <v>#REF!</v>
      </c>
      <c r="N267" s="19" t="e">
        <f>IF(J267="","SEM #CH",VLOOKUP(J267,#REF!,5,0))</f>
        <v>#REF!</v>
      </c>
      <c r="O267" s="19" t="e">
        <f>IF(J267="","SEM #CH",VLOOKUP(J267,#REF!,6,0))</f>
        <v>#REF!</v>
      </c>
      <c r="P267" s="19" t="e">
        <f>IF(J267="","SEM #CH",VLOOKUP(J267,#REF!,7,0))</f>
        <v>#REF!</v>
      </c>
      <c r="Q267" s="77" t="str">
        <f>VLOOKUP(J267,'p1'!$B$2:$C$30,2,0)</f>
        <v>NÃO TEM CHAPA</v>
      </c>
      <c r="R267" s="91"/>
      <c r="S267" s="91"/>
      <c r="T267" s="91" t="str">
        <f t="shared" si="18"/>
        <v/>
      </c>
      <c r="U267" s="91"/>
      <c r="V267" s="91"/>
      <c r="W267" s="93"/>
      <c r="X267" s="94" t="str">
        <f t="shared" si="19"/>
        <v/>
      </c>
      <c r="Y267"/>
    </row>
    <row r="268" spans="1:25">
      <c r="A268" s="90">
        <v>267</v>
      </c>
      <c r="B268" s="68">
        <v>45853</v>
      </c>
      <c r="C268" s="40">
        <v>48</v>
      </c>
      <c r="D268" s="40">
        <f t="shared" si="16"/>
        <v>1</v>
      </c>
      <c r="E268" s="48" t="s">
        <v>131</v>
      </c>
      <c r="F268" s="17" t="s">
        <v>58</v>
      </c>
      <c r="G268" s="17" t="s">
        <v>86</v>
      </c>
      <c r="H268" s="42" t="s">
        <v>504</v>
      </c>
      <c r="I268" s="17" t="str">
        <f t="shared" si="17"/>
        <v>PN-267</v>
      </c>
      <c r="J268" s="18" t="s">
        <v>85</v>
      </c>
      <c r="K268" s="19" t="e">
        <f>IF(J268="","SEM #CH",VLOOKUP(J268,#REF!,2,0))</f>
        <v>#REF!</v>
      </c>
      <c r="L268" s="19" t="e">
        <f>IF(J268="","SEM #CH",VLOOKUP(J268,#REF!,3,0))</f>
        <v>#REF!</v>
      </c>
      <c r="M268" s="19" t="e">
        <f>IF(J268="","SEM #CH",VLOOKUP(J268,#REF!,4,0))</f>
        <v>#REF!</v>
      </c>
      <c r="N268" s="19" t="e">
        <f>IF(J268="","SEM #CH",VLOOKUP(J268,#REF!,5,0))</f>
        <v>#REF!</v>
      </c>
      <c r="O268" s="19" t="e">
        <f>IF(J268="","SEM #CH",VLOOKUP(J268,#REF!,6,0))</f>
        <v>#REF!</v>
      </c>
      <c r="P268" s="19" t="e">
        <f>IF(J268="","SEM #CH",VLOOKUP(J268,#REF!,7,0))</f>
        <v>#REF!</v>
      </c>
      <c r="Q268" s="77" t="str">
        <f>VLOOKUP(J268,'p1'!$B$2:$C$30,2,0)</f>
        <v>NÃO TEM CHAPA</v>
      </c>
      <c r="R268" s="91"/>
      <c r="S268" s="91"/>
      <c r="T268" s="91" t="str">
        <f t="shared" si="18"/>
        <v/>
      </c>
      <c r="U268" s="91"/>
      <c r="V268" s="91"/>
      <c r="W268" s="93"/>
      <c r="X268" s="94" t="str">
        <f t="shared" si="19"/>
        <v/>
      </c>
      <c r="Y268"/>
    </row>
    <row r="269" spans="1:25">
      <c r="A269" s="90">
        <v>268</v>
      </c>
      <c r="B269" s="68">
        <v>45853</v>
      </c>
      <c r="C269" s="40">
        <v>48</v>
      </c>
      <c r="D269" s="40">
        <f t="shared" si="16"/>
        <v>1</v>
      </c>
      <c r="E269" s="48" t="s">
        <v>131</v>
      </c>
      <c r="F269" s="17" t="s">
        <v>58</v>
      </c>
      <c r="G269" s="17" t="s">
        <v>86</v>
      </c>
      <c r="H269" s="42" t="s">
        <v>505</v>
      </c>
      <c r="I269" s="17" t="str">
        <f t="shared" si="17"/>
        <v>PN-268</v>
      </c>
      <c r="J269" s="18" t="s">
        <v>85</v>
      </c>
      <c r="K269" s="19" t="e">
        <f>IF(J269="","SEM #CH",VLOOKUP(J269,#REF!,2,0))</f>
        <v>#REF!</v>
      </c>
      <c r="L269" s="19" t="e">
        <f>IF(J269="","SEM #CH",VLOOKUP(J269,#REF!,3,0))</f>
        <v>#REF!</v>
      </c>
      <c r="M269" s="19" t="e">
        <f>IF(J269="","SEM #CH",VLOOKUP(J269,#REF!,4,0))</f>
        <v>#REF!</v>
      </c>
      <c r="N269" s="19" t="e">
        <f>IF(J269="","SEM #CH",VLOOKUP(J269,#REF!,5,0))</f>
        <v>#REF!</v>
      </c>
      <c r="O269" s="19" t="e">
        <f>IF(J269="","SEM #CH",VLOOKUP(J269,#REF!,6,0))</f>
        <v>#REF!</v>
      </c>
      <c r="P269" s="19" t="e">
        <f>IF(J269="","SEM #CH",VLOOKUP(J269,#REF!,7,0))</f>
        <v>#REF!</v>
      </c>
      <c r="Q269" s="77" t="str">
        <f>VLOOKUP(J269,'p1'!$B$2:$C$30,2,0)</f>
        <v>NÃO TEM CHAPA</v>
      </c>
      <c r="R269" s="91"/>
      <c r="S269" s="91"/>
      <c r="T269" s="91" t="str">
        <f t="shared" si="18"/>
        <v/>
      </c>
      <c r="U269" s="91"/>
      <c r="V269" s="91"/>
      <c r="W269" s="93"/>
      <c r="X269" s="94" t="str">
        <f t="shared" si="19"/>
        <v/>
      </c>
      <c r="Y269"/>
    </row>
    <row r="270" spans="1:25">
      <c r="A270" s="90">
        <v>269</v>
      </c>
      <c r="B270" s="68">
        <v>45853</v>
      </c>
      <c r="C270" s="40">
        <v>48</v>
      </c>
      <c r="D270" s="40">
        <f t="shared" si="16"/>
        <v>1</v>
      </c>
      <c r="E270" s="48" t="s">
        <v>131</v>
      </c>
      <c r="F270" s="17" t="s">
        <v>58</v>
      </c>
      <c r="G270" s="17" t="s">
        <v>86</v>
      </c>
      <c r="H270" s="42" t="s">
        <v>506</v>
      </c>
      <c r="I270" s="17" t="str">
        <f t="shared" si="17"/>
        <v>PN-269</v>
      </c>
      <c r="J270" s="18" t="s">
        <v>85</v>
      </c>
      <c r="K270" s="19" t="e">
        <f>IF(J270="","SEM #CH",VLOOKUP(J270,#REF!,2,0))</f>
        <v>#REF!</v>
      </c>
      <c r="L270" s="19" t="e">
        <f>IF(J270="","SEM #CH",VLOOKUP(J270,#REF!,3,0))</f>
        <v>#REF!</v>
      </c>
      <c r="M270" s="19" t="e">
        <f>IF(J270="","SEM #CH",VLOOKUP(J270,#REF!,4,0))</f>
        <v>#REF!</v>
      </c>
      <c r="N270" s="19" t="e">
        <f>IF(J270="","SEM #CH",VLOOKUP(J270,#REF!,5,0))</f>
        <v>#REF!</v>
      </c>
      <c r="O270" s="19" t="e">
        <f>IF(J270="","SEM #CH",VLOOKUP(J270,#REF!,6,0))</f>
        <v>#REF!</v>
      </c>
      <c r="P270" s="19" t="e">
        <f>IF(J270="","SEM #CH",VLOOKUP(J270,#REF!,7,0))</f>
        <v>#REF!</v>
      </c>
      <c r="Q270" s="77" t="str">
        <f>VLOOKUP(J270,'p1'!$B$2:$C$30,2,0)</f>
        <v>NÃO TEM CHAPA</v>
      </c>
      <c r="R270" s="91"/>
      <c r="S270" s="91"/>
      <c r="T270" s="91" t="str">
        <f t="shared" si="18"/>
        <v/>
      </c>
      <c r="U270" s="91"/>
      <c r="V270" s="91"/>
      <c r="W270" s="93"/>
      <c r="X270" s="94" t="str">
        <f t="shared" si="19"/>
        <v/>
      </c>
      <c r="Y270"/>
    </row>
    <row r="271" spans="1:25">
      <c r="A271" s="90">
        <v>270</v>
      </c>
      <c r="B271" s="68"/>
      <c r="C271" s="40"/>
      <c r="D271" s="40" t="str">
        <f t="shared" si="16"/>
        <v/>
      </c>
      <c r="E271" s="48" t="s">
        <v>131</v>
      </c>
      <c r="F271" s="17" t="s">
        <v>58</v>
      </c>
      <c r="G271" s="17" t="s">
        <v>86</v>
      </c>
      <c r="H271" s="42" t="s">
        <v>507</v>
      </c>
      <c r="I271" s="17" t="str">
        <f t="shared" si="17"/>
        <v>PN-270</v>
      </c>
      <c r="J271" s="18" t="s">
        <v>85</v>
      </c>
      <c r="K271" s="19" t="e">
        <f>IF(J271="","SEM #CH",VLOOKUP(J271,#REF!,2,0))</f>
        <v>#REF!</v>
      </c>
      <c r="L271" s="19" t="e">
        <f>IF(J271="","SEM #CH",VLOOKUP(J271,#REF!,3,0))</f>
        <v>#REF!</v>
      </c>
      <c r="M271" s="19" t="e">
        <f>IF(J271="","SEM #CH",VLOOKUP(J271,#REF!,4,0))</f>
        <v>#REF!</v>
      </c>
      <c r="N271" s="19" t="e">
        <f>IF(J271="","SEM #CH",VLOOKUP(J271,#REF!,5,0))</f>
        <v>#REF!</v>
      </c>
      <c r="O271" s="19" t="e">
        <f>IF(J271="","SEM #CH",VLOOKUP(J271,#REF!,6,0))</f>
        <v>#REF!</v>
      </c>
      <c r="P271" s="19" t="e">
        <f>IF(J271="","SEM #CH",VLOOKUP(J271,#REF!,7,0))</f>
        <v>#REF!</v>
      </c>
      <c r="Q271" s="77" t="str">
        <f>VLOOKUP(J271,'p1'!$B$2:$C$30,2,0)</f>
        <v>NÃO TEM CHAPA</v>
      </c>
      <c r="R271" s="91"/>
      <c r="S271" s="91"/>
      <c r="T271" s="91" t="str">
        <f t="shared" si="18"/>
        <v/>
      </c>
      <c r="U271" s="91"/>
      <c r="V271" s="91"/>
      <c r="W271" s="93"/>
      <c r="X271" s="94" t="str">
        <f t="shared" si="19"/>
        <v/>
      </c>
      <c r="Y271"/>
    </row>
    <row r="272" spans="1:25">
      <c r="A272" s="90">
        <v>271</v>
      </c>
      <c r="B272" s="68"/>
      <c r="C272" s="40"/>
      <c r="D272" s="40" t="str">
        <f t="shared" si="16"/>
        <v/>
      </c>
      <c r="E272" s="48" t="s">
        <v>131</v>
      </c>
      <c r="F272" s="17" t="s">
        <v>58</v>
      </c>
      <c r="G272" s="17" t="s">
        <v>86</v>
      </c>
      <c r="H272" s="42" t="s">
        <v>508</v>
      </c>
      <c r="I272" s="17" t="str">
        <f t="shared" si="17"/>
        <v>PN-271</v>
      </c>
      <c r="J272" s="18" t="s">
        <v>85</v>
      </c>
      <c r="K272" s="19" t="e">
        <f>IF(J272="","SEM #CH",VLOOKUP(J272,#REF!,2,0))</f>
        <v>#REF!</v>
      </c>
      <c r="L272" s="19" t="e">
        <f>IF(J272="","SEM #CH",VLOOKUP(J272,#REF!,3,0))</f>
        <v>#REF!</v>
      </c>
      <c r="M272" s="19" t="e">
        <f>IF(J272="","SEM #CH",VLOOKUP(J272,#REF!,4,0))</f>
        <v>#REF!</v>
      </c>
      <c r="N272" s="19" t="e">
        <f>IF(J272="","SEM #CH",VLOOKUP(J272,#REF!,5,0))</f>
        <v>#REF!</v>
      </c>
      <c r="O272" s="19" t="e">
        <f>IF(J272="","SEM #CH",VLOOKUP(J272,#REF!,6,0))</f>
        <v>#REF!</v>
      </c>
      <c r="P272" s="19" t="e">
        <f>IF(J272="","SEM #CH",VLOOKUP(J272,#REF!,7,0))</f>
        <v>#REF!</v>
      </c>
      <c r="Q272" s="77" t="str">
        <f>VLOOKUP(J272,'p1'!$B$2:$C$30,2,0)</f>
        <v>NÃO TEM CHAPA</v>
      </c>
      <c r="R272" s="91"/>
      <c r="S272" s="91"/>
      <c r="T272" s="91" t="str">
        <f t="shared" si="18"/>
        <v/>
      </c>
      <c r="U272" s="91"/>
      <c r="V272" s="91"/>
      <c r="W272" s="93"/>
      <c r="X272" s="94" t="str">
        <f t="shared" si="19"/>
        <v/>
      </c>
      <c r="Y272"/>
    </row>
    <row r="273" spans="1:25">
      <c r="A273" s="90">
        <v>272</v>
      </c>
      <c r="B273" s="68"/>
      <c r="C273" s="40"/>
      <c r="D273" s="40" t="str">
        <f t="shared" si="16"/>
        <v/>
      </c>
      <c r="E273" s="48" t="s">
        <v>131</v>
      </c>
      <c r="F273" s="17" t="s">
        <v>58</v>
      </c>
      <c r="G273" s="17" t="s">
        <v>86</v>
      </c>
      <c r="H273" s="42" t="s">
        <v>509</v>
      </c>
      <c r="I273" s="17" t="str">
        <f t="shared" si="17"/>
        <v>PN-272</v>
      </c>
      <c r="J273" s="18" t="s">
        <v>85</v>
      </c>
      <c r="K273" s="19" t="e">
        <f>IF(J273="","SEM #CH",VLOOKUP(J273,#REF!,2,0))</f>
        <v>#REF!</v>
      </c>
      <c r="L273" s="19" t="e">
        <f>IF(J273="","SEM #CH",VLOOKUP(J273,#REF!,3,0))</f>
        <v>#REF!</v>
      </c>
      <c r="M273" s="19" t="e">
        <f>IF(J273="","SEM #CH",VLOOKUP(J273,#REF!,4,0))</f>
        <v>#REF!</v>
      </c>
      <c r="N273" s="19" t="e">
        <f>IF(J273="","SEM #CH",VLOOKUP(J273,#REF!,5,0))</f>
        <v>#REF!</v>
      </c>
      <c r="O273" s="19" t="e">
        <f>IF(J273="","SEM #CH",VLOOKUP(J273,#REF!,6,0))</f>
        <v>#REF!</v>
      </c>
      <c r="P273" s="19" t="e">
        <f>IF(J273="","SEM #CH",VLOOKUP(J273,#REF!,7,0))</f>
        <v>#REF!</v>
      </c>
      <c r="Q273" s="77" t="str">
        <f>VLOOKUP(J273,'p1'!$B$2:$C$30,2,0)</f>
        <v>NÃO TEM CHAPA</v>
      </c>
      <c r="R273" s="91"/>
      <c r="S273" s="91"/>
      <c r="T273" s="91" t="str">
        <f t="shared" si="18"/>
        <v/>
      </c>
      <c r="U273" s="91"/>
      <c r="V273" s="91"/>
      <c r="W273" s="93"/>
      <c r="X273" s="94" t="str">
        <f t="shared" si="19"/>
        <v/>
      </c>
      <c r="Y273"/>
    </row>
    <row r="274" spans="1:25">
      <c r="A274" s="90">
        <v>273</v>
      </c>
      <c r="B274" s="68"/>
      <c r="C274" s="40"/>
      <c r="D274" s="40" t="str">
        <f t="shared" si="16"/>
        <v/>
      </c>
      <c r="E274" s="48" t="s">
        <v>131</v>
      </c>
      <c r="F274" s="17" t="s">
        <v>60</v>
      </c>
      <c r="G274" s="17" t="s">
        <v>86</v>
      </c>
      <c r="H274" s="42" t="s">
        <v>510</v>
      </c>
      <c r="I274" s="17" t="str">
        <f t="shared" si="17"/>
        <v>PE-273</v>
      </c>
      <c r="J274" s="18" t="s">
        <v>88</v>
      </c>
      <c r="K274" s="19" t="e">
        <f>IF(J274="","SEM #CH",VLOOKUP(J274,#REF!,2,0))</f>
        <v>#REF!</v>
      </c>
      <c r="L274" s="19" t="e">
        <f>IF(J274="","SEM #CH",VLOOKUP(J274,#REF!,3,0))</f>
        <v>#REF!</v>
      </c>
      <c r="M274" s="19" t="e">
        <f>IF(J274="","SEM #CH",VLOOKUP(J274,#REF!,4,0))</f>
        <v>#REF!</v>
      </c>
      <c r="N274" s="19" t="e">
        <f>IF(J274="","SEM #CH",VLOOKUP(J274,#REF!,5,0))</f>
        <v>#REF!</v>
      </c>
      <c r="O274" s="19" t="e">
        <f>IF(J274="","SEM #CH",VLOOKUP(J274,#REF!,6,0))</f>
        <v>#REF!</v>
      </c>
      <c r="P274" s="19" t="e">
        <f>IF(J274="","SEM #CH",VLOOKUP(J274,#REF!,7,0))</f>
        <v>#REF!</v>
      </c>
      <c r="Q274" s="77" t="str">
        <f>VLOOKUP(J274,'p1'!$B$2:$C$30,2,0)</f>
        <v>#3/8-1315X1315</v>
      </c>
      <c r="R274" s="91"/>
      <c r="S274" s="91"/>
      <c r="T274" s="91" t="str">
        <f t="shared" si="18"/>
        <v/>
      </c>
      <c r="U274" s="91"/>
      <c r="V274" s="91"/>
      <c r="W274" s="93"/>
      <c r="X274" s="94" t="str">
        <f t="shared" si="19"/>
        <v/>
      </c>
      <c r="Y274"/>
    </row>
    <row r="275" spans="1:25">
      <c r="A275" s="90">
        <v>274</v>
      </c>
      <c r="B275" s="68"/>
      <c r="C275" s="40"/>
      <c r="D275" s="40" t="str">
        <f t="shared" si="16"/>
        <v/>
      </c>
      <c r="E275" s="48" t="s">
        <v>131</v>
      </c>
      <c r="F275" s="17" t="s">
        <v>58</v>
      </c>
      <c r="G275" s="17" t="s">
        <v>86</v>
      </c>
      <c r="H275" s="42" t="s">
        <v>511</v>
      </c>
      <c r="I275" s="17" t="str">
        <f t="shared" si="17"/>
        <v>PN-274</v>
      </c>
      <c r="J275" s="18" t="s">
        <v>85</v>
      </c>
      <c r="K275" s="19" t="e">
        <f>IF(J275="","SEM #CH",VLOOKUP(J275,#REF!,2,0))</f>
        <v>#REF!</v>
      </c>
      <c r="L275" s="19" t="e">
        <f>IF(J275="","SEM #CH",VLOOKUP(J275,#REF!,3,0))</f>
        <v>#REF!</v>
      </c>
      <c r="M275" s="19" t="e">
        <f>IF(J275="","SEM #CH",VLOOKUP(J275,#REF!,4,0))</f>
        <v>#REF!</v>
      </c>
      <c r="N275" s="19" t="e">
        <f>IF(J275="","SEM #CH",VLOOKUP(J275,#REF!,5,0))</f>
        <v>#REF!</v>
      </c>
      <c r="O275" s="19" t="e">
        <f>IF(J275="","SEM #CH",VLOOKUP(J275,#REF!,6,0))</f>
        <v>#REF!</v>
      </c>
      <c r="P275" s="19" t="e">
        <f>IF(J275="","SEM #CH",VLOOKUP(J275,#REF!,7,0))</f>
        <v>#REF!</v>
      </c>
      <c r="Q275" s="77" t="str">
        <f>VLOOKUP(J275,'p1'!$B$2:$C$30,2,0)</f>
        <v>NÃO TEM CHAPA</v>
      </c>
      <c r="R275" s="91"/>
      <c r="S275" s="91"/>
      <c r="T275" s="91" t="str">
        <f t="shared" si="18"/>
        <v/>
      </c>
      <c r="U275" s="91"/>
      <c r="V275" s="91"/>
      <c r="W275" s="93"/>
      <c r="X275" s="94" t="str">
        <f t="shared" si="19"/>
        <v/>
      </c>
      <c r="Y275"/>
    </row>
    <row r="276" spans="1:25">
      <c r="A276" s="90">
        <v>275</v>
      </c>
      <c r="B276" s="68"/>
      <c r="C276" s="40"/>
      <c r="D276" s="40" t="str">
        <f t="shared" si="16"/>
        <v/>
      </c>
      <c r="E276" s="48" t="s">
        <v>131</v>
      </c>
      <c r="F276" s="17" t="s">
        <v>58</v>
      </c>
      <c r="G276" s="17" t="s">
        <v>86</v>
      </c>
      <c r="H276" s="42" t="s">
        <v>512</v>
      </c>
      <c r="I276" s="17" t="str">
        <f t="shared" si="17"/>
        <v>PN-275</v>
      </c>
      <c r="J276" s="18" t="s">
        <v>85</v>
      </c>
      <c r="K276" s="19" t="e">
        <f>IF(J276="","SEM #CH",VLOOKUP(J276,#REF!,2,0))</f>
        <v>#REF!</v>
      </c>
      <c r="L276" s="19" t="e">
        <f>IF(J276="","SEM #CH",VLOOKUP(J276,#REF!,3,0))</f>
        <v>#REF!</v>
      </c>
      <c r="M276" s="19" t="e">
        <f>IF(J276="","SEM #CH",VLOOKUP(J276,#REF!,4,0))</f>
        <v>#REF!</v>
      </c>
      <c r="N276" s="19" t="e">
        <f>IF(J276="","SEM #CH",VLOOKUP(J276,#REF!,5,0))</f>
        <v>#REF!</v>
      </c>
      <c r="O276" s="19" t="e">
        <f>IF(J276="","SEM #CH",VLOOKUP(J276,#REF!,6,0))</f>
        <v>#REF!</v>
      </c>
      <c r="P276" s="19" t="e">
        <f>IF(J276="","SEM #CH",VLOOKUP(J276,#REF!,7,0))</f>
        <v>#REF!</v>
      </c>
      <c r="Q276" s="77" t="str">
        <f>VLOOKUP(J276,'p1'!$B$2:$C$30,2,0)</f>
        <v>NÃO TEM CHAPA</v>
      </c>
      <c r="R276" s="91"/>
      <c r="S276" s="91"/>
      <c r="T276" s="91" t="str">
        <f t="shared" si="18"/>
        <v/>
      </c>
      <c r="U276" s="91"/>
      <c r="V276" s="91"/>
      <c r="W276" s="93"/>
      <c r="X276" s="94" t="str">
        <f t="shared" si="19"/>
        <v/>
      </c>
      <c r="Y276"/>
    </row>
    <row r="277" spans="1:25">
      <c r="A277" s="90">
        <v>276</v>
      </c>
      <c r="B277" s="68"/>
      <c r="C277" s="40"/>
      <c r="D277" s="40" t="str">
        <f t="shared" si="16"/>
        <v/>
      </c>
      <c r="E277" s="48" t="s">
        <v>131</v>
      </c>
      <c r="F277" s="17" t="s">
        <v>58</v>
      </c>
      <c r="G277" s="17" t="s">
        <v>86</v>
      </c>
      <c r="H277" s="42" t="s">
        <v>513</v>
      </c>
      <c r="I277" s="17" t="str">
        <f t="shared" si="17"/>
        <v>PN-276</v>
      </c>
      <c r="J277" s="18" t="s">
        <v>85</v>
      </c>
      <c r="K277" s="19" t="e">
        <f>IF(J277="","SEM #CH",VLOOKUP(J277,#REF!,2,0))</f>
        <v>#REF!</v>
      </c>
      <c r="L277" s="19" t="e">
        <f>IF(J277="","SEM #CH",VLOOKUP(J277,#REF!,3,0))</f>
        <v>#REF!</v>
      </c>
      <c r="M277" s="19" t="e">
        <f>IF(J277="","SEM #CH",VLOOKUP(J277,#REF!,4,0))</f>
        <v>#REF!</v>
      </c>
      <c r="N277" s="19" t="e">
        <f>IF(J277="","SEM #CH",VLOOKUP(J277,#REF!,5,0))</f>
        <v>#REF!</v>
      </c>
      <c r="O277" s="19" t="e">
        <f>IF(J277="","SEM #CH",VLOOKUP(J277,#REF!,6,0))</f>
        <v>#REF!</v>
      </c>
      <c r="P277" s="19" t="e">
        <f>IF(J277="","SEM #CH",VLOOKUP(J277,#REF!,7,0))</f>
        <v>#REF!</v>
      </c>
      <c r="Q277" s="77" t="str">
        <f>VLOOKUP(J277,'p1'!$B$2:$C$30,2,0)</f>
        <v>NÃO TEM CHAPA</v>
      </c>
      <c r="R277" s="91"/>
      <c r="S277" s="91"/>
      <c r="T277" s="91" t="str">
        <f t="shared" si="18"/>
        <v/>
      </c>
      <c r="U277" s="91"/>
      <c r="V277" s="91"/>
      <c r="W277" s="93"/>
      <c r="X277" s="94" t="str">
        <f t="shared" si="19"/>
        <v/>
      </c>
      <c r="Y277"/>
    </row>
    <row r="278" spans="1:25">
      <c r="A278" s="90">
        <v>277</v>
      </c>
      <c r="B278" s="68"/>
      <c r="C278" s="40"/>
      <c r="D278" s="40" t="str">
        <f t="shared" si="16"/>
        <v/>
      </c>
      <c r="E278" s="48" t="s">
        <v>131</v>
      </c>
      <c r="F278" s="17" t="s">
        <v>58</v>
      </c>
      <c r="G278" s="17" t="s">
        <v>86</v>
      </c>
      <c r="H278" s="42" t="s">
        <v>514</v>
      </c>
      <c r="I278" s="17" t="str">
        <f t="shared" si="17"/>
        <v>PN-277</v>
      </c>
      <c r="J278" s="18" t="s">
        <v>85</v>
      </c>
      <c r="K278" s="19" t="e">
        <f>IF(J278="","SEM #CH",VLOOKUP(J278,#REF!,2,0))</f>
        <v>#REF!</v>
      </c>
      <c r="L278" s="19" t="e">
        <f>IF(J278="","SEM #CH",VLOOKUP(J278,#REF!,3,0))</f>
        <v>#REF!</v>
      </c>
      <c r="M278" s="19" t="e">
        <f>IF(J278="","SEM #CH",VLOOKUP(J278,#REF!,4,0))</f>
        <v>#REF!</v>
      </c>
      <c r="N278" s="19" t="e">
        <f>IF(J278="","SEM #CH",VLOOKUP(J278,#REF!,5,0))</f>
        <v>#REF!</v>
      </c>
      <c r="O278" s="19" t="e">
        <f>IF(J278="","SEM #CH",VLOOKUP(J278,#REF!,6,0))</f>
        <v>#REF!</v>
      </c>
      <c r="P278" s="19" t="e">
        <f>IF(J278="","SEM #CH",VLOOKUP(J278,#REF!,7,0))</f>
        <v>#REF!</v>
      </c>
      <c r="Q278" s="77" t="str">
        <f>VLOOKUP(J278,'p1'!$B$2:$C$30,2,0)</f>
        <v>NÃO TEM CHAPA</v>
      </c>
      <c r="R278" s="91"/>
      <c r="S278" s="91"/>
      <c r="T278" s="91" t="str">
        <f t="shared" si="18"/>
        <v/>
      </c>
      <c r="U278" s="91"/>
      <c r="V278" s="91"/>
      <c r="W278" s="93"/>
      <c r="X278" s="94" t="str">
        <f t="shared" si="19"/>
        <v/>
      </c>
      <c r="Y278"/>
    </row>
    <row r="279" spans="1:25">
      <c r="A279" s="90">
        <v>278</v>
      </c>
      <c r="B279" s="68"/>
      <c r="C279" s="40"/>
      <c r="D279" s="40" t="str">
        <f t="shared" si="16"/>
        <v/>
      </c>
      <c r="E279" s="48" t="s">
        <v>131</v>
      </c>
      <c r="F279" s="17" t="s">
        <v>58</v>
      </c>
      <c r="G279" s="17" t="s">
        <v>86</v>
      </c>
      <c r="H279" s="42" t="s">
        <v>515</v>
      </c>
      <c r="I279" s="17" t="str">
        <f t="shared" si="17"/>
        <v>PN-278</v>
      </c>
      <c r="J279" s="18" t="s">
        <v>85</v>
      </c>
      <c r="K279" s="19" t="e">
        <f>IF(J279="","SEM #CH",VLOOKUP(J279,#REF!,2,0))</f>
        <v>#REF!</v>
      </c>
      <c r="L279" s="19" t="e">
        <f>IF(J279="","SEM #CH",VLOOKUP(J279,#REF!,3,0))</f>
        <v>#REF!</v>
      </c>
      <c r="M279" s="19" t="e">
        <f>IF(J279="","SEM #CH",VLOOKUP(J279,#REF!,4,0))</f>
        <v>#REF!</v>
      </c>
      <c r="N279" s="19" t="e">
        <f>IF(J279="","SEM #CH",VLOOKUP(J279,#REF!,5,0))</f>
        <v>#REF!</v>
      </c>
      <c r="O279" s="19" t="e">
        <f>IF(J279="","SEM #CH",VLOOKUP(J279,#REF!,6,0))</f>
        <v>#REF!</v>
      </c>
      <c r="P279" s="19" t="e">
        <f>IF(J279="","SEM #CH",VLOOKUP(J279,#REF!,7,0))</f>
        <v>#REF!</v>
      </c>
      <c r="Q279" s="77" t="str">
        <f>VLOOKUP(J279,'p1'!$B$2:$C$30,2,0)</f>
        <v>NÃO TEM CHAPA</v>
      </c>
      <c r="R279" s="91"/>
      <c r="S279" s="91"/>
      <c r="T279" s="91" t="str">
        <f t="shared" si="18"/>
        <v/>
      </c>
      <c r="U279" s="91"/>
      <c r="V279" s="91"/>
      <c r="W279" s="93"/>
      <c r="X279" s="94" t="str">
        <f t="shared" si="19"/>
        <v/>
      </c>
      <c r="Y279"/>
    </row>
    <row r="280" spans="1:25">
      <c r="A280" s="90">
        <v>279</v>
      </c>
      <c r="B280" s="68"/>
      <c r="C280" s="40"/>
      <c r="D280" s="40" t="str">
        <f t="shared" si="16"/>
        <v/>
      </c>
      <c r="E280" s="48" t="s">
        <v>131</v>
      </c>
      <c r="F280" s="17" t="s">
        <v>58</v>
      </c>
      <c r="G280" s="17" t="s">
        <v>86</v>
      </c>
      <c r="H280" s="42" t="s">
        <v>516</v>
      </c>
      <c r="I280" s="17" t="str">
        <f t="shared" si="17"/>
        <v>PN-279</v>
      </c>
      <c r="J280" s="18" t="s">
        <v>85</v>
      </c>
      <c r="K280" s="19" t="e">
        <f>IF(J280="","SEM #CH",VLOOKUP(J280,#REF!,2,0))</f>
        <v>#REF!</v>
      </c>
      <c r="L280" s="19" t="e">
        <f>IF(J280="","SEM #CH",VLOOKUP(J280,#REF!,3,0))</f>
        <v>#REF!</v>
      </c>
      <c r="M280" s="19" t="e">
        <f>IF(J280="","SEM #CH",VLOOKUP(J280,#REF!,4,0))</f>
        <v>#REF!</v>
      </c>
      <c r="N280" s="19" t="e">
        <f>IF(J280="","SEM #CH",VLOOKUP(J280,#REF!,5,0))</f>
        <v>#REF!</v>
      </c>
      <c r="O280" s="19" t="e">
        <f>IF(J280="","SEM #CH",VLOOKUP(J280,#REF!,6,0))</f>
        <v>#REF!</v>
      </c>
      <c r="P280" s="19" t="e">
        <f>IF(J280="","SEM #CH",VLOOKUP(J280,#REF!,7,0))</f>
        <v>#REF!</v>
      </c>
      <c r="Q280" s="77" t="str">
        <f>VLOOKUP(J280,'p1'!$B$2:$C$30,2,0)</f>
        <v>NÃO TEM CHAPA</v>
      </c>
      <c r="R280" s="91"/>
      <c r="S280" s="91"/>
      <c r="T280" s="91" t="str">
        <f t="shared" si="18"/>
        <v/>
      </c>
      <c r="U280" s="91"/>
      <c r="V280" s="91"/>
      <c r="W280" s="93"/>
      <c r="X280" s="94" t="str">
        <f t="shared" si="19"/>
        <v/>
      </c>
      <c r="Y280"/>
    </row>
    <row r="281" spans="1:25">
      <c r="A281" s="90">
        <v>280</v>
      </c>
      <c r="B281" s="68"/>
      <c r="C281" s="40"/>
      <c r="D281" s="40" t="str">
        <f t="shared" si="16"/>
        <v/>
      </c>
      <c r="E281" s="48" t="s">
        <v>131</v>
      </c>
      <c r="F281" s="17" t="s">
        <v>61</v>
      </c>
      <c r="G281" s="17" t="s">
        <v>86</v>
      </c>
      <c r="H281" s="42" t="s">
        <v>517</v>
      </c>
      <c r="I281" s="17" t="str">
        <f t="shared" si="17"/>
        <v>PF-280</v>
      </c>
      <c r="J281" s="18" t="s">
        <v>61</v>
      </c>
      <c r="K281" s="19" t="e">
        <f>IF(J281="","SEM #CH",VLOOKUP(J281,#REF!,2,0))</f>
        <v>#REF!</v>
      </c>
      <c r="L281" s="19" t="e">
        <f>IF(J281="","SEM #CH",VLOOKUP(J281,#REF!,3,0))</f>
        <v>#REF!</v>
      </c>
      <c r="M281" s="19" t="e">
        <f>IF(J281="","SEM #CH",VLOOKUP(J281,#REF!,4,0))</f>
        <v>#REF!</v>
      </c>
      <c r="N281" s="19" t="e">
        <f>IF(J281="","SEM #CH",VLOOKUP(J281,#REF!,5,0))</f>
        <v>#REF!</v>
      </c>
      <c r="O281" s="19" t="e">
        <f>IF(J281="","SEM #CH",VLOOKUP(J281,#REF!,6,0))</f>
        <v>#REF!</v>
      </c>
      <c r="P281" s="19" t="e">
        <f>IF(J281="","SEM #CH",VLOOKUP(J281,#REF!,7,0))</f>
        <v>#REF!</v>
      </c>
      <c r="Q281" s="77" t="str">
        <f>VLOOKUP(J281,'p1'!$B$2:$C$30,2,0)</f>
        <v>SEM CHAPA</v>
      </c>
      <c r="R281" s="91"/>
      <c r="S281" s="91"/>
      <c r="T281" s="91" t="str">
        <f t="shared" si="18"/>
        <v/>
      </c>
      <c r="U281" s="91"/>
      <c r="V281" s="91"/>
      <c r="W281" s="93"/>
      <c r="X281" s="94" t="str">
        <f t="shared" si="19"/>
        <v/>
      </c>
      <c r="Y281"/>
    </row>
    <row r="282" spans="1:25">
      <c r="A282" s="90">
        <v>281</v>
      </c>
      <c r="B282" s="68"/>
      <c r="C282" s="40"/>
      <c r="D282" s="40" t="str">
        <f t="shared" si="16"/>
        <v/>
      </c>
      <c r="E282" s="48" t="s">
        <v>131</v>
      </c>
      <c r="F282" s="17" t="s">
        <v>58</v>
      </c>
      <c r="G282" s="17" t="s">
        <v>86</v>
      </c>
      <c r="H282" s="42" t="s">
        <v>518</v>
      </c>
      <c r="I282" s="17" t="str">
        <f t="shared" si="17"/>
        <v>PN-281</v>
      </c>
      <c r="J282" s="18" t="s">
        <v>85</v>
      </c>
      <c r="K282" s="19" t="e">
        <f>IF(J282="","SEM #CH",VLOOKUP(J282,#REF!,2,0))</f>
        <v>#REF!</v>
      </c>
      <c r="L282" s="19" t="e">
        <f>IF(J282="","SEM #CH",VLOOKUP(J282,#REF!,3,0))</f>
        <v>#REF!</v>
      </c>
      <c r="M282" s="19" t="e">
        <f>IF(J282="","SEM #CH",VLOOKUP(J282,#REF!,4,0))</f>
        <v>#REF!</v>
      </c>
      <c r="N282" s="19" t="e">
        <f>IF(J282="","SEM #CH",VLOOKUP(J282,#REF!,5,0))</f>
        <v>#REF!</v>
      </c>
      <c r="O282" s="19" t="e">
        <f>IF(J282="","SEM #CH",VLOOKUP(J282,#REF!,6,0))</f>
        <v>#REF!</v>
      </c>
      <c r="P282" s="19" t="e">
        <f>IF(J282="","SEM #CH",VLOOKUP(J282,#REF!,7,0))</f>
        <v>#REF!</v>
      </c>
      <c r="Q282" s="77" t="str">
        <f>VLOOKUP(J282,'p1'!$B$2:$C$30,2,0)</f>
        <v>NÃO TEM CHAPA</v>
      </c>
      <c r="R282" s="91"/>
      <c r="S282" s="91"/>
      <c r="T282" s="91" t="str">
        <f t="shared" si="18"/>
        <v/>
      </c>
      <c r="U282" s="91"/>
      <c r="V282" s="91"/>
      <c r="W282" s="93"/>
      <c r="X282" s="94" t="str">
        <f t="shared" si="19"/>
        <v/>
      </c>
      <c r="Y282"/>
    </row>
    <row r="283" spans="1:25">
      <c r="A283" s="90">
        <v>282</v>
      </c>
      <c r="B283" s="68"/>
      <c r="C283" s="40"/>
      <c r="D283" s="40" t="str">
        <f t="shared" si="16"/>
        <v/>
      </c>
      <c r="E283" s="48" t="s">
        <v>131</v>
      </c>
      <c r="F283" s="17" t="s">
        <v>58</v>
      </c>
      <c r="G283" s="17" t="s">
        <v>86</v>
      </c>
      <c r="H283" s="42" t="s">
        <v>519</v>
      </c>
      <c r="I283" s="17" t="str">
        <f t="shared" si="17"/>
        <v>PN-282</v>
      </c>
      <c r="J283" s="18" t="s">
        <v>85</v>
      </c>
      <c r="K283" s="19" t="e">
        <f>IF(J283="","SEM #CH",VLOOKUP(J283,#REF!,2,0))</f>
        <v>#REF!</v>
      </c>
      <c r="L283" s="19" t="e">
        <f>IF(J283="","SEM #CH",VLOOKUP(J283,#REF!,3,0))</f>
        <v>#REF!</v>
      </c>
      <c r="M283" s="19" t="e">
        <f>IF(J283="","SEM #CH",VLOOKUP(J283,#REF!,4,0))</f>
        <v>#REF!</v>
      </c>
      <c r="N283" s="19" t="e">
        <f>IF(J283="","SEM #CH",VLOOKUP(J283,#REF!,5,0))</f>
        <v>#REF!</v>
      </c>
      <c r="O283" s="19" t="e">
        <f>IF(J283="","SEM #CH",VLOOKUP(J283,#REF!,6,0))</f>
        <v>#REF!</v>
      </c>
      <c r="P283" s="19" t="e">
        <f>IF(J283="","SEM #CH",VLOOKUP(J283,#REF!,7,0))</f>
        <v>#REF!</v>
      </c>
      <c r="Q283" s="77" t="str">
        <f>VLOOKUP(J283,'p1'!$B$2:$C$30,2,0)</f>
        <v>NÃO TEM CHAPA</v>
      </c>
      <c r="R283" s="91"/>
      <c r="S283" s="91"/>
      <c r="T283" s="91" t="str">
        <f t="shared" si="18"/>
        <v/>
      </c>
      <c r="U283" s="91"/>
      <c r="V283" s="91"/>
      <c r="W283" s="93"/>
      <c r="X283" s="94" t="str">
        <f t="shared" si="19"/>
        <v/>
      </c>
      <c r="Y283"/>
    </row>
    <row r="284" spans="1:25">
      <c r="A284" s="90">
        <v>283</v>
      </c>
      <c r="B284" s="68"/>
      <c r="C284" s="40"/>
      <c r="D284" s="40" t="str">
        <f t="shared" si="16"/>
        <v/>
      </c>
      <c r="E284" s="48" t="s">
        <v>131</v>
      </c>
      <c r="F284" s="17" t="s">
        <v>58</v>
      </c>
      <c r="G284" s="17" t="s">
        <v>86</v>
      </c>
      <c r="H284" s="42" t="s">
        <v>520</v>
      </c>
      <c r="I284" s="17" t="str">
        <f t="shared" si="17"/>
        <v>PN-283</v>
      </c>
      <c r="J284" s="18" t="s">
        <v>85</v>
      </c>
      <c r="K284" s="19" t="e">
        <f>IF(J284="","SEM #CH",VLOOKUP(J284,#REF!,2,0))</f>
        <v>#REF!</v>
      </c>
      <c r="L284" s="19" t="e">
        <f>IF(J284="","SEM #CH",VLOOKUP(J284,#REF!,3,0))</f>
        <v>#REF!</v>
      </c>
      <c r="M284" s="19" t="e">
        <f>IF(J284="","SEM #CH",VLOOKUP(J284,#REF!,4,0))</f>
        <v>#REF!</v>
      </c>
      <c r="N284" s="19" t="e">
        <f>IF(J284="","SEM #CH",VLOOKUP(J284,#REF!,5,0))</f>
        <v>#REF!</v>
      </c>
      <c r="O284" s="19" t="e">
        <f>IF(J284="","SEM #CH",VLOOKUP(J284,#REF!,6,0))</f>
        <v>#REF!</v>
      </c>
      <c r="P284" s="19" t="e">
        <f>IF(J284="","SEM #CH",VLOOKUP(J284,#REF!,7,0))</f>
        <v>#REF!</v>
      </c>
      <c r="Q284" s="77" t="str">
        <f>VLOOKUP(J284,'p1'!$B$2:$C$30,2,0)</f>
        <v>NÃO TEM CHAPA</v>
      </c>
      <c r="R284" s="91"/>
      <c r="S284" s="91"/>
      <c r="T284" s="91" t="str">
        <f t="shared" si="18"/>
        <v/>
      </c>
      <c r="U284" s="91"/>
      <c r="V284" s="91"/>
      <c r="W284" s="93"/>
      <c r="X284" s="94" t="str">
        <f t="shared" si="19"/>
        <v/>
      </c>
      <c r="Y284"/>
    </row>
    <row r="285" spans="1:25">
      <c r="A285" s="90">
        <v>284</v>
      </c>
      <c r="B285" s="68"/>
      <c r="C285" s="40"/>
      <c r="D285" s="40" t="str">
        <f t="shared" si="16"/>
        <v/>
      </c>
      <c r="E285" s="48" t="s">
        <v>131</v>
      </c>
      <c r="F285" s="17" t="s">
        <v>58</v>
      </c>
      <c r="G285" s="17" t="s">
        <v>86</v>
      </c>
      <c r="H285" s="42" t="s">
        <v>521</v>
      </c>
      <c r="I285" s="17" t="str">
        <f t="shared" si="17"/>
        <v>PN-284</v>
      </c>
      <c r="J285" s="18" t="s">
        <v>85</v>
      </c>
      <c r="K285" s="19" t="e">
        <f>IF(J285="","SEM #CH",VLOOKUP(J285,#REF!,2,0))</f>
        <v>#REF!</v>
      </c>
      <c r="L285" s="19" t="e">
        <f>IF(J285="","SEM #CH",VLOOKUP(J285,#REF!,3,0))</f>
        <v>#REF!</v>
      </c>
      <c r="M285" s="19" t="e">
        <f>IF(J285="","SEM #CH",VLOOKUP(J285,#REF!,4,0))</f>
        <v>#REF!</v>
      </c>
      <c r="N285" s="19" t="e">
        <f>IF(J285="","SEM #CH",VLOOKUP(J285,#REF!,5,0))</f>
        <v>#REF!</v>
      </c>
      <c r="O285" s="19" t="e">
        <f>IF(J285="","SEM #CH",VLOOKUP(J285,#REF!,6,0))</f>
        <v>#REF!</v>
      </c>
      <c r="P285" s="19" t="e">
        <f>IF(J285="","SEM #CH",VLOOKUP(J285,#REF!,7,0))</f>
        <v>#REF!</v>
      </c>
      <c r="Q285" s="77" t="str">
        <f>VLOOKUP(J285,'p1'!$B$2:$C$30,2,0)</f>
        <v>NÃO TEM CHAPA</v>
      </c>
      <c r="R285" s="91"/>
      <c r="S285" s="91"/>
      <c r="T285" s="91" t="str">
        <f t="shared" si="18"/>
        <v/>
      </c>
      <c r="U285" s="91"/>
      <c r="V285" s="91"/>
      <c r="W285" s="93"/>
      <c r="X285" s="94" t="str">
        <f t="shared" si="19"/>
        <v/>
      </c>
      <c r="Y285"/>
    </row>
    <row r="286" spans="1:25">
      <c r="A286" s="90">
        <v>285</v>
      </c>
      <c r="B286" s="68"/>
      <c r="C286" s="40"/>
      <c r="D286" s="40" t="str">
        <f t="shared" si="16"/>
        <v/>
      </c>
      <c r="E286" s="48" t="s">
        <v>131</v>
      </c>
      <c r="F286" s="17" t="s">
        <v>58</v>
      </c>
      <c r="G286" s="17" t="s">
        <v>86</v>
      </c>
      <c r="H286" s="42" t="s">
        <v>522</v>
      </c>
      <c r="I286" s="17" t="str">
        <f t="shared" si="17"/>
        <v>PN-285</v>
      </c>
      <c r="J286" s="18" t="s">
        <v>85</v>
      </c>
      <c r="K286" s="19" t="e">
        <f>IF(J286="","SEM #CH",VLOOKUP(J286,#REF!,2,0))</f>
        <v>#REF!</v>
      </c>
      <c r="L286" s="19" t="e">
        <f>IF(J286="","SEM #CH",VLOOKUP(J286,#REF!,3,0))</f>
        <v>#REF!</v>
      </c>
      <c r="M286" s="19" t="e">
        <f>IF(J286="","SEM #CH",VLOOKUP(J286,#REF!,4,0))</f>
        <v>#REF!</v>
      </c>
      <c r="N286" s="19" t="e">
        <f>IF(J286="","SEM #CH",VLOOKUP(J286,#REF!,5,0))</f>
        <v>#REF!</v>
      </c>
      <c r="O286" s="19" t="e">
        <f>IF(J286="","SEM #CH",VLOOKUP(J286,#REF!,6,0))</f>
        <v>#REF!</v>
      </c>
      <c r="P286" s="19" t="e">
        <f>IF(J286="","SEM #CH",VLOOKUP(J286,#REF!,7,0))</f>
        <v>#REF!</v>
      </c>
      <c r="Q286" s="77" t="str">
        <f>VLOOKUP(J286,'p1'!$B$2:$C$30,2,0)</f>
        <v>NÃO TEM CHAPA</v>
      </c>
      <c r="R286" s="91"/>
      <c r="S286" s="91"/>
      <c r="T286" s="91" t="str">
        <f t="shared" si="18"/>
        <v/>
      </c>
      <c r="U286" s="91"/>
      <c r="V286" s="91"/>
      <c r="W286" s="93"/>
      <c r="X286" s="94" t="str">
        <f t="shared" si="19"/>
        <v/>
      </c>
      <c r="Y286"/>
    </row>
    <row r="287" spans="1:25">
      <c r="A287" s="90">
        <v>286</v>
      </c>
      <c r="B287" s="68"/>
      <c r="C287" s="40"/>
      <c r="D287" s="40" t="str">
        <f t="shared" si="16"/>
        <v/>
      </c>
      <c r="E287" s="48" t="s">
        <v>131</v>
      </c>
      <c r="F287" s="17" t="s">
        <v>58</v>
      </c>
      <c r="G287" s="17" t="s">
        <v>86</v>
      </c>
      <c r="H287" s="42" t="s">
        <v>523</v>
      </c>
      <c r="I287" s="17" t="str">
        <f t="shared" si="17"/>
        <v>PN-286</v>
      </c>
      <c r="J287" s="18" t="s">
        <v>85</v>
      </c>
      <c r="K287" s="19" t="e">
        <f>IF(J287="","SEM #CH",VLOOKUP(J287,#REF!,2,0))</f>
        <v>#REF!</v>
      </c>
      <c r="L287" s="19" t="e">
        <f>IF(J287="","SEM #CH",VLOOKUP(J287,#REF!,3,0))</f>
        <v>#REF!</v>
      </c>
      <c r="M287" s="19" t="e">
        <f>IF(J287="","SEM #CH",VLOOKUP(J287,#REF!,4,0))</f>
        <v>#REF!</v>
      </c>
      <c r="N287" s="19" t="e">
        <f>IF(J287="","SEM #CH",VLOOKUP(J287,#REF!,5,0))</f>
        <v>#REF!</v>
      </c>
      <c r="O287" s="19" t="e">
        <f>IF(J287="","SEM #CH",VLOOKUP(J287,#REF!,6,0))</f>
        <v>#REF!</v>
      </c>
      <c r="P287" s="19" t="e">
        <f>IF(J287="","SEM #CH",VLOOKUP(J287,#REF!,7,0))</f>
        <v>#REF!</v>
      </c>
      <c r="Q287" s="77" t="str">
        <f>VLOOKUP(J287,'p1'!$B$2:$C$30,2,0)</f>
        <v>NÃO TEM CHAPA</v>
      </c>
      <c r="R287" s="91"/>
      <c r="S287" s="91"/>
      <c r="T287" s="91" t="str">
        <f t="shared" si="18"/>
        <v/>
      </c>
      <c r="U287" s="91"/>
      <c r="V287" s="91"/>
      <c r="W287" s="93"/>
      <c r="X287" s="94" t="str">
        <f t="shared" si="19"/>
        <v/>
      </c>
      <c r="Y287"/>
    </row>
    <row r="288" spans="1:25">
      <c r="A288" s="90">
        <v>287</v>
      </c>
      <c r="B288" s="68"/>
      <c r="C288" s="40"/>
      <c r="D288" s="40" t="str">
        <f t="shared" si="16"/>
        <v/>
      </c>
      <c r="E288" s="48" t="s">
        <v>131</v>
      </c>
      <c r="F288" s="17" t="s">
        <v>58</v>
      </c>
      <c r="G288" s="17" t="s">
        <v>86</v>
      </c>
      <c r="H288" s="42" t="s">
        <v>524</v>
      </c>
      <c r="I288" s="17" t="str">
        <f t="shared" si="17"/>
        <v>PN-287</v>
      </c>
      <c r="J288" s="18" t="s">
        <v>85</v>
      </c>
      <c r="K288" s="19" t="e">
        <f>IF(J288="","SEM #CH",VLOOKUP(J288,#REF!,2,0))</f>
        <v>#REF!</v>
      </c>
      <c r="L288" s="19" t="e">
        <f>IF(J288="","SEM #CH",VLOOKUP(J288,#REF!,3,0))</f>
        <v>#REF!</v>
      </c>
      <c r="M288" s="19" t="e">
        <f>IF(J288="","SEM #CH",VLOOKUP(J288,#REF!,4,0))</f>
        <v>#REF!</v>
      </c>
      <c r="N288" s="19" t="e">
        <f>IF(J288="","SEM #CH",VLOOKUP(J288,#REF!,5,0))</f>
        <v>#REF!</v>
      </c>
      <c r="O288" s="19" t="e">
        <f>IF(J288="","SEM #CH",VLOOKUP(J288,#REF!,6,0))</f>
        <v>#REF!</v>
      </c>
      <c r="P288" s="19" t="e">
        <f>IF(J288="","SEM #CH",VLOOKUP(J288,#REF!,7,0))</f>
        <v>#REF!</v>
      </c>
      <c r="Q288" s="77" t="str">
        <f>VLOOKUP(J288,'p1'!$B$2:$C$30,2,0)</f>
        <v>NÃO TEM CHAPA</v>
      </c>
      <c r="R288" s="91"/>
      <c r="S288" s="91"/>
      <c r="T288" s="91" t="str">
        <f t="shared" si="18"/>
        <v/>
      </c>
      <c r="U288" s="91"/>
      <c r="V288" s="91"/>
      <c r="W288" s="93"/>
      <c r="X288" s="94" t="str">
        <f t="shared" si="19"/>
        <v/>
      </c>
      <c r="Y288"/>
    </row>
    <row r="289" spans="1:25">
      <c r="A289" s="90">
        <v>288</v>
      </c>
      <c r="B289" s="68">
        <v>45833</v>
      </c>
      <c r="C289" s="40">
        <v>39</v>
      </c>
      <c r="D289" s="40">
        <f t="shared" si="16"/>
        <v>1</v>
      </c>
      <c r="E289" s="48" t="s">
        <v>131</v>
      </c>
      <c r="F289" s="17" t="s">
        <v>60</v>
      </c>
      <c r="G289" s="17" t="s">
        <v>86</v>
      </c>
      <c r="H289" s="42" t="s">
        <v>525</v>
      </c>
      <c r="I289" s="17" t="str">
        <f t="shared" si="17"/>
        <v>PE-288</v>
      </c>
      <c r="J289" s="18" t="s">
        <v>90</v>
      </c>
      <c r="K289" s="19" t="e">
        <f>IF(J289="","SEM #CH",VLOOKUP(J289,#REF!,2,0))</f>
        <v>#REF!</v>
      </c>
      <c r="L289" s="19" t="e">
        <f>IF(J289="","SEM #CH",VLOOKUP(J289,#REF!,3,0))</f>
        <v>#REF!</v>
      </c>
      <c r="M289" s="19" t="e">
        <f>IF(J289="","SEM #CH",VLOOKUP(J289,#REF!,4,0))</f>
        <v>#REF!</v>
      </c>
      <c r="N289" s="19" t="e">
        <f>IF(J289="","SEM #CH",VLOOKUP(J289,#REF!,5,0))</f>
        <v>#REF!</v>
      </c>
      <c r="O289" s="19" t="e">
        <f>IF(J289="","SEM #CH",VLOOKUP(J289,#REF!,6,0))</f>
        <v>#REF!</v>
      </c>
      <c r="P289" s="19" t="e">
        <f>IF(J289="","SEM #CH",VLOOKUP(J289,#REF!,7,0))</f>
        <v>#REF!</v>
      </c>
      <c r="Q289" s="77" t="str">
        <f>VLOOKUP(J289,'p1'!$B$2:$C$30,2,0)</f>
        <v>#3/8-530X530</v>
      </c>
      <c r="R289" s="91"/>
      <c r="S289" s="91" t="s">
        <v>221</v>
      </c>
      <c r="T289" s="91" t="str">
        <f t="shared" si="18"/>
        <v/>
      </c>
      <c r="U289" s="91"/>
      <c r="V289" s="91"/>
      <c r="W289" s="93"/>
      <c r="X289" s="94" t="str">
        <f t="shared" si="19"/>
        <v/>
      </c>
      <c r="Y289"/>
    </row>
    <row r="290" spans="1:25">
      <c r="A290" s="90">
        <v>289</v>
      </c>
      <c r="B290" s="68"/>
      <c r="C290" s="40"/>
      <c r="D290" s="40" t="str">
        <f t="shared" si="16"/>
        <v/>
      </c>
      <c r="E290" s="48" t="s">
        <v>131</v>
      </c>
      <c r="F290" s="17" t="s">
        <v>58</v>
      </c>
      <c r="G290" s="17" t="s">
        <v>86</v>
      </c>
      <c r="H290" s="42" t="s">
        <v>526</v>
      </c>
      <c r="I290" s="17" t="str">
        <f t="shared" si="17"/>
        <v>PN-289</v>
      </c>
      <c r="J290" s="18" t="s">
        <v>85</v>
      </c>
      <c r="K290" s="19" t="e">
        <f>IF(J290="","SEM #CH",VLOOKUP(J290,#REF!,2,0))</f>
        <v>#REF!</v>
      </c>
      <c r="L290" s="19" t="e">
        <f>IF(J290="","SEM #CH",VLOOKUP(J290,#REF!,3,0))</f>
        <v>#REF!</v>
      </c>
      <c r="M290" s="19" t="e">
        <f>IF(J290="","SEM #CH",VLOOKUP(J290,#REF!,4,0))</f>
        <v>#REF!</v>
      </c>
      <c r="N290" s="19" t="e">
        <f>IF(J290="","SEM #CH",VLOOKUP(J290,#REF!,5,0))</f>
        <v>#REF!</v>
      </c>
      <c r="O290" s="19" t="e">
        <f>IF(J290="","SEM #CH",VLOOKUP(J290,#REF!,6,0))</f>
        <v>#REF!</v>
      </c>
      <c r="P290" s="19" t="e">
        <f>IF(J290="","SEM #CH",VLOOKUP(J290,#REF!,7,0))</f>
        <v>#REF!</v>
      </c>
      <c r="Q290" s="77" t="str">
        <f>VLOOKUP(J290,'p1'!$B$2:$C$30,2,0)</f>
        <v>NÃO TEM CHAPA</v>
      </c>
      <c r="R290" s="91"/>
      <c r="S290" s="91"/>
      <c r="T290" s="91" t="str">
        <f t="shared" si="18"/>
        <v/>
      </c>
      <c r="U290" s="91"/>
      <c r="V290" s="91"/>
      <c r="W290" s="93"/>
      <c r="X290" s="94" t="str">
        <f t="shared" si="19"/>
        <v/>
      </c>
      <c r="Y290"/>
    </row>
    <row r="291" spans="1:25">
      <c r="A291" s="90">
        <v>290</v>
      </c>
      <c r="B291" s="68"/>
      <c r="C291" s="40"/>
      <c r="D291" s="40" t="str">
        <f t="shared" si="16"/>
        <v/>
      </c>
      <c r="E291" s="48" t="s">
        <v>131</v>
      </c>
      <c r="F291" s="17" t="s">
        <v>58</v>
      </c>
      <c r="G291" s="17" t="s">
        <v>86</v>
      </c>
      <c r="H291" s="42" t="s">
        <v>527</v>
      </c>
      <c r="I291" s="17" t="str">
        <f t="shared" si="17"/>
        <v>PN-290</v>
      </c>
      <c r="J291" s="18" t="s">
        <v>85</v>
      </c>
      <c r="K291" s="19" t="e">
        <f>IF(J291="","SEM #CH",VLOOKUP(J291,#REF!,2,0))</f>
        <v>#REF!</v>
      </c>
      <c r="L291" s="19" t="e">
        <f>IF(J291="","SEM #CH",VLOOKUP(J291,#REF!,3,0))</f>
        <v>#REF!</v>
      </c>
      <c r="M291" s="19" t="e">
        <f>IF(J291="","SEM #CH",VLOOKUP(J291,#REF!,4,0))</f>
        <v>#REF!</v>
      </c>
      <c r="N291" s="19" t="e">
        <f>IF(J291="","SEM #CH",VLOOKUP(J291,#REF!,5,0))</f>
        <v>#REF!</v>
      </c>
      <c r="O291" s="19" t="e">
        <f>IF(J291="","SEM #CH",VLOOKUP(J291,#REF!,6,0))</f>
        <v>#REF!</v>
      </c>
      <c r="P291" s="19" t="e">
        <f>IF(J291="","SEM #CH",VLOOKUP(J291,#REF!,7,0))</f>
        <v>#REF!</v>
      </c>
      <c r="Q291" s="77" t="str">
        <f>VLOOKUP(J291,'p1'!$B$2:$C$30,2,0)</f>
        <v>NÃO TEM CHAPA</v>
      </c>
      <c r="R291" s="91"/>
      <c r="S291" s="91"/>
      <c r="T291" s="91" t="str">
        <f t="shared" si="18"/>
        <v/>
      </c>
      <c r="U291" s="91"/>
      <c r="V291" s="91"/>
      <c r="W291" s="93"/>
      <c r="X291" s="94" t="str">
        <f t="shared" si="19"/>
        <v/>
      </c>
      <c r="Y291"/>
    </row>
    <row r="292" spans="1:25">
      <c r="A292" s="90">
        <v>291</v>
      </c>
      <c r="B292" s="68"/>
      <c r="C292" s="40"/>
      <c r="D292" s="40" t="str">
        <f t="shared" si="16"/>
        <v/>
      </c>
      <c r="E292" s="48" t="s">
        <v>131</v>
      </c>
      <c r="F292" s="17" t="s">
        <v>58</v>
      </c>
      <c r="G292" s="17" t="s">
        <v>86</v>
      </c>
      <c r="H292" s="42" t="s">
        <v>528</v>
      </c>
      <c r="I292" s="17" t="str">
        <f t="shared" si="17"/>
        <v>PN-291</v>
      </c>
      <c r="J292" s="18" t="s">
        <v>85</v>
      </c>
      <c r="K292" s="19" t="e">
        <f>IF(J292="","SEM #CH",VLOOKUP(J292,#REF!,2,0))</f>
        <v>#REF!</v>
      </c>
      <c r="L292" s="19" t="e">
        <f>IF(J292="","SEM #CH",VLOOKUP(J292,#REF!,3,0))</f>
        <v>#REF!</v>
      </c>
      <c r="M292" s="19" t="e">
        <f>IF(J292="","SEM #CH",VLOOKUP(J292,#REF!,4,0))</f>
        <v>#REF!</v>
      </c>
      <c r="N292" s="19" t="e">
        <f>IF(J292="","SEM #CH",VLOOKUP(J292,#REF!,5,0))</f>
        <v>#REF!</v>
      </c>
      <c r="O292" s="19" t="e">
        <f>IF(J292="","SEM #CH",VLOOKUP(J292,#REF!,6,0))</f>
        <v>#REF!</v>
      </c>
      <c r="P292" s="19" t="e">
        <f>IF(J292="","SEM #CH",VLOOKUP(J292,#REF!,7,0))</f>
        <v>#REF!</v>
      </c>
      <c r="Q292" s="77" t="str">
        <f>VLOOKUP(J292,'p1'!$B$2:$C$30,2,0)</f>
        <v>NÃO TEM CHAPA</v>
      </c>
      <c r="R292" s="91"/>
      <c r="S292" s="91"/>
      <c r="T292" s="91" t="str">
        <f t="shared" si="18"/>
        <v/>
      </c>
      <c r="U292" s="91"/>
      <c r="V292" s="91"/>
      <c r="W292" s="93"/>
      <c r="X292" s="94" t="str">
        <f t="shared" si="19"/>
        <v/>
      </c>
      <c r="Y292"/>
    </row>
    <row r="293" spans="1:25">
      <c r="A293" s="90">
        <v>292</v>
      </c>
      <c r="B293" s="68"/>
      <c r="C293" s="40"/>
      <c r="D293" s="40" t="str">
        <f t="shared" si="16"/>
        <v/>
      </c>
      <c r="E293" s="48" t="s">
        <v>131</v>
      </c>
      <c r="F293" s="17" t="s">
        <v>58</v>
      </c>
      <c r="G293" s="17" t="s">
        <v>86</v>
      </c>
      <c r="H293" s="42" t="s">
        <v>529</v>
      </c>
      <c r="I293" s="17" t="str">
        <f t="shared" si="17"/>
        <v>PN-292</v>
      </c>
      <c r="J293" s="18" t="s">
        <v>85</v>
      </c>
      <c r="K293" s="19" t="e">
        <f>IF(J293="","SEM #CH",VLOOKUP(J293,#REF!,2,0))</f>
        <v>#REF!</v>
      </c>
      <c r="L293" s="19" t="e">
        <f>IF(J293="","SEM #CH",VLOOKUP(J293,#REF!,3,0))</f>
        <v>#REF!</v>
      </c>
      <c r="M293" s="19" t="e">
        <f>IF(J293="","SEM #CH",VLOOKUP(J293,#REF!,4,0))</f>
        <v>#REF!</v>
      </c>
      <c r="N293" s="19" t="e">
        <f>IF(J293="","SEM #CH",VLOOKUP(J293,#REF!,5,0))</f>
        <v>#REF!</v>
      </c>
      <c r="O293" s="19" t="e">
        <f>IF(J293="","SEM #CH",VLOOKUP(J293,#REF!,6,0))</f>
        <v>#REF!</v>
      </c>
      <c r="P293" s="19" t="e">
        <f>IF(J293="","SEM #CH",VLOOKUP(J293,#REF!,7,0))</f>
        <v>#REF!</v>
      </c>
      <c r="Q293" s="77" t="str">
        <f>VLOOKUP(J293,'p1'!$B$2:$C$30,2,0)</f>
        <v>NÃO TEM CHAPA</v>
      </c>
      <c r="R293" s="91"/>
      <c r="S293" s="91"/>
      <c r="T293" s="91" t="str">
        <f t="shared" si="18"/>
        <v/>
      </c>
      <c r="U293" s="91"/>
      <c r="V293" s="91"/>
      <c r="W293" s="93"/>
      <c r="X293" s="94" t="str">
        <f t="shared" si="19"/>
        <v/>
      </c>
      <c r="Y293"/>
    </row>
    <row r="294" spans="1:25">
      <c r="A294" s="90">
        <v>293</v>
      </c>
      <c r="B294" s="68"/>
      <c r="C294" s="40"/>
      <c r="D294" s="40" t="str">
        <f t="shared" si="16"/>
        <v/>
      </c>
      <c r="E294" s="48" t="s">
        <v>131</v>
      </c>
      <c r="F294" s="17" t="s">
        <v>58</v>
      </c>
      <c r="G294" s="17" t="s">
        <v>86</v>
      </c>
      <c r="H294" s="42" t="s">
        <v>530</v>
      </c>
      <c r="I294" s="17" t="str">
        <f t="shared" si="17"/>
        <v>PN-293</v>
      </c>
      <c r="J294" s="18" t="s">
        <v>85</v>
      </c>
      <c r="K294" s="19" t="e">
        <f>IF(J294="","SEM #CH",VLOOKUP(J294,#REF!,2,0))</f>
        <v>#REF!</v>
      </c>
      <c r="L294" s="19" t="e">
        <f>IF(J294="","SEM #CH",VLOOKUP(J294,#REF!,3,0))</f>
        <v>#REF!</v>
      </c>
      <c r="M294" s="19" t="e">
        <f>IF(J294="","SEM #CH",VLOOKUP(J294,#REF!,4,0))</f>
        <v>#REF!</v>
      </c>
      <c r="N294" s="19" t="e">
        <f>IF(J294="","SEM #CH",VLOOKUP(J294,#REF!,5,0))</f>
        <v>#REF!</v>
      </c>
      <c r="O294" s="19" t="e">
        <f>IF(J294="","SEM #CH",VLOOKUP(J294,#REF!,6,0))</f>
        <v>#REF!</v>
      </c>
      <c r="P294" s="19" t="e">
        <f>IF(J294="","SEM #CH",VLOOKUP(J294,#REF!,7,0))</f>
        <v>#REF!</v>
      </c>
      <c r="Q294" s="77" t="str">
        <f>VLOOKUP(J294,'p1'!$B$2:$C$30,2,0)</f>
        <v>NÃO TEM CHAPA</v>
      </c>
      <c r="R294" s="91"/>
      <c r="S294" s="91"/>
      <c r="T294" s="91" t="str">
        <f t="shared" si="18"/>
        <v/>
      </c>
      <c r="U294" s="91"/>
      <c r="V294" s="91"/>
      <c r="W294" s="93"/>
      <c r="X294" s="94" t="str">
        <f t="shared" si="19"/>
        <v/>
      </c>
      <c r="Y294"/>
    </row>
    <row r="295" spans="1:25">
      <c r="A295" s="90">
        <v>294</v>
      </c>
      <c r="B295" s="68"/>
      <c r="C295" s="40"/>
      <c r="D295" s="40" t="str">
        <f t="shared" si="16"/>
        <v/>
      </c>
      <c r="E295" s="48" t="s">
        <v>131</v>
      </c>
      <c r="F295" s="17" t="s">
        <v>58</v>
      </c>
      <c r="G295" s="17" t="s">
        <v>86</v>
      </c>
      <c r="H295" s="42" t="s">
        <v>531</v>
      </c>
      <c r="I295" s="17" t="str">
        <f t="shared" si="17"/>
        <v>PN-294</v>
      </c>
      <c r="J295" s="18" t="s">
        <v>85</v>
      </c>
      <c r="K295" s="19" t="e">
        <f>IF(J295="","SEM #CH",VLOOKUP(J295,#REF!,2,0))</f>
        <v>#REF!</v>
      </c>
      <c r="L295" s="19" t="e">
        <f>IF(J295="","SEM #CH",VLOOKUP(J295,#REF!,3,0))</f>
        <v>#REF!</v>
      </c>
      <c r="M295" s="19" t="e">
        <f>IF(J295="","SEM #CH",VLOOKUP(J295,#REF!,4,0))</f>
        <v>#REF!</v>
      </c>
      <c r="N295" s="19" t="e">
        <f>IF(J295="","SEM #CH",VLOOKUP(J295,#REF!,5,0))</f>
        <v>#REF!</v>
      </c>
      <c r="O295" s="19" t="e">
        <f>IF(J295="","SEM #CH",VLOOKUP(J295,#REF!,6,0))</f>
        <v>#REF!</v>
      </c>
      <c r="P295" s="19" t="e">
        <f>IF(J295="","SEM #CH",VLOOKUP(J295,#REF!,7,0))</f>
        <v>#REF!</v>
      </c>
      <c r="Q295" s="77" t="str">
        <f>VLOOKUP(J295,'p1'!$B$2:$C$30,2,0)</f>
        <v>NÃO TEM CHAPA</v>
      </c>
      <c r="R295" s="91"/>
      <c r="S295" s="91"/>
      <c r="T295" s="91" t="str">
        <f t="shared" si="18"/>
        <v/>
      </c>
      <c r="U295" s="91"/>
      <c r="V295" s="91"/>
      <c r="W295" s="93"/>
      <c r="X295" s="94" t="str">
        <f t="shared" si="19"/>
        <v/>
      </c>
      <c r="Y295"/>
    </row>
    <row r="296" spans="1:25">
      <c r="A296" s="90">
        <v>295</v>
      </c>
      <c r="B296" s="68"/>
      <c r="C296" s="40"/>
      <c r="D296" s="40" t="str">
        <f t="shared" si="16"/>
        <v/>
      </c>
      <c r="E296" s="48" t="s">
        <v>131</v>
      </c>
      <c r="F296" s="17" t="s">
        <v>58</v>
      </c>
      <c r="G296" s="17" t="s">
        <v>86</v>
      </c>
      <c r="H296" s="42" t="s">
        <v>532</v>
      </c>
      <c r="I296" s="17" t="str">
        <f t="shared" si="17"/>
        <v>PN-295</v>
      </c>
      <c r="J296" s="18" t="s">
        <v>85</v>
      </c>
      <c r="K296" s="19" t="e">
        <f>IF(J296="","SEM #CH",VLOOKUP(J296,#REF!,2,0))</f>
        <v>#REF!</v>
      </c>
      <c r="L296" s="19" t="e">
        <f>IF(J296="","SEM #CH",VLOOKUP(J296,#REF!,3,0))</f>
        <v>#REF!</v>
      </c>
      <c r="M296" s="19" t="e">
        <f>IF(J296="","SEM #CH",VLOOKUP(J296,#REF!,4,0))</f>
        <v>#REF!</v>
      </c>
      <c r="N296" s="19" t="e">
        <f>IF(J296="","SEM #CH",VLOOKUP(J296,#REF!,5,0))</f>
        <v>#REF!</v>
      </c>
      <c r="O296" s="19" t="e">
        <f>IF(J296="","SEM #CH",VLOOKUP(J296,#REF!,6,0))</f>
        <v>#REF!</v>
      </c>
      <c r="P296" s="19" t="e">
        <f>IF(J296="","SEM #CH",VLOOKUP(J296,#REF!,7,0))</f>
        <v>#REF!</v>
      </c>
      <c r="Q296" s="77" t="str">
        <f>VLOOKUP(J296,'p1'!$B$2:$C$30,2,0)</f>
        <v>NÃO TEM CHAPA</v>
      </c>
      <c r="R296" s="91"/>
      <c r="S296" s="91"/>
      <c r="T296" s="91" t="str">
        <f t="shared" si="18"/>
        <v/>
      </c>
      <c r="U296" s="91"/>
      <c r="V296" s="91"/>
      <c r="W296" s="93"/>
      <c r="X296" s="94" t="str">
        <f t="shared" si="19"/>
        <v/>
      </c>
      <c r="Y296"/>
    </row>
    <row r="297" spans="1:25">
      <c r="A297" s="90">
        <v>296</v>
      </c>
      <c r="B297" s="68"/>
      <c r="C297" s="40"/>
      <c r="D297" s="40" t="str">
        <f t="shared" si="16"/>
        <v/>
      </c>
      <c r="E297" s="48" t="s">
        <v>131</v>
      </c>
      <c r="F297" s="17" t="s">
        <v>58</v>
      </c>
      <c r="G297" s="17" t="s">
        <v>86</v>
      </c>
      <c r="H297" s="42" t="s">
        <v>533</v>
      </c>
      <c r="I297" s="17" t="str">
        <f t="shared" si="17"/>
        <v>PN-296</v>
      </c>
      <c r="J297" s="18" t="s">
        <v>85</v>
      </c>
      <c r="K297" s="19" t="e">
        <f>IF(J297="","SEM #CH",VLOOKUP(J297,#REF!,2,0))</f>
        <v>#REF!</v>
      </c>
      <c r="L297" s="19" t="e">
        <f>IF(J297="","SEM #CH",VLOOKUP(J297,#REF!,3,0))</f>
        <v>#REF!</v>
      </c>
      <c r="M297" s="19" t="e">
        <f>IF(J297="","SEM #CH",VLOOKUP(J297,#REF!,4,0))</f>
        <v>#REF!</v>
      </c>
      <c r="N297" s="19" t="e">
        <f>IF(J297="","SEM #CH",VLOOKUP(J297,#REF!,5,0))</f>
        <v>#REF!</v>
      </c>
      <c r="O297" s="19" t="e">
        <f>IF(J297="","SEM #CH",VLOOKUP(J297,#REF!,6,0))</f>
        <v>#REF!</v>
      </c>
      <c r="P297" s="19" t="e">
        <f>IF(J297="","SEM #CH",VLOOKUP(J297,#REF!,7,0))</f>
        <v>#REF!</v>
      </c>
      <c r="Q297" s="77" t="str">
        <f>VLOOKUP(J297,'p1'!$B$2:$C$30,2,0)</f>
        <v>NÃO TEM CHAPA</v>
      </c>
      <c r="R297" s="91"/>
      <c r="S297" s="91"/>
      <c r="T297" s="91" t="str">
        <f t="shared" si="18"/>
        <v/>
      </c>
      <c r="U297" s="91"/>
      <c r="V297" s="91"/>
      <c r="W297" s="93"/>
      <c r="X297" s="94" t="str">
        <f t="shared" si="19"/>
        <v/>
      </c>
      <c r="Y297"/>
    </row>
    <row r="298" spans="1:25">
      <c r="A298" s="90">
        <v>297</v>
      </c>
      <c r="B298" s="68"/>
      <c r="C298" s="40"/>
      <c r="D298" s="40" t="str">
        <f t="shared" si="16"/>
        <v/>
      </c>
      <c r="E298" s="48" t="s">
        <v>131</v>
      </c>
      <c r="F298" s="17" t="s">
        <v>58</v>
      </c>
      <c r="G298" s="17" t="s">
        <v>86</v>
      </c>
      <c r="H298" s="42" t="s">
        <v>534</v>
      </c>
      <c r="I298" s="17" t="str">
        <f t="shared" si="17"/>
        <v>PN-297</v>
      </c>
      <c r="J298" s="18" t="s">
        <v>85</v>
      </c>
      <c r="K298" s="19" t="e">
        <f>IF(J298="","SEM #CH",VLOOKUP(J298,#REF!,2,0))</f>
        <v>#REF!</v>
      </c>
      <c r="L298" s="19" t="e">
        <f>IF(J298="","SEM #CH",VLOOKUP(J298,#REF!,3,0))</f>
        <v>#REF!</v>
      </c>
      <c r="M298" s="19" t="e">
        <f>IF(J298="","SEM #CH",VLOOKUP(J298,#REF!,4,0))</f>
        <v>#REF!</v>
      </c>
      <c r="N298" s="19" t="e">
        <f>IF(J298="","SEM #CH",VLOOKUP(J298,#REF!,5,0))</f>
        <v>#REF!</v>
      </c>
      <c r="O298" s="19" t="e">
        <f>IF(J298="","SEM #CH",VLOOKUP(J298,#REF!,6,0))</f>
        <v>#REF!</v>
      </c>
      <c r="P298" s="19" t="e">
        <f>IF(J298="","SEM #CH",VLOOKUP(J298,#REF!,7,0))</f>
        <v>#REF!</v>
      </c>
      <c r="Q298" s="77" t="str">
        <f>VLOOKUP(J298,'p1'!$B$2:$C$30,2,0)</f>
        <v>NÃO TEM CHAPA</v>
      </c>
      <c r="R298" s="91"/>
      <c r="S298" s="91"/>
      <c r="T298" s="91" t="str">
        <f t="shared" si="18"/>
        <v/>
      </c>
      <c r="U298" s="91"/>
      <c r="V298" s="91"/>
      <c r="W298" s="93"/>
      <c r="X298" s="94" t="str">
        <f t="shared" si="19"/>
        <v/>
      </c>
      <c r="Y298"/>
    </row>
    <row r="299" spans="1:25">
      <c r="A299" s="90">
        <v>298</v>
      </c>
      <c r="B299" s="68"/>
      <c r="C299" s="40"/>
      <c r="D299" s="40" t="str">
        <f t="shared" si="16"/>
        <v/>
      </c>
      <c r="E299" s="48" t="s">
        <v>131</v>
      </c>
      <c r="F299" s="17" t="s">
        <v>58</v>
      </c>
      <c r="G299" s="17" t="s">
        <v>86</v>
      </c>
      <c r="H299" s="42" t="s">
        <v>535</v>
      </c>
      <c r="I299" s="17" t="str">
        <f t="shared" si="17"/>
        <v>PN-298</v>
      </c>
      <c r="J299" s="18" t="s">
        <v>85</v>
      </c>
      <c r="K299" s="19" t="e">
        <f>IF(J299="","SEM #CH",VLOOKUP(J299,#REF!,2,0))</f>
        <v>#REF!</v>
      </c>
      <c r="L299" s="19" t="e">
        <f>IF(J299="","SEM #CH",VLOOKUP(J299,#REF!,3,0))</f>
        <v>#REF!</v>
      </c>
      <c r="M299" s="19" t="e">
        <f>IF(J299="","SEM #CH",VLOOKUP(J299,#REF!,4,0))</f>
        <v>#REF!</v>
      </c>
      <c r="N299" s="19" t="e">
        <f>IF(J299="","SEM #CH",VLOOKUP(J299,#REF!,5,0))</f>
        <v>#REF!</v>
      </c>
      <c r="O299" s="19" t="e">
        <f>IF(J299="","SEM #CH",VLOOKUP(J299,#REF!,6,0))</f>
        <v>#REF!</v>
      </c>
      <c r="P299" s="19" t="e">
        <f>IF(J299="","SEM #CH",VLOOKUP(J299,#REF!,7,0))</f>
        <v>#REF!</v>
      </c>
      <c r="Q299" s="77" t="str">
        <f>VLOOKUP(J299,'p1'!$B$2:$C$30,2,0)</f>
        <v>NÃO TEM CHAPA</v>
      </c>
      <c r="R299" s="91"/>
      <c r="S299" s="91"/>
      <c r="T299" s="91" t="str">
        <f t="shared" si="18"/>
        <v/>
      </c>
      <c r="U299" s="91"/>
      <c r="V299" s="91"/>
      <c r="W299" s="93"/>
      <c r="X299" s="94" t="str">
        <f t="shared" si="19"/>
        <v/>
      </c>
      <c r="Y299"/>
    </row>
    <row r="300" spans="1:25">
      <c r="A300" s="90">
        <v>299</v>
      </c>
      <c r="B300" s="68"/>
      <c r="C300" s="40"/>
      <c r="D300" s="40" t="str">
        <f t="shared" si="16"/>
        <v/>
      </c>
      <c r="E300" s="48" t="s">
        <v>131</v>
      </c>
      <c r="F300" s="17" t="s">
        <v>58</v>
      </c>
      <c r="G300" s="17" t="s">
        <v>86</v>
      </c>
      <c r="H300" s="42" t="s">
        <v>536</v>
      </c>
      <c r="I300" s="17" t="str">
        <f t="shared" si="17"/>
        <v>PN-299</v>
      </c>
      <c r="J300" s="18" t="s">
        <v>85</v>
      </c>
      <c r="K300" s="19" t="e">
        <f>IF(J300="","SEM #CH",VLOOKUP(J300,#REF!,2,0))</f>
        <v>#REF!</v>
      </c>
      <c r="L300" s="19" t="e">
        <f>IF(J300="","SEM #CH",VLOOKUP(J300,#REF!,3,0))</f>
        <v>#REF!</v>
      </c>
      <c r="M300" s="19" t="e">
        <f>IF(J300="","SEM #CH",VLOOKUP(J300,#REF!,4,0))</f>
        <v>#REF!</v>
      </c>
      <c r="N300" s="19" t="e">
        <f>IF(J300="","SEM #CH",VLOOKUP(J300,#REF!,5,0))</f>
        <v>#REF!</v>
      </c>
      <c r="O300" s="19" t="e">
        <f>IF(J300="","SEM #CH",VLOOKUP(J300,#REF!,6,0))</f>
        <v>#REF!</v>
      </c>
      <c r="P300" s="19" t="e">
        <f>IF(J300="","SEM #CH",VLOOKUP(J300,#REF!,7,0))</f>
        <v>#REF!</v>
      </c>
      <c r="Q300" s="77" t="str">
        <f>VLOOKUP(J300,'p1'!$B$2:$C$30,2,0)</f>
        <v>NÃO TEM CHAPA</v>
      </c>
      <c r="R300" s="91"/>
      <c r="S300" s="91"/>
      <c r="T300" s="91" t="str">
        <f t="shared" si="18"/>
        <v/>
      </c>
      <c r="U300" s="91"/>
      <c r="V300" s="91"/>
      <c r="W300" s="93"/>
      <c r="X300" s="94" t="str">
        <f t="shared" si="19"/>
        <v/>
      </c>
      <c r="Y300"/>
    </row>
    <row r="301" spans="1:25">
      <c r="A301" s="90">
        <v>300</v>
      </c>
      <c r="B301" s="68"/>
      <c r="C301" s="40"/>
      <c r="D301" s="40" t="str">
        <f t="shared" si="16"/>
        <v/>
      </c>
      <c r="E301" s="48" t="s">
        <v>131</v>
      </c>
      <c r="F301" s="17" t="s">
        <v>58</v>
      </c>
      <c r="G301" s="17" t="s">
        <v>86</v>
      </c>
      <c r="H301" s="42" t="s">
        <v>537</v>
      </c>
      <c r="I301" s="17" t="str">
        <f t="shared" si="17"/>
        <v>PN-300</v>
      </c>
      <c r="J301" s="18" t="s">
        <v>85</v>
      </c>
      <c r="K301" s="19" t="e">
        <f>IF(J301="","SEM #CH",VLOOKUP(J301,#REF!,2,0))</f>
        <v>#REF!</v>
      </c>
      <c r="L301" s="19" t="e">
        <f>IF(J301="","SEM #CH",VLOOKUP(J301,#REF!,3,0))</f>
        <v>#REF!</v>
      </c>
      <c r="M301" s="19" t="e">
        <f>IF(J301="","SEM #CH",VLOOKUP(J301,#REF!,4,0))</f>
        <v>#REF!</v>
      </c>
      <c r="N301" s="19" t="e">
        <f>IF(J301="","SEM #CH",VLOOKUP(J301,#REF!,5,0))</f>
        <v>#REF!</v>
      </c>
      <c r="O301" s="19" t="e">
        <f>IF(J301="","SEM #CH",VLOOKUP(J301,#REF!,6,0))</f>
        <v>#REF!</v>
      </c>
      <c r="P301" s="19" t="e">
        <f>IF(J301="","SEM #CH",VLOOKUP(J301,#REF!,7,0))</f>
        <v>#REF!</v>
      </c>
      <c r="Q301" s="77" t="str">
        <f>VLOOKUP(J301,'p1'!$B$2:$C$30,2,0)</f>
        <v>NÃO TEM CHAPA</v>
      </c>
      <c r="R301" s="91"/>
      <c r="S301" s="91"/>
      <c r="T301" s="91" t="str">
        <f t="shared" si="18"/>
        <v/>
      </c>
      <c r="U301" s="91"/>
      <c r="V301" s="91"/>
      <c r="W301" s="93"/>
      <c r="X301" s="94" t="str">
        <f t="shared" si="19"/>
        <v/>
      </c>
      <c r="Y301"/>
    </row>
    <row r="302" spans="1:25">
      <c r="A302" s="90">
        <v>301</v>
      </c>
      <c r="B302" s="68"/>
      <c r="C302" s="40"/>
      <c r="D302" s="40" t="str">
        <f t="shared" si="16"/>
        <v/>
      </c>
      <c r="E302" s="48" t="s">
        <v>131</v>
      </c>
      <c r="F302" s="17" t="s">
        <v>58</v>
      </c>
      <c r="G302" s="17" t="s">
        <v>86</v>
      </c>
      <c r="H302" s="42" t="s">
        <v>538</v>
      </c>
      <c r="I302" s="17" t="str">
        <f t="shared" si="17"/>
        <v>PN-301</v>
      </c>
      <c r="J302" s="18" t="s">
        <v>85</v>
      </c>
      <c r="K302" s="19" t="e">
        <f>IF(J302="","SEM #CH",VLOOKUP(J302,#REF!,2,0))</f>
        <v>#REF!</v>
      </c>
      <c r="L302" s="19" t="e">
        <f>IF(J302="","SEM #CH",VLOOKUP(J302,#REF!,3,0))</f>
        <v>#REF!</v>
      </c>
      <c r="M302" s="19" t="e">
        <f>IF(J302="","SEM #CH",VLOOKUP(J302,#REF!,4,0))</f>
        <v>#REF!</v>
      </c>
      <c r="N302" s="19" t="e">
        <f>IF(J302="","SEM #CH",VLOOKUP(J302,#REF!,5,0))</f>
        <v>#REF!</v>
      </c>
      <c r="O302" s="19" t="e">
        <f>IF(J302="","SEM #CH",VLOOKUP(J302,#REF!,6,0))</f>
        <v>#REF!</v>
      </c>
      <c r="P302" s="19" t="e">
        <f>IF(J302="","SEM #CH",VLOOKUP(J302,#REF!,7,0))</f>
        <v>#REF!</v>
      </c>
      <c r="Q302" s="77" t="str">
        <f>VLOOKUP(J302,'p1'!$B$2:$C$30,2,0)</f>
        <v>NÃO TEM CHAPA</v>
      </c>
      <c r="R302" s="91"/>
      <c r="S302" s="91"/>
      <c r="T302" s="91" t="str">
        <f t="shared" si="18"/>
        <v/>
      </c>
      <c r="U302" s="91"/>
      <c r="V302" s="91"/>
      <c r="W302" s="93"/>
      <c r="X302" s="94" t="str">
        <f t="shared" si="19"/>
        <v/>
      </c>
      <c r="Y302"/>
    </row>
    <row r="303" spans="1:25">
      <c r="A303" s="90">
        <v>302</v>
      </c>
      <c r="B303" s="68">
        <v>45850</v>
      </c>
      <c r="C303" s="40">
        <v>47</v>
      </c>
      <c r="D303" s="40">
        <f t="shared" si="16"/>
        <v>1</v>
      </c>
      <c r="E303" s="48" t="s">
        <v>131</v>
      </c>
      <c r="F303" s="17" t="s">
        <v>60</v>
      </c>
      <c r="G303" s="17" t="s">
        <v>86</v>
      </c>
      <c r="H303" s="42" t="s">
        <v>539</v>
      </c>
      <c r="I303" s="17" t="str">
        <f t="shared" si="17"/>
        <v>PE-302</v>
      </c>
      <c r="J303" s="18" t="s">
        <v>90</v>
      </c>
      <c r="K303" s="19" t="e">
        <f>IF(J303="","SEM #CH",VLOOKUP(J303,#REF!,2,0))</f>
        <v>#REF!</v>
      </c>
      <c r="L303" s="19" t="e">
        <f>IF(J303="","SEM #CH",VLOOKUP(J303,#REF!,3,0))</f>
        <v>#REF!</v>
      </c>
      <c r="M303" s="19" t="e">
        <f>IF(J303="","SEM #CH",VLOOKUP(J303,#REF!,4,0))</f>
        <v>#REF!</v>
      </c>
      <c r="N303" s="19" t="e">
        <f>IF(J303="","SEM #CH",VLOOKUP(J303,#REF!,5,0))</f>
        <v>#REF!</v>
      </c>
      <c r="O303" s="19" t="e">
        <f>IF(J303="","SEM #CH",VLOOKUP(J303,#REF!,6,0))</f>
        <v>#REF!</v>
      </c>
      <c r="P303" s="19" t="e">
        <f>IF(J303="","SEM #CH",VLOOKUP(J303,#REF!,7,0))</f>
        <v>#REF!</v>
      </c>
      <c r="Q303" s="77" t="str">
        <f>VLOOKUP(J303,'p1'!$B$2:$C$30,2,0)</f>
        <v>#3/8-530X530</v>
      </c>
      <c r="R303" s="91"/>
      <c r="S303" s="91" t="s">
        <v>221</v>
      </c>
      <c r="T303" s="91" t="str">
        <f t="shared" si="18"/>
        <v/>
      </c>
      <c r="U303" s="91"/>
      <c r="V303" s="91"/>
      <c r="W303" s="93"/>
      <c r="X303" s="94" t="str">
        <f t="shared" si="19"/>
        <v/>
      </c>
      <c r="Y303"/>
    </row>
    <row r="304" spans="1:25">
      <c r="A304" s="90">
        <v>303</v>
      </c>
      <c r="B304" s="68"/>
      <c r="C304" s="40"/>
      <c r="D304" s="40" t="str">
        <f t="shared" si="16"/>
        <v/>
      </c>
      <c r="E304" s="48" t="s">
        <v>131</v>
      </c>
      <c r="F304" s="17" t="s">
        <v>60</v>
      </c>
      <c r="G304" s="17" t="s">
        <v>86</v>
      </c>
      <c r="H304" s="42" t="s">
        <v>540</v>
      </c>
      <c r="I304" s="17" t="str">
        <f t="shared" si="17"/>
        <v>PE-303</v>
      </c>
      <c r="J304" s="18" t="s">
        <v>89</v>
      </c>
      <c r="K304" s="19" t="e">
        <f>IF(J304="","SEM #CH",VLOOKUP(J304,#REF!,2,0))</f>
        <v>#REF!</v>
      </c>
      <c r="L304" s="19" t="e">
        <f>IF(J304="","SEM #CH",VLOOKUP(J304,#REF!,3,0))</f>
        <v>#REF!</v>
      </c>
      <c r="M304" s="19" t="e">
        <f>IF(J304="","SEM #CH",VLOOKUP(J304,#REF!,4,0))</f>
        <v>#REF!</v>
      </c>
      <c r="N304" s="19" t="e">
        <f>IF(J304="","SEM #CH",VLOOKUP(J304,#REF!,5,0))</f>
        <v>#REF!</v>
      </c>
      <c r="O304" s="19" t="e">
        <f>IF(J304="","SEM #CH",VLOOKUP(J304,#REF!,6,0))</f>
        <v>#REF!</v>
      </c>
      <c r="P304" s="19" t="e">
        <f>IF(J304="","SEM #CH",VLOOKUP(J304,#REF!,7,0))</f>
        <v>#REF!</v>
      </c>
      <c r="Q304" s="77" t="str">
        <f>VLOOKUP(J304,'p1'!$B$2:$C$30,2,0)</f>
        <v>#3/8-1200X1200</v>
      </c>
      <c r="R304" s="91"/>
      <c r="S304" s="91"/>
      <c r="T304" s="91" t="str">
        <f t="shared" si="18"/>
        <v/>
      </c>
      <c r="U304" s="91"/>
      <c r="V304" s="91"/>
      <c r="W304" s="93"/>
      <c r="X304" s="94" t="str">
        <f t="shared" si="19"/>
        <v/>
      </c>
      <c r="Y304"/>
    </row>
    <row r="305" spans="1:25">
      <c r="A305" s="90">
        <v>304</v>
      </c>
      <c r="B305" s="68"/>
      <c r="C305" s="40"/>
      <c r="D305" s="40" t="str">
        <f t="shared" si="16"/>
        <v/>
      </c>
      <c r="E305" s="48" t="s">
        <v>131</v>
      </c>
      <c r="F305" s="17" t="s">
        <v>60</v>
      </c>
      <c r="G305" s="17" t="s">
        <v>86</v>
      </c>
      <c r="H305" s="42" t="s">
        <v>541</v>
      </c>
      <c r="I305" s="17" t="str">
        <f t="shared" si="17"/>
        <v>PE-304</v>
      </c>
      <c r="J305" s="18" t="s">
        <v>87</v>
      </c>
      <c r="K305" s="19" t="e">
        <f>IF(J305="","SEM #CH",VLOOKUP(J305,#REF!,2,0))</f>
        <v>#REF!</v>
      </c>
      <c r="L305" s="19" t="e">
        <f>IF(J305="","SEM #CH",VLOOKUP(J305,#REF!,3,0))</f>
        <v>#REF!</v>
      </c>
      <c r="M305" s="19" t="e">
        <f>IF(J305="","SEM #CH",VLOOKUP(J305,#REF!,4,0))</f>
        <v>#REF!</v>
      </c>
      <c r="N305" s="19" t="e">
        <f>IF(J305="","SEM #CH",VLOOKUP(J305,#REF!,5,0))</f>
        <v>#REF!</v>
      </c>
      <c r="O305" s="19" t="e">
        <f>IF(J305="","SEM #CH",VLOOKUP(J305,#REF!,6,0))</f>
        <v>#REF!</v>
      </c>
      <c r="P305" s="19" t="e">
        <f>IF(J305="","SEM #CH",VLOOKUP(J305,#REF!,7,0))</f>
        <v>#REF!</v>
      </c>
      <c r="Q305" s="77" t="str">
        <f>VLOOKUP(J305,'p1'!$B$2:$C$30,2,0)</f>
        <v>#3/8-1620X1620</v>
      </c>
      <c r="R305" s="91"/>
      <c r="S305" s="91"/>
      <c r="T305" s="91" t="str">
        <f t="shared" si="18"/>
        <v/>
      </c>
      <c r="U305" s="91"/>
      <c r="V305" s="91"/>
      <c r="W305" s="93"/>
      <c r="X305" s="94" t="str">
        <f t="shared" si="19"/>
        <v/>
      </c>
      <c r="Y305"/>
    </row>
    <row r="306" spans="1:25">
      <c r="A306" s="90">
        <v>305</v>
      </c>
      <c r="B306" s="68"/>
      <c r="C306" s="40"/>
      <c r="D306" s="40" t="str">
        <f t="shared" si="16"/>
        <v/>
      </c>
      <c r="E306" s="48" t="s">
        <v>131</v>
      </c>
      <c r="F306" s="17" t="s">
        <v>60</v>
      </c>
      <c r="G306" s="17" t="s">
        <v>86</v>
      </c>
      <c r="H306" s="42" t="s">
        <v>542</v>
      </c>
      <c r="I306" s="17" t="str">
        <f t="shared" si="17"/>
        <v>PE-305</v>
      </c>
      <c r="J306" s="18" t="s">
        <v>88</v>
      </c>
      <c r="K306" s="19" t="e">
        <f>IF(J306="","SEM #CH",VLOOKUP(J306,#REF!,2,0))</f>
        <v>#REF!</v>
      </c>
      <c r="L306" s="19" t="e">
        <f>IF(J306="","SEM #CH",VLOOKUP(J306,#REF!,3,0))</f>
        <v>#REF!</v>
      </c>
      <c r="M306" s="19" t="e">
        <f>IF(J306="","SEM #CH",VLOOKUP(J306,#REF!,4,0))</f>
        <v>#REF!</v>
      </c>
      <c r="N306" s="19" t="e">
        <f>IF(J306="","SEM #CH",VLOOKUP(J306,#REF!,5,0))</f>
        <v>#REF!</v>
      </c>
      <c r="O306" s="19" t="e">
        <f>IF(J306="","SEM #CH",VLOOKUP(J306,#REF!,6,0))</f>
        <v>#REF!</v>
      </c>
      <c r="P306" s="19" t="e">
        <f>IF(J306="","SEM #CH",VLOOKUP(J306,#REF!,7,0))</f>
        <v>#REF!</v>
      </c>
      <c r="Q306" s="77" t="str">
        <f>VLOOKUP(J306,'p1'!$B$2:$C$30,2,0)</f>
        <v>#3/8-1315X1315</v>
      </c>
      <c r="R306" s="91"/>
      <c r="S306" s="91"/>
      <c r="T306" s="91" t="str">
        <f t="shared" si="18"/>
        <v/>
      </c>
      <c r="U306" s="91"/>
      <c r="V306" s="91"/>
      <c r="W306" s="93"/>
      <c r="X306" s="94" t="str">
        <f t="shared" si="19"/>
        <v/>
      </c>
      <c r="Y306"/>
    </row>
    <row r="307" spans="1:25">
      <c r="A307" s="90">
        <v>306</v>
      </c>
      <c r="B307" s="68"/>
      <c r="C307" s="40"/>
      <c r="D307" s="40" t="str">
        <f t="shared" si="16"/>
        <v/>
      </c>
      <c r="E307" s="48" t="s">
        <v>131</v>
      </c>
      <c r="F307" s="17" t="s">
        <v>58</v>
      </c>
      <c r="G307" s="17" t="s">
        <v>86</v>
      </c>
      <c r="H307" s="42" t="s">
        <v>543</v>
      </c>
      <c r="I307" s="17" t="str">
        <f t="shared" si="17"/>
        <v>PN-306</v>
      </c>
      <c r="J307" s="18" t="s">
        <v>85</v>
      </c>
      <c r="K307" s="19" t="e">
        <f>IF(J307="","SEM #CH",VLOOKUP(J307,#REF!,2,0))</f>
        <v>#REF!</v>
      </c>
      <c r="L307" s="19" t="e">
        <f>IF(J307="","SEM #CH",VLOOKUP(J307,#REF!,3,0))</f>
        <v>#REF!</v>
      </c>
      <c r="M307" s="19" t="e">
        <f>IF(J307="","SEM #CH",VLOOKUP(J307,#REF!,4,0))</f>
        <v>#REF!</v>
      </c>
      <c r="N307" s="19" t="e">
        <f>IF(J307="","SEM #CH",VLOOKUP(J307,#REF!,5,0))</f>
        <v>#REF!</v>
      </c>
      <c r="O307" s="19" t="e">
        <f>IF(J307="","SEM #CH",VLOOKUP(J307,#REF!,6,0))</f>
        <v>#REF!</v>
      </c>
      <c r="P307" s="19" t="e">
        <f>IF(J307="","SEM #CH",VLOOKUP(J307,#REF!,7,0))</f>
        <v>#REF!</v>
      </c>
      <c r="Q307" s="77" t="str">
        <f>VLOOKUP(J307,'p1'!$B$2:$C$30,2,0)</f>
        <v>NÃO TEM CHAPA</v>
      </c>
      <c r="R307" s="91"/>
      <c r="S307" s="91"/>
      <c r="T307" s="91" t="str">
        <f t="shared" si="18"/>
        <v/>
      </c>
      <c r="U307" s="91"/>
      <c r="V307" s="91"/>
      <c r="W307" s="93"/>
      <c r="X307" s="94" t="str">
        <f t="shared" si="19"/>
        <v/>
      </c>
      <c r="Y307"/>
    </row>
    <row r="308" spans="1:25">
      <c r="A308" s="90">
        <v>307</v>
      </c>
      <c r="B308" s="68"/>
      <c r="C308" s="40"/>
      <c r="D308" s="40" t="str">
        <f t="shared" si="16"/>
        <v/>
      </c>
      <c r="E308" s="48" t="s">
        <v>131</v>
      </c>
      <c r="F308" s="17" t="s">
        <v>58</v>
      </c>
      <c r="G308" s="17" t="s">
        <v>86</v>
      </c>
      <c r="H308" s="42" t="s">
        <v>544</v>
      </c>
      <c r="I308" s="17" t="str">
        <f t="shared" si="17"/>
        <v>PN-307</v>
      </c>
      <c r="J308" s="18" t="s">
        <v>85</v>
      </c>
      <c r="K308" s="19" t="e">
        <f>IF(J308="","SEM #CH",VLOOKUP(J308,#REF!,2,0))</f>
        <v>#REF!</v>
      </c>
      <c r="L308" s="19" t="e">
        <f>IF(J308="","SEM #CH",VLOOKUP(J308,#REF!,3,0))</f>
        <v>#REF!</v>
      </c>
      <c r="M308" s="19" t="e">
        <f>IF(J308="","SEM #CH",VLOOKUP(J308,#REF!,4,0))</f>
        <v>#REF!</v>
      </c>
      <c r="N308" s="19" t="e">
        <f>IF(J308="","SEM #CH",VLOOKUP(J308,#REF!,5,0))</f>
        <v>#REF!</v>
      </c>
      <c r="O308" s="19" t="e">
        <f>IF(J308="","SEM #CH",VLOOKUP(J308,#REF!,6,0))</f>
        <v>#REF!</v>
      </c>
      <c r="P308" s="19" t="e">
        <f>IF(J308="","SEM #CH",VLOOKUP(J308,#REF!,7,0))</f>
        <v>#REF!</v>
      </c>
      <c r="Q308" s="77" t="str">
        <f>VLOOKUP(J308,'p1'!$B$2:$C$30,2,0)</f>
        <v>NÃO TEM CHAPA</v>
      </c>
      <c r="R308" s="91"/>
      <c r="S308" s="91"/>
      <c r="T308" s="91" t="str">
        <f t="shared" si="18"/>
        <v/>
      </c>
      <c r="U308" s="91"/>
      <c r="V308" s="91"/>
      <c r="W308" s="93"/>
      <c r="X308" s="94" t="str">
        <f t="shared" si="19"/>
        <v/>
      </c>
      <c r="Y308"/>
    </row>
    <row r="309" spans="1:25">
      <c r="A309" s="90">
        <v>308</v>
      </c>
      <c r="B309" s="68"/>
      <c r="C309" s="40"/>
      <c r="D309" s="40" t="str">
        <f t="shared" si="16"/>
        <v/>
      </c>
      <c r="E309" s="48" t="s">
        <v>131</v>
      </c>
      <c r="F309" s="17" t="s">
        <v>58</v>
      </c>
      <c r="G309" s="17" t="s">
        <v>86</v>
      </c>
      <c r="H309" s="42" t="s">
        <v>545</v>
      </c>
      <c r="I309" s="17" t="str">
        <f t="shared" si="17"/>
        <v>PN-308</v>
      </c>
      <c r="J309" s="18" t="s">
        <v>85</v>
      </c>
      <c r="K309" s="19" t="e">
        <f>IF(J309="","SEM #CH",VLOOKUP(J309,#REF!,2,0))</f>
        <v>#REF!</v>
      </c>
      <c r="L309" s="19" t="e">
        <f>IF(J309="","SEM #CH",VLOOKUP(J309,#REF!,3,0))</f>
        <v>#REF!</v>
      </c>
      <c r="M309" s="19" t="e">
        <f>IF(J309="","SEM #CH",VLOOKUP(J309,#REF!,4,0))</f>
        <v>#REF!</v>
      </c>
      <c r="N309" s="19" t="e">
        <f>IF(J309="","SEM #CH",VLOOKUP(J309,#REF!,5,0))</f>
        <v>#REF!</v>
      </c>
      <c r="O309" s="19" t="e">
        <f>IF(J309="","SEM #CH",VLOOKUP(J309,#REF!,6,0))</f>
        <v>#REF!</v>
      </c>
      <c r="P309" s="19" t="e">
        <f>IF(J309="","SEM #CH",VLOOKUP(J309,#REF!,7,0))</f>
        <v>#REF!</v>
      </c>
      <c r="Q309" s="77" t="str">
        <f>VLOOKUP(J309,'p1'!$B$2:$C$30,2,0)</f>
        <v>NÃO TEM CHAPA</v>
      </c>
      <c r="R309" s="91"/>
      <c r="S309" s="91"/>
      <c r="T309" s="91" t="str">
        <f t="shared" si="18"/>
        <v/>
      </c>
      <c r="U309" s="91"/>
      <c r="V309" s="91"/>
      <c r="W309" s="93"/>
      <c r="X309" s="94" t="str">
        <f t="shared" si="19"/>
        <v/>
      </c>
      <c r="Y309"/>
    </row>
    <row r="310" spans="1:25">
      <c r="A310" s="90">
        <v>309</v>
      </c>
      <c r="B310" s="68"/>
      <c r="C310" s="40"/>
      <c r="D310" s="40" t="str">
        <f t="shared" si="16"/>
        <v/>
      </c>
      <c r="E310" s="48" t="s">
        <v>131</v>
      </c>
      <c r="F310" s="17" t="s">
        <v>58</v>
      </c>
      <c r="G310" s="17" t="s">
        <v>86</v>
      </c>
      <c r="H310" s="42" t="s">
        <v>546</v>
      </c>
      <c r="I310" s="17" t="str">
        <f t="shared" si="17"/>
        <v>PN-309</v>
      </c>
      <c r="J310" s="18" t="s">
        <v>85</v>
      </c>
      <c r="K310" s="19" t="e">
        <f>IF(J310="","SEM #CH",VLOOKUP(J310,#REF!,2,0))</f>
        <v>#REF!</v>
      </c>
      <c r="L310" s="19" t="e">
        <f>IF(J310="","SEM #CH",VLOOKUP(J310,#REF!,3,0))</f>
        <v>#REF!</v>
      </c>
      <c r="M310" s="19" t="e">
        <f>IF(J310="","SEM #CH",VLOOKUP(J310,#REF!,4,0))</f>
        <v>#REF!</v>
      </c>
      <c r="N310" s="19" t="e">
        <f>IF(J310="","SEM #CH",VLOOKUP(J310,#REF!,5,0))</f>
        <v>#REF!</v>
      </c>
      <c r="O310" s="19" t="e">
        <f>IF(J310="","SEM #CH",VLOOKUP(J310,#REF!,6,0))</f>
        <v>#REF!</v>
      </c>
      <c r="P310" s="19" t="e">
        <f>IF(J310="","SEM #CH",VLOOKUP(J310,#REF!,7,0))</f>
        <v>#REF!</v>
      </c>
      <c r="Q310" s="77" t="str">
        <f>VLOOKUP(J310,'p1'!$B$2:$C$30,2,0)</f>
        <v>NÃO TEM CHAPA</v>
      </c>
      <c r="R310" s="91"/>
      <c r="S310" s="91"/>
      <c r="T310" s="91" t="str">
        <f t="shared" si="18"/>
        <v/>
      </c>
      <c r="U310" s="91"/>
      <c r="V310" s="91"/>
      <c r="W310" s="93"/>
      <c r="X310" s="94" t="str">
        <f t="shared" si="19"/>
        <v/>
      </c>
      <c r="Y310"/>
    </row>
    <row r="311" spans="1:25">
      <c r="A311" s="90">
        <v>310</v>
      </c>
      <c r="B311" s="68"/>
      <c r="C311" s="40"/>
      <c r="D311" s="40" t="str">
        <f t="shared" si="16"/>
        <v/>
      </c>
      <c r="E311" s="48" t="s">
        <v>131</v>
      </c>
      <c r="F311" s="17" t="s">
        <v>58</v>
      </c>
      <c r="G311" s="17" t="s">
        <v>86</v>
      </c>
      <c r="H311" s="42" t="s">
        <v>547</v>
      </c>
      <c r="I311" s="17" t="str">
        <f t="shared" si="17"/>
        <v>PN-310</v>
      </c>
      <c r="J311" s="18" t="s">
        <v>85</v>
      </c>
      <c r="K311" s="19" t="e">
        <f>IF(J311="","SEM #CH",VLOOKUP(J311,#REF!,2,0))</f>
        <v>#REF!</v>
      </c>
      <c r="L311" s="19" t="e">
        <f>IF(J311="","SEM #CH",VLOOKUP(J311,#REF!,3,0))</f>
        <v>#REF!</v>
      </c>
      <c r="M311" s="19" t="e">
        <f>IF(J311="","SEM #CH",VLOOKUP(J311,#REF!,4,0))</f>
        <v>#REF!</v>
      </c>
      <c r="N311" s="19" t="e">
        <f>IF(J311="","SEM #CH",VLOOKUP(J311,#REF!,5,0))</f>
        <v>#REF!</v>
      </c>
      <c r="O311" s="19" t="e">
        <f>IF(J311="","SEM #CH",VLOOKUP(J311,#REF!,6,0))</f>
        <v>#REF!</v>
      </c>
      <c r="P311" s="19" t="e">
        <f>IF(J311="","SEM #CH",VLOOKUP(J311,#REF!,7,0))</f>
        <v>#REF!</v>
      </c>
      <c r="Q311" s="77" t="str">
        <f>VLOOKUP(J311,'p1'!$B$2:$C$30,2,0)</f>
        <v>NÃO TEM CHAPA</v>
      </c>
      <c r="R311" s="91"/>
      <c r="S311" s="91"/>
      <c r="T311" s="91" t="str">
        <f t="shared" si="18"/>
        <v/>
      </c>
      <c r="U311" s="91"/>
      <c r="V311" s="91"/>
      <c r="W311" s="93"/>
      <c r="X311" s="94" t="str">
        <f t="shared" si="19"/>
        <v/>
      </c>
      <c r="Y311"/>
    </row>
    <row r="312" spans="1:25">
      <c r="A312" s="90">
        <v>311</v>
      </c>
      <c r="B312" s="68"/>
      <c r="C312" s="40"/>
      <c r="D312" s="40" t="str">
        <f t="shared" si="16"/>
        <v/>
      </c>
      <c r="E312" s="49" t="s">
        <v>130</v>
      </c>
      <c r="F312" s="17" t="s">
        <v>61</v>
      </c>
      <c r="G312" s="17" t="s">
        <v>86</v>
      </c>
      <c r="H312" s="42" t="s">
        <v>548</v>
      </c>
      <c r="I312" s="17" t="str">
        <f t="shared" si="17"/>
        <v>PF-311</v>
      </c>
      <c r="J312" s="18" t="s">
        <v>61</v>
      </c>
      <c r="K312" s="19" t="e">
        <f>IF(J312="","SEM #CH",VLOOKUP(J312,#REF!,2,0))</f>
        <v>#REF!</v>
      </c>
      <c r="L312" s="19" t="e">
        <f>IF(J312="","SEM #CH",VLOOKUP(J312,#REF!,3,0))</f>
        <v>#REF!</v>
      </c>
      <c r="M312" s="19" t="e">
        <f>IF(J312="","SEM #CH",VLOOKUP(J312,#REF!,4,0))</f>
        <v>#REF!</v>
      </c>
      <c r="N312" s="19" t="e">
        <f>IF(J312="","SEM #CH",VLOOKUP(J312,#REF!,5,0))</f>
        <v>#REF!</v>
      </c>
      <c r="O312" s="19" t="e">
        <f>IF(J312="","SEM #CH",VLOOKUP(J312,#REF!,6,0))</f>
        <v>#REF!</v>
      </c>
      <c r="P312" s="19" t="e">
        <f>IF(J312="","SEM #CH",VLOOKUP(J312,#REF!,7,0))</f>
        <v>#REF!</v>
      </c>
      <c r="Q312" s="77" t="str">
        <f>VLOOKUP(J312,'p1'!$B$2:$C$30,2,0)</f>
        <v>SEM CHAPA</v>
      </c>
      <c r="R312" s="91"/>
      <c r="S312" s="91"/>
      <c r="T312" s="91" t="str">
        <f t="shared" si="18"/>
        <v/>
      </c>
      <c r="U312" s="91"/>
      <c r="V312" s="91"/>
      <c r="W312" s="93"/>
      <c r="X312" s="94" t="str">
        <f t="shared" si="19"/>
        <v/>
      </c>
      <c r="Y312"/>
    </row>
    <row r="313" spans="1:25">
      <c r="A313" s="90">
        <v>312</v>
      </c>
      <c r="B313" s="68"/>
      <c r="C313" s="40"/>
      <c r="D313" s="40" t="str">
        <f t="shared" si="16"/>
        <v/>
      </c>
      <c r="E313" s="49" t="s">
        <v>130</v>
      </c>
      <c r="F313" s="17" t="s">
        <v>58</v>
      </c>
      <c r="G313" s="17" t="s">
        <v>86</v>
      </c>
      <c r="H313" s="42" t="s">
        <v>549</v>
      </c>
      <c r="I313" s="17" t="str">
        <f t="shared" si="17"/>
        <v>PN-312</v>
      </c>
      <c r="J313" s="18" t="s">
        <v>85</v>
      </c>
      <c r="K313" s="19" t="e">
        <f>IF(J313="","SEM #CH",VLOOKUP(J313,#REF!,2,0))</f>
        <v>#REF!</v>
      </c>
      <c r="L313" s="19" t="e">
        <f>IF(J313="","SEM #CH",VLOOKUP(J313,#REF!,3,0))</f>
        <v>#REF!</v>
      </c>
      <c r="M313" s="19" t="e">
        <f>IF(J313="","SEM #CH",VLOOKUP(J313,#REF!,4,0))</f>
        <v>#REF!</v>
      </c>
      <c r="N313" s="19" t="e">
        <f>IF(J313="","SEM #CH",VLOOKUP(J313,#REF!,5,0))</f>
        <v>#REF!</v>
      </c>
      <c r="O313" s="19" t="e">
        <f>IF(J313="","SEM #CH",VLOOKUP(J313,#REF!,6,0))</f>
        <v>#REF!</v>
      </c>
      <c r="P313" s="19" t="e">
        <f>IF(J313="","SEM #CH",VLOOKUP(J313,#REF!,7,0))</f>
        <v>#REF!</v>
      </c>
      <c r="Q313" s="77" t="str">
        <f>VLOOKUP(J313,'p1'!$B$2:$C$30,2,0)</f>
        <v>NÃO TEM CHAPA</v>
      </c>
      <c r="R313" s="91"/>
      <c r="S313" s="91"/>
      <c r="T313" s="91" t="str">
        <f t="shared" si="18"/>
        <v/>
      </c>
      <c r="U313" s="91"/>
      <c r="V313" s="91"/>
      <c r="W313" s="93"/>
      <c r="X313" s="94" t="str">
        <f t="shared" si="19"/>
        <v/>
      </c>
      <c r="Y313"/>
    </row>
    <row r="314" spans="1:25">
      <c r="A314" s="90">
        <v>313</v>
      </c>
      <c r="B314" s="68"/>
      <c r="C314" s="40"/>
      <c r="D314" s="40" t="str">
        <f t="shared" si="16"/>
        <v/>
      </c>
      <c r="E314" s="49" t="s">
        <v>130</v>
      </c>
      <c r="F314" s="17" t="s">
        <v>58</v>
      </c>
      <c r="G314" s="17" t="s">
        <v>86</v>
      </c>
      <c r="H314" s="42" t="s">
        <v>550</v>
      </c>
      <c r="I314" s="17" t="str">
        <f t="shared" si="17"/>
        <v>PN-313</v>
      </c>
      <c r="J314" s="18" t="s">
        <v>85</v>
      </c>
      <c r="K314" s="19" t="e">
        <f>IF(J314="","SEM #CH",VLOOKUP(J314,#REF!,2,0))</f>
        <v>#REF!</v>
      </c>
      <c r="L314" s="19" t="e">
        <f>IF(J314="","SEM #CH",VLOOKUP(J314,#REF!,3,0))</f>
        <v>#REF!</v>
      </c>
      <c r="M314" s="19" t="e">
        <f>IF(J314="","SEM #CH",VLOOKUP(J314,#REF!,4,0))</f>
        <v>#REF!</v>
      </c>
      <c r="N314" s="19" t="e">
        <f>IF(J314="","SEM #CH",VLOOKUP(J314,#REF!,5,0))</f>
        <v>#REF!</v>
      </c>
      <c r="O314" s="19" t="e">
        <f>IF(J314="","SEM #CH",VLOOKUP(J314,#REF!,6,0))</f>
        <v>#REF!</v>
      </c>
      <c r="P314" s="19" t="e">
        <f>IF(J314="","SEM #CH",VLOOKUP(J314,#REF!,7,0))</f>
        <v>#REF!</v>
      </c>
      <c r="Q314" s="77" t="str">
        <f>VLOOKUP(J314,'p1'!$B$2:$C$30,2,0)</f>
        <v>NÃO TEM CHAPA</v>
      </c>
      <c r="R314" s="91"/>
      <c r="S314" s="91"/>
      <c r="T314" s="91" t="str">
        <f t="shared" si="18"/>
        <v/>
      </c>
      <c r="U314" s="91"/>
      <c r="V314" s="91"/>
      <c r="W314" s="93"/>
      <c r="X314" s="94" t="str">
        <f t="shared" si="19"/>
        <v/>
      </c>
      <c r="Y314"/>
    </row>
    <row r="315" spans="1:25">
      <c r="A315" s="90">
        <v>314</v>
      </c>
      <c r="B315" s="68"/>
      <c r="C315" s="40"/>
      <c r="D315" s="40" t="str">
        <f t="shared" si="16"/>
        <v/>
      </c>
      <c r="E315" s="49" t="s">
        <v>130</v>
      </c>
      <c r="F315" s="17" t="s">
        <v>58</v>
      </c>
      <c r="G315" s="17" t="s">
        <v>86</v>
      </c>
      <c r="H315" s="42" t="s">
        <v>551</v>
      </c>
      <c r="I315" s="17" t="str">
        <f t="shared" si="17"/>
        <v>PN-314</v>
      </c>
      <c r="J315" s="18" t="s">
        <v>85</v>
      </c>
      <c r="K315" s="19" t="e">
        <f>IF(J315="","SEM #CH",VLOOKUP(J315,#REF!,2,0))</f>
        <v>#REF!</v>
      </c>
      <c r="L315" s="19" t="e">
        <f>IF(J315="","SEM #CH",VLOOKUP(J315,#REF!,3,0))</f>
        <v>#REF!</v>
      </c>
      <c r="M315" s="19" t="e">
        <f>IF(J315="","SEM #CH",VLOOKUP(J315,#REF!,4,0))</f>
        <v>#REF!</v>
      </c>
      <c r="N315" s="19" t="e">
        <f>IF(J315="","SEM #CH",VLOOKUP(J315,#REF!,5,0))</f>
        <v>#REF!</v>
      </c>
      <c r="O315" s="19" t="e">
        <f>IF(J315="","SEM #CH",VLOOKUP(J315,#REF!,6,0))</f>
        <v>#REF!</v>
      </c>
      <c r="P315" s="19" t="e">
        <f>IF(J315="","SEM #CH",VLOOKUP(J315,#REF!,7,0))</f>
        <v>#REF!</v>
      </c>
      <c r="Q315" s="77" t="str">
        <f>VLOOKUP(J315,'p1'!$B$2:$C$30,2,0)</f>
        <v>NÃO TEM CHAPA</v>
      </c>
      <c r="R315" s="91"/>
      <c r="S315" s="91"/>
      <c r="T315" s="91" t="str">
        <f t="shared" si="18"/>
        <v/>
      </c>
      <c r="U315" s="91"/>
      <c r="V315" s="91"/>
      <c r="W315" s="93"/>
      <c r="X315" s="94" t="str">
        <f t="shared" si="19"/>
        <v/>
      </c>
      <c r="Y315"/>
    </row>
    <row r="316" spans="1:25">
      <c r="A316" s="90">
        <v>315</v>
      </c>
      <c r="B316" s="68"/>
      <c r="C316" s="40"/>
      <c r="D316" s="40" t="str">
        <f t="shared" si="16"/>
        <v/>
      </c>
      <c r="E316" s="49" t="s">
        <v>130</v>
      </c>
      <c r="F316" s="17" t="s">
        <v>58</v>
      </c>
      <c r="G316" s="17" t="s">
        <v>86</v>
      </c>
      <c r="H316" s="42" t="s">
        <v>552</v>
      </c>
      <c r="I316" s="17" t="str">
        <f t="shared" si="17"/>
        <v>PN-315</v>
      </c>
      <c r="J316" s="18" t="s">
        <v>85</v>
      </c>
      <c r="K316" s="19" t="e">
        <f>IF(J316="","SEM #CH",VLOOKUP(J316,#REF!,2,0))</f>
        <v>#REF!</v>
      </c>
      <c r="L316" s="19" t="e">
        <f>IF(J316="","SEM #CH",VLOOKUP(J316,#REF!,3,0))</f>
        <v>#REF!</v>
      </c>
      <c r="M316" s="19" t="e">
        <f>IF(J316="","SEM #CH",VLOOKUP(J316,#REF!,4,0))</f>
        <v>#REF!</v>
      </c>
      <c r="N316" s="19" t="e">
        <f>IF(J316="","SEM #CH",VLOOKUP(J316,#REF!,5,0))</f>
        <v>#REF!</v>
      </c>
      <c r="O316" s="19" t="e">
        <f>IF(J316="","SEM #CH",VLOOKUP(J316,#REF!,6,0))</f>
        <v>#REF!</v>
      </c>
      <c r="P316" s="19" t="e">
        <f>IF(J316="","SEM #CH",VLOOKUP(J316,#REF!,7,0))</f>
        <v>#REF!</v>
      </c>
      <c r="Q316" s="77" t="str">
        <f>VLOOKUP(J316,'p1'!$B$2:$C$30,2,0)</f>
        <v>NÃO TEM CHAPA</v>
      </c>
      <c r="R316" s="91"/>
      <c r="S316" s="91"/>
      <c r="T316" s="91" t="str">
        <f t="shared" si="18"/>
        <v/>
      </c>
      <c r="U316" s="91"/>
      <c r="V316" s="91"/>
      <c r="W316" s="93"/>
      <c r="X316" s="94" t="str">
        <f t="shared" si="19"/>
        <v/>
      </c>
      <c r="Y316"/>
    </row>
    <row r="317" spans="1:25">
      <c r="A317" s="90">
        <v>316</v>
      </c>
      <c r="B317" s="68"/>
      <c r="C317" s="40"/>
      <c r="D317" s="40" t="str">
        <f t="shared" si="16"/>
        <v/>
      </c>
      <c r="E317" s="49" t="s">
        <v>130</v>
      </c>
      <c r="F317" s="17" t="s">
        <v>58</v>
      </c>
      <c r="G317" s="17" t="s">
        <v>86</v>
      </c>
      <c r="H317" s="42" t="s">
        <v>553</v>
      </c>
      <c r="I317" s="17" t="str">
        <f t="shared" si="17"/>
        <v>PN-316</v>
      </c>
      <c r="J317" s="18" t="s">
        <v>85</v>
      </c>
      <c r="K317" s="19" t="e">
        <f>IF(J317="","SEM #CH",VLOOKUP(J317,#REF!,2,0))</f>
        <v>#REF!</v>
      </c>
      <c r="L317" s="19" t="e">
        <f>IF(J317="","SEM #CH",VLOOKUP(J317,#REF!,3,0))</f>
        <v>#REF!</v>
      </c>
      <c r="M317" s="19" t="e">
        <f>IF(J317="","SEM #CH",VLOOKUP(J317,#REF!,4,0))</f>
        <v>#REF!</v>
      </c>
      <c r="N317" s="19" t="e">
        <f>IF(J317="","SEM #CH",VLOOKUP(J317,#REF!,5,0))</f>
        <v>#REF!</v>
      </c>
      <c r="O317" s="19" t="e">
        <f>IF(J317="","SEM #CH",VLOOKUP(J317,#REF!,6,0))</f>
        <v>#REF!</v>
      </c>
      <c r="P317" s="19" t="e">
        <f>IF(J317="","SEM #CH",VLOOKUP(J317,#REF!,7,0))</f>
        <v>#REF!</v>
      </c>
      <c r="Q317" s="77" t="str">
        <f>VLOOKUP(J317,'p1'!$B$2:$C$30,2,0)</f>
        <v>NÃO TEM CHAPA</v>
      </c>
      <c r="R317" s="91"/>
      <c r="S317" s="91"/>
      <c r="T317" s="91" t="str">
        <f t="shared" si="18"/>
        <v/>
      </c>
      <c r="U317" s="91"/>
      <c r="V317" s="91"/>
      <c r="W317" s="93"/>
      <c r="X317" s="94" t="str">
        <f t="shared" si="19"/>
        <v/>
      </c>
      <c r="Y317"/>
    </row>
    <row r="318" spans="1:25">
      <c r="A318" s="90">
        <v>317</v>
      </c>
      <c r="B318" s="68"/>
      <c r="C318" s="40"/>
      <c r="D318" s="40" t="str">
        <f t="shared" si="16"/>
        <v/>
      </c>
      <c r="E318" s="49" t="s">
        <v>130</v>
      </c>
      <c r="F318" s="17" t="s">
        <v>58</v>
      </c>
      <c r="G318" s="17" t="s">
        <v>86</v>
      </c>
      <c r="H318" s="42" t="s">
        <v>554</v>
      </c>
      <c r="I318" s="17" t="str">
        <f t="shared" si="17"/>
        <v>PN-317</v>
      </c>
      <c r="J318" s="18" t="s">
        <v>85</v>
      </c>
      <c r="K318" s="19" t="e">
        <f>IF(J318="","SEM #CH",VLOOKUP(J318,#REF!,2,0))</f>
        <v>#REF!</v>
      </c>
      <c r="L318" s="19" t="e">
        <f>IF(J318="","SEM #CH",VLOOKUP(J318,#REF!,3,0))</f>
        <v>#REF!</v>
      </c>
      <c r="M318" s="19" t="e">
        <f>IF(J318="","SEM #CH",VLOOKUP(J318,#REF!,4,0))</f>
        <v>#REF!</v>
      </c>
      <c r="N318" s="19" t="e">
        <f>IF(J318="","SEM #CH",VLOOKUP(J318,#REF!,5,0))</f>
        <v>#REF!</v>
      </c>
      <c r="O318" s="19" t="e">
        <f>IF(J318="","SEM #CH",VLOOKUP(J318,#REF!,6,0))</f>
        <v>#REF!</v>
      </c>
      <c r="P318" s="19" t="e">
        <f>IF(J318="","SEM #CH",VLOOKUP(J318,#REF!,7,0))</f>
        <v>#REF!</v>
      </c>
      <c r="Q318" s="77" t="str">
        <f>VLOOKUP(J318,'p1'!$B$2:$C$30,2,0)</f>
        <v>NÃO TEM CHAPA</v>
      </c>
      <c r="R318" s="91"/>
      <c r="S318" s="91"/>
      <c r="T318" s="91" t="str">
        <f t="shared" si="18"/>
        <v/>
      </c>
      <c r="U318" s="91"/>
      <c r="V318" s="91"/>
      <c r="W318" s="93"/>
      <c r="X318" s="94" t="str">
        <f t="shared" si="19"/>
        <v/>
      </c>
      <c r="Y318"/>
    </row>
    <row r="319" spans="1:25">
      <c r="A319" s="90">
        <v>318</v>
      </c>
      <c r="B319" s="68"/>
      <c r="C319" s="40"/>
      <c r="D319" s="40" t="str">
        <f t="shared" si="16"/>
        <v/>
      </c>
      <c r="E319" s="49" t="s">
        <v>130</v>
      </c>
      <c r="F319" s="17" t="s">
        <v>60</v>
      </c>
      <c r="G319" s="17" t="s">
        <v>86</v>
      </c>
      <c r="H319" s="42" t="s">
        <v>555</v>
      </c>
      <c r="I319" s="17" t="str">
        <f t="shared" si="17"/>
        <v>PE-318</v>
      </c>
      <c r="J319" s="18" t="s">
        <v>88</v>
      </c>
      <c r="K319" s="19" t="e">
        <f>IF(J319="","SEM #CH",VLOOKUP(J319,#REF!,2,0))</f>
        <v>#REF!</v>
      </c>
      <c r="L319" s="19" t="e">
        <f>IF(J319="","SEM #CH",VLOOKUP(J319,#REF!,3,0))</f>
        <v>#REF!</v>
      </c>
      <c r="M319" s="19" t="e">
        <f>IF(J319="","SEM #CH",VLOOKUP(J319,#REF!,4,0))</f>
        <v>#REF!</v>
      </c>
      <c r="N319" s="19" t="e">
        <f>IF(J319="","SEM #CH",VLOOKUP(J319,#REF!,5,0))</f>
        <v>#REF!</v>
      </c>
      <c r="O319" s="19" t="e">
        <f>IF(J319="","SEM #CH",VLOOKUP(J319,#REF!,6,0))</f>
        <v>#REF!</v>
      </c>
      <c r="P319" s="19" t="e">
        <f>IF(J319="","SEM #CH",VLOOKUP(J319,#REF!,7,0))</f>
        <v>#REF!</v>
      </c>
      <c r="Q319" s="77" t="str">
        <f>VLOOKUP(J319,'p1'!$B$2:$C$30,2,0)</f>
        <v>#3/8-1315X1315</v>
      </c>
      <c r="R319" s="91"/>
      <c r="S319" s="91"/>
      <c r="T319" s="91" t="str">
        <f t="shared" si="18"/>
        <v/>
      </c>
      <c r="U319" s="91"/>
      <c r="V319" s="91"/>
      <c r="W319" s="93"/>
      <c r="X319" s="94" t="str">
        <f t="shared" si="19"/>
        <v/>
      </c>
      <c r="Y319"/>
    </row>
    <row r="320" spans="1:25">
      <c r="A320" s="90">
        <v>319</v>
      </c>
      <c r="B320" s="68"/>
      <c r="C320" s="40"/>
      <c r="D320" s="40" t="str">
        <f t="shared" si="16"/>
        <v/>
      </c>
      <c r="E320" s="49" t="s">
        <v>130</v>
      </c>
      <c r="F320" s="17" t="s">
        <v>58</v>
      </c>
      <c r="G320" s="17" t="s">
        <v>86</v>
      </c>
      <c r="H320" s="42" t="s">
        <v>556</v>
      </c>
      <c r="I320" s="17" t="str">
        <f t="shared" si="17"/>
        <v>PN-319</v>
      </c>
      <c r="J320" s="18" t="s">
        <v>85</v>
      </c>
      <c r="K320" s="19" t="e">
        <f>IF(J320="","SEM #CH",VLOOKUP(J320,#REF!,2,0))</f>
        <v>#REF!</v>
      </c>
      <c r="L320" s="19" t="e">
        <f>IF(J320="","SEM #CH",VLOOKUP(J320,#REF!,3,0))</f>
        <v>#REF!</v>
      </c>
      <c r="M320" s="19" t="e">
        <f>IF(J320="","SEM #CH",VLOOKUP(J320,#REF!,4,0))</f>
        <v>#REF!</v>
      </c>
      <c r="N320" s="19" t="e">
        <f>IF(J320="","SEM #CH",VLOOKUP(J320,#REF!,5,0))</f>
        <v>#REF!</v>
      </c>
      <c r="O320" s="19" t="e">
        <f>IF(J320="","SEM #CH",VLOOKUP(J320,#REF!,6,0))</f>
        <v>#REF!</v>
      </c>
      <c r="P320" s="19" t="e">
        <f>IF(J320="","SEM #CH",VLOOKUP(J320,#REF!,7,0))</f>
        <v>#REF!</v>
      </c>
      <c r="Q320" s="77" t="str">
        <f>VLOOKUP(J320,'p1'!$B$2:$C$30,2,0)</f>
        <v>NÃO TEM CHAPA</v>
      </c>
      <c r="R320" s="91"/>
      <c r="S320" s="91"/>
      <c r="T320" s="91" t="str">
        <f t="shared" si="18"/>
        <v/>
      </c>
      <c r="U320" s="91"/>
      <c r="V320" s="91"/>
      <c r="W320" s="93"/>
      <c r="X320" s="94" t="str">
        <f t="shared" si="19"/>
        <v/>
      </c>
      <c r="Y320"/>
    </row>
    <row r="321" spans="1:25">
      <c r="A321" s="90">
        <v>320</v>
      </c>
      <c r="B321" s="68"/>
      <c r="C321" s="40"/>
      <c r="D321" s="40" t="str">
        <f t="shared" si="16"/>
        <v/>
      </c>
      <c r="E321" s="49" t="s">
        <v>130</v>
      </c>
      <c r="F321" s="17" t="s">
        <v>58</v>
      </c>
      <c r="G321" s="17" t="s">
        <v>86</v>
      </c>
      <c r="H321" s="42" t="s">
        <v>557</v>
      </c>
      <c r="I321" s="17" t="str">
        <f t="shared" si="17"/>
        <v>PN-320</v>
      </c>
      <c r="J321" s="18" t="s">
        <v>85</v>
      </c>
      <c r="K321" s="19" t="e">
        <f>IF(J321="","SEM #CH",VLOOKUP(J321,#REF!,2,0))</f>
        <v>#REF!</v>
      </c>
      <c r="L321" s="19" t="e">
        <f>IF(J321="","SEM #CH",VLOOKUP(J321,#REF!,3,0))</f>
        <v>#REF!</v>
      </c>
      <c r="M321" s="19" t="e">
        <f>IF(J321="","SEM #CH",VLOOKUP(J321,#REF!,4,0))</f>
        <v>#REF!</v>
      </c>
      <c r="N321" s="19" t="e">
        <f>IF(J321="","SEM #CH",VLOOKUP(J321,#REF!,5,0))</f>
        <v>#REF!</v>
      </c>
      <c r="O321" s="19" t="e">
        <f>IF(J321="","SEM #CH",VLOOKUP(J321,#REF!,6,0))</f>
        <v>#REF!</v>
      </c>
      <c r="P321" s="19" t="e">
        <f>IF(J321="","SEM #CH",VLOOKUP(J321,#REF!,7,0))</f>
        <v>#REF!</v>
      </c>
      <c r="Q321" s="77" t="str">
        <f>VLOOKUP(J321,'p1'!$B$2:$C$30,2,0)</f>
        <v>NÃO TEM CHAPA</v>
      </c>
      <c r="R321" s="91"/>
      <c r="S321" s="91"/>
      <c r="T321" s="91" t="str">
        <f t="shared" si="18"/>
        <v/>
      </c>
      <c r="U321" s="91"/>
      <c r="V321" s="91"/>
      <c r="W321" s="93"/>
      <c r="X321" s="94" t="str">
        <f t="shared" si="19"/>
        <v/>
      </c>
      <c r="Y321"/>
    </row>
    <row r="322" spans="1:25">
      <c r="A322" s="90">
        <v>321</v>
      </c>
      <c r="B322" s="68"/>
      <c r="C322" s="40"/>
      <c r="D322" s="40" t="str">
        <f t="shared" ref="D322:D385" si="20">IF(B322&gt;0,1,"")</f>
        <v/>
      </c>
      <c r="E322" s="49" t="s">
        <v>130</v>
      </c>
      <c r="F322" s="17" t="s">
        <v>58</v>
      </c>
      <c r="G322" s="17" t="s">
        <v>86</v>
      </c>
      <c r="H322" s="42" t="s">
        <v>558</v>
      </c>
      <c r="I322" s="17" t="str">
        <f t="shared" ref="I322:I385" si="21">_xlfn.CONCAT(F322,G322,H322)</f>
        <v>PN-321</v>
      </c>
      <c r="J322" s="18" t="s">
        <v>85</v>
      </c>
      <c r="K322" s="19" t="e">
        <f>IF(J322="","SEM #CH",VLOOKUP(J322,#REF!,2,0))</f>
        <v>#REF!</v>
      </c>
      <c r="L322" s="19" t="e">
        <f>IF(J322="","SEM #CH",VLOOKUP(J322,#REF!,3,0))</f>
        <v>#REF!</v>
      </c>
      <c r="M322" s="19" t="e">
        <f>IF(J322="","SEM #CH",VLOOKUP(J322,#REF!,4,0))</f>
        <v>#REF!</v>
      </c>
      <c r="N322" s="19" t="e">
        <f>IF(J322="","SEM #CH",VLOOKUP(J322,#REF!,5,0))</f>
        <v>#REF!</v>
      </c>
      <c r="O322" s="19" t="e">
        <f>IF(J322="","SEM #CH",VLOOKUP(J322,#REF!,6,0))</f>
        <v>#REF!</v>
      </c>
      <c r="P322" s="19" t="e">
        <f>IF(J322="","SEM #CH",VLOOKUP(J322,#REF!,7,0))</f>
        <v>#REF!</v>
      </c>
      <c r="Q322" s="77" t="str">
        <f>VLOOKUP(J322,'p1'!$B$2:$C$30,2,0)</f>
        <v>NÃO TEM CHAPA</v>
      </c>
      <c r="R322" s="91"/>
      <c r="S322" s="91"/>
      <c r="T322" s="91" t="str">
        <f t="shared" ref="T322:T385" si="22">IF(R322=0,"",1)</f>
        <v/>
      </c>
      <c r="U322" s="91"/>
      <c r="V322" s="91"/>
      <c r="W322" s="93"/>
      <c r="X322" s="94" t="str">
        <f t="shared" ref="X322:X385" si="23">IF(U322&gt;0,1,"")</f>
        <v/>
      </c>
      <c r="Y322"/>
    </row>
    <row r="323" spans="1:25">
      <c r="A323" s="90">
        <v>322</v>
      </c>
      <c r="B323" s="68"/>
      <c r="C323" s="40"/>
      <c r="D323" s="40" t="str">
        <f t="shared" si="20"/>
        <v/>
      </c>
      <c r="E323" s="49" t="s">
        <v>130</v>
      </c>
      <c r="F323" s="17" t="s">
        <v>58</v>
      </c>
      <c r="G323" s="17" t="s">
        <v>86</v>
      </c>
      <c r="H323" s="42" t="s">
        <v>559</v>
      </c>
      <c r="I323" s="17" t="str">
        <f t="shared" si="21"/>
        <v>PN-322</v>
      </c>
      <c r="J323" s="18" t="s">
        <v>85</v>
      </c>
      <c r="K323" s="19" t="e">
        <f>IF(J323="","SEM #CH",VLOOKUP(J323,#REF!,2,0))</f>
        <v>#REF!</v>
      </c>
      <c r="L323" s="19" t="e">
        <f>IF(J323="","SEM #CH",VLOOKUP(J323,#REF!,3,0))</f>
        <v>#REF!</v>
      </c>
      <c r="M323" s="19" t="e">
        <f>IF(J323="","SEM #CH",VLOOKUP(J323,#REF!,4,0))</f>
        <v>#REF!</v>
      </c>
      <c r="N323" s="19" t="e">
        <f>IF(J323="","SEM #CH",VLOOKUP(J323,#REF!,5,0))</f>
        <v>#REF!</v>
      </c>
      <c r="O323" s="19" t="e">
        <f>IF(J323="","SEM #CH",VLOOKUP(J323,#REF!,6,0))</f>
        <v>#REF!</v>
      </c>
      <c r="P323" s="19" t="e">
        <f>IF(J323="","SEM #CH",VLOOKUP(J323,#REF!,7,0))</f>
        <v>#REF!</v>
      </c>
      <c r="Q323" s="77" t="str">
        <f>VLOOKUP(J323,'p1'!$B$2:$C$30,2,0)</f>
        <v>NÃO TEM CHAPA</v>
      </c>
      <c r="R323" s="91"/>
      <c r="S323" s="91"/>
      <c r="T323" s="91" t="str">
        <f t="shared" si="22"/>
        <v/>
      </c>
      <c r="U323" s="91"/>
      <c r="V323" s="91"/>
      <c r="W323" s="93"/>
      <c r="X323" s="94" t="str">
        <f t="shared" si="23"/>
        <v/>
      </c>
      <c r="Y323"/>
    </row>
    <row r="324" spans="1:25">
      <c r="A324" s="90">
        <v>323</v>
      </c>
      <c r="B324" s="68"/>
      <c r="C324" s="40"/>
      <c r="D324" s="40" t="str">
        <f t="shared" si="20"/>
        <v/>
      </c>
      <c r="E324" s="49" t="s">
        <v>130</v>
      </c>
      <c r="F324" s="17" t="s">
        <v>58</v>
      </c>
      <c r="G324" s="17" t="s">
        <v>86</v>
      </c>
      <c r="H324" s="42" t="s">
        <v>560</v>
      </c>
      <c r="I324" s="17" t="str">
        <f t="shared" si="21"/>
        <v>PN-323</v>
      </c>
      <c r="J324" s="18" t="s">
        <v>85</v>
      </c>
      <c r="K324" s="19" t="e">
        <f>IF(J324="","SEM #CH",VLOOKUP(J324,#REF!,2,0))</f>
        <v>#REF!</v>
      </c>
      <c r="L324" s="19" t="e">
        <f>IF(J324="","SEM #CH",VLOOKUP(J324,#REF!,3,0))</f>
        <v>#REF!</v>
      </c>
      <c r="M324" s="19" t="e">
        <f>IF(J324="","SEM #CH",VLOOKUP(J324,#REF!,4,0))</f>
        <v>#REF!</v>
      </c>
      <c r="N324" s="19" t="e">
        <f>IF(J324="","SEM #CH",VLOOKUP(J324,#REF!,5,0))</f>
        <v>#REF!</v>
      </c>
      <c r="O324" s="19" t="e">
        <f>IF(J324="","SEM #CH",VLOOKUP(J324,#REF!,6,0))</f>
        <v>#REF!</v>
      </c>
      <c r="P324" s="19" t="e">
        <f>IF(J324="","SEM #CH",VLOOKUP(J324,#REF!,7,0))</f>
        <v>#REF!</v>
      </c>
      <c r="Q324" s="77" t="str">
        <f>VLOOKUP(J324,'p1'!$B$2:$C$30,2,0)</f>
        <v>NÃO TEM CHAPA</v>
      </c>
      <c r="R324" s="91"/>
      <c r="S324" s="91"/>
      <c r="T324" s="91" t="str">
        <f t="shared" si="22"/>
        <v/>
      </c>
      <c r="U324" s="91"/>
      <c r="V324" s="91"/>
      <c r="W324" s="93"/>
      <c r="X324" s="94" t="str">
        <f t="shared" si="23"/>
        <v/>
      </c>
      <c r="Y324"/>
    </row>
    <row r="325" spans="1:25">
      <c r="A325" s="90">
        <v>324</v>
      </c>
      <c r="B325" s="68"/>
      <c r="C325" s="40"/>
      <c r="D325" s="40" t="str">
        <f t="shared" si="20"/>
        <v/>
      </c>
      <c r="E325" s="49" t="s">
        <v>130</v>
      </c>
      <c r="F325" s="17" t="s">
        <v>58</v>
      </c>
      <c r="G325" s="17" t="s">
        <v>86</v>
      </c>
      <c r="H325" s="42" t="s">
        <v>561</v>
      </c>
      <c r="I325" s="17" t="str">
        <f t="shared" si="21"/>
        <v>PN-324</v>
      </c>
      <c r="J325" s="18" t="s">
        <v>85</v>
      </c>
      <c r="K325" s="19" t="e">
        <f>IF(J325="","SEM #CH",VLOOKUP(J325,#REF!,2,0))</f>
        <v>#REF!</v>
      </c>
      <c r="L325" s="19" t="e">
        <f>IF(J325="","SEM #CH",VLOOKUP(J325,#REF!,3,0))</f>
        <v>#REF!</v>
      </c>
      <c r="M325" s="19" t="e">
        <f>IF(J325="","SEM #CH",VLOOKUP(J325,#REF!,4,0))</f>
        <v>#REF!</v>
      </c>
      <c r="N325" s="19" t="e">
        <f>IF(J325="","SEM #CH",VLOOKUP(J325,#REF!,5,0))</f>
        <v>#REF!</v>
      </c>
      <c r="O325" s="19" t="e">
        <f>IF(J325="","SEM #CH",VLOOKUP(J325,#REF!,6,0))</f>
        <v>#REF!</v>
      </c>
      <c r="P325" s="19" t="e">
        <f>IF(J325="","SEM #CH",VLOOKUP(J325,#REF!,7,0))</f>
        <v>#REF!</v>
      </c>
      <c r="Q325" s="77" t="str">
        <f>VLOOKUP(J325,'p1'!$B$2:$C$30,2,0)</f>
        <v>NÃO TEM CHAPA</v>
      </c>
      <c r="R325" s="91"/>
      <c r="S325" s="91"/>
      <c r="T325" s="91" t="str">
        <f t="shared" si="22"/>
        <v/>
      </c>
      <c r="U325" s="91"/>
      <c r="V325" s="91"/>
      <c r="W325" s="93"/>
      <c r="X325" s="94" t="str">
        <f t="shared" si="23"/>
        <v/>
      </c>
      <c r="Y325"/>
    </row>
    <row r="326" spans="1:25">
      <c r="A326" s="90">
        <v>325</v>
      </c>
      <c r="B326" s="68"/>
      <c r="C326" s="40"/>
      <c r="D326" s="40" t="str">
        <f t="shared" si="20"/>
        <v/>
      </c>
      <c r="E326" s="49" t="s">
        <v>130</v>
      </c>
      <c r="F326" s="17" t="s">
        <v>58</v>
      </c>
      <c r="G326" s="17" t="s">
        <v>86</v>
      </c>
      <c r="H326" s="42" t="s">
        <v>562</v>
      </c>
      <c r="I326" s="17" t="str">
        <f t="shared" si="21"/>
        <v>PN-325</v>
      </c>
      <c r="J326" s="18" t="s">
        <v>85</v>
      </c>
      <c r="K326" s="19" t="e">
        <f>IF(J326="","SEM #CH",VLOOKUP(J326,#REF!,2,0))</f>
        <v>#REF!</v>
      </c>
      <c r="L326" s="19" t="e">
        <f>IF(J326="","SEM #CH",VLOOKUP(J326,#REF!,3,0))</f>
        <v>#REF!</v>
      </c>
      <c r="M326" s="19" t="e">
        <f>IF(J326="","SEM #CH",VLOOKUP(J326,#REF!,4,0))</f>
        <v>#REF!</v>
      </c>
      <c r="N326" s="19" t="e">
        <f>IF(J326="","SEM #CH",VLOOKUP(J326,#REF!,5,0))</f>
        <v>#REF!</v>
      </c>
      <c r="O326" s="19" t="e">
        <f>IF(J326="","SEM #CH",VLOOKUP(J326,#REF!,6,0))</f>
        <v>#REF!</v>
      </c>
      <c r="P326" s="19" t="e">
        <f>IF(J326="","SEM #CH",VLOOKUP(J326,#REF!,7,0))</f>
        <v>#REF!</v>
      </c>
      <c r="Q326" s="77" t="str">
        <f>VLOOKUP(J326,'p1'!$B$2:$C$30,2,0)</f>
        <v>NÃO TEM CHAPA</v>
      </c>
      <c r="R326" s="91"/>
      <c r="S326" s="91"/>
      <c r="T326" s="91" t="str">
        <f t="shared" si="22"/>
        <v/>
      </c>
      <c r="U326" s="91"/>
      <c r="V326" s="91"/>
      <c r="W326" s="93"/>
      <c r="X326" s="94" t="str">
        <f t="shared" si="23"/>
        <v/>
      </c>
      <c r="Y326"/>
    </row>
    <row r="327" spans="1:25">
      <c r="A327" s="90">
        <v>326</v>
      </c>
      <c r="B327" s="68"/>
      <c r="C327" s="40"/>
      <c r="D327" s="40" t="str">
        <f t="shared" si="20"/>
        <v/>
      </c>
      <c r="E327" s="49" t="s">
        <v>130</v>
      </c>
      <c r="F327" s="17" t="s">
        <v>58</v>
      </c>
      <c r="G327" s="17" t="s">
        <v>86</v>
      </c>
      <c r="H327" s="42" t="s">
        <v>563</v>
      </c>
      <c r="I327" s="17" t="str">
        <f t="shared" si="21"/>
        <v>PN-326</v>
      </c>
      <c r="J327" s="18" t="s">
        <v>85</v>
      </c>
      <c r="K327" s="19" t="e">
        <f>IF(J327="","SEM #CH",VLOOKUP(J327,#REF!,2,0))</f>
        <v>#REF!</v>
      </c>
      <c r="L327" s="19" t="e">
        <f>IF(J327="","SEM #CH",VLOOKUP(J327,#REF!,3,0))</f>
        <v>#REF!</v>
      </c>
      <c r="M327" s="19" t="e">
        <f>IF(J327="","SEM #CH",VLOOKUP(J327,#REF!,4,0))</f>
        <v>#REF!</v>
      </c>
      <c r="N327" s="19" t="e">
        <f>IF(J327="","SEM #CH",VLOOKUP(J327,#REF!,5,0))</f>
        <v>#REF!</v>
      </c>
      <c r="O327" s="19" t="e">
        <f>IF(J327="","SEM #CH",VLOOKUP(J327,#REF!,6,0))</f>
        <v>#REF!</v>
      </c>
      <c r="P327" s="19" t="e">
        <f>IF(J327="","SEM #CH",VLOOKUP(J327,#REF!,7,0))</f>
        <v>#REF!</v>
      </c>
      <c r="Q327" s="77" t="str">
        <f>VLOOKUP(J327,'p1'!$B$2:$C$30,2,0)</f>
        <v>NÃO TEM CHAPA</v>
      </c>
      <c r="R327" s="91"/>
      <c r="S327" s="91"/>
      <c r="T327" s="91" t="str">
        <f t="shared" si="22"/>
        <v/>
      </c>
      <c r="U327" s="91"/>
      <c r="V327" s="91"/>
      <c r="W327" s="93"/>
      <c r="X327" s="94" t="str">
        <f t="shared" si="23"/>
        <v/>
      </c>
      <c r="Y327"/>
    </row>
    <row r="328" spans="1:25">
      <c r="A328" s="90">
        <v>327</v>
      </c>
      <c r="B328" s="68"/>
      <c r="C328" s="40"/>
      <c r="D328" s="40" t="str">
        <f t="shared" si="20"/>
        <v/>
      </c>
      <c r="E328" s="49" t="s">
        <v>130</v>
      </c>
      <c r="F328" s="17" t="s">
        <v>58</v>
      </c>
      <c r="G328" s="17" t="s">
        <v>86</v>
      </c>
      <c r="H328" s="42" t="s">
        <v>564</v>
      </c>
      <c r="I328" s="17" t="str">
        <f t="shared" si="21"/>
        <v>PN-327</v>
      </c>
      <c r="J328" s="18" t="s">
        <v>85</v>
      </c>
      <c r="K328" s="19" t="e">
        <f>IF(J328="","SEM #CH",VLOOKUP(J328,#REF!,2,0))</f>
        <v>#REF!</v>
      </c>
      <c r="L328" s="19" t="e">
        <f>IF(J328="","SEM #CH",VLOOKUP(J328,#REF!,3,0))</f>
        <v>#REF!</v>
      </c>
      <c r="M328" s="19" t="e">
        <f>IF(J328="","SEM #CH",VLOOKUP(J328,#REF!,4,0))</f>
        <v>#REF!</v>
      </c>
      <c r="N328" s="19" t="e">
        <f>IF(J328="","SEM #CH",VLOOKUP(J328,#REF!,5,0))</f>
        <v>#REF!</v>
      </c>
      <c r="O328" s="19" t="e">
        <f>IF(J328="","SEM #CH",VLOOKUP(J328,#REF!,6,0))</f>
        <v>#REF!</v>
      </c>
      <c r="P328" s="19" t="e">
        <f>IF(J328="","SEM #CH",VLOOKUP(J328,#REF!,7,0))</f>
        <v>#REF!</v>
      </c>
      <c r="Q328" s="77" t="str">
        <f>VLOOKUP(J328,'p1'!$B$2:$C$30,2,0)</f>
        <v>NÃO TEM CHAPA</v>
      </c>
      <c r="R328" s="91"/>
      <c r="S328" s="91"/>
      <c r="T328" s="91" t="str">
        <f t="shared" si="22"/>
        <v/>
      </c>
      <c r="U328" s="91"/>
      <c r="V328" s="91"/>
      <c r="W328" s="93"/>
      <c r="X328" s="94" t="str">
        <f t="shared" si="23"/>
        <v/>
      </c>
      <c r="Y328"/>
    </row>
    <row r="329" spans="1:25">
      <c r="A329" s="90">
        <v>328</v>
      </c>
      <c r="B329" s="68"/>
      <c r="C329" s="40"/>
      <c r="D329" s="40" t="str">
        <f t="shared" si="20"/>
        <v/>
      </c>
      <c r="E329" s="49" t="s">
        <v>130</v>
      </c>
      <c r="F329" s="17" t="s">
        <v>58</v>
      </c>
      <c r="G329" s="17" t="s">
        <v>86</v>
      </c>
      <c r="H329" s="42" t="s">
        <v>565</v>
      </c>
      <c r="I329" s="17" t="str">
        <f t="shared" si="21"/>
        <v>PN-328</v>
      </c>
      <c r="J329" s="18" t="s">
        <v>85</v>
      </c>
      <c r="K329" s="19" t="e">
        <f>IF(J329="","SEM #CH",VLOOKUP(J329,#REF!,2,0))</f>
        <v>#REF!</v>
      </c>
      <c r="L329" s="19" t="e">
        <f>IF(J329="","SEM #CH",VLOOKUP(J329,#REF!,3,0))</f>
        <v>#REF!</v>
      </c>
      <c r="M329" s="19" t="e">
        <f>IF(J329="","SEM #CH",VLOOKUP(J329,#REF!,4,0))</f>
        <v>#REF!</v>
      </c>
      <c r="N329" s="19" t="e">
        <f>IF(J329="","SEM #CH",VLOOKUP(J329,#REF!,5,0))</f>
        <v>#REF!</v>
      </c>
      <c r="O329" s="19" t="e">
        <f>IF(J329="","SEM #CH",VLOOKUP(J329,#REF!,6,0))</f>
        <v>#REF!</v>
      </c>
      <c r="P329" s="19" t="e">
        <f>IF(J329="","SEM #CH",VLOOKUP(J329,#REF!,7,0))</f>
        <v>#REF!</v>
      </c>
      <c r="Q329" s="77" t="str">
        <f>VLOOKUP(J329,'p1'!$B$2:$C$30,2,0)</f>
        <v>NÃO TEM CHAPA</v>
      </c>
      <c r="R329" s="91"/>
      <c r="S329" s="91"/>
      <c r="T329" s="91" t="str">
        <f t="shared" si="22"/>
        <v/>
      </c>
      <c r="U329" s="91"/>
      <c r="V329" s="91"/>
      <c r="W329" s="93"/>
      <c r="X329" s="94" t="str">
        <f t="shared" si="23"/>
        <v/>
      </c>
      <c r="Y329"/>
    </row>
    <row r="330" spans="1:25">
      <c r="A330" s="90">
        <v>329</v>
      </c>
      <c r="B330" s="68"/>
      <c r="C330" s="40"/>
      <c r="D330" s="40" t="str">
        <f t="shared" si="20"/>
        <v/>
      </c>
      <c r="E330" s="49" t="s">
        <v>130</v>
      </c>
      <c r="F330" s="17" t="s">
        <v>58</v>
      </c>
      <c r="G330" s="17" t="s">
        <v>86</v>
      </c>
      <c r="H330" s="42" t="s">
        <v>566</v>
      </c>
      <c r="I330" s="17" t="str">
        <f t="shared" si="21"/>
        <v>PN-329</v>
      </c>
      <c r="J330" s="18" t="s">
        <v>85</v>
      </c>
      <c r="K330" s="19" t="e">
        <f>IF(J330="","SEM #CH",VLOOKUP(J330,#REF!,2,0))</f>
        <v>#REF!</v>
      </c>
      <c r="L330" s="19" t="e">
        <f>IF(J330="","SEM #CH",VLOOKUP(J330,#REF!,3,0))</f>
        <v>#REF!</v>
      </c>
      <c r="M330" s="19" t="e">
        <f>IF(J330="","SEM #CH",VLOOKUP(J330,#REF!,4,0))</f>
        <v>#REF!</v>
      </c>
      <c r="N330" s="19" t="e">
        <f>IF(J330="","SEM #CH",VLOOKUP(J330,#REF!,5,0))</f>
        <v>#REF!</v>
      </c>
      <c r="O330" s="19" t="e">
        <f>IF(J330="","SEM #CH",VLOOKUP(J330,#REF!,6,0))</f>
        <v>#REF!</v>
      </c>
      <c r="P330" s="19" t="e">
        <f>IF(J330="","SEM #CH",VLOOKUP(J330,#REF!,7,0))</f>
        <v>#REF!</v>
      </c>
      <c r="Q330" s="77" t="str">
        <f>VLOOKUP(J330,'p1'!$B$2:$C$30,2,0)</f>
        <v>NÃO TEM CHAPA</v>
      </c>
      <c r="R330" s="91"/>
      <c r="S330" s="91"/>
      <c r="T330" s="91" t="str">
        <f t="shared" si="22"/>
        <v/>
      </c>
      <c r="U330" s="91"/>
      <c r="V330" s="91"/>
      <c r="W330" s="93"/>
      <c r="X330" s="94" t="str">
        <f t="shared" si="23"/>
        <v/>
      </c>
      <c r="Y330"/>
    </row>
    <row r="331" spans="1:25">
      <c r="A331" s="90">
        <v>330</v>
      </c>
      <c r="B331" s="68"/>
      <c r="C331" s="40"/>
      <c r="D331" s="40" t="str">
        <f t="shared" si="20"/>
        <v/>
      </c>
      <c r="E331" s="49" t="s">
        <v>130</v>
      </c>
      <c r="F331" s="17" t="s">
        <v>58</v>
      </c>
      <c r="G331" s="17" t="s">
        <v>86</v>
      </c>
      <c r="H331" s="42" t="s">
        <v>567</v>
      </c>
      <c r="I331" s="17" t="str">
        <f t="shared" si="21"/>
        <v>PN-330</v>
      </c>
      <c r="J331" s="18" t="s">
        <v>85</v>
      </c>
      <c r="K331" s="19" t="e">
        <f>IF(J331="","SEM #CH",VLOOKUP(J331,#REF!,2,0))</f>
        <v>#REF!</v>
      </c>
      <c r="L331" s="19" t="e">
        <f>IF(J331="","SEM #CH",VLOOKUP(J331,#REF!,3,0))</f>
        <v>#REF!</v>
      </c>
      <c r="M331" s="19" t="e">
        <f>IF(J331="","SEM #CH",VLOOKUP(J331,#REF!,4,0))</f>
        <v>#REF!</v>
      </c>
      <c r="N331" s="19" t="e">
        <f>IF(J331="","SEM #CH",VLOOKUP(J331,#REF!,5,0))</f>
        <v>#REF!</v>
      </c>
      <c r="O331" s="19" t="e">
        <f>IF(J331="","SEM #CH",VLOOKUP(J331,#REF!,6,0))</f>
        <v>#REF!</v>
      </c>
      <c r="P331" s="19" t="e">
        <f>IF(J331="","SEM #CH",VLOOKUP(J331,#REF!,7,0))</f>
        <v>#REF!</v>
      </c>
      <c r="Q331" s="77" t="str">
        <f>VLOOKUP(J331,'p1'!$B$2:$C$30,2,0)</f>
        <v>NÃO TEM CHAPA</v>
      </c>
      <c r="R331" s="91"/>
      <c r="S331" s="91"/>
      <c r="T331" s="91" t="str">
        <f t="shared" si="22"/>
        <v/>
      </c>
      <c r="U331" s="91"/>
      <c r="V331" s="91"/>
      <c r="W331" s="93"/>
      <c r="X331" s="94" t="str">
        <f t="shared" si="23"/>
        <v/>
      </c>
      <c r="Y331"/>
    </row>
    <row r="332" spans="1:25">
      <c r="A332" s="90">
        <v>331</v>
      </c>
      <c r="B332" s="68"/>
      <c r="C332" s="40"/>
      <c r="D332" s="40" t="str">
        <f t="shared" si="20"/>
        <v/>
      </c>
      <c r="E332" s="49" t="s">
        <v>130</v>
      </c>
      <c r="F332" s="17" t="s">
        <v>58</v>
      </c>
      <c r="G332" s="17" t="s">
        <v>86</v>
      </c>
      <c r="H332" s="42" t="s">
        <v>568</v>
      </c>
      <c r="I332" s="17" t="str">
        <f t="shared" si="21"/>
        <v>PN-331</v>
      </c>
      <c r="J332" s="18" t="s">
        <v>85</v>
      </c>
      <c r="K332" s="19" t="e">
        <f>IF(J332="","SEM #CH",VLOOKUP(J332,#REF!,2,0))</f>
        <v>#REF!</v>
      </c>
      <c r="L332" s="19" t="e">
        <f>IF(J332="","SEM #CH",VLOOKUP(J332,#REF!,3,0))</f>
        <v>#REF!</v>
      </c>
      <c r="M332" s="19" t="e">
        <f>IF(J332="","SEM #CH",VLOOKUP(J332,#REF!,4,0))</f>
        <v>#REF!</v>
      </c>
      <c r="N332" s="19" t="e">
        <f>IF(J332="","SEM #CH",VLOOKUP(J332,#REF!,5,0))</f>
        <v>#REF!</v>
      </c>
      <c r="O332" s="19" t="e">
        <f>IF(J332="","SEM #CH",VLOOKUP(J332,#REF!,6,0))</f>
        <v>#REF!</v>
      </c>
      <c r="P332" s="19" t="e">
        <f>IF(J332="","SEM #CH",VLOOKUP(J332,#REF!,7,0))</f>
        <v>#REF!</v>
      </c>
      <c r="Q332" s="77" t="str">
        <f>VLOOKUP(J332,'p1'!$B$2:$C$30,2,0)</f>
        <v>NÃO TEM CHAPA</v>
      </c>
      <c r="R332" s="91"/>
      <c r="S332" s="91"/>
      <c r="T332" s="91" t="str">
        <f t="shared" si="22"/>
        <v/>
      </c>
      <c r="U332" s="91"/>
      <c r="V332" s="91"/>
      <c r="W332" s="93"/>
      <c r="X332" s="94" t="str">
        <f t="shared" si="23"/>
        <v/>
      </c>
      <c r="Y332"/>
    </row>
    <row r="333" spans="1:25">
      <c r="A333" s="90">
        <v>332</v>
      </c>
      <c r="B333" s="68"/>
      <c r="C333" s="40"/>
      <c r="D333" s="40" t="str">
        <f t="shared" si="20"/>
        <v/>
      </c>
      <c r="E333" s="49" t="s">
        <v>130</v>
      </c>
      <c r="F333" s="17" t="s">
        <v>58</v>
      </c>
      <c r="G333" s="17" t="s">
        <v>86</v>
      </c>
      <c r="H333" s="42" t="s">
        <v>569</v>
      </c>
      <c r="I333" s="17" t="str">
        <f t="shared" si="21"/>
        <v>PN-332</v>
      </c>
      <c r="J333" s="18" t="s">
        <v>85</v>
      </c>
      <c r="K333" s="19" t="e">
        <f>IF(J333="","SEM #CH",VLOOKUP(J333,#REF!,2,0))</f>
        <v>#REF!</v>
      </c>
      <c r="L333" s="19" t="e">
        <f>IF(J333="","SEM #CH",VLOOKUP(J333,#REF!,3,0))</f>
        <v>#REF!</v>
      </c>
      <c r="M333" s="19" t="e">
        <f>IF(J333="","SEM #CH",VLOOKUP(J333,#REF!,4,0))</f>
        <v>#REF!</v>
      </c>
      <c r="N333" s="19" t="e">
        <f>IF(J333="","SEM #CH",VLOOKUP(J333,#REF!,5,0))</f>
        <v>#REF!</v>
      </c>
      <c r="O333" s="19" t="e">
        <f>IF(J333="","SEM #CH",VLOOKUP(J333,#REF!,6,0))</f>
        <v>#REF!</v>
      </c>
      <c r="P333" s="19" t="e">
        <f>IF(J333="","SEM #CH",VLOOKUP(J333,#REF!,7,0))</f>
        <v>#REF!</v>
      </c>
      <c r="Q333" s="77" t="str">
        <f>VLOOKUP(J333,'p1'!$B$2:$C$30,2,0)</f>
        <v>NÃO TEM CHAPA</v>
      </c>
      <c r="R333" s="91"/>
      <c r="S333" s="91"/>
      <c r="T333" s="91" t="str">
        <f t="shared" si="22"/>
        <v/>
      </c>
      <c r="U333" s="91"/>
      <c r="V333" s="91"/>
      <c r="W333" s="93"/>
      <c r="X333" s="94" t="str">
        <f t="shared" si="23"/>
        <v/>
      </c>
      <c r="Y333"/>
    </row>
    <row r="334" spans="1:25">
      <c r="A334" s="90">
        <v>333</v>
      </c>
      <c r="B334" s="68"/>
      <c r="C334" s="40"/>
      <c r="D334" s="40" t="str">
        <f t="shared" si="20"/>
        <v/>
      </c>
      <c r="E334" s="49" t="s">
        <v>130</v>
      </c>
      <c r="F334" s="17" t="s">
        <v>58</v>
      </c>
      <c r="G334" s="17" t="s">
        <v>86</v>
      </c>
      <c r="H334" s="42" t="s">
        <v>570</v>
      </c>
      <c r="I334" s="17" t="str">
        <f t="shared" si="21"/>
        <v>PN-333</v>
      </c>
      <c r="J334" s="18" t="s">
        <v>85</v>
      </c>
      <c r="K334" s="19" t="e">
        <f>IF(J334="","SEM #CH",VLOOKUP(J334,#REF!,2,0))</f>
        <v>#REF!</v>
      </c>
      <c r="L334" s="19" t="e">
        <f>IF(J334="","SEM #CH",VLOOKUP(J334,#REF!,3,0))</f>
        <v>#REF!</v>
      </c>
      <c r="M334" s="19" t="e">
        <f>IF(J334="","SEM #CH",VLOOKUP(J334,#REF!,4,0))</f>
        <v>#REF!</v>
      </c>
      <c r="N334" s="19" t="e">
        <f>IF(J334="","SEM #CH",VLOOKUP(J334,#REF!,5,0))</f>
        <v>#REF!</v>
      </c>
      <c r="O334" s="19" t="e">
        <f>IF(J334="","SEM #CH",VLOOKUP(J334,#REF!,6,0))</f>
        <v>#REF!</v>
      </c>
      <c r="P334" s="19" t="e">
        <f>IF(J334="","SEM #CH",VLOOKUP(J334,#REF!,7,0))</f>
        <v>#REF!</v>
      </c>
      <c r="Q334" s="77" t="str">
        <f>VLOOKUP(J334,'p1'!$B$2:$C$30,2,0)</f>
        <v>NÃO TEM CHAPA</v>
      </c>
      <c r="R334" s="91"/>
      <c r="S334" s="91"/>
      <c r="T334" s="91" t="str">
        <f t="shared" si="22"/>
        <v/>
      </c>
      <c r="U334" s="91"/>
      <c r="V334" s="91"/>
      <c r="W334" s="93"/>
      <c r="X334" s="94" t="str">
        <f t="shared" si="23"/>
        <v/>
      </c>
      <c r="Y334"/>
    </row>
    <row r="335" spans="1:25">
      <c r="A335" s="90">
        <v>334</v>
      </c>
      <c r="B335" s="68">
        <v>45842</v>
      </c>
      <c r="C335" s="40">
        <v>44</v>
      </c>
      <c r="D335" s="40">
        <f t="shared" si="20"/>
        <v>1</v>
      </c>
      <c r="E335" s="49" t="s">
        <v>130</v>
      </c>
      <c r="F335" s="17" t="s">
        <v>60</v>
      </c>
      <c r="G335" s="17" t="s">
        <v>86</v>
      </c>
      <c r="H335" s="42" t="s">
        <v>571</v>
      </c>
      <c r="I335" s="17" t="str">
        <f t="shared" si="21"/>
        <v>PE-334</v>
      </c>
      <c r="J335" s="18" t="s">
        <v>90</v>
      </c>
      <c r="K335" s="19" t="e">
        <f>IF(J335="","SEM #CH",VLOOKUP(J335,#REF!,2,0))</f>
        <v>#REF!</v>
      </c>
      <c r="L335" s="19" t="e">
        <f>IF(J335="","SEM #CH",VLOOKUP(J335,#REF!,3,0))</f>
        <v>#REF!</v>
      </c>
      <c r="M335" s="19" t="e">
        <f>IF(J335="","SEM #CH",VLOOKUP(J335,#REF!,4,0))</f>
        <v>#REF!</v>
      </c>
      <c r="N335" s="19" t="e">
        <f>IF(J335="","SEM #CH",VLOOKUP(J335,#REF!,5,0))</f>
        <v>#REF!</v>
      </c>
      <c r="O335" s="19" t="e">
        <f>IF(J335="","SEM #CH",VLOOKUP(J335,#REF!,6,0))</f>
        <v>#REF!</v>
      </c>
      <c r="P335" s="19" t="e">
        <f>IF(J335="","SEM #CH",VLOOKUP(J335,#REF!,7,0))</f>
        <v>#REF!</v>
      </c>
      <c r="Q335" s="77" t="str">
        <f>VLOOKUP(J335,'p1'!$B$2:$C$30,2,0)</f>
        <v>#3/8-530X530</v>
      </c>
      <c r="R335" s="91"/>
      <c r="S335" s="91"/>
      <c r="T335" s="91" t="str">
        <f t="shared" si="22"/>
        <v/>
      </c>
      <c r="U335" s="91"/>
      <c r="V335" s="91"/>
      <c r="W335" s="93"/>
      <c r="X335" s="94" t="str">
        <f t="shared" si="23"/>
        <v/>
      </c>
      <c r="Y335"/>
    </row>
    <row r="336" spans="1:25">
      <c r="A336" s="90">
        <v>335</v>
      </c>
      <c r="B336" s="68"/>
      <c r="C336" s="40"/>
      <c r="D336" s="40" t="str">
        <f t="shared" si="20"/>
        <v/>
      </c>
      <c r="E336" s="49" t="s">
        <v>130</v>
      </c>
      <c r="F336" s="17" t="s">
        <v>58</v>
      </c>
      <c r="G336" s="17" t="s">
        <v>86</v>
      </c>
      <c r="H336" s="42" t="s">
        <v>572</v>
      </c>
      <c r="I336" s="17" t="str">
        <f t="shared" si="21"/>
        <v>PN-335</v>
      </c>
      <c r="J336" s="18" t="s">
        <v>85</v>
      </c>
      <c r="K336" s="19" t="e">
        <f>IF(J336="","SEM #CH",VLOOKUP(J336,#REF!,2,0))</f>
        <v>#REF!</v>
      </c>
      <c r="L336" s="19" t="e">
        <f>IF(J336="","SEM #CH",VLOOKUP(J336,#REF!,3,0))</f>
        <v>#REF!</v>
      </c>
      <c r="M336" s="19" t="e">
        <f>IF(J336="","SEM #CH",VLOOKUP(J336,#REF!,4,0))</f>
        <v>#REF!</v>
      </c>
      <c r="N336" s="19" t="e">
        <f>IF(J336="","SEM #CH",VLOOKUP(J336,#REF!,5,0))</f>
        <v>#REF!</v>
      </c>
      <c r="O336" s="19" t="e">
        <f>IF(J336="","SEM #CH",VLOOKUP(J336,#REF!,6,0))</f>
        <v>#REF!</v>
      </c>
      <c r="P336" s="19" t="e">
        <f>IF(J336="","SEM #CH",VLOOKUP(J336,#REF!,7,0))</f>
        <v>#REF!</v>
      </c>
      <c r="Q336" s="77" t="str">
        <f>VLOOKUP(J336,'p1'!$B$2:$C$30,2,0)</f>
        <v>NÃO TEM CHAPA</v>
      </c>
      <c r="R336" s="91"/>
      <c r="S336" s="91"/>
      <c r="T336" s="91" t="str">
        <f t="shared" si="22"/>
        <v/>
      </c>
      <c r="U336" s="91"/>
      <c r="V336" s="91"/>
      <c r="W336" s="93"/>
      <c r="X336" s="94" t="str">
        <f t="shared" si="23"/>
        <v/>
      </c>
      <c r="Y336"/>
    </row>
    <row r="337" spans="1:25">
      <c r="A337" s="90">
        <v>336</v>
      </c>
      <c r="B337" s="68"/>
      <c r="C337" s="40"/>
      <c r="D337" s="40" t="str">
        <f t="shared" si="20"/>
        <v/>
      </c>
      <c r="E337" s="49" t="s">
        <v>130</v>
      </c>
      <c r="F337" s="17" t="s">
        <v>58</v>
      </c>
      <c r="G337" s="17" t="s">
        <v>86</v>
      </c>
      <c r="H337" s="42" t="s">
        <v>573</v>
      </c>
      <c r="I337" s="17" t="str">
        <f t="shared" si="21"/>
        <v>PN-336</v>
      </c>
      <c r="J337" s="18" t="s">
        <v>85</v>
      </c>
      <c r="K337" s="19" t="e">
        <f>IF(J337="","SEM #CH",VLOOKUP(J337,#REF!,2,0))</f>
        <v>#REF!</v>
      </c>
      <c r="L337" s="19" t="e">
        <f>IF(J337="","SEM #CH",VLOOKUP(J337,#REF!,3,0))</f>
        <v>#REF!</v>
      </c>
      <c r="M337" s="19" t="e">
        <f>IF(J337="","SEM #CH",VLOOKUP(J337,#REF!,4,0))</f>
        <v>#REF!</v>
      </c>
      <c r="N337" s="19" t="e">
        <f>IF(J337="","SEM #CH",VLOOKUP(J337,#REF!,5,0))</f>
        <v>#REF!</v>
      </c>
      <c r="O337" s="19" t="e">
        <f>IF(J337="","SEM #CH",VLOOKUP(J337,#REF!,6,0))</f>
        <v>#REF!</v>
      </c>
      <c r="P337" s="19" t="e">
        <f>IF(J337="","SEM #CH",VLOOKUP(J337,#REF!,7,0))</f>
        <v>#REF!</v>
      </c>
      <c r="Q337" s="77" t="str">
        <f>VLOOKUP(J337,'p1'!$B$2:$C$30,2,0)</f>
        <v>NÃO TEM CHAPA</v>
      </c>
      <c r="R337" s="91"/>
      <c r="S337" s="91"/>
      <c r="T337" s="91" t="str">
        <f t="shared" si="22"/>
        <v/>
      </c>
      <c r="U337" s="91"/>
      <c r="V337" s="91"/>
      <c r="W337" s="93"/>
      <c r="X337" s="94" t="str">
        <f t="shared" si="23"/>
        <v/>
      </c>
      <c r="Y337"/>
    </row>
    <row r="338" spans="1:25">
      <c r="A338" s="90">
        <v>337</v>
      </c>
      <c r="B338" s="68"/>
      <c r="C338" s="40"/>
      <c r="D338" s="40" t="str">
        <f t="shared" si="20"/>
        <v/>
      </c>
      <c r="E338" s="49" t="s">
        <v>130</v>
      </c>
      <c r="F338" s="17" t="s">
        <v>58</v>
      </c>
      <c r="G338" s="17" t="s">
        <v>86</v>
      </c>
      <c r="H338" s="42" t="s">
        <v>574</v>
      </c>
      <c r="I338" s="17" t="str">
        <f t="shared" si="21"/>
        <v>PN-337</v>
      </c>
      <c r="J338" s="18" t="s">
        <v>85</v>
      </c>
      <c r="K338" s="19" t="e">
        <f>IF(J338="","SEM #CH",VLOOKUP(J338,#REF!,2,0))</f>
        <v>#REF!</v>
      </c>
      <c r="L338" s="19" t="e">
        <f>IF(J338="","SEM #CH",VLOOKUP(J338,#REF!,3,0))</f>
        <v>#REF!</v>
      </c>
      <c r="M338" s="19" t="e">
        <f>IF(J338="","SEM #CH",VLOOKUP(J338,#REF!,4,0))</f>
        <v>#REF!</v>
      </c>
      <c r="N338" s="19" t="e">
        <f>IF(J338="","SEM #CH",VLOOKUP(J338,#REF!,5,0))</f>
        <v>#REF!</v>
      </c>
      <c r="O338" s="19" t="e">
        <f>IF(J338="","SEM #CH",VLOOKUP(J338,#REF!,6,0))</f>
        <v>#REF!</v>
      </c>
      <c r="P338" s="19" t="e">
        <f>IF(J338="","SEM #CH",VLOOKUP(J338,#REF!,7,0))</f>
        <v>#REF!</v>
      </c>
      <c r="Q338" s="77" t="str">
        <f>VLOOKUP(J338,'p1'!$B$2:$C$30,2,0)</f>
        <v>NÃO TEM CHAPA</v>
      </c>
      <c r="R338" s="91"/>
      <c r="S338" s="91"/>
      <c r="T338" s="91" t="str">
        <f t="shared" si="22"/>
        <v/>
      </c>
      <c r="U338" s="91"/>
      <c r="V338" s="91"/>
      <c r="W338" s="93"/>
      <c r="X338" s="94" t="str">
        <f t="shared" si="23"/>
        <v/>
      </c>
      <c r="Y338"/>
    </row>
    <row r="339" spans="1:25">
      <c r="A339" s="90">
        <v>338</v>
      </c>
      <c r="B339" s="68"/>
      <c r="C339" s="40"/>
      <c r="D339" s="40" t="str">
        <f t="shared" si="20"/>
        <v/>
      </c>
      <c r="E339" s="49" t="s">
        <v>130</v>
      </c>
      <c r="F339" s="17" t="s">
        <v>58</v>
      </c>
      <c r="G339" s="17" t="s">
        <v>86</v>
      </c>
      <c r="H339" s="42" t="s">
        <v>575</v>
      </c>
      <c r="I339" s="17" t="str">
        <f t="shared" si="21"/>
        <v>PN-338</v>
      </c>
      <c r="J339" s="18" t="s">
        <v>85</v>
      </c>
      <c r="K339" s="19" t="e">
        <f>IF(J339="","SEM #CH",VLOOKUP(J339,#REF!,2,0))</f>
        <v>#REF!</v>
      </c>
      <c r="L339" s="19" t="e">
        <f>IF(J339="","SEM #CH",VLOOKUP(J339,#REF!,3,0))</f>
        <v>#REF!</v>
      </c>
      <c r="M339" s="19" t="e">
        <f>IF(J339="","SEM #CH",VLOOKUP(J339,#REF!,4,0))</f>
        <v>#REF!</v>
      </c>
      <c r="N339" s="19" t="e">
        <f>IF(J339="","SEM #CH",VLOOKUP(J339,#REF!,5,0))</f>
        <v>#REF!</v>
      </c>
      <c r="O339" s="19" t="e">
        <f>IF(J339="","SEM #CH",VLOOKUP(J339,#REF!,6,0))</f>
        <v>#REF!</v>
      </c>
      <c r="P339" s="19" t="e">
        <f>IF(J339="","SEM #CH",VLOOKUP(J339,#REF!,7,0))</f>
        <v>#REF!</v>
      </c>
      <c r="Q339" s="77" t="str">
        <f>VLOOKUP(J339,'p1'!$B$2:$C$30,2,0)</f>
        <v>NÃO TEM CHAPA</v>
      </c>
      <c r="R339" s="91"/>
      <c r="S339" s="91"/>
      <c r="T339" s="91" t="str">
        <f t="shared" si="22"/>
        <v/>
      </c>
      <c r="U339" s="91"/>
      <c r="V339" s="91"/>
      <c r="W339" s="93"/>
      <c r="X339" s="94" t="str">
        <f t="shared" si="23"/>
        <v/>
      </c>
      <c r="Y339"/>
    </row>
    <row r="340" spans="1:25">
      <c r="A340" s="90">
        <v>339</v>
      </c>
      <c r="B340" s="68"/>
      <c r="C340" s="40"/>
      <c r="D340" s="40" t="str">
        <f t="shared" si="20"/>
        <v/>
      </c>
      <c r="E340" s="49" t="s">
        <v>130</v>
      </c>
      <c r="F340" s="17" t="s">
        <v>58</v>
      </c>
      <c r="G340" s="17" t="s">
        <v>86</v>
      </c>
      <c r="H340" s="42" t="s">
        <v>576</v>
      </c>
      <c r="I340" s="17" t="str">
        <f t="shared" si="21"/>
        <v>PN-339</v>
      </c>
      <c r="J340" s="18" t="s">
        <v>85</v>
      </c>
      <c r="K340" s="19" t="e">
        <f>IF(J340="","SEM #CH",VLOOKUP(J340,#REF!,2,0))</f>
        <v>#REF!</v>
      </c>
      <c r="L340" s="19" t="e">
        <f>IF(J340="","SEM #CH",VLOOKUP(J340,#REF!,3,0))</f>
        <v>#REF!</v>
      </c>
      <c r="M340" s="19" t="e">
        <f>IF(J340="","SEM #CH",VLOOKUP(J340,#REF!,4,0))</f>
        <v>#REF!</v>
      </c>
      <c r="N340" s="19" t="e">
        <f>IF(J340="","SEM #CH",VLOOKUP(J340,#REF!,5,0))</f>
        <v>#REF!</v>
      </c>
      <c r="O340" s="19" t="e">
        <f>IF(J340="","SEM #CH",VLOOKUP(J340,#REF!,6,0))</f>
        <v>#REF!</v>
      </c>
      <c r="P340" s="19" t="e">
        <f>IF(J340="","SEM #CH",VLOOKUP(J340,#REF!,7,0))</f>
        <v>#REF!</v>
      </c>
      <c r="Q340" s="77" t="str">
        <f>VLOOKUP(J340,'p1'!$B$2:$C$30,2,0)</f>
        <v>NÃO TEM CHAPA</v>
      </c>
      <c r="R340" s="91"/>
      <c r="S340" s="91"/>
      <c r="T340" s="91" t="str">
        <f t="shared" si="22"/>
        <v/>
      </c>
      <c r="U340" s="91"/>
      <c r="V340" s="91"/>
      <c r="W340" s="93"/>
      <c r="X340" s="94" t="str">
        <f t="shared" si="23"/>
        <v/>
      </c>
      <c r="Y340"/>
    </row>
    <row r="341" spans="1:25">
      <c r="A341" s="90">
        <v>340</v>
      </c>
      <c r="B341" s="68"/>
      <c r="C341" s="40"/>
      <c r="D341" s="40" t="str">
        <f t="shared" si="20"/>
        <v/>
      </c>
      <c r="E341" s="49" t="s">
        <v>130</v>
      </c>
      <c r="F341" s="17" t="s">
        <v>58</v>
      </c>
      <c r="G341" s="17" t="s">
        <v>86</v>
      </c>
      <c r="H341" s="42" t="s">
        <v>577</v>
      </c>
      <c r="I341" s="17" t="str">
        <f t="shared" si="21"/>
        <v>PN-340</v>
      </c>
      <c r="J341" s="18" t="s">
        <v>85</v>
      </c>
      <c r="K341" s="19" t="e">
        <f>IF(J341="","SEM #CH",VLOOKUP(J341,#REF!,2,0))</f>
        <v>#REF!</v>
      </c>
      <c r="L341" s="19" t="e">
        <f>IF(J341="","SEM #CH",VLOOKUP(J341,#REF!,3,0))</f>
        <v>#REF!</v>
      </c>
      <c r="M341" s="19" t="e">
        <f>IF(J341="","SEM #CH",VLOOKUP(J341,#REF!,4,0))</f>
        <v>#REF!</v>
      </c>
      <c r="N341" s="19" t="e">
        <f>IF(J341="","SEM #CH",VLOOKUP(J341,#REF!,5,0))</f>
        <v>#REF!</v>
      </c>
      <c r="O341" s="19" t="e">
        <f>IF(J341="","SEM #CH",VLOOKUP(J341,#REF!,6,0))</f>
        <v>#REF!</v>
      </c>
      <c r="P341" s="19" t="e">
        <f>IF(J341="","SEM #CH",VLOOKUP(J341,#REF!,7,0))</f>
        <v>#REF!</v>
      </c>
      <c r="Q341" s="77" t="str">
        <f>VLOOKUP(J341,'p1'!$B$2:$C$30,2,0)</f>
        <v>NÃO TEM CHAPA</v>
      </c>
      <c r="R341" s="91"/>
      <c r="S341" s="91"/>
      <c r="T341" s="91" t="str">
        <f t="shared" si="22"/>
        <v/>
      </c>
      <c r="U341" s="91"/>
      <c r="V341" s="91"/>
      <c r="W341" s="93"/>
      <c r="X341" s="94" t="str">
        <f t="shared" si="23"/>
        <v/>
      </c>
      <c r="Y341"/>
    </row>
    <row r="342" spans="1:25">
      <c r="A342" s="90">
        <v>341</v>
      </c>
      <c r="B342" s="68"/>
      <c r="C342" s="40"/>
      <c r="D342" s="40" t="str">
        <f t="shared" si="20"/>
        <v/>
      </c>
      <c r="E342" s="49" t="s">
        <v>130</v>
      </c>
      <c r="F342" s="17" t="s">
        <v>58</v>
      </c>
      <c r="G342" s="17" t="s">
        <v>86</v>
      </c>
      <c r="H342" s="42" t="s">
        <v>578</v>
      </c>
      <c r="I342" s="17" t="str">
        <f t="shared" si="21"/>
        <v>PN-341</v>
      </c>
      <c r="J342" s="18" t="s">
        <v>85</v>
      </c>
      <c r="K342" s="19" t="e">
        <f>IF(J342="","SEM #CH",VLOOKUP(J342,#REF!,2,0))</f>
        <v>#REF!</v>
      </c>
      <c r="L342" s="19" t="e">
        <f>IF(J342="","SEM #CH",VLOOKUP(J342,#REF!,3,0))</f>
        <v>#REF!</v>
      </c>
      <c r="M342" s="19" t="e">
        <f>IF(J342="","SEM #CH",VLOOKUP(J342,#REF!,4,0))</f>
        <v>#REF!</v>
      </c>
      <c r="N342" s="19" t="e">
        <f>IF(J342="","SEM #CH",VLOOKUP(J342,#REF!,5,0))</f>
        <v>#REF!</v>
      </c>
      <c r="O342" s="19" t="e">
        <f>IF(J342="","SEM #CH",VLOOKUP(J342,#REF!,6,0))</f>
        <v>#REF!</v>
      </c>
      <c r="P342" s="19" t="e">
        <f>IF(J342="","SEM #CH",VLOOKUP(J342,#REF!,7,0))</f>
        <v>#REF!</v>
      </c>
      <c r="Q342" s="77" t="str">
        <f>VLOOKUP(J342,'p1'!$B$2:$C$30,2,0)</f>
        <v>NÃO TEM CHAPA</v>
      </c>
      <c r="R342" s="91"/>
      <c r="S342" s="91"/>
      <c r="T342" s="91" t="str">
        <f t="shared" si="22"/>
        <v/>
      </c>
      <c r="U342" s="91"/>
      <c r="V342" s="91"/>
      <c r="W342" s="93"/>
      <c r="X342" s="94" t="str">
        <f t="shared" si="23"/>
        <v/>
      </c>
      <c r="Y342"/>
    </row>
    <row r="343" spans="1:25">
      <c r="A343" s="90">
        <v>342</v>
      </c>
      <c r="B343" s="68"/>
      <c r="C343" s="40"/>
      <c r="D343" s="40" t="str">
        <f t="shared" si="20"/>
        <v/>
      </c>
      <c r="E343" s="49" t="s">
        <v>130</v>
      </c>
      <c r="F343" s="17" t="s">
        <v>61</v>
      </c>
      <c r="G343" s="17" t="s">
        <v>86</v>
      </c>
      <c r="H343" s="42" t="s">
        <v>579</v>
      </c>
      <c r="I343" s="17" t="str">
        <f t="shared" si="21"/>
        <v>PF-342</v>
      </c>
      <c r="J343" s="18" t="s">
        <v>61</v>
      </c>
      <c r="K343" s="19" t="e">
        <f>IF(J343="","SEM #CH",VLOOKUP(J343,#REF!,2,0))</f>
        <v>#REF!</v>
      </c>
      <c r="L343" s="19" t="e">
        <f>IF(J343="","SEM #CH",VLOOKUP(J343,#REF!,3,0))</f>
        <v>#REF!</v>
      </c>
      <c r="M343" s="19" t="e">
        <f>IF(J343="","SEM #CH",VLOOKUP(J343,#REF!,4,0))</f>
        <v>#REF!</v>
      </c>
      <c r="N343" s="19" t="e">
        <f>IF(J343="","SEM #CH",VLOOKUP(J343,#REF!,5,0))</f>
        <v>#REF!</v>
      </c>
      <c r="O343" s="19" t="e">
        <f>IF(J343="","SEM #CH",VLOOKUP(J343,#REF!,6,0))</f>
        <v>#REF!</v>
      </c>
      <c r="P343" s="19" t="e">
        <f>IF(J343="","SEM #CH",VLOOKUP(J343,#REF!,7,0))</f>
        <v>#REF!</v>
      </c>
      <c r="Q343" s="77" t="str">
        <f>VLOOKUP(J343,'p1'!$B$2:$C$30,2,0)</f>
        <v>SEM CHAPA</v>
      </c>
      <c r="R343" s="91"/>
      <c r="S343" s="91"/>
      <c r="T343" s="91" t="str">
        <f t="shared" si="22"/>
        <v/>
      </c>
      <c r="U343" s="91"/>
      <c r="V343" s="91"/>
      <c r="W343" s="93"/>
      <c r="X343" s="94" t="str">
        <f t="shared" si="23"/>
        <v/>
      </c>
      <c r="Y343"/>
    </row>
    <row r="344" spans="1:25">
      <c r="A344" s="90">
        <v>343</v>
      </c>
      <c r="B344" s="68"/>
      <c r="C344" s="40"/>
      <c r="D344" s="40" t="str">
        <f t="shared" si="20"/>
        <v/>
      </c>
      <c r="E344" s="49" t="s">
        <v>130</v>
      </c>
      <c r="F344" s="17" t="s">
        <v>58</v>
      </c>
      <c r="G344" s="17" t="s">
        <v>86</v>
      </c>
      <c r="H344" s="42" t="s">
        <v>580</v>
      </c>
      <c r="I344" s="17" t="str">
        <f t="shared" si="21"/>
        <v>PN-343</v>
      </c>
      <c r="J344" s="18" t="s">
        <v>85</v>
      </c>
      <c r="K344" s="19" t="e">
        <f>IF(J344="","SEM #CH",VLOOKUP(J344,#REF!,2,0))</f>
        <v>#REF!</v>
      </c>
      <c r="L344" s="19" t="e">
        <f>IF(J344="","SEM #CH",VLOOKUP(J344,#REF!,3,0))</f>
        <v>#REF!</v>
      </c>
      <c r="M344" s="19" t="e">
        <f>IF(J344="","SEM #CH",VLOOKUP(J344,#REF!,4,0))</f>
        <v>#REF!</v>
      </c>
      <c r="N344" s="19" t="e">
        <f>IF(J344="","SEM #CH",VLOOKUP(J344,#REF!,5,0))</f>
        <v>#REF!</v>
      </c>
      <c r="O344" s="19" t="e">
        <f>IF(J344="","SEM #CH",VLOOKUP(J344,#REF!,6,0))</f>
        <v>#REF!</v>
      </c>
      <c r="P344" s="19" t="e">
        <f>IF(J344="","SEM #CH",VLOOKUP(J344,#REF!,7,0))</f>
        <v>#REF!</v>
      </c>
      <c r="Q344" s="77" t="str">
        <f>VLOOKUP(J344,'p1'!$B$2:$C$30,2,0)</f>
        <v>NÃO TEM CHAPA</v>
      </c>
      <c r="R344" s="91"/>
      <c r="S344" s="91"/>
      <c r="T344" s="91" t="str">
        <f t="shared" si="22"/>
        <v/>
      </c>
      <c r="U344" s="91"/>
      <c r="V344" s="91"/>
      <c r="W344" s="93"/>
      <c r="X344" s="94" t="str">
        <f t="shared" si="23"/>
        <v/>
      </c>
      <c r="Y344"/>
    </row>
    <row r="345" spans="1:25">
      <c r="A345" s="90">
        <v>344</v>
      </c>
      <c r="B345" s="68"/>
      <c r="C345" s="40"/>
      <c r="D345" s="40" t="str">
        <f t="shared" si="20"/>
        <v/>
      </c>
      <c r="E345" s="49" t="s">
        <v>130</v>
      </c>
      <c r="F345" s="17" t="s">
        <v>58</v>
      </c>
      <c r="G345" s="17" t="s">
        <v>86</v>
      </c>
      <c r="H345" s="42" t="s">
        <v>581</v>
      </c>
      <c r="I345" s="17" t="str">
        <f t="shared" si="21"/>
        <v>PN-344</v>
      </c>
      <c r="J345" s="18" t="s">
        <v>85</v>
      </c>
      <c r="K345" s="19" t="e">
        <f>IF(J345="","SEM #CH",VLOOKUP(J345,#REF!,2,0))</f>
        <v>#REF!</v>
      </c>
      <c r="L345" s="19" t="e">
        <f>IF(J345="","SEM #CH",VLOOKUP(J345,#REF!,3,0))</f>
        <v>#REF!</v>
      </c>
      <c r="M345" s="19" t="e">
        <f>IF(J345="","SEM #CH",VLOOKUP(J345,#REF!,4,0))</f>
        <v>#REF!</v>
      </c>
      <c r="N345" s="19" t="e">
        <f>IF(J345="","SEM #CH",VLOOKUP(J345,#REF!,5,0))</f>
        <v>#REF!</v>
      </c>
      <c r="O345" s="19" t="e">
        <f>IF(J345="","SEM #CH",VLOOKUP(J345,#REF!,6,0))</f>
        <v>#REF!</v>
      </c>
      <c r="P345" s="19" t="e">
        <f>IF(J345="","SEM #CH",VLOOKUP(J345,#REF!,7,0))</f>
        <v>#REF!</v>
      </c>
      <c r="Q345" s="77" t="str">
        <f>VLOOKUP(J345,'p1'!$B$2:$C$30,2,0)</f>
        <v>NÃO TEM CHAPA</v>
      </c>
      <c r="R345" s="91"/>
      <c r="S345" s="91"/>
      <c r="T345" s="91" t="str">
        <f t="shared" si="22"/>
        <v/>
      </c>
      <c r="U345" s="91"/>
      <c r="V345" s="91"/>
      <c r="W345" s="93"/>
      <c r="X345" s="94" t="str">
        <f t="shared" si="23"/>
        <v/>
      </c>
      <c r="Y345"/>
    </row>
    <row r="346" spans="1:25">
      <c r="A346" s="90">
        <v>345</v>
      </c>
      <c r="B346" s="68"/>
      <c r="C346" s="40"/>
      <c r="D346" s="40" t="str">
        <f t="shared" si="20"/>
        <v/>
      </c>
      <c r="E346" s="49" t="s">
        <v>130</v>
      </c>
      <c r="F346" s="17" t="s">
        <v>58</v>
      </c>
      <c r="G346" s="17" t="s">
        <v>86</v>
      </c>
      <c r="H346" s="42" t="s">
        <v>582</v>
      </c>
      <c r="I346" s="17" t="str">
        <f t="shared" si="21"/>
        <v>PN-345</v>
      </c>
      <c r="J346" s="18" t="s">
        <v>85</v>
      </c>
      <c r="K346" s="19" t="e">
        <f>IF(J346="","SEM #CH",VLOOKUP(J346,#REF!,2,0))</f>
        <v>#REF!</v>
      </c>
      <c r="L346" s="19" t="e">
        <f>IF(J346="","SEM #CH",VLOOKUP(J346,#REF!,3,0))</f>
        <v>#REF!</v>
      </c>
      <c r="M346" s="19" t="e">
        <f>IF(J346="","SEM #CH",VLOOKUP(J346,#REF!,4,0))</f>
        <v>#REF!</v>
      </c>
      <c r="N346" s="19" t="e">
        <f>IF(J346="","SEM #CH",VLOOKUP(J346,#REF!,5,0))</f>
        <v>#REF!</v>
      </c>
      <c r="O346" s="19" t="e">
        <f>IF(J346="","SEM #CH",VLOOKUP(J346,#REF!,6,0))</f>
        <v>#REF!</v>
      </c>
      <c r="P346" s="19" t="e">
        <f>IF(J346="","SEM #CH",VLOOKUP(J346,#REF!,7,0))</f>
        <v>#REF!</v>
      </c>
      <c r="Q346" s="77" t="str">
        <f>VLOOKUP(J346,'p1'!$B$2:$C$30,2,0)</f>
        <v>NÃO TEM CHAPA</v>
      </c>
      <c r="R346" s="91"/>
      <c r="S346" s="91"/>
      <c r="T346" s="91" t="str">
        <f t="shared" si="22"/>
        <v/>
      </c>
      <c r="U346" s="91"/>
      <c r="V346" s="91"/>
      <c r="W346" s="93"/>
      <c r="X346" s="94" t="str">
        <f t="shared" si="23"/>
        <v/>
      </c>
      <c r="Y346"/>
    </row>
    <row r="347" spans="1:25">
      <c r="A347" s="90">
        <v>346</v>
      </c>
      <c r="B347" s="68"/>
      <c r="C347" s="40"/>
      <c r="D347" s="40" t="str">
        <f t="shared" si="20"/>
        <v/>
      </c>
      <c r="E347" s="49" t="s">
        <v>130</v>
      </c>
      <c r="F347" s="17" t="s">
        <v>58</v>
      </c>
      <c r="G347" s="17" t="s">
        <v>86</v>
      </c>
      <c r="H347" s="42" t="s">
        <v>583</v>
      </c>
      <c r="I347" s="17" t="str">
        <f t="shared" si="21"/>
        <v>PN-346</v>
      </c>
      <c r="J347" s="18" t="s">
        <v>85</v>
      </c>
      <c r="K347" s="19" t="e">
        <f>IF(J347="","SEM #CH",VLOOKUP(J347,#REF!,2,0))</f>
        <v>#REF!</v>
      </c>
      <c r="L347" s="19" t="e">
        <f>IF(J347="","SEM #CH",VLOOKUP(J347,#REF!,3,0))</f>
        <v>#REF!</v>
      </c>
      <c r="M347" s="19" t="e">
        <f>IF(J347="","SEM #CH",VLOOKUP(J347,#REF!,4,0))</f>
        <v>#REF!</v>
      </c>
      <c r="N347" s="19" t="e">
        <f>IF(J347="","SEM #CH",VLOOKUP(J347,#REF!,5,0))</f>
        <v>#REF!</v>
      </c>
      <c r="O347" s="19" t="e">
        <f>IF(J347="","SEM #CH",VLOOKUP(J347,#REF!,6,0))</f>
        <v>#REF!</v>
      </c>
      <c r="P347" s="19" t="e">
        <f>IF(J347="","SEM #CH",VLOOKUP(J347,#REF!,7,0))</f>
        <v>#REF!</v>
      </c>
      <c r="Q347" s="77" t="str">
        <f>VLOOKUP(J347,'p1'!$B$2:$C$30,2,0)</f>
        <v>NÃO TEM CHAPA</v>
      </c>
      <c r="R347" s="91"/>
      <c r="S347" s="91"/>
      <c r="T347" s="91" t="str">
        <f t="shared" si="22"/>
        <v/>
      </c>
      <c r="U347" s="91"/>
      <c r="V347" s="91"/>
      <c r="W347" s="93"/>
      <c r="X347" s="94" t="str">
        <f t="shared" si="23"/>
        <v/>
      </c>
      <c r="Y347"/>
    </row>
    <row r="348" spans="1:25">
      <c r="A348" s="90">
        <v>347</v>
      </c>
      <c r="B348" s="68"/>
      <c r="C348" s="40"/>
      <c r="D348" s="40" t="str">
        <f t="shared" si="20"/>
        <v/>
      </c>
      <c r="E348" s="49" t="s">
        <v>130</v>
      </c>
      <c r="F348" s="17" t="s">
        <v>58</v>
      </c>
      <c r="G348" s="17" t="s">
        <v>86</v>
      </c>
      <c r="H348" s="42" t="s">
        <v>584</v>
      </c>
      <c r="I348" s="17" t="str">
        <f t="shared" si="21"/>
        <v>PN-347</v>
      </c>
      <c r="J348" s="18" t="s">
        <v>85</v>
      </c>
      <c r="K348" s="19" t="e">
        <f>IF(J348="","SEM #CH",VLOOKUP(J348,#REF!,2,0))</f>
        <v>#REF!</v>
      </c>
      <c r="L348" s="19" t="e">
        <f>IF(J348="","SEM #CH",VLOOKUP(J348,#REF!,3,0))</f>
        <v>#REF!</v>
      </c>
      <c r="M348" s="19" t="e">
        <f>IF(J348="","SEM #CH",VLOOKUP(J348,#REF!,4,0))</f>
        <v>#REF!</v>
      </c>
      <c r="N348" s="19" t="e">
        <f>IF(J348="","SEM #CH",VLOOKUP(J348,#REF!,5,0))</f>
        <v>#REF!</v>
      </c>
      <c r="O348" s="19" t="e">
        <f>IF(J348="","SEM #CH",VLOOKUP(J348,#REF!,6,0))</f>
        <v>#REF!</v>
      </c>
      <c r="P348" s="19" t="e">
        <f>IF(J348="","SEM #CH",VLOOKUP(J348,#REF!,7,0))</f>
        <v>#REF!</v>
      </c>
      <c r="Q348" s="77" t="str">
        <f>VLOOKUP(J348,'p1'!$B$2:$C$30,2,0)</f>
        <v>NÃO TEM CHAPA</v>
      </c>
      <c r="R348" s="91"/>
      <c r="S348" s="91"/>
      <c r="T348" s="91" t="str">
        <f t="shared" si="22"/>
        <v/>
      </c>
      <c r="U348" s="91"/>
      <c r="V348" s="91"/>
      <c r="W348" s="93"/>
      <c r="X348" s="94" t="str">
        <f t="shared" si="23"/>
        <v/>
      </c>
      <c r="Y348"/>
    </row>
    <row r="349" spans="1:25">
      <c r="A349" s="90">
        <v>348</v>
      </c>
      <c r="B349" s="68"/>
      <c r="C349" s="40"/>
      <c r="D349" s="40" t="str">
        <f t="shared" si="20"/>
        <v/>
      </c>
      <c r="E349" s="49" t="s">
        <v>130</v>
      </c>
      <c r="F349" s="17" t="s">
        <v>60</v>
      </c>
      <c r="G349" s="17" t="s">
        <v>86</v>
      </c>
      <c r="H349" s="42" t="s">
        <v>585</v>
      </c>
      <c r="I349" s="17" t="str">
        <f t="shared" si="21"/>
        <v>PE-348</v>
      </c>
      <c r="J349" s="18" t="s">
        <v>88</v>
      </c>
      <c r="K349" s="19" t="e">
        <f>IF(J349="","SEM #CH",VLOOKUP(J349,#REF!,2,0))</f>
        <v>#REF!</v>
      </c>
      <c r="L349" s="19" t="e">
        <f>IF(J349="","SEM #CH",VLOOKUP(J349,#REF!,3,0))</f>
        <v>#REF!</v>
      </c>
      <c r="M349" s="19" t="e">
        <f>IF(J349="","SEM #CH",VLOOKUP(J349,#REF!,4,0))</f>
        <v>#REF!</v>
      </c>
      <c r="N349" s="19" t="e">
        <f>IF(J349="","SEM #CH",VLOOKUP(J349,#REF!,5,0))</f>
        <v>#REF!</v>
      </c>
      <c r="O349" s="19" t="e">
        <f>IF(J349="","SEM #CH",VLOOKUP(J349,#REF!,6,0))</f>
        <v>#REF!</v>
      </c>
      <c r="P349" s="19" t="e">
        <f>IF(J349="","SEM #CH",VLOOKUP(J349,#REF!,7,0))</f>
        <v>#REF!</v>
      </c>
      <c r="Q349" s="77" t="str">
        <f>VLOOKUP(J349,'p1'!$B$2:$C$30,2,0)</f>
        <v>#3/8-1315X1315</v>
      </c>
      <c r="R349" s="91"/>
      <c r="S349" s="91"/>
      <c r="T349" s="91" t="str">
        <f t="shared" si="22"/>
        <v/>
      </c>
      <c r="U349" s="91"/>
      <c r="V349" s="91"/>
      <c r="W349" s="93"/>
      <c r="X349" s="94" t="str">
        <f t="shared" si="23"/>
        <v/>
      </c>
      <c r="Y349"/>
    </row>
    <row r="350" spans="1:25">
      <c r="A350" s="90">
        <v>349</v>
      </c>
      <c r="B350" s="68"/>
      <c r="C350" s="40"/>
      <c r="D350" s="40" t="str">
        <f t="shared" si="20"/>
        <v/>
      </c>
      <c r="E350" s="49" t="s">
        <v>130</v>
      </c>
      <c r="F350" s="17" t="s">
        <v>60</v>
      </c>
      <c r="G350" s="17" t="s">
        <v>86</v>
      </c>
      <c r="H350" s="42" t="s">
        <v>586</v>
      </c>
      <c r="I350" s="17" t="str">
        <f t="shared" si="21"/>
        <v>PE-349</v>
      </c>
      <c r="J350" s="18" t="s">
        <v>87</v>
      </c>
      <c r="K350" s="19" t="e">
        <f>IF(J350="","SEM #CH",VLOOKUP(J350,#REF!,2,0))</f>
        <v>#REF!</v>
      </c>
      <c r="L350" s="19" t="e">
        <f>IF(J350="","SEM #CH",VLOOKUP(J350,#REF!,3,0))</f>
        <v>#REF!</v>
      </c>
      <c r="M350" s="19" t="e">
        <f>IF(J350="","SEM #CH",VLOOKUP(J350,#REF!,4,0))</f>
        <v>#REF!</v>
      </c>
      <c r="N350" s="19" t="e">
        <f>IF(J350="","SEM #CH",VLOOKUP(J350,#REF!,5,0))</f>
        <v>#REF!</v>
      </c>
      <c r="O350" s="19" t="e">
        <f>IF(J350="","SEM #CH",VLOOKUP(J350,#REF!,6,0))</f>
        <v>#REF!</v>
      </c>
      <c r="P350" s="19" t="e">
        <f>IF(J350="","SEM #CH",VLOOKUP(J350,#REF!,7,0))</f>
        <v>#REF!</v>
      </c>
      <c r="Q350" s="77" t="str">
        <f>VLOOKUP(J350,'p1'!$B$2:$C$30,2,0)</f>
        <v>#3/8-1620X1620</v>
      </c>
      <c r="R350" s="91"/>
      <c r="S350" s="91"/>
      <c r="T350" s="91" t="str">
        <f t="shared" si="22"/>
        <v/>
      </c>
      <c r="U350" s="91"/>
      <c r="V350" s="91"/>
      <c r="W350" s="93"/>
      <c r="X350" s="94" t="str">
        <f t="shared" si="23"/>
        <v/>
      </c>
      <c r="Y350"/>
    </row>
    <row r="351" spans="1:25">
      <c r="A351" s="90">
        <v>350</v>
      </c>
      <c r="B351" s="68"/>
      <c r="C351" s="40"/>
      <c r="D351" s="40" t="str">
        <f t="shared" si="20"/>
        <v/>
      </c>
      <c r="E351" s="49" t="s">
        <v>130</v>
      </c>
      <c r="F351" s="17" t="s">
        <v>60</v>
      </c>
      <c r="G351" s="17" t="s">
        <v>86</v>
      </c>
      <c r="H351" s="42" t="s">
        <v>587</v>
      </c>
      <c r="I351" s="17" t="str">
        <f t="shared" si="21"/>
        <v>PE-350</v>
      </c>
      <c r="J351" s="18" t="s">
        <v>89</v>
      </c>
      <c r="K351" s="19" t="e">
        <f>IF(J351="","SEM #CH",VLOOKUP(J351,#REF!,2,0))</f>
        <v>#REF!</v>
      </c>
      <c r="L351" s="19" t="e">
        <f>IF(J351="","SEM #CH",VLOOKUP(J351,#REF!,3,0))</f>
        <v>#REF!</v>
      </c>
      <c r="M351" s="19" t="e">
        <f>IF(J351="","SEM #CH",VLOOKUP(J351,#REF!,4,0))</f>
        <v>#REF!</v>
      </c>
      <c r="N351" s="19" t="e">
        <f>IF(J351="","SEM #CH",VLOOKUP(J351,#REF!,5,0))</f>
        <v>#REF!</v>
      </c>
      <c r="O351" s="19" t="e">
        <f>IF(J351="","SEM #CH",VLOOKUP(J351,#REF!,6,0))</f>
        <v>#REF!</v>
      </c>
      <c r="P351" s="19" t="e">
        <f>IF(J351="","SEM #CH",VLOOKUP(J351,#REF!,7,0))</f>
        <v>#REF!</v>
      </c>
      <c r="Q351" s="77" t="str">
        <f>VLOOKUP(J351,'p1'!$B$2:$C$30,2,0)</f>
        <v>#3/8-1200X1200</v>
      </c>
      <c r="R351" s="91"/>
      <c r="S351" s="91"/>
      <c r="T351" s="91" t="str">
        <f t="shared" si="22"/>
        <v/>
      </c>
      <c r="U351" s="91"/>
      <c r="V351" s="91"/>
      <c r="W351" s="93"/>
      <c r="X351" s="94" t="str">
        <f t="shared" si="23"/>
        <v/>
      </c>
      <c r="Y351"/>
    </row>
    <row r="352" spans="1:25">
      <c r="A352" s="90">
        <v>351</v>
      </c>
      <c r="B352" s="68">
        <v>45853</v>
      </c>
      <c r="C352" s="40">
        <v>48</v>
      </c>
      <c r="D352" s="40">
        <f t="shared" si="20"/>
        <v>1</v>
      </c>
      <c r="E352" s="49" t="s">
        <v>130</v>
      </c>
      <c r="F352" s="17" t="s">
        <v>60</v>
      </c>
      <c r="G352" s="17" t="s">
        <v>86</v>
      </c>
      <c r="H352" s="42" t="s">
        <v>588</v>
      </c>
      <c r="I352" s="17" t="str">
        <f t="shared" si="21"/>
        <v>PE-351</v>
      </c>
      <c r="J352" s="18" t="s">
        <v>90</v>
      </c>
      <c r="K352" s="19" t="e">
        <f>IF(J352="","SEM #CH",VLOOKUP(J352,#REF!,2,0))</f>
        <v>#REF!</v>
      </c>
      <c r="L352" s="19" t="e">
        <f>IF(J352="","SEM #CH",VLOOKUP(J352,#REF!,3,0))</f>
        <v>#REF!</v>
      </c>
      <c r="M352" s="19" t="e">
        <f>IF(J352="","SEM #CH",VLOOKUP(J352,#REF!,4,0))</f>
        <v>#REF!</v>
      </c>
      <c r="N352" s="19" t="e">
        <f>IF(J352="","SEM #CH",VLOOKUP(J352,#REF!,5,0))</f>
        <v>#REF!</v>
      </c>
      <c r="O352" s="19" t="e">
        <f>IF(J352="","SEM #CH",VLOOKUP(J352,#REF!,6,0))</f>
        <v>#REF!</v>
      </c>
      <c r="P352" s="19" t="e">
        <f>IF(J352="","SEM #CH",VLOOKUP(J352,#REF!,7,0))</f>
        <v>#REF!</v>
      </c>
      <c r="Q352" s="77" t="str">
        <f>VLOOKUP(J352,'p1'!$B$2:$C$30,2,0)</f>
        <v>#3/8-530X530</v>
      </c>
      <c r="R352" s="91"/>
      <c r="S352" s="91"/>
      <c r="T352" s="91" t="str">
        <f t="shared" si="22"/>
        <v/>
      </c>
      <c r="U352" s="91"/>
      <c r="V352" s="91"/>
      <c r="W352" s="93"/>
      <c r="X352" s="94" t="str">
        <f t="shared" si="23"/>
        <v/>
      </c>
      <c r="Y352"/>
    </row>
    <row r="353" spans="1:25">
      <c r="A353" s="90">
        <v>352</v>
      </c>
      <c r="B353" s="68"/>
      <c r="C353" s="40"/>
      <c r="D353" s="40" t="str">
        <f t="shared" si="20"/>
        <v/>
      </c>
      <c r="E353" s="49" t="s">
        <v>130</v>
      </c>
      <c r="F353" s="17" t="s">
        <v>58</v>
      </c>
      <c r="G353" s="17" t="s">
        <v>86</v>
      </c>
      <c r="H353" s="42" t="s">
        <v>589</v>
      </c>
      <c r="I353" s="17" t="str">
        <f t="shared" si="21"/>
        <v>PN-352</v>
      </c>
      <c r="J353" s="18" t="s">
        <v>85</v>
      </c>
      <c r="K353" s="19" t="e">
        <f>IF(J353="","SEM #CH",VLOOKUP(J353,#REF!,2,0))</f>
        <v>#REF!</v>
      </c>
      <c r="L353" s="19" t="e">
        <f>IF(J353="","SEM #CH",VLOOKUP(J353,#REF!,3,0))</f>
        <v>#REF!</v>
      </c>
      <c r="M353" s="19" t="e">
        <f>IF(J353="","SEM #CH",VLOOKUP(J353,#REF!,4,0))</f>
        <v>#REF!</v>
      </c>
      <c r="N353" s="19" t="e">
        <f>IF(J353="","SEM #CH",VLOOKUP(J353,#REF!,5,0))</f>
        <v>#REF!</v>
      </c>
      <c r="O353" s="19" t="e">
        <f>IF(J353="","SEM #CH",VLOOKUP(J353,#REF!,6,0))</f>
        <v>#REF!</v>
      </c>
      <c r="P353" s="19" t="e">
        <f>IF(J353="","SEM #CH",VLOOKUP(J353,#REF!,7,0))</f>
        <v>#REF!</v>
      </c>
      <c r="Q353" s="77" t="str">
        <f>VLOOKUP(J353,'p1'!$B$2:$C$30,2,0)</f>
        <v>NÃO TEM CHAPA</v>
      </c>
      <c r="R353" s="91"/>
      <c r="S353" s="91"/>
      <c r="T353" s="91" t="str">
        <f t="shared" si="22"/>
        <v/>
      </c>
      <c r="U353" s="91"/>
      <c r="V353" s="91"/>
      <c r="W353" s="93"/>
      <c r="X353" s="94" t="str">
        <f t="shared" si="23"/>
        <v/>
      </c>
      <c r="Y353"/>
    </row>
    <row r="354" spans="1:25">
      <c r="A354" s="90">
        <v>353</v>
      </c>
      <c r="B354" s="68"/>
      <c r="C354" s="40"/>
      <c r="D354" s="40" t="str">
        <f t="shared" si="20"/>
        <v/>
      </c>
      <c r="E354" s="49" t="s">
        <v>130</v>
      </c>
      <c r="F354" s="17" t="s">
        <v>58</v>
      </c>
      <c r="G354" s="17" t="s">
        <v>86</v>
      </c>
      <c r="H354" s="42" t="s">
        <v>590</v>
      </c>
      <c r="I354" s="17" t="str">
        <f t="shared" si="21"/>
        <v>PN-353</v>
      </c>
      <c r="J354" s="18" t="s">
        <v>85</v>
      </c>
      <c r="K354" s="19" t="e">
        <f>IF(J354="","SEM #CH",VLOOKUP(J354,#REF!,2,0))</f>
        <v>#REF!</v>
      </c>
      <c r="L354" s="19" t="e">
        <f>IF(J354="","SEM #CH",VLOOKUP(J354,#REF!,3,0))</f>
        <v>#REF!</v>
      </c>
      <c r="M354" s="19" t="e">
        <f>IF(J354="","SEM #CH",VLOOKUP(J354,#REF!,4,0))</f>
        <v>#REF!</v>
      </c>
      <c r="N354" s="19" t="e">
        <f>IF(J354="","SEM #CH",VLOOKUP(J354,#REF!,5,0))</f>
        <v>#REF!</v>
      </c>
      <c r="O354" s="19" t="e">
        <f>IF(J354="","SEM #CH",VLOOKUP(J354,#REF!,6,0))</f>
        <v>#REF!</v>
      </c>
      <c r="P354" s="19" t="e">
        <f>IF(J354="","SEM #CH",VLOOKUP(J354,#REF!,7,0))</f>
        <v>#REF!</v>
      </c>
      <c r="Q354" s="77" t="str">
        <f>VLOOKUP(J354,'p1'!$B$2:$C$30,2,0)</f>
        <v>NÃO TEM CHAPA</v>
      </c>
      <c r="R354" s="91"/>
      <c r="S354" s="91"/>
      <c r="T354" s="91" t="str">
        <f t="shared" si="22"/>
        <v/>
      </c>
      <c r="U354" s="91"/>
      <c r="V354" s="91"/>
      <c r="W354" s="93"/>
      <c r="X354" s="94" t="str">
        <f t="shared" si="23"/>
        <v/>
      </c>
      <c r="Y354"/>
    </row>
    <row r="355" spans="1:25">
      <c r="A355" s="90">
        <v>354</v>
      </c>
      <c r="B355" s="68"/>
      <c r="C355" s="40"/>
      <c r="D355" s="40" t="str">
        <f t="shared" si="20"/>
        <v/>
      </c>
      <c r="E355" s="49" t="s">
        <v>130</v>
      </c>
      <c r="F355" s="17" t="s">
        <v>58</v>
      </c>
      <c r="G355" s="17" t="s">
        <v>86</v>
      </c>
      <c r="H355" s="42" t="s">
        <v>591</v>
      </c>
      <c r="I355" s="17" t="str">
        <f t="shared" si="21"/>
        <v>PN-354</v>
      </c>
      <c r="J355" s="18" t="s">
        <v>85</v>
      </c>
      <c r="K355" s="19" t="e">
        <f>IF(J355="","SEM #CH",VLOOKUP(J355,#REF!,2,0))</f>
        <v>#REF!</v>
      </c>
      <c r="L355" s="19" t="e">
        <f>IF(J355="","SEM #CH",VLOOKUP(J355,#REF!,3,0))</f>
        <v>#REF!</v>
      </c>
      <c r="M355" s="19" t="e">
        <f>IF(J355="","SEM #CH",VLOOKUP(J355,#REF!,4,0))</f>
        <v>#REF!</v>
      </c>
      <c r="N355" s="19" t="e">
        <f>IF(J355="","SEM #CH",VLOOKUP(J355,#REF!,5,0))</f>
        <v>#REF!</v>
      </c>
      <c r="O355" s="19" t="e">
        <f>IF(J355="","SEM #CH",VLOOKUP(J355,#REF!,6,0))</f>
        <v>#REF!</v>
      </c>
      <c r="P355" s="19" t="e">
        <f>IF(J355="","SEM #CH",VLOOKUP(J355,#REF!,7,0))</f>
        <v>#REF!</v>
      </c>
      <c r="Q355" s="77" t="str">
        <f>VLOOKUP(J355,'p1'!$B$2:$C$30,2,0)</f>
        <v>NÃO TEM CHAPA</v>
      </c>
      <c r="R355" s="91"/>
      <c r="S355" s="91"/>
      <c r="T355" s="91" t="str">
        <f t="shared" si="22"/>
        <v/>
      </c>
      <c r="U355" s="91"/>
      <c r="V355" s="91"/>
      <c r="W355" s="93"/>
      <c r="X355" s="94" t="str">
        <f t="shared" si="23"/>
        <v/>
      </c>
      <c r="Y355"/>
    </row>
    <row r="356" spans="1:25">
      <c r="A356" s="90">
        <v>355</v>
      </c>
      <c r="B356" s="68"/>
      <c r="C356" s="40"/>
      <c r="D356" s="40" t="str">
        <f t="shared" si="20"/>
        <v/>
      </c>
      <c r="E356" s="49" t="s">
        <v>130</v>
      </c>
      <c r="F356" s="17" t="s">
        <v>58</v>
      </c>
      <c r="G356" s="17" t="s">
        <v>86</v>
      </c>
      <c r="H356" s="42" t="s">
        <v>592</v>
      </c>
      <c r="I356" s="17" t="str">
        <f t="shared" si="21"/>
        <v>PN-355</v>
      </c>
      <c r="J356" s="18" t="s">
        <v>85</v>
      </c>
      <c r="K356" s="19" t="e">
        <f>IF(J356="","SEM #CH",VLOOKUP(J356,#REF!,2,0))</f>
        <v>#REF!</v>
      </c>
      <c r="L356" s="19" t="e">
        <f>IF(J356="","SEM #CH",VLOOKUP(J356,#REF!,3,0))</f>
        <v>#REF!</v>
      </c>
      <c r="M356" s="19" t="e">
        <f>IF(J356="","SEM #CH",VLOOKUP(J356,#REF!,4,0))</f>
        <v>#REF!</v>
      </c>
      <c r="N356" s="19" t="e">
        <f>IF(J356="","SEM #CH",VLOOKUP(J356,#REF!,5,0))</f>
        <v>#REF!</v>
      </c>
      <c r="O356" s="19" t="e">
        <f>IF(J356="","SEM #CH",VLOOKUP(J356,#REF!,6,0))</f>
        <v>#REF!</v>
      </c>
      <c r="P356" s="19" t="e">
        <f>IF(J356="","SEM #CH",VLOOKUP(J356,#REF!,7,0))</f>
        <v>#REF!</v>
      </c>
      <c r="Q356" s="77" t="str">
        <f>VLOOKUP(J356,'p1'!$B$2:$C$30,2,0)</f>
        <v>NÃO TEM CHAPA</v>
      </c>
      <c r="R356" s="91"/>
      <c r="S356" s="91"/>
      <c r="T356" s="91" t="str">
        <f t="shared" si="22"/>
        <v/>
      </c>
      <c r="U356" s="91"/>
      <c r="V356" s="91"/>
      <c r="W356" s="93"/>
      <c r="X356" s="94" t="str">
        <f t="shared" si="23"/>
        <v/>
      </c>
      <c r="Y356"/>
    </row>
    <row r="357" spans="1:25">
      <c r="A357" s="90">
        <v>356</v>
      </c>
      <c r="B357" s="68"/>
      <c r="C357" s="40"/>
      <c r="D357" s="40" t="str">
        <f t="shared" si="20"/>
        <v/>
      </c>
      <c r="E357" s="49" t="s">
        <v>130</v>
      </c>
      <c r="F357" s="17" t="s">
        <v>58</v>
      </c>
      <c r="G357" s="17" t="s">
        <v>86</v>
      </c>
      <c r="H357" s="42" t="s">
        <v>593</v>
      </c>
      <c r="I357" s="17" t="str">
        <f t="shared" si="21"/>
        <v>PN-356</v>
      </c>
      <c r="J357" s="18" t="s">
        <v>85</v>
      </c>
      <c r="K357" s="19" t="e">
        <f>IF(J357="","SEM #CH",VLOOKUP(J357,#REF!,2,0))</f>
        <v>#REF!</v>
      </c>
      <c r="L357" s="19" t="e">
        <f>IF(J357="","SEM #CH",VLOOKUP(J357,#REF!,3,0))</f>
        <v>#REF!</v>
      </c>
      <c r="M357" s="19" t="e">
        <f>IF(J357="","SEM #CH",VLOOKUP(J357,#REF!,4,0))</f>
        <v>#REF!</v>
      </c>
      <c r="N357" s="19" t="e">
        <f>IF(J357="","SEM #CH",VLOOKUP(J357,#REF!,5,0))</f>
        <v>#REF!</v>
      </c>
      <c r="O357" s="19" t="e">
        <f>IF(J357="","SEM #CH",VLOOKUP(J357,#REF!,6,0))</f>
        <v>#REF!</v>
      </c>
      <c r="P357" s="19" t="e">
        <f>IF(J357="","SEM #CH",VLOOKUP(J357,#REF!,7,0))</f>
        <v>#REF!</v>
      </c>
      <c r="Q357" s="77" t="str">
        <f>VLOOKUP(J357,'p1'!$B$2:$C$30,2,0)</f>
        <v>NÃO TEM CHAPA</v>
      </c>
      <c r="R357" s="91"/>
      <c r="S357" s="91"/>
      <c r="T357" s="91" t="str">
        <f t="shared" si="22"/>
        <v/>
      </c>
      <c r="U357" s="91"/>
      <c r="V357" s="91"/>
      <c r="W357" s="93"/>
      <c r="X357" s="94" t="str">
        <f t="shared" si="23"/>
        <v/>
      </c>
      <c r="Y357"/>
    </row>
    <row r="358" spans="1:25">
      <c r="A358" s="90">
        <v>357</v>
      </c>
      <c r="B358" s="68"/>
      <c r="C358" s="40"/>
      <c r="D358" s="40" t="str">
        <f t="shared" si="20"/>
        <v/>
      </c>
      <c r="E358" s="49" t="s">
        <v>130</v>
      </c>
      <c r="F358" s="17" t="s">
        <v>58</v>
      </c>
      <c r="G358" s="17" t="s">
        <v>86</v>
      </c>
      <c r="H358" s="42" t="s">
        <v>594</v>
      </c>
      <c r="I358" s="17" t="str">
        <f t="shared" si="21"/>
        <v>PN-357</v>
      </c>
      <c r="J358" s="18" t="s">
        <v>85</v>
      </c>
      <c r="K358" s="19" t="e">
        <f>IF(J358="","SEM #CH",VLOOKUP(J358,#REF!,2,0))</f>
        <v>#REF!</v>
      </c>
      <c r="L358" s="19" t="e">
        <f>IF(J358="","SEM #CH",VLOOKUP(J358,#REF!,3,0))</f>
        <v>#REF!</v>
      </c>
      <c r="M358" s="19" t="e">
        <f>IF(J358="","SEM #CH",VLOOKUP(J358,#REF!,4,0))</f>
        <v>#REF!</v>
      </c>
      <c r="N358" s="19" t="e">
        <f>IF(J358="","SEM #CH",VLOOKUP(J358,#REF!,5,0))</f>
        <v>#REF!</v>
      </c>
      <c r="O358" s="19" t="e">
        <f>IF(J358="","SEM #CH",VLOOKUP(J358,#REF!,6,0))</f>
        <v>#REF!</v>
      </c>
      <c r="P358" s="19" t="e">
        <f>IF(J358="","SEM #CH",VLOOKUP(J358,#REF!,7,0))</f>
        <v>#REF!</v>
      </c>
      <c r="Q358" s="77" t="str">
        <f>VLOOKUP(J358,'p1'!$B$2:$C$30,2,0)</f>
        <v>NÃO TEM CHAPA</v>
      </c>
      <c r="R358" s="91"/>
      <c r="S358" s="91"/>
      <c r="T358" s="91" t="str">
        <f t="shared" si="22"/>
        <v/>
      </c>
      <c r="U358" s="91"/>
      <c r="V358" s="91"/>
      <c r="W358" s="93"/>
      <c r="X358" s="94" t="str">
        <f t="shared" si="23"/>
        <v/>
      </c>
      <c r="Y358"/>
    </row>
    <row r="359" spans="1:25">
      <c r="A359" s="90">
        <v>358</v>
      </c>
      <c r="B359" s="68"/>
      <c r="C359" s="40"/>
      <c r="D359" s="40" t="str">
        <f t="shared" si="20"/>
        <v/>
      </c>
      <c r="E359" s="49" t="s">
        <v>130</v>
      </c>
      <c r="F359" s="17" t="s">
        <v>58</v>
      </c>
      <c r="G359" s="17" t="s">
        <v>86</v>
      </c>
      <c r="H359" s="42" t="s">
        <v>595</v>
      </c>
      <c r="I359" s="17" t="str">
        <f t="shared" si="21"/>
        <v>PN-358</v>
      </c>
      <c r="J359" s="18" t="s">
        <v>85</v>
      </c>
      <c r="K359" s="19" t="e">
        <f>IF(J359="","SEM #CH",VLOOKUP(J359,#REF!,2,0))</f>
        <v>#REF!</v>
      </c>
      <c r="L359" s="19" t="e">
        <f>IF(J359="","SEM #CH",VLOOKUP(J359,#REF!,3,0))</f>
        <v>#REF!</v>
      </c>
      <c r="M359" s="19" t="e">
        <f>IF(J359="","SEM #CH",VLOOKUP(J359,#REF!,4,0))</f>
        <v>#REF!</v>
      </c>
      <c r="N359" s="19" t="e">
        <f>IF(J359="","SEM #CH",VLOOKUP(J359,#REF!,5,0))</f>
        <v>#REF!</v>
      </c>
      <c r="O359" s="19" t="e">
        <f>IF(J359="","SEM #CH",VLOOKUP(J359,#REF!,6,0))</f>
        <v>#REF!</v>
      </c>
      <c r="P359" s="19" t="e">
        <f>IF(J359="","SEM #CH",VLOOKUP(J359,#REF!,7,0))</f>
        <v>#REF!</v>
      </c>
      <c r="Q359" s="77" t="str">
        <f>VLOOKUP(J359,'p1'!$B$2:$C$30,2,0)</f>
        <v>NÃO TEM CHAPA</v>
      </c>
      <c r="R359" s="91"/>
      <c r="S359" s="91"/>
      <c r="T359" s="91" t="str">
        <f t="shared" si="22"/>
        <v/>
      </c>
      <c r="U359" s="91"/>
      <c r="V359" s="91"/>
      <c r="W359" s="93"/>
      <c r="X359" s="94" t="str">
        <f t="shared" si="23"/>
        <v/>
      </c>
      <c r="Y359"/>
    </row>
    <row r="360" spans="1:25">
      <c r="A360" s="90">
        <v>359</v>
      </c>
      <c r="B360" s="68"/>
      <c r="C360" s="40"/>
      <c r="D360" s="40" t="str">
        <f t="shared" si="20"/>
        <v/>
      </c>
      <c r="E360" s="49" t="s">
        <v>130</v>
      </c>
      <c r="F360" s="17" t="s">
        <v>58</v>
      </c>
      <c r="G360" s="17" t="s">
        <v>86</v>
      </c>
      <c r="H360" s="42" t="s">
        <v>596</v>
      </c>
      <c r="I360" s="17" t="str">
        <f t="shared" si="21"/>
        <v>PN-359</v>
      </c>
      <c r="J360" s="18" t="s">
        <v>85</v>
      </c>
      <c r="K360" s="19" t="e">
        <f>IF(J360="","SEM #CH",VLOOKUP(J360,#REF!,2,0))</f>
        <v>#REF!</v>
      </c>
      <c r="L360" s="19" t="e">
        <f>IF(J360="","SEM #CH",VLOOKUP(J360,#REF!,3,0))</f>
        <v>#REF!</v>
      </c>
      <c r="M360" s="19" t="e">
        <f>IF(J360="","SEM #CH",VLOOKUP(J360,#REF!,4,0))</f>
        <v>#REF!</v>
      </c>
      <c r="N360" s="19" t="e">
        <f>IF(J360="","SEM #CH",VLOOKUP(J360,#REF!,5,0))</f>
        <v>#REF!</v>
      </c>
      <c r="O360" s="19" t="e">
        <f>IF(J360="","SEM #CH",VLOOKUP(J360,#REF!,6,0))</f>
        <v>#REF!</v>
      </c>
      <c r="P360" s="19" t="e">
        <f>IF(J360="","SEM #CH",VLOOKUP(J360,#REF!,7,0))</f>
        <v>#REF!</v>
      </c>
      <c r="Q360" s="77" t="str">
        <f>VLOOKUP(J360,'p1'!$B$2:$C$30,2,0)</f>
        <v>NÃO TEM CHAPA</v>
      </c>
      <c r="R360" s="91"/>
      <c r="S360" s="91"/>
      <c r="T360" s="91" t="str">
        <f t="shared" si="22"/>
        <v/>
      </c>
      <c r="U360" s="91"/>
      <c r="V360" s="91"/>
      <c r="W360" s="93"/>
      <c r="X360" s="94" t="str">
        <f t="shared" si="23"/>
        <v/>
      </c>
      <c r="Y360"/>
    </row>
    <row r="361" spans="1:25">
      <c r="A361" s="90">
        <v>360</v>
      </c>
      <c r="B361" s="68"/>
      <c r="C361" s="40"/>
      <c r="D361" s="40" t="str">
        <f t="shared" si="20"/>
        <v/>
      </c>
      <c r="E361" s="49" t="s">
        <v>130</v>
      </c>
      <c r="F361" s="17" t="s">
        <v>58</v>
      </c>
      <c r="G361" s="17" t="s">
        <v>86</v>
      </c>
      <c r="H361" s="42" t="s">
        <v>597</v>
      </c>
      <c r="I361" s="17" t="str">
        <f t="shared" si="21"/>
        <v>PN-360</v>
      </c>
      <c r="J361" s="18" t="s">
        <v>85</v>
      </c>
      <c r="K361" s="19" t="e">
        <f>IF(J361="","SEM #CH",VLOOKUP(J361,#REF!,2,0))</f>
        <v>#REF!</v>
      </c>
      <c r="L361" s="19" t="e">
        <f>IF(J361="","SEM #CH",VLOOKUP(J361,#REF!,3,0))</f>
        <v>#REF!</v>
      </c>
      <c r="M361" s="19" t="e">
        <f>IF(J361="","SEM #CH",VLOOKUP(J361,#REF!,4,0))</f>
        <v>#REF!</v>
      </c>
      <c r="N361" s="19" t="e">
        <f>IF(J361="","SEM #CH",VLOOKUP(J361,#REF!,5,0))</f>
        <v>#REF!</v>
      </c>
      <c r="O361" s="19" t="e">
        <f>IF(J361="","SEM #CH",VLOOKUP(J361,#REF!,6,0))</f>
        <v>#REF!</v>
      </c>
      <c r="P361" s="19" t="e">
        <f>IF(J361="","SEM #CH",VLOOKUP(J361,#REF!,7,0))</f>
        <v>#REF!</v>
      </c>
      <c r="Q361" s="77" t="str">
        <f>VLOOKUP(J361,'p1'!$B$2:$C$30,2,0)</f>
        <v>NÃO TEM CHAPA</v>
      </c>
      <c r="R361" s="91"/>
      <c r="S361" s="91"/>
      <c r="T361" s="91" t="str">
        <f t="shared" si="22"/>
        <v/>
      </c>
      <c r="U361" s="91"/>
      <c r="V361" s="91"/>
      <c r="W361" s="93"/>
      <c r="X361" s="94" t="str">
        <f t="shared" si="23"/>
        <v/>
      </c>
      <c r="Y361"/>
    </row>
    <row r="362" spans="1:25">
      <c r="A362" s="90">
        <v>361</v>
      </c>
      <c r="B362" s="68"/>
      <c r="C362" s="40"/>
      <c r="D362" s="40" t="str">
        <f t="shared" si="20"/>
        <v/>
      </c>
      <c r="E362" s="49" t="s">
        <v>130</v>
      </c>
      <c r="F362" s="17" t="s">
        <v>58</v>
      </c>
      <c r="G362" s="17" t="s">
        <v>86</v>
      </c>
      <c r="H362" s="42" t="s">
        <v>598</v>
      </c>
      <c r="I362" s="17" t="str">
        <f t="shared" si="21"/>
        <v>PN-361</v>
      </c>
      <c r="J362" s="18" t="s">
        <v>85</v>
      </c>
      <c r="K362" s="19" t="e">
        <f>IF(J362="","SEM #CH",VLOOKUP(J362,#REF!,2,0))</f>
        <v>#REF!</v>
      </c>
      <c r="L362" s="19" t="e">
        <f>IF(J362="","SEM #CH",VLOOKUP(J362,#REF!,3,0))</f>
        <v>#REF!</v>
      </c>
      <c r="M362" s="19" t="e">
        <f>IF(J362="","SEM #CH",VLOOKUP(J362,#REF!,4,0))</f>
        <v>#REF!</v>
      </c>
      <c r="N362" s="19" t="e">
        <f>IF(J362="","SEM #CH",VLOOKUP(J362,#REF!,5,0))</f>
        <v>#REF!</v>
      </c>
      <c r="O362" s="19" t="e">
        <f>IF(J362="","SEM #CH",VLOOKUP(J362,#REF!,6,0))</f>
        <v>#REF!</v>
      </c>
      <c r="P362" s="19" t="e">
        <f>IF(J362="","SEM #CH",VLOOKUP(J362,#REF!,7,0))</f>
        <v>#REF!</v>
      </c>
      <c r="Q362" s="77" t="str">
        <f>VLOOKUP(J362,'p1'!$B$2:$C$30,2,0)</f>
        <v>NÃO TEM CHAPA</v>
      </c>
      <c r="R362" s="91"/>
      <c r="S362" s="91"/>
      <c r="T362" s="91" t="str">
        <f t="shared" si="22"/>
        <v/>
      </c>
      <c r="U362" s="91"/>
      <c r="V362" s="91"/>
      <c r="W362" s="93"/>
      <c r="X362" s="94" t="str">
        <f t="shared" si="23"/>
        <v/>
      </c>
      <c r="Y362"/>
    </row>
    <row r="363" spans="1:25">
      <c r="A363" s="90">
        <v>362</v>
      </c>
      <c r="B363" s="68"/>
      <c r="C363" s="40"/>
      <c r="D363" s="40" t="str">
        <f t="shared" si="20"/>
        <v/>
      </c>
      <c r="E363" s="49" t="s">
        <v>130</v>
      </c>
      <c r="F363" s="17" t="s">
        <v>58</v>
      </c>
      <c r="G363" s="17" t="s">
        <v>86</v>
      </c>
      <c r="H363" s="42" t="s">
        <v>599</v>
      </c>
      <c r="I363" s="17" t="str">
        <f t="shared" si="21"/>
        <v>PN-362</v>
      </c>
      <c r="J363" s="18" t="s">
        <v>85</v>
      </c>
      <c r="K363" s="19" t="e">
        <f>IF(J363="","SEM #CH",VLOOKUP(J363,#REF!,2,0))</f>
        <v>#REF!</v>
      </c>
      <c r="L363" s="19" t="e">
        <f>IF(J363="","SEM #CH",VLOOKUP(J363,#REF!,3,0))</f>
        <v>#REF!</v>
      </c>
      <c r="M363" s="19" t="e">
        <f>IF(J363="","SEM #CH",VLOOKUP(J363,#REF!,4,0))</f>
        <v>#REF!</v>
      </c>
      <c r="N363" s="19" t="e">
        <f>IF(J363="","SEM #CH",VLOOKUP(J363,#REF!,5,0))</f>
        <v>#REF!</v>
      </c>
      <c r="O363" s="19" t="e">
        <f>IF(J363="","SEM #CH",VLOOKUP(J363,#REF!,6,0))</f>
        <v>#REF!</v>
      </c>
      <c r="P363" s="19" t="e">
        <f>IF(J363="","SEM #CH",VLOOKUP(J363,#REF!,7,0))</f>
        <v>#REF!</v>
      </c>
      <c r="Q363" s="77" t="str">
        <f>VLOOKUP(J363,'p1'!$B$2:$C$30,2,0)</f>
        <v>NÃO TEM CHAPA</v>
      </c>
      <c r="R363" s="91"/>
      <c r="S363" s="91"/>
      <c r="T363" s="91" t="str">
        <f t="shared" si="22"/>
        <v/>
      </c>
      <c r="U363" s="91"/>
      <c r="V363" s="91"/>
      <c r="W363" s="93"/>
      <c r="X363" s="94" t="str">
        <f t="shared" si="23"/>
        <v/>
      </c>
      <c r="Y363"/>
    </row>
    <row r="364" spans="1:25">
      <c r="A364" s="90">
        <v>363</v>
      </c>
      <c r="B364" s="68"/>
      <c r="C364" s="40"/>
      <c r="D364" s="40" t="str">
        <f t="shared" si="20"/>
        <v/>
      </c>
      <c r="E364" s="49" t="s">
        <v>130</v>
      </c>
      <c r="F364" s="17" t="s">
        <v>58</v>
      </c>
      <c r="G364" s="17" t="s">
        <v>86</v>
      </c>
      <c r="H364" s="42" t="s">
        <v>600</v>
      </c>
      <c r="I364" s="17" t="str">
        <f t="shared" si="21"/>
        <v>PN-363</v>
      </c>
      <c r="J364" s="18" t="s">
        <v>85</v>
      </c>
      <c r="K364" s="19" t="e">
        <f>IF(J364="","SEM #CH",VLOOKUP(J364,#REF!,2,0))</f>
        <v>#REF!</v>
      </c>
      <c r="L364" s="19" t="e">
        <f>IF(J364="","SEM #CH",VLOOKUP(J364,#REF!,3,0))</f>
        <v>#REF!</v>
      </c>
      <c r="M364" s="19" t="e">
        <f>IF(J364="","SEM #CH",VLOOKUP(J364,#REF!,4,0))</f>
        <v>#REF!</v>
      </c>
      <c r="N364" s="19" t="e">
        <f>IF(J364="","SEM #CH",VLOOKUP(J364,#REF!,5,0))</f>
        <v>#REF!</v>
      </c>
      <c r="O364" s="19" t="e">
        <f>IF(J364="","SEM #CH",VLOOKUP(J364,#REF!,6,0))</f>
        <v>#REF!</v>
      </c>
      <c r="P364" s="19" t="e">
        <f>IF(J364="","SEM #CH",VLOOKUP(J364,#REF!,7,0))</f>
        <v>#REF!</v>
      </c>
      <c r="Q364" s="77" t="str">
        <f>VLOOKUP(J364,'p1'!$B$2:$C$30,2,0)</f>
        <v>NÃO TEM CHAPA</v>
      </c>
      <c r="R364" s="91"/>
      <c r="S364" s="91"/>
      <c r="T364" s="91" t="str">
        <f t="shared" si="22"/>
        <v/>
      </c>
      <c r="U364" s="91"/>
      <c r="V364" s="91"/>
      <c r="W364" s="93"/>
      <c r="X364" s="94" t="str">
        <f t="shared" si="23"/>
        <v/>
      </c>
      <c r="Y364"/>
    </row>
    <row r="365" spans="1:25">
      <c r="A365" s="90">
        <v>364</v>
      </c>
      <c r="B365" s="68"/>
      <c r="C365" s="40"/>
      <c r="D365" s="40" t="str">
        <f t="shared" si="20"/>
        <v/>
      </c>
      <c r="E365" s="49" t="s">
        <v>130</v>
      </c>
      <c r="F365" s="17" t="s">
        <v>58</v>
      </c>
      <c r="G365" s="17" t="s">
        <v>86</v>
      </c>
      <c r="H365" s="42" t="s">
        <v>601</v>
      </c>
      <c r="I365" s="17" t="str">
        <f t="shared" si="21"/>
        <v>PN-364</v>
      </c>
      <c r="J365" s="18" t="s">
        <v>85</v>
      </c>
      <c r="K365" s="19" t="e">
        <f>IF(J365="","SEM #CH",VLOOKUP(J365,#REF!,2,0))</f>
        <v>#REF!</v>
      </c>
      <c r="L365" s="19" t="e">
        <f>IF(J365="","SEM #CH",VLOOKUP(J365,#REF!,3,0))</f>
        <v>#REF!</v>
      </c>
      <c r="M365" s="19" t="e">
        <f>IF(J365="","SEM #CH",VLOOKUP(J365,#REF!,4,0))</f>
        <v>#REF!</v>
      </c>
      <c r="N365" s="19" t="e">
        <f>IF(J365="","SEM #CH",VLOOKUP(J365,#REF!,5,0))</f>
        <v>#REF!</v>
      </c>
      <c r="O365" s="19" t="e">
        <f>IF(J365="","SEM #CH",VLOOKUP(J365,#REF!,6,0))</f>
        <v>#REF!</v>
      </c>
      <c r="P365" s="19" t="e">
        <f>IF(J365="","SEM #CH",VLOOKUP(J365,#REF!,7,0))</f>
        <v>#REF!</v>
      </c>
      <c r="Q365" s="77" t="str">
        <f>VLOOKUP(J365,'p1'!$B$2:$C$30,2,0)</f>
        <v>NÃO TEM CHAPA</v>
      </c>
      <c r="R365" s="91"/>
      <c r="S365" s="91"/>
      <c r="T365" s="91" t="str">
        <f t="shared" si="22"/>
        <v/>
      </c>
      <c r="U365" s="91"/>
      <c r="V365" s="91"/>
      <c r="W365" s="93"/>
      <c r="X365" s="94" t="str">
        <f t="shared" si="23"/>
        <v/>
      </c>
      <c r="Y365"/>
    </row>
    <row r="366" spans="1:25">
      <c r="A366" s="90">
        <v>365</v>
      </c>
      <c r="B366" s="68">
        <v>45848</v>
      </c>
      <c r="C366" s="40">
        <v>46</v>
      </c>
      <c r="D366" s="40">
        <f t="shared" si="20"/>
        <v>1</v>
      </c>
      <c r="E366" s="49" t="s">
        <v>130</v>
      </c>
      <c r="F366" s="17" t="s">
        <v>60</v>
      </c>
      <c r="G366" s="17" t="s">
        <v>86</v>
      </c>
      <c r="H366" s="42" t="s">
        <v>602</v>
      </c>
      <c r="I366" s="17" t="str">
        <f t="shared" si="21"/>
        <v>PE-365</v>
      </c>
      <c r="J366" s="18" t="s">
        <v>90</v>
      </c>
      <c r="K366" s="19" t="e">
        <f>IF(J366="","SEM #CH",VLOOKUP(J366,#REF!,2,0))</f>
        <v>#REF!</v>
      </c>
      <c r="L366" s="19" t="e">
        <f>IF(J366="","SEM #CH",VLOOKUP(J366,#REF!,3,0))</f>
        <v>#REF!</v>
      </c>
      <c r="M366" s="19" t="e">
        <f>IF(J366="","SEM #CH",VLOOKUP(J366,#REF!,4,0))</f>
        <v>#REF!</v>
      </c>
      <c r="N366" s="19" t="e">
        <f>IF(J366="","SEM #CH",VLOOKUP(J366,#REF!,5,0))</f>
        <v>#REF!</v>
      </c>
      <c r="O366" s="19" t="e">
        <f>IF(J366="","SEM #CH",VLOOKUP(J366,#REF!,6,0))</f>
        <v>#REF!</v>
      </c>
      <c r="P366" s="19" t="e">
        <f>IF(J366="","SEM #CH",VLOOKUP(J366,#REF!,7,0))</f>
        <v>#REF!</v>
      </c>
      <c r="Q366" s="77" t="str">
        <f>VLOOKUP(J366,'p1'!$B$2:$C$30,2,0)</f>
        <v>#3/8-530X530</v>
      </c>
      <c r="R366" s="91"/>
      <c r="S366" s="91"/>
      <c r="T366" s="91" t="str">
        <f t="shared" si="22"/>
        <v/>
      </c>
      <c r="U366" s="91"/>
      <c r="V366" s="91"/>
      <c r="W366" s="93"/>
      <c r="X366" s="94" t="str">
        <f t="shared" si="23"/>
        <v/>
      </c>
      <c r="Y366"/>
    </row>
    <row r="367" spans="1:25">
      <c r="A367" s="90">
        <v>366</v>
      </c>
      <c r="B367" s="68"/>
      <c r="C367" s="40"/>
      <c r="D367" s="40" t="str">
        <f t="shared" si="20"/>
        <v/>
      </c>
      <c r="E367" s="49" t="s">
        <v>130</v>
      </c>
      <c r="F367" s="17" t="s">
        <v>58</v>
      </c>
      <c r="G367" s="17" t="s">
        <v>86</v>
      </c>
      <c r="H367" s="42" t="s">
        <v>603</v>
      </c>
      <c r="I367" s="17" t="str">
        <f t="shared" si="21"/>
        <v>PN-366</v>
      </c>
      <c r="J367" s="18" t="s">
        <v>85</v>
      </c>
      <c r="K367" s="19" t="e">
        <f>IF(J367="","SEM #CH",VLOOKUP(J367,#REF!,2,0))</f>
        <v>#REF!</v>
      </c>
      <c r="L367" s="19" t="e">
        <f>IF(J367="","SEM #CH",VLOOKUP(J367,#REF!,3,0))</f>
        <v>#REF!</v>
      </c>
      <c r="M367" s="19" t="e">
        <f>IF(J367="","SEM #CH",VLOOKUP(J367,#REF!,4,0))</f>
        <v>#REF!</v>
      </c>
      <c r="N367" s="19" t="e">
        <f>IF(J367="","SEM #CH",VLOOKUP(J367,#REF!,5,0))</f>
        <v>#REF!</v>
      </c>
      <c r="O367" s="19" t="e">
        <f>IF(J367="","SEM #CH",VLOOKUP(J367,#REF!,6,0))</f>
        <v>#REF!</v>
      </c>
      <c r="P367" s="19" t="e">
        <f>IF(J367="","SEM #CH",VLOOKUP(J367,#REF!,7,0))</f>
        <v>#REF!</v>
      </c>
      <c r="Q367" s="77" t="str">
        <f>VLOOKUP(J367,'p1'!$B$2:$C$30,2,0)</f>
        <v>NÃO TEM CHAPA</v>
      </c>
      <c r="R367" s="91"/>
      <c r="S367" s="91"/>
      <c r="T367" s="91" t="str">
        <f t="shared" si="22"/>
        <v/>
      </c>
      <c r="U367" s="91"/>
      <c r="V367" s="91"/>
      <c r="W367" s="93"/>
      <c r="X367" s="94" t="str">
        <f t="shared" si="23"/>
        <v/>
      </c>
      <c r="Y367"/>
    </row>
    <row r="368" spans="1:25">
      <c r="A368" s="90">
        <v>367</v>
      </c>
      <c r="B368" s="68"/>
      <c r="C368" s="40"/>
      <c r="D368" s="40" t="str">
        <f t="shared" si="20"/>
        <v/>
      </c>
      <c r="E368" s="49" t="s">
        <v>130</v>
      </c>
      <c r="F368" s="17" t="s">
        <v>58</v>
      </c>
      <c r="G368" s="17" t="s">
        <v>86</v>
      </c>
      <c r="H368" s="42" t="s">
        <v>604</v>
      </c>
      <c r="I368" s="17" t="str">
        <f t="shared" si="21"/>
        <v>PN-367</v>
      </c>
      <c r="J368" s="18" t="s">
        <v>85</v>
      </c>
      <c r="K368" s="19" t="e">
        <f>IF(J368="","SEM #CH",VLOOKUP(J368,#REF!,2,0))</f>
        <v>#REF!</v>
      </c>
      <c r="L368" s="19" t="e">
        <f>IF(J368="","SEM #CH",VLOOKUP(J368,#REF!,3,0))</f>
        <v>#REF!</v>
      </c>
      <c r="M368" s="19" t="e">
        <f>IF(J368="","SEM #CH",VLOOKUP(J368,#REF!,4,0))</f>
        <v>#REF!</v>
      </c>
      <c r="N368" s="19" t="e">
        <f>IF(J368="","SEM #CH",VLOOKUP(J368,#REF!,5,0))</f>
        <v>#REF!</v>
      </c>
      <c r="O368" s="19" t="e">
        <f>IF(J368="","SEM #CH",VLOOKUP(J368,#REF!,6,0))</f>
        <v>#REF!</v>
      </c>
      <c r="P368" s="19" t="e">
        <f>IF(J368="","SEM #CH",VLOOKUP(J368,#REF!,7,0))</f>
        <v>#REF!</v>
      </c>
      <c r="Q368" s="77" t="str">
        <f>VLOOKUP(J368,'p1'!$B$2:$C$30,2,0)</f>
        <v>NÃO TEM CHAPA</v>
      </c>
      <c r="R368" s="91"/>
      <c r="S368" s="91"/>
      <c r="T368" s="91" t="str">
        <f t="shared" si="22"/>
        <v/>
      </c>
      <c r="U368" s="91"/>
      <c r="V368" s="91"/>
      <c r="W368" s="93"/>
      <c r="X368" s="94" t="str">
        <f t="shared" si="23"/>
        <v/>
      </c>
      <c r="Y368"/>
    </row>
    <row r="369" spans="1:25">
      <c r="A369" s="90">
        <v>368</v>
      </c>
      <c r="B369" s="68"/>
      <c r="C369" s="40"/>
      <c r="D369" s="40" t="str">
        <f t="shared" si="20"/>
        <v/>
      </c>
      <c r="E369" s="49" t="s">
        <v>130</v>
      </c>
      <c r="F369" s="17" t="s">
        <v>58</v>
      </c>
      <c r="G369" s="17" t="s">
        <v>86</v>
      </c>
      <c r="H369" s="42" t="s">
        <v>605</v>
      </c>
      <c r="I369" s="17" t="str">
        <f t="shared" si="21"/>
        <v>PN-368</v>
      </c>
      <c r="J369" s="18" t="s">
        <v>85</v>
      </c>
      <c r="K369" s="19" t="e">
        <f>IF(J369="","SEM #CH",VLOOKUP(J369,#REF!,2,0))</f>
        <v>#REF!</v>
      </c>
      <c r="L369" s="19" t="e">
        <f>IF(J369="","SEM #CH",VLOOKUP(J369,#REF!,3,0))</f>
        <v>#REF!</v>
      </c>
      <c r="M369" s="19" t="e">
        <f>IF(J369="","SEM #CH",VLOOKUP(J369,#REF!,4,0))</f>
        <v>#REF!</v>
      </c>
      <c r="N369" s="19" t="e">
        <f>IF(J369="","SEM #CH",VLOOKUP(J369,#REF!,5,0))</f>
        <v>#REF!</v>
      </c>
      <c r="O369" s="19" t="e">
        <f>IF(J369="","SEM #CH",VLOOKUP(J369,#REF!,6,0))</f>
        <v>#REF!</v>
      </c>
      <c r="P369" s="19" t="e">
        <f>IF(J369="","SEM #CH",VLOOKUP(J369,#REF!,7,0))</f>
        <v>#REF!</v>
      </c>
      <c r="Q369" s="77" t="str">
        <f>VLOOKUP(J369,'p1'!$B$2:$C$30,2,0)</f>
        <v>NÃO TEM CHAPA</v>
      </c>
      <c r="R369" s="91"/>
      <c r="S369" s="91"/>
      <c r="T369" s="91" t="str">
        <f t="shared" si="22"/>
        <v/>
      </c>
      <c r="U369" s="91"/>
      <c r="V369" s="91"/>
      <c r="W369" s="93"/>
      <c r="X369" s="94" t="str">
        <f t="shared" si="23"/>
        <v/>
      </c>
      <c r="Y369"/>
    </row>
    <row r="370" spans="1:25">
      <c r="A370" s="90">
        <v>369</v>
      </c>
      <c r="B370" s="68"/>
      <c r="C370" s="40"/>
      <c r="D370" s="40" t="str">
        <f t="shared" si="20"/>
        <v/>
      </c>
      <c r="E370" s="49" t="s">
        <v>130</v>
      </c>
      <c r="F370" s="17" t="s">
        <v>58</v>
      </c>
      <c r="G370" s="17" t="s">
        <v>86</v>
      </c>
      <c r="H370" s="42" t="s">
        <v>606</v>
      </c>
      <c r="I370" s="17" t="str">
        <f t="shared" si="21"/>
        <v>PN-369</v>
      </c>
      <c r="J370" s="18" t="s">
        <v>85</v>
      </c>
      <c r="K370" s="19" t="e">
        <f>IF(J370="","SEM #CH",VLOOKUP(J370,#REF!,2,0))</f>
        <v>#REF!</v>
      </c>
      <c r="L370" s="19" t="e">
        <f>IF(J370="","SEM #CH",VLOOKUP(J370,#REF!,3,0))</f>
        <v>#REF!</v>
      </c>
      <c r="M370" s="19" t="e">
        <f>IF(J370="","SEM #CH",VLOOKUP(J370,#REF!,4,0))</f>
        <v>#REF!</v>
      </c>
      <c r="N370" s="19" t="e">
        <f>IF(J370="","SEM #CH",VLOOKUP(J370,#REF!,5,0))</f>
        <v>#REF!</v>
      </c>
      <c r="O370" s="19" t="e">
        <f>IF(J370="","SEM #CH",VLOOKUP(J370,#REF!,6,0))</f>
        <v>#REF!</v>
      </c>
      <c r="P370" s="19" t="e">
        <f>IF(J370="","SEM #CH",VLOOKUP(J370,#REF!,7,0))</f>
        <v>#REF!</v>
      </c>
      <c r="Q370" s="77" t="str">
        <f>VLOOKUP(J370,'p1'!$B$2:$C$30,2,0)</f>
        <v>NÃO TEM CHAPA</v>
      </c>
      <c r="R370" s="91"/>
      <c r="S370" s="91"/>
      <c r="T370" s="91" t="str">
        <f t="shared" si="22"/>
        <v/>
      </c>
      <c r="U370" s="91"/>
      <c r="V370" s="91"/>
      <c r="W370" s="93"/>
      <c r="X370" s="94" t="str">
        <f t="shared" si="23"/>
        <v/>
      </c>
      <c r="Y370"/>
    </row>
    <row r="371" spans="1:25">
      <c r="A371" s="90">
        <v>370</v>
      </c>
      <c r="B371" s="68"/>
      <c r="C371" s="40"/>
      <c r="D371" s="40" t="str">
        <f t="shared" si="20"/>
        <v/>
      </c>
      <c r="E371" s="49" t="s">
        <v>130</v>
      </c>
      <c r="F371" s="17" t="s">
        <v>58</v>
      </c>
      <c r="G371" s="17" t="s">
        <v>86</v>
      </c>
      <c r="H371" s="42" t="s">
        <v>607</v>
      </c>
      <c r="I371" s="17" t="str">
        <f t="shared" si="21"/>
        <v>PN-370</v>
      </c>
      <c r="J371" s="18" t="s">
        <v>85</v>
      </c>
      <c r="K371" s="19" t="e">
        <f>IF(J371="","SEM #CH",VLOOKUP(J371,#REF!,2,0))</f>
        <v>#REF!</v>
      </c>
      <c r="L371" s="19" t="e">
        <f>IF(J371="","SEM #CH",VLOOKUP(J371,#REF!,3,0))</f>
        <v>#REF!</v>
      </c>
      <c r="M371" s="19" t="e">
        <f>IF(J371="","SEM #CH",VLOOKUP(J371,#REF!,4,0))</f>
        <v>#REF!</v>
      </c>
      <c r="N371" s="19" t="e">
        <f>IF(J371="","SEM #CH",VLOOKUP(J371,#REF!,5,0))</f>
        <v>#REF!</v>
      </c>
      <c r="O371" s="19" t="e">
        <f>IF(J371="","SEM #CH",VLOOKUP(J371,#REF!,6,0))</f>
        <v>#REF!</v>
      </c>
      <c r="P371" s="19" t="e">
        <f>IF(J371="","SEM #CH",VLOOKUP(J371,#REF!,7,0))</f>
        <v>#REF!</v>
      </c>
      <c r="Q371" s="77" t="str">
        <f>VLOOKUP(J371,'p1'!$B$2:$C$30,2,0)</f>
        <v>NÃO TEM CHAPA</v>
      </c>
      <c r="R371" s="91"/>
      <c r="S371" s="91"/>
      <c r="T371" s="91" t="str">
        <f t="shared" si="22"/>
        <v/>
      </c>
      <c r="U371" s="91"/>
      <c r="V371" s="91"/>
      <c r="W371" s="93"/>
      <c r="X371" s="94" t="str">
        <f t="shared" si="23"/>
        <v/>
      </c>
      <c r="Y371"/>
    </row>
    <row r="372" spans="1:25">
      <c r="A372" s="90">
        <v>371</v>
      </c>
      <c r="B372" s="68"/>
      <c r="C372" s="40"/>
      <c r="D372" s="40" t="str">
        <f t="shared" si="20"/>
        <v/>
      </c>
      <c r="E372" s="49" t="s">
        <v>130</v>
      </c>
      <c r="F372" s="17" t="s">
        <v>58</v>
      </c>
      <c r="G372" s="17" t="s">
        <v>86</v>
      </c>
      <c r="H372" s="42" t="s">
        <v>608</v>
      </c>
      <c r="I372" s="17" t="str">
        <f t="shared" si="21"/>
        <v>PN-371</v>
      </c>
      <c r="J372" s="18" t="s">
        <v>85</v>
      </c>
      <c r="K372" s="19" t="e">
        <f>IF(J372="","SEM #CH",VLOOKUP(J372,#REF!,2,0))</f>
        <v>#REF!</v>
      </c>
      <c r="L372" s="19" t="e">
        <f>IF(J372="","SEM #CH",VLOOKUP(J372,#REF!,3,0))</f>
        <v>#REF!</v>
      </c>
      <c r="M372" s="19" t="e">
        <f>IF(J372="","SEM #CH",VLOOKUP(J372,#REF!,4,0))</f>
        <v>#REF!</v>
      </c>
      <c r="N372" s="19" t="e">
        <f>IF(J372="","SEM #CH",VLOOKUP(J372,#REF!,5,0))</f>
        <v>#REF!</v>
      </c>
      <c r="O372" s="19" t="e">
        <f>IF(J372="","SEM #CH",VLOOKUP(J372,#REF!,6,0))</f>
        <v>#REF!</v>
      </c>
      <c r="P372" s="19" t="e">
        <f>IF(J372="","SEM #CH",VLOOKUP(J372,#REF!,7,0))</f>
        <v>#REF!</v>
      </c>
      <c r="Q372" s="77" t="str">
        <f>VLOOKUP(J372,'p1'!$B$2:$C$30,2,0)</f>
        <v>NÃO TEM CHAPA</v>
      </c>
      <c r="R372" s="91"/>
      <c r="S372" s="91"/>
      <c r="T372" s="91" t="str">
        <f t="shared" si="22"/>
        <v/>
      </c>
      <c r="U372" s="91"/>
      <c r="V372" s="91"/>
      <c r="W372" s="93"/>
      <c r="X372" s="94" t="str">
        <f t="shared" si="23"/>
        <v/>
      </c>
      <c r="Y372"/>
    </row>
    <row r="373" spans="1:25">
      <c r="A373" s="90">
        <v>372</v>
      </c>
      <c r="B373" s="68"/>
      <c r="C373" s="40"/>
      <c r="D373" s="40" t="str">
        <f t="shared" si="20"/>
        <v/>
      </c>
      <c r="E373" s="49" t="s">
        <v>130</v>
      </c>
      <c r="F373" s="17" t="s">
        <v>58</v>
      </c>
      <c r="G373" s="17" t="s">
        <v>86</v>
      </c>
      <c r="H373" s="42" t="s">
        <v>609</v>
      </c>
      <c r="I373" s="17" t="str">
        <f t="shared" si="21"/>
        <v>PN-372</v>
      </c>
      <c r="J373" s="18" t="s">
        <v>85</v>
      </c>
      <c r="K373" s="19" t="e">
        <f>IF(J373="","SEM #CH",VLOOKUP(J373,#REF!,2,0))</f>
        <v>#REF!</v>
      </c>
      <c r="L373" s="19" t="e">
        <f>IF(J373="","SEM #CH",VLOOKUP(J373,#REF!,3,0))</f>
        <v>#REF!</v>
      </c>
      <c r="M373" s="19" t="e">
        <f>IF(J373="","SEM #CH",VLOOKUP(J373,#REF!,4,0))</f>
        <v>#REF!</v>
      </c>
      <c r="N373" s="19" t="e">
        <f>IF(J373="","SEM #CH",VLOOKUP(J373,#REF!,5,0))</f>
        <v>#REF!</v>
      </c>
      <c r="O373" s="19" t="e">
        <f>IF(J373="","SEM #CH",VLOOKUP(J373,#REF!,6,0))</f>
        <v>#REF!</v>
      </c>
      <c r="P373" s="19" t="e">
        <f>IF(J373="","SEM #CH",VLOOKUP(J373,#REF!,7,0))</f>
        <v>#REF!</v>
      </c>
      <c r="Q373" s="77" t="str">
        <f>VLOOKUP(J373,'p1'!$B$2:$C$30,2,0)</f>
        <v>NÃO TEM CHAPA</v>
      </c>
      <c r="R373" s="91"/>
      <c r="S373" s="91"/>
      <c r="T373" s="91" t="str">
        <f t="shared" si="22"/>
        <v/>
      </c>
      <c r="U373" s="91"/>
      <c r="V373" s="91"/>
      <c r="W373" s="93"/>
      <c r="X373" s="94" t="str">
        <f t="shared" si="23"/>
        <v/>
      </c>
      <c r="Y373"/>
    </row>
    <row r="374" spans="1:25">
      <c r="A374" s="90">
        <v>373</v>
      </c>
      <c r="B374" s="68"/>
      <c r="C374" s="40"/>
      <c r="D374" s="40" t="str">
        <f t="shared" si="20"/>
        <v/>
      </c>
      <c r="E374" s="50" t="s">
        <v>132</v>
      </c>
      <c r="F374" s="17" t="s">
        <v>61</v>
      </c>
      <c r="G374" s="17" t="s">
        <v>86</v>
      </c>
      <c r="H374" s="42" t="s">
        <v>610</v>
      </c>
      <c r="I374" s="17" t="str">
        <f t="shared" si="21"/>
        <v>PF-373</v>
      </c>
      <c r="J374" s="18" t="s">
        <v>61</v>
      </c>
      <c r="K374" s="19" t="e">
        <f>IF(J374="","SEM #CH",VLOOKUP(J374,#REF!,2,0))</f>
        <v>#REF!</v>
      </c>
      <c r="L374" s="19" t="e">
        <f>IF(J374="","SEM #CH",VLOOKUP(J374,#REF!,3,0))</f>
        <v>#REF!</v>
      </c>
      <c r="M374" s="19" t="e">
        <f>IF(J374="","SEM #CH",VLOOKUP(J374,#REF!,4,0))</f>
        <v>#REF!</v>
      </c>
      <c r="N374" s="19" t="e">
        <f>IF(J374="","SEM #CH",VLOOKUP(J374,#REF!,5,0))</f>
        <v>#REF!</v>
      </c>
      <c r="O374" s="19" t="e">
        <f>IF(J374="","SEM #CH",VLOOKUP(J374,#REF!,6,0))</f>
        <v>#REF!</v>
      </c>
      <c r="P374" s="19" t="e">
        <f>IF(J374="","SEM #CH",VLOOKUP(J374,#REF!,7,0))</f>
        <v>#REF!</v>
      </c>
      <c r="Q374" s="77" t="str">
        <f>VLOOKUP(J374,'p1'!$B$2:$C$30,2,0)</f>
        <v>SEM CHAPA</v>
      </c>
      <c r="R374" s="91"/>
      <c r="S374" s="91"/>
      <c r="T374" s="91" t="str">
        <f t="shared" si="22"/>
        <v/>
      </c>
      <c r="U374" s="91"/>
      <c r="V374" s="91"/>
      <c r="W374" s="93"/>
      <c r="X374" s="94" t="str">
        <f t="shared" si="23"/>
        <v/>
      </c>
      <c r="Y374"/>
    </row>
    <row r="375" spans="1:25">
      <c r="A375" s="90">
        <v>374</v>
      </c>
      <c r="B375" s="68"/>
      <c r="C375" s="40"/>
      <c r="D375" s="40" t="str">
        <f t="shared" si="20"/>
        <v/>
      </c>
      <c r="E375" s="50" t="s">
        <v>132</v>
      </c>
      <c r="F375" s="17" t="s">
        <v>58</v>
      </c>
      <c r="G375" s="17" t="s">
        <v>86</v>
      </c>
      <c r="H375" s="42" t="s">
        <v>611</v>
      </c>
      <c r="I375" s="17" t="str">
        <f t="shared" si="21"/>
        <v>PN-374</v>
      </c>
      <c r="J375" s="18" t="s">
        <v>85</v>
      </c>
      <c r="K375" s="19" t="e">
        <f>IF(J375="","SEM #CH",VLOOKUP(J375,#REF!,2,0))</f>
        <v>#REF!</v>
      </c>
      <c r="L375" s="19" t="e">
        <f>IF(J375="","SEM #CH",VLOOKUP(J375,#REF!,3,0))</f>
        <v>#REF!</v>
      </c>
      <c r="M375" s="19" t="e">
        <f>IF(J375="","SEM #CH",VLOOKUP(J375,#REF!,4,0))</f>
        <v>#REF!</v>
      </c>
      <c r="N375" s="19" t="e">
        <f>IF(J375="","SEM #CH",VLOOKUP(J375,#REF!,5,0))</f>
        <v>#REF!</v>
      </c>
      <c r="O375" s="19" t="e">
        <f>IF(J375="","SEM #CH",VLOOKUP(J375,#REF!,6,0))</f>
        <v>#REF!</v>
      </c>
      <c r="P375" s="19" t="e">
        <f>IF(J375="","SEM #CH",VLOOKUP(J375,#REF!,7,0))</f>
        <v>#REF!</v>
      </c>
      <c r="Q375" s="77" t="str">
        <f>VLOOKUP(J375,'p1'!$B$2:$C$30,2,0)</f>
        <v>NÃO TEM CHAPA</v>
      </c>
      <c r="R375" s="91"/>
      <c r="S375" s="91"/>
      <c r="T375" s="91" t="str">
        <f t="shared" si="22"/>
        <v/>
      </c>
      <c r="U375" s="91"/>
      <c r="V375" s="91"/>
      <c r="W375" s="93"/>
      <c r="X375" s="94" t="str">
        <f t="shared" si="23"/>
        <v/>
      </c>
      <c r="Y375"/>
    </row>
    <row r="376" spans="1:25">
      <c r="A376" s="90">
        <v>375</v>
      </c>
      <c r="B376" s="68"/>
      <c r="C376" s="40"/>
      <c r="D376" s="40" t="str">
        <f t="shared" si="20"/>
        <v/>
      </c>
      <c r="E376" s="50" t="s">
        <v>132</v>
      </c>
      <c r="F376" s="17" t="s">
        <v>58</v>
      </c>
      <c r="G376" s="17" t="s">
        <v>86</v>
      </c>
      <c r="H376" s="42" t="s">
        <v>612</v>
      </c>
      <c r="I376" s="17" t="str">
        <f t="shared" si="21"/>
        <v>PN-375</v>
      </c>
      <c r="J376" s="18" t="s">
        <v>85</v>
      </c>
      <c r="K376" s="19" t="e">
        <f>IF(J376="","SEM #CH",VLOOKUP(J376,#REF!,2,0))</f>
        <v>#REF!</v>
      </c>
      <c r="L376" s="19" t="e">
        <f>IF(J376="","SEM #CH",VLOOKUP(J376,#REF!,3,0))</f>
        <v>#REF!</v>
      </c>
      <c r="M376" s="19" t="e">
        <f>IF(J376="","SEM #CH",VLOOKUP(J376,#REF!,4,0))</f>
        <v>#REF!</v>
      </c>
      <c r="N376" s="19" t="e">
        <f>IF(J376="","SEM #CH",VLOOKUP(J376,#REF!,5,0))</f>
        <v>#REF!</v>
      </c>
      <c r="O376" s="19" t="e">
        <f>IF(J376="","SEM #CH",VLOOKUP(J376,#REF!,6,0))</f>
        <v>#REF!</v>
      </c>
      <c r="P376" s="19" t="e">
        <f>IF(J376="","SEM #CH",VLOOKUP(J376,#REF!,7,0))</f>
        <v>#REF!</v>
      </c>
      <c r="Q376" s="77" t="str">
        <f>VLOOKUP(J376,'p1'!$B$2:$C$30,2,0)</f>
        <v>NÃO TEM CHAPA</v>
      </c>
      <c r="R376" s="91"/>
      <c r="S376" s="91"/>
      <c r="T376" s="91" t="str">
        <f t="shared" si="22"/>
        <v/>
      </c>
      <c r="U376" s="91"/>
      <c r="V376" s="91"/>
      <c r="W376" s="93"/>
      <c r="X376" s="94" t="str">
        <f t="shared" si="23"/>
        <v/>
      </c>
      <c r="Y376"/>
    </row>
    <row r="377" spans="1:25">
      <c r="A377" s="90">
        <v>376</v>
      </c>
      <c r="B377" s="68"/>
      <c r="C377" s="40"/>
      <c r="D377" s="40" t="str">
        <f t="shared" si="20"/>
        <v/>
      </c>
      <c r="E377" s="50" t="s">
        <v>132</v>
      </c>
      <c r="F377" s="17" t="s">
        <v>58</v>
      </c>
      <c r="G377" s="17" t="s">
        <v>86</v>
      </c>
      <c r="H377" s="42" t="s">
        <v>613</v>
      </c>
      <c r="I377" s="17" t="str">
        <f t="shared" si="21"/>
        <v>PN-376</v>
      </c>
      <c r="J377" s="18" t="s">
        <v>85</v>
      </c>
      <c r="K377" s="19" t="e">
        <f>IF(J377="","SEM #CH",VLOOKUP(J377,#REF!,2,0))</f>
        <v>#REF!</v>
      </c>
      <c r="L377" s="19" t="e">
        <f>IF(J377="","SEM #CH",VLOOKUP(J377,#REF!,3,0))</f>
        <v>#REF!</v>
      </c>
      <c r="M377" s="19" t="e">
        <f>IF(J377="","SEM #CH",VLOOKUP(J377,#REF!,4,0))</f>
        <v>#REF!</v>
      </c>
      <c r="N377" s="19" t="e">
        <f>IF(J377="","SEM #CH",VLOOKUP(J377,#REF!,5,0))</f>
        <v>#REF!</v>
      </c>
      <c r="O377" s="19" t="e">
        <f>IF(J377="","SEM #CH",VLOOKUP(J377,#REF!,6,0))</f>
        <v>#REF!</v>
      </c>
      <c r="P377" s="19" t="e">
        <f>IF(J377="","SEM #CH",VLOOKUP(J377,#REF!,7,0))</f>
        <v>#REF!</v>
      </c>
      <c r="Q377" s="77" t="str">
        <f>VLOOKUP(J377,'p1'!$B$2:$C$30,2,0)</f>
        <v>NÃO TEM CHAPA</v>
      </c>
      <c r="R377" s="91"/>
      <c r="S377" s="91"/>
      <c r="T377" s="91" t="str">
        <f t="shared" si="22"/>
        <v/>
      </c>
      <c r="U377" s="91"/>
      <c r="V377" s="91"/>
      <c r="W377" s="93"/>
      <c r="X377" s="94" t="str">
        <f t="shared" si="23"/>
        <v/>
      </c>
      <c r="Y377"/>
    </row>
    <row r="378" spans="1:25">
      <c r="A378" s="90">
        <v>377</v>
      </c>
      <c r="B378" s="68"/>
      <c r="C378" s="40"/>
      <c r="D378" s="40" t="str">
        <f t="shared" si="20"/>
        <v/>
      </c>
      <c r="E378" s="50" t="s">
        <v>132</v>
      </c>
      <c r="F378" s="17" t="s">
        <v>58</v>
      </c>
      <c r="G378" s="17" t="s">
        <v>86</v>
      </c>
      <c r="H378" s="42" t="s">
        <v>614</v>
      </c>
      <c r="I378" s="17" t="str">
        <f t="shared" si="21"/>
        <v>PN-377</v>
      </c>
      <c r="J378" s="18" t="s">
        <v>85</v>
      </c>
      <c r="K378" s="19" t="e">
        <f>IF(J378="","SEM #CH",VLOOKUP(J378,#REF!,2,0))</f>
        <v>#REF!</v>
      </c>
      <c r="L378" s="19" t="e">
        <f>IF(J378="","SEM #CH",VLOOKUP(J378,#REF!,3,0))</f>
        <v>#REF!</v>
      </c>
      <c r="M378" s="19" t="e">
        <f>IF(J378="","SEM #CH",VLOOKUP(J378,#REF!,4,0))</f>
        <v>#REF!</v>
      </c>
      <c r="N378" s="19" t="e">
        <f>IF(J378="","SEM #CH",VLOOKUP(J378,#REF!,5,0))</f>
        <v>#REF!</v>
      </c>
      <c r="O378" s="19" t="e">
        <f>IF(J378="","SEM #CH",VLOOKUP(J378,#REF!,6,0))</f>
        <v>#REF!</v>
      </c>
      <c r="P378" s="19" t="e">
        <f>IF(J378="","SEM #CH",VLOOKUP(J378,#REF!,7,0))</f>
        <v>#REF!</v>
      </c>
      <c r="Q378" s="77" t="str">
        <f>VLOOKUP(J378,'p1'!$B$2:$C$30,2,0)</f>
        <v>NÃO TEM CHAPA</v>
      </c>
      <c r="R378" s="91"/>
      <c r="S378" s="91"/>
      <c r="T378" s="91" t="str">
        <f t="shared" si="22"/>
        <v/>
      </c>
      <c r="U378" s="91"/>
      <c r="V378" s="91"/>
      <c r="W378" s="93"/>
      <c r="X378" s="94" t="str">
        <f t="shared" si="23"/>
        <v/>
      </c>
      <c r="Y378"/>
    </row>
    <row r="379" spans="1:25">
      <c r="A379" s="90">
        <v>378</v>
      </c>
      <c r="B379" s="68"/>
      <c r="C379" s="40"/>
      <c r="D379" s="40" t="str">
        <f t="shared" si="20"/>
        <v/>
      </c>
      <c r="E379" s="50" t="s">
        <v>132</v>
      </c>
      <c r="F379" s="17" t="s">
        <v>58</v>
      </c>
      <c r="G379" s="17" t="s">
        <v>86</v>
      </c>
      <c r="H379" s="42" t="s">
        <v>615</v>
      </c>
      <c r="I379" s="17" t="str">
        <f t="shared" si="21"/>
        <v>PN-378</v>
      </c>
      <c r="J379" s="18" t="s">
        <v>85</v>
      </c>
      <c r="K379" s="19" t="e">
        <f>IF(J379="","SEM #CH",VLOOKUP(J379,#REF!,2,0))</f>
        <v>#REF!</v>
      </c>
      <c r="L379" s="19" t="e">
        <f>IF(J379="","SEM #CH",VLOOKUP(J379,#REF!,3,0))</f>
        <v>#REF!</v>
      </c>
      <c r="M379" s="19" t="e">
        <f>IF(J379="","SEM #CH",VLOOKUP(J379,#REF!,4,0))</f>
        <v>#REF!</v>
      </c>
      <c r="N379" s="19" t="e">
        <f>IF(J379="","SEM #CH",VLOOKUP(J379,#REF!,5,0))</f>
        <v>#REF!</v>
      </c>
      <c r="O379" s="19" t="e">
        <f>IF(J379="","SEM #CH",VLOOKUP(J379,#REF!,6,0))</f>
        <v>#REF!</v>
      </c>
      <c r="P379" s="19" t="e">
        <f>IF(J379="","SEM #CH",VLOOKUP(J379,#REF!,7,0))</f>
        <v>#REF!</v>
      </c>
      <c r="Q379" s="77" t="str">
        <f>VLOOKUP(J379,'p1'!$B$2:$C$30,2,0)</f>
        <v>NÃO TEM CHAPA</v>
      </c>
      <c r="R379" s="91"/>
      <c r="S379" s="91"/>
      <c r="T379" s="91" t="str">
        <f t="shared" si="22"/>
        <v/>
      </c>
      <c r="U379" s="91"/>
      <c r="V379" s="91"/>
      <c r="W379" s="93"/>
      <c r="X379" s="94" t="str">
        <f t="shared" si="23"/>
        <v/>
      </c>
      <c r="Y379"/>
    </row>
    <row r="380" spans="1:25">
      <c r="A380" s="90">
        <v>379</v>
      </c>
      <c r="B380" s="68"/>
      <c r="C380" s="40"/>
      <c r="D380" s="40" t="str">
        <f t="shared" si="20"/>
        <v/>
      </c>
      <c r="E380" s="50" t="s">
        <v>132</v>
      </c>
      <c r="F380" s="17" t="s">
        <v>60</v>
      </c>
      <c r="G380" s="17" t="s">
        <v>86</v>
      </c>
      <c r="H380" s="42" t="s">
        <v>616</v>
      </c>
      <c r="I380" s="17" t="str">
        <f t="shared" si="21"/>
        <v>PE-379</v>
      </c>
      <c r="J380" s="18" t="s">
        <v>88</v>
      </c>
      <c r="K380" s="19" t="e">
        <f>IF(J380="","SEM #CH",VLOOKUP(J380,#REF!,2,0))</f>
        <v>#REF!</v>
      </c>
      <c r="L380" s="19" t="e">
        <f>IF(J380="","SEM #CH",VLOOKUP(J380,#REF!,3,0))</f>
        <v>#REF!</v>
      </c>
      <c r="M380" s="19" t="e">
        <f>IF(J380="","SEM #CH",VLOOKUP(J380,#REF!,4,0))</f>
        <v>#REF!</v>
      </c>
      <c r="N380" s="19" t="e">
        <f>IF(J380="","SEM #CH",VLOOKUP(J380,#REF!,5,0))</f>
        <v>#REF!</v>
      </c>
      <c r="O380" s="19" t="e">
        <f>IF(J380="","SEM #CH",VLOOKUP(J380,#REF!,6,0))</f>
        <v>#REF!</v>
      </c>
      <c r="P380" s="19" t="e">
        <f>IF(J380="","SEM #CH",VLOOKUP(J380,#REF!,7,0))</f>
        <v>#REF!</v>
      </c>
      <c r="Q380" s="77" t="str">
        <f>VLOOKUP(J380,'p1'!$B$2:$C$30,2,0)</f>
        <v>#3/8-1315X1315</v>
      </c>
      <c r="R380" s="91"/>
      <c r="S380" s="91"/>
      <c r="T380" s="91" t="str">
        <f t="shared" si="22"/>
        <v/>
      </c>
      <c r="U380" s="91"/>
      <c r="V380" s="91"/>
      <c r="W380" s="93"/>
      <c r="X380" s="94" t="str">
        <f t="shared" si="23"/>
        <v/>
      </c>
      <c r="Y380"/>
    </row>
    <row r="381" spans="1:25">
      <c r="A381" s="90">
        <v>380</v>
      </c>
      <c r="B381" s="68"/>
      <c r="C381" s="40"/>
      <c r="D381" s="40" t="str">
        <f t="shared" si="20"/>
        <v/>
      </c>
      <c r="E381" s="50" t="s">
        <v>132</v>
      </c>
      <c r="F381" s="17" t="s">
        <v>60</v>
      </c>
      <c r="G381" s="17" t="s">
        <v>86</v>
      </c>
      <c r="H381" s="42" t="s">
        <v>617</v>
      </c>
      <c r="I381" s="17" t="str">
        <f t="shared" si="21"/>
        <v>PE-380</v>
      </c>
      <c r="J381" s="18" t="s">
        <v>87</v>
      </c>
      <c r="K381" s="19" t="e">
        <f>IF(J381="","SEM #CH",VLOOKUP(J381,#REF!,2,0))</f>
        <v>#REF!</v>
      </c>
      <c r="L381" s="19" t="e">
        <f>IF(J381="","SEM #CH",VLOOKUP(J381,#REF!,3,0))</f>
        <v>#REF!</v>
      </c>
      <c r="M381" s="19" t="e">
        <f>IF(J381="","SEM #CH",VLOOKUP(J381,#REF!,4,0))</f>
        <v>#REF!</v>
      </c>
      <c r="N381" s="19" t="e">
        <f>IF(J381="","SEM #CH",VLOOKUP(J381,#REF!,5,0))</f>
        <v>#REF!</v>
      </c>
      <c r="O381" s="19" t="e">
        <f>IF(J381="","SEM #CH",VLOOKUP(J381,#REF!,6,0))</f>
        <v>#REF!</v>
      </c>
      <c r="P381" s="19" t="e">
        <f>IF(J381="","SEM #CH",VLOOKUP(J381,#REF!,7,0))</f>
        <v>#REF!</v>
      </c>
      <c r="Q381" s="77" t="str">
        <f>VLOOKUP(J381,'p1'!$B$2:$C$30,2,0)</f>
        <v>#3/8-1620X1620</v>
      </c>
      <c r="R381" s="91"/>
      <c r="S381" s="91"/>
      <c r="T381" s="91" t="str">
        <f t="shared" si="22"/>
        <v/>
      </c>
      <c r="U381" s="91"/>
      <c r="V381" s="91"/>
      <c r="W381" s="93"/>
      <c r="X381" s="94" t="str">
        <f t="shared" si="23"/>
        <v/>
      </c>
      <c r="Y381"/>
    </row>
    <row r="382" spans="1:25">
      <c r="A382" s="90">
        <v>381</v>
      </c>
      <c r="B382" s="68"/>
      <c r="C382" s="40"/>
      <c r="D382" s="40" t="str">
        <f t="shared" si="20"/>
        <v/>
      </c>
      <c r="E382" s="50" t="s">
        <v>132</v>
      </c>
      <c r="F382" s="17" t="s">
        <v>60</v>
      </c>
      <c r="G382" s="17" t="s">
        <v>86</v>
      </c>
      <c r="H382" s="42" t="s">
        <v>618</v>
      </c>
      <c r="I382" s="17" t="str">
        <f t="shared" si="21"/>
        <v>PE-381</v>
      </c>
      <c r="J382" s="18" t="s">
        <v>89</v>
      </c>
      <c r="K382" s="19" t="e">
        <f>IF(J382="","SEM #CH",VLOOKUP(J382,#REF!,2,0))</f>
        <v>#REF!</v>
      </c>
      <c r="L382" s="19" t="e">
        <f>IF(J382="","SEM #CH",VLOOKUP(J382,#REF!,3,0))</f>
        <v>#REF!</v>
      </c>
      <c r="M382" s="19" t="e">
        <f>IF(J382="","SEM #CH",VLOOKUP(J382,#REF!,4,0))</f>
        <v>#REF!</v>
      </c>
      <c r="N382" s="19" t="e">
        <f>IF(J382="","SEM #CH",VLOOKUP(J382,#REF!,5,0))</f>
        <v>#REF!</v>
      </c>
      <c r="O382" s="19" t="e">
        <f>IF(J382="","SEM #CH",VLOOKUP(J382,#REF!,6,0))</f>
        <v>#REF!</v>
      </c>
      <c r="P382" s="19" t="e">
        <f>IF(J382="","SEM #CH",VLOOKUP(J382,#REF!,7,0))</f>
        <v>#REF!</v>
      </c>
      <c r="Q382" s="77" t="str">
        <f>VLOOKUP(J382,'p1'!$B$2:$C$30,2,0)</f>
        <v>#3/8-1200X1200</v>
      </c>
      <c r="R382" s="91"/>
      <c r="S382" s="91"/>
      <c r="T382" s="91" t="str">
        <f t="shared" si="22"/>
        <v/>
      </c>
      <c r="U382" s="91"/>
      <c r="V382" s="91"/>
      <c r="W382" s="93"/>
      <c r="X382" s="94" t="str">
        <f t="shared" si="23"/>
        <v/>
      </c>
      <c r="Y382"/>
    </row>
    <row r="383" spans="1:25">
      <c r="A383" s="90">
        <v>382</v>
      </c>
      <c r="B383" s="68"/>
      <c r="C383" s="40"/>
      <c r="D383" s="40" t="str">
        <f t="shared" si="20"/>
        <v/>
      </c>
      <c r="E383" s="50" t="s">
        <v>132</v>
      </c>
      <c r="F383" s="17" t="s">
        <v>60</v>
      </c>
      <c r="G383" s="17" t="s">
        <v>86</v>
      </c>
      <c r="H383" s="42" t="s">
        <v>619</v>
      </c>
      <c r="I383" s="17" t="str">
        <f t="shared" si="21"/>
        <v>PE-382</v>
      </c>
      <c r="J383" s="18" t="s">
        <v>90</v>
      </c>
      <c r="K383" s="19" t="e">
        <f>IF(J383="","SEM #CH",VLOOKUP(J383,#REF!,2,0))</f>
        <v>#REF!</v>
      </c>
      <c r="L383" s="19" t="e">
        <f>IF(J383="","SEM #CH",VLOOKUP(J383,#REF!,3,0))</f>
        <v>#REF!</v>
      </c>
      <c r="M383" s="19" t="e">
        <f>IF(J383="","SEM #CH",VLOOKUP(J383,#REF!,4,0))</f>
        <v>#REF!</v>
      </c>
      <c r="N383" s="19" t="e">
        <f>IF(J383="","SEM #CH",VLOOKUP(J383,#REF!,5,0))</f>
        <v>#REF!</v>
      </c>
      <c r="O383" s="19" t="e">
        <f>IF(J383="","SEM #CH",VLOOKUP(J383,#REF!,6,0))</f>
        <v>#REF!</v>
      </c>
      <c r="P383" s="19" t="e">
        <f>IF(J383="","SEM #CH",VLOOKUP(J383,#REF!,7,0))</f>
        <v>#REF!</v>
      </c>
      <c r="Q383" s="77" t="str">
        <f>VLOOKUP(J383,'p1'!$B$2:$C$30,2,0)</f>
        <v>#3/8-530X530</v>
      </c>
      <c r="R383" s="91"/>
      <c r="S383" s="91"/>
      <c r="T383" s="91" t="str">
        <f t="shared" si="22"/>
        <v/>
      </c>
      <c r="U383" s="91"/>
      <c r="V383" s="91"/>
      <c r="W383" s="93"/>
      <c r="X383" s="94" t="str">
        <f t="shared" si="23"/>
        <v/>
      </c>
      <c r="Y383"/>
    </row>
    <row r="384" spans="1:25">
      <c r="A384" s="90">
        <v>383</v>
      </c>
      <c r="B384" s="68"/>
      <c r="C384" s="40"/>
      <c r="D384" s="40" t="str">
        <f t="shared" si="20"/>
        <v/>
      </c>
      <c r="E384" s="50" t="s">
        <v>132</v>
      </c>
      <c r="F384" s="17" t="s">
        <v>58</v>
      </c>
      <c r="G384" s="17" t="s">
        <v>86</v>
      </c>
      <c r="H384" s="42" t="s">
        <v>620</v>
      </c>
      <c r="I384" s="17" t="str">
        <f t="shared" si="21"/>
        <v>PN-383</v>
      </c>
      <c r="J384" s="18" t="s">
        <v>85</v>
      </c>
      <c r="K384" s="19" t="e">
        <f>IF(J384="","SEM #CH",VLOOKUP(J384,#REF!,2,0))</f>
        <v>#REF!</v>
      </c>
      <c r="L384" s="19" t="e">
        <f>IF(J384="","SEM #CH",VLOOKUP(J384,#REF!,3,0))</f>
        <v>#REF!</v>
      </c>
      <c r="M384" s="19" t="e">
        <f>IF(J384="","SEM #CH",VLOOKUP(J384,#REF!,4,0))</f>
        <v>#REF!</v>
      </c>
      <c r="N384" s="19" t="e">
        <f>IF(J384="","SEM #CH",VLOOKUP(J384,#REF!,5,0))</f>
        <v>#REF!</v>
      </c>
      <c r="O384" s="19" t="e">
        <f>IF(J384="","SEM #CH",VLOOKUP(J384,#REF!,6,0))</f>
        <v>#REF!</v>
      </c>
      <c r="P384" s="19" t="e">
        <f>IF(J384="","SEM #CH",VLOOKUP(J384,#REF!,7,0))</f>
        <v>#REF!</v>
      </c>
      <c r="Q384" s="77" t="str">
        <f>VLOOKUP(J384,'p1'!$B$2:$C$30,2,0)</f>
        <v>NÃO TEM CHAPA</v>
      </c>
      <c r="R384" s="91"/>
      <c r="S384" s="91"/>
      <c r="T384" s="91" t="str">
        <f t="shared" si="22"/>
        <v/>
      </c>
      <c r="U384" s="91"/>
      <c r="V384" s="91"/>
      <c r="W384" s="93"/>
      <c r="X384" s="94" t="str">
        <f t="shared" si="23"/>
        <v/>
      </c>
      <c r="Y384"/>
    </row>
    <row r="385" spans="1:25">
      <c r="A385" s="90">
        <v>384</v>
      </c>
      <c r="B385" s="68"/>
      <c r="C385" s="40"/>
      <c r="D385" s="40" t="str">
        <f t="shared" si="20"/>
        <v/>
      </c>
      <c r="E385" s="50" t="s">
        <v>132</v>
      </c>
      <c r="F385" s="17" t="s">
        <v>58</v>
      </c>
      <c r="G385" s="17" t="s">
        <v>86</v>
      </c>
      <c r="H385" s="42" t="s">
        <v>621</v>
      </c>
      <c r="I385" s="17" t="str">
        <f t="shared" si="21"/>
        <v>PN-384</v>
      </c>
      <c r="J385" s="18" t="s">
        <v>85</v>
      </c>
      <c r="K385" s="19" t="e">
        <f>IF(J385="","SEM #CH",VLOOKUP(J385,#REF!,2,0))</f>
        <v>#REF!</v>
      </c>
      <c r="L385" s="19" t="e">
        <f>IF(J385="","SEM #CH",VLOOKUP(J385,#REF!,3,0))</f>
        <v>#REF!</v>
      </c>
      <c r="M385" s="19" t="e">
        <f>IF(J385="","SEM #CH",VLOOKUP(J385,#REF!,4,0))</f>
        <v>#REF!</v>
      </c>
      <c r="N385" s="19" t="e">
        <f>IF(J385="","SEM #CH",VLOOKUP(J385,#REF!,5,0))</f>
        <v>#REF!</v>
      </c>
      <c r="O385" s="19" t="e">
        <f>IF(J385="","SEM #CH",VLOOKUP(J385,#REF!,6,0))</f>
        <v>#REF!</v>
      </c>
      <c r="P385" s="19" t="e">
        <f>IF(J385="","SEM #CH",VLOOKUP(J385,#REF!,7,0))</f>
        <v>#REF!</v>
      </c>
      <c r="Q385" s="77" t="str">
        <f>VLOOKUP(J385,'p1'!$B$2:$C$30,2,0)</f>
        <v>NÃO TEM CHAPA</v>
      </c>
      <c r="R385" s="91"/>
      <c r="S385" s="91"/>
      <c r="T385" s="91" t="str">
        <f t="shared" si="22"/>
        <v/>
      </c>
      <c r="U385" s="91"/>
      <c r="V385" s="91"/>
      <c r="W385" s="93"/>
      <c r="X385" s="94" t="str">
        <f t="shared" si="23"/>
        <v/>
      </c>
      <c r="Y385"/>
    </row>
    <row r="386" spans="1:25">
      <c r="A386" s="90">
        <v>385</v>
      </c>
      <c r="B386" s="68"/>
      <c r="C386" s="40"/>
      <c r="D386" s="40" t="str">
        <f t="shared" ref="D386:D449" si="24">IF(B386&gt;0,1,"")</f>
        <v/>
      </c>
      <c r="E386" s="50" t="s">
        <v>132</v>
      </c>
      <c r="F386" s="17" t="s">
        <v>58</v>
      </c>
      <c r="G386" s="17" t="s">
        <v>86</v>
      </c>
      <c r="H386" s="42" t="s">
        <v>622</v>
      </c>
      <c r="I386" s="17" t="str">
        <f t="shared" ref="I386:I449" si="25">_xlfn.CONCAT(F386,G386,H386)</f>
        <v>PN-385</v>
      </c>
      <c r="J386" s="18" t="s">
        <v>85</v>
      </c>
      <c r="K386" s="19" t="e">
        <f>IF(J386="","SEM #CH",VLOOKUP(J386,#REF!,2,0))</f>
        <v>#REF!</v>
      </c>
      <c r="L386" s="19" t="e">
        <f>IF(J386="","SEM #CH",VLOOKUP(J386,#REF!,3,0))</f>
        <v>#REF!</v>
      </c>
      <c r="M386" s="19" t="e">
        <f>IF(J386="","SEM #CH",VLOOKUP(J386,#REF!,4,0))</f>
        <v>#REF!</v>
      </c>
      <c r="N386" s="19" t="e">
        <f>IF(J386="","SEM #CH",VLOOKUP(J386,#REF!,5,0))</f>
        <v>#REF!</v>
      </c>
      <c r="O386" s="19" t="e">
        <f>IF(J386="","SEM #CH",VLOOKUP(J386,#REF!,6,0))</f>
        <v>#REF!</v>
      </c>
      <c r="P386" s="19" t="e">
        <f>IF(J386="","SEM #CH",VLOOKUP(J386,#REF!,7,0))</f>
        <v>#REF!</v>
      </c>
      <c r="Q386" s="77" t="str">
        <f>VLOOKUP(J386,'p1'!$B$2:$C$30,2,0)</f>
        <v>NÃO TEM CHAPA</v>
      </c>
      <c r="R386" s="91"/>
      <c r="S386" s="91"/>
      <c r="T386" s="91" t="str">
        <f t="shared" ref="T386:T449" si="26">IF(R386=0,"",1)</f>
        <v/>
      </c>
      <c r="U386" s="91"/>
      <c r="V386" s="91"/>
      <c r="W386" s="93"/>
      <c r="X386" s="94" t="str">
        <f t="shared" ref="X386:X449" si="27">IF(U386&gt;0,1,"")</f>
        <v/>
      </c>
      <c r="Y386"/>
    </row>
    <row r="387" spans="1:25">
      <c r="A387" s="90">
        <v>386</v>
      </c>
      <c r="B387" s="68"/>
      <c r="C387" s="40"/>
      <c r="D387" s="40" t="str">
        <f t="shared" si="24"/>
        <v/>
      </c>
      <c r="E387" s="50" t="s">
        <v>132</v>
      </c>
      <c r="F387" s="17" t="s">
        <v>58</v>
      </c>
      <c r="G387" s="17" t="s">
        <v>86</v>
      </c>
      <c r="H387" s="42" t="s">
        <v>623</v>
      </c>
      <c r="I387" s="17" t="str">
        <f t="shared" si="25"/>
        <v>PN-386</v>
      </c>
      <c r="J387" s="18" t="s">
        <v>85</v>
      </c>
      <c r="K387" s="19" t="e">
        <f>IF(J387="","SEM #CH",VLOOKUP(J387,#REF!,2,0))</f>
        <v>#REF!</v>
      </c>
      <c r="L387" s="19" t="e">
        <f>IF(J387="","SEM #CH",VLOOKUP(J387,#REF!,3,0))</f>
        <v>#REF!</v>
      </c>
      <c r="M387" s="19" t="e">
        <f>IF(J387="","SEM #CH",VLOOKUP(J387,#REF!,4,0))</f>
        <v>#REF!</v>
      </c>
      <c r="N387" s="19" t="e">
        <f>IF(J387="","SEM #CH",VLOOKUP(J387,#REF!,5,0))</f>
        <v>#REF!</v>
      </c>
      <c r="O387" s="19" t="e">
        <f>IF(J387="","SEM #CH",VLOOKUP(J387,#REF!,6,0))</f>
        <v>#REF!</v>
      </c>
      <c r="P387" s="19" t="e">
        <f>IF(J387="","SEM #CH",VLOOKUP(J387,#REF!,7,0))</f>
        <v>#REF!</v>
      </c>
      <c r="Q387" s="77" t="str">
        <f>VLOOKUP(J387,'p1'!$B$2:$C$30,2,0)</f>
        <v>NÃO TEM CHAPA</v>
      </c>
      <c r="R387" s="91"/>
      <c r="S387" s="91"/>
      <c r="T387" s="91" t="str">
        <f t="shared" si="26"/>
        <v/>
      </c>
      <c r="U387" s="91"/>
      <c r="V387" s="91"/>
      <c r="W387" s="93"/>
      <c r="X387" s="94" t="str">
        <f t="shared" si="27"/>
        <v/>
      </c>
      <c r="Y387"/>
    </row>
    <row r="388" spans="1:25">
      <c r="A388" s="90">
        <v>387</v>
      </c>
      <c r="B388" s="68"/>
      <c r="C388" s="40"/>
      <c r="D388" s="40" t="str">
        <f t="shared" si="24"/>
        <v/>
      </c>
      <c r="E388" s="50" t="s">
        <v>132</v>
      </c>
      <c r="F388" s="17" t="s">
        <v>58</v>
      </c>
      <c r="G388" s="17" t="s">
        <v>86</v>
      </c>
      <c r="H388" s="42" t="s">
        <v>624</v>
      </c>
      <c r="I388" s="17" t="str">
        <f t="shared" si="25"/>
        <v>PN-387</v>
      </c>
      <c r="J388" s="18" t="s">
        <v>85</v>
      </c>
      <c r="K388" s="19" t="e">
        <f>IF(J388="","SEM #CH",VLOOKUP(J388,#REF!,2,0))</f>
        <v>#REF!</v>
      </c>
      <c r="L388" s="19" t="e">
        <f>IF(J388="","SEM #CH",VLOOKUP(J388,#REF!,3,0))</f>
        <v>#REF!</v>
      </c>
      <c r="M388" s="19" t="e">
        <f>IF(J388="","SEM #CH",VLOOKUP(J388,#REF!,4,0))</f>
        <v>#REF!</v>
      </c>
      <c r="N388" s="19" t="e">
        <f>IF(J388="","SEM #CH",VLOOKUP(J388,#REF!,5,0))</f>
        <v>#REF!</v>
      </c>
      <c r="O388" s="19" t="e">
        <f>IF(J388="","SEM #CH",VLOOKUP(J388,#REF!,6,0))</f>
        <v>#REF!</v>
      </c>
      <c r="P388" s="19" t="e">
        <f>IF(J388="","SEM #CH",VLOOKUP(J388,#REF!,7,0))</f>
        <v>#REF!</v>
      </c>
      <c r="Q388" s="77" t="str">
        <f>VLOOKUP(J388,'p1'!$B$2:$C$30,2,0)</f>
        <v>NÃO TEM CHAPA</v>
      </c>
      <c r="R388" s="91"/>
      <c r="S388" s="91"/>
      <c r="T388" s="91" t="str">
        <f t="shared" si="26"/>
        <v/>
      </c>
      <c r="U388" s="91"/>
      <c r="V388" s="91"/>
      <c r="W388" s="93"/>
      <c r="X388" s="94" t="str">
        <f t="shared" si="27"/>
        <v/>
      </c>
      <c r="Y388"/>
    </row>
    <row r="389" spans="1:25">
      <c r="A389" s="90">
        <v>388</v>
      </c>
      <c r="B389" s="68"/>
      <c r="C389" s="40"/>
      <c r="D389" s="40" t="str">
        <f t="shared" si="24"/>
        <v/>
      </c>
      <c r="E389" s="50" t="s">
        <v>132</v>
      </c>
      <c r="F389" s="17" t="s">
        <v>58</v>
      </c>
      <c r="G389" s="17" t="s">
        <v>86</v>
      </c>
      <c r="H389" s="42" t="s">
        <v>625</v>
      </c>
      <c r="I389" s="17" t="str">
        <f t="shared" si="25"/>
        <v>PN-388</v>
      </c>
      <c r="J389" s="18" t="s">
        <v>85</v>
      </c>
      <c r="K389" s="19" t="e">
        <f>IF(J389="","SEM #CH",VLOOKUP(J389,#REF!,2,0))</f>
        <v>#REF!</v>
      </c>
      <c r="L389" s="19" t="e">
        <f>IF(J389="","SEM #CH",VLOOKUP(J389,#REF!,3,0))</f>
        <v>#REF!</v>
      </c>
      <c r="M389" s="19" t="e">
        <f>IF(J389="","SEM #CH",VLOOKUP(J389,#REF!,4,0))</f>
        <v>#REF!</v>
      </c>
      <c r="N389" s="19" t="e">
        <f>IF(J389="","SEM #CH",VLOOKUP(J389,#REF!,5,0))</f>
        <v>#REF!</v>
      </c>
      <c r="O389" s="19" t="e">
        <f>IF(J389="","SEM #CH",VLOOKUP(J389,#REF!,6,0))</f>
        <v>#REF!</v>
      </c>
      <c r="P389" s="19" t="e">
        <f>IF(J389="","SEM #CH",VLOOKUP(J389,#REF!,7,0))</f>
        <v>#REF!</v>
      </c>
      <c r="Q389" s="77" t="str">
        <f>VLOOKUP(J389,'p1'!$B$2:$C$30,2,0)</f>
        <v>NÃO TEM CHAPA</v>
      </c>
      <c r="R389" s="91"/>
      <c r="S389" s="91"/>
      <c r="T389" s="91" t="str">
        <f t="shared" si="26"/>
        <v/>
      </c>
      <c r="U389" s="91"/>
      <c r="V389" s="91"/>
      <c r="W389" s="93"/>
      <c r="X389" s="94" t="str">
        <f t="shared" si="27"/>
        <v/>
      </c>
      <c r="Y389"/>
    </row>
    <row r="390" spans="1:25">
      <c r="A390" s="90">
        <v>389</v>
      </c>
      <c r="B390" s="68"/>
      <c r="C390" s="40"/>
      <c r="D390" s="40" t="str">
        <f t="shared" si="24"/>
        <v/>
      </c>
      <c r="E390" s="50" t="s">
        <v>132</v>
      </c>
      <c r="F390" s="17" t="s">
        <v>58</v>
      </c>
      <c r="G390" s="17" t="s">
        <v>86</v>
      </c>
      <c r="H390" s="42" t="s">
        <v>626</v>
      </c>
      <c r="I390" s="17" t="str">
        <f t="shared" si="25"/>
        <v>PN-389</v>
      </c>
      <c r="J390" s="18" t="s">
        <v>85</v>
      </c>
      <c r="K390" s="19" t="e">
        <f>IF(J390="","SEM #CH",VLOOKUP(J390,#REF!,2,0))</f>
        <v>#REF!</v>
      </c>
      <c r="L390" s="19" t="e">
        <f>IF(J390="","SEM #CH",VLOOKUP(J390,#REF!,3,0))</f>
        <v>#REF!</v>
      </c>
      <c r="M390" s="19" t="e">
        <f>IF(J390="","SEM #CH",VLOOKUP(J390,#REF!,4,0))</f>
        <v>#REF!</v>
      </c>
      <c r="N390" s="19" t="e">
        <f>IF(J390="","SEM #CH",VLOOKUP(J390,#REF!,5,0))</f>
        <v>#REF!</v>
      </c>
      <c r="O390" s="19" t="e">
        <f>IF(J390="","SEM #CH",VLOOKUP(J390,#REF!,6,0))</f>
        <v>#REF!</v>
      </c>
      <c r="P390" s="19" t="e">
        <f>IF(J390="","SEM #CH",VLOOKUP(J390,#REF!,7,0))</f>
        <v>#REF!</v>
      </c>
      <c r="Q390" s="77" t="str">
        <f>VLOOKUP(J390,'p1'!$B$2:$C$30,2,0)</f>
        <v>NÃO TEM CHAPA</v>
      </c>
      <c r="R390" s="91"/>
      <c r="S390" s="91"/>
      <c r="T390" s="91" t="str">
        <f t="shared" si="26"/>
        <v/>
      </c>
      <c r="U390" s="91"/>
      <c r="V390" s="91"/>
      <c r="W390" s="93"/>
      <c r="X390" s="94" t="str">
        <f t="shared" si="27"/>
        <v/>
      </c>
      <c r="Y390"/>
    </row>
    <row r="391" spans="1:25">
      <c r="A391" s="90">
        <v>390</v>
      </c>
      <c r="B391" s="68"/>
      <c r="C391" s="40"/>
      <c r="D391" s="40" t="str">
        <f t="shared" si="24"/>
        <v/>
      </c>
      <c r="E391" s="50" t="s">
        <v>132</v>
      </c>
      <c r="F391" s="17" t="s">
        <v>58</v>
      </c>
      <c r="G391" s="17" t="s">
        <v>86</v>
      </c>
      <c r="H391" s="42" t="s">
        <v>627</v>
      </c>
      <c r="I391" s="17" t="str">
        <f t="shared" si="25"/>
        <v>PN-390</v>
      </c>
      <c r="J391" s="18" t="s">
        <v>85</v>
      </c>
      <c r="K391" s="19" t="e">
        <f>IF(J391="","SEM #CH",VLOOKUP(J391,#REF!,2,0))</f>
        <v>#REF!</v>
      </c>
      <c r="L391" s="19" t="e">
        <f>IF(J391="","SEM #CH",VLOOKUP(J391,#REF!,3,0))</f>
        <v>#REF!</v>
      </c>
      <c r="M391" s="19" t="e">
        <f>IF(J391="","SEM #CH",VLOOKUP(J391,#REF!,4,0))</f>
        <v>#REF!</v>
      </c>
      <c r="N391" s="19" t="e">
        <f>IF(J391="","SEM #CH",VLOOKUP(J391,#REF!,5,0))</f>
        <v>#REF!</v>
      </c>
      <c r="O391" s="19" t="e">
        <f>IF(J391="","SEM #CH",VLOOKUP(J391,#REF!,6,0))</f>
        <v>#REF!</v>
      </c>
      <c r="P391" s="19" t="e">
        <f>IF(J391="","SEM #CH",VLOOKUP(J391,#REF!,7,0))</f>
        <v>#REF!</v>
      </c>
      <c r="Q391" s="77" t="str">
        <f>VLOOKUP(J391,'p1'!$B$2:$C$30,2,0)</f>
        <v>NÃO TEM CHAPA</v>
      </c>
      <c r="R391" s="91"/>
      <c r="S391" s="91"/>
      <c r="T391" s="91" t="str">
        <f t="shared" si="26"/>
        <v/>
      </c>
      <c r="U391" s="91"/>
      <c r="V391" s="91"/>
      <c r="W391" s="93"/>
      <c r="X391" s="94" t="str">
        <f t="shared" si="27"/>
        <v/>
      </c>
      <c r="Y391"/>
    </row>
    <row r="392" spans="1:25">
      <c r="A392" s="90">
        <v>391</v>
      </c>
      <c r="B392" s="68"/>
      <c r="C392" s="40"/>
      <c r="D392" s="40" t="str">
        <f t="shared" si="24"/>
        <v/>
      </c>
      <c r="E392" s="50" t="s">
        <v>132</v>
      </c>
      <c r="F392" s="17" t="s">
        <v>58</v>
      </c>
      <c r="G392" s="17" t="s">
        <v>86</v>
      </c>
      <c r="H392" s="42" t="s">
        <v>628</v>
      </c>
      <c r="I392" s="17" t="str">
        <f t="shared" si="25"/>
        <v>PN-391</v>
      </c>
      <c r="J392" s="18" t="s">
        <v>85</v>
      </c>
      <c r="K392" s="19" t="e">
        <f>IF(J392="","SEM #CH",VLOOKUP(J392,#REF!,2,0))</f>
        <v>#REF!</v>
      </c>
      <c r="L392" s="19" t="e">
        <f>IF(J392="","SEM #CH",VLOOKUP(J392,#REF!,3,0))</f>
        <v>#REF!</v>
      </c>
      <c r="M392" s="19" t="e">
        <f>IF(J392="","SEM #CH",VLOOKUP(J392,#REF!,4,0))</f>
        <v>#REF!</v>
      </c>
      <c r="N392" s="19" t="e">
        <f>IF(J392="","SEM #CH",VLOOKUP(J392,#REF!,5,0))</f>
        <v>#REF!</v>
      </c>
      <c r="O392" s="19" t="e">
        <f>IF(J392="","SEM #CH",VLOOKUP(J392,#REF!,6,0))</f>
        <v>#REF!</v>
      </c>
      <c r="P392" s="19" t="e">
        <f>IF(J392="","SEM #CH",VLOOKUP(J392,#REF!,7,0))</f>
        <v>#REF!</v>
      </c>
      <c r="Q392" s="77" t="str">
        <f>VLOOKUP(J392,'p1'!$B$2:$C$30,2,0)</f>
        <v>NÃO TEM CHAPA</v>
      </c>
      <c r="R392" s="91"/>
      <c r="S392" s="91"/>
      <c r="T392" s="91" t="str">
        <f t="shared" si="26"/>
        <v/>
      </c>
      <c r="U392" s="91"/>
      <c r="V392" s="91"/>
      <c r="W392" s="93"/>
      <c r="X392" s="94" t="str">
        <f t="shared" si="27"/>
        <v/>
      </c>
      <c r="Y392"/>
    </row>
    <row r="393" spans="1:25">
      <c r="A393" s="90">
        <v>392</v>
      </c>
      <c r="B393" s="68"/>
      <c r="C393" s="40"/>
      <c r="D393" s="40" t="str">
        <f t="shared" si="24"/>
        <v/>
      </c>
      <c r="E393" s="50" t="s">
        <v>132</v>
      </c>
      <c r="F393" s="17" t="s">
        <v>58</v>
      </c>
      <c r="G393" s="17" t="s">
        <v>86</v>
      </c>
      <c r="H393" s="42" t="s">
        <v>629</v>
      </c>
      <c r="I393" s="17" t="str">
        <f t="shared" si="25"/>
        <v>PN-392</v>
      </c>
      <c r="J393" s="18" t="s">
        <v>85</v>
      </c>
      <c r="K393" s="19" t="e">
        <f>IF(J393="","SEM #CH",VLOOKUP(J393,#REF!,2,0))</f>
        <v>#REF!</v>
      </c>
      <c r="L393" s="19" t="e">
        <f>IF(J393="","SEM #CH",VLOOKUP(J393,#REF!,3,0))</f>
        <v>#REF!</v>
      </c>
      <c r="M393" s="19" t="e">
        <f>IF(J393="","SEM #CH",VLOOKUP(J393,#REF!,4,0))</f>
        <v>#REF!</v>
      </c>
      <c r="N393" s="19" t="e">
        <f>IF(J393="","SEM #CH",VLOOKUP(J393,#REF!,5,0))</f>
        <v>#REF!</v>
      </c>
      <c r="O393" s="19" t="e">
        <f>IF(J393="","SEM #CH",VLOOKUP(J393,#REF!,6,0))</f>
        <v>#REF!</v>
      </c>
      <c r="P393" s="19" t="e">
        <f>IF(J393="","SEM #CH",VLOOKUP(J393,#REF!,7,0))</f>
        <v>#REF!</v>
      </c>
      <c r="Q393" s="77" t="str">
        <f>VLOOKUP(J393,'p1'!$B$2:$C$30,2,0)</f>
        <v>NÃO TEM CHAPA</v>
      </c>
      <c r="R393" s="91"/>
      <c r="S393" s="91"/>
      <c r="T393" s="91" t="str">
        <f t="shared" si="26"/>
        <v/>
      </c>
      <c r="U393" s="91"/>
      <c r="V393" s="91"/>
      <c r="W393" s="93"/>
      <c r="X393" s="94" t="str">
        <f t="shared" si="27"/>
        <v/>
      </c>
      <c r="Y393"/>
    </row>
    <row r="394" spans="1:25">
      <c r="A394" s="90">
        <v>393</v>
      </c>
      <c r="B394" s="68"/>
      <c r="C394" s="40"/>
      <c r="D394" s="40" t="str">
        <f t="shared" si="24"/>
        <v/>
      </c>
      <c r="E394" s="50" t="s">
        <v>132</v>
      </c>
      <c r="F394" s="17" t="s">
        <v>58</v>
      </c>
      <c r="G394" s="17" t="s">
        <v>86</v>
      </c>
      <c r="H394" s="42" t="s">
        <v>630</v>
      </c>
      <c r="I394" s="17" t="str">
        <f t="shared" si="25"/>
        <v>PN-393</v>
      </c>
      <c r="J394" s="18" t="s">
        <v>85</v>
      </c>
      <c r="K394" s="19" t="e">
        <f>IF(J394="","SEM #CH",VLOOKUP(J394,#REF!,2,0))</f>
        <v>#REF!</v>
      </c>
      <c r="L394" s="19" t="e">
        <f>IF(J394="","SEM #CH",VLOOKUP(J394,#REF!,3,0))</f>
        <v>#REF!</v>
      </c>
      <c r="M394" s="19" t="e">
        <f>IF(J394="","SEM #CH",VLOOKUP(J394,#REF!,4,0))</f>
        <v>#REF!</v>
      </c>
      <c r="N394" s="19" t="e">
        <f>IF(J394="","SEM #CH",VLOOKUP(J394,#REF!,5,0))</f>
        <v>#REF!</v>
      </c>
      <c r="O394" s="19" t="e">
        <f>IF(J394="","SEM #CH",VLOOKUP(J394,#REF!,6,0))</f>
        <v>#REF!</v>
      </c>
      <c r="P394" s="19" t="e">
        <f>IF(J394="","SEM #CH",VLOOKUP(J394,#REF!,7,0))</f>
        <v>#REF!</v>
      </c>
      <c r="Q394" s="77" t="str">
        <f>VLOOKUP(J394,'p1'!$B$2:$C$30,2,0)</f>
        <v>NÃO TEM CHAPA</v>
      </c>
      <c r="R394" s="91"/>
      <c r="S394" s="91"/>
      <c r="T394" s="91" t="str">
        <f t="shared" si="26"/>
        <v/>
      </c>
      <c r="U394" s="91"/>
      <c r="V394" s="91"/>
      <c r="W394" s="93"/>
      <c r="X394" s="94" t="str">
        <f t="shared" si="27"/>
        <v/>
      </c>
      <c r="Y394"/>
    </row>
    <row r="395" spans="1:25">
      <c r="A395" s="90">
        <v>394</v>
      </c>
      <c r="B395" s="68"/>
      <c r="C395" s="40"/>
      <c r="D395" s="40" t="str">
        <f t="shared" si="24"/>
        <v/>
      </c>
      <c r="E395" s="50" t="s">
        <v>132</v>
      </c>
      <c r="F395" s="17" t="s">
        <v>58</v>
      </c>
      <c r="G395" s="17" t="s">
        <v>86</v>
      </c>
      <c r="H395" s="42" t="s">
        <v>631</v>
      </c>
      <c r="I395" s="17" t="str">
        <f t="shared" si="25"/>
        <v>PN-394</v>
      </c>
      <c r="J395" s="18" t="s">
        <v>85</v>
      </c>
      <c r="K395" s="19" t="e">
        <f>IF(J395="","SEM #CH",VLOOKUP(J395,#REF!,2,0))</f>
        <v>#REF!</v>
      </c>
      <c r="L395" s="19" t="e">
        <f>IF(J395="","SEM #CH",VLOOKUP(J395,#REF!,3,0))</f>
        <v>#REF!</v>
      </c>
      <c r="M395" s="19" t="e">
        <f>IF(J395="","SEM #CH",VLOOKUP(J395,#REF!,4,0))</f>
        <v>#REF!</v>
      </c>
      <c r="N395" s="19" t="e">
        <f>IF(J395="","SEM #CH",VLOOKUP(J395,#REF!,5,0))</f>
        <v>#REF!</v>
      </c>
      <c r="O395" s="19" t="e">
        <f>IF(J395="","SEM #CH",VLOOKUP(J395,#REF!,6,0))</f>
        <v>#REF!</v>
      </c>
      <c r="P395" s="19" t="e">
        <f>IF(J395="","SEM #CH",VLOOKUP(J395,#REF!,7,0))</f>
        <v>#REF!</v>
      </c>
      <c r="Q395" s="77" t="str">
        <f>VLOOKUP(J395,'p1'!$B$2:$C$30,2,0)</f>
        <v>NÃO TEM CHAPA</v>
      </c>
      <c r="R395" s="91"/>
      <c r="S395" s="91"/>
      <c r="T395" s="91" t="str">
        <f t="shared" si="26"/>
        <v/>
      </c>
      <c r="U395" s="91"/>
      <c r="V395" s="91"/>
      <c r="W395" s="93"/>
      <c r="X395" s="94" t="str">
        <f t="shared" si="27"/>
        <v/>
      </c>
      <c r="Y395"/>
    </row>
    <row r="396" spans="1:25">
      <c r="A396" s="90">
        <v>395</v>
      </c>
      <c r="B396" s="68"/>
      <c r="C396" s="40"/>
      <c r="D396" s="40" t="str">
        <f t="shared" si="24"/>
        <v/>
      </c>
      <c r="E396" s="50" t="s">
        <v>132</v>
      </c>
      <c r="F396" s="17" t="s">
        <v>58</v>
      </c>
      <c r="G396" s="17" t="s">
        <v>86</v>
      </c>
      <c r="H396" s="42" t="s">
        <v>632</v>
      </c>
      <c r="I396" s="17" t="str">
        <f t="shared" si="25"/>
        <v>PN-395</v>
      </c>
      <c r="J396" s="18" t="s">
        <v>85</v>
      </c>
      <c r="K396" s="19" t="e">
        <f>IF(J396="","SEM #CH",VLOOKUP(J396,#REF!,2,0))</f>
        <v>#REF!</v>
      </c>
      <c r="L396" s="19" t="e">
        <f>IF(J396="","SEM #CH",VLOOKUP(J396,#REF!,3,0))</f>
        <v>#REF!</v>
      </c>
      <c r="M396" s="19" t="e">
        <f>IF(J396="","SEM #CH",VLOOKUP(J396,#REF!,4,0))</f>
        <v>#REF!</v>
      </c>
      <c r="N396" s="19" t="e">
        <f>IF(J396="","SEM #CH",VLOOKUP(J396,#REF!,5,0))</f>
        <v>#REF!</v>
      </c>
      <c r="O396" s="19" t="e">
        <f>IF(J396="","SEM #CH",VLOOKUP(J396,#REF!,6,0))</f>
        <v>#REF!</v>
      </c>
      <c r="P396" s="19" t="e">
        <f>IF(J396="","SEM #CH",VLOOKUP(J396,#REF!,7,0))</f>
        <v>#REF!</v>
      </c>
      <c r="Q396" s="77" t="str">
        <f>VLOOKUP(J396,'p1'!$B$2:$C$30,2,0)</f>
        <v>NÃO TEM CHAPA</v>
      </c>
      <c r="R396" s="91"/>
      <c r="S396" s="91"/>
      <c r="T396" s="91" t="str">
        <f t="shared" si="26"/>
        <v/>
      </c>
      <c r="U396" s="91"/>
      <c r="V396" s="91"/>
      <c r="W396" s="93"/>
      <c r="X396" s="94" t="str">
        <f t="shared" si="27"/>
        <v/>
      </c>
      <c r="Y396"/>
    </row>
    <row r="397" spans="1:25">
      <c r="A397" s="90">
        <v>396</v>
      </c>
      <c r="B397" s="68"/>
      <c r="C397" s="40"/>
      <c r="D397" s="40" t="str">
        <f t="shared" si="24"/>
        <v/>
      </c>
      <c r="E397" s="50" t="s">
        <v>132</v>
      </c>
      <c r="F397" s="17" t="s">
        <v>60</v>
      </c>
      <c r="G397" s="17" t="s">
        <v>86</v>
      </c>
      <c r="H397" s="42" t="s">
        <v>633</v>
      </c>
      <c r="I397" s="17" t="str">
        <f t="shared" si="25"/>
        <v>PE-396</v>
      </c>
      <c r="J397" s="18" t="s">
        <v>90</v>
      </c>
      <c r="K397" s="19" t="e">
        <f>IF(J397="","SEM #CH",VLOOKUP(J397,#REF!,2,0))</f>
        <v>#REF!</v>
      </c>
      <c r="L397" s="19" t="e">
        <f>IF(J397="","SEM #CH",VLOOKUP(J397,#REF!,3,0))</f>
        <v>#REF!</v>
      </c>
      <c r="M397" s="19" t="e">
        <f>IF(J397="","SEM #CH",VLOOKUP(J397,#REF!,4,0))</f>
        <v>#REF!</v>
      </c>
      <c r="N397" s="19" t="e">
        <f>IF(J397="","SEM #CH",VLOOKUP(J397,#REF!,5,0))</f>
        <v>#REF!</v>
      </c>
      <c r="O397" s="19" t="e">
        <f>IF(J397="","SEM #CH",VLOOKUP(J397,#REF!,6,0))</f>
        <v>#REF!</v>
      </c>
      <c r="P397" s="19" t="e">
        <f>IF(J397="","SEM #CH",VLOOKUP(J397,#REF!,7,0))</f>
        <v>#REF!</v>
      </c>
      <c r="Q397" s="77" t="str">
        <f>VLOOKUP(J397,'p1'!$B$2:$C$30,2,0)</f>
        <v>#3/8-530X530</v>
      </c>
      <c r="R397" s="91"/>
      <c r="S397" s="91"/>
      <c r="T397" s="91" t="str">
        <f t="shared" si="26"/>
        <v/>
      </c>
      <c r="U397" s="91"/>
      <c r="V397" s="91"/>
      <c r="W397" s="93"/>
      <c r="X397" s="94" t="str">
        <f t="shared" si="27"/>
        <v/>
      </c>
      <c r="Y397"/>
    </row>
    <row r="398" spans="1:25">
      <c r="A398" s="90">
        <v>397</v>
      </c>
      <c r="B398" s="68"/>
      <c r="C398" s="40"/>
      <c r="D398" s="40" t="str">
        <f t="shared" si="24"/>
        <v/>
      </c>
      <c r="E398" s="50" t="s">
        <v>132</v>
      </c>
      <c r="F398" s="17" t="s">
        <v>58</v>
      </c>
      <c r="G398" s="17" t="s">
        <v>86</v>
      </c>
      <c r="H398" s="42" t="s">
        <v>634</v>
      </c>
      <c r="I398" s="17" t="str">
        <f t="shared" si="25"/>
        <v>PN-397</v>
      </c>
      <c r="J398" s="18" t="s">
        <v>85</v>
      </c>
      <c r="K398" s="19" t="e">
        <f>IF(J398="","SEM #CH",VLOOKUP(J398,#REF!,2,0))</f>
        <v>#REF!</v>
      </c>
      <c r="L398" s="19" t="e">
        <f>IF(J398="","SEM #CH",VLOOKUP(J398,#REF!,3,0))</f>
        <v>#REF!</v>
      </c>
      <c r="M398" s="19" t="e">
        <f>IF(J398="","SEM #CH",VLOOKUP(J398,#REF!,4,0))</f>
        <v>#REF!</v>
      </c>
      <c r="N398" s="19" t="e">
        <f>IF(J398="","SEM #CH",VLOOKUP(J398,#REF!,5,0))</f>
        <v>#REF!</v>
      </c>
      <c r="O398" s="19" t="e">
        <f>IF(J398="","SEM #CH",VLOOKUP(J398,#REF!,6,0))</f>
        <v>#REF!</v>
      </c>
      <c r="P398" s="19" t="e">
        <f>IF(J398="","SEM #CH",VLOOKUP(J398,#REF!,7,0))</f>
        <v>#REF!</v>
      </c>
      <c r="Q398" s="77" t="str">
        <f>VLOOKUP(J398,'p1'!$B$2:$C$30,2,0)</f>
        <v>NÃO TEM CHAPA</v>
      </c>
      <c r="R398" s="91"/>
      <c r="S398" s="91"/>
      <c r="T398" s="91" t="str">
        <f t="shared" si="26"/>
        <v/>
      </c>
      <c r="U398" s="91"/>
      <c r="V398" s="91"/>
      <c r="W398" s="93"/>
      <c r="X398" s="94" t="str">
        <f t="shared" si="27"/>
        <v/>
      </c>
      <c r="Y398"/>
    </row>
    <row r="399" spans="1:25">
      <c r="A399" s="90">
        <v>398</v>
      </c>
      <c r="B399" s="68"/>
      <c r="C399" s="40"/>
      <c r="D399" s="40" t="str">
        <f t="shared" si="24"/>
        <v/>
      </c>
      <c r="E399" s="50" t="s">
        <v>132</v>
      </c>
      <c r="F399" s="17" t="s">
        <v>58</v>
      </c>
      <c r="G399" s="17" t="s">
        <v>86</v>
      </c>
      <c r="H399" s="42" t="s">
        <v>635</v>
      </c>
      <c r="I399" s="17" t="str">
        <f t="shared" si="25"/>
        <v>PN-398</v>
      </c>
      <c r="J399" s="18" t="s">
        <v>85</v>
      </c>
      <c r="K399" s="19" t="e">
        <f>IF(J399="","SEM #CH",VLOOKUP(J399,#REF!,2,0))</f>
        <v>#REF!</v>
      </c>
      <c r="L399" s="19" t="e">
        <f>IF(J399="","SEM #CH",VLOOKUP(J399,#REF!,3,0))</f>
        <v>#REF!</v>
      </c>
      <c r="M399" s="19" t="e">
        <f>IF(J399="","SEM #CH",VLOOKUP(J399,#REF!,4,0))</f>
        <v>#REF!</v>
      </c>
      <c r="N399" s="19" t="e">
        <f>IF(J399="","SEM #CH",VLOOKUP(J399,#REF!,5,0))</f>
        <v>#REF!</v>
      </c>
      <c r="O399" s="19" t="e">
        <f>IF(J399="","SEM #CH",VLOOKUP(J399,#REF!,6,0))</f>
        <v>#REF!</v>
      </c>
      <c r="P399" s="19" t="e">
        <f>IF(J399="","SEM #CH",VLOOKUP(J399,#REF!,7,0))</f>
        <v>#REF!</v>
      </c>
      <c r="Q399" s="77" t="str">
        <f>VLOOKUP(J399,'p1'!$B$2:$C$30,2,0)</f>
        <v>NÃO TEM CHAPA</v>
      </c>
      <c r="R399" s="91"/>
      <c r="S399" s="91"/>
      <c r="T399" s="91" t="str">
        <f t="shared" si="26"/>
        <v/>
      </c>
      <c r="U399" s="91"/>
      <c r="V399" s="91"/>
      <c r="W399" s="93"/>
      <c r="X399" s="94" t="str">
        <f t="shared" si="27"/>
        <v/>
      </c>
      <c r="Y399"/>
    </row>
    <row r="400" spans="1:25">
      <c r="A400" s="90">
        <v>399</v>
      </c>
      <c r="B400" s="68"/>
      <c r="C400" s="40"/>
      <c r="D400" s="40" t="str">
        <f t="shared" si="24"/>
        <v/>
      </c>
      <c r="E400" s="50" t="s">
        <v>132</v>
      </c>
      <c r="F400" s="17" t="s">
        <v>58</v>
      </c>
      <c r="G400" s="17" t="s">
        <v>86</v>
      </c>
      <c r="H400" s="42" t="s">
        <v>636</v>
      </c>
      <c r="I400" s="17" t="str">
        <f t="shared" si="25"/>
        <v>PN-399</v>
      </c>
      <c r="J400" s="18" t="s">
        <v>85</v>
      </c>
      <c r="K400" s="19" t="e">
        <f>IF(J400="","SEM #CH",VLOOKUP(J400,#REF!,2,0))</f>
        <v>#REF!</v>
      </c>
      <c r="L400" s="19" t="e">
        <f>IF(J400="","SEM #CH",VLOOKUP(J400,#REF!,3,0))</f>
        <v>#REF!</v>
      </c>
      <c r="M400" s="19" t="e">
        <f>IF(J400="","SEM #CH",VLOOKUP(J400,#REF!,4,0))</f>
        <v>#REF!</v>
      </c>
      <c r="N400" s="19" t="e">
        <f>IF(J400="","SEM #CH",VLOOKUP(J400,#REF!,5,0))</f>
        <v>#REF!</v>
      </c>
      <c r="O400" s="19" t="e">
        <f>IF(J400="","SEM #CH",VLOOKUP(J400,#REF!,6,0))</f>
        <v>#REF!</v>
      </c>
      <c r="P400" s="19" t="e">
        <f>IF(J400="","SEM #CH",VLOOKUP(J400,#REF!,7,0))</f>
        <v>#REF!</v>
      </c>
      <c r="Q400" s="77" t="str">
        <f>VLOOKUP(J400,'p1'!$B$2:$C$30,2,0)</f>
        <v>NÃO TEM CHAPA</v>
      </c>
      <c r="R400" s="91"/>
      <c r="S400" s="91"/>
      <c r="T400" s="91" t="str">
        <f t="shared" si="26"/>
        <v/>
      </c>
      <c r="U400" s="91"/>
      <c r="V400" s="91"/>
      <c r="W400" s="93"/>
      <c r="X400" s="94" t="str">
        <f t="shared" si="27"/>
        <v/>
      </c>
      <c r="Y400"/>
    </row>
    <row r="401" spans="1:25">
      <c r="A401" s="90">
        <v>400</v>
      </c>
      <c r="B401" s="68"/>
      <c r="C401" s="40"/>
      <c r="D401" s="40" t="str">
        <f t="shared" si="24"/>
        <v/>
      </c>
      <c r="E401" s="50" t="s">
        <v>132</v>
      </c>
      <c r="F401" s="17" t="s">
        <v>58</v>
      </c>
      <c r="G401" s="17" t="s">
        <v>86</v>
      </c>
      <c r="H401" s="42" t="s">
        <v>637</v>
      </c>
      <c r="I401" s="17" t="str">
        <f t="shared" si="25"/>
        <v>PN-400</v>
      </c>
      <c r="J401" s="18" t="s">
        <v>85</v>
      </c>
      <c r="K401" s="19" t="e">
        <f>IF(J401="","SEM #CH",VLOOKUP(J401,#REF!,2,0))</f>
        <v>#REF!</v>
      </c>
      <c r="L401" s="19" t="e">
        <f>IF(J401="","SEM #CH",VLOOKUP(J401,#REF!,3,0))</f>
        <v>#REF!</v>
      </c>
      <c r="M401" s="19" t="e">
        <f>IF(J401="","SEM #CH",VLOOKUP(J401,#REF!,4,0))</f>
        <v>#REF!</v>
      </c>
      <c r="N401" s="19" t="e">
        <f>IF(J401="","SEM #CH",VLOOKUP(J401,#REF!,5,0))</f>
        <v>#REF!</v>
      </c>
      <c r="O401" s="19" t="e">
        <f>IF(J401="","SEM #CH",VLOOKUP(J401,#REF!,6,0))</f>
        <v>#REF!</v>
      </c>
      <c r="P401" s="19" t="e">
        <f>IF(J401="","SEM #CH",VLOOKUP(J401,#REF!,7,0))</f>
        <v>#REF!</v>
      </c>
      <c r="Q401" s="77" t="str">
        <f>VLOOKUP(J401,'p1'!$B$2:$C$30,2,0)</f>
        <v>NÃO TEM CHAPA</v>
      </c>
      <c r="R401" s="91"/>
      <c r="S401" s="91"/>
      <c r="T401" s="91" t="str">
        <f t="shared" si="26"/>
        <v/>
      </c>
      <c r="U401" s="91"/>
      <c r="V401" s="91"/>
      <c r="W401" s="93"/>
      <c r="X401" s="94" t="str">
        <f t="shared" si="27"/>
        <v/>
      </c>
      <c r="Y401"/>
    </row>
    <row r="402" spans="1:25">
      <c r="A402" s="90">
        <v>401</v>
      </c>
      <c r="B402" s="68"/>
      <c r="C402" s="40"/>
      <c r="D402" s="40" t="str">
        <f t="shared" si="24"/>
        <v/>
      </c>
      <c r="E402" s="50" t="s">
        <v>132</v>
      </c>
      <c r="F402" s="17" t="s">
        <v>58</v>
      </c>
      <c r="G402" s="17" t="s">
        <v>86</v>
      </c>
      <c r="H402" s="42" t="s">
        <v>638</v>
      </c>
      <c r="I402" s="17" t="str">
        <f t="shared" si="25"/>
        <v>PN-401</v>
      </c>
      <c r="J402" s="18" t="s">
        <v>85</v>
      </c>
      <c r="K402" s="19" t="e">
        <f>IF(J402="","SEM #CH",VLOOKUP(J402,#REF!,2,0))</f>
        <v>#REF!</v>
      </c>
      <c r="L402" s="19" t="e">
        <f>IF(J402="","SEM #CH",VLOOKUP(J402,#REF!,3,0))</f>
        <v>#REF!</v>
      </c>
      <c r="M402" s="19" t="e">
        <f>IF(J402="","SEM #CH",VLOOKUP(J402,#REF!,4,0))</f>
        <v>#REF!</v>
      </c>
      <c r="N402" s="19" t="e">
        <f>IF(J402="","SEM #CH",VLOOKUP(J402,#REF!,5,0))</f>
        <v>#REF!</v>
      </c>
      <c r="O402" s="19" t="e">
        <f>IF(J402="","SEM #CH",VLOOKUP(J402,#REF!,6,0))</f>
        <v>#REF!</v>
      </c>
      <c r="P402" s="19" t="e">
        <f>IF(J402="","SEM #CH",VLOOKUP(J402,#REF!,7,0))</f>
        <v>#REF!</v>
      </c>
      <c r="Q402" s="77" t="str">
        <f>VLOOKUP(J402,'p1'!$B$2:$C$30,2,0)</f>
        <v>NÃO TEM CHAPA</v>
      </c>
      <c r="R402" s="91"/>
      <c r="S402" s="91"/>
      <c r="T402" s="91" t="str">
        <f t="shared" si="26"/>
        <v/>
      </c>
      <c r="U402" s="91"/>
      <c r="V402" s="91"/>
      <c r="W402" s="93"/>
      <c r="X402" s="94" t="str">
        <f t="shared" si="27"/>
        <v/>
      </c>
      <c r="Y402"/>
    </row>
    <row r="403" spans="1:25">
      <c r="A403" s="90">
        <v>402</v>
      </c>
      <c r="B403" s="68"/>
      <c r="C403" s="40"/>
      <c r="D403" s="40" t="str">
        <f t="shared" si="24"/>
        <v/>
      </c>
      <c r="E403" s="50" t="s">
        <v>132</v>
      </c>
      <c r="F403" s="17" t="s">
        <v>58</v>
      </c>
      <c r="G403" s="17" t="s">
        <v>86</v>
      </c>
      <c r="H403" s="42" t="s">
        <v>639</v>
      </c>
      <c r="I403" s="17" t="str">
        <f t="shared" si="25"/>
        <v>PN-402</v>
      </c>
      <c r="J403" s="18" t="s">
        <v>85</v>
      </c>
      <c r="K403" s="19" t="e">
        <f>IF(J403="","SEM #CH",VLOOKUP(J403,#REF!,2,0))</f>
        <v>#REF!</v>
      </c>
      <c r="L403" s="19" t="e">
        <f>IF(J403="","SEM #CH",VLOOKUP(J403,#REF!,3,0))</f>
        <v>#REF!</v>
      </c>
      <c r="M403" s="19" t="e">
        <f>IF(J403="","SEM #CH",VLOOKUP(J403,#REF!,4,0))</f>
        <v>#REF!</v>
      </c>
      <c r="N403" s="19" t="e">
        <f>IF(J403="","SEM #CH",VLOOKUP(J403,#REF!,5,0))</f>
        <v>#REF!</v>
      </c>
      <c r="O403" s="19" t="e">
        <f>IF(J403="","SEM #CH",VLOOKUP(J403,#REF!,6,0))</f>
        <v>#REF!</v>
      </c>
      <c r="P403" s="19" t="e">
        <f>IF(J403="","SEM #CH",VLOOKUP(J403,#REF!,7,0))</f>
        <v>#REF!</v>
      </c>
      <c r="Q403" s="77" t="str">
        <f>VLOOKUP(J403,'p1'!$B$2:$C$30,2,0)</f>
        <v>NÃO TEM CHAPA</v>
      </c>
      <c r="R403" s="91"/>
      <c r="S403" s="91"/>
      <c r="T403" s="91" t="str">
        <f t="shared" si="26"/>
        <v/>
      </c>
      <c r="U403" s="91"/>
      <c r="V403" s="91"/>
      <c r="W403" s="93"/>
      <c r="X403" s="94" t="str">
        <f t="shared" si="27"/>
        <v/>
      </c>
      <c r="Y403"/>
    </row>
    <row r="404" spans="1:25">
      <c r="A404" s="90">
        <v>403</v>
      </c>
      <c r="B404" s="68"/>
      <c r="C404" s="40"/>
      <c r="D404" s="40" t="str">
        <f t="shared" si="24"/>
        <v/>
      </c>
      <c r="E404" s="50" t="s">
        <v>132</v>
      </c>
      <c r="F404" s="17" t="s">
        <v>58</v>
      </c>
      <c r="G404" s="17" t="s">
        <v>86</v>
      </c>
      <c r="H404" s="42" t="s">
        <v>640</v>
      </c>
      <c r="I404" s="17" t="str">
        <f t="shared" si="25"/>
        <v>PN-403</v>
      </c>
      <c r="J404" s="18" t="s">
        <v>85</v>
      </c>
      <c r="K404" s="19" t="e">
        <f>IF(J404="","SEM #CH",VLOOKUP(J404,#REF!,2,0))</f>
        <v>#REF!</v>
      </c>
      <c r="L404" s="19" t="e">
        <f>IF(J404="","SEM #CH",VLOOKUP(J404,#REF!,3,0))</f>
        <v>#REF!</v>
      </c>
      <c r="M404" s="19" t="e">
        <f>IF(J404="","SEM #CH",VLOOKUP(J404,#REF!,4,0))</f>
        <v>#REF!</v>
      </c>
      <c r="N404" s="19" t="e">
        <f>IF(J404="","SEM #CH",VLOOKUP(J404,#REF!,5,0))</f>
        <v>#REF!</v>
      </c>
      <c r="O404" s="19" t="e">
        <f>IF(J404="","SEM #CH",VLOOKUP(J404,#REF!,6,0))</f>
        <v>#REF!</v>
      </c>
      <c r="P404" s="19" t="e">
        <f>IF(J404="","SEM #CH",VLOOKUP(J404,#REF!,7,0))</f>
        <v>#REF!</v>
      </c>
      <c r="Q404" s="77" t="str">
        <f>VLOOKUP(J404,'p1'!$B$2:$C$30,2,0)</f>
        <v>NÃO TEM CHAPA</v>
      </c>
      <c r="R404" s="91"/>
      <c r="S404" s="91"/>
      <c r="T404" s="91" t="str">
        <f t="shared" si="26"/>
        <v/>
      </c>
      <c r="U404" s="91"/>
      <c r="V404" s="91"/>
      <c r="W404" s="93"/>
      <c r="X404" s="94" t="str">
        <f t="shared" si="27"/>
        <v/>
      </c>
      <c r="Y404"/>
    </row>
    <row r="405" spans="1:25">
      <c r="A405" s="90">
        <v>404</v>
      </c>
      <c r="B405" s="68"/>
      <c r="C405" s="40"/>
      <c r="D405" s="40" t="str">
        <f t="shared" si="24"/>
        <v/>
      </c>
      <c r="E405" s="50" t="s">
        <v>132</v>
      </c>
      <c r="F405" s="17" t="s">
        <v>61</v>
      </c>
      <c r="G405" s="17" t="s">
        <v>86</v>
      </c>
      <c r="H405" s="42" t="s">
        <v>641</v>
      </c>
      <c r="I405" s="17" t="str">
        <f t="shared" si="25"/>
        <v>PF-404</v>
      </c>
      <c r="J405" s="18" t="s">
        <v>61</v>
      </c>
      <c r="K405" s="19" t="e">
        <f>IF(J405="","SEM #CH",VLOOKUP(J405,#REF!,2,0))</f>
        <v>#REF!</v>
      </c>
      <c r="L405" s="19" t="e">
        <f>IF(J405="","SEM #CH",VLOOKUP(J405,#REF!,3,0))</f>
        <v>#REF!</v>
      </c>
      <c r="M405" s="19" t="e">
        <f>IF(J405="","SEM #CH",VLOOKUP(J405,#REF!,4,0))</f>
        <v>#REF!</v>
      </c>
      <c r="N405" s="19" t="e">
        <f>IF(J405="","SEM #CH",VLOOKUP(J405,#REF!,5,0))</f>
        <v>#REF!</v>
      </c>
      <c r="O405" s="19" t="e">
        <f>IF(J405="","SEM #CH",VLOOKUP(J405,#REF!,6,0))</f>
        <v>#REF!</v>
      </c>
      <c r="P405" s="19" t="e">
        <f>IF(J405="","SEM #CH",VLOOKUP(J405,#REF!,7,0))</f>
        <v>#REF!</v>
      </c>
      <c r="Q405" s="77" t="str">
        <f>VLOOKUP(J405,'p1'!$B$2:$C$30,2,0)</f>
        <v>SEM CHAPA</v>
      </c>
      <c r="R405" s="91"/>
      <c r="S405" s="91"/>
      <c r="T405" s="91" t="str">
        <f t="shared" si="26"/>
        <v/>
      </c>
      <c r="U405" s="91"/>
      <c r="V405" s="91"/>
      <c r="W405" s="93"/>
      <c r="X405" s="94" t="str">
        <f t="shared" si="27"/>
        <v/>
      </c>
      <c r="Y405"/>
    </row>
    <row r="406" spans="1:25">
      <c r="A406" s="90">
        <v>405</v>
      </c>
      <c r="B406" s="68"/>
      <c r="C406" s="40"/>
      <c r="D406" s="40" t="str">
        <f t="shared" si="24"/>
        <v/>
      </c>
      <c r="E406" s="50" t="s">
        <v>132</v>
      </c>
      <c r="F406" s="17" t="s">
        <v>58</v>
      </c>
      <c r="G406" s="17" t="s">
        <v>86</v>
      </c>
      <c r="H406" s="42" t="s">
        <v>642</v>
      </c>
      <c r="I406" s="17" t="str">
        <f t="shared" si="25"/>
        <v>PN-405</v>
      </c>
      <c r="J406" s="18" t="s">
        <v>85</v>
      </c>
      <c r="K406" s="19" t="e">
        <f>IF(J406="","SEM #CH",VLOOKUP(J406,#REF!,2,0))</f>
        <v>#REF!</v>
      </c>
      <c r="L406" s="19" t="e">
        <f>IF(J406="","SEM #CH",VLOOKUP(J406,#REF!,3,0))</f>
        <v>#REF!</v>
      </c>
      <c r="M406" s="19" t="e">
        <f>IF(J406="","SEM #CH",VLOOKUP(J406,#REF!,4,0))</f>
        <v>#REF!</v>
      </c>
      <c r="N406" s="19" t="e">
        <f>IF(J406="","SEM #CH",VLOOKUP(J406,#REF!,5,0))</f>
        <v>#REF!</v>
      </c>
      <c r="O406" s="19" t="e">
        <f>IF(J406="","SEM #CH",VLOOKUP(J406,#REF!,6,0))</f>
        <v>#REF!</v>
      </c>
      <c r="P406" s="19" t="e">
        <f>IF(J406="","SEM #CH",VLOOKUP(J406,#REF!,7,0))</f>
        <v>#REF!</v>
      </c>
      <c r="Q406" s="77" t="str">
        <f>VLOOKUP(J406,'p1'!$B$2:$C$30,2,0)</f>
        <v>NÃO TEM CHAPA</v>
      </c>
      <c r="R406" s="91"/>
      <c r="S406" s="91"/>
      <c r="T406" s="91" t="str">
        <f t="shared" si="26"/>
        <v/>
      </c>
      <c r="U406" s="91"/>
      <c r="V406" s="91"/>
      <c r="W406" s="93"/>
      <c r="X406" s="94" t="str">
        <f t="shared" si="27"/>
        <v/>
      </c>
      <c r="Y406"/>
    </row>
    <row r="407" spans="1:25">
      <c r="A407" s="90">
        <v>406</v>
      </c>
      <c r="B407" s="68"/>
      <c r="C407" s="40"/>
      <c r="D407" s="40" t="str">
        <f t="shared" si="24"/>
        <v/>
      </c>
      <c r="E407" s="50" t="s">
        <v>132</v>
      </c>
      <c r="F407" s="17" t="s">
        <v>58</v>
      </c>
      <c r="G407" s="17" t="s">
        <v>86</v>
      </c>
      <c r="H407" s="42" t="s">
        <v>643</v>
      </c>
      <c r="I407" s="17" t="str">
        <f t="shared" si="25"/>
        <v>PN-406</v>
      </c>
      <c r="J407" s="18" t="s">
        <v>85</v>
      </c>
      <c r="K407" s="19" t="e">
        <f>IF(J407="","SEM #CH",VLOOKUP(J407,#REF!,2,0))</f>
        <v>#REF!</v>
      </c>
      <c r="L407" s="19" t="e">
        <f>IF(J407="","SEM #CH",VLOOKUP(J407,#REF!,3,0))</f>
        <v>#REF!</v>
      </c>
      <c r="M407" s="19" t="e">
        <f>IF(J407="","SEM #CH",VLOOKUP(J407,#REF!,4,0))</f>
        <v>#REF!</v>
      </c>
      <c r="N407" s="19" t="e">
        <f>IF(J407="","SEM #CH",VLOOKUP(J407,#REF!,5,0))</f>
        <v>#REF!</v>
      </c>
      <c r="O407" s="19" t="e">
        <f>IF(J407="","SEM #CH",VLOOKUP(J407,#REF!,6,0))</f>
        <v>#REF!</v>
      </c>
      <c r="P407" s="19" t="e">
        <f>IF(J407="","SEM #CH",VLOOKUP(J407,#REF!,7,0))</f>
        <v>#REF!</v>
      </c>
      <c r="Q407" s="77" t="str">
        <f>VLOOKUP(J407,'p1'!$B$2:$C$30,2,0)</f>
        <v>NÃO TEM CHAPA</v>
      </c>
      <c r="R407" s="91"/>
      <c r="S407" s="91"/>
      <c r="T407" s="91" t="str">
        <f t="shared" si="26"/>
        <v/>
      </c>
      <c r="U407" s="91"/>
      <c r="V407" s="91"/>
      <c r="W407" s="93"/>
      <c r="X407" s="94" t="str">
        <f t="shared" si="27"/>
        <v/>
      </c>
      <c r="Y407"/>
    </row>
    <row r="408" spans="1:25">
      <c r="A408" s="90">
        <v>407</v>
      </c>
      <c r="B408" s="68"/>
      <c r="C408" s="40"/>
      <c r="D408" s="40" t="str">
        <f t="shared" si="24"/>
        <v/>
      </c>
      <c r="E408" s="50" t="s">
        <v>132</v>
      </c>
      <c r="F408" s="17" t="s">
        <v>58</v>
      </c>
      <c r="G408" s="17" t="s">
        <v>86</v>
      </c>
      <c r="H408" s="42" t="s">
        <v>644</v>
      </c>
      <c r="I408" s="17" t="str">
        <f t="shared" si="25"/>
        <v>PN-407</v>
      </c>
      <c r="J408" s="18" t="s">
        <v>85</v>
      </c>
      <c r="K408" s="19" t="e">
        <f>IF(J408="","SEM #CH",VLOOKUP(J408,#REF!,2,0))</f>
        <v>#REF!</v>
      </c>
      <c r="L408" s="19" t="e">
        <f>IF(J408="","SEM #CH",VLOOKUP(J408,#REF!,3,0))</f>
        <v>#REF!</v>
      </c>
      <c r="M408" s="19" t="e">
        <f>IF(J408="","SEM #CH",VLOOKUP(J408,#REF!,4,0))</f>
        <v>#REF!</v>
      </c>
      <c r="N408" s="19" t="e">
        <f>IF(J408="","SEM #CH",VLOOKUP(J408,#REF!,5,0))</f>
        <v>#REF!</v>
      </c>
      <c r="O408" s="19" t="e">
        <f>IF(J408="","SEM #CH",VLOOKUP(J408,#REF!,6,0))</f>
        <v>#REF!</v>
      </c>
      <c r="P408" s="19" t="e">
        <f>IF(J408="","SEM #CH",VLOOKUP(J408,#REF!,7,0))</f>
        <v>#REF!</v>
      </c>
      <c r="Q408" s="77" t="str">
        <f>VLOOKUP(J408,'p1'!$B$2:$C$30,2,0)</f>
        <v>NÃO TEM CHAPA</v>
      </c>
      <c r="R408" s="91"/>
      <c r="S408" s="91"/>
      <c r="T408" s="91" t="str">
        <f t="shared" si="26"/>
        <v/>
      </c>
      <c r="U408" s="91"/>
      <c r="V408" s="91"/>
      <c r="W408" s="93"/>
      <c r="X408" s="94" t="str">
        <f t="shared" si="27"/>
        <v/>
      </c>
      <c r="Y408"/>
    </row>
    <row r="409" spans="1:25">
      <c r="A409" s="90">
        <v>408</v>
      </c>
      <c r="B409" s="68"/>
      <c r="C409" s="40"/>
      <c r="D409" s="40" t="str">
        <f t="shared" si="24"/>
        <v/>
      </c>
      <c r="E409" s="50" t="s">
        <v>132</v>
      </c>
      <c r="F409" s="17" t="s">
        <v>58</v>
      </c>
      <c r="G409" s="17" t="s">
        <v>86</v>
      </c>
      <c r="H409" s="42" t="s">
        <v>645</v>
      </c>
      <c r="I409" s="17" t="str">
        <f t="shared" si="25"/>
        <v>PN-408</v>
      </c>
      <c r="J409" s="18" t="s">
        <v>85</v>
      </c>
      <c r="K409" s="19" t="e">
        <f>IF(J409="","SEM #CH",VLOOKUP(J409,#REF!,2,0))</f>
        <v>#REF!</v>
      </c>
      <c r="L409" s="19" t="e">
        <f>IF(J409="","SEM #CH",VLOOKUP(J409,#REF!,3,0))</f>
        <v>#REF!</v>
      </c>
      <c r="M409" s="19" t="e">
        <f>IF(J409="","SEM #CH",VLOOKUP(J409,#REF!,4,0))</f>
        <v>#REF!</v>
      </c>
      <c r="N409" s="19" t="e">
        <f>IF(J409="","SEM #CH",VLOOKUP(J409,#REF!,5,0))</f>
        <v>#REF!</v>
      </c>
      <c r="O409" s="19" t="e">
        <f>IF(J409="","SEM #CH",VLOOKUP(J409,#REF!,6,0))</f>
        <v>#REF!</v>
      </c>
      <c r="P409" s="19" t="e">
        <f>IF(J409="","SEM #CH",VLOOKUP(J409,#REF!,7,0))</f>
        <v>#REF!</v>
      </c>
      <c r="Q409" s="77" t="str">
        <f>VLOOKUP(J409,'p1'!$B$2:$C$30,2,0)</f>
        <v>NÃO TEM CHAPA</v>
      </c>
      <c r="R409" s="91"/>
      <c r="S409" s="91"/>
      <c r="T409" s="91" t="str">
        <f t="shared" si="26"/>
        <v/>
      </c>
      <c r="U409" s="91"/>
      <c r="V409" s="91"/>
      <c r="W409" s="93"/>
      <c r="X409" s="94" t="str">
        <f t="shared" si="27"/>
        <v/>
      </c>
      <c r="Y409"/>
    </row>
    <row r="410" spans="1:25">
      <c r="A410" s="90">
        <v>409</v>
      </c>
      <c r="B410" s="68"/>
      <c r="C410" s="40"/>
      <c r="D410" s="40" t="str">
        <f t="shared" si="24"/>
        <v/>
      </c>
      <c r="E410" s="50" t="s">
        <v>132</v>
      </c>
      <c r="F410" s="17" t="s">
        <v>58</v>
      </c>
      <c r="G410" s="17" t="s">
        <v>86</v>
      </c>
      <c r="H410" s="42" t="s">
        <v>646</v>
      </c>
      <c r="I410" s="17" t="str">
        <f t="shared" si="25"/>
        <v>PN-409</v>
      </c>
      <c r="J410" s="18" t="s">
        <v>85</v>
      </c>
      <c r="K410" s="19" t="e">
        <f>IF(J410="","SEM #CH",VLOOKUP(J410,#REF!,2,0))</f>
        <v>#REF!</v>
      </c>
      <c r="L410" s="19" t="e">
        <f>IF(J410="","SEM #CH",VLOOKUP(J410,#REF!,3,0))</f>
        <v>#REF!</v>
      </c>
      <c r="M410" s="19" t="e">
        <f>IF(J410="","SEM #CH",VLOOKUP(J410,#REF!,4,0))</f>
        <v>#REF!</v>
      </c>
      <c r="N410" s="19" t="e">
        <f>IF(J410="","SEM #CH",VLOOKUP(J410,#REF!,5,0))</f>
        <v>#REF!</v>
      </c>
      <c r="O410" s="19" t="e">
        <f>IF(J410="","SEM #CH",VLOOKUP(J410,#REF!,6,0))</f>
        <v>#REF!</v>
      </c>
      <c r="P410" s="19" t="e">
        <f>IF(J410="","SEM #CH",VLOOKUP(J410,#REF!,7,0))</f>
        <v>#REF!</v>
      </c>
      <c r="Q410" s="77" t="str">
        <f>VLOOKUP(J410,'p1'!$B$2:$C$30,2,0)</f>
        <v>NÃO TEM CHAPA</v>
      </c>
      <c r="R410" s="91"/>
      <c r="S410" s="91"/>
      <c r="T410" s="91" t="str">
        <f t="shared" si="26"/>
        <v/>
      </c>
      <c r="U410" s="91"/>
      <c r="V410" s="91"/>
      <c r="W410" s="93"/>
      <c r="X410" s="94" t="str">
        <f t="shared" si="27"/>
        <v/>
      </c>
      <c r="Y410"/>
    </row>
    <row r="411" spans="1:25">
      <c r="A411" s="90">
        <v>410</v>
      </c>
      <c r="B411" s="68"/>
      <c r="C411" s="40"/>
      <c r="D411" s="40" t="str">
        <f t="shared" si="24"/>
        <v/>
      </c>
      <c r="E411" s="50" t="s">
        <v>132</v>
      </c>
      <c r="F411" s="17" t="s">
        <v>58</v>
      </c>
      <c r="G411" s="17" t="s">
        <v>86</v>
      </c>
      <c r="H411" s="42" t="s">
        <v>647</v>
      </c>
      <c r="I411" s="17" t="str">
        <f t="shared" si="25"/>
        <v>PN-410</v>
      </c>
      <c r="J411" s="18" t="s">
        <v>85</v>
      </c>
      <c r="K411" s="19" t="e">
        <f>IF(J411="","SEM #CH",VLOOKUP(J411,#REF!,2,0))</f>
        <v>#REF!</v>
      </c>
      <c r="L411" s="19" t="e">
        <f>IF(J411="","SEM #CH",VLOOKUP(J411,#REF!,3,0))</f>
        <v>#REF!</v>
      </c>
      <c r="M411" s="19" t="e">
        <f>IF(J411="","SEM #CH",VLOOKUP(J411,#REF!,4,0))</f>
        <v>#REF!</v>
      </c>
      <c r="N411" s="19" t="e">
        <f>IF(J411="","SEM #CH",VLOOKUP(J411,#REF!,5,0))</f>
        <v>#REF!</v>
      </c>
      <c r="O411" s="19" t="e">
        <f>IF(J411="","SEM #CH",VLOOKUP(J411,#REF!,6,0))</f>
        <v>#REF!</v>
      </c>
      <c r="P411" s="19" t="e">
        <f>IF(J411="","SEM #CH",VLOOKUP(J411,#REF!,7,0))</f>
        <v>#REF!</v>
      </c>
      <c r="Q411" s="77" t="str">
        <f>VLOOKUP(J411,'p1'!$B$2:$C$30,2,0)</f>
        <v>NÃO TEM CHAPA</v>
      </c>
      <c r="R411" s="91"/>
      <c r="S411" s="91"/>
      <c r="T411" s="91" t="str">
        <f t="shared" si="26"/>
        <v/>
      </c>
      <c r="U411" s="91"/>
      <c r="V411" s="91"/>
      <c r="W411" s="93"/>
      <c r="X411" s="94" t="str">
        <f t="shared" si="27"/>
        <v/>
      </c>
      <c r="Y411"/>
    </row>
    <row r="412" spans="1:25">
      <c r="A412" s="90">
        <v>411</v>
      </c>
      <c r="B412" s="68"/>
      <c r="C412" s="40"/>
      <c r="D412" s="40" t="str">
        <f t="shared" si="24"/>
        <v/>
      </c>
      <c r="E412" s="50" t="s">
        <v>132</v>
      </c>
      <c r="F412" s="17" t="s">
        <v>60</v>
      </c>
      <c r="G412" s="17" t="s">
        <v>86</v>
      </c>
      <c r="H412" s="42" t="s">
        <v>648</v>
      </c>
      <c r="I412" s="17" t="str">
        <f t="shared" si="25"/>
        <v>PE-411</v>
      </c>
      <c r="J412" s="18" t="s">
        <v>88</v>
      </c>
      <c r="K412" s="19" t="e">
        <f>IF(J412="","SEM #CH",VLOOKUP(J412,#REF!,2,0))</f>
        <v>#REF!</v>
      </c>
      <c r="L412" s="19" t="e">
        <f>IF(J412="","SEM #CH",VLOOKUP(J412,#REF!,3,0))</f>
        <v>#REF!</v>
      </c>
      <c r="M412" s="19" t="e">
        <f>IF(J412="","SEM #CH",VLOOKUP(J412,#REF!,4,0))</f>
        <v>#REF!</v>
      </c>
      <c r="N412" s="19" t="e">
        <f>IF(J412="","SEM #CH",VLOOKUP(J412,#REF!,5,0))</f>
        <v>#REF!</v>
      </c>
      <c r="O412" s="19" t="e">
        <f>IF(J412="","SEM #CH",VLOOKUP(J412,#REF!,6,0))</f>
        <v>#REF!</v>
      </c>
      <c r="P412" s="19" t="e">
        <f>IF(J412="","SEM #CH",VLOOKUP(J412,#REF!,7,0))</f>
        <v>#REF!</v>
      </c>
      <c r="Q412" s="77" t="str">
        <f>VLOOKUP(J412,'p1'!$B$2:$C$30,2,0)</f>
        <v>#3/8-1315X1315</v>
      </c>
      <c r="R412" s="91"/>
      <c r="S412" s="91"/>
      <c r="T412" s="91" t="str">
        <f t="shared" si="26"/>
        <v/>
      </c>
      <c r="U412" s="91"/>
      <c r="V412" s="91"/>
      <c r="W412" s="93"/>
      <c r="X412" s="94" t="str">
        <f t="shared" si="27"/>
        <v/>
      </c>
      <c r="Y412"/>
    </row>
    <row r="413" spans="1:25">
      <c r="A413" s="90">
        <v>412</v>
      </c>
      <c r="B413" s="68"/>
      <c r="C413" s="40"/>
      <c r="D413" s="40" t="str">
        <f t="shared" si="24"/>
        <v/>
      </c>
      <c r="E413" s="50" t="s">
        <v>132</v>
      </c>
      <c r="F413" s="17" t="s">
        <v>58</v>
      </c>
      <c r="G413" s="17" t="s">
        <v>86</v>
      </c>
      <c r="H413" s="42" t="s">
        <v>649</v>
      </c>
      <c r="I413" s="17" t="str">
        <f t="shared" si="25"/>
        <v>PN-412</v>
      </c>
      <c r="J413" s="18" t="s">
        <v>85</v>
      </c>
      <c r="K413" s="19" t="e">
        <f>IF(J413="","SEM #CH",VLOOKUP(J413,#REF!,2,0))</f>
        <v>#REF!</v>
      </c>
      <c r="L413" s="19" t="e">
        <f>IF(J413="","SEM #CH",VLOOKUP(J413,#REF!,3,0))</f>
        <v>#REF!</v>
      </c>
      <c r="M413" s="19" t="e">
        <f>IF(J413="","SEM #CH",VLOOKUP(J413,#REF!,4,0))</f>
        <v>#REF!</v>
      </c>
      <c r="N413" s="19" t="e">
        <f>IF(J413="","SEM #CH",VLOOKUP(J413,#REF!,5,0))</f>
        <v>#REF!</v>
      </c>
      <c r="O413" s="19" t="e">
        <f>IF(J413="","SEM #CH",VLOOKUP(J413,#REF!,6,0))</f>
        <v>#REF!</v>
      </c>
      <c r="P413" s="19" t="e">
        <f>IF(J413="","SEM #CH",VLOOKUP(J413,#REF!,7,0))</f>
        <v>#REF!</v>
      </c>
      <c r="Q413" s="77" t="str">
        <f>VLOOKUP(J413,'p1'!$B$2:$C$30,2,0)</f>
        <v>NÃO TEM CHAPA</v>
      </c>
      <c r="R413" s="91"/>
      <c r="S413" s="91"/>
      <c r="T413" s="91" t="str">
        <f t="shared" si="26"/>
        <v/>
      </c>
      <c r="U413" s="91"/>
      <c r="V413" s="91"/>
      <c r="W413" s="93"/>
      <c r="X413" s="94" t="str">
        <f t="shared" si="27"/>
        <v/>
      </c>
      <c r="Y413"/>
    </row>
    <row r="414" spans="1:25">
      <c r="A414" s="90">
        <v>413</v>
      </c>
      <c r="B414" s="68"/>
      <c r="C414" s="40"/>
      <c r="D414" s="40" t="str">
        <f t="shared" si="24"/>
        <v/>
      </c>
      <c r="E414" s="50" t="s">
        <v>132</v>
      </c>
      <c r="F414" s="17" t="s">
        <v>58</v>
      </c>
      <c r="G414" s="17" t="s">
        <v>86</v>
      </c>
      <c r="H414" s="42" t="s">
        <v>650</v>
      </c>
      <c r="I414" s="17" t="str">
        <f t="shared" si="25"/>
        <v>PN-413</v>
      </c>
      <c r="J414" s="18" t="s">
        <v>85</v>
      </c>
      <c r="K414" s="19" t="e">
        <f>IF(J414="","SEM #CH",VLOOKUP(J414,#REF!,2,0))</f>
        <v>#REF!</v>
      </c>
      <c r="L414" s="19" t="e">
        <f>IF(J414="","SEM #CH",VLOOKUP(J414,#REF!,3,0))</f>
        <v>#REF!</v>
      </c>
      <c r="M414" s="19" t="e">
        <f>IF(J414="","SEM #CH",VLOOKUP(J414,#REF!,4,0))</f>
        <v>#REF!</v>
      </c>
      <c r="N414" s="19" t="e">
        <f>IF(J414="","SEM #CH",VLOOKUP(J414,#REF!,5,0))</f>
        <v>#REF!</v>
      </c>
      <c r="O414" s="19" t="e">
        <f>IF(J414="","SEM #CH",VLOOKUP(J414,#REF!,6,0))</f>
        <v>#REF!</v>
      </c>
      <c r="P414" s="19" t="e">
        <f>IF(J414="","SEM #CH",VLOOKUP(J414,#REF!,7,0))</f>
        <v>#REF!</v>
      </c>
      <c r="Q414" s="77" t="str">
        <f>VLOOKUP(J414,'p1'!$B$2:$C$30,2,0)</f>
        <v>NÃO TEM CHAPA</v>
      </c>
      <c r="R414" s="91"/>
      <c r="S414" s="91"/>
      <c r="T414" s="91" t="str">
        <f t="shared" si="26"/>
        <v/>
      </c>
      <c r="U414" s="91"/>
      <c r="V414" s="91"/>
      <c r="W414" s="93"/>
      <c r="X414" s="94" t="str">
        <f t="shared" si="27"/>
        <v/>
      </c>
      <c r="Y414"/>
    </row>
    <row r="415" spans="1:25">
      <c r="A415" s="90">
        <v>414</v>
      </c>
      <c r="B415" s="68"/>
      <c r="C415" s="40"/>
      <c r="D415" s="40" t="str">
        <f t="shared" si="24"/>
        <v/>
      </c>
      <c r="E415" s="50" t="s">
        <v>132</v>
      </c>
      <c r="F415" s="17" t="s">
        <v>58</v>
      </c>
      <c r="G415" s="17" t="s">
        <v>86</v>
      </c>
      <c r="H415" s="42" t="s">
        <v>651</v>
      </c>
      <c r="I415" s="17" t="str">
        <f t="shared" si="25"/>
        <v>PN-414</v>
      </c>
      <c r="J415" s="18" t="s">
        <v>85</v>
      </c>
      <c r="K415" s="19" t="e">
        <f>IF(J415="","SEM #CH",VLOOKUP(J415,#REF!,2,0))</f>
        <v>#REF!</v>
      </c>
      <c r="L415" s="19" t="e">
        <f>IF(J415="","SEM #CH",VLOOKUP(J415,#REF!,3,0))</f>
        <v>#REF!</v>
      </c>
      <c r="M415" s="19" t="e">
        <f>IF(J415="","SEM #CH",VLOOKUP(J415,#REF!,4,0))</f>
        <v>#REF!</v>
      </c>
      <c r="N415" s="19" t="e">
        <f>IF(J415="","SEM #CH",VLOOKUP(J415,#REF!,5,0))</f>
        <v>#REF!</v>
      </c>
      <c r="O415" s="19" t="e">
        <f>IF(J415="","SEM #CH",VLOOKUP(J415,#REF!,6,0))</f>
        <v>#REF!</v>
      </c>
      <c r="P415" s="19" t="e">
        <f>IF(J415="","SEM #CH",VLOOKUP(J415,#REF!,7,0))</f>
        <v>#REF!</v>
      </c>
      <c r="Q415" s="77" t="str">
        <f>VLOOKUP(J415,'p1'!$B$2:$C$30,2,0)</f>
        <v>NÃO TEM CHAPA</v>
      </c>
      <c r="R415" s="91"/>
      <c r="S415" s="91"/>
      <c r="T415" s="91" t="str">
        <f t="shared" si="26"/>
        <v/>
      </c>
      <c r="U415" s="91"/>
      <c r="V415" s="91"/>
      <c r="W415" s="93"/>
      <c r="X415" s="94" t="str">
        <f t="shared" si="27"/>
        <v/>
      </c>
      <c r="Y415"/>
    </row>
    <row r="416" spans="1:25">
      <c r="A416" s="90">
        <v>415</v>
      </c>
      <c r="B416" s="68"/>
      <c r="C416" s="40"/>
      <c r="D416" s="40" t="str">
        <f t="shared" si="24"/>
        <v/>
      </c>
      <c r="E416" s="50" t="s">
        <v>132</v>
      </c>
      <c r="F416" s="17" t="s">
        <v>58</v>
      </c>
      <c r="G416" s="17" t="s">
        <v>86</v>
      </c>
      <c r="H416" s="42" t="s">
        <v>652</v>
      </c>
      <c r="I416" s="17" t="str">
        <f t="shared" si="25"/>
        <v>PN-415</v>
      </c>
      <c r="J416" s="18" t="s">
        <v>85</v>
      </c>
      <c r="K416" s="19" t="e">
        <f>IF(J416="","SEM #CH",VLOOKUP(J416,#REF!,2,0))</f>
        <v>#REF!</v>
      </c>
      <c r="L416" s="19" t="e">
        <f>IF(J416="","SEM #CH",VLOOKUP(J416,#REF!,3,0))</f>
        <v>#REF!</v>
      </c>
      <c r="M416" s="19" t="e">
        <f>IF(J416="","SEM #CH",VLOOKUP(J416,#REF!,4,0))</f>
        <v>#REF!</v>
      </c>
      <c r="N416" s="19" t="e">
        <f>IF(J416="","SEM #CH",VLOOKUP(J416,#REF!,5,0))</f>
        <v>#REF!</v>
      </c>
      <c r="O416" s="19" t="e">
        <f>IF(J416="","SEM #CH",VLOOKUP(J416,#REF!,6,0))</f>
        <v>#REF!</v>
      </c>
      <c r="P416" s="19" t="e">
        <f>IF(J416="","SEM #CH",VLOOKUP(J416,#REF!,7,0))</f>
        <v>#REF!</v>
      </c>
      <c r="Q416" s="77" t="str">
        <f>VLOOKUP(J416,'p1'!$B$2:$C$30,2,0)</f>
        <v>NÃO TEM CHAPA</v>
      </c>
      <c r="R416" s="91"/>
      <c r="S416" s="91"/>
      <c r="T416" s="91" t="str">
        <f t="shared" si="26"/>
        <v/>
      </c>
      <c r="U416" s="91"/>
      <c r="V416" s="91"/>
      <c r="W416" s="93"/>
      <c r="X416" s="94" t="str">
        <f t="shared" si="27"/>
        <v/>
      </c>
      <c r="Y416"/>
    </row>
    <row r="417" spans="1:25">
      <c r="A417" s="90">
        <v>416</v>
      </c>
      <c r="B417" s="68"/>
      <c r="C417" s="40"/>
      <c r="D417" s="40" t="str">
        <f t="shared" si="24"/>
        <v/>
      </c>
      <c r="E417" s="50" t="s">
        <v>132</v>
      </c>
      <c r="F417" s="17" t="s">
        <v>58</v>
      </c>
      <c r="G417" s="17" t="s">
        <v>86</v>
      </c>
      <c r="H417" s="42" t="s">
        <v>653</v>
      </c>
      <c r="I417" s="17" t="str">
        <f t="shared" si="25"/>
        <v>PN-416</v>
      </c>
      <c r="J417" s="18" t="s">
        <v>85</v>
      </c>
      <c r="K417" s="19" t="e">
        <f>IF(J417="","SEM #CH",VLOOKUP(J417,#REF!,2,0))</f>
        <v>#REF!</v>
      </c>
      <c r="L417" s="19" t="e">
        <f>IF(J417="","SEM #CH",VLOOKUP(J417,#REF!,3,0))</f>
        <v>#REF!</v>
      </c>
      <c r="M417" s="19" t="e">
        <f>IF(J417="","SEM #CH",VLOOKUP(J417,#REF!,4,0))</f>
        <v>#REF!</v>
      </c>
      <c r="N417" s="19" t="e">
        <f>IF(J417="","SEM #CH",VLOOKUP(J417,#REF!,5,0))</f>
        <v>#REF!</v>
      </c>
      <c r="O417" s="19" t="e">
        <f>IF(J417="","SEM #CH",VLOOKUP(J417,#REF!,6,0))</f>
        <v>#REF!</v>
      </c>
      <c r="P417" s="19" t="e">
        <f>IF(J417="","SEM #CH",VLOOKUP(J417,#REF!,7,0))</f>
        <v>#REF!</v>
      </c>
      <c r="Q417" s="77" t="str">
        <f>VLOOKUP(J417,'p1'!$B$2:$C$30,2,0)</f>
        <v>NÃO TEM CHAPA</v>
      </c>
      <c r="R417" s="91"/>
      <c r="S417" s="91"/>
      <c r="T417" s="91" t="str">
        <f t="shared" si="26"/>
        <v/>
      </c>
      <c r="U417" s="91"/>
      <c r="V417" s="91"/>
      <c r="W417" s="93"/>
      <c r="X417" s="94" t="str">
        <f t="shared" si="27"/>
        <v/>
      </c>
      <c r="Y417"/>
    </row>
    <row r="418" spans="1:25">
      <c r="A418" s="90">
        <v>417</v>
      </c>
      <c r="B418" s="68"/>
      <c r="C418" s="40"/>
      <c r="D418" s="40" t="str">
        <f t="shared" si="24"/>
        <v/>
      </c>
      <c r="E418" s="50" t="s">
        <v>132</v>
      </c>
      <c r="F418" s="17" t="s">
        <v>58</v>
      </c>
      <c r="G418" s="17" t="s">
        <v>86</v>
      </c>
      <c r="H418" s="42" t="s">
        <v>654</v>
      </c>
      <c r="I418" s="17" t="str">
        <f t="shared" si="25"/>
        <v>PN-417</v>
      </c>
      <c r="J418" s="18" t="s">
        <v>85</v>
      </c>
      <c r="K418" s="19" t="e">
        <f>IF(J418="","SEM #CH",VLOOKUP(J418,#REF!,2,0))</f>
        <v>#REF!</v>
      </c>
      <c r="L418" s="19" t="e">
        <f>IF(J418="","SEM #CH",VLOOKUP(J418,#REF!,3,0))</f>
        <v>#REF!</v>
      </c>
      <c r="M418" s="19" t="e">
        <f>IF(J418="","SEM #CH",VLOOKUP(J418,#REF!,4,0))</f>
        <v>#REF!</v>
      </c>
      <c r="N418" s="19" t="e">
        <f>IF(J418="","SEM #CH",VLOOKUP(J418,#REF!,5,0))</f>
        <v>#REF!</v>
      </c>
      <c r="O418" s="19" t="e">
        <f>IF(J418="","SEM #CH",VLOOKUP(J418,#REF!,6,0))</f>
        <v>#REF!</v>
      </c>
      <c r="P418" s="19" t="e">
        <f>IF(J418="","SEM #CH",VLOOKUP(J418,#REF!,7,0))</f>
        <v>#REF!</v>
      </c>
      <c r="Q418" s="77" t="str">
        <f>VLOOKUP(J418,'p1'!$B$2:$C$30,2,0)</f>
        <v>NÃO TEM CHAPA</v>
      </c>
      <c r="R418" s="91"/>
      <c r="S418" s="91"/>
      <c r="T418" s="91" t="str">
        <f t="shared" si="26"/>
        <v/>
      </c>
      <c r="U418" s="91"/>
      <c r="V418" s="91"/>
      <c r="W418" s="93"/>
      <c r="X418" s="94" t="str">
        <f t="shared" si="27"/>
        <v/>
      </c>
      <c r="Y418"/>
    </row>
    <row r="419" spans="1:25">
      <c r="A419" s="90">
        <v>418</v>
      </c>
      <c r="B419" s="68"/>
      <c r="C419" s="40"/>
      <c r="D419" s="40" t="str">
        <f t="shared" si="24"/>
        <v/>
      </c>
      <c r="E419" s="50" t="s">
        <v>132</v>
      </c>
      <c r="F419" s="17" t="s">
        <v>58</v>
      </c>
      <c r="G419" s="17" t="s">
        <v>86</v>
      </c>
      <c r="H419" s="42" t="s">
        <v>655</v>
      </c>
      <c r="I419" s="17" t="str">
        <f t="shared" si="25"/>
        <v>PN-418</v>
      </c>
      <c r="J419" s="18" t="s">
        <v>85</v>
      </c>
      <c r="K419" s="19" t="e">
        <f>IF(J419="","SEM #CH",VLOOKUP(J419,#REF!,2,0))</f>
        <v>#REF!</v>
      </c>
      <c r="L419" s="19" t="e">
        <f>IF(J419="","SEM #CH",VLOOKUP(J419,#REF!,3,0))</f>
        <v>#REF!</v>
      </c>
      <c r="M419" s="19" t="e">
        <f>IF(J419="","SEM #CH",VLOOKUP(J419,#REF!,4,0))</f>
        <v>#REF!</v>
      </c>
      <c r="N419" s="19" t="e">
        <f>IF(J419="","SEM #CH",VLOOKUP(J419,#REF!,5,0))</f>
        <v>#REF!</v>
      </c>
      <c r="O419" s="19" t="e">
        <f>IF(J419="","SEM #CH",VLOOKUP(J419,#REF!,6,0))</f>
        <v>#REF!</v>
      </c>
      <c r="P419" s="19" t="e">
        <f>IF(J419="","SEM #CH",VLOOKUP(J419,#REF!,7,0))</f>
        <v>#REF!</v>
      </c>
      <c r="Q419" s="77" t="str">
        <f>VLOOKUP(J419,'p1'!$B$2:$C$30,2,0)</f>
        <v>NÃO TEM CHAPA</v>
      </c>
      <c r="R419" s="91"/>
      <c r="S419" s="91"/>
      <c r="T419" s="91" t="str">
        <f t="shared" si="26"/>
        <v/>
      </c>
      <c r="U419" s="91"/>
      <c r="V419" s="91"/>
      <c r="W419" s="93"/>
      <c r="X419" s="94" t="str">
        <f t="shared" si="27"/>
        <v/>
      </c>
      <c r="Y419"/>
    </row>
    <row r="420" spans="1:25">
      <c r="A420" s="90">
        <v>419</v>
      </c>
      <c r="B420" s="68"/>
      <c r="C420" s="40"/>
      <c r="D420" s="40" t="str">
        <f t="shared" si="24"/>
        <v/>
      </c>
      <c r="E420" s="50" t="s">
        <v>132</v>
      </c>
      <c r="F420" s="17" t="s">
        <v>58</v>
      </c>
      <c r="G420" s="17" t="s">
        <v>86</v>
      </c>
      <c r="H420" s="42" t="s">
        <v>656</v>
      </c>
      <c r="I420" s="17" t="str">
        <f t="shared" si="25"/>
        <v>PN-419</v>
      </c>
      <c r="J420" s="18" t="s">
        <v>85</v>
      </c>
      <c r="K420" s="19" t="e">
        <f>IF(J420="","SEM #CH",VLOOKUP(J420,#REF!,2,0))</f>
        <v>#REF!</v>
      </c>
      <c r="L420" s="19" t="e">
        <f>IF(J420="","SEM #CH",VLOOKUP(J420,#REF!,3,0))</f>
        <v>#REF!</v>
      </c>
      <c r="M420" s="19" t="e">
        <f>IF(J420="","SEM #CH",VLOOKUP(J420,#REF!,4,0))</f>
        <v>#REF!</v>
      </c>
      <c r="N420" s="19" t="e">
        <f>IF(J420="","SEM #CH",VLOOKUP(J420,#REF!,5,0))</f>
        <v>#REF!</v>
      </c>
      <c r="O420" s="19" t="e">
        <f>IF(J420="","SEM #CH",VLOOKUP(J420,#REF!,6,0))</f>
        <v>#REF!</v>
      </c>
      <c r="P420" s="19" t="e">
        <f>IF(J420="","SEM #CH",VLOOKUP(J420,#REF!,7,0))</f>
        <v>#REF!</v>
      </c>
      <c r="Q420" s="77" t="str">
        <f>VLOOKUP(J420,'p1'!$B$2:$C$30,2,0)</f>
        <v>NÃO TEM CHAPA</v>
      </c>
      <c r="R420" s="91"/>
      <c r="S420" s="91"/>
      <c r="T420" s="91" t="str">
        <f t="shared" si="26"/>
        <v/>
      </c>
      <c r="U420" s="91"/>
      <c r="V420" s="91"/>
      <c r="W420" s="93"/>
      <c r="X420" s="94" t="str">
        <f t="shared" si="27"/>
        <v/>
      </c>
      <c r="Y420"/>
    </row>
    <row r="421" spans="1:25">
      <c r="A421" s="90">
        <v>420</v>
      </c>
      <c r="B421" s="68"/>
      <c r="C421" s="40"/>
      <c r="D421" s="40" t="str">
        <f t="shared" si="24"/>
        <v/>
      </c>
      <c r="E421" s="50" t="s">
        <v>132</v>
      </c>
      <c r="F421" s="17" t="s">
        <v>58</v>
      </c>
      <c r="G421" s="17" t="s">
        <v>86</v>
      </c>
      <c r="H421" s="42" t="s">
        <v>657</v>
      </c>
      <c r="I421" s="17" t="str">
        <f t="shared" si="25"/>
        <v>PN-420</v>
      </c>
      <c r="J421" s="18" t="s">
        <v>85</v>
      </c>
      <c r="K421" s="19" t="e">
        <f>IF(J421="","SEM #CH",VLOOKUP(J421,#REF!,2,0))</f>
        <v>#REF!</v>
      </c>
      <c r="L421" s="19" t="e">
        <f>IF(J421="","SEM #CH",VLOOKUP(J421,#REF!,3,0))</f>
        <v>#REF!</v>
      </c>
      <c r="M421" s="19" t="e">
        <f>IF(J421="","SEM #CH",VLOOKUP(J421,#REF!,4,0))</f>
        <v>#REF!</v>
      </c>
      <c r="N421" s="19" t="e">
        <f>IF(J421="","SEM #CH",VLOOKUP(J421,#REF!,5,0))</f>
        <v>#REF!</v>
      </c>
      <c r="O421" s="19" t="e">
        <f>IF(J421="","SEM #CH",VLOOKUP(J421,#REF!,6,0))</f>
        <v>#REF!</v>
      </c>
      <c r="P421" s="19" t="e">
        <f>IF(J421="","SEM #CH",VLOOKUP(J421,#REF!,7,0))</f>
        <v>#REF!</v>
      </c>
      <c r="Q421" s="77" t="str">
        <f>VLOOKUP(J421,'p1'!$B$2:$C$30,2,0)</f>
        <v>NÃO TEM CHAPA</v>
      </c>
      <c r="R421" s="91"/>
      <c r="S421" s="91"/>
      <c r="T421" s="91" t="str">
        <f t="shared" si="26"/>
        <v/>
      </c>
      <c r="U421" s="91"/>
      <c r="V421" s="91"/>
      <c r="W421" s="93"/>
      <c r="X421" s="94" t="str">
        <f t="shared" si="27"/>
        <v/>
      </c>
      <c r="Y421"/>
    </row>
    <row r="422" spans="1:25">
      <c r="A422" s="90">
        <v>421</v>
      </c>
      <c r="B422" s="68"/>
      <c r="C422" s="40"/>
      <c r="D422" s="40" t="str">
        <f t="shared" si="24"/>
        <v/>
      </c>
      <c r="E422" s="50" t="s">
        <v>132</v>
      </c>
      <c r="F422" s="17" t="s">
        <v>58</v>
      </c>
      <c r="G422" s="17" t="s">
        <v>86</v>
      </c>
      <c r="H422" s="42" t="s">
        <v>658</v>
      </c>
      <c r="I422" s="17" t="str">
        <f t="shared" si="25"/>
        <v>PN-421</v>
      </c>
      <c r="J422" s="18" t="s">
        <v>85</v>
      </c>
      <c r="K422" s="19" t="e">
        <f>IF(J422="","SEM #CH",VLOOKUP(J422,#REF!,2,0))</f>
        <v>#REF!</v>
      </c>
      <c r="L422" s="19" t="e">
        <f>IF(J422="","SEM #CH",VLOOKUP(J422,#REF!,3,0))</f>
        <v>#REF!</v>
      </c>
      <c r="M422" s="19" t="e">
        <f>IF(J422="","SEM #CH",VLOOKUP(J422,#REF!,4,0))</f>
        <v>#REF!</v>
      </c>
      <c r="N422" s="19" t="e">
        <f>IF(J422="","SEM #CH",VLOOKUP(J422,#REF!,5,0))</f>
        <v>#REF!</v>
      </c>
      <c r="O422" s="19" t="e">
        <f>IF(J422="","SEM #CH",VLOOKUP(J422,#REF!,6,0))</f>
        <v>#REF!</v>
      </c>
      <c r="P422" s="19" t="e">
        <f>IF(J422="","SEM #CH",VLOOKUP(J422,#REF!,7,0))</f>
        <v>#REF!</v>
      </c>
      <c r="Q422" s="77" t="str">
        <f>VLOOKUP(J422,'p1'!$B$2:$C$30,2,0)</f>
        <v>NÃO TEM CHAPA</v>
      </c>
      <c r="R422" s="91"/>
      <c r="S422" s="91"/>
      <c r="T422" s="91" t="str">
        <f t="shared" si="26"/>
        <v/>
      </c>
      <c r="U422" s="91"/>
      <c r="V422" s="91"/>
      <c r="W422" s="93"/>
      <c r="X422" s="94" t="str">
        <f t="shared" si="27"/>
        <v/>
      </c>
      <c r="Y422"/>
    </row>
    <row r="423" spans="1:25">
      <c r="A423" s="90">
        <v>422</v>
      </c>
      <c r="B423" s="68"/>
      <c r="C423" s="40"/>
      <c r="D423" s="40" t="str">
        <f t="shared" si="24"/>
        <v/>
      </c>
      <c r="E423" s="50" t="s">
        <v>132</v>
      </c>
      <c r="F423" s="17" t="s">
        <v>58</v>
      </c>
      <c r="G423" s="17" t="s">
        <v>86</v>
      </c>
      <c r="H423" s="42" t="s">
        <v>659</v>
      </c>
      <c r="I423" s="17" t="str">
        <f t="shared" si="25"/>
        <v>PN-422</v>
      </c>
      <c r="J423" s="18" t="s">
        <v>85</v>
      </c>
      <c r="K423" s="19" t="e">
        <f>IF(J423="","SEM #CH",VLOOKUP(J423,#REF!,2,0))</f>
        <v>#REF!</v>
      </c>
      <c r="L423" s="19" t="e">
        <f>IF(J423="","SEM #CH",VLOOKUP(J423,#REF!,3,0))</f>
        <v>#REF!</v>
      </c>
      <c r="M423" s="19" t="e">
        <f>IF(J423="","SEM #CH",VLOOKUP(J423,#REF!,4,0))</f>
        <v>#REF!</v>
      </c>
      <c r="N423" s="19" t="e">
        <f>IF(J423="","SEM #CH",VLOOKUP(J423,#REF!,5,0))</f>
        <v>#REF!</v>
      </c>
      <c r="O423" s="19" t="e">
        <f>IF(J423="","SEM #CH",VLOOKUP(J423,#REF!,6,0))</f>
        <v>#REF!</v>
      </c>
      <c r="P423" s="19" t="e">
        <f>IF(J423="","SEM #CH",VLOOKUP(J423,#REF!,7,0))</f>
        <v>#REF!</v>
      </c>
      <c r="Q423" s="77" t="str">
        <f>VLOOKUP(J423,'p1'!$B$2:$C$30,2,0)</f>
        <v>NÃO TEM CHAPA</v>
      </c>
      <c r="R423" s="91"/>
      <c r="S423" s="91"/>
      <c r="T423" s="91" t="str">
        <f t="shared" si="26"/>
        <v/>
      </c>
      <c r="U423" s="91"/>
      <c r="V423" s="91"/>
      <c r="W423" s="93"/>
      <c r="X423" s="94" t="str">
        <f t="shared" si="27"/>
        <v/>
      </c>
      <c r="Y423"/>
    </row>
    <row r="424" spans="1:25">
      <c r="A424" s="90">
        <v>423</v>
      </c>
      <c r="B424" s="68"/>
      <c r="C424" s="40"/>
      <c r="D424" s="40" t="str">
        <f t="shared" si="24"/>
        <v/>
      </c>
      <c r="E424" s="50" t="s">
        <v>132</v>
      </c>
      <c r="F424" s="17" t="s">
        <v>58</v>
      </c>
      <c r="G424" s="17" t="s">
        <v>86</v>
      </c>
      <c r="H424" s="42" t="s">
        <v>660</v>
      </c>
      <c r="I424" s="17" t="str">
        <f t="shared" si="25"/>
        <v>PN-423</v>
      </c>
      <c r="J424" s="18" t="s">
        <v>85</v>
      </c>
      <c r="K424" s="19" t="e">
        <f>IF(J424="","SEM #CH",VLOOKUP(J424,#REF!,2,0))</f>
        <v>#REF!</v>
      </c>
      <c r="L424" s="19" t="e">
        <f>IF(J424="","SEM #CH",VLOOKUP(J424,#REF!,3,0))</f>
        <v>#REF!</v>
      </c>
      <c r="M424" s="19" t="e">
        <f>IF(J424="","SEM #CH",VLOOKUP(J424,#REF!,4,0))</f>
        <v>#REF!</v>
      </c>
      <c r="N424" s="19" t="e">
        <f>IF(J424="","SEM #CH",VLOOKUP(J424,#REF!,5,0))</f>
        <v>#REF!</v>
      </c>
      <c r="O424" s="19" t="e">
        <f>IF(J424="","SEM #CH",VLOOKUP(J424,#REF!,6,0))</f>
        <v>#REF!</v>
      </c>
      <c r="P424" s="19" t="e">
        <f>IF(J424="","SEM #CH",VLOOKUP(J424,#REF!,7,0))</f>
        <v>#REF!</v>
      </c>
      <c r="Q424" s="77" t="str">
        <f>VLOOKUP(J424,'p1'!$B$2:$C$30,2,0)</f>
        <v>NÃO TEM CHAPA</v>
      </c>
      <c r="R424" s="91"/>
      <c r="S424" s="91"/>
      <c r="T424" s="91" t="str">
        <f t="shared" si="26"/>
        <v/>
      </c>
      <c r="U424" s="91"/>
      <c r="V424" s="91"/>
      <c r="W424" s="93"/>
      <c r="X424" s="94" t="str">
        <f t="shared" si="27"/>
        <v/>
      </c>
      <c r="Y424"/>
    </row>
    <row r="425" spans="1:25">
      <c r="A425" s="90">
        <v>424</v>
      </c>
      <c r="B425" s="68"/>
      <c r="C425" s="40"/>
      <c r="D425" s="40" t="str">
        <f t="shared" si="24"/>
        <v/>
      </c>
      <c r="E425" s="50" t="s">
        <v>132</v>
      </c>
      <c r="F425" s="17" t="s">
        <v>58</v>
      </c>
      <c r="G425" s="17" t="s">
        <v>86</v>
      </c>
      <c r="H425" s="42" t="s">
        <v>661</v>
      </c>
      <c r="I425" s="17" t="str">
        <f t="shared" si="25"/>
        <v>PN-424</v>
      </c>
      <c r="J425" s="18" t="s">
        <v>85</v>
      </c>
      <c r="K425" s="19" t="e">
        <f>IF(J425="","SEM #CH",VLOOKUP(J425,#REF!,2,0))</f>
        <v>#REF!</v>
      </c>
      <c r="L425" s="19" t="e">
        <f>IF(J425="","SEM #CH",VLOOKUP(J425,#REF!,3,0))</f>
        <v>#REF!</v>
      </c>
      <c r="M425" s="19" t="e">
        <f>IF(J425="","SEM #CH",VLOOKUP(J425,#REF!,4,0))</f>
        <v>#REF!</v>
      </c>
      <c r="N425" s="19" t="e">
        <f>IF(J425="","SEM #CH",VLOOKUP(J425,#REF!,5,0))</f>
        <v>#REF!</v>
      </c>
      <c r="O425" s="19" t="e">
        <f>IF(J425="","SEM #CH",VLOOKUP(J425,#REF!,6,0))</f>
        <v>#REF!</v>
      </c>
      <c r="P425" s="19" t="e">
        <f>IF(J425="","SEM #CH",VLOOKUP(J425,#REF!,7,0))</f>
        <v>#REF!</v>
      </c>
      <c r="Q425" s="77" t="str">
        <f>VLOOKUP(J425,'p1'!$B$2:$C$30,2,0)</f>
        <v>NÃO TEM CHAPA</v>
      </c>
      <c r="R425" s="91"/>
      <c r="S425" s="91"/>
      <c r="T425" s="91" t="str">
        <f t="shared" si="26"/>
        <v/>
      </c>
      <c r="U425" s="91"/>
      <c r="V425" s="91"/>
      <c r="W425" s="93"/>
      <c r="X425" s="94" t="str">
        <f t="shared" si="27"/>
        <v/>
      </c>
      <c r="Y425"/>
    </row>
    <row r="426" spans="1:25">
      <c r="A426" s="90">
        <v>425</v>
      </c>
      <c r="B426" s="68"/>
      <c r="C426" s="40"/>
      <c r="D426" s="40" t="str">
        <f t="shared" si="24"/>
        <v/>
      </c>
      <c r="E426" s="50" t="s">
        <v>132</v>
      </c>
      <c r="F426" s="17" t="s">
        <v>58</v>
      </c>
      <c r="G426" s="17" t="s">
        <v>86</v>
      </c>
      <c r="H426" s="42" t="s">
        <v>662</v>
      </c>
      <c r="I426" s="17" t="str">
        <f t="shared" si="25"/>
        <v>PN-425</v>
      </c>
      <c r="J426" s="18" t="s">
        <v>85</v>
      </c>
      <c r="K426" s="19" t="e">
        <f>IF(J426="","SEM #CH",VLOOKUP(J426,#REF!,2,0))</f>
        <v>#REF!</v>
      </c>
      <c r="L426" s="19" t="e">
        <f>IF(J426="","SEM #CH",VLOOKUP(J426,#REF!,3,0))</f>
        <v>#REF!</v>
      </c>
      <c r="M426" s="19" t="e">
        <f>IF(J426="","SEM #CH",VLOOKUP(J426,#REF!,4,0))</f>
        <v>#REF!</v>
      </c>
      <c r="N426" s="19" t="e">
        <f>IF(J426="","SEM #CH",VLOOKUP(J426,#REF!,5,0))</f>
        <v>#REF!</v>
      </c>
      <c r="O426" s="19" t="e">
        <f>IF(J426="","SEM #CH",VLOOKUP(J426,#REF!,6,0))</f>
        <v>#REF!</v>
      </c>
      <c r="P426" s="19" t="e">
        <f>IF(J426="","SEM #CH",VLOOKUP(J426,#REF!,7,0))</f>
        <v>#REF!</v>
      </c>
      <c r="Q426" s="77" t="str">
        <f>VLOOKUP(J426,'p1'!$B$2:$C$30,2,0)</f>
        <v>NÃO TEM CHAPA</v>
      </c>
      <c r="R426" s="91"/>
      <c r="S426" s="91"/>
      <c r="T426" s="91" t="str">
        <f t="shared" si="26"/>
        <v/>
      </c>
      <c r="U426" s="91"/>
      <c r="V426" s="91"/>
      <c r="W426" s="93"/>
      <c r="X426" s="94" t="str">
        <f t="shared" si="27"/>
        <v/>
      </c>
      <c r="Y426"/>
    </row>
    <row r="427" spans="1:25">
      <c r="A427" s="90">
        <v>426</v>
      </c>
      <c r="B427" s="68"/>
      <c r="C427" s="40"/>
      <c r="D427" s="40" t="str">
        <f t="shared" si="24"/>
        <v/>
      </c>
      <c r="E427" s="50" t="s">
        <v>132</v>
      </c>
      <c r="F427" s="17" t="s">
        <v>58</v>
      </c>
      <c r="G427" s="17" t="s">
        <v>86</v>
      </c>
      <c r="H427" s="42" t="s">
        <v>663</v>
      </c>
      <c r="I427" s="17" t="str">
        <f t="shared" si="25"/>
        <v>PN-426</v>
      </c>
      <c r="J427" s="18" t="s">
        <v>85</v>
      </c>
      <c r="K427" s="19" t="e">
        <f>IF(J427="","SEM #CH",VLOOKUP(J427,#REF!,2,0))</f>
        <v>#REF!</v>
      </c>
      <c r="L427" s="19" t="e">
        <f>IF(J427="","SEM #CH",VLOOKUP(J427,#REF!,3,0))</f>
        <v>#REF!</v>
      </c>
      <c r="M427" s="19" t="e">
        <f>IF(J427="","SEM #CH",VLOOKUP(J427,#REF!,4,0))</f>
        <v>#REF!</v>
      </c>
      <c r="N427" s="19" t="e">
        <f>IF(J427="","SEM #CH",VLOOKUP(J427,#REF!,5,0))</f>
        <v>#REF!</v>
      </c>
      <c r="O427" s="19" t="e">
        <f>IF(J427="","SEM #CH",VLOOKUP(J427,#REF!,6,0))</f>
        <v>#REF!</v>
      </c>
      <c r="P427" s="19" t="e">
        <f>IF(J427="","SEM #CH",VLOOKUP(J427,#REF!,7,0))</f>
        <v>#REF!</v>
      </c>
      <c r="Q427" s="77" t="str">
        <f>VLOOKUP(J427,'p1'!$B$2:$C$30,2,0)</f>
        <v>NÃO TEM CHAPA</v>
      </c>
      <c r="R427" s="91"/>
      <c r="S427" s="91"/>
      <c r="T427" s="91" t="str">
        <f t="shared" si="26"/>
        <v/>
      </c>
      <c r="U427" s="91"/>
      <c r="V427" s="91"/>
      <c r="W427" s="93"/>
      <c r="X427" s="94" t="str">
        <f t="shared" si="27"/>
        <v/>
      </c>
      <c r="Y427"/>
    </row>
    <row r="428" spans="1:25">
      <c r="A428" s="90">
        <v>427</v>
      </c>
      <c r="B428" s="68"/>
      <c r="C428" s="40"/>
      <c r="D428" s="40" t="str">
        <f t="shared" si="24"/>
        <v/>
      </c>
      <c r="E428" s="50" t="s">
        <v>132</v>
      </c>
      <c r="F428" s="17" t="s">
        <v>60</v>
      </c>
      <c r="G428" s="17" t="s">
        <v>86</v>
      </c>
      <c r="H428" s="42" t="s">
        <v>664</v>
      </c>
      <c r="I428" s="17" t="str">
        <f t="shared" si="25"/>
        <v>PE-427</v>
      </c>
      <c r="J428" s="18" t="s">
        <v>90</v>
      </c>
      <c r="K428" s="19" t="e">
        <f>IF(J428="","SEM #CH",VLOOKUP(J428,#REF!,2,0))</f>
        <v>#REF!</v>
      </c>
      <c r="L428" s="19" t="e">
        <f>IF(J428="","SEM #CH",VLOOKUP(J428,#REF!,3,0))</f>
        <v>#REF!</v>
      </c>
      <c r="M428" s="19" t="e">
        <f>IF(J428="","SEM #CH",VLOOKUP(J428,#REF!,4,0))</f>
        <v>#REF!</v>
      </c>
      <c r="N428" s="19" t="e">
        <f>IF(J428="","SEM #CH",VLOOKUP(J428,#REF!,5,0))</f>
        <v>#REF!</v>
      </c>
      <c r="O428" s="19" t="e">
        <f>IF(J428="","SEM #CH",VLOOKUP(J428,#REF!,6,0))</f>
        <v>#REF!</v>
      </c>
      <c r="P428" s="19" t="e">
        <f>IF(J428="","SEM #CH",VLOOKUP(J428,#REF!,7,0))</f>
        <v>#REF!</v>
      </c>
      <c r="Q428" s="77" t="str">
        <f>VLOOKUP(J428,'p1'!$B$2:$C$30,2,0)</f>
        <v>#3/8-530X530</v>
      </c>
      <c r="R428" s="91"/>
      <c r="S428" s="91"/>
      <c r="T428" s="91" t="str">
        <f t="shared" si="26"/>
        <v/>
      </c>
      <c r="U428" s="91"/>
      <c r="V428" s="91"/>
      <c r="W428" s="93"/>
      <c r="X428" s="94" t="str">
        <f t="shared" si="27"/>
        <v/>
      </c>
      <c r="Y428"/>
    </row>
    <row r="429" spans="1:25">
      <c r="A429" s="90">
        <v>428</v>
      </c>
      <c r="B429" s="68"/>
      <c r="C429" s="40"/>
      <c r="D429" s="40" t="str">
        <f t="shared" si="24"/>
        <v/>
      </c>
      <c r="E429" s="50" t="s">
        <v>132</v>
      </c>
      <c r="F429" s="17" t="s">
        <v>58</v>
      </c>
      <c r="G429" s="17" t="s">
        <v>86</v>
      </c>
      <c r="H429" s="42" t="s">
        <v>665</v>
      </c>
      <c r="I429" s="17" t="str">
        <f t="shared" si="25"/>
        <v>PN-428</v>
      </c>
      <c r="J429" s="18" t="s">
        <v>85</v>
      </c>
      <c r="K429" s="19" t="e">
        <f>IF(J429="","SEM #CH",VLOOKUP(J429,#REF!,2,0))</f>
        <v>#REF!</v>
      </c>
      <c r="L429" s="19" t="e">
        <f>IF(J429="","SEM #CH",VLOOKUP(J429,#REF!,3,0))</f>
        <v>#REF!</v>
      </c>
      <c r="M429" s="19" t="e">
        <f>IF(J429="","SEM #CH",VLOOKUP(J429,#REF!,4,0))</f>
        <v>#REF!</v>
      </c>
      <c r="N429" s="19" t="e">
        <f>IF(J429="","SEM #CH",VLOOKUP(J429,#REF!,5,0))</f>
        <v>#REF!</v>
      </c>
      <c r="O429" s="19" t="e">
        <f>IF(J429="","SEM #CH",VLOOKUP(J429,#REF!,6,0))</f>
        <v>#REF!</v>
      </c>
      <c r="P429" s="19" t="e">
        <f>IF(J429="","SEM #CH",VLOOKUP(J429,#REF!,7,0))</f>
        <v>#REF!</v>
      </c>
      <c r="Q429" s="77" t="str">
        <f>VLOOKUP(J429,'p1'!$B$2:$C$30,2,0)</f>
        <v>NÃO TEM CHAPA</v>
      </c>
      <c r="R429" s="91"/>
      <c r="S429" s="91"/>
      <c r="T429" s="91" t="str">
        <f t="shared" si="26"/>
        <v/>
      </c>
      <c r="U429" s="91"/>
      <c r="V429" s="91"/>
      <c r="W429" s="93"/>
      <c r="X429" s="94" t="str">
        <f t="shared" si="27"/>
        <v/>
      </c>
      <c r="Y429"/>
    </row>
    <row r="430" spans="1:25">
      <c r="A430" s="90">
        <v>429</v>
      </c>
      <c r="B430" s="68"/>
      <c r="C430" s="40"/>
      <c r="D430" s="40" t="str">
        <f t="shared" si="24"/>
        <v/>
      </c>
      <c r="E430" s="50" t="s">
        <v>132</v>
      </c>
      <c r="F430" s="17" t="s">
        <v>58</v>
      </c>
      <c r="G430" s="17" t="s">
        <v>86</v>
      </c>
      <c r="H430" s="42" t="s">
        <v>666</v>
      </c>
      <c r="I430" s="17" t="str">
        <f t="shared" si="25"/>
        <v>PN-429</v>
      </c>
      <c r="J430" s="18" t="s">
        <v>85</v>
      </c>
      <c r="K430" s="19" t="e">
        <f>IF(J430="","SEM #CH",VLOOKUP(J430,#REF!,2,0))</f>
        <v>#REF!</v>
      </c>
      <c r="L430" s="19" t="e">
        <f>IF(J430="","SEM #CH",VLOOKUP(J430,#REF!,3,0))</f>
        <v>#REF!</v>
      </c>
      <c r="M430" s="19" t="e">
        <f>IF(J430="","SEM #CH",VLOOKUP(J430,#REF!,4,0))</f>
        <v>#REF!</v>
      </c>
      <c r="N430" s="19" t="e">
        <f>IF(J430="","SEM #CH",VLOOKUP(J430,#REF!,5,0))</f>
        <v>#REF!</v>
      </c>
      <c r="O430" s="19" t="e">
        <f>IF(J430="","SEM #CH",VLOOKUP(J430,#REF!,6,0))</f>
        <v>#REF!</v>
      </c>
      <c r="P430" s="19" t="e">
        <f>IF(J430="","SEM #CH",VLOOKUP(J430,#REF!,7,0))</f>
        <v>#REF!</v>
      </c>
      <c r="Q430" s="77" t="str">
        <f>VLOOKUP(J430,'p1'!$B$2:$C$30,2,0)</f>
        <v>NÃO TEM CHAPA</v>
      </c>
      <c r="R430" s="91"/>
      <c r="S430" s="91"/>
      <c r="T430" s="91" t="str">
        <f t="shared" si="26"/>
        <v/>
      </c>
      <c r="U430" s="91"/>
      <c r="V430" s="91"/>
      <c r="W430" s="93"/>
      <c r="X430" s="94" t="str">
        <f t="shared" si="27"/>
        <v/>
      </c>
      <c r="Y430"/>
    </row>
    <row r="431" spans="1:25">
      <c r="A431" s="90">
        <v>430</v>
      </c>
      <c r="B431" s="68"/>
      <c r="C431" s="40"/>
      <c r="D431" s="40" t="str">
        <f t="shared" si="24"/>
        <v/>
      </c>
      <c r="E431" s="50" t="s">
        <v>132</v>
      </c>
      <c r="F431" s="17" t="s">
        <v>58</v>
      </c>
      <c r="G431" s="17" t="s">
        <v>86</v>
      </c>
      <c r="H431" s="42" t="s">
        <v>667</v>
      </c>
      <c r="I431" s="17" t="str">
        <f t="shared" si="25"/>
        <v>PN-430</v>
      </c>
      <c r="J431" s="18" t="s">
        <v>85</v>
      </c>
      <c r="K431" s="19" t="e">
        <f>IF(J431="","SEM #CH",VLOOKUP(J431,#REF!,2,0))</f>
        <v>#REF!</v>
      </c>
      <c r="L431" s="19" t="e">
        <f>IF(J431="","SEM #CH",VLOOKUP(J431,#REF!,3,0))</f>
        <v>#REF!</v>
      </c>
      <c r="M431" s="19" t="e">
        <f>IF(J431="","SEM #CH",VLOOKUP(J431,#REF!,4,0))</f>
        <v>#REF!</v>
      </c>
      <c r="N431" s="19" t="e">
        <f>IF(J431="","SEM #CH",VLOOKUP(J431,#REF!,5,0))</f>
        <v>#REF!</v>
      </c>
      <c r="O431" s="19" t="e">
        <f>IF(J431="","SEM #CH",VLOOKUP(J431,#REF!,6,0))</f>
        <v>#REF!</v>
      </c>
      <c r="P431" s="19" t="e">
        <f>IF(J431="","SEM #CH",VLOOKUP(J431,#REF!,7,0))</f>
        <v>#REF!</v>
      </c>
      <c r="Q431" s="77" t="str">
        <f>VLOOKUP(J431,'p1'!$B$2:$C$30,2,0)</f>
        <v>NÃO TEM CHAPA</v>
      </c>
      <c r="R431" s="91"/>
      <c r="S431" s="91"/>
      <c r="T431" s="91" t="str">
        <f t="shared" si="26"/>
        <v/>
      </c>
      <c r="U431" s="91"/>
      <c r="V431" s="91"/>
      <c r="W431" s="93"/>
      <c r="X431" s="94" t="str">
        <f t="shared" si="27"/>
        <v/>
      </c>
      <c r="Y431"/>
    </row>
    <row r="432" spans="1:25">
      <c r="A432" s="90">
        <v>431</v>
      </c>
      <c r="B432" s="68"/>
      <c r="C432" s="40"/>
      <c r="D432" s="40" t="str">
        <f t="shared" si="24"/>
        <v/>
      </c>
      <c r="E432" s="50" t="s">
        <v>132</v>
      </c>
      <c r="F432" s="17" t="s">
        <v>58</v>
      </c>
      <c r="G432" s="17" t="s">
        <v>86</v>
      </c>
      <c r="H432" s="42" t="s">
        <v>668</v>
      </c>
      <c r="I432" s="17" t="str">
        <f t="shared" si="25"/>
        <v>PN-431</v>
      </c>
      <c r="J432" s="18" t="s">
        <v>85</v>
      </c>
      <c r="K432" s="19" t="e">
        <f>IF(J432="","SEM #CH",VLOOKUP(J432,#REF!,2,0))</f>
        <v>#REF!</v>
      </c>
      <c r="L432" s="19" t="e">
        <f>IF(J432="","SEM #CH",VLOOKUP(J432,#REF!,3,0))</f>
        <v>#REF!</v>
      </c>
      <c r="M432" s="19" t="e">
        <f>IF(J432="","SEM #CH",VLOOKUP(J432,#REF!,4,0))</f>
        <v>#REF!</v>
      </c>
      <c r="N432" s="19" t="e">
        <f>IF(J432="","SEM #CH",VLOOKUP(J432,#REF!,5,0))</f>
        <v>#REF!</v>
      </c>
      <c r="O432" s="19" t="e">
        <f>IF(J432="","SEM #CH",VLOOKUP(J432,#REF!,6,0))</f>
        <v>#REF!</v>
      </c>
      <c r="P432" s="19" t="e">
        <f>IF(J432="","SEM #CH",VLOOKUP(J432,#REF!,7,0))</f>
        <v>#REF!</v>
      </c>
      <c r="Q432" s="77" t="str">
        <f>VLOOKUP(J432,'p1'!$B$2:$C$30,2,0)</f>
        <v>NÃO TEM CHAPA</v>
      </c>
      <c r="R432" s="91"/>
      <c r="S432" s="91"/>
      <c r="T432" s="91" t="str">
        <f t="shared" si="26"/>
        <v/>
      </c>
      <c r="U432" s="91"/>
      <c r="V432" s="91"/>
      <c r="W432" s="93"/>
      <c r="X432" s="94" t="str">
        <f t="shared" si="27"/>
        <v/>
      </c>
      <c r="Y432"/>
    </row>
    <row r="433" spans="1:25">
      <c r="A433" s="90">
        <v>432</v>
      </c>
      <c r="B433" s="68"/>
      <c r="C433" s="40"/>
      <c r="D433" s="40" t="str">
        <f t="shared" si="24"/>
        <v/>
      </c>
      <c r="E433" s="50" t="s">
        <v>132</v>
      </c>
      <c r="F433" s="17" t="s">
        <v>58</v>
      </c>
      <c r="G433" s="17" t="s">
        <v>86</v>
      </c>
      <c r="H433" s="42" t="s">
        <v>669</v>
      </c>
      <c r="I433" s="17" t="str">
        <f t="shared" si="25"/>
        <v>PN-432</v>
      </c>
      <c r="J433" s="18" t="s">
        <v>85</v>
      </c>
      <c r="K433" s="19" t="e">
        <f>IF(J433="","SEM #CH",VLOOKUP(J433,#REF!,2,0))</f>
        <v>#REF!</v>
      </c>
      <c r="L433" s="19" t="e">
        <f>IF(J433="","SEM #CH",VLOOKUP(J433,#REF!,3,0))</f>
        <v>#REF!</v>
      </c>
      <c r="M433" s="19" t="e">
        <f>IF(J433="","SEM #CH",VLOOKUP(J433,#REF!,4,0))</f>
        <v>#REF!</v>
      </c>
      <c r="N433" s="19" t="e">
        <f>IF(J433="","SEM #CH",VLOOKUP(J433,#REF!,5,0))</f>
        <v>#REF!</v>
      </c>
      <c r="O433" s="19" t="e">
        <f>IF(J433="","SEM #CH",VLOOKUP(J433,#REF!,6,0))</f>
        <v>#REF!</v>
      </c>
      <c r="P433" s="19" t="e">
        <f>IF(J433="","SEM #CH",VLOOKUP(J433,#REF!,7,0))</f>
        <v>#REF!</v>
      </c>
      <c r="Q433" s="77" t="str">
        <f>VLOOKUP(J433,'p1'!$B$2:$C$30,2,0)</f>
        <v>NÃO TEM CHAPA</v>
      </c>
      <c r="R433" s="91"/>
      <c r="S433" s="91"/>
      <c r="T433" s="91" t="str">
        <f t="shared" si="26"/>
        <v/>
      </c>
      <c r="U433" s="91"/>
      <c r="V433" s="91"/>
      <c r="W433" s="93"/>
      <c r="X433" s="94" t="str">
        <f t="shared" si="27"/>
        <v/>
      </c>
      <c r="Y433"/>
    </row>
    <row r="434" spans="1:25">
      <c r="A434" s="90">
        <v>433</v>
      </c>
      <c r="B434" s="68"/>
      <c r="C434" s="40"/>
      <c r="D434" s="40" t="str">
        <f t="shared" si="24"/>
        <v/>
      </c>
      <c r="E434" s="50" t="s">
        <v>132</v>
      </c>
      <c r="F434" s="17" t="s">
        <v>58</v>
      </c>
      <c r="G434" s="17" t="s">
        <v>86</v>
      </c>
      <c r="H434" s="42" t="s">
        <v>670</v>
      </c>
      <c r="I434" s="17" t="str">
        <f t="shared" si="25"/>
        <v>PN-433</v>
      </c>
      <c r="J434" s="18" t="s">
        <v>85</v>
      </c>
      <c r="K434" s="19" t="e">
        <f>IF(J434="","SEM #CH",VLOOKUP(J434,#REF!,2,0))</f>
        <v>#REF!</v>
      </c>
      <c r="L434" s="19" t="e">
        <f>IF(J434="","SEM #CH",VLOOKUP(J434,#REF!,3,0))</f>
        <v>#REF!</v>
      </c>
      <c r="M434" s="19" t="e">
        <f>IF(J434="","SEM #CH",VLOOKUP(J434,#REF!,4,0))</f>
        <v>#REF!</v>
      </c>
      <c r="N434" s="19" t="e">
        <f>IF(J434="","SEM #CH",VLOOKUP(J434,#REF!,5,0))</f>
        <v>#REF!</v>
      </c>
      <c r="O434" s="19" t="e">
        <f>IF(J434="","SEM #CH",VLOOKUP(J434,#REF!,6,0))</f>
        <v>#REF!</v>
      </c>
      <c r="P434" s="19" t="e">
        <f>IF(J434="","SEM #CH",VLOOKUP(J434,#REF!,7,0))</f>
        <v>#REF!</v>
      </c>
      <c r="Q434" s="77" t="str">
        <f>VLOOKUP(J434,'p1'!$B$2:$C$30,2,0)</f>
        <v>NÃO TEM CHAPA</v>
      </c>
      <c r="R434" s="91"/>
      <c r="S434" s="91"/>
      <c r="T434" s="91" t="str">
        <f t="shared" si="26"/>
        <v/>
      </c>
      <c r="U434" s="91"/>
      <c r="V434" s="91"/>
      <c r="W434" s="93"/>
      <c r="X434" s="94" t="str">
        <f t="shared" si="27"/>
        <v/>
      </c>
      <c r="Y434"/>
    </row>
    <row r="435" spans="1:25">
      <c r="A435" s="90">
        <v>434</v>
      </c>
      <c r="B435" s="68"/>
      <c r="C435" s="40"/>
      <c r="D435" s="40" t="str">
        <f t="shared" si="24"/>
        <v/>
      </c>
      <c r="E435" s="50" t="s">
        <v>132</v>
      </c>
      <c r="F435" s="17" t="s">
        <v>58</v>
      </c>
      <c r="G435" s="17" t="s">
        <v>86</v>
      </c>
      <c r="H435" s="42" t="s">
        <v>671</v>
      </c>
      <c r="I435" s="17" t="str">
        <f t="shared" si="25"/>
        <v>PN-434</v>
      </c>
      <c r="J435" s="18" t="s">
        <v>85</v>
      </c>
      <c r="K435" s="19" t="e">
        <f>IF(J435="","SEM #CH",VLOOKUP(J435,#REF!,2,0))</f>
        <v>#REF!</v>
      </c>
      <c r="L435" s="19" t="e">
        <f>IF(J435="","SEM #CH",VLOOKUP(J435,#REF!,3,0))</f>
        <v>#REF!</v>
      </c>
      <c r="M435" s="19" t="e">
        <f>IF(J435="","SEM #CH",VLOOKUP(J435,#REF!,4,0))</f>
        <v>#REF!</v>
      </c>
      <c r="N435" s="19" t="e">
        <f>IF(J435="","SEM #CH",VLOOKUP(J435,#REF!,5,0))</f>
        <v>#REF!</v>
      </c>
      <c r="O435" s="19" t="e">
        <f>IF(J435="","SEM #CH",VLOOKUP(J435,#REF!,6,0))</f>
        <v>#REF!</v>
      </c>
      <c r="P435" s="19" t="e">
        <f>IF(J435="","SEM #CH",VLOOKUP(J435,#REF!,7,0))</f>
        <v>#REF!</v>
      </c>
      <c r="Q435" s="77" t="str">
        <f>VLOOKUP(J435,'p1'!$B$2:$C$30,2,0)</f>
        <v>NÃO TEM CHAPA</v>
      </c>
      <c r="R435" s="91"/>
      <c r="S435" s="91"/>
      <c r="T435" s="91" t="str">
        <f t="shared" si="26"/>
        <v/>
      </c>
      <c r="U435" s="91"/>
      <c r="V435" s="91"/>
      <c r="W435" s="93"/>
      <c r="X435" s="94" t="str">
        <f t="shared" si="27"/>
        <v/>
      </c>
      <c r="Y435"/>
    </row>
    <row r="436" spans="1:25">
      <c r="A436" s="90">
        <v>435</v>
      </c>
      <c r="B436" s="68"/>
      <c r="C436" s="40"/>
      <c r="D436" s="40" t="str">
        <f t="shared" si="24"/>
        <v/>
      </c>
      <c r="E436" s="51" t="s">
        <v>133</v>
      </c>
      <c r="F436" s="17" t="s">
        <v>61</v>
      </c>
      <c r="G436" s="17" t="s">
        <v>86</v>
      </c>
      <c r="H436" s="42" t="s">
        <v>672</v>
      </c>
      <c r="I436" s="17" t="str">
        <f t="shared" si="25"/>
        <v>PF-435</v>
      </c>
      <c r="J436" s="18" t="s">
        <v>61</v>
      </c>
      <c r="K436" s="19" t="e">
        <f>IF(J436="","SEM #CH",VLOOKUP(J436,#REF!,2,0))</f>
        <v>#REF!</v>
      </c>
      <c r="L436" s="19" t="e">
        <f>IF(J436="","SEM #CH",VLOOKUP(J436,#REF!,3,0))</f>
        <v>#REF!</v>
      </c>
      <c r="M436" s="19" t="e">
        <f>IF(J436="","SEM #CH",VLOOKUP(J436,#REF!,4,0))</f>
        <v>#REF!</v>
      </c>
      <c r="N436" s="19" t="e">
        <f>IF(J436="","SEM #CH",VLOOKUP(J436,#REF!,5,0))</f>
        <v>#REF!</v>
      </c>
      <c r="O436" s="19" t="e">
        <f>IF(J436="","SEM #CH",VLOOKUP(J436,#REF!,6,0))</f>
        <v>#REF!</v>
      </c>
      <c r="P436" s="19" t="e">
        <f>IF(J436="","SEM #CH",VLOOKUP(J436,#REF!,7,0))</f>
        <v>#REF!</v>
      </c>
      <c r="Q436" s="77" t="str">
        <f>VLOOKUP(J436,'p1'!$B$2:$C$30,2,0)</f>
        <v>SEM CHAPA</v>
      </c>
      <c r="R436" s="91"/>
      <c r="S436" s="91"/>
      <c r="T436" s="91" t="str">
        <f t="shared" si="26"/>
        <v/>
      </c>
      <c r="U436" s="91"/>
      <c r="V436" s="91"/>
      <c r="W436" s="93"/>
      <c r="X436" s="94" t="str">
        <f t="shared" si="27"/>
        <v/>
      </c>
      <c r="Y436"/>
    </row>
    <row r="437" spans="1:25">
      <c r="A437" s="90">
        <v>436</v>
      </c>
      <c r="B437" s="68"/>
      <c r="C437" s="40"/>
      <c r="D437" s="40" t="str">
        <f t="shared" si="24"/>
        <v/>
      </c>
      <c r="E437" s="51" t="s">
        <v>133</v>
      </c>
      <c r="F437" s="17" t="s">
        <v>58</v>
      </c>
      <c r="G437" s="17" t="s">
        <v>86</v>
      </c>
      <c r="H437" s="42" t="s">
        <v>673</v>
      </c>
      <c r="I437" s="17" t="str">
        <f t="shared" si="25"/>
        <v>PN-436</v>
      </c>
      <c r="J437" s="18" t="s">
        <v>85</v>
      </c>
      <c r="K437" s="19" t="e">
        <f>IF(J437="","SEM #CH",VLOOKUP(J437,#REF!,2,0))</f>
        <v>#REF!</v>
      </c>
      <c r="L437" s="19" t="e">
        <f>IF(J437="","SEM #CH",VLOOKUP(J437,#REF!,3,0))</f>
        <v>#REF!</v>
      </c>
      <c r="M437" s="19" t="e">
        <f>IF(J437="","SEM #CH",VLOOKUP(J437,#REF!,4,0))</f>
        <v>#REF!</v>
      </c>
      <c r="N437" s="19" t="e">
        <f>IF(J437="","SEM #CH",VLOOKUP(J437,#REF!,5,0))</f>
        <v>#REF!</v>
      </c>
      <c r="O437" s="19" t="e">
        <f>IF(J437="","SEM #CH",VLOOKUP(J437,#REF!,6,0))</f>
        <v>#REF!</v>
      </c>
      <c r="P437" s="19" t="e">
        <f>IF(J437="","SEM #CH",VLOOKUP(J437,#REF!,7,0))</f>
        <v>#REF!</v>
      </c>
      <c r="Q437" s="77" t="str">
        <f>VLOOKUP(J437,'p1'!$B$2:$C$30,2,0)</f>
        <v>NÃO TEM CHAPA</v>
      </c>
      <c r="R437" s="91"/>
      <c r="S437" s="91"/>
      <c r="T437" s="91" t="str">
        <f t="shared" si="26"/>
        <v/>
      </c>
      <c r="U437" s="91"/>
      <c r="V437" s="91"/>
      <c r="W437" s="93"/>
      <c r="X437" s="94" t="str">
        <f t="shared" si="27"/>
        <v/>
      </c>
      <c r="Y437"/>
    </row>
    <row r="438" spans="1:25">
      <c r="A438" s="90">
        <v>437</v>
      </c>
      <c r="B438" s="68"/>
      <c r="C438" s="40"/>
      <c r="D438" s="40" t="str">
        <f t="shared" si="24"/>
        <v/>
      </c>
      <c r="E438" s="51" t="s">
        <v>133</v>
      </c>
      <c r="F438" s="17" t="s">
        <v>58</v>
      </c>
      <c r="G438" s="17" t="s">
        <v>86</v>
      </c>
      <c r="H438" s="42" t="s">
        <v>674</v>
      </c>
      <c r="I438" s="17" t="str">
        <f t="shared" si="25"/>
        <v>PN-437</v>
      </c>
      <c r="J438" s="18" t="s">
        <v>85</v>
      </c>
      <c r="K438" s="19" t="e">
        <f>IF(J438="","SEM #CH",VLOOKUP(J438,#REF!,2,0))</f>
        <v>#REF!</v>
      </c>
      <c r="L438" s="19" t="e">
        <f>IF(J438="","SEM #CH",VLOOKUP(J438,#REF!,3,0))</f>
        <v>#REF!</v>
      </c>
      <c r="M438" s="19" t="e">
        <f>IF(J438="","SEM #CH",VLOOKUP(J438,#REF!,4,0))</f>
        <v>#REF!</v>
      </c>
      <c r="N438" s="19" t="e">
        <f>IF(J438="","SEM #CH",VLOOKUP(J438,#REF!,5,0))</f>
        <v>#REF!</v>
      </c>
      <c r="O438" s="19" t="e">
        <f>IF(J438="","SEM #CH",VLOOKUP(J438,#REF!,6,0))</f>
        <v>#REF!</v>
      </c>
      <c r="P438" s="19" t="e">
        <f>IF(J438="","SEM #CH",VLOOKUP(J438,#REF!,7,0))</f>
        <v>#REF!</v>
      </c>
      <c r="Q438" s="77" t="str">
        <f>VLOOKUP(J438,'p1'!$B$2:$C$30,2,0)</f>
        <v>NÃO TEM CHAPA</v>
      </c>
      <c r="R438" s="91"/>
      <c r="S438" s="91"/>
      <c r="T438" s="91" t="str">
        <f t="shared" si="26"/>
        <v/>
      </c>
      <c r="U438" s="91"/>
      <c r="V438" s="91"/>
      <c r="W438" s="93"/>
      <c r="X438" s="94" t="str">
        <f t="shared" si="27"/>
        <v/>
      </c>
      <c r="Y438"/>
    </row>
    <row r="439" spans="1:25">
      <c r="A439" s="90">
        <v>438</v>
      </c>
      <c r="B439" s="68"/>
      <c r="C439" s="40"/>
      <c r="D439" s="40" t="str">
        <f t="shared" si="24"/>
        <v/>
      </c>
      <c r="E439" s="51" t="s">
        <v>133</v>
      </c>
      <c r="F439" s="17" t="s">
        <v>58</v>
      </c>
      <c r="G439" s="17" t="s">
        <v>86</v>
      </c>
      <c r="H439" s="42" t="s">
        <v>675</v>
      </c>
      <c r="I439" s="17" t="str">
        <f t="shared" si="25"/>
        <v>PN-438</v>
      </c>
      <c r="J439" s="18" t="s">
        <v>85</v>
      </c>
      <c r="K439" s="19" t="e">
        <f>IF(J439="","SEM #CH",VLOOKUP(J439,#REF!,2,0))</f>
        <v>#REF!</v>
      </c>
      <c r="L439" s="19" t="e">
        <f>IF(J439="","SEM #CH",VLOOKUP(J439,#REF!,3,0))</f>
        <v>#REF!</v>
      </c>
      <c r="M439" s="19" t="e">
        <f>IF(J439="","SEM #CH",VLOOKUP(J439,#REF!,4,0))</f>
        <v>#REF!</v>
      </c>
      <c r="N439" s="19" t="e">
        <f>IF(J439="","SEM #CH",VLOOKUP(J439,#REF!,5,0))</f>
        <v>#REF!</v>
      </c>
      <c r="O439" s="19" t="e">
        <f>IF(J439="","SEM #CH",VLOOKUP(J439,#REF!,6,0))</f>
        <v>#REF!</v>
      </c>
      <c r="P439" s="19" t="e">
        <f>IF(J439="","SEM #CH",VLOOKUP(J439,#REF!,7,0))</f>
        <v>#REF!</v>
      </c>
      <c r="Q439" s="77" t="str">
        <f>VLOOKUP(J439,'p1'!$B$2:$C$30,2,0)</f>
        <v>NÃO TEM CHAPA</v>
      </c>
      <c r="R439" s="91"/>
      <c r="S439" s="91"/>
      <c r="T439" s="91" t="str">
        <f t="shared" si="26"/>
        <v/>
      </c>
      <c r="U439" s="91"/>
      <c r="V439" s="91"/>
      <c r="W439" s="93"/>
      <c r="X439" s="94" t="str">
        <f t="shared" si="27"/>
        <v/>
      </c>
      <c r="Y439"/>
    </row>
    <row r="440" spans="1:25">
      <c r="A440" s="90">
        <v>439</v>
      </c>
      <c r="B440" s="68"/>
      <c r="C440" s="40"/>
      <c r="D440" s="40" t="str">
        <f t="shared" si="24"/>
        <v/>
      </c>
      <c r="E440" s="51" t="s">
        <v>133</v>
      </c>
      <c r="F440" s="17" t="s">
        <v>58</v>
      </c>
      <c r="G440" s="17" t="s">
        <v>86</v>
      </c>
      <c r="H440" s="42" t="s">
        <v>676</v>
      </c>
      <c r="I440" s="17" t="str">
        <f t="shared" si="25"/>
        <v>PN-439</v>
      </c>
      <c r="J440" s="18" t="s">
        <v>85</v>
      </c>
      <c r="K440" s="19" t="e">
        <f>IF(J440="","SEM #CH",VLOOKUP(J440,#REF!,2,0))</f>
        <v>#REF!</v>
      </c>
      <c r="L440" s="19" t="e">
        <f>IF(J440="","SEM #CH",VLOOKUP(J440,#REF!,3,0))</f>
        <v>#REF!</v>
      </c>
      <c r="M440" s="19" t="e">
        <f>IF(J440="","SEM #CH",VLOOKUP(J440,#REF!,4,0))</f>
        <v>#REF!</v>
      </c>
      <c r="N440" s="19" t="e">
        <f>IF(J440="","SEM #CH",VLOOKUP(J440,#REF!,5,0))</f>
        <v>#REF!</v>
      </c>
      <c r="O440" s="19" t="e">
        <f>IF(J440="","SEM #CH",VLOOKUP(J440,#REF!,6,0))</f>
        <v>#REF!</v>
      </c>
      <c r="P440" s="19" t="e">
        <f>IF(J440="","SEM #CH",VLOOKUP(J440,#REF!,7,0))</f>
        <v>#REF!</v>
      </c>
      <c r="Q440" s="77" t="str">
        <f>VLOOKUP(J440,'p1'!$B$2:$C$30,2,0)</f>
        <v>NÃO TEM CHAPA</v>
      </c>
      <c r="R440" s="91"/>
      <c r="S440" s="91"/>
      <c r="T440" s="91" t="str">
        <f t="shared" si="26"/>
        <v/>
      </c>
      <c r="U440" s="91"/>
      <c r="V440" s="91"/>
      <c r="W440" s="93"/>
      <c r="X440" s="94" t="str">
        <f t="shared" si="27"/>
        <v/>
      </c>
      <c r="Y440"/>
    </row>
    <row r="441" spans="1:25">
      <c r="A441" s="90">
        <v>440</v>
      </c>
      <c r="B441" s="68"/>
      <c r="C441" s="40"/>
      <c r="D441" s="40" t="str">
        <f t="shared" si="24"/>
        <v/>
      </c>
      <c r="E441" s="51" t="s">
        <v>133</v>
      </c>
      <c r="F441" s="17" t="s">
        <v>58</v>
      </c>
      <c r="G441" s="17" t="s">
        <v>86</v>
      </c>
      <c r="H441" s="42" t="s">
        <v>677</v>
      </c>
      <c r="I441" s="17" t="str">
        <f t="shared" si="25"/>
        <v>PN-440</v>
      </c>
      <c r="J441" s="18" t="s">
        <v>85</v>
      </c>
      <c r="K441" s="19" t="e">
        <f>IF(J441="","SEM #CH",VLOOKUP(J441,#REF!,2,0))</f>
        <v>#REF!</v>
      </c>
      <c r="L441" s="19" t="e">
        <f>IF(J441="","SEM #CH",VLOOKUP(J441,#REF!,3,0))</f>
        <v>#REF!</v>
      </c>
      <c r="M441" s="19" t="e">
        <f>IF(J441="","SEM #CH",VLOOKUP(J441,#REF!,4,0))</f>
        <v>#REF!</v>
      </c>
      <c r="N441" s="19" t="e">
        <f>IF(J441="","SEM #CH",VLOOKUP(J441,#REF!,5,0))</f>
        <v>#REF!</v>
      </c>
      <c r="O441" s="19" t="e">
        <f>IF(J441="","SEM #CH",VLOOKUP(J441,#REF!,6,0))</f>
        <v>#REF!</v>
      </c>
      <c r="P441" s="19" t="e">
        <f>IF(J441="","SEM #CH",VLOOKUP(J441,#REF!,7,0))</f>
        <v>#REF!</v>
      </c>
      <c r="Q441" s="77" t="str">
        <f>VLOOKUP(J441,'p1'!$B$2:$C$30,2,0)</f>
        <v>NÃO TEM CHAPA</v>
      </c>
      <c r="R441" s="91"/>
      <c r="S441" s="91"/>
      <c r="T441" s="91" t="str">
        <f t="shared" si="26"/>
        <v/>
      </c>
      <c r="U441" s="91"/>
      <c r="V441" s="91"/>
      <c r="W441" s="93"/>
      <c r="X441" s="94" t="str">
        <f t="shared" si="27"/>
        <v/>
      </c>
      <c r="Y441"/>
    </row>
    <row r="442" spans="1:25">
      <c r="A442" s="90">
        <v>441</v>
      </c>
      <c r="B442" s="68"/>
      <c r="C442" s="40"/>
      <c r="D442" s="40" t="str">
        <f t="shared" si="24"/>
        <v/>
      </c>
      <c r="E442" s="51" t="s">
        <v>133</v>
      </c>
      <c r="F442" s="17" t="s">
        <v>58</v>
      </c>
      <c r="G442" s="17" t="s">
        <v>86</v>
      </c>
      <c r="H442" s="42" t="s">
        <v>678</v>
      </c>
      <c r="I442" s="17" t="str">
        <f t="shared" si="25"/>
        <v>PN-441</v>
      </c>
      <c r="J442" s="18" t="s">
        <v>85</v>
      </c>
      <c r="K442" s="19" t="e">
        <f>IF(J442="","SEM #CH",VLOOKUP(J442,#REF!,2,0))</f>
        <v>#REF!</v>
      </c>
      <c r="L442" s="19" t="e">
        <f>IF(J442="","SEM #CH",VLOOKUP(J442,#REF!,3,0))</f>
        <v>#REF!</v>
      </c>
      <c r="M442" s="19" t="e">
        <f>IF(J442="","SEM #CH",VLOOKUP(J442,#REF!,4,0))</f>
        <v>#REF!</v>
      </c>
      <c r="N442" s="19" t="e">
        <f>IF(J442="","SEM #CH",VLOOKUP(J442,#REF!,5,0))</f>
        <v>#REF!</v>
      </c>
      <c r="O442" s="19" t="e">
        <f>IF(J442="","SEM #CH",VLOOKUP(J442,#REF!,6,0))</f>
        <v>#REF!</v>
      </c>
      <c r="P442" s="19" t="e">
        <f>IF(J442="","SEM #CH",VLOOKUP(J442,#REF!,7,0))</f>
        <v>#REF!</v>
      </c>
      <c r="Q442" s="77" t="str">
        <f>VLOOKUP(J442,'p1'!$B$2:$C$30,2,0)</f>
        <v>NÃO TEM CHAPA</v>
      </c>
      <c r="R442" s="91"/>
      <c r="S442" s="91"/>
      <c r="T442" s="91" t="str">
        <f t="shared" si="26"/>
        <v/>
      </c>
      <c r="U442" s="91"/>
      <c r="V442" s="91"/>
      <c r="W442" s="93"/>
      <c r="X442" s="94" t="str">
        <f t="shared" si="27"/>
        <v/>
      </c>
      <c r="Y442"/>
    </row>
    <row r="443" spans="1:25">
      <c r="A443" s="90">
        <v>442</v>
      </c>
      <c r="B443" s="68"/>
      <c r="C443" s="40"/>
      <c r="D443" s="40" t="str">
        <f t="shared" si="24"/>
        <v/>
      </c>
      <c r="E443" s="51" t="s">
        <v>133</v>
      </c>
      <c r="F443" s="17" t="s">
        <v>58</v>
      </c>
      <c r="G443" s="17" t="s">
        <v>86</v>
      </c>
      <c r="H443" s="42" t="s">
        <v>679</v>
      </c>
      <c r="I443" s="17" t="str">
        <f t="shared" si="25"/>
        <v>PN-442</v>
      </c>
      <c r="J443" s="18" t="s">
        <v>85</v>
      </c>
      <c r="K443" s="19" t="e">
        <f>IF(J443="","SEM #CH",VLOOKUP(J443,#REF!,2,0))</f>
        <v>#REF!</v>
      </c>
      <c r="L443" s="19" t="e">
        <f>IF(J443="","SEM #CH",VLOOKUP(J443,#REF!,3,0))</f>
        <v>#REF!</v>
      </c>
      <c r="M443" s="19" t="e">
        <f>IF(J443="","SEM #CH",VLOOKUP(J443,#REF!,4,0))</f>
        <v>#REF!</v>
      </c>
      <c r="N443" s="19" t="e">
        <f>IF(J443="","SEM #CH",VLOOKUP(J443,#REF!,5,0))</f>
        <v>#REF!</v>
      </c>
      <c r="O443" s="19" t="e">
        <f>IF(J443="","SEM #CH",VLOOKUP(J443,#REF!,6,0))</f>
        <v>#REF!</v>
      </c>
      <c r="P443" s="19" t="e">
        <f>IF(J443="","SEM #CH",VLOOKUP(J443,#REF!,7,0))</f>
        <v>#REF!</v>
      </c>
      <c r="Q443" s="77" t="str">
        <f>VLOOKUP(J443,'p1'!$B$2:$C$30,2,0)</f>
        <v>NÃO TEM CHAPA</v>
      </c>
      <c r="R443" s="91"/>
      <c r="S443" s="91"/>
      <c r="T443" s="91" t="str">
        <f t="shared" si="26"/>
        <v/>
      </c>
      <c r="U443" s="91"/>
      <c r="V443" s="91"/>
      <c r="W443" s="93"/>
      <c r="X443" s="94" t="str">
        <f t="shared" si="27"/>
        <v/>
      </c>
      <c r="Y443"/>
    </row>
    <row r="444" spans="1:25">
      <c r="A444" s="90">
        <v>443</v>
      </c>
      <c r="B444" s="68"/>
      <c r="C444" s="40"/>
      <c r="D444" s="40" t="str">
        <f t="shared" si="24"/>
        <v/>
      </c>
      <c r="E444" s="51" t="s">
        <v>133</v>
      </c>
      <c r="F444" s="17" t="s">
        <v>60</v>
      </c>
      <c r="G444" s="17" t="s">
        <v>86</v>
      </c>
      <c r="H444" s="42" t="s">
        <v>680</v>
      </c>
      <c r="I444" s="17" t="str">
        <f t="shared" si="25"/>
        <v>PE-443</v>
      </c>
      <c r="J444" s="18" t="s">
        <v>90</v>
      </c>
      <c r="K444" s="19" t="e">
        <f>IF(J444="","SEM #CH",VLOOKUP(J444,#REF!,2,0))</f>
        <v>#REF!</v>
      </c>
      <c r="L444" s="19" t="e">
        <f>IF(J444="","SEM #CH",VLOOKUP(J444,#REF!,3,0))</f>
        <v>#REF!</v>
      </c>
      <c r="M444" s="19" t="e">
        <f>IF(J444="","SEM #CH",VLOOKUP(J444,#REF!,4,0))</f>
        <v>#REF!</v>
      </c>
      <c r="N444" s="19" t="e">
        <f>IF(J444="","SEM #CH",VLOOKUP(J444,#REF!,5,0))</f>
        <v>#REF!</v>
      </c>
      <c r="O444" s="19" t="e">
        <f>IF(J444="","SEM #CH",VLOOKUP(J444,#REF!,6,0))</f>
        <v>#REF!</v>
      </c>
      <c r="P444" s="19" t="e">
        <f>IF(J444="","SEM #CH",VLOOKUP(J444,#REF!,7,0))</f>
        <v>#REF!</v>
      </c>
      <c r="Q444" s="77" t="str">
        <f>VLOOKUP(J444,'p1'!$B$2:$C$30,2,0)</f>
        <v>#3/8-530X530</v>
      </c>
      <c r="R444" s="91"/>
      <c r="S444" s="91"/>
      <c r="T444" s="91" t="str">
        <f t="shared" si="26"/>
        <v/>
      </c>
      <c r="U444" s="91"/>
      <c r="V444" s="91"/>
      <c r="W444" s="93"/>
      <c r="X444" s="94" t="str">
        <f t="shared" si="27"/>
        <v/>
      </c>
      <c r="Y444"/>
    </row>
    <row r="445" spans="1:25">
      <c r="A445" s="90">
        <v>444</v>
      </c>
      <c r="B445" s="68"/>
      <c r="C445" s="40"/>
      <c r="D445" s="40" t="str">
        <f t="shared" si="24"/>
        <v/>
      </c>
      <c r="E445" s="51" t="s">
        <v>133</v>
      </c>
      <c r="F445" s="17" t="s">
        <v>58</v>
      </c>
      <c r="G445" s="17" t="s">
        <v>86</v>
      </c>
      <c r="H445" s="42" t="s">
        <v>681</v>
      </c>
      <c r="I445" s="17" t="str">
        <f t="shared" si="25"/>
        <v>PN-444</v>
      </c>
      <c r="J445" s="18" t="s">
        <v>85</v>
      </c>
      <c r="K445" s="19" t="e">
        <f>IF(J445="","SEM #CH",VLOOKUP(J445,#REF!,2,0))</f>
        <v>#REF!</v>
      </c>
      <c r="L445" s="19" t="e">
        <f>IF(J445="","SEM #CH",VLOOKUP(J445,#REF!,3,0))</f>
        <v>#REF!</v>
      </c>
      <c r="M445" s="19" t="e">
        <f>IF(J445="","SEM #CH",VLOOKUP(J445,#REF!,4,0))</f>
        <v>#REF!</v>
      </c>
      <c r="N445" s="19" t="e">
        <f>IF(J445="","SEM #CH",VLOOKUP(J445,#REF!,5,0))</f>
        <v>#REF!</v>
      </c>
      <c r="O445" s="19" t="e">
        <f>IF(J445="","SEM #CH",VLOOKUP(J445,#REF!,6,0))</f>
        <v>#REF!</v>
      </c>
      <c r="P445" s="19" t="e">
        <f>IF(J445="","SEM #CH",VLOOKUP(J445,#REF!,7,0))</f>
        <v>#REF!</v>
      </c>
      <c r="Q445" s="77" t="str">
        <f>VLOOKUP(J445,'p1'!$B$2:$C$30,2,0)</f>
        <v>NÃO TEM CHAPA</v>
      </c>
      <c r="R445" s="91"/>
      <c r="S445" s="91"/>
      <c r="T445" s="91" t="str">
        <f t="shared" si="26"/>
        <v/>
      </c>
      <c r="U445" s="91"/>
      <c r="V445" s="91"/>
      <c r="W445" s="93"/>
      <c r="X445" s="94" t="str">
        <f t="shared" si="27"/>
        <v/>
      </c>
      <c r="Y445"/>
    </row>
    <row r="446" spans="1:25">
      <c r="A446" s="90">
        <v>445</v>
      </c>
      <c r="B446" s="68"/>
      <c r="C446" s="40"/>
      <c r="D446" s="40" t="str">
        <f t="shared" si="24"/>
        <v/>
      </c>
      <c r="E446" s="51" t="s">
        <v>133</v>
      </c>
      <c r="F446" s="17" t="s">
        <v>58</v>
      </c>
      <c r="G446" s="17" t="s">
        <v>86</v>
      </c>
      <c r="H446" s="42" t="s">
        <v>682</v>
      </c>
      <c r="I446" s="17" t="str">
        <f t="shared" si="25"/>
        <v>PN-445</v>
      </c>
      <c r="J446" s="18" t="s">
        <v>85</v>
      </c>
      <c r="K446" s="19" t="e">
        <f>IF(J446="","SEM #CH",VLOOKUP(J446,#REF!,2,0))</f>
        <v>#REF!</v>
      </c>
      <c r="L446" s="19" t="e">
        <f>IF(J446="","SEM #CH",VLOOKUP(J446,#REF!,3,0))</f>
        <v>#REF!</v>
      </c>
      <c r="M446" s="19" t="e">
        <f>IF(J446="","SEM #CH",VLOOKUP(J446,#REF!,4,0))</f>
        <v>#REF!</v>
      </c>
      <c r="N446" s="19" t="e">
        <f>IF(J446="","SEM #CH",VLOOKUP(J446,#REF!,5,0))</f>
        <v>#REF!</v>
      </c>
      <c r="O446" s="19" t="e">
        <f>IF(J446="","SEM #CH",VLOOKUP(J446,#REF!,6,0))</f>
        <v>#REF!</v>
      </c>
      <c r="P446" s="19" t="e">
        <f>IF(J446="","SEM #CH",VLOOKUP(J446,#REF!,7,0))</f>
        <v>#REF!</v>
      </c>
      <c r="Q446" s="77" t="str">
        <f>VLOOKUP(J446,'p1'!$B$2:$C$30,2,0)</f>
        <v>NÃO TEM CHAPA</v>
      </c>
      <c r="R446" s="91"/>
      <c r="S446" s="91"/>
      <c r="T446" s="91" t="str">
        <f t="shared" si="26"/>
        <v/>
      </c>
      <c r="U446" s="91"/>
      <c r="V446" s="91"/>
      <c r="W446" s="93"/>
      <c r="X446" s="94" t="str">
        <f t="shared" si="27"/>
        <v/>
      </c>
      <c r="Y446"/>
    </row>
    <row r="447" spans="1:25">
      <c r="A447" s="90">
        <v>446</v>
      </c>
      <c r="B447" s="68"/>
      <c r="C447" s="40"/>
      <c r="D447" s="40" t="str">
        <f t="shared" si="24"/>
        <v/>
      </c>
      <c r="E447" s="51" t="s">
        <v>133</v>
      </c>
      <c r="F447" s="17" t="s">
        <v>58</v>
      </c>
      <c r="G447" s="17" t="s">
        <v>86</v>
      </c>
      <c r="H447" s="42" t="s">
        <v>683</v>
      </c>
      <c r="I447" s="17" t="str">
        <f t="shared" si="25"/>
        <v>PN-446</v>
      </c>
      <c r="J447" s="18" t="s">
        <v>85</v>
      </c>
      <c r="K447" s="19" t="e">
        <f>IF(J447="","SEM #CH",VLOOKUP(J447,#REF!,2,0))</f>
        <v>#REF!</v>
      </c>
      <c r="L447" s="19" t="e">
        <f>IF(J447="","SEM #CH",VLOOKUP(J447,#REF!,3,0))</f>
        <v>#REF!</v>
      </c>
      <c r="M447" s="19" t="e">
        <f>IF(J447="","SEM #CH",VLOOKUP(J447,#REF!,4,0))</f>
        <v>#REF!</v>
      </c>
      <c r="N447" s="19" t="e">
        <f>IF(J447="","SEM #CH",VLOOKUP(J447,#REF!,5,0))</f>
        <v>#REF!</v>
      </c>
      <c r="O447" s="19" t="e">
        <f>IF(J447="","SEM #CH",VLOOKUP(J447,#REF!,6,0))</f>
        <v>#REF!</v>
      </c>
      <c r="P447" s="19" t="e">
        <f>IF(J447="","SEM #CH",VLOOKUP(J447,#REF!,7,0))</f>
        <v>#REF!</v>
      </c>
      <c r="Q447" s="77" t="str">
        <f>VLOOKUP(J447,'p1'!$B$2:$C$30,2,0)</f>
        <v>NÃO TEM CHAPA</v>
      </c>
      <c r="R447" s="91"/>
      <c r="S447" s="91"/>
      <c r="T447" s="91" t="str">
        <f t="shared" si="26"/>
        <v/>
      </c>
      <c r="U447" s="91"/>
      <c r="V447" s="91"/>
      <c r="W447" s="93"/>
      <c r="X447" s="94" t="str">
        <f t="shared" si="27"/>
        <v/>
      </c>
      <c r="Y447"/>
    </row>
    <row r="448" spans="1:25">
      <c r="A448" s="90">
        <v>447</v>
      </c>
      <c r="B448" s="68"/>
      <c r="C448" s="40"/>
      <c r="D448" s="40" t="str">
        <f t="shared" si="24"/>
        <v/>
      </c>
      <c r="E448" s="51" t="s">
        <v>133</v>
      </c>
      <c r="F448" s="17" t="s">
        <v>58</v>
      </c>
      <c r="G448" s="17" t="s">
        <v>86</v>
      </c>
      <c r="H448" s="42" t="s">
        <v>684</v>
      </c>
      <c r="I448" s="17" t="str">
        <f t="shared" si="25"/>
        <v>PN-447</v>
      </c>
      <c r="J448" s="18" t="s">
        <v>85</v>
      </c>
      <c r="K448" s="19" t="e">
        <f>IF(J448="","SEM #CH",VLOOKUP(J448,#REF!,2,0))</f>
        <v>#REF!</v>
      </c>
      <c r="L448" s="19" t="e">
        <f>IF(J448="","SEM #CH",VLOOKUP(J448,#REF!,3,0))</f>
        <v>#REF!</v>
      </c>
      <c r="M448" s="19" t="e">
        <f>IF(J448="","SEM #CH",VLOOKUP(J448,#REF!,4,0))</f>
        <v>#REF!</v>
      </c>
      <c r="N448" s="19" t="e">
        <f>IF(J448="","SEM #CH",VLOOKUP(J448,#REF!,5,0))</f>
        <v>#REF!</v>
      </c>
      <c r="O448" s="19" t="e">
        <f>IF(J448="","SEM #CH",VLOOKUP(J448,#REF!,6,0))</f>
        <v>#REF!</v>
      </c>
      <c r="P448" s="19" t="e">
        <f>IF(J448="","SEM #CH",VLOOKUP(J448,#REF!,7,0))</f>
        <v>#REF!</v>
      </c>
      <c r="Q448" s="77" t="str">
        <f>VLOOKUP(J448,'p1'!$B$2:$C$30,2,0)</f>
        <v>NÃO TEM CHAPA</v>
      </c>
      <c r="R448" s="91"/>
      <c r="S448" s="91"/>
      <c r="T448" s="91" t="str">
        <f t="shared" si="26"/>
        <v/>
      </c>
      <c r="U448" s="91"/>
      <c r="V448" s="91"/>
      <c r="W448" s="93"/>
      <c r="X448" s="94" t="str">
        <f t="shared" si="27"/>
        <v/>
      </c>
      <c r="Y448"/>
    </row>
    <row r="449" spans="1:25">
      <c r="A449" s="90">
        <v>448</v>
      </c>
      <c r="B449" s="68"/>
      <c r="C449" s="40"/>
      <c r="D449" s="40" t="str">
        <f t="shared" si="24"/>
        <v/>
      </c>
      <c r="E449" s="51" t="s">
        <v>133</v>
      </c>
      <c r="F449" s="17" t="s">
        <v>58</v>
      </c>
      <c r="G449" s="17" t="s">
        <v>86</v>
      </c>
      <c r="H449" s="42" t="s">
        <v>685</v>
      </c>
      <c r="I449" s="17" t="str">
        <f t="shared" si="25"/>
        <v>PN-448</v>
      </c>
      <c r="J449" s="18" t="s">
        <v>85</v>
      </c>
      <c r="K449" s="19" t="e">
        <f>IF(J449="","SEM #CH",VLOOKUP(J449,#REF!,2,0))</f>
        <v>#REF!</v>
      </c>
      <c r="L449" s="19" t="e">
        <f>IF(J449="","SEM #CH",VLOOKUP(J449,#REF!,3,0))</f>
        <v>#REF!</v>
      </c>
      <c r="M449" s="19" t="e">
        <f>IF(J449="","SEM #CH",VLOOKUP(J449,#REF!,4,0))</f>
        <v>#REF!</v>
      </c>
      <c r="N449" s="19" t="e">
        <f>IF(J449="","SEM #CH",VLOOKUP(J449,#REF!,5,0))</f>
        <v>#REF!</v>
      </c>
      <c r="O449" s="19" t="e">
        <f>IF(J449="","SEM #CH",VLOOKUP(J449,#REF!,6,0))</f>
        <v>#REF!</v>
      </c>
      <c r="P449" s="19" t="e">
        <f>IF(J449="","SEM #CH",VLOOKUP(J449,#REF!,7,0))</f>
        <v>#REF!</v>
      </c>
      <c r="Q449" s="77" t="str">
        <f>VLOOKUP(J449,'p1'!$B$2:$C$30,2,0)</f>
        <v>NÃO TEM CHAPA</v>
      </c>
      <c r="R449" s="91"/>
      <c r="S449" s="91"/>
      <c r="T449" s="91" t="str">
        <f t="shared" si="26"/>
        <v/>
      </c>
      <c r="U449" s="91"/>
      <c r="V449" s="91"/>
      <c r="W449" s="93"/>
      <c r="X449" s="94" t="str">
        <f t="shared" si="27"/>
        <v/>
      </c>
      <c r="Y449"/>
    </row>
    <row r="450" spans="1:25">
      <c r="A450" s="90">
        <v>449</v>
      </c>
      <c r="B450" s="68"/>
      <c r="C450" s="40"/>
      <c r="D450" s="40" t="str">
        <f t="shared" ref="D450:D513" si="28">IF(B450&gt;0,1,"")</f>
        <v/>
      </c>
      <c r="E450" s="51" t="s">
        <v>133</v>
      </c>
      <c r="F450" s="17" t="s">
        <v>58</v>
      </c>
      <c r="G450" s="17" t="s">
        <v>86</v>
      </c>
      <c r="H450" s="42" t="s">
        <v>686</v>
      </c>
      <c r="I450" s="17" t="str">
        <f t="shared" ref="I450:I513" si="29">_xlfn.CONCAT(F450,G450,H450)</f>
        <v>PN-449</v>
      </c>
      <c r="J450" s="18" t="s">
        <v>85</v>
      </c>
      <c r="K450" s="19" t="e">
        <f>IF(J450="","SEM #CH",VLOOKUP(J450,#REF!,2,0))</f>
        <v>#REF!</v>
      </c>
      <c r="L450" s="19" t="e">
        <f>IF(J450="","SEM #CH",VLOOKUP(J450,#REF!,3,0))</f>
        <v>#REF!</v>
      </c>
      <c r="M450" s="19" t="e">
        <f>IF(J450="","SEM #CH",VLOOKUP(J450,#REF!,4,0))</f>
        <v>#REF!</v>
      </c>
      <c r="N450" s="19" t="e">
        <f>IF(J450="","SEM #CH",VLOOKUP(J450,#REF!,5,0))</f>
        <v>#REF!</v>
      </c>
      <c r="O450" s="19" t="e">
        <f>IF(J450="","SEM #CH",VLOOKUP(J450,#REF!,6,0))</f>
        <v>#REF!</v>
      </c>
      <c r="P450" s="19" t="e">
        <f>IF(J450="","SEM #CH",VLOOKUP(J450,#REF!,7,0))</f>
        <v>#REF!</v>
      </c>
      <c r="Q450" s="77" t="str">
        <f>VLOOKUP(J450,'p1'!$B$2:$C$30,2,0)</f>
        <v>NÃO TEM CHAPA</v>
      </c>
      <c r="R450" s="91"/>
      <c r="S450" s="91"/>
      <c r="T450" s="91" t="str">
        <f t="shared" ref="T450:T513" si="30">IF(R450=0,"",1)</f>
        <v/>
      </c>
      <c r="U450" s="91"/>
      <c r="V450" s="91"/>
      <c r="W450" s="93"/>
      <c r="X450" s="94" t="str">
        <f t="shared" ref="X450:X513" si="31">IF(U450&gt;0,1,"")</f>
        <v/>
      </c>
      <c r="Y450"/>
    </row>
    <row r="451" spans="1:25">
      <c r="A451" s="90">
        <v>450</v>
      </c>
      <c r="B451" s="68"/>
      <c r="C451" s="40"/>
      <c r="D451" s="40" t="str">
        <f t="shared" si="28"/>
        <v/>
      </c>
      <c r="E451" s="51" t="s">
        <v>133</v>
      </c>
      <c r="F451" s="17" t="s">
        <v>58</v>
      </c>
      <c r="G451" s="17" t="s">
        <v>86</v>
      </c>
      <c r="H451" s="42" t="s">
        <v>687</v>
      </c>
      <c r="I451" s="17" t="str">
        <f t="shared" si="29"/>
        <v>PN-450</v>
      </c>
      <c r="J451" s="18" t="s">
        <v>85</v>
      </c>
      <c r="K451" s="19" t="e">
        <f>IF(J451="","SEM #CH",VLOOKUP(J451,#REF!,2,0))</f>
        <v>#REF!</v>
      </c>
      <c r="L451" s="19" t="e">
        <f>IF(J451="","SEM #CH",VLOOKUP(J451,#REF!,3,0))</f>
        <v>#REF!</v>
      </c>
      <c r="M451" s="19" t="e">
        <f>IF(J451="","SEM #CH",VLOOKUP(J451,#REF!,4,0))</f>
        <v>#REF!</v>
      </c>
      <c r="N451" s="19" t="e">
        <f>IF(J451="","SEM #CH",VLOOKUP(J451,#REF!,5,0))</f>
        <v>#REF!</v>
      </c>
      <c r="O451" s="19" t="e">
        <f>IF(J451="","SEM #CH",VLOOKUP(J451,#REF!,6,0))</f>
        <v>#REF!</v>
      </c>
      <c r="P451" s="19" t="e">
        <f>IF(J451="","SEM #CH",VLOOKUP(J451,#REF!,7,0))</f>
        <v>#REF!</v>
      </c>
      <c r="Q451" s="77" t="str">
        <f>VLOOKUP(J451,'p1'!$B$2:$C$30,2,0)</f>
        <v>NÃO TEM CHAPA</v>
      </c>
      <c r="R451" s="91"/>
      <c r="S451" s="91"/>
      <c r="T451" s="91" t="str">
        <f t="shared" si="30"/>
        <v/>
      </c>
      <c r="U451" s="91"/>
      <c r="V451" s="91"/>
      <c r="W451" s="93"/>
      <c r="X451" s="94" t="str">
        <f t="shared" si="31"/>
        <v/>
      </c>
      <c r="Y451"/>
    </row>
    <row r="452" spans="1:25">
      <c r="A452" s="90">
        <v>451</v>
      </c>
      <c r="B452" s="68"/>
      <c r="C452" s="40"/>
      <c r="D452" s="40" t="str">
        <f t="shared" si="28"/>
        <v/>
      </c>
      <c r="E452" s="51" t="s">
        <v>133</v>
      </c>
      <c r="F452" s="17" t="s">
        <v>58</v>
      </c>
      <c r="G452" s="17" t="s">
        <v>86</v>
      </c>
      <c r="H452" s="42" t="s">
        <v>688</v>
      </c>
      <c r="I452" s="17" t="str">
        <f t="shared" si="29"/>
        <v>PN-451</v>
      </c>
      <c r="J452" s="18" t="s">
        <v>85</v>
      </c>
      <c r="K452" s="19" t="e">
        <f>IF(J452="","SEM #CH",VLOOKUP(J452,#REF!,2,0))</f>
        <v>#REF!</v>
      </c>
      <c r="L452" s="19" t="e">
        <f>IF(J452="","SEM #CH",VLOOKUP(J452,#REF!,3,0))</f>
        <v>#REF!</v>
      </c>
      <c r="M452" s="19" t="e">
        <f>IF(J452="","SEM #CH",VLOOKUP(J452,#REF!,4,0))</f>
        <v>#REF!</v>
      </c>
      <c r="N452" s="19" t="e">
        <f>IF(J452="","SEM #CH",VLOOKUP(J452,#REF!,5,0))</f>
        <v>#REF!</v>
      </c>
      <c r="O452" s="19" t="e">
        <f>IF(J452="","SEM #CH",VLOOKUP(J452,#REF!,6,0))</f>
        <v>#REF!</v>
      </c>
      <c r="P452" s="19" t="e">
        <f>IF(J452="","SEM #CH",VLOOKUP(J452,#REF!,7,0))</f>
        <v>#REF!</v>
      </c>
      <c r="Q452" s="77" t="str">
        <f>VLOOKUP(J452,'p1'!$B$2:$C$30,2,0)</f>
        <v>NÃO TEM CHAPA</v>
      </c>
      <c r="R452" s="91"/>
      <c r="S452" s="91"/>
      <c r="T452" s="91" t="str">
        <f t="shared" si="30"/>
        <v/>
      </c>
      <c r="U452" s="91"/>
      <c r="V452" s="91"/>
      <c r="W452" s="93"/>
      <c r="X452" s="94" t="str">
        <f t="shared" si="31"/>
        <v/>
      </c>
      <c r="Y452"/>
    </row>
    <row r="453" spans="1:25">
      <c r="A453" s="90">
        <v>452</v>
      </c>
      <c r="B453" s="68"/>
      <c r="C453" s="40"/>
      <c r="D453" s="40" t="str">
        <f t="shared" si="28"/>
        <v/>
      </c>
      <c r="E453" s="51" t="s">
        <v>133</v>
      </c>
      <c r="F453" s="17" t="s">
        <v>58</v>
      </c>
      <c r="G453" s="17" t="s">
        <v>86</v>
      </c>
      <c r="H453" s="42" t="s">
        <v>689</v>
      </c>
      <c r="I453" s="17" t="str">
        <f t="shared" si="29"/>
        <v>PN-452</v>
      </c>
      <c r="J453" s="18" t="s">
        <v>85</v>
      </c>
      <c r="K453" s="19" t="e">
        <f>IF(J453="","SEM #CH",VLOOKUP(J453,#REF!,2,0))</f>
        <v>#REF!</v>
      </c>
      <c r="L453" s="19" t="e">
        <f>IF(J453="","SEM #CH",VLOOKUP(J453,#REF!,3,0))</f>
        <v>#REF!</v>
      </c>
      <c r="M453" s="19" t="e">
        <f>IF(J453="","SEM #CH",VLOOKUP(J453,#REF!,4,0))</f>
        <v>#REF!</v>
      </c>
      <c r="N453" s="19" t="e">
        <f>IF(J453="","SEM #CH",VLOOKUP(J453,#REF!,5,0))</f>
        <v>#REF!</v>
      </c>
      <c r="O453" s="19" t="e">
        <f>IF(J453="","SEM #CH",VLOOKUP(J453,#REF!,6,0))</f>
        <v>#REF!</v>
      </c>
      <c r="P453" s="19" t="e">
        <f>IF(J453="","SEM #CH",VLOOKUP(J453,#REF!,7,0))</f>
        <v>#REF!</v>
      </c>
      <c r="Q453" s="77" t="str">
        <f>VLOOKUP(J453,'p1'!$B$2:$C$30,2,0)</f>
        <v>NÃO TEM CHAPA</v>
      </c>
      <c r="R453" s="91"/>
      <c r="S453" s="91"/>
      <c r="T453" s="91" t="str">
        <f t="shared" si="30"/>
        <v/>
      </c>
      <c r="U453" s="91"/>
      <c r="V453" s="91"/>
      <c r="W453" s="93"/>
      <c r="X453" s="94" t="str">
        <f t="shared" si="31"/>
        <v/>
      </c>
      <c r="Y453"/>
    </row>
    <row r="454" spans="1:25">
      <c r="A454" s="90">
        <v>453</v>
      </c>
      <c r="B454" s="68"/>
      <c r="C454" s="40"/>
      <c r="D454" s="40" t="str">
        <f t="shared" si="28"/>
        <v/>
      </c>
      <c r="E454" s="51" t="s">
        <v>133</v>
      </c>
      <c r="F454" s="17" t="s">
        <v>58</v>
      </c>
      <c r="G454" s="17" t="s">
        <v>86</v>
      </c>
      <c r="H454" s="42" t="s">
        <v>690</v>
      </c>
      <c r="I454" s="17" t="str">
        <f t="shared" si="29"/>
        <v>PN-453</v>
      </c>
      <c r="J454" s="18" t="s">
        <v>85</v>
      </c>
      <c r="K454" s="19" t="e">
        <f>IF(J454="","SEM #CH",VLOOKUP(J454,#REF!,2,0))</f>
        <v>#REF!</v>
      </c>
      <c r="L454" s="19" t="e">
        <f>IF(J454="","SEM #CH",VLOOKUP(J454,#REF!,3,0))</f>
        <v>#REF!</v>
      </c>
      <c r="M454" s="19" t="e">
        <f>IF(J454="","SEM #CH",VLOOKUP(J454,#REF!,4,0))</f>
        <v>#REF!</v>
      </c>
      <c r="N454" s="19" t="e">
        <f>IF(J454="","SEM #CH",VLOOKUP(J454,#REF!,5,0))</f>
        <v>#REF!</v>
      </c>
      <c r="O454" s="19" t="e">
        <f>IF(J454="","SEM #CH",VLOOKUP(J454,#REF!,6,0))</f>
        <v>#REF!</v>
      </c>
      <c r="P454" s="19" t="e">
        <f>IF(J454="","SEM #CH",VLOOKUP(J454,#REF!,7,0))</f>
        <v>#REF!</v>
      </c>
      <c r="Q454" s="77" t="str">
        <f>VLOOKUP(J454,'p1'!$B$2:$C$30,2,0)</f>
        <v>NÃO TEM CHAPA</v>
      </c>
      <c r="R454" s="91"/>
      <c r="S454" s="91"/>
      <c r="T454" s="91" t="str">
        <f t="shared" si="30"/>
        <v/>
      </c>
      <c r="U454" s="91"/>
      <c r="V454" s="91"/>
      <c r="W454" s="93"/>
      <c r="X454" s="94" t="str">
        <f t="shared" si="31"/>
        <v/>
      </c>
      <c r="Y454"/>
    </row>
    <row r="455" spans="1:25">
      <c r="A455" s="90">
        <v>454</v>
      </c>
      <c r="B455" s="68"/>
      <c r="C455" s="40"/>
      <c r="D455" s="40" t="str">
        <f t="shared" si="28"/>
        <v/>
      </c>
      <c r="E455" s="51" t="s">
        <v>133</v>
      </c>
      <c r="F455" s="17" t="s">
        <v>58</v>
      </c>
      <c r="G455" s="17" t="s">
        <v>86</v>
      </c>
      <c r="H455" s="42" t="s">
        <v>691</v>
      </c>
      <c r="I455" s="17" t="str">
        <f t="shared" si="29"/>
        <v>PN-454</v>
      </c>
      <c r="J455" s="18" t="s">
        <v>85</v>
      </c>
      <c r="K455" s="19" t="e">
        <f>IF(J455="","SEM #CH",VLOOKUP(J455,#REF!,2,0))</f>
        <v>#REF!</v>
      </c>
      <c r="L455" s="19" t="e">
        <f>IF(J455="","SEM #CH",VLOOKUP(J455,#REF!,3,0))</f>
        <v>#REF!</v>
      </c>
      <c r="M455" s="19" t="e">
        <f>IF(J455="","SEM #CH",VLOOKUP(J455,#REF!,4,0))</f>
        <v>#REF!</v>
      </c>
      <c r="N455" s="19" t="e">
        <f>IF(J455="","SEM #CH",VLOOKUP(J455,#REF!,5,0))</f>
        <v>#REF!</v>
      </c>
      <c r="O455" s="19" t="e">
        <f>IF(J455="","SEM #CH",VLOOKUP(J455,#REF!,6,0))</f>
        <v>#REF!</v>
      </c>
      <c r="P455" s="19" t="e">
        <f>IF(J455="","SEM #CH",VLOOKUP(J455,#REF!,7,0))</f>
        <v>#REF!</v>
      </c>
      <c r="Q455" s="77" t="str">
        <f>VLOOKUP(J455,'p1'!$B$2:$C$30,2,0)</f>
        <v>NÃO TEM CHAPA</v>
      </c>
      <c r="R455" s="91"/>
      <c r="S455" s="91"/>
      <c r="T455" s="91" t="str">
        <f t="shared" si="30"/>
        <v/>
      </c>
      <c r="U455" s="91"/>
      <c r="V455" s="91"/>
      <c r="W455" s="93"/>
      <c r="X455" s="94" t="str">
        <f t="shared" si="31"/>
        <v/>
      </c>
      <c r="Y455"/>
    </row>
    <row r="456" spans="1:25">
      <c r="A456" s="90">
        <v>455</v>
      </c>
      <c r="B456" s="68"/>
      <c r="C456" s="40"/>
      <c r="D456" s="40" t="str">
        <f t="shared" si="28"/>
        <v/>
      </c>
      <c r="E456" s="51" t="s">
        <v>133</v>
      </c>
      <c r="F456" s="17" t="s">
        <v>58</v>
      </c>
      <c r="G456" s="17" t="s">
        <v>86</v>
      </c>
      <c r="H456" s="42" t="s">
        <v>692</v>
      </c>
      <c r="I456" s="17" t="str">
        <f t="shared" si="29"/>
        <v>PN-455</v>
      </c>
      <c r="J456" s="18" t="s">
        <v>85</v>
      </c>
      <c r="K456" s="19" t="e">
        <f>IF(J456="","SEM #CH",VLOOKUP(J456,#REF!,2,0))</f>
        <v>#REF!</v>
      </c>
      <c r="L456" s="19" t="e">
        <f>IF(J456="","SEM #CH",VLOOKUP(J456,#REF!,3,0))</f>
        <v>#REF!</v>
      </c>
      <c r="M456" s="19" t="e">
        <f>IF(J456="","SEM #CH",VLOOKUP(J456,#REF!,4,0))</f>
        <v>#REF!</v>
      </c>
      <c r="N456" s="19" t="e">
        <f>IF(J456="","SEM #CH",VLOOKUP(J456,#REF!,5,0))</f>
        <v>#REF!</v>
      </c>
      <c r="O456" s="19" t="e">
        <f>IF(J456="","SEM #CH",VLOOKUP(J456,#REF!,6,0))</f>
        <v>#REF!</v>
      </c>
      <c r="P456" s="19" t="e">
        <f>IF(J456="","SEM #CH",VLOOKUP(J456,#REF!,7,0))</f>
        <v>#REF!</v>
      </c>
      <c r="Q456" s="77" t="str">
        <f>VLOOKUP(J456,'p1'!$B$2:$C$30,2,0)</f>
        <v>NÃO TEM CHAPA</v>
      </c>
      <c r="R456" s="91"/>
      <c r="S456" s="91"/>
      <c r="T456" s="91" t="str">
        <f t="shared" si="30"/>
        <v/>
      </c>
      <c r="U456" s="91"/>
      <c r="V456" s="91"/>
      <c r="W456" s="93"/>
      <c r="X456" s="94" t="str">
        <f t="shared" si="31"/>
        <v/>
      </c>
      <c r="Y456"/>
    </row>
    <row r="457" spans="1:25">
      <c r="A457" s="90">
        <v>456</v>
      </c>
      <c r="B457" s="68"/>
      <c r="C457" s="40"/>
      <c r="D457" s="40" t="str">
        <f t="shared" si="28"/>
        <v/>
      </c>
      <c r="E457" s="51" t="s">
        <v>133</v>
      </c>
      <c r="F457" s="17" t="s">
        <v>58</v>
      </c>
      <c r="G457" s="17" t="s">
        <v>86</v>
      </c>
      <c r="H457" s="42" t="s">
        <v>693</v>
      </c>
      <c r="I457" s="17" t="str">
        <f t="shared" si="29"/>
        <v>PN-456</v>
      </c>
      <c r="J457" s="18" t="s">
        <v>85</v>
      </c>
      <c r="K457" s="19" t="e">
        <f>IF(J457="","SEM #CH",VLOOKUP(J457,#REF!,2,0))</f>
        <v>#REF!</v>
      </c>
      <c r="L457" s="19" t="e">
        <f>IF(J457="","SEM #CH",VLOOKUP(J457,#REF!,3,0))</f>
        <v>#REF!</v>
      </c>
      <c r="M457" s="19" t="e">
        <f>IF(J457="","SEM #CH",VLOOKUP(J457,#REF!,4,0))</f>
        <v>#REF!</v>
      </c>
      <c r="N457" s="19" t="e">
        <f>IF(J457="","SEM #CH",VLOOKUP(J457,#REF!,5,0))</f>
        <v>#REF!</v>
      </c>
      <c r="O457" s="19" t="e">
        <f>IF(J457="","SEM #CH",VLOOKUP(J457,#REF!,6,0))</f>
        <v>#REF!</v>
      </c>
      <c r="P457" s="19" t="e">
        <f>IF(J457="","SEM #CH",VLOOKUP(J457,#REF!,7,0))</f>
        <v>#REF!</v>
      </c>
      <c r="Q457" s="77" t="str">
        <f>VLOOKUP(J457,'p1'!$B$2:$C$30,2,0)</f>
        <v>NÃO TEM CHAPA</v>
      </c>
      <c r="R457" s="91"/>
      <c r="S457" s="91"/>
      <c r="T457" s="91" t="str">
        <f t="shared" si="30"/>
        <v/>
      </c>
      <c r="U457" s="91"/>
      <c r="V457" s="91"/>
      <c r="W457" s="93"/>
      <c r="X457" s="94" t="str">
        <f t="shared" si="31"/>
        <v/>
      </c>
      <c r="Y457"/>
    </row>
    <row r="458" spans="1:25">
      <c r="A458" s="90">
        <v>457</v>
      </c>
      <c r="B458" s="68"/>
      <c r="C458" s="40"/>
      <c r="D458" s="40" t="str">
        <f t="shared" si="28"/>
        <v/>
      </c>
      <c r="E458" s="51" t="s">
        <v>133</v>
      </c>
      <c r="F458" s="17" t="s">
        <v>60</v>
      </c>
      <c r="G458" s="17" t="s">
        <v>86</v>
      </c>
      <c r="H458" s="42" t="s">
        <v>694</v>
      </c>
      <c r="I458" s="17" t="str">
        <f t="shared" si="29"/>
        <v>PE-457</v>
      </c>
      <c r="J458" s="18" t="s">
        <v>90</v>
      </c>
      <c r="K458" s="19" t="e">
        <f>IF(J458="","SEM #CH",VLOOKUP(J458,#REF!,2,0))</f>
        <v>#REF!</v>
      </c>
      <c r="L458" s="19" t="e">
        <f>IF(J458="","SEM #CH",VLOOKUP(J458,#REF!,3,0))</f>
        <v>#REF!</v>
      </c>
      <c r="M458" s="19" t="e">
        <f>IF(J458="","SEM #CH",VLOOKUP(J458,#REF!,4,0))</f>
        <v>#REF!</v>
      </c>
      <c r="N458" s="19" t="e">
        <f>IF(J458="","SEM #CH",VLOOKUP(J458,#REF!,5,0))</f>
        <v>#REF!</v>
      </c>
      <c r="O458" s="19" t="e">
        <f>IF(J458="","SEM #CH",VLOOKUP(J458,#REF!,6,0))</f>
        <v>#REF!</v>
      </c>
      <c r="P458" s="19" t="e">
        <f>IF(J458="","SEM #CH",VLOOKUP(J458,#REF!,7,0))</f>
        <v>#REF!</v>
      </c>
      <c r="Q458" s="77" t="str">
        <f>VLOOKUP(J458,'p1'!$B$2:$C$30,2,0)</f>
        <v>#3/8-530X530</v>
      </c>
      <c r="R458" s="91"/>
      <c r="S458" s="91"/>
      <c r="T458" s="91" t="str">
        <f t="shared" si="30"/>
        <v/>
      </c>
      <c r="U458" s="91"/>
      <c r="V458" s="91"/>
      <c r="W458" s="93"/>
      <c r="X458" s="94" t="str">
        <f t="shared" si="31"/>
        <v/>
      </c>
      <c r="Y458"/>
    </row>
    <row r="459" spans="1:25">
      <c r="A459" s="90">
        <v>458</v>
      </c>
      <c r="B459" s="68"/>
      <c r="C459" s="40"/>
      <c r="D459" s="40" t="str">
        <f t="shared" si="28"/>
        <v/>
      </c>
      <c r="E459" s="51" t="s">
        <v>133</v>
      </c>
      <c r="F459" s="17" t="s">
        <v>60</v>
      </c>
      <c r="G459" s="17" t="s">
        <v>86</v>
      </c>
      <c r="H459" s="42" t="s">
        <v>695</v>
      </c>
      <c r="I459" s="17" t="str">
        <f t="shared" si="29"/>
        <v>PE-458</v>
      </c>
      <c r="J459" s="18" t="s">
        <v>89</v>
      </c>
      <c r="K459" s="19" t="e">
        <f>IF(J459="","SEM #CH",VLOOKUP(J459,#REF!,2,0))</f>
        <v>#REF!</v>
      </c>
      <c r="L459" s="19" t="e">
        <f>IF(J459="","SEM #CH",VLOOKUP(J459,#REF!,3,0))</f>
        <v>#REF!</v>
      </c>
      <c r="M459" s="19" t="e">
        <f>IF(J459="","SEM #CH",VLOOKUP(J459,#REF!,4,0))</f>
        <v>#REF!</v>
      </c>
      <c r="N459" s="19" t="e">
        <f>IF(J459="","SEM #CH",VLOOKUP(J459,#REF!,5,0))</f>
        <v>#REF!</v>
      </c>
      <c r="O459" s="19" t="e">
        <f>IF(J459="","SEM #CH",VLOOKUP(J459,#REF!,6,0))</f>
        <v>#REF!</v>
      </c>
      <c r="P459" s="19" t="e">
        <f>IF(J459="","SEM #CH",VLOOKUP(J459,#REF!,7,0))</f>
        <v>#REF!</v>
      </c>
      <c r="Q459" s="77" t="str">
        <f>VLOOKUP(J459,'p1'!$B$2:$C$30,2,0)</f>
        <v>#3/8-1200X1200</v>
      </c>
      <c r="R459" s="91"/>
      <c r="S459" s="91"/>
      <c r="T459" s="91" t="str">
        <f t="shared" si="30"/>
        <v/>
      </c>
      <c r="U459" s="91"/>
      <c r="V459" s="91"/>
      <c r="W459" s="93"/>
      <c r="X459" s="94" t="str">
        <f t="shared" si="31"/>
        <v/>
      </c>
      <c r="Y459"/>
    </row>
    <row r="460" spans="1:25">
      <c r="A460" s="90">
        <v>459</v>
      </c>
      <c r="B460" s="68"/>
      <c r="C460" s="40"/>
      <c r="D460" s="40" t="str">
        <f t="shared" si="28"/>
        <v/>
      </c>
      <c r="E460" s="51" t="s">
        <v>133</v>
      </c>
      <c r="F460" s="17" t="s">
        <v>60</v>
      </c>
      <c r="G460" s="17" t="s">
        <v>86</v>
      </c>
      <c r="H460" s="42" t="s">
        <v>696</v>
      </c>
      <c r="I460" s="17" t="str">
        <f t="shared" si="29"/>
        <v>PE-459</v>
      </c>
      <c r="J460" s="18" t="s">
        <v>87</v>
      </c>
      <c r="K460" s="19" t="e">
        <f>IF(J460="","SEM #CH",VLOOKUP(J460,#REF!,2,0))</f>
        <v>#REF!</v>
      </c>
      <c r="L460" s="19" t="e">
        <f>IF(J460="","SEM #CH",VLOOKUP(J460,#REF!,3,0))</f>
        <v>#REF!</v>
      </c>
      <c r="M460" s="19" t="e">
        <f>IF(J460="","SEM #CH",VLOOKUP(J460,#REF!,4,0))</f>
        <v>#REF!</v>
      </c>
      <c r="N460" s="19" t="e">
        <f>IF(J460="","SEM #CH",VLOOKUP(J460,#REF!,5,0))</f>
        <v>#REF!</v>
      </c>
      <c r="O460" s="19" t="e">
        <f>IF(J460="","SEM #CH",VLOOKUP(J460,#REF!,6,0))</f>
        <v>#REF!</v>
      </c>
      <c r="P460" s="19" t="e">
        <f>IF(J460="","SEM #CH",VLOOKUP(J460,#REF!,7,0))</f>
        <v>#REF!</v>
      </c>
      <c r="Q460" s="77" t="str">
        <f>VLOOKUP(J460,'p1'!$B$2:$C$30,2,0)</f>
        <v>#3/8-1620X1620</v>
      </c>
      <c r="R460" s="91"/>
      <c r="S460" s="91"/>
      <c r="T460" s="91" t="str">
        <f t="shared" si="30"/>
        <v/>
      </c>
      <c r="U460" s="91"/>
      <c r="V460" s="91"/>
      <c r="W460" s="93"/>
      <c r="X460" s="94" t="str">
        <f t="shared" si="31"/>
        <v/>
      </c>
      <c r="Y460"/>
    </row>
    <row r="461" spans="1:25">
      <c r="A461" s="90">
        <v>460</v>
      </c>
      <c r="B461" s="68"/>
      <c r="C461" s="40"/>
      <c r="D461" s="40" t="str">
        <f t="shared" si="28"/>
        <v/>
      </c>
      <c r="E461" s="51" t="s">
        <v>133</v>
      </c>
      <c r="F461" s="17" t="s">
        <v>60</v>
      </c>
      <c r="G461" s="17" t="s">
        <v>86</v>
      </c>
      <c r="H461" s="42" t="s">
        <v>697</v>
      </c>
      <c r="I461" s="17" t="str">
        <f t="shared" si="29"/>
        <v>PE-460</v>
      </c>
      <c r="J461" s="18" t="s">
        <v>88</v>
      </c>
      <c r="K461" s="19" t="e">
        <f>IF(J461="","SEM #CH",VLOOKUP(J461,#REF!,2,0))</f>
        <v>#REF!</v>
      </c>
      <c r="L461" s="19" t="e">
        <f>IF(J461="","SEM #CH",VLOOKUP(J461,#REF!,3,0))</f>
        <v>#REF!</v>
      </c>
      <c r="M461" s="19" t="e">
        <f>IF(J461="","SEM #CH",VLOOKUP(J461,#REF!,4,0))</f>
        <v>#REF!</v>
      </c>
      <c r="N461" s="19" t="e">
        <f>IF(J461="","SEM #CH",VLOOKUP(J461,#REF!,5,0))</f>
        <v>#REF!</v>
      </c>
      <c r="O461" s="19" t="e">
        <f>IF(J461="","SEM #CH",VLOOKUP(J461,#REF!,6,0))</f>
        <v>#REF!</v>
      </c>
      <c r="P461" s="19" t="e">
        <f>IF(J461="","SEM #CH",VLOOKUP(J461,#REF!,7,0))</f>
        <v>#REF!</v>
      </c>
      <c r="Q461" s="77" t="str">
        <f>VLOOKUP(J461,'p1'!$B$2:$C$30,2,0)</f>
        <v>#3/8-1315X1315</v>
      </c>
      <c r="R461" s="91"/>
      <c r="S461" s="91"/>
      <c r="T461" s="91" t="str">
        <f t="shared" si="30"/>
        <v/>
      </c>
      <c r="U461" s="91"/>
      <c r="V461" s="91"/>
      <c r="W461" s="93"/>
      <c r="X461" s="94" t="str">
        <f t="shared" si="31"/>
        <v/>
      </c>
      <c r="Y461"/>
    </row>
    <row r="462" spans="1:25">
      <c r="A462" s="90">
        <v>461</v>
      </c>
      <c r="B462" s="68"/>
      <c r="C462" s="40"/>
      <c r="D462" s="40" t="str">
        <f t="shared" si="28"/>
        <v/>
      </c>
      <c r="E462" s="51" t="s">
        <v>133</v>
      </c>
      <c r="F462" s="17" t="s">
        <v>58</v>
      </c>
      <c r="G462" s="17" t="s">
        <v>86</v>
      </c>
      <c r="H462" s="42" t="s">
        <v>698</v>
      </c>
      <c r="I462" s="17" t="str">
        <f t="shared" si="29"/>
        <v>PN-461</v>
      </c>
      <c r="J462" s="18" t="s">
        <v>85</v>
      </c>
      <c r="K462" s="19" t="e">
        <f>IF(J462="","SEM #CH",VLOOKUP(J462,#REF!,2,0))</f>
        <v>#REF!</v>
      </c>
      <c r="L462" s="19" t="e">
        <f>IF(J462="","SEM #CH",VLOOKUP(J462,#REF!,3,0))</f>
        <v>#REF!</v>
      </c>
      <c r="M462" s="19" t="e">
        <f>IF(J462="","SEM #CH",VLOOKUP(J462,#REF!,4,0))</f>
        <v>#REF!</v>
      </c>
      <c r="N462" s="19" t="e">
        <f>IF(J462="","SEM #CH",VLOOKUP(J462,#REF!,5,0))</f>
        <v>#REF!</v>
      </c>
      <c r="O462" s="19" t="e">
        <f>IF(J462="","SEM #CH",VLOOKUP(J462,#REF!,6,0))</f>
        <v>#REF!</v>
      </c>
      <c r="P462" s="19" t="e">
        <f>IF(J462="","SEM #CH",VLOOKUP(J462,#REF!,7,0))</f>
        <v>#REF!</v>
      </c>
      <c r="Q462" s="77" t="str">
        <f>VLOOKUP(J462,'p1'!$B$2:$C$30,2,0)</f>
        <v>NÃO TEM CHAPA</v>
      </c>
      <c r="R462" s="91"/>
      <c r="S462" s="91"/>
      <c r="T462" s="91" t="str">
        <f t="shared" si="30"/>
        <v/>
      </c>
      <c r="U462" s="91"/>
      <c r="V462" s="91"/>
      <c r="W462" s="93"/>
      <c r="X462" s="94" t="str">
        <f t="shared" si="31"/>
        <v/>
      </c>
      <c r="Y462"/>
    </row>
    <row r="463" spans="1:25">
      <c r="A463" s="90">
        <v>462</v>
      </c>
      <c r="B463" s="68"/>
      <c r="C463" s="40"/>
      <c r="D463" s="40" t="str">
        <f t="shared" si="28"/>
        <v/>
      </c>
      <c r="E463" s="51" t="s">
        <v>133</v>
      </c>
      <c r="F463" s="17" t="s">
        <v>58</v>
      </c>
      <c r="G463" s="17" t="s">
        <v>86</v>
      </c>
      <c r="H463" s="42" t="s">
        <v>699</v>
      </c>
      <c r="I463" s="17" t="str">
        <f t="shared" si="29"/>
        <v>PN-462</v>
      </c>
      <c r="J463" s="18" t="s">
        <v>85</v>
      </c>
      <c r="K463" s="19" t="e">
        <f>IF(J463="","SEM #CH",VLOOKUP(J463,#REF!,2,0))</f>
        <v>#REF!</v>
      </c>
      <c r="L463" s="19" t="e">
        <f>IF(J463="","SEM #CH",VLOOKUP(J463,#REF!,3,0))</f>
        <v>#REF!</v>
      </c>
      <c r="M463" s="19" t="e">
        <f>IF(J463="","SEM #CH",VLOOKUP(J463,#REF!,4,0))</f>
        <v>#REF!</v>
      </c>
      <c r="N463" s="19" t="e">
        <f>IF(J463="","SEM #CH",VLOOKUP(J463,#REF!,5,0))</f>
        <v>#REF!</v>
      </c>
      <c r="O463" s="19" t="e">
        <f>IF(J463="","SEM #CH",VLOOKUP(J463,#REF!,6,0))</f>
        <v>#REF!</v>
      </c>
      <c r="P463" s="19" t="e">
        <f>IF(J463="","SEM #CH",VLOOKUP(J463,#REF!,7,0))</f>
        <v>#REF!</v>
      </c>
      <c r="Q463" s="77" t="str">
        <f>VLOOKUP(J463,'p1'!$B$2:$C$30,2,0)</f>
        <v>NÃO TEM CHAPA</v>
      </c>
      <c r="R463" s="91"/>
      <c r="S463" s="91"/>
      <c r="T463" s="91" t="str">
        <f t="shared" si="30"/>
        <v/>
      </c>
      <c r="U463" s="91"/>
      <c r="V463" s="91"/>
      <c r="W463" s="93"/>
      <c r="X463" s="94" t="str">
        <f t="shared" si="31"/>
        <v/>
      </c>
      <c r="Y463"/>
    </row>
    <row r="464" spans="1:25">
      <c r="A464" s="90">
        <v>463</v>
      </c>
      <c r="B464" s="68"/>
      <c r="C464" s="40"/>
      <c r="D464" s="40" t="str">
        <f t="shared" si="28"/>
        <v/>
      </c>
      <c r="E464" s="51" t="s">
        <v>133</v>
      </c>
      <c r="F464" s="17" t="s">
        <v>58</v>
      </c>
      <c r="G464" s="17" t="s">
        <v>86</v>
      </c>
      <c r="H464" s="42" t="s">
        <v>700</v>
      </c>
      <c r="I464" s="17" t="str">
        <f t="shared" si="29"/>
        <v>PN-463</v>
      </c>
      <c r="J464" s="18" t="s">
        <v>85</v>
      </c>
      <c r="K464" s="19" t="e">
        <f>IF(J464="","SEM #CH",VLOOKUP(J464,#REF!,2,0))</f>
        <v>#REF!</v>
      </c>
      <c r="L464" s="19" t="e">
        <f>IF(J464="","SEM #CH",VLOOKUP(J464,#REF!,3,0))</f>
        <v>#REF!</v>
      </c>
      <c r="M464" s="19" t="e">
        <f>IF(J464="","SEM #CH",VLOOKUP(J464,#REF!,4,0))</f>
        <v>#REF!</v>
      </c>
      <c r="N464" s="19" t="e">
        <f>IF(J464="","SEM #CH",VLOOKUP(J464,#REF!,5,0))</f>
        <v>#REF!</v>
      </c>
      <c r="O464" s="19" t="e">
        <f>IF(J464="","SEM #CH",VLOOKUP(J464,#REF!,6,0))</f>
        <v>#REF!</v>
      </c>
      <c r="P464" s="19" t="e">
        <f>IF(J464="","SEM #CH",VLOOKUP(J464,#REF!,7,0))</f>
        <v>#REF!</v>
      </c>
      <c r="Q464" s="77" t="str">
        <f>VLOOKUP(J464,'p1'!$B$2:$C$30,2,0)</f>
        <v>NÃO TEM CHAPA</v>
      </c>
      <c r="R464" s="91"/>
      <c r="S464" s="91"/>
      <c r="T464" s="91" t="str">
        <f t="shared" si="30"/>
        <v/>
      </c>
      <c r="U464" s="91"/>
      <c r="V464" s="91"/>
      <c r="W464" s="93"/>
      <c r="X464" s="94" t="str">
        <f t="shared" si="31"/>
        <v/>
      </c>
      <c r="Y464"/>
    </row>
    <row r="465" spans="1:25">
      <c r="A465" s="90">
        <v>464</v>
      </c>
      <c r="B465" s="68"/>
      <c r="C465" s="40"/>
      <c r="D465" s="40" t="str">
        <f t="shared" si="28"/>
        <v/>
      </c>
      <c r="E465" s="51" t="s">
        <v>133</v>
      </c>
      <c r="F465" s="17" t="s">
        <v>58</v>
      </c>
      <c r="G465" s="17" t="s">
        <v>86</v>
      </c>
      <c r="H465" s="42" t="s">
        <v>701</v>
      </c>
      <c r="I465" s="17" t="str">
        <f t="shared" si="29"/>
        <v>PN-464</v>
      </c>
      <c r="J465" s="18" t="s">
        <v>85</v>
      </c>
      <c r="K465" s="19" t="e">
        <f>IF(J465="","SEM #CH",VLOOKUP(J465,#REF!,2,0))</f>
        <v>#REF!</v>
      </c>
      <c r="L465" s="19" t="e">
        <f>IF(J465="","SEM #CH",VLOOKUP(J465,#REF!,3,0))</f>
        <v>#REF!</v>
      </c>
      <c r="M465" s="19" t="e">
        <f>IF(J465="","SEM #CH",VLOOKUP(J465,#REF!,4,0))</f>
        <v>#REF!</v>
      </c>
      <c r="N465" s="19" t="e">
        <f>IF(J465="","SEM #CH",VLOOKUP(J465,#REF!,5,0))</f>
        <v>#REF!</v>
      </c>
      <c r="O465" s="19" t="e">
        <f>IF(J465="","SEM #CH",VLOOKUP(J465,#REF!,6,0))</f>
        <v>#REF!</v>
      </c>
      <c r="P465" s="19" t="e">
        <f>IF(J465="","SEM #CH",VLOOKUP(J465,#REF!,7,0))</f>
        <v>#REF!</v>
      </c>
      <c r="Q465" s="77" t="str">
        <f>VLOOKUP(J465,'p1'!$B$2:$C$30,2,0)</f>
        <v>NÃO TEM CHAPA</v>
      </c>
      <c r="R465" s="91"/>
      <c r="S465" s="91"/>
      <c r="T465" s="91" t="str">
        <f t="shared" si="30"/>
        <v/>
      </c>
      <c r="U465" s="91"/>
      <c r="V465" s="91"/>
      <c r="W465" s="93"/>
      <c r="X465" s="94" t="str">
        <f t="shared" si="31"/>
        <v/>
      </c>
      <c r="Y465"/>
    </row>
    <row r="466" spans="1:25">
      <c r="A466" s="90">
        <v>465</v>
      </c>
      <c r="B466" s="68"/>
      <c r="C466" s="40"/>
      <c r="D466" s="40" t="str">
        <f t="shared" si="28"/>
        <v/>
      </c>
      <c r="E466" s="51" t="s">
        <v>133</v>
      </c>
      <c r="F466" s="17" t="s">
        <v>58</v>
      </c>
      <c r="G466" s="17" t="s">
        <v>86</v>
      </c>
      <c r="H466" s="42" t="s">
        <v>702</v>
      </c>
      <c r="I466" s="17" t="str">
        <f t="shared" si="29"/>
        <v>PN-465</v>
      </c>
      <c r="J466" s="18" t="s">
        <v>85</v>
      </c>
      <c r="K466" s="19" t="e">
        <f>IF(J466="","SEM #CH",VLOOKUP(J466,#REF!,2,0))</f>
        <v>#REF!</v>
      </c>
      <c r="L466" s="19" t="e">
        <f>IF(J466="","SEM #CH",VLOOKUP(J466,#REF!,3,0))</f>
        <v>#REF!</v>
      </c>
      <c r="M466" s="19" t="e">
        <f>IF(J466="","SEM #CH",VLOOKUP(J466,#REF!,4,0))</f>
        <v>#REF!</v>
      </c>
      <c r="N466" s="19" t="e">
        <f>IF(J466="","SEM #CH",VLOOKUP(J466,#REF!,5,0))</f>
        <v>#REF!</v>
      </c>
      <c r="O466" s="19" t="e">
        <f>IF(J466="","SEM #CH",VLOOKUP(J466,#REF!,6,0))</f>
        <v>#REF!</v>
      </c>
      <c r="P466" s="19" t="e">
        <f>IF(J466="","SEM #CH",VLOOKUP(J466,#REF!,7,0))</f>
        <v>#REF!</v>
      </c>
      <c r="Q466" s="77" t="str">
        <f>VLOOKUP(J466,'p1'!$B$2:$C$30,2,0)</f>
        <v>NÃO TEM CHAPA</v>
      </c>
      <c r="R466" s="91"/>
      <c r="S466" s="91"/>
      <c r="T466" s="91" t="str">
        <f t="shared" si="30"/>
        <v/>
      </c>
      <c r="U466" s="91"/>
      <c r="V466" s="91"/>
      <c r="W466" s="93"/>
      <c r="X466" s="94" t="str">
        <f t="shared" si="31"/>
        <v/>
      </c>
      <c r="Y466"/>
    </row>
    <row r="467" spans="1:25">
      <c r="A467" s="90">
        <v>466</v>
      </c>
      <c r="B467" s="68"/>
      <c r="C467" s="40"/>
      <c r="D467" s="40" t="str">
        <f t="shared" si="28"/>
        <v/>
      </c>
      <c r="E467" s="51" t="s">
        <v>133</v>
      </c>
      <c r="F467" s="17" t="s">
        <v>61</v>
      </c>
      <c r="G467" s="17" t="s">
        <v>86</v>
      </c>
      <c r="H467" s="42" t="s">
        <v>703</v>
      </c>
      <c r="I467" s="17" t="str">
        <f t="shared" si="29"/>
        <v>PF-466</v>
      </c>
      <c r="J467" s="18" t="s">
        <v>61</v>
      </c>
      <c r="K467" s="19" t="e">
        <f>IF(J467="","SEM #CH",VLOOKUP(J467,#REF!,2,0))</f>
        <v>#REF!</v>
      </c>
      <c r="L467" s="19" t="e">
        <f>IF(J467="","SEM #CH",VLOOKUP(J467,#REF!,3,0))</f>
        <v>#REF!</v>
      </c>
      <c r="M467" s="19" t="e">
        <f>IF(J467="","SEM #CH",VLOOKUP(J467,#REF!,4,0))</f>
        <v>#REF!</v>
      </c>
      <c r="N467" s="19" t="e">
        <f>IF(J467="","SEM #CH",VLOOKUP(J467,#REF!,5,0))</f>
        <v>#REF!</v>
      </c>
      <c r="O467" s="19" t="e">
        <f>IF(J467="","SEM #CH",VLOOKUP(J467,#REF!,6,0))</f>
        <v>#REF!</v>
      </c>
      <c r="P467" s="19" t="e">
        <f>IF(J467="","SEM #CH",VLOOKUP(J467,#REF!,7,0))</f>
        <v>#REF!</v>
      </c>
      <c r="Q467" s="77" t="str">
        <f>VLOOKUP(J467,'p1'!$B$2:$C$30,2,0)</f>
        <v>SEM CHAPA</v>
      </c>
      <c r="R467" s="91"/>
      <c r="S467" s="91"/>
      <c r="T467" s="91" t="str">
        <f t="shared" si="30"/>
        <v/>
      </c>
      <c r="U467" s="91"/>
      <c r="V467" s="91"/>
      <c r="W467" s="93"/>
      <c r="X467" s="94" t="str">
        <f t="shared" si="31"/>
        <v/>
      </c>
      <c r="Y467"/>
    </row>
    <row r="468" spans="1:25">
      <c r="A468" s="90">
        <v>467</v>
      </c>
      <c r="B468" s="68"/>
      <c r="C468" s="40"/>
      <c r="D468" s="40" t="str">
        <f t="shared" si="28"/>
        <v/>
      </c>
      <c r="E468" s="51" t="s">
        <v>133</v>
      </c>
      <c r="F468" s="17" t="s">
        <v>58</v>
      </c>
      <c r="G468" s="17" t="s">
        <v>86</v>
      </c>
      <c r="H468" s="42" t="s">
        <v>704</v>
      </c>
      <c r="I468" s="17" t="str">
        <f t="shared" si="29"/>
        <v>PN-467</v>
      </c>
      <c r="J468" s="18" t="s">
        <v>85</v>
      </c>
      <c r="K468" s="19" t="e">
        <f>IF(J468="","SEM #CH",VLOOKUP(J468,#REF!,2,0))</f>
        <v>#REF!</v>
      </c>
      <c r="L468" s="19" t="e">
        <f>IF(J468="","SEM #CH",VLOOKUP(J468,#REF!,3,0))</f>
        <v>#REF!</v>
      </c>
      <c r="M468" s="19" t="e">
        <f>IF(J468="","SEM #CH",VLOOKUP(J468,#REF!,4,0))</f>
        <v>#REF!</v>
      </c>
      <c r="N468" s="19" t="e">
        <f>IF(J468="","SEM #CH",VLOOKUP(J468,#REF!,5,0))</f>
        <v>#REF!</v>
      </c>
      <c r="O468" s="19" t="e">
        <f>IF(J468="","SEM #CH",VLOOKUP(J468,#REF!,6,0))</f>
        <v>#REF!</v>
      </c>
      <c r="P468" s="19" t="e">
        <f>IF(J468="","SEM #CH",VLOOKUP(J468,#REF!,7,0))</f>
        <v>#REF!</v>
      </c>
      <c r="Q468" s="77" t="str">
        <f>VLOOKUP(J468,'p1'!$B$2:$C$30,2,0)</f>
        <v>NÃO TEM CHAPA</v>
      </c>
      <c r="R468" s="91"/>
      <c r="S468" s="91"/>
      <c r="T468" s="91" t="str">
        <f t="shared" si="30"/>
        <v/>
      </c>
      <c r="U468" s="91"/>
      <c r="V468" s="91"/>
      <c r="W468" s="93"/>
      <c r="X468" s="94" t="str">
        <f t="shared" si="31"/>
        <v/>
      </c>
      <c r="Y468"/>
    </row>
    <row r="469" spans="1:25">
      <c r="A469" s="90">
        <v>468</v>
      </c>
      <c r="B469" s="68"/>
      <c r="C469" s="40"/>
      <c r="D469" s="40" t="str">
        <f t="shared" si="28"/>
        <v/>
      </c>
      <c r="E469" s="51" t="s">
        <v>133</v>
      </c>
      <c r="F469" s="17" t="s">
        <v>58</v>
      </c>
      <c r="G469" s="17" t="s">
        <v>86</v>
      </c>
      <c r="H469" s="42" t="s">
        <v>705</v>
      </c>
      <c r="I469" s="17" t="str">
        <f t="shared" si="29"/>
        <v>PN-468</v>
      </c>
      <c r="J469" s="18" t="s">
        <v>85</v>
      </c>
      <c r="K469" s="19" t="e">
        <f>IF(J469="","SEM #CH",VLOOKUP(J469,#REF!,2,0))</f>
        <v>#REF!</v>
      </c>
      <c r="L469" s="19" t="e">
        <f>IF(J469="","SEM #CH",VLOOKUP(J469,#REF!,3,0))</f>
        <v>#REF!</v>
      </c>
      <c r="M469" s="19" t="e">
        <f>IF(J469="","SEM #CH",VLOOKUP(J469,#REF!,4,0))</f>
        <v>#REF!</v>
      </c>
      <c r="N469" s="19" t="e">
        <f>IF(J469="","SEM #CH",VLOOKUP(J469,#REF!,5,0))</f>
        <v>#REF!</v>
      </c>
      <c r="O469" s="19" t="e">
        <f>IF(J469="","SEM #CH",VLOOKUP(J469,#REF!,6,0))</f>
        <v>#REF!</v>
      </c>
      <c r="P469" s="19" t="e">
        <f>IF(J469="","SEM #CH",VLOOKUP(J469,#REF!,7,0))</f>
        <v>#REF!</v>
      </c>
      <c r="Q469" s="77" t="str">
        <f>VLOOKUP(J469,'p1'!$B$2:$C$30,2,0)</f>
        <v>NÃO TEM CHAPA</v>
      </c>
      <c r="R469" s="91"/>
      <c r="S469" s="91"/>
      <c r="T469" s="91" t="str">
        <f t="shared" si="30"/>
        <v/>
      </c>
      <c r="U469" s="91"/>
      <c r="V469" s="91"/>
      <c r="W469" s="93"/>
      <c r="X469" s="94" t="str">
        <f t="shared" si="31"/>
        <v/>
      </c>
      <c r="Y469"/>
    </row>
    <row r="470" spans="1:25">
      <c r="A470" s="90">
        <v>469</v>
      </c>
      <c r="B470" s="68"/>
      <c r="C470" s="40"/>
      <c r="D470" s="40" t="str">
        <f t="shared" si="28"/>
        <v/>
      </c>
      <c r="E470" s="51" t="s">
        <v>133</v>
      </c>
      <c r="F470" s="17" t="s">
        <v>58</v>
      </c>
      <c r="G470" s="17" t="s">
        <v>86</v>
      </c>
      <c r="H470" s="42" t="s">
        <v>706</v>
      </c>
      <c r="I470" s="17" t="str">
        <f t="shared" si="29"/>
        <v>PN-469</v>
      </c>
      <c r="J470" s="18" t="s">
        <v>85</v>
      </c>
      <c r="K470" s="19" t="e">
        <f>IF(J470="","SEM #CH",VLOOKUP(J470,#REF!,2,0))</f>
        <v>#REF!</v>
      </c>
      <c r="L470" s="19" t="e">
        <f>IF(J470="","SEM #CH",VLOOKUP(J470,#REF!,3,0))</f>
        <v>#REF!</v>
      </c>
      <c r="M470" s="19" t="e">
        <f>IF(J470="","SEM #CH",VLOOKUP(J470,#REF!,4,0))</f>
        <v>#REF!</v>
      </c>
      <c r="N470" s="19" t="e">
        <f>IF(J470="","SEM #CH",VLOOKUP(J470,#REF!,5,0))</f>
        <v>#REF!</v>
      </c>
      <c r="O470" s="19" t="e">
        <f>IF(J470="","SEM #CH",VLOOKUP(J470,#REF!,6,0))</f>
        <v>#REF!</v>
      </c>
      <c r="P470" s="19" t="e">
        <f>IF(J470="","SEM #CH",VLOOKUP(J470,#REF!,7,0))</f>
        <v>#REF!</v>
      </c>
      <c r="Q470" s="77" t="str">
        <f>VLOOKUP(J470,'p1'!$B$2:$C$30,2,0)</f>
        <v>NÃO TEM CHAPA</v>
      </c>
      <c r="R470" s="91"/>
      <c r="S470" s="91"/>
      <c r="T470" s="91" t="str">
        <f t="shared" si="30"/>
        <v/>
      </c>
      <c r="U470" s="91"/>
      <c r="V470" s="91"/>
      <c r="W470" s="93"/>
      <c r="X470" s="94" t="str">
        <f t="shared" si="31"/>
        <v/>
      </c>
      <c r="Y470"/>
    </row>
    <row r="471" spans="1:25">
      <c r="A471" s="90">
        <v>470</v>
      </c>
      <c r="B471" s="68"/>
      <c r="C471" s="40"/>
      <c r="D471" s="40" t="str">
        <f t="shared" si="28"/>
        <v/>
      </c>
      <c r="E471" s="51" t="s">
        <v>133</v>
      </c>
      <c r="F471" s="17" t="s">
        <v>58</v>
      </c>
      <c r="G471" s="17" t="s">
        <v>86</v>
      </c>
      <c r="H471" s="42" t="s">
        <v>707</v>
      </c>
      <c r="I471" s="17" t="str">
        <f t="shared" si="29"/>
        <v>PN-470</v>
      </c>
      <c r="J471" s="18" t="s">
        <v>85</v>
      </c>
      <c r="K471" s="19" t="e">
        <f>IF(J471="","SEM #CH",VLOOKUP(J471,#REF!,2,0))</f>
        <v>#REF!</v>
      </c>
      <c r="L471" s="19" t="e">
        <f>IF(J471="","SEM #CH",VLOOKUP(J471,#REF!,3,0))</f>
        <v>#REF!</v>
      </c>
      <c r="M471" s="19" t="e">
        <f>IF(J471="","SEM #CH",VLOOKUP(J471,#REF!,4,0))</f>
        <v>#REF!</v>
      </c>
      <c r="N471" s="19" t="e">
        <f>IF(J471="","SEM #CH",VLOOKUP(J471,#REF!,5,0))</f>
        <v>#REF!</v>
      </c>
      <c r="O471" s="19" t="e">
        <f>IF(J471="","SEM #CH",VLOOKUP(J471,#REF!,6,0))</f>
        <v>#REF!</v>
      </c>
      <c r="P471" s="19" t="e">
        <f>IF(J471="","SEM #CH",VLOOKUP(J471,#REF!,7,0))</f>
        <v>#REF!</v>
      </c>
      <c r="Q471" s="77" t="str">
        <f>VLOOKUP(J471,'p1'!$B$2:$C$30,2,0)</f>
        <v>NÃO TEM CHAPA</v>
      </c>
      <c r="R471" s="91"/>
      <c r="S471" s="91"/>
      <c r="T471" s="91" t="str">
        <f t="shared" si="30"/>
        <v/>
      </c>
      <c r="U471" s="91"/>
      <c r="V471" s="91"/>
      <c r="W471" s="93"/>
      <c r="X471" s="94" t="str">
        <f t="shared" si="31"/>
        <v/>
      </c>
      <c r="Y471"/>
    </row>
    <row r="472" spans="1:25">
      <c r="A472" s="90">
        <v>471</v>
      </c>
      <c r="B472" s="68"/>
      <c r="C472" s="40"/>
      <c r="D472" s="40" t="str">
        <f t="shared" si="28"/>
        <v/>
      </c>
      <c r="E472" s="51" t="s">
        <v>133</v>
      </c>
      <c r="F472" s="17" t="s">
        <v>58</v>
      </c>
      <c r="G472" s="17" t="s">
        <v>86</v>
      </c>
      <c r="H472" s="42" t="s">
        <v>708</v>
      </c>
      <c r="I472" s="17" t="str">
        <f t="shared" si="29"/>
        <v>PN-471</v>
      </c>
      <c r="J472" s="18" t="s">
        <v>85</v>
      </c>
      <c r="K472" s="19" t="e">
        <f>IF(J472="","SEM #CH",VLOOKUP(J472,#REF!,2,0))</f>
        <v>#REF!</v>
      </c>
      <c r="L472" s="19" t="e">
        <f>IF(J472="","SEM #CH",VLOOKUP(J472,#REF!,3,0))</f>
        <v>#REF!</v>
      </c>
      <c r="M472" s="19" t="e">
        <f>IF(J472="","SEM #CH",VLOOKUP(J472,#REF!,4,0))</f>
        <v>#REF!</v>
      </c>
      <c r="N472" s="19" t="e">
        <f>IF(J472="","SEM #CH",VLOOKUP(J472,#REF!,5,0))</f>
        <v>#REF!</v>
      </c>
      <c r="O472" s="19" t="e">
        <f>IF(J472="","SEM #CH",VLOOKUP(J472,#REF!,6,0))</f>
        <v>#REF!</v>
      </c>
      <c r="P472" s="19" t="e">
        <f>IF(J472="","SEM #CH",VLOOKUP(J472,#REF!,7,0))</f>
        <v>#REF!</v>
      </c>
      <c r="Q472" s="77" t="str">
        <f>VLOOKUP(J472,'p1'!$B$2:$C$30,2,0)</f>
        <v>NÃO TEM CHAPA</v>
      </c>
      <c r="R472" s="91"/>
      <c r="S472" s="91"/>
      <c r="T472" s="91" t="str">
        <f t="shared" si="30"/>
        <v/>
      </c>
      <c r="U472" s="91"/>
      <c r="V472" s="91"/>
      <c r="W472" s="93"/>
      <c r="X472" s="94" t="str">
        <f t="shared" si="31"/>
        <v/>
      </c>
      <c r="Y472"/>
    </row>
    <row r="473" spans="1:25">
      <c r="A473" s="90">
        <v>472</v>
      </c>
      <c r="B473" s="68"/>
      <c r="C473" s="40"/>
      <c r="D473" s="40" t="str">
        <f t="shared" si="28"/>
        <v/>
      </c>
      <c r="E473" s="51" t="s">
        <v>133</v>
      </c>
      <c r="F473" s="17" t="s">
        <v>58</v>
      </c>
      <c r="G473" s="17" t="s">
        <v>86</v>
      </c>
      <c r="H473" s="42" t="s">
        <v>709</v>
      </c>
      <c r="I473" s="17" t="str">
        <f t="shared" si="29"/>
        <v>PN-472</v>
      </c>
      <c r="J473" s="18" t="s">
        <v>85</v>
      </c>
      <c r="K473" s="19" t="e">
        <f>IF(J473="","SEM #CH",VLOOKUP(J473,#REF!,2,0))</f>
        <v>#REF!</v>
      </c>
      <c r="L473" s="19" t="e">
        <f>IF(J473="","SEM #CH",VLOOKUP(J473,#REF!,3,0))</f>
        <v>#REF!</v>
      </c>
      <c r="M473" s="19" t="e">
        <f>IF(J473="","SEM #CH",VLOOKUP(J473,#REF!,4,0))</f>
        <v>#REF!</v>
      </c>
      <c r="N473" s="19" t="e">
        <f>IF(J473="","SEM #CH",VLOOKUP(J473,#REF!,5,0))</f>
        <v>#REF!</v>
      </c>
      <c r="O473" s="19" t="e">
        <f>IF(J473="","SEM #CH",VLOOKUP(J473,#REF!,6,0))</f>
        <v>#REF!</v>
      </c>
      <c r="P473" s="19" t="e">
        <f>IF(J473="","SEM #CH",VLOOKUP(J473,#REF!,7,0))</f>
        <v>#REF!</v>
      </c>
      <c r="Q473" s="77" t="str">
        <f>VLOOKUP(J473,'p1'!$B$2:$C$30,2,0)</f>
        <v>NÃO TEM CHAPA</v>
      </c>
      <c r="R473" s="91"/>
      <c r="S473" s="91"/>
      <c r="T473" s="91" t="str">
        <f t="shared" si="30"/>
        <v/>
      </c>
      <c r="U473" s="91"/>
      <c r="V473" s="91"/>
      <c r="W473" s="93"/>
      <c r="X473" s="94" t="str">
        <f t="shared" si="31"/>
        <v/>
      </c>
      <c r="Y473"/>
    </row>
    <row r="474" spans="1:25">
      <c r="A474" s="90">
        <v>473</v>
      </c>
      <c r="B474" s="68"/>
      <c r="C474" s="40"/>
      <c r="D474" s="40" t="str">
        <f t="shared" si="28"/>
        <v/>
      </c>
      <c r="E474" s="51" t="s">
        <v>133</v>
      </c>
      <c r="F474" s="17" t="s">
        <v>58</v>
      </c>
      <c r="G474" s="17" t="s">
        <v>86</v>
      </c>
      <c r="H474" s="42" t="s">
        <v>710</v>
      </c>
      <c r="I474" s="17" t="str">
        <f t="shared" si="29"/>
        <v>PN-473</v>
      </c>
      <c r="J474" s="18" t="s">
        <v>85</v>
      </c>
      <c r="K474" s="19" t="e">
        <f>IF(J474="","SEM #CH",VLOOKUP(J474,#REF!,2,0))</f>
        <v>#REF!</v>
      </c>
      <c r="L474" s="19" t="e">
        <f>IF(J474="","SEM #CH",VLOOKUP(J474,#REF!,3,0))</f>
        <v>#REF!</v>
      </c>
      <c r="M474" s="19" t="e">
        <f>IF(J474="","SEM #CH",VLOOKUP(J474,#REF!,4,0))</f>
        <v>#REF!</v>
      </c>
      <c r="N474" s="19" t="e">
        <f>IF(J474="","SEM #CH",VLOOKUP(J474,#REF!,5,0))</f>
        <v>#REF!</v>
      </c>
      <c r="O474" s="19" t="e">
        <f>IF(J474="","SEM #CH",VLOOKUP(J474,#REF!,6,0))</f>
        <v>#REF!</v>
      </c>
      <c r="P474" s="19" t="e">
        <f>IF(J474="","SEM #CH",VLOOKUP(J474,#REF!,7,0))</f>
        <v>#REF!</v>
      </c>
      <c r="Q474" s="77" t="str">
        <f>VLOOKUP(J474,'p1'!$B$2:$C$30,2,0)</f>
        <v>NÃO TEM CHAPA</v>
      </c>
      <c r="R474" s="91"/>
      <c r="S474" s="91"/>
      <c r="T474" s="91" t="str">
        <f t="shared" si="30"/>
        <v/>
      </c>
      <c r="U474" s="91"/>
      <c r="V474" s="91"/>
      <c r="W474" s="93"/>
      <c r="X474" s="94" t="str">
        <f t="shared" si="31"/>
        <v/>
      </c>
      <c r="Y474"/>
    </row>
    <row r="475" spans="1:25">
      <c r="A475" s="90">
        <v>474</v>
      </c>
      <c r="B475" s="68"/>
      <c r="C475" s="40"/>
      <c r="D475" s="40" t="str">
        <f t="shared" si="28"/>
        <v/>
      </c>
      <c r="E475" s="51" t="s">
        <v>133</v>
      </c>
      <c r="F475" s="17" t="s">
        <v>60</v>
      </c>
      <c r="G475" s="17" t="s">
        <v>86</v>
      </c>
      <c r="H475" s="42" t="s">
        <v>711</v>
      </c>
      <c r="I475" s="17" t="str">
        <f t="shared" si="29"/>
        <v>PE-474</v>
      </c>
      <c r="J475" s="18" t="s">
        <v>90</v>
      </c>
      <c r="K475" s="19" t="e">
        <f>IF(J475="","SEM #CH",VLOOKUP(J475,#REF!,2,0))</f>
        <v>#REF!</v>
      </c>
      <c r="L475" s="19" t="e">
        <f>IF(J475="","SEM #CH",VLOOKUP(J475,#REF!,3,0))</f>
        <v>#REF!</v>
      </c>
      <c r="M475" s="19" t="e">
        <f>IF(J475="","SEM #CH",VLOOKUP(J475,#REF!,4,0))</f>
        <v>#REF!</v>
      </c>
      <c r="N475" s="19" t="e">
        <f>IF(J475="","SEM #CH",VLOOKUP(J475,#REF!,5,0))</f>
        <v>#REF!</v>
      </c>
      <c r="O475" s="19" t="e">
        <f>IF(J475="","SEM #CH",VLOOKUP(J475,#REF!,6,0))</f>
        <v>#REF!</v>
      </c>
      <c r="P475" s="19" t="e">
        <f>IF(J475="","SEM #CH",VLOOKUP(J475,#REF!,7,0))</f>
        <v>#REF!</v>
      </c>
      <c r="Q475" s="77" t="str">
        <f>VLOOKUP(J475,'p1'!$B$2:$C$30,2,0)</f>
        <v>#3/8-530X530</v>
      </c>
      <c r="R475" s="91"/>
      <c r="S475" s="91"/>
      <c r="T475" s="91" t="str">
        <f t="shared" si="30"/>
        <v/>
      </c>
      <c r="U475" s="91"/>
      <c r="V475" s="91"/>
      <c r="W475" s="93"/>
      <c r="X475" s="94" t="str">
        <f t="shared" si="31"/>
        <v/>
      </c>
      <c r="Y475"/>
    </row>
    <row r="476" spans="1:25">
      <c r="A476" s="90">
        <v>475</v>
      </c>
      <c r="B476" s="68"/>
      <c r="C476" s="40"/>
      <c r="D476" s="40" t="str">
        <f t="shared" si="28"/>
        <v/>
      </c>
      <c r="E476" s="51" t="s">
        <v>133</v>
      </c>
      <c r="F476" s="17" t="s">
        <v>58</v>
      </c>
      <c r="G476" s="17" t="s">
        <v>86</v>
      </c>
      <c r="H476" s="42" t="s">
        <v>712</v>
      </c>
      <c r="I476" s="17" t="str">
        <f t="shared" si="29"/>
        <v>PN-475</v>
      </c>
      <c r="J476" s="18" t="s">
        <v>85</v>
      </c>
      <c r="K476" s="19" t="e">
        <f>IF(J476="","SEM #CH",VLOOKUP(J476,#REF!,2,0))</f>
        <v>#REF!</v>
      </c>
      <c r="L476" s="19" t="e">
        <f>IF(J476="","SEM #CH",VLOOKUP(J476,#REF!,3,0))</f>
        <v>#REF!</v>
      </c>
      <c r="M476" s="19" t="e">
        <f>IF(J476="","SEM #CH",VLOOKUP(J476,#REF!,4,0))</f>
        <v>#REF!</v>
      </c>
      <c r="N476" s="19" t="e">
        <f>IF(J476="","SEM #CH",VLOOKUP(J476,#REF!,5,0))</f>
        <v>#REF!</v>
      </c>
      <c r="O476" s="19" t="e">
        <f>IF(J476="","SEM #CH",VLOOKUP(J476,#REF!,6,0))</f>
        <v>#REF!</v>
      </c>
      <c r="P476" s="19" t="e">
        <f>IF(J476="","SEM #CH",VLOOKUP(J476,#REF!,7,0))</f>
        <v>#REF!</v>
      </c>
      <c r="Q476" s="77" t="str">
        <f>VLOOKUP(J476,'p1'!$B$2:$C$30,2,0)</f>
        <v>NÃO TEM CHAPA</v>
      </c>
      <c r="R476" s="91"/>
      <c r="S476" s="91"/>
      <c r="T476" s="91" t="str">
        <f t="shared" si="30"/>
        <v/>
      </c>
      <c r="U476" s="91"/>
      <c r="V476" s="91"/>
      <c r="W476" s="93"/>
      <c r="X476" s="94" t="str">
        <f t="shared" si="31"/>
        <v/>
      </c>
      <c r="Y476"/>
    </row>
    <row r="477" spans="1:25">
      <c r="A477" s="90">
        <v>476</v>
      </c>
      <c r="B477" s="68"/>
      <c r="C477" s="40"/>
      <c r="D477" s="40" t="str">
        <f t="shared" si="28"/>
        <v/>
      </c>
      <c r="E477" s="51" t="s">
        <v>133</v>
      </c>
      <c r="F477" s="17" t="s">
        <v>58</v>
      </c>
      <c r="G477" s="17" t="s">
        <v>86</v>
      </c>
      <c r="H477" s="42" t="s">
        <v>713</v>
      </c>
      <c r="I477" s="17" t="str">
        <f t="shared" si="29"/>
        <v>PN-476</v>
      </c>
      <c r="J477" s="18" t="s">
        <v>85</v>
      </c>
      <c r="K477" s="19" t="e">
        <f>IF(J477="","SEM #CH",VLOOKUP(J477,#REF!,2,0))</f>
        <v>#REF!</v>
      </c>
      <c r="L477" s="19" t="e">
        <f>IF(J477="","SEM #CH",VLOOKUP(J477,#REF!,3,0))</f>
        <v>#REF!</v>
      </c>
      <c r="M477" s="19" t="e">
        <f>IF(J477="","SEM #CH",VLOOKUP(J477,#REF!,4,0))</f>
        <v>#REF!</v>
      </c>
      <c r="N477" s="19" t="e">
        <f>IF(J477="","SEM #CH",VLOOKUP(J477,#REF!,5,0))</f>
        <v>#REF!</v>
      </c>
      <c r="O477" s="19" t="e">
        <f>IF(J477="","SEM #CH",VLOOKUP(J477,#REF!,6,0))</f>
        <v>#REF!</v>
      </c>
      <c r="P477" s="19" t="e">
        <f>IF(J477="","SEM #CH",VLOOKUP(J477,#REF!,7,0))</f>
        <v>#REF!</v>
      </c>
      <c r="Q477" s="77" t="str">
        <f>VLOOKUP(J477,'p1'!$B$2:$C$30,2,0)</f>
        <v>NÃO TEM CHAPA</v>
      </c>
      <c r="R477" s="91"/>
      <c r="S477" s="91"/>
      <c r="T477" s="91" t="str">
        <f t="shared" si="30"/>
        <v/>
      </c>
      <c r="U477" s="91"/>
      <c r="V477" s="91"/>
      <c r="W477" s="93"/>
      <c r="X477" s="94" t="str">
        <f t="shared" si="31"/>
        <v/>
      </c>
      <c r="Y477"/>
    </row>
    <row r="478" spans="1:25">
      <c r="A478" s="90">
        <v>477</v>
      </c>
      <c r="B478" s="68"/>
      <c r="C478" s="40"/>
      <c r="D478" s="40" t="str">
        <f t="shared" si="28"/>
        <v/>
      </c>
      <c r="E478" s="51" t="s">
        <v>133</v>
      </c>
      <c r="F478" s="17" t="s">
        <v>58</v>
      </c>
      <c r="G478" s="17" t="s">
        <v>86</v>
      </c>
      <c r="H478" s="42" t="s">
        <v>714</v>
      </c>
      <c r="I478" s="17" t="str">
        <f t="shared" si="29"/>
        <v>PN-477</v>
      </c>
      <c r="J478" s="18" t="s">
        <v>85</v>
      </c>
      <c r="K478" s="19" t="e">
        <f>IF(J478="","SEM #CH",VLOOKUP(J478,#REF!,2,0))</f>
        <v>#REF!</v>
      </c>
      <c r="L478" s="19" t="e">
        <f>IF(J478="","SEM #CH",VLOOKUP(J478,#REF!,3,0))</f>
        <v>#REF!</v>
      </c>
      <c r="M478" s="19" t="e">
        <f>IF(J478="","SEM #CH",VLOOKUP(J478,#REF!,4,0))</f>
        <v>#REF!</v>
      </c>
      <c r="N478" s="19" t="e">
        <f>IF(J478="","SEM #CH",VLOOKUP(J478,#REF!,5,0))</f>
        <v>#REF!</v>
      </c>
      <c r="O478" s="19" t="e">
        <f>IF(J478="","SEM #CH",VLOOKUP(J478,#REF!,6,0))</f>
        <v>#REF!</v>
      </c>
      <c r="P478" s="19" t="e">
        <f>IF(J478="","SEM #CH",VLOOKUP(J478,#REF!,7,0))</f>
        <v>#REF!</v>
      </c>
      <c r="Q478" s="77" t="str">
        <f>VLOOKUP(J478,'p1'!$B$2:$C$30,2,0)</f>
        <v>NÃO TEM CHAPA</v>
      </c>
      <c r="R478" s="91"/>
      <c r="S478" s="91"/>
      <c r="T478" s="91" t="str">
        <f t="shared" si="30"/>
        <v/>
      </c>
      <c r="U478" s="91"/>
      <c r="V478" s="91"/>
      <c r="W478" s="93"/>
      <c r="X478" s="94" t="str">
        <f t="shared" si="31"/>
        <v/>
      </c>
      <c r="Y478"/>
    </row>
    <row r="479" spans="1:25">
      <c r="A479" s="90">
        <v>478</v>
      </c>
      <c r="B479" s="68"/>
      <c r="C479" s="40"/>
      <c r="D479" s="40" t="str">
        <f t="shared" si="28"/>
        <v/>
      </c>
      <c r="E479" s="51" t="s">
        <v>133</v>
      </c>
      <c r="F479" s="17" t="s">
        <v>58</v>
      </c>
      <c r="G479" s="17" t="s">
        <v>86</v>
      </c>
      <c r="H479" s="42" t="s">
        <v>715</v>
      </c>
      <c r="I479" s="17" t="str">
        <f t="shared" si="29"/>
        <v>PN-478</v>
      </c>
      <c r="J479" s="18" t="s">
        <v>85</v>
      </c>
      <c r="K479" s="19" t="e">
        <f>IF(J479="","SEM #CH",VLOOKUP(J479,#REF!,2,0))</f>
        <v>#REF!</v>
      </c>
      <c r="L479" s="19" t="e">
        <f>IF(J479="","SEM #CH",VLOOKUP(J479,#REF!,3,0))</f>
        <v>#REF!</v>
      </c>
      <c r="M479" s="19" t="e">
        <f>IF(J479="","SEM #CH",VLOOKUP(J479,#REF!,4,0))</f>
        <v>#REF!</v>
      </c>
      <c r="N479" s="19" t="e">
        <f>IF(J479="","SEM #CH",VLOOKUP(J479,#REF!,5,0))</f>
        <v>#REF!</v>
      </c>
      <c r="O479" s="19" t="e">
        <f>IF(J479="","SEM #CH",VLOOKUP(J479,#REF!,6,0))</f>
        <v>#REF!</v>
      </c>
      <c r="P479" s="19" t="e">
        <f>IF(J479="","SEM #CH",VLOOKUP(J479,#REF!,7,0))</f>
        <v>#REF!</v>
      </c>
      <c r="Q479" s="77" t="str">
        <f>VLOOKUP(J479,'p1'!$B$2:$C$30,2,0)</f>
        <v>NÃO TEM CHAPA</v>
      </c>
      <c r="R479" s="91"/>
      <c r="S479" s="91"/>
      <c r="T479" s="91" t="str">
        <f t="shared" si="30"/>
        <v/>
      </c>
      <c r="U479" s="91"/>
      <c r="V479" s="91"/>
      <c r="W479" s="93"/>
      <c r="X479" s="94" t="str">
        <f t="shared" si="31"/>
        <v/>
      </c>
      <c r="Y479"/>
    </row>
    <row r="480" spans="1:25">
      <c r="A480" s="90">
        <v>479</v>
      </c>
      <c r="B480" s="68"/>
      <c r="C480" s="40"/>
      <c r="D480" s="40" t="str">
        <f t="shared" si="28"/>
        <v/>
      </c>
      <c r="E480" s="51" t="s">
        <v>133</v>
      </c>
      <c r="F480" s="17" t="s">
        <v>58</v>
      </c>
      <c r="G480" s="17" t="s">
        <v>86</v>
      </c>
      <c r="H480" s="42" t="s">
        <v>716</v>
      </c>
      <c r="I480" s="17" t="str">
        <f t="shared" si="29"/>
        <v>PN-479</v>
      </c>
      <c r="J480" s="18" t="s">
        <v>85</v>
      </c>
      <c r="K480" s="19" t="e">
        <f>IF(J480="","SEM #CH",VLOOKUP(J480,#REF!,2,0))</f>
        <v>#REF!</v>
      </c>
      <c r="L480" s="19" t="e">
        <f>IF(J480="","SEM #CH",VLOOKUP(J480,#REF!,3,0))</f>
        <v>#REF!</v>
      </c>
      <c r="M480" s="19" t="e">
        <f>IF(J480="","SEM #CH",VLOOKUP(J480,#REF!,4,0))</f>
        <v>#REF!</v>
      </c>
      <c r="N480" s="19" t="e">
        <f>IF(J480="","SEM #CH",VLOOKUP(J480,#REF!,5,0))</f>
        <v>#REF!</v>
      </c>
      <c r="O480" s="19" t="e">
        <f>IF(J480="","SEM #CH",VLOOKUP(J480,#REF!,6,0))</f>
        <v>#REF!</v>
      </c>
      <c r="P480" s="19" t="e">
        <f>IF(J480="","SEM #CH",VLOOKUP(J480,#REF!,7,0))</f>
        <v>#REF!</v>
      </c>
      <c r="Q480" s="77" t="str">
        <f>VLOOKUP(J480,'p1'!$B$2:$C$30,2,0)</f>
        <v>NÃO TEM CHAPA</v>
      </c>
      <c r="R480" s="91"/>
      <c r="S480" s="91"/>
      <c r="T480" s="91" t="str">
        <f t="shared" si="30"/>
        <v/>
      </c>
      <c r="U480" s="91"/>
      <c r="V480" s="91"/>
      <c r="W480" s="93"/>
      <c r="X480" s="94" t="str">
        <f t="shared" si="31"/>
        <v/>
      </c>
      <c r="Y480"/>
    </row>
    <row r="481" spans="1:25">
      <c r="A481" s="90">
        <v>480</v>
      </c>
      <c r="B481" s="68"/>
      <c r="C481" s="40"/>
      <c r="D481" s="40" t="str">
        <f t="shared" si="28"/>
        <v/>
      </c>
      <c r="E481" s="51" t="s">
        <v>133</v>
      </c>
      <c r="F481" s="17" t="s">
        <v>58</v>
      </c>
      <c r="G481" s="17" t="s">
        <v>86</v>
      </c>
      <c r="H481" s="42" t="s">
        <v>717</v>
      </c>
      <c r="I481" s="17" t="str">
        <f t="shared" si="29"/>
        <v>PN-480</v>
      </c>
      <c r="J481" s="18" t="s">
        <v>85</v>
      </c>
      <c r="K481" s="19" t="e">
        <f>IF(J481="","SEM #CH",VLOOKUP(J481,#REF!,2,0))</f>
        <v>#REF!</v>
      </c>
      <c r="L481" s="19" t="e">
        <f>IF(J481="","SEM #CH",VLOOKUP(J481,#REF!,3,0))</f>
        <v>#REF!</v>
      </c>
      <c r="M481" s="19" t="e">
        <f>IF(J481="","SEM #CH",VLOOKUP(J481,#REF!,4,0))</f>
        <v>#REF!</v>
      </c>
      <c r="N481" s="19" t="e">
        <f>IF(J481="","SEM #CH",VLOOKUP(J481,#REF!,5,0))</f>
        <v>#REF!</v>
      </c>
      <c r="O481" s="19" t="e">
        <f>IF(J481="","SEM #CH",VLOOKUP(J481,#REF!,6,0))</f>
        <v>#REF!</v>
      </c>
      <c r="P481" s="19" t="e">
        <f>IF(J481="","SEM #CH",VLOOKUP(J481,#REF!,7,0))</f>
        <v>#REF!</v>
      </c>
      <c r="Q481" s="77" t="str">
        <f>VLOOKUP(J481,'p1'!$B$2:$C$30,2,0)</f>
        <v>NÃO TEM CHAPA</v>
      </c>
      <c r="R481" s="91"/>
      <c r="S481" s="91"/>
      <c r="T481" s="91" t="str">
        <f t="shared" si="30"/>
        <v/>
      </c>
      <c r="U481" s="91"/>
      <c r="V481" s="91"/>
      <c r="W481" s="93"/>
      <c r="X481" s="94" t="str">
        <f t="shared" si="31"/>
        <v/>
      </c>
      <c r="Y481"/>
    </row>
    <row r="482" spans="1:25">
      <c r="A482" s="90">
        <v>481</v>
      </c>
      <c r="B482" s="68"/>
      <c r="C482" s="40"/>
      <c r="D482" s="40" t="str">
        <f t="shared" si="28"/>
        <v/>
      </c>
      <c r="E482" s="51" t="s">
        <v>133</v>
      </c>
      <c r="F482" s="17" t="s">
        <v>58</v>
      </c>
      <c r="G482" s="17" t="s">
        <v>86</v>
      </c>
      <c r="H482" s="42" t="s">
        <v>718</v>
      </c>
      <c r="I482" s="17" t="str">
        <f t="shared" si="29"/>
        <v>PN-481</v>
      </c>
      <c r="J482" s="18" t="s">
        <v>85</v>
      </c>
      <c r="K482" s="19" t="e">
        <f>IF(J482="","SEM #CH",VLOOKUP(J482,#REF!,2,0))</f>
        <v>#REF!</v>
      </c>
      <c r="L482" s="19" t="e">
        <f>IF(J482="","SEM #CH",VLOOKUP(J482,#REF!,3,0))</f>
        <v>#REF!</v>
      </c>
      <c r="M482" s="19" t="e">
        <f>IF(J482="","SEM #CH",VLOOKUP(J482,#REF!,4,0))</f>
        <v>#REF!</v>
      </c>
      <c r="N482" s="19" t="e">
        <f>IF(J482="","SEM #CH",VLOOKUP(J482,#REF!,5,0))</f>
        <v>#REF!</v>
      </c>
      <c r="O482" s="19" t="e">
        <f>IF(J482="","SEM #CH",VLOOKUP(J482,#REF!,6,0))</f>
        <v>#REF!</v>
      </c>
      <c r="P482" s="19" t="e">
        <f>IF(J482="","SEM #CH",VLOOKUP(J482,#REF!,7,0))</f>
        <v>#REF!</v>
      </c>
      <c r="Q482" s="77" t="str">
        <f>VLOOKUP(J482,'p1'!$B$2:$C$30,2,0)</f>
        <v>NÃO TEM CHAPA</v>
      </c>
      <c r="R482" s="91"/>
      <c r="S482" s="91"/>
      <c r="T482" s="91" t="str">
        <f t="shared" si="30"/>
        <v/>
      </c>
      <c r="U482" s="91"/>
      <c r="V482" s="91"/>
      <c r="W482" s="93"/>
      <c r="X482" s="94" t="str">
        <f t="shared" si="31"/>
        <v/>
      </c>
      <c r="Y482"/>
    </row>
    <row r="483" spans="1:25">
      <c r="A483" s="90">
        <v>482</v>
      </c>
      <c r="B483" s="68"/>
      <c r="C483" s="40"/>
      <c r="D483" s="40" t="str">
        <f t="shared" si="28"/>
        <v/>
      </c>
      <c r="E483" s="51" t="s">
        <v>133</v>
      </c>
      <c r="F483" s="17" t="s">
        <v>58</v>
      </c>
      <c r="G483" s="17" t="s">
        <v>86</v>
      </c>
      <c r="H483" s="42" t="s">
        <v>719</v>
      </c>
      <c r="I483" s="17" t="str">
        <f t="shared" si="29"/>
        <v>PN-482</v>
      </c>
      <c r="J483" s="18" t="s">
        <v>85</v>
      </c>
      <c r="K483" s="19" t="e">
        <f>IF(J483="","SEM #CH",VLOOKUP(J483,#REF!,2,0))</f>
        <v>#REF!</v>
      </c>
      <c r="L483" s="19" t="e">
        <f>IF(J483="","SEM #CH",VLOOKUP(J483,#REF!,3,0))</f>
        <v>#REF!</v>
      </c>
      <c r="M483" s="19" t="e">
        <f>IF(J483="","SEM #CH",VLOOKUP(J483,#REF!,4,0))</f>
        <v>#REF!</v>
      </c>
      <c r="N483" s="19" t="e">
        <f>IF(J483="","SEM #CH",VLOOKUP(J483,#REF!,5,0))</f>
        <v>#REF!</v>
      </c>
      <c r="O483" s="19" t="e">
        <f>IF(J483="","SEM #CH",VLOOKUP(J483,#REF!,6,0))</f>
        <v>#REF!</v>
      </c>
      <c r="P483" s="19" t="e">
        <f>IF(J483="","SEM #CH",VLOOKUP(J483,#REF!,7,0))</f>
        <v>#REF!</v>
      </c>
      <c r="Q483" s="77" t="str">
        <f>VLOOKUP(J483,'p1'!$B$2:$C$30,2,0)</f>
        <v>NÃO TEM CHAPA</v>
      </c>
      <c r="R483" s="91"/>
      <c r="S483" s="91"/>
      <c r="T483" s="91" t="str">
        <f t="shared" si="30"/>
        <v/>
      </c>
      <c r="U483" s="91"/>
      <c r="V483" s="91"/>
      <c r="W483" s="93"/>
      <c r="X483" s="94" t="str">
        <f t="shared" si="31"/>
        <v/>
      </c>
      <c r="Y483"/>
    </row>
    <row r="484" spans="1:25">
      <c r="A484" s="90">
        <v>483</v>
      </c>
      <c r="B484" s="68"/>
      <c r="C484" s="40"/>
      <c r="D484" s="40" t="str">
        <f t="shared" si="28"/>
        <v/>
      </c>
      <c r="E484" s="51" t="s">
        <v>133</v>
      </c>
      <c r="F484" s="17" t="s">
        <v>58</v>
      </c>
      <c r="G484" s="17" t="s">
        <v>86</v>
      </c>
      <c r="H484" s="42" t="s">
        <v>720</v>
      </c>
      <c r="I484" s="17" t="str">
        <f t="shared" si="29"/>
        <v>PN-483</v>
      </c>
      <c r="J484" s="18" t="s">
        <v>85</v>
      </c>
      <c r="K484" s="19" t="e">
        <f>IF(J484="","SEM #CH",VLOOKUP(J484,#REF!,2,0))</f>
        <v>#REF!</v>
      </c>
      <c r="L484" s="19" t="e">
        <f>IF(J484="","SEM #CH",VLOOKUP(J484,#REF!,3,0))</f>
        <v>#REF!</v>
      </c>
      <c r="M484" s="19" t="e">
        <f>IF(J484="","SEM #CH",VLOOKUP(J484,#REF!,4,0))</f>
        <v>#REF!</v>
      </c>
      <c r="N484" s="19" t="e">
        <f>IF(J484="","SEM #CH",VLOOKUP(J484,#REF!,5,0))</f>
        <v>#REF!</v>
      </c>
      <c r="O484" s="19" t="e">
        <f>IF(J484="","SEM #CH",VLOOKUP(J484,#REF!,6,0))</f>
        <v>#REF!</v>
      </c>
      <c r="P484" s="19" t="e">
        <f>IF(J484="","SEM #CH",VLOOKUP(J484,#REF!,7,0))</f>
        <v>#REF!</v>
      </c>
      <c r="Q484" s="77" t="str">
        <f>VLOOKUP(J484,'p1'!$B$2:$C$30,2,0)</f>
        <v>NÃO TEM CHAPA</v>
      </c>
      <c r="R484" s="91"/>
      <c r="S484" s="91"/>
      <c r="T484" s="91" t="str">
        <f t="shared" si="30"/>
        <v/>
      </c>
      <c r="U484" s="91"/>
      <c r="V484" s="91"/>
      <c r="W484" s="93"/>
      <c r="X484" s="94" t="str">
        <f t="shared" si="31"/>
        <v/>
      </c>
      <c r="Y484"/>
    </row>
    <row r="485" spans="1:25">
      <c r="A485" s="90">
        <v>484</v>
      </c>
      <c r="B485" s="68"/>
      <c r="C485" s="40"/>
      <c r="D485" s="40" t="str">
        <f t="shared" si="28"/>
        <v/>
      </c>
      <c r="E485" s="51" t="s">
        <v>133</v>
      </c>
      <c r="F485" s="17" t="s">
        <v>58</v>
      </c>
      <c r="G485" s="17" t="s">
        <v>86</v>
      </c>
      <c r="H485" s="42" t="s">
        <v>721</v>
      </c>
      <c r="I485" s="17" t="str">
        <f t="shared" si="29"/>
        <v>PN-484</v>
      </c>
      <c r="J485" s="18" t="s">
        <v>85</v>
      </c>
      <c r="K485" s="19" t="e">
        <f>IF(J485="","SEM #CH",VLOOKUP(J485,#REF!,2,0))</f>
        <v>#REF!</v>
      </c>
      <c r="L485" s="19" t="e">
        <f>IF(J485="","SEM #CH",VLOOKUP(J485,#REF!,3,0))</f>
        <v>#REF!</v>
      </c>
      <c r="M485" s="19" t="e">
        <f>IF(J485="","SEM #CH",VLOOKUP(J485,#REF!,4,0))</f>
        <v>#REF!</v>
      </c>
      <c r="N485" s="19" t="e">
        <f>IF(J485="","SEM #CH",VLOOKUP(J485,#REF!,5,0))</f>
        <v>#REF!</v>
      </c>
      <c r="O485" s="19" t="e">
        <f>IF(J485="","SEM #CH",VLOOKUP(J485,#REF!,6,0))</f>
        <v>#REF!</v>
      </c>
      <c r="P485" s="19" t="e">
        <f>IF(J485="","SEM #CH",VLOOKUP(J485,#REF!,7,0))</f>
        <v>#REF!</v>
      </c>
      <c r="Q485" s="77" t="str">
        <f>VLOOKUP(J485,'p1'!$B$2:$C$30,2,0)</f>
        <v>NÃO TEM CHAPA</v>
      </c>
      <c r="R485" s="91"/>
      <c r="S485" s="91"/>
      <c r="T485" s="91" t="str">
        <f t="shared" si="30"/>
        <v/>
      </c>
      <c r="U485" s="91"/>
      <c r="V485" s="91"/>
      <c r="W485" s="93"/>
      <c r="X485" s="94" t="str">
        <f t="shared" si="31"/>
        <v/>
      </c>
      <c r="Y485"/>
    </row>
    <row r="486" spans="1:25">
      <c r="A486" s="90">
        <v>485</v>
      </c>
      <c r="B486" s="68"/>
      <c r="C486" s="40"/>
      <c r="D486" s="40" t="str">
        <f t="shared" si="28"/>
        <v/>
      </c>
      <c r="E486" s="51" t="s">
        <v>133</v>
      </c>
      <c r="F486" s="17" t="s">
        <v>58</v>
      </c>
      <c r="G486" s="17" t="s">
        <v>86</v>
      </c>
      <c r="H486" s="42" t="s">
        <v>722</v>
      </c>
      <c r="I486" s="17" t="str">
        <f t="shared" si="29"/>
        <v>PN-485</v>
      </c>
      <c r="J486" s="18" t="s">
        <v>85</v>
      </c>
      <c r="K486" s="19" t="e">
        <f>IF(J486="","SEM #CH",VLOOKUP(J486,#REF!,2,0))</f>
        <v>#REF!</v>
      </c>
      <c r="L486" s="19" t="e">
        <f>IF(J486="","SEM #CH",VLOOKUP(J486,#REF!,3,0))</f>
        <v>#REF!</v>
      </c>
      <c r="M486" s="19" t="e">
        <f>IF(J486="","SEM #CH",VLOOKUP(J486,#REF!,4,0))</f>
        <v>#REF!</v>
      </c>
      <c r="N486" s="19" t="e">
        <f>IF(J486="","SEM #CH",VLOOKUP(J486,#REF!,5,0))</f>
        <v>#REF!</v>
      </c>
      <c r="O486" s="19" t="e">
        <f>IF(J486="","SEM #CH",VLOOKUP(J486,#REF!,6,0))</f>
        <v>#REF!</v>
      </c>
      <c r="P486" s="19" t="e">
        <f>IF(J486="","SEM #CH",VLOOKUP(J486,#REF!,7,0))</f>
        <v>#REF!</v>
      </c>
      <c r="Q486" s="77" t="str">
        <f>VLOOKUP(J486,'p1'!$B$2:$C$30,2,0)</f>
        <v>NÃO TEM CHAPA</v>
      </c>
      <c r="R486" s="91"/>
      <c r="S486" s="91"/>
      <c r="T486" s="91" t="str">
        <f t="shared" si="30"/>
        <v/>
      </c>
      <c r="U486" s="91"/>
      <c r="V486" s="91"/>
      <c r="W486" s="93"/>
      <c r="X486" s="94" t="str">
        <f t="shared" si="31"/>
        <v/>
      </c>
      <c r="Y486"/>
    </row>
    <row r="487" spans="1:25">
      <c r="A487" s="90">
        <v>486</v>
      </c>
      <c r="B487" s="68"/>
      <c r="C487" s="40"/>
      <c r="D487" s="40" t="str">
        <f t="shared" si="28"/>
        <v/>
      </c>
      <c r="E487" s="51" t="s">
        <v>133</v>
      </c>
      <c r="F487" s="17" t="s">
        <v>58</v>
      </c>
      <c r="G487" s="17" t="s">
        <v>86</v>
      </c>
      <c r="H487" s="42" t="s">
        <v>723</v>
      </c>
      <c r="I487" s="17" t="str">
        <f t="shared" si="29"/>
        <v>PN-486</v>
      </c>
      <c r="J487" s="18" t="s">
        <v>85</v>
      </c>
      <c r="K487" s="19" t="e">
        <f>IF(J487="","SEM #CH",VLOOKUP(J487,#REF!,2,0))</f>
        <v>#REF!</v>
      </c>
      <c r="L487" s="19" t="e">
        <f>IF(J487="","SEM #CH",VLOOKUP(J487,#REF!,3,0))</f>
        <v>#REF!</v>
      </c>
      <c r="M487" s="19" t="e">
        <f>IF(J487="","SEM #CH",VLOOKUP(J487,#REF!,4,0))</f>
        <v>#REF!</v>
      </c>
      <c r="N487" s="19" t="e">
        <f>IF(J487="","SEM #CH",VLOOKUP(J487,#REF!,5,0))</f>
        <v>#REF!</v>
      </c>
      <c r="O487" s="19" t="e">
        <f>IF(J487="","SEM #CH",VLOOKUP(J487,#REF!,6,0))</f>
        <v>#REF!</v>
      </c>
      <c r="P487" s="19" t="e">
        <f>IF(J487="","SEM #CH",VLOOKUP(J487,#REF!,7,0))</f>
        <v>#REF!</v>
      </c>
      <c r="Q487" s="77" t="str">
        <f>VLOOKUP(J487,'p1'!$B$2:$C$30,2,0)</f>
        <v>NÃO TEM CHAPA</v>
      </c>
      <c r="R487" s="91"/>
      <c r="S487" s="91"/>
      <c r="T487" s="91" t="str">
        <f t="shared" si="30"/>
        <v/>
      </c>
      <c r="U487" s="91"/>
      <c r="V487" s="91"/>
      <c r="W487" s="93"/>
      <c r="X487" s="94" t="str">
        <f t="shared" si="31"/>
        <v/>
      </c>
      <c r="Y487"/>
    </row>
    <row r="488" spans="1:25">
      <c r="A488" s="90">
        <v>487</v>
      </c>
      <c r="B488" s="68"/>
      <c r="C488" s="40"/>
      <c r="D488" s="40" t="str">
        <f t="shared" si="28"/>
        <v/>
      </c>
      <c r="E488" s="51" t="s">
        <v>133</v>
      </c>
      <c r="F488" s="17" t="s">
        <v>58</v>
      </c>
      <c r="G488" s="17" t="s">
        <v>86</v>
      </c>
      <c r="H488" s="42" t="s">
        <v>724</v>
      </c>
      <c r="I488" s="17" t="str">
        <f t="shared" si="29"/>
        <v>PN-487</v>
      </c>
      <c r="J488" s="18" t="s">
        <v>85</v>
      </c>
      <c r="K488" s="19" t="e">
        <f>IF(J488="","SEM #CH",VLOOKUP(J488,#REF!,2,0))</f>
        <v>#REF!</v>
      </c>
      <c r="L488" s="19" t="e">
        <f>IF(J488="","SEM #CH",VLOOKUP(J488,#REF!,3,0))</f>
        <v>#REF!</v>
      </c>
      <c r="M488" s="19" t="e">
        <f>IF(J488="","SEM #CH",VLOOKUP(J488,#REF!,4,0))</f>
        <v>#REF!</v>
      </c>
      <c r="N488" s="19" t="e">
        <f>IF(J488="","SEM #CH",VLOOKUP(J488,#REF!,5,0))</f>
        <v>#REF!</v>
      </c>
      <c r="O488" s="19" t="e">
        <f>IF(J488="","SEM #CH",VLOOKUP(J488,#REF!,6,0))</f>
        <v>#REF!</v>
      </c>
      <c r="P488" s="19" t="e">
        <f>IF(J488="","SEM #CH",VLOOKUP(J488,#REF!,7,0))</f>
        <v>#REF!</v>
      </c>
      <c r="Q488" s="77" t="str">
        <f>VLOOKUP(J488,'p1'!$B$2:$C$30,2,0)</f>
        <v>NÃO TEM CHAPA</v>
      </c>
      <c r="R488" s="91"/>
      <c r="S488" s="91"/>
      <c r="T488" s="91" t="str">
        <f t="shared" si="30"/>
        <v/>
      </c>
      <c r="U488" s="91"/>
      <c r="V488" s="91"/>
      <c r="W488" s="93"/>
      <c r="X488" s="94" t="str">
        <f t="shared" si="31"/>
        <v/>
      </c>
      <c r="Y488"/>
    </row>
    <row r="489" spans="1:25">
      <c r="A489" s="90">
        <v>488</v>
      </c>
      <c r="B489" s="68"/>
      <c r="C489" s="40"/>
      <c r="D489" s="40" t="str">
        <f t="shared" si="28"/>
        <v/>
      </c>
      <c r="E489" s="51" t="s">
        <v>133</v>
      </c>
      <c r="F489" s="17" t="s">
        <v>58</v>
      </c>
      <c r="G489" s="17" t="s">
        <v>86</v>
      </c>
      <c r="H489" s="42" t="s">
        <v>725</v>
      </c>
      <c r="I489" s="17" t="str">
        <f t="shared" si="29"/>
        <v>PN-488</v>
      </c>
      <c r="J489" s="18" t="s">
        <v>85</v>
      </c>
      <c r="K489" s="19" t="e">
        <f>IF(J489="","SEM #CH",VLOOKUP(J489,#REF!,2,0))</f>
        <v>#REF!</v>
      </c>
      <c r="L489" s="19" t="e">
        <f>IF(J489="","SEM #CH",VLOOKUP(J489,#REF!,3,0))</f>
        <v>#REF!</v>
      </c>
      <c r="M489" s="19" t="e">
        <f>IF(J489="","SEM #CH",VLOOKUP(J489,#REF!,4,0))</f>
        <v>#REF!</v>
      </c>
      <c r="N489" s="19" t="e">
        <f>IF(J489="","SEM #CH",VLOOKUP(J489,#REF!,5,0))</f>
        <v>#REF!</v>
      </c>
      <c r="O489" s="19" t="e">
        <f>IF(J489="","SEM #CH",VLOOKUP(J489,#REF!,6,0))</f>
        <v>#REF!</v>
      </c>
      <c r="P489" s="19" t="e">
        <f>IF(J489="","SEM #CH",VLOOKUP(J489,#REF!,7,0))</f>
        <v>#REF!</v>
      </c>
      <c r="Q489" s="77" t="str">
        <f>VLOOKUP(J489,'p1'!$B$2:$C$30,2,0)</f>
        <v>NÃO TEM CHAPA</v>
      </c>
      <c r="R489" s="91"/>
      <c r="S489" s="91"/>
      <c r="T489" s="91" t="str">
        <f t="shared" si="30"/>
        <v/>
      </c>
      <c r="U489" s="91"/>
      <c r="V489" s="91"/>
      <c r="W489" s="93"/>
      <c r="X489" s="94" t="str">
        <f t="shared" si="31"/>
        <v/>
      </c>
      <c r="Y489"/>
    </row>
    <row r="490" spans="1:25">
      <c r="A490" s="90">
        <v>489</v>
      </c>
      <c r="B490" s="68"/>
      <c r="C490" s="40"/>
      <c r="D490" s="40" t="str">
        <f t="shared" si="28"/>
        <v/>
      </c>
      <c r="E490" s="51" t="s">
        <v>133</v>
      </c>
      <c r="F490" s="17" t="s">
        <v>58</v>
      </c>
      <c r="G490" s="17" t="s">
        <v>86</v>
      </c>
      <c r="H490" s="42" t="s">
        <v>726</v>
      </c>
      <c r="I490" s="17" t="str">
        <f t="shared" si="29"/>
        <v>PN-489</v>
      </c>
      <c r="J490" s="18" t="s">
        <v>85</v>
      </c>
      <c r="K490" s="19" t="e">
        <f>IF(J490="","SEM #CH",VLOOKUP(J490,#REF!,2,0))</f>
        <v>#REF!</v>
      </c>
      <c r="L490" s="19" t="e">
        <f>IF(J490="","SEM #CH",VLOOKUP(J490,#REF!,3,0))</f>
        <v>#REF!</v>
      </c>
      <c r="M490" s="19" t="e">
        <f>IF(J490="","SEM #CH",VLOOKUP(J490,#REF!,4,0))</f>
        <v>#REF!</v>
      </c>
      <c r="N490" s="19" t="e">
        <f>IF(J490="","SEM #CH",VLOOKUP(J490,#REF!,5,0))</f>
        <v>#REF!</v>
      </c>
      <c r="O490" s="19" t="e">
        <f>IF(J490="","SEM #CH",VLOOKUP(J490,#REF!,6,0))</f>
        <v>#REF!</v>
      </c>
      <c r="P490" s="19" t="e">
        <f>IF(J490="","SEM #CH",VLOOKUP(J490,#REF!,7,0))</f>
        <v>#REF!</v>
      </c>
      <c r="Q490" s="77" t="str">
        <f>VLOOKUP(J490,'p1'!$B$2:$C$30,2,0)</f>
        <v>NÃO TEM CHAPA</v>
      </c>
      <c r="R490" s="91"/>
      <c r="S490" s="91"/>
      <c r="T490" s="91" t="str">
        <f t="shared" si="30"/>
        <v/>
      </c>
      <c r="U490" s="91"/>
      <c r="V490" s="91"/>
      <c r="W490" s="93"/>
      <c r="X490" s="94" t="str">
        <f t="shared" si="31"/>
        <v/>
      </c>
      <c r="Y490"/>
    </row>
    <row r="491" spans="1:25">
      <c r="A491" s="90">
        <v>490</v>
      </c>
      <c r="B491" s="68"/>
      <c r="C491" s="40"/>
      <c r="D491" s="40" t="str">
        <f t="shared" si="28"/>
        <v/>
      </c>
      <c r="E491" s="51" t="s">
        <v>133</v>
      </c>
      <c r="F491" s="17" t="s">
        <v>60</v>
      </c>
      <c r="G491" s="17" t="s">
        <v>86</v>
      </c>
      <c r="H491" s="42" t="s">
        <v>727</v>
      </c>
      <c r="I491" s="17" t="str">
        <f t="shared" si="29"/>
        <v>PE-490</v>
      </c>
      <c r="J491" s="18" t="s">
        <v>88</v>
      </c>
      <c r="K491" s="19" t="e">
        <f>IF(J491="","SEM #CH",VLOOKUP(J491,#REF!,2,0))</f>
        <v>#REF!</v>
      </c>
      <c r="L491" s="19" t="e">
        <f>IF(J491="","SEM #CH",VLOOKUP(J491,#REF!,3,0))</f>
        <v>#REF!</v>
      </c>
      <c r="M491" s="19" t="e">
        <f>IF(J491="","SEM #CH",VLOOKUP(J491,#REF!,4,0))</f>
        <v>#REF!</v>
      </c>
      <c r="N491" s="19" t="e">
        <f>IF(J491="","SEM #CH",VLOOKUP(J491,#REF!,5,0))</f>
        <v>#REF!</v>
      </c>
      <c r="O491" s="19" t="e">
        <f>IF(J491="","SEM #CH",VLOOKUP(J491,#REF!,6,0))</f>
        <v>#REF!</v>
      </c>
      <c r="P491" s="19" t="e">
        <f>IF(J491="","SEM #CH",VLOOKUP(J491,#REF!,7,0))</f>
        <v>#REF!</v>
      </c>
      <c r="Q491" s="77" t="str">
        <f>VLOOKUP(J491,'p1'!$B$2:$C$30,2,0)</f>
        <v>#3/8-1315X1315</v>
      </c>
      <c r="R491" s="91"/>
      <c r="S491" s="91"/>
      <c r="T491" s="91" t="str">
        <f t="shared" si="30"/>
        <v/>
      </c>
      <c r="U491" s="91"/>
      <c r="V491" s="91"/>
      <c r="W491" s="93"/>
      <c r="X491" s="94" t="str">
        <f t="shared" si="31"/>
        <v/>
      </c>
      <c r="Y491"/>
    </row>
    <row r="492" spans="1:25">
      <c r="A492" s="90">
        <v>491</v>
      </c>
      <c r="B492" s="68"/>
      <c r="C492" s="40"/>
      <c r="D492" s="40" t="str">
        <f t="shared" si="28"/>
        <v/>
      </c>
      <c r="E492" s="51" t="s">
        <v>133</v>
      </c>
      <c r="F492" s="17" t="s">
        <v>58</v>
      </c>
      <c r="G492" s="17" t="s">
        <v>86</v>
      </c>
      <c r="H492" s="42" t="s">
        <v>728</v>
      </c>
      <c r="I492" s="17" t="str">
        <f t="shared" si="29"/>
        <v>PN-491</v>
      </c>
      <c r="J492" s="18" t="s">
        <v>85</v>
      </c>
      <c r="K492" s="19" t="e">
        <f>IF(J492="","SEM #CH",VLOOKUP(J492,#REF!,2,0))</f>
        <v>#REF!</v>
      </c>
      <c r="L492" s="19" t="e">
        <f>IF(J492="","SEM #CH",VLOOKUP(J492,#REF!,3,0))</f>
        <v>#REF!</v>
      </c>
      <c r="M492" s="19" t="e">
        <f>IF(J492="","SEM #CH",VLOOKUP(J492,#REF!,4,0))</f>
        <v>#REF!</v>
      </c>
      <c r="N492" s="19" t="e">
        <f>IF(J492="","SEM #CH",VLOOKUP(J492,#REF!,5,0))</f>
        <v>#REF!</v>
      </c>
      <c r="O492" s="19" t="e">
        <f>IF(J492="","SEM #CH",VLOOKUP(J492,#REF!,6,0))</f>
        <v>#REF!</v>
      </c>
      <c r="P492" s="19" t="e">
        <f>IF(J492="","SEM #CH",VLOOKUP(J492,#REF!,7,0))</f>
        <v>#REF!</v>
      </c>
      <c r="Q492" s="77" t="str">
        <f>VLOOKUP(J492,'p1'!$B$2:$C$30,2,0)</f>
        <v>NÃO TEM CHAPA</v>
      </c>
      <c r="R492" s="91"/>
      <c r="S492" s="91"/>
      <c r="T492" s="91" t="str">
        <f t="shared" si="30"/>
        <v/>
      </c>
      <c r="U492" s="91"/>
      <c r="V492" s="91"/>
      <c r="W492" s="93"/>
      <c r="X492" s="94" t="str">
        <f t="shared" si="31"/>
        <v/>
      </c>
      <c r="Y492"/>
    </row>
    <row r="493" spans="1:25">
      <c r="A493" s="90">
        <v>492</v>
      </c>
      <c r="B493" s="68"/>
      <c r="C493" s="40"/>
      <c r="D493" s="40" t="str">
        <f t="shared" si="28"/>
        <v/>
      </c>
      <c r="E493" s="51" t="s">
        <v>133</v>
      </c>
      <c r="F493" s="17" t="s">
        <v>58</v>
      </c>
      <c r="G493" s="17" t="s">
        <v>86</v>
      </c>
      <c r="H493" s="42" t="s">
        <v>729</v>
      </c>
      <c r="I493" s="17" t="str">
        <f t="shared" si="29"/>
        <v>PN-492</v>
      </c>
      <c r="J493" s="18" t="s">
        <v>85</v>
      </c>
      <c r="K493" s="19" t="e">
        <f>IF(J493="","SEM #CH",VLOOKUP(J493,#REF!,2,0))</f>
        <v>#REF!</v>
      </c>
      <c r="L493" s="19" t="e">
        <f>IF(J493="","SEM #CH",VLOOKUP(J493,#REF!,3,0))</f>
        <v>#REF!</v>
      </c>
      <c r="M493" s="19" t="e">
        <f>IF(J493="","SEM #CH",VLOOKUP(J493,#REF!,4,0))</f>
        <v>#REF!</v>
      </c>
      <c r="N493" s="19" t="e">
        <f>IF(J493="","SEM #CH",VLOOKUP(J493,#REF!,5,0))</f>
        <v>#REF!</v>
      </c>
      <c r="O493" s="19" t="e">
        <f>IF(J493="","SEM #CH",VLOOKUP(J493,#REF!,6,0))</f>
        <v>#REF!</v>
      </c>
      <c r="P493" s="19" t="e">
        <f>IF(J493="","SEM #CH",VLOOKUP(J493,#REF!,7,0))</f>
        <v>#REF!</v>
      </c>
      <c r="Q493" s="77" t="str">
        <f>VLOOKUP(J493,'p1'!$B$2:$C$30,2,0)</f>
        <v>NÃO TEM CHAPA</v>
      </c>
      <c r="R493" s="91"/>
      <c r="S493" s="91"/>
      <c r="T493" s="91" t="str">
        <f t="shared" si="30"/>
        <v/>
      </c>
      <c r="U493" s="91"/>
      <c r="V493" s="91"/>
      <c r="W493" s="93"/>
      <c r="X493" s="94" t="str">
        <f t="shared" si="31"/>
        <v/>
      </c>
      <c r="Y493"/>
    </row>
    <row r="494" spans="1:25">
      <c r="A494" s="90">
        <v>493</v>
      </c>
      <c r="B494" s="68"/>
      <c r="C494" s="40"/>
      <c r="D494" s="40" t="str">
        <f t="shared" si="28"/>
        <v/>
      </c>
      <c r="E494" s="51" t="s">
        <v>133</v>
      </c>
      <c r="F494" s="17" t="s">
        <v>58</v>
      </c>
      <c r="G494" s="17" t="s">
        <v>86</v>
      </c>
      <c r="H494" s="42" t="s">
        <v>730</v>
      </c>
      <c r="I494" s="17" t="str">
        <f t="shared" si="29"/>
        <v>PN-493</v>
      </c>
      <c r="J494" s="18" t="s">
        <v>85</v>
      </c>
      <c r="K494" s="19" t="e">
        <f>IF(J494="","SEM #CH",VLOOKUP(J494,#REF!,2,0))</f>
        <v>#REF!</v>
      </c>
      <c r="L494" s="19" t="e">
        <f>IF(J494="","SEM #CH",VLOOKUP(J494,#REF!,3,0))</f>
        <v>#REF!</v>
      </c>
      <c r="M494" s="19" t="e">
        <f>IF(J494="","SEM #CH",VLOOKUP(J494,#REF!,4,0))</f>
        <v>#REF!</v>
      </c>
      <c r="N494" s="19" t="e">
        <f>IF(J494="","SEM #CH",VLOOKUP(J494,#REF!,5,0))</f>
        <v>#REF!</v>
      </c>
      <c r="O494" s="19" t="e">
        <f>IF(J494="","SEM #CH",VLOOKUP(J494,#REF!,6,0))</f>
        <v>#REF!</v>
      </c>
      <c r="P494" s="19" t="e">
        <f>IF(J494="","SEM #CH",VLOOKUP(J494,#REF!,7,0))</f>
        <v>#REF!</v>
      </c>
      <c r="Q494" s="77" t="str">
        <f>VLOOKUP(J494,'p1'!$B$2:$C$30,2,0)</f>
        <v>NÃO TEM CHAPA</v>
      </c>
      <c r="R494" s="91"/>
      <c r="S494" s="91"/>
      <c r="T494" s="91" t="str">
        <f t="shared" si="30"/>
        <v/>
      </c>
      <c r="U494" s="91"/>
      <c r="V494" s="91"/>
      <c r="W494" s="93"/>
      <c r="X494" s="94" t="str">
        <f t="shared" si="31"/>
        <v/>
      </c>
      <c r="Y494"/>
    </row>
    <row r="495" spans="1:25">
      <c r="A495" s="90">
        <v>494</v>
      </c>
      <c r="B495" s="68"/>
      <c r="C495" s="40"/>
      <c r="D495" s="40" t="str">
        <f t="shared" si="28"/>
        <v/>
      </c>
      <c r="E495" s="51" t="s">
        <v>133</v>
      </c>
      <c r="F495" s="17" t="s">
        <v>58</v>
      </c>
      <c r="G495" s="17" t="s">
        <v>86</v>
      </c>
      <c r="H495" s="42" t="s">
        <v>731</v>
      </c>
      <c r="I495" s="17" t="str">
        <f t="shared" si="29"/>
        <v>PN-494</v>
      </c>
      <c r="J495" s="18" t="s">
        <v>85</v>
      </c>
      <c r="K495" s="19" t="e">
        <f>IF(J495="","SEM #CH",VLOOKUP(J495,#REF!,2,0))</f>
        <v>#REF!</v>
      </c>
      <c r="L495" s="19" t="e">
        <f>IF(J495="","SEM #CH",VLOOKUP(J495,#REF!,3,0))</f>
        <v>#REF!</v>
      </c>
      <c r="M495" s="19" t="e">
        <f>IF(J495="","SEM #CH",VLOOKUP(J495,#REF!,4,0))</f>
        <v>#REF!</v>
      </c>
      <c r="N495" s="19" t="e">
        <f>IF(J495="","SEM #CH",VLOOKUP(J495,#REF!,5,0))</f>
        <v>#REF!</v>
      </c>
      <c r="O495" s="19" t="e">
        <f>IF(J495="","SEM #CH",VLOOKUP(J495,#REF!,6,0))</f>
        <v>#REF!</v>
      </c>
      <c r="P495" s="19" t="e">
        <f>IF(J495="","SEM #CH",VLOOKUP(J495,#REF!,7,0))</f>
        <v>#REF!</v>
      </c>
      <c r="Q495" s="77" t="str">
        <f>VLOOKUP(J495,'p1'!$B$2:$C$30,2,0)</f>
        <v>NÃO TEM CHAPA</v>
      </c>
      <c r="R495" s="91"/>
      <c r="S495" s="91"/>
      <c r="T495" s="91" t="str">
        <f t="shared" si="30"/>
        <v/>
      </c>
      <c r="U495" s="91"/>
      <c r="V495" s="91"/>
      <c r="W495" s="93"/>
      <c r="X495" s="94" t="str">
        <f t="shared" si="31"/>
        <v/>
      </c>
      <c r="Y495"/>
    </row>
    <row r="496" spans="1:25">
      <c r="A496" s="90">
        <v>495</v>
      </c>
      <c r="B496" s="68"/>
      <c r="C496" s="40"/>
      <c r="D496" s="40" t="str">
        <f t="shared" si="28"/>
        <v/>
      </c>
      <c r="E496" s="51" t="s">
        <v>133</v>
      </c>
      <c r="F496" s="17" t="s">
        <v>58</v>
      </c>
      <c r="G496" s="17" t="s">
        <v>86</v>
      </c>
      <c r="H496" s="42" t="s">
        <v>732</v>
      </c>
      <c r="I496" s="17" t="str">
        <f t="shared" si="29"/>
        <v>PN-495</v>
      </c>
      <c r="J496" s="18" t="s">
        <v>85</v>
      </c>
      <c r="K496" s="19" t="e">
        <f>IF(J496="","SEM #CH",VLOOKUP(J496,#REF!,2,0))</f>
        <v>#REF!</v>
      </c>
      <c r="L496" s="19" t="e">
        <f>IF(J496="","SEM #CH",VLOOKUP(J496,#REF!,3,0))</f>
        <v>#REF!</v>
      </c>
      <c r="M496" s="19" t="e">
        <f>IF(J496="","SEM #CH",VLOOKUP(J496,#REF!,4,0))</f>
        <v>#REF!</v>
      </c>
      <c r="N496" s="19" t="e">
        <f>IF(J496="","SEM #CH",VLOOKUP(J496,#REF!,5,0))</f>
        <v>#REF!</v>
      </c>
      <c r="O496" s="19" t="e">
        <f>IF(J496="","SEM #CH",VLOOKUP(J496,#REF!,6,0))</f>
        <v>#REF!</v>
      </c>
      <c r="P496" s="19" t="e">
        <f>IF(J496="","SEM #CH",VLOOKUP(J496,#REF!,7,0))</f>
        <v>#REF!</v>
      </c>
      <c r="Q496" s="77" t="str">
        <f>VLOOKUP(J496,'p1'!$B$2:$C$30,2,0)</f>
        <v>NÃO TEM CHAPA</v>
      </c>
      <c r="R496" s="91"/>
      <c r="S496" s="91"/>
      <c r="T496" s="91" t="str">
        <f t="shared" si="30"/>
        <v/>
      </c>
      <c r="U496" s="91"/>
      <c r="V496" s="91"/>
      <c r="W496" s="93"/>
      <c r="X496" s="94" t="str">
        <f t="shared" si="31"/>
        <v/>
      </c>
      <c r="Y496"/>
    </row>
    <row r="497" spans="1:25">
      <c r="A497" s="90">
        <v>496</v>
      </c>
      <c r="B497" s="68"/>
      <c r="C497" s="40"/>
      <c r="D497" s="40" t="str">
        <f t="shared" si="28"/>
        <v/>
      </c>
      <c r="E497" s="51" t="s">
        <v>133</v>
      </c>
      <c r="F497" s="17" t="s">
        <v>58</v>
      </c>
      <c r="G497" s="17" t="s">
        <v>86</v>
      </c>
      <c r="H497" s="42" t="s">
        <v>733</v>
      </c>
      <c r="I497" s="17" t="str">
        <f t="shared" si="29"/>
        <v>PN-496</v>
      </c>
      <c r="J497" s="18" t="s">
        <v>85</v>
      </c>
      <c r="K497" s="19" t="e">
        <f>IF(J497="","SEM #CH",VLOOKUP(J497,#REF!,2,0))</f>
        <v>#REF!</v>
      </c>
      <c r="L497" s="19" t="e">
        <f>IF(J497="","SEM #CH",VLOOKUP(J497,#REF!,3,0))</f>
        <v>#REF!</v>
      </c>
      <c r="M497" s="19" t="e">
        <f>IF(J497="","SEM #CH",VLOOKUP(J497,#REF!,4,0))</f>
        <v>#REF!</v>
      </c>
      <c r="N497" s="19" t="e">
        <f>IF(J497="","SEM #CH",VLOOKUP(J497,#REF!,5,0))</f>
        <v>#REF!</v>
      </c>
      <c r="O497" s="19" t="e">
        <f>IF(J497="","SEM #CH",VLOOKUP(J497,#REF!,6,0))</f>
        <v>#REF!</v>
      </c>
      <c r="P497" s="19" t="e">
        <f>IF(J497="","SEM #CH",VLOOKUP(J497,#REF!,7,0))</f>
        <v>#REF!</v>
      </c>
      <c r="Q497" s="77" t="str">
        <f>VLOOKUP(J497,'p1'!$B$2:$C$30,2,0)</f>
        <v>NÃO TEM CHAPA</v>
      </c>
      <c r="R497" s="91"/>
      <c r="S497" s="91"/>
      <c r="T497" s="91" t="str">
        <f t="shared" si="30"/>
        <v/>
      </c>
      <c r="U497" s="91"/>
      <c r="V497" s="91"/>
      <c r="W497" s="93"/>
      <c r="X497" s="94" t="str">
        <f t="shared" si="31"/>
        <v/>
      </c>
      <c r="Y497"/>
    </row>
    <row r="498" spans="1:25">
      <c r="A498" s="90">
        <v>497</v>
      </c>
      <c r="B498" s="68"/>
      <c r="C498" s="40"/>
      <c r="D498" s="40" t="str">
        <f t="shared" si="28"/>
        <v/>
      </c>
      <c r="E498" s="44" t="s">
        <v>170</v>
      </c>
      <c r="F498" s="17" t="s">
        <v>61</v>
      </c>
      <c r="G498" s="17" t="s">
        <v>86</v>
      </c>
      <c r="H498" s="42" t="s">
        <v>734</v>
      </c>
      <c r="I498" s="17" t="str">
        <f t="shared" si="29"/>
        <v>PF-497</v>
      </c>
      <c r="J498" s="18" t="s">
        <v>61</v>
      </c>
      <c r="K498" s="19" t="e">
        <f>IF(J498="","SEM #CH",VLOOKUP(J498,#REF!,2,0))</f>
        <v>#REF!</v>
      </c>
      <c r="L498" s="19" t="e">
        <f>IF(J498="","SEM #CH",VLOOKUP(J498,#REF!,3,0))</f>
        <v>#REF!</v>
      </c>
      <c r="M498" s="19" t="e">
        <f>IF(J498="","SEM #CH",VLOOKUP(J498,#REF!,4,0))</f>
        <v>#REF!</v>
      </c>
      <c r="N498" s="19" t="e">
        <f>IF(J498="","SEM #CH",VLOOKUP(J498,#REF!,5,0))</f>
        <v>#REF!</v>
      </c>
      <c r="O498" s="19" t="e">
        <f>IF(J498="","SEM #CH",VLOOKUP(J498,#REF!,6,0))</f>
        <v>#REF!</v>
      </c>
      <c r="P498" s="19" t="e">
        <f>IF(J498="","SEM #CH",VLOOKUP(J498,#REF!,7,0))</f>
        <v>#REF!</v>
      </c>
      <c r="Q498" s="77" t="str">
        <f>VLOOKUP(J498,'p1'!$B$2:$C$30,2,0)</f>
        <v>SEM CHAPA</v>
      </c>
      <c r="R498" s="91"/>
      <c r="S498" s="91"/>
      <c r="T498" s="91" t="str">
        <f t="shared" si="30"/>
        <v/>
      </c>
      <c r="U498" s="91"/>
      <c r="V498" s="91"/>
      <c r="W498" s="93"/>
      <c r="X498" s="94" t="str">
        <f t="shared" si="31"/>
        <v/>
      </c>
      <c r="Y498"/>
    </row>
    <row r="499" spans="1:25">
      <c r="A499" s="90">
        <v>498</v>
      </c>
      <c r="B499" s="68"/>
      <c r="C499" s="40"/>
      <c r="D499" s="40" t="str">
        <f t="shared" si="28"/>
        <v/>
      </c>
      <c r="E499" s="44" t="s">
        <v>170</v>
      </c>
      <c r="F499" s="17" t="s">
        <v>58</v>
      </c>
      <c r="G499" s="17" t="s">
        <v>86</v>
      </c>
      <c r="H499" s="42" t="s">
        <v>735</v>
      </c>
      <c r="I499" s="17" t="str">
        <f t="shared" si="29"/>
        <v>PN-498</v>
      </c>
      <c r="J499" s="18" t="s">
        <v>85</v>
      </c>
      <c r="K499" s="19" t="e">
        <f>IF(J499="","SEM #CH",VLOOKUP(J499,#REF!,2,0))</f>
        <v>#REF!</v>
      </c>
      <c r="L499" s="19" t="e">
        <f>IF(J499="","SEM #CH",VLOOKUP(J499,#REF!,3,0))</f>
        <v>#REF!</v>
      </c>
      <c r="M499" s="19" t="e">
        <f>IF(J499="","SEM #CH",VLOOKUP(J499,#REF!,4,0))</f>
        <v>#REF!</v>
      </c>
      <c r="N499" s="19" t="e">
        <f>IF(J499="","SEM #CH",VLOOKUP(J499,#REF!,5,0))</f>
        <v>#REF!</v>
      </c>
      <c r="O499" s="19" t="e">
        <f>IF(J499="","SEM #CH",VLOOKUP(J499,#REF!,6,0))</f>
        <v>#REF!</v>
      </c>
      <c r="P499" s="19" t="e">
        <f>IF(J499="","SEM #CH",VLOOKUP(J499,#REF!,7,0))</f>
        <v>#REF!</v>
      </c>
      <c r="Q499" s="77" t="str">
        <f>VLOOKUP(J499,'p1'!$B$2:$C$30,2,0)</f>
        <v>NÃO TEM CHAPA</v>
      </c>
      <c r="R499" s="91"/>
      <c r="S499" s="91"/>
      <c r="T499" s="91" t="str">
        <f t="shared" si="30"/>
        <v/>
      </c>
      <c r="U499" s="91"/>
      <c r="V499" s="91"/>
      <c r="W499" s="93"/>
      <c r="X499" s="94" t="str">
        <f t="shared" si="31"/>
        <v/>
      </c>
      <c r="Y499"/>
    </row>
    <row r="500" spans="1:25">
      <c r="A500" s="90">
        <v>499</v>
      </c>
      <c r="B500" s="68"/>
      <c r="C500" s="40"/>
      <c r="D500" s="40" t="str">
        <f t="shared" si="28"/>
        <v/>
      </c>
      <c r="E500" s="44" t="s">
        <v>170</v>
      </c>
      <c r="F500" s="17" t="s">
        <v>58</v>
      </c>
      <c r="G500" s="17" t="s">
        <v>86</v>
      </c>
      <c r="H500" s="42" t="s">
        <v>736</v>
      </c>
      <c r="I500" s="17" t="str">
        <f t="shared" si="29"/>
        <v>PN-499</v>
      </c>
      <c r="J500" s="18" t="s">
        <v>85</v>
      </c>
      <c r="K500" s="19" t="e">
        <f>IF(J500="","SEM #CH",VLOOKUP(J500,#REF!,2,0))</f>
        <v>#REF!</v>
      </c>
      <c r="L500" s="19" t="e">
        <f>IF(J500="","SEM #CH",VLOOKUP(J500,#REF!,3,0))</f>
        <v>#REF!</v>
      </c>
      <c r="M500" s="19" t="e">
        <f>IF(J500="","SEM #CH",VLOOKUP(J500,#REF!,4,0))</f>
        <v>#REF!</v>
      </c>
      <c r="N500" s="19" t="e">
        <f>IF(J500="","SEM #CH",VLOOKUP(J500,#REF!,5,0))</f>
        <v>#REF!</v>
      </c>
      <c r="O500" s="19" t="e">
        <f>IF(J500="","SEM #CH",VLOOKUP(J500,#REF!,6,0))</f>
        <v>#REF!</v>
      </c>
      <c r="P500" s="19" t="e">
        <f>IF(J500="","SEM #CH",VLOOKUP(J500,#REF!,7,0))</f>
        <v>#REF!</v>
      </c>
      <c r="Q500" s="77" t="str">
        <f>VLOOKUP(J500,'p1'!$B$2:$C$30,2,0)</f>
        <v>NÃO TEM CHAPA</v>
      </c>
      <c r="R500" s="91"/>
      <c r="S500" s="91"/>
      <c r="T500" s="91" t="str">
        <f t="shared" si="30"/>
        <v/>
      </c>
      <c r="U500" s="91"/>
      <c r="V500" s="91"/>
      <c r="W500" s="93"/>
      <c r="X500" s="94" t="str">
        <f t="shared" si="31"/>
        <v/>
      </c>
      <c r="Y500"/>
    </row>
    <row r="501" spans="1:25">
      <c r="A501" s="90">
        <v>500</v>
      </c>
      <c r="B501" s="68"/>
      <c r="C501" s="40"/>
      <c r="D501" s="40" t="str">
        <f t="shared" si="28"/>
        <v/>
      </c>
      <c r="E501" s="44" t="s">
        <v>170</v>
      </c>
      <c r="F501" s="17" t="s">
        <v>58</v>
      </c>
      <c r="G501" s="17" t="s">
        <v>86</v>
      </c>
      <c r="H501" s="42" t="s">
        <v>737</v>
      </c>
      <c r="I501" s="17" t="str">
        <f t="shared" si="29"/>
        <v>PN-500</v>
      </c>
      <c r="J501" s="18" t="s">
        <v>85</v>
      </c>
      <c r="K501" s="19" t="e">
        <f>IF(J501="","SEM #CH",VLOOKUP(J501,#REF!,2,0))</f>
        <v>#REF!</v>
      </c>
      <c r="L501" s="19" t="e">
        <f>IF(J501="","SEM #CH",VLOOKUP(J501,#REF!,3,0))</f>
        <v>#REF!</v>
      </c>
      <c r="M501" s="19" t="e">
        <f>IF(J501="","SEM #CH",VLOOKUP(J501,#REF!,4,0))</f>
        <v>#REF!</v>
      </c>
      <c r="N501" s="19" t="e">
        <f>IF(J501="","SEM #CH",VLOOKUP(J501,#REF!,5,0))</f>
        <v>#REF!</v>
      </c>
      <c r="O501" s="19" t="e">
        <f>IF(J501="","SEM #CH",VLOOKUP(J501,#REF!,6,0))</f>
        <v>#REF!</v>
      </c>
      <c r="P501" s="19" t="e">
        <f>IF(J501="","SEM #CH",VLOOKUP(J501,#REF!,7,0))</f>
        <v>#REF!</v>
      </c>
      <c r="Q501" s="77" t="str">
        <f>VLOOKUP(J501,'p1'!$B$2:$C$30,2,0)</f>
        <v>NÃO TEM CHAPA</v>
      </c>
      <c r="R501" s="91"/>
      <c r="S501" s="91"/>
      <c r="T501" s="91" t="str">
        <f t="shared" si="30"/>
        <v/>
      </c>
      <c r="U501" s="91"/>
      <c r="V501" s="91"/>
      <c r="W501" s="93"/>
      <c r="X501" s="94" t="str">
        <f t="shared" si="31"/>
        <v/>
      </c>
      <c r="Y501"/>
    </row>
    <row r="502" spans="1:25">
      <c r="A502" s="90">
        <v>501</v>
      </c>
      <c r="B502" s="68"/>
      <c r="C502" s="40"/>
      <c r="D502" s="40" t="str">
        <f t="shared" si="28"/>
        <v/>
      </c>
      <c r="E502" s="44" t="s">
        <v>170</v>
      </c>
      <c r="F502" s="17" t="s">
        <v>58</v>
      </c>
      <c r="G502" s="17" t="s">
        <v>86</v>
      </c>
      <c r="H502" s="42" t="s">
        <v>738</v>
      </c>
      <c r="I502" s="17" t="str">
        <f t="shared" si="29"/>
        <v>PN-501</v>
      </c>
      <c r="J502" s="18" t="s">
        <v>85</v>
      </c>
      <c r="K502" s="19" t="e">
        <f>IF(J502="","SEM #CH",VLOOKUP(J502,#REF!,2,0))</f>
        <v>#REF!</v>
      </c>
      <c r="L502" s="19" t="e">
        <f>IF(J502="","SEM #CH",VLOOKUP(J502,#REF!,3,0))</f>
        <v>#REF!</v>
      </c>
      <c r="M502" s="19" t="e">
        <f>IF(J502="","SEM #CH",VLOOKUP(J502,#REF!,4,0))</f>
        <v>#REF!</v>
      </c>
      <c r="N502" s="19" t="e">
        <f>IF(J502="","SEM #CH",VLOOKUP(J502,#REF!,5,0))</f>
        <v>#REF!</v>
      </c>
      <c r="O502" s="19" t="e">
        <f>IF(J502="","SEM #CH",VLOOKUP(J502,#REF!,6,0))</f>
        <v>#REF!</v>
      </c>
      <c r="P502" s="19" t="e">
        <f>IF(J502="","SEM #CH",VLOOKUP(J502,#REF!,7,0))</f>
        <v>#REF!</v>
      </c>
      <c r="Q502" s="77" t="str">
        <f>VLOOKUP(J502,'p1'!$B$2:$C$30,2,0)</f>
        <v>NÃO TEM CHAPA</v>
      </c>
      <c r="R502" s="91"/>
      <c r="S502" s="91"/>
      <c r="T502" s="91" t="str">
        <f t="shared" si="30"/>
        <v/>
      </c>
      <c r="U502" s="91"/>
      <c r="V502" s="91"/>
      <c r="W502" s="93"/>
      <c r="X502" s="94" t="str">
        <f t="shared" si="31"/>
        <v/>
      </c>
      <c r="Y502"/>
    </row>
    <row r="503" spans="1:25">
      <c r="A503" s="90">
        <v>502</v>
      </c>
      <c r="B503" s="68"/>
      <c r="C503" s="40"/>
      <c r="D503" s="40" t="str">
        <f t="shared" si="28"/>
        <v/>
      </c>
      <c r="E503" s="44" t="s">
        <v>170</v>
      </c>
      <c r="F503" s="17" t="s">
        <v>58</v>
      </c>
      <c r="G503" s="17" t="s">
        <v>86</v>
      </c>
      <c r="H503" s="42" t="s">
        <v>739</v>
      </c>
      <c r="I503" s="17" t="str">
        <f t="shared" si="29"/>
        <v>PN-502</v>
      </c>
      <c r="J503" s="18" t="s">
        <v>85</v>
      </c>
      <c r="K503" s="19" t="e">
        <f>IF(J503="","SEM #CH",VLOOKUP(J503,#REF!,2,0))</f>
        <v>#REF!</v>
      </c>
      <c r="L503" s="19" t="e">
        <f>IF(J503="","SEM #CH",VLOOKUP(J503,#REF!,3,0))</f>
        <v>#REF!</v>
      </c>
      <c r="M503" s="19" t="e">
        <f>IF(J503="","SEM #CH",VLOOKUP(J503,#REF!,4,0))</f>
        <v>#REF!</v>
      </c>
      <c r="N503" s="19" t="e">
        <f>IF(J503="","SEM #CH",VLOOKUP(J503,#REF!,5,0))</f>
        <v>#REF!</v>
      </c>
      <c r="O503" s="19" t="e">
        <f>IF(J503="","SEM #CH",VLOOKUP(J503,#REF!,6,0))</f>
        <v>#REF!</v>
      </c>
      <c r="P503" s="19" t="e">
        <f>IF(J503="","SEM #CH",VLOOKUP(J503,#REF!,7,0))</f>
        <v>#REF!</v>
      </c>
      <c r="Q503" s="77" t="str">
        <f>VLOOKUP(J503,'p1'!$B$2:$C$30,2,0)</f>
        <v>NÃO TEM CHAPA</v>
      </c>
      <c r="R503" s="91"/>
      <c r="S503" s="91"/>
      <c r="T503" s="91" t="str">
        <f t="shared" si="30"/>
        <v/>
      </c>
      <c r="U503" s="91"/>
      <c r="V503" s="91"/>
      <c r="W503" s="93"/>
      <c r="X503" s="94" t="str">
        <f t="shared" si="31"/>
        <v/>
      </c>
      <c r="Y503"/>
    </row>
    <row r="504" spans="1:25">
      <c r="A504" s="90">
        <v>503</v>
      </c>
      <c r="B504" s="68"/>
      <c r="C504" s="40"/>
      <c r="D504" s="40" t="str">
        <f t="shared" si="28"/>
        <v/>
      </c>
      <c r="E504" s="44" t="s">
        <v>170</v>
      </c>
      <c r="F504" s="17" t="s">
        <v>58</v>
      </c>
      <c r="G504" s="17" t="s">
        <v>86</v>
      </c>
      <c r="H504" s="42" t="s">
        <v>740</v>
      </c>
      <c r="I504" s="17" t="str">
        <f t="shared" si="29"/>
        <v>PN-503</v>
      </c>
      <c r="J504" s="18" t="s">
        <v>85</v>
      </c>
      <c r="K504" s="19" t="e">
        <f>IF(J504="","SEM #CH",VLOOKUP(J504,#REF!,2,0))</f>
        <v>#REF!</v>
      </c>
      <c r="L504" s="19" t="e">
        <f>IF(J504="","SEM #CH",VLOOKUP(J504,#REF!,3,0))</f>
        <v>#REF!</v>
      </c>
      <c r="M504" s="19" t="e">
        <f>IF(J504="","SEM #CH",VLOOKUP(J504,#REF!,4,0))</f>
        <v>#REF!</v>
      </c>
      <c r="N504" s="19" t="e">
        <f>IF(J504="","SEM #CH",VLOOKUP(J504,#REF!,5,0))</f>
        <v>#REF!</v>
      </c>
      <c r="O504" s="19" t="e">
        <f>IF(J504="","SEM #CH",VLOOKUP(J504,#REF!,6,0))</f>
        <v>#REF!</v>
      </c>
      <c r="P504" s="19" t="e">
        <f>IF(J504="","SEM #CH",VLOOKUP(J504,#REF!,7,0))</f>
        <v>#REF!</v>
      </c>
      <c r="Q504" s="77" t="str">
        <f>VLOOKUP(J504,'p1'!$B$2:$C$30,2,0)</f>
        <v>NÃO TEM CHAPA</v>
      </c>
      <c r="R504" s="91"/>
      <c r="S504" s="91"/>
      <c r="T504" s="91" t="str">
        <f t="shared" si="30"/>
        <v/>
      </c>
      <c r="U504" s="91"/>
      <c r="V504" s="91"/>
      <c r="W504" s="93"/>
      <c r="X504" s="94" t="str">
        <f t="shared" si="31"/>
        <v/>
      </c>
      <c r="Y504"/>
    </row>
    <row r="505" spans="1:25">
      <c r="A505" s="90">
        <v>504</v>
      </c>
      <c r="B505" s="68"/>
      <c r="C505" s="40"/>
      <c r="D505" s="40" t="str">
        <f t="shared" si="28"/>
        <v/>
      </c>
      <c r="E505" s="44" t="s">
        <v>170</v>
      </c>
      <c r="F505" s="17" t="s">
        <v>58</v>
      </c>
      <c r="G505" s="17" t="s">
        <v>86</v>
      </c>
      <c r="H505" s="42" t="s">
        <v>741</v>
      </c>
      <c r="I505" s="17" t="str">
        <f t="shared" si="29"/>
        <v>PN-504</v>
      </c>
      <c r="J505" s="18" t="s">
        <v>85</v>
      </c>
      <c r="K505" s="19" t="e">
        <f>IF(J505="","SEM #CH",VLOOKUP(J505,#REF!,2,0))</f>
        <v>#REF!</v>
      </c>
      <c r="L505" s="19" t="e">
        <f>IF(J505="","SEM #CH",VLOOKUP(J505,#REF!,3,0))</f>
        <v>#REF!</v>
      </c>
      <c r="M505" s="19" t="e">
        <f>IF(J505="","SEM #CH",VLOOKUP(J505,#REF!,4,0))</f>
        <v>#REF!</v>
      </c>
      <c r="N505" s="19" t="e">
        <f>IF(J505="","SEM #CH",VLOOKUP(J505,#REF!,5,0))</f>
        <v>#REF!</v>
      </c>
      <c r="O505" s="19" t="e">
        <f>IF(J505="","SEM #CH",VLOOKUP(J505,#REF!,6,0))</f>
        <v>#REF!</v>
      </c>
      <c r="P505" s="19" t="e">
        <f>IF(J505="","SEM #CH",VLOOKUP(J505,#REF!,7,0))</f>
        <v>#REF!</v>
      </c>
      <c r="Q505" s="77" t="str">
        <f>VLOOKUP(J505,'p1'!$B$2:$C$30,2,0)</f>
        <v>NÃO TEM CHAPA</v>
      </c>
      <c r="R505" s="91"/>
      <c r="S505" s="91"/>
      <c r="T505" s="91" t="str">
        <f t="shared" si="30"/>
        <v/>
      </c>
      <c r="U505" s="91"/>
      <c r="V505" s="91"/>
      <c r="W505" s="93"/>
      <c r="X505" s="94" t="str">
        <f t="shared" si="31"/>
        <v/>
      </c>
      <c r="Y505"/>
    </row>
    <row r="506" spans="1:25">
      <c r="A506" s="90">
        <v>505</v>
      </c>
      <c r="B506" s="68"/>
      <c r="C506" s="40"/>
      <c r="D506" s="40" t="str">
        <f t="shared" si="28"/>
        <v/>
      </c>
      <c r="E506" s="44" t="s">
        <v>170</v>
      </c>
      <c r="F506" s="17" t="s">
        <v>58</v>
      </c>
      <c r="G506" s="17" t="s">
        <v>86</v>
      </c>
      <c r="H506" s="42" t="s">
        <v>742</v>
      </c>
      <c r="I506" s="17" t="str">
        <f t="shared" si="29"/>
        <v>PN-505</v>
      </c>
      <c r="J506" s="18" t="s">
        <v>85</v>
      </c>
      <c r="K506" s="19" t="e">
        <f>IF(J506="","SEM #CH",VLOOKUP(J506,#REF!,2,0))</f>
        <v>#REF!</v>
      </c>
      <c r="L506" s="19" t="e">
        <f>IF(J506="","SEM #CH",VLOOKUP(J506,#REF!,3,0))</f>
        <v>#REF!</v>
      </c>
      <c r="M506" s="19" t="e">
        <f>IF(J506="","SEM #CH",VLOOKUP(J506,#REF!,4,0))</f>
        <v>#REF!</v>
      </c>
      <c r="N506" s="19" t="e">
        <f>IF(J506="","SEM #CH",VLOOKUP(J506,#REF!,5,0))</f>
        <v>#REF!</v>
      </c>
      <c r="O506" s="19" t="e">
        <f>IF(J506="","SEM #CH",VLOOKUP(J506,#REF!,6,0))</f>
        <v>#REF!</v>
      </c>
      <c r="P506" s="19" t="e">
        <f>IF(J506="","SEM #CH",VLOOKUP(J506,#REF!,7,0))</f>
        <v>#REF!</v>
      </c>
      <c r="Q506" s="77" t="str">
        <f>VLOOKUP(J506,'p1'!$B$2:$C$30,2,0)</f>
        <v>NÃO TEM CHAPA</v>
      </c>
      <c r="R506" s="91"/>
      <c r="S506" s="91"/>
      <c r="T506" s="91" t="str">
        <f t="shared" si="30"/>
        <v/>
      </c>
      <c r="U506" s="91"/>
      <c r="V506" s="91"/>
      <c r="W506" s="93"/>
      <c r="X506" s="94" t="str">
        <f t="shared" si="31"/>
        <v/>
      </c>
      <c r="Y506"/>
    </row>
    <row r="507" spans="1:25">
      <c r="A507" s="90">
        <v>506</v>
      </c>
      <c r="B507" s="68"/>
      <c r="C507" s="40"/>
      <c r="D507" s="40" t="str">
        <f t="shared" si="28"/>
        <v/>
      </c>
      <c r="E507" s="44" t="s">
        <v>170</v>
      </c>
      <c r="F507" s="17" t="s">
        <v>58</v>
      </c>
      <c r="G507" s="17" t="s">
        <v>86</v>
      </c>
      <c r="H507" s="42" t="s">
        <v>743</v>
      </c>
      <c r="I507" s="17" t="str">
        <f t="shared" si="29"/>
        <v>PN-506</v>
      </c>
      <c r="J507" s="18" t="s">
        <v>85</v>
      </c>
      <c r="K507" s="19" t="e">
        <f>IF(J507="","SEM #CH",VLOOKUP(J507,#REF!,2,0))</f>
        <v>#REF!</v>
      </c>
      <c r="L507" s="19" t="e">
        <f>IF(J507="","SEM #CH",VLOOKUP(J507,#REF!,3,0))</f>
        <v>#REF!</v>
      </c>
      <c r="M507" s="19" t="e">
        <f>IF(J507="","SEM #CH",VLOOKUP(J507,#REF!,4,0))</f>
        <v>#REF!</v>
      </c>
      <c r="N507" s="19" t="e">
        <f>IF(J507="","SEM #CH",VLOOKUP(J507,#REF!,5,0))</f>
        <v>#REF!</v>
      </c>
      <c r="O507" s="19" t="e">
        <f>IF(J507="","SEM #CH",VLOOKUP(J507,#REF!,6,0))</f>
        <v>#REF!</v>
      </c>
      <c r="P507" s="19" t="e">
        <f>IF(J507="","SEM #CH",VLOOKUP(J507,#REF!,7,0))</f>
        <v>#REF!</v>
      </c>
      <c r="Q507" s="77" t="str">
        <f>VLOOKUP(J507,'p1'!$B$2:$C$30,2,0)</f>
        <v>NÃO TEM CHAPA</v>
      </c>
      <c r="R507" s="91"/>
      <c r="S507" s="91"/>
      <c r="T507" s="91" t="str">
        <f t="shared" si="30"/>
        <v/>
      </c>
      <c r="U507" s="91"/>
      <c r="V507" s="91"/>
      <c r="W507" s="93"/>
      <c r="X507" s="94" t="str">
        <f t="shared" si="31"/>
        <v/>
      </c>
      <c r="Y507"/>
    </row>
    <row r="508" spans="1:25">
      <c r="A508" s="90">
        <v>507</v>
      </c>
      <c r="B508" s="68"/>
      <c r="C508" s="40"/>
      <c r="D508" s="40" t="str">
        <f t="shared" si="28"/>
        <v/>
      </c>
      <c r="E508" s="44" t="s">
        <v>170</v>
      </c>
      <c r="F508" s="17" t="s">
        <v>58</v>
      </c>
      <c r="G508" s="17" t="s">
        <v>86</v>
      </c>
      <c r="H508" s="42" t="s">
        <v>744</v>
      </c>
      <c r="I508" s="17" t="str">
        <f t="shared" si="29"/>
        <v>PN-507</v>
      </c>
      <c r="J508" s="18" t="s">
        <v>85</v>
      </c>
      <c r="K508" s="19" t="e">
        <f>IF(J508="","SEM #CH",VLOOKUP(J508,#REF!,2,0))</f>
        <v>#REF!</v>
      </c>
      <c r="L508" s="19" t="e">
        <f>IF(J508="","SEM #CH",VLOOKUP(J508,#REF!,3,0))</f>
        <v>#REF!</v>
      </c>
      <c r="M508" s="19" t="e">
        <f>IF(J508="","SEM #CH",VLOOKUP(J508,#REF!,4,0))</f>
        <v>#REF!</v>
      </c>
      <c r="N508" s="19" t="e">
        <f>IF(J508="","SEM #CH",VLOOKUP(J508,#REF!,5,0))</f>
        <v>#REF!</v>
      </c>
      <c r="O508" s="19" t="e">
        <f>IF(J508="","SEM #CH",VLOOKUP(J508,#REF!,6,0))</f>
        <v>#REF!</v>
      </c>
      <c r="P508" s="19" t="e">
        <f>IF(J508="","SEM #CH",VLOOKUP(J508,#REF!,7,0))</f>
        <v>#REF!</v>
      </c>
      <c r="Q508" s="77" t="str">
        <f>VLOOKUP(J508,'p1'!$B$2:$C$30,2,0)</f>
        <v>NÃO TEM CHAPA</v>
      </c>
      <c r="R508" s="91"/>
      <c r="S508" s="91"/>
      <c r="T508" s="91" t="str">
        <f t="shared" si="30"/>
        <v/>
      </c>
      <c r="U508" s="91"/>
      <c r="V508" s="91"/>
      <c r="W508" s="93"/>
      <c r="X508" s="94" t="str">
        <f t="shared" si="31"/>
        <v/>
      </c>
      <c r="Y508"/>
    </row>
    <row r="509" spans="1:25">
      <c r="A509" s="90">
        <v>508</v>
      </c>
      <c r="B509" s="68"/>
      <c r="C509" s="40"/>
      <c r="D509" s="40" t="str">
        <f t="shared" si="28"/>
        <v/>
      </c>
      <c r="E509" s="44" t="s">
        <v>170</v>
      </c>
      <c r="F509" s="17" t="s">
        <v>60</v>
      </c>
      <c r="G509" s="17" t="s">
        <v>86</v>
      </c>
      <c r="H509" s="42" t="s">
        <v>745</v>
      </c>
      <c r="I509" s="17" t="str">
        <f t="shared" si="29"/>
        <v>PE-508</v>
      </c>
      <c r="J509" s="18" t="s">
        <v>90</v>
      </c>
      <c r="K509" s="19" t="e">
        <f>IF(J509="","SEM #CH",VLOOKUP(J509,#REF!,2,0))</f>
        <v>#REF!</v>
      </c>
      <c r="L509" s="19" t="e">
        <f>IF(J509="","SEM #CH",VLOOKUP(J509,#REF!,3,0))</f>
        <v>#REF!</v>
      </c>
      <c r="M509" s="19" t="e">
        <f>IF(J509="","SEM #CH",VLOOKUP(J509,#REF!,4,0))</f>
        <v>#REF!</v>
      </c>
      <c r="N509" s="19" t="e">
        <f>IF(J509="","SEM #CH",VLOOKUP(J509,#REF!,5,0))</f>
        <v>#REF!</v>
      </c>
      <c r="O509" s="19" t="e">
        <f>IF(J509="","SEM #CH",VLOOKUP(J509,#REF!,6,0))</f>
        <v>#REF!</v>
      </c>
      <c r="P509" s="19" t="e">
        <f>IF(J509="","SEM #CH",VLOOKUP(J509,#REF!,7,0))</f>
        <v>#REF!</v>
      </c>
      <c r="Q509" s="77" t="str">
        <f>VLOOKUP(J509,'p1'!$B$2:$C$30,2,0)</f>
        <v>#3/8-530X530</v>
      </c>
      <c r="R509" s="91"/>
      <c r="S509" s="91"/>
      <c r="T509" s="91" t="str">
        <f t="shared" si="30"/>
        <v/>
      </c>
      <c r="U509" s="91"/>
      <c r="V509" s="91"/>
      <c r="W509" s="93"/>
      <c r="X509" s="94" t="str">
        <f t="shared" si="31"/>
        <v/>
      </c>
      <c r="Y509"/>
    </row>
    <row r="510" spans="1:25">
      <c r="A510" s="90">
        <v>509</v>
      </c>
      <c r="B510" s="68"/>
      <c r="C510" s="40"/>
      <c r="D510" s="40" t="str">
        <f t="shared" si="28"/>
        <v/>
      </c>
      <c r="E510" s="44" t="s">
        <v>170</v>
      </c>
      <c r="F510" s="17" t="s">
        <v>58</v>
      </c>
      <c r="G510" s="17" t="s">
        <v>86</v>
      </c>
      <c r="H510" s="42" t="s">
        <v>746</v>
      </c>
      <c r="I510" s="17" t="str">
        <f t="shared" si="29"/>
        <v>PN-509</v>
      </c>
      <c r="J510" s="18" t="s">
        <v>85</v>
      </c>
      <c r="K510" s="19" t="e">
        <f>IF(J510="","SEM #CH",VLOOKUP(J510,#REF!,2,0))</f>
        <v>#REF!</v>
      </c>
      <c r="L510" s="19" t="e">
        <f>IF(J510="","SEM #CH",VLOOKUP(J510,#REF!,3,0))</f>
        <v>#REF!</v>
      </c>
      <c r="M510" s="19" t="e">
        <f>IF(J510="","SEM #CH",VLOOKUP(J510,#REF!,4,0))</f>
        <v>#REF!</v>
      </c>
      <c r="N510" s="19" t="e">
        <f>IF(J510="","SEM #CH",VLOOKUP(J510,#REF!,5,0))</f>
        <v>#REF!</v>
      </c>
      <c r="O510" s="19" t="e">
        <f>IF(J510="","SEM #CH",VLOOKUP(J510,#REF!,6,0))</f>
        <v>#REF!</v>
      </c>
      <c r="P510" s="19" t="e">
        <f>IF(J510="","SEM #CH",VLOOKUP(J510,#REF!,7,0))</f>
        <v>#REF!</v>
      </c>
      <c r="Q510" s="77" t="str">
        <f>VLOOKUP(J510,'p1'!$B$2:$C$30,2,0)</f>
        <v>NÃO TEM CHAPA</v>
      </c>
      <c r="R510" s="91"/>
      <c r="S510" s="91"/>
      <c r="T510" s="91" t="str">
        <f t="shared" si="30"/>
        <v/>
      </c>
      <c r="U510" s="91"/>
      <c r="V510" s="91"/>
      <c r="W510" s="93"/>
      <c r="X510" s="94" t="str">
        <f t="shared" si="31"/>
        <v/>
      </c>
      <c r="Y510"/>
    </row>
    <row r="511" spans="1:25">
      <c r="A511" s="90">
        <v>510</v>
      </c>
      <c r="B511" s="68"/>
      <c r="C511" s="40"/>
      <c r="D511" s="40" t="str">
        <f t="shared" si="28"/>
        <v/>
      </c>
      <c r="E511" s="44" t="s">
        <v>170</v>
      </c>
      <c r="F511" s="17" t="s">
        <v>58</v>
      </c>
      <c r="G511" s="17" t="s">
        <v>86</v>
      </c>
      <c r="H511" s="42" t="s">
        <v>747</v>
      </c>
      <c r="I511" s="17" t="str">
        <f t="shared" si="29"/>
        <v>PN-510</v>
      </c>
      <c r="J511" s="18" t="s">
        <v>85</v>
      </c>
      <c r="K511" s="19" t="e">
        <f>IF(J511="","SEM #CH",VLOOKUP(J511,#REF!,2,0))</f>
        <v>#REF!</v>
      </c>
      <c r="L511" s="19" t="e">
        <f>IF(J511="","SEM #CH",VLOOKUP(J511,#REF!,3,0))</f>
        <v>#REF!</v>
      </c>
      <c r="M511" s="19" t="e">
        <f>IF(J511="","SEM #CH",VLOOKUP(J511,#REF!,4,0))</f>
        <v>#REF!</v>
      </c>
      <c r="N511" s="19" t="e">
        <f>IF(J511="","SEM #CH",VLOOKUP(J511,#REF!,5,0))</f>
        <v>#REF!</v>
      </c>
      <c r="O511" s="19" t="e">
        <f>IF(J511="","SEM #CH",VLOOKUP(J511,#REF!,6,0))</f>
        <v>#REF!</v>
      </c>
      <c r="P511" s="19" t="e">
        <f>IF(J511="","SEM #CH",VLOOKUP(J511,#REF!,7,0))</f>
        <v>#REF!</v>
      </c>
      <c r="Q511" s="77" t="str">
        <f>VLOOKUP(J511,'p1'!$B$2:$C$30,2,0)</f>
        <v>NÃO TEM CHAPA</v>
      </c>
      <c r="R511" s="91"/>
      <c r="S511" s="91"/>
      <c r="T511" s="91" t="str">
        <f t="shared" si="30"/>
        <v/>
      </c>
      <c r="U511" s="91"/>
      <c r="V511" s="91"/>
      <c r="W511" s="93"/>
      <c r="X511" s="94" t="str">
        <f t="shared" si="31"/>
        <v/>
      </c>
      <c r="Y511"/>
    </row>
    <row r="512" spans="1:25">
      <c r="A512" s="90">
        <v>511</v>
      </c>
      <c r="B512" s="68"/>
      <c r="C512" s="40"/>
      <c r="D512" s="40" t="str">
        <f t="shared" si="28"/>
        <v/>
      </c>
      <c r="E512" s="44" t="s">
        <v>170</v>
      </c>
      <c r="F512" s="17" t="s">
        <v>58</v>
      </c>
      <c r="G512" s="17" t="s">
        <v>86</v>
      </c>
      <c r="H512" s="42" t="s">
        <v>748</v>
      </c>
      <c r="I512" s="17" t="str">
        <f t="shared" si="29"/>
        <v>PN-511</v>
      </c>
      <c r="J512" s="18" t="s">
        <v>85</v>
      </c>
      <c r="K512" s="19" t="e">
        <f>IF(J512="","SEM #CH",VLOOKUP(J512,#REF!,2,0))</f>
        <v>#REF!</v>
      </c>
      <c r="L512" s="19" t="e">
        <f>IF(J512="","SEM #CH",VLOOKUP(J512,#REF!,3,0))</f>
        <v>#REF!</v>
      </c>
      <c r="M512" s="19" t="e">
        <f>IF(J512="","SEM #CH",VLOOKUP(J512,#REF!,4,0))</f>
        <v>#REF!</v>
      </c>
      <c r="N512" s="19" t="e">
        <f>IF(J512="","SEM #CH",VLOOKUP(J512,#REF!,5,0))</f>
        <v>#REF!</v>
      </c>
      <c r="O512" s="19" t="e">
        <f>IF(J512="","SEM #CH",VLOOKUP(J512,#REF!,6,0))</f>
        <v>#REF!</v>
      </c>
      <c r="P512" s="19" t="e">
        <f>IF(J512="","SEM #CH",VLOOKUP(J512,#REF!,7,0))</f>
        <v>#REF!</v>
      </c>
      <c r="Q512" s="77" t="str">
        <f>VLOOKUP(J512,'p1'!$B$2:$C$30,2,0)</f>
        <v>NÃO TEM CHAPA</v>
      </c>
      <c r="R512" s="91"/>
      <c r="S512" s="91"/>
      <c r="T512" s="91" t="str">
        <f t="shared" si="30"/>
        <v/>
      </c>
      <c r="U512" s="91"/>
      <c r="V512" s="91"/>
      <c r="W512" s="93"/>
      <c r="X512" s="94" t="str">
        <f t="shared" si="31"/>
        <v/>
      </c>
      <c r="Y512"/>
    </row>
    <row r="513" spans="1:25">
      <c r="A513" s="90">
        <v>512</v>
      </c>
      <c r="B513" s="68"/>
      <c r="C513" s="40"/>
      <c r="D513" s="40" t="str">
        <f t="shared" si="28"/>
        <v/>
      </c>
      <c r="E513" s="44" t="s">
        <v>170</v>
      </c>
      <c r="F513" s="17" t="s">
        <v>58</v>
      </c>
      <c r="G513" s="17" t="s">
        <v>86</v>
      </c>
      <c r="H513" s="42" t="s">
        <v>749</v>
      </c>
      <c r="I513" s="17" t="str">
        <f t="shared" si="29"/>
        <v>PN-512</v>
      </c>
      <c r="J513" s="18" t="s">
        <v>85</v>
      </c>
      <c r="K513" s="19" t="e">
        <f>IF(J513="","SEM #CH",VLOOKUP(J513,#REF!,2,0))</f>
        <v>#REF!</v>
      </c>
      <c r="L513" s="19" t="e">
        <f>IF(J513="","SEM #CH",VLOOKUP(J513,#REF!,3,0))</f>
        <v>#REF!</v>
      </c>
      <c r="M513" s="19" t="e">
        <f>IF(J513="","SEM #CH",VLOOKUP(J513,#REF!,4,0))</f>
        <v>#REF!</v>
      </c>
      <c r="N513" s="19" t="e">
        <f>IF(J513="","SEM #CH",VLOOKUP(J513,#REF!,5,0))</f>
        <v>#REF!</v>
      </c>
      <c r="O513" s="19" t="e">
        <f>IF(J513="","SEM #CH",VLOOKUP(J513,#REF!,6,0))</f>
        <v>#REF!</v>
      </c>
      <c r="P513" s="19" t="e">
        <f>IF(J513="","SEM #CH",VLOOKUP(J513,#REF!,7,0))</f>
        <v>#REF!</v>
      </c>
      <c r="Q513" s="77" t="str">
        <f>VLOOKUP(J513,'p1'!$B$2:$C$30,2,0)</f>
        <v>NÃO TEM CHAPA</v>
      </c>
      <c r="R513" s="91"/>
      <c r="S513" s="91"/>
      <c r="T513" s="91" t="str">
        <f t="shared" si="30"/>
        <v/>
      </c>
      <c r="U513" s="91"/>
      <c r="V513" s="91"/>
      <c r="W513" s="93"/>
      <c r="X513" s="94" t="str">
        <f t="shared" si="31"/>
        <v/>
      </c>
      <c r="Y513"/>
    </row>
    <row r="514" spans="1:25">
      <c r="A514" s="90">
        <v>513</v>
      </c>
      <c r="B514" s="68"/>
      <c r="C514" s="40"/>
      <c r="D514" s="40" t="str">
        <f t="shared" ref="D514:D577" si="32">IF(B514&gt;0,1,"")</f>
        <v/>
      </c>
      <c r="E514" s="44" t="s">
        <v>170</v>
      </c>
      <c r="F514" s="17" t="s">
        <v>58</v>
      </c>
      <c r="G514" s="17" t="s">
        <v>86</v>
      </c>
      <c r="H514" s="42" t="s">
        <v>750</v>
      </c>
      <c r="I514" s="17" t="str">
        <f t="shared" ref="I514:I577" si="33">_xlfn.CONCAT(F514,G514,H514)</f>
        <v>PN-513</v>
      </c>
      <c r="J514" s="18" t="s">
        <v>85</v>
      </c>
      <c r="K514" s="19" t="e">
        <f>IF(J514="","SEM #CH",VLOOKUP(J514,#REF!,2,0))</f>
        <v>#REF!</v>
      </c>
      <c r="L514" s="19" t="e">
        <f>IF(J514="","SEM #CH",VLOOKUP(J514,#REF!,3,0))</f>
        <v>#REF!</v>
      </c>
      <c r="M514" s="19" t="e">
        <f>IF(J514="","SEM #CH",VLOOKUP(J514,#REF!,4,0))</f>
        <v>#REF!</v>
      </c>
      <c r="N514" s="19" t="e">
        <f>IF(J514="","SEM #CH",VLOOKUP(J514,#REF!,5,0))</f>
        <v>#REF!</v>
      </c>
      <c r="O514" s="19" t="e">
        <f>IF(J514="","SEM #CH",VLOOKUP(J514,#REF!,6,0))</f>
        <v>#REF!</v>
      </c>
      <c r="P514" s="19" t="e">
        <f>IF(J514="","SEM #CH",VLOOKUP(J514,#REF!,7,0))</f>
        <v>#REF!</v>
      </c>
      <c r="Q514" s="77" t="str">
        <f>VLOOKUP(J514,'p1'!$B$2:$C$30,2,0)</f>
        <v>NÃO TEM CHAPA</v>
      </c>
      <c r="R514" s="91"/>
      <c r="S514" s="91"/>
      <c r="T514" s="91" t="str">
        <f t="shared" ref="T514:T577" si="34">IF(R514=0,"",1)</f>
        <v/>
      </c>
      <c r="U514" s="91"/>
      <c r="V514" s="91"/>
      <c r="W514" s="93"/>
      <c r="X514" s="94" t="str">
        <f t="shared" ref="X514:X577" si="35">IF(U514&gt;0,1,"")</f>
        <v/>
      </c>
      <c r="Y514"/>
    </row>
    <row r="515" spans="1:25">
      <c r="A515" s="90">
        <v>514</v>
      </c>
      <c r="B515" s="68"/>
      <c r="C515" s="40"/>
      <c r="D515" s="40" t="str">
        <f t="shared" si="32"/>
        <v/>
      </c>
      <c r="E515" s="44" t="s">
        <v>170</v>
      </c>
      <c r="F515" s="17" t="s">
        <v>58</v>
      </c>
      <c r="G515" s="17" t="s">
        <v>86</v>
      </c>
      <c r="H515" s="42" t="s">
        <v>751</v>
      </c>
      <c r="I515" s="17" t="str">
        <f t="shared" si="33"/>
        <v>PN-514</v>
      </c>
      <c r="J515" s="18" t="s">
        <v>85</v>
      </c>
      <c r="K515" s="19" t="e">
        <f>IF(J515="","SEM #CH",VLOOKUP(J515,#REF!,2,0))</f>
        <v>#REF!</v>
      </c>
      <c r="L515" s="19" t="e">
        <f>IF(J515="","SEM #CH",VLOOKUP(J515,#REF!,3,0))</f>
        <v>#REF!</v>
      </c>
      <c r="M515" s="19" t="e">
        <f>IF(J515="","SEM #CH",VLOOKUP(J515,#REF!,4,0))</f>
        <v>#REF!</v>
      </c>
      <c r="N515" s="19" t="e">
        <f>IF(J515="","SEM #CH",VLOOKUP(J515,#REF!,5,0))</f>
        <v>#REF!</v>
      </c>
      <c r="O515" s="19" t="e">
        <f>IF(J515="","SEM #CH",VLOOKUP(J515,#REF!,6,0))</f>
        <v>#REF!</v>
      </c>
      <c r="P515" s="19" t="e">
        <f>IF(J515="","SEM #CH",VLOOKUP(J515,#REF!,7,0))</f>
        <v>#REF!</v>
      </c>
      <c r="Q515" s="77" t="str">
        <f>VLOOKUP(J515,'p1'!$B$2:$C$30,2,0)</f>
        <v>NÃO TEM CHAPA</v>
      </c>
      <c r="R515" s="91"/>
      <c r="S515" s="91"/>
      <c r="T515" s="91" t="str">
        <f t="shared" si="34"/>
        <v/>
      </c>
      <c r="U515" s="91"/>
      <c r="V515" s="91"/>
      <c r="W515" s="93"/>
      <c r="X515" s="94" t="str">
        <f t="shared" si="35"/>
        <v/>
      </c>
      <c r="Y515"/>
    </row>
    <row r="516" spans="1:25">
      <c r="A516" s="90">
        <v>515</v>
      </c>
      <c r="B516" s="68"/>
      <c r="C516" s="40"/>
      <c r="D516" s="40" t="str">
        <f t="shared" si="32"/>
        <v/>
      </c>
      <c r="E516" s="44" t="s">
        <v>170</v>
      </c>
      <c r="F516" s="17" t="s">
        <v>58</v>
      </c>
      <c r="G516" s="17" t="s">
        <v>86</v>
      </c>
      <c r="H516" s="42" t="s">
        <v>752</v>
      </c>
      <c r="I516" s="17" t="str">
        <f t="shared" si="33"/>
        <v>PN-515</v>
      </c>
      <c r="J516" s="18" t="s">
        <v>85</v>
      </c>
      <c r="K516" s="19" t="e">
        <f>IF(J516="","SEM #CH",VLOOKUP(J516,#REF!,2,0))</f>
        <v>#REF!</v>
      </c>
      <c r="L516" s="19" t="e">
        <f>IF(J516="","SEM #CH",VLOOKUP(J516,#REF!,3,0))</f>
        <v>#REF!</v>
      </c>
      <c r="M516" s="19" t="e">
        <f>IF(J516="","SEM #CH",VLOOKUP(J516,#REF!,4,0))</f>
        <v>#REF!</v>
      </c>
      <c r="N516" s="19" t="e">
        <f>IF(J516="","SEM #CH",VLOOKUP(J516,#REF!,5,0))</f>
        <v>#REF!</v>
      </c>
      <c r="O516" s="19" t="e">
        <f>IF(J516="","SEM #CH",VLOOKUP(J516,#REF!,6,0))</f>
        <v>#REF!</v>
      </c>
      <c r="P516" s="19" t="e">
        <f>IF(J516="","SEM #CH",VLOOKUP(J516,#REF!,7,0))</f>
        <v>#REF!</v>
      </c>
      <c r="Q516" s="77" t="str">
        <f>VLOOKUP(J516,'p1'!$B$2:$C$30,2,0)</f>
        <v>NÃO TEM CHAPA</v>
      </c>
      <c r="R516" s="91"/>
      <c r="S516" s="91"/>
      <c r="T516" s="91" t="str">
        <f t="shared" si="34"/>
        <v/>
      </c>
      <c r="U516" s="91"/>
      <c r="V516" s="91"/>
      <c r="W516" s="93"/>
      <c r="X516" s="94" t="str">
        <f t="shared" si="35"/>
        <v/>
      </c>
      <c r="Y516"/>
    </row>
    <row r="517" spans="1:25">
      <c r="A517" s="90">
        <v>516</v>
      </c>
      <c r="B517" s="68"/>
      <c r="C517" s="40"/>
      <c r="D517" s="40" t="str">
        <f t="shared" si="32"/>
        <v/>
      </c>
      <c r="E517" s="44" t="s">
        <v>170</v>
      </c>
      <c r="F517" s="17" t="s">
        <v>58</v>
      </c>
      <c r="G517" s="17" t="s">
        <v>86</v>
      </c>
      <c r="H517" s="42" t="s">
        <v>753</v>
      </c>
      <c r="I517" s="17" t="str">
        <f t="shared" si="33"/>
        <v>PN-516</v>
      </c>
      <c r="J517" s="18" t="s">
        <v>85</v>
      </c>
      <c r="K517" s="19" t="e">
        <f>IF(J517="","SEM #CH",VLOOKUP(J517,#REF!,2,0))</f>
        <v>#REF!</v>
      </c>
      <c r="L517" s="19" t="e">
        <f>IF(J517="","SEM #CH",VLOOKUP(J517,#REF!,3,0))</f>
        <v>#REF!</v>
      </c>
      <c r="M517" s="19" t="e">
        <f>IF(J517="","SEM #CH",VLOOKUP(J517,#REF!,4,0))</f>
        <v>#REF!</v>
      </c>
      <c r="N517" s="19" t="e">
        <f>IF(J517="","SEM #CH",VLOOKUP(J517,#REF!,5,0))</f>
        <v>#REF!</v>
      </c>
      <c r="O517" s="19" t="e">
        <f>IF(J517="","SEM #CH",VLOOKUP(J517,#REF!,6,0))</f>
        <v>#REF!</v>
      </c>
      <c r="P517" s="19" t="e">
        <f>IF(J517="","SEM #CH",VLOOKUP(J517,#REF!,7,0))</f>
        <v>#REF!</v>
      </c>
      <c r="Q517" s="77" t="str">
        <f>VLOOKUP(J517,'p1'!$B$2:$C$30,2,0)</f>
        <v>NÃO TEM CHAPA</v>
      </c>
      <c r="R517" s="91"/>
      <c r="S517" s="91"/>
      <c r="T517" s="91" t="str">
        <f t="shared" si="34"/>
        <v/>
      </c>
      <c r="U517" s="91"/>
      <c r="V517" s="91"/>
      <c r="W517" s="93"/>
      <c r="X517" s="94" t="str">
        <f t="shared" si="35"/>
        <v/>
      </c>
      <c r="Y517"/>
    </row>
    <row r="518" spans="1:25">
      <c r="A518" s="90">
        <v>517</v>
      </c>
      <c r="B518" s="68"/>
      <c r="C518" s="40"/>
      <c r="D518" s="40" t="str">
        <f t="shared" si="32"/>
        <v/>
      </c>
      <c r="E518" s="44" t="s">
        <v>170</v>
      </c>
      <c r="F518" s="17" t="s">
        <v>58</v>
      </c>
      <c r="G518" s="17" t="s">
        <v>86</v>
      </c>
      <c r="H518" s="42" t="s">
        <v>754</v>
      </c>
      <c r="I518" s="17" t="str">
        <f t="shared" si="33"/>
        <v>PN-517</v>
      </c>
      <c r="J518" s="18" t="s">
        <v>85</v>
      </c>
      <c r="K518" s="19" t="e">
        <f>IF(J518="","SEM #CH",VLOOKUP(J518,#REF!,2,0))</f>
        <v>#REF!</v>
      </c>
      <c r="L518" s="19" t="e">
        <f>IF(J518="","SEM #CH",VLOOKUP(J518,#REF!,3,0))</f>
        <v>#REF!</v>
      </c>
      <c r="M518" s="19" t="e">
        <f>IF(J518="","SEM #CH",VLOOKUP(J518,#REF!,4,0))</f>
        <v>#REF!</v>
      </c>
      <c r="N518" s="19" t="e">
        <f>IF(J518="","SEM #CH",VLOOKUP(J518,#REF!,5,0))</f>
        <v>#REF!</v>
      </c>
      <c r="O518" s="19" t="e">
        <f>IF(J518="","SEM #CH",VLOOKUP(J518,#REF!,6,0))</f>
        <v>#REF!</v>
      </c>
      <c r="P518" s="19" t="e">
        <f>IF(J518="","SEM #CH",VLOOKUP(J518,#REF!,7,0))</f>
        <v>#REF!</v>
      </c>
      <c r="Q518" s="77" t="str">
        <f>VLOOKUP(J518,'p1'!$B$2:$C$30,2,0)</f>
        <v>NÃO TEM CHAPA</v>
      </c>
      <c r="R518" s="91"/>
      <c r="S518" s="91"/>
      <c r="T518" s="91" t="str">
        <f t="shared" si="34"/>
        <v/>
      </c>
      <c r="U518" s="91"/>
      <c r="V518" s="91"/>
      <c r="W518" s="93"/>
      <c r="X518" s="94" t="str">
        <f t="shared" si="35"/>
        <v/>
      </c>
      <c r="Y518"/>
    </row>
    <row r="519" spans="1:25">
      <c r="A519" s="90">
        <v>518</v>
      </c>
      <c r="B519" s="68"/>
      <c r="C519" s="40"/>
      <c r="D519" s="40" t="str">
        <f t="shared" si="32"/>
        <v/>
      </c>
      <c r="E519" s="44" t="s">
        <v>170</v>
      </c>
      <c r="F519" s="17" t="s">
        <v>58</v>
      </c>
      <c r="G519" s="17" t="s">
        <v>86</v>
      </c>
      <c r="H519" s="42" t="s">
        <v>755</v>
      </c>
      <c r="I519" s="17" t="str">
        <f t="shared" si="33"/>
        <v>PN-518</v>
      </c>
      <c r="J519" s="18" t="s">
        <v>85</v>
      </c>
      <c r="K519" s="19" t="e">
        <f>IF(J519="","SEM #CH",VLOOKUP(J519,#REF!,2,0))</f>
        <v>#REF!</v>
      </c>
      <c r="L519" s="19" t="e">
        <f>IF(J519="","SEM #CH",VLOOKUP(J519,#REF!,3,0))</f>
        <v>#REF!</v>
      </c>
      <c r="M519" s="19" t="e">
        <f>IF(J519="","SEM #CH",VLOOKUP(J519,#REF!,4,0))</f>
        <v>#REF!</v>
      </c>
      <c r="N519" s="19" t="e">
        <f>IF(J519="","SEM #CH",VLOOKUP(J519,#REF!,5,0))</f>
        <v>#REF!</v>
      </c>
      <c r="O519" s="19" t="e">
        <f>IF(J519="","SEM #CH",VLOOKUP(J519,#REF!,6,0))</f>
        <v>#REF!</v>
      </c>
      <c r="P519" s="19" t="e">
        <f>IF(J519="","SEM #CH",VLOOKUP(J519,#REF!,7,0))</f>
        <v>#REF!</v>
      </c>
      <c r="Q519" s="77" t="str">
        <f>VLOOKUP(J519,'p1'!$B$2:$C$30,2,0)</f>
        <v>NÃO TEM CHAPA</v>
      </c>
      <c r="R519" s="91"/>
      <c r="S519" s="91"/>
      <c r="T519" s="91" t="str">
        <f t="shared" si="34"/>
        <v/>
      </c>
      <c r="U519" s="91"/>
      <c r="V519" s="91"/>
      <c r="W519" s="93"/>
      <c r="X519" s="94" t="str">
        <f t="shared" si="35"/>
        <v/>
      </c>
      <c r="Y519"/>
    </row>
    <row r="520" spans="1:25">
      <c r="A520" s="90">
        <v>519</v>
      </c>
      <c r="B520" s="68"/>
      <c r="C520" s="40"/>
      <c r="D520" s="40" t="str">
        <f t="shared" si="32"/>
        <v/>
      </c>
      <c r="E520" s="44" t="s">
        <v>170</v>
      </c>
      <c r="F520" s="17" t="s">
        <v>58</v>
      </c>
      <c r="G520" s="17" t="s">
        <v>86</v>
      </c>
      <c r="H520" s="42" t="s">
        <v>756</v>
      </c>
      <c r="I520" s="17" t="str">
        <f t="shared" si="33"/>
        <v>PN-519</v>
      </c>
      <c r="J520" s="18" t="s">
        <v>85</v>
      </c>
      <c r="K520" s="19" t="e">
        <f>IF(J520="","SEM #CH",VLOOKUP(J520,#REF!,2,0))</f>
        <v>#REF!</v>
      </c>
      <c r="L520" s="19" t="e">
        <f>IF(J520="","SEM #CH",VLOOKUP(J520,#REF!,3,0))</f>
        <v>#REF!</v>
      </c>
      <c r="M520" s="19" t="e">
        <f>IF(J520="","SEM #CH",VLOOKUP(J520,#REF!,4,0))</f>
        <v>#REF!</v>
      </c>
      <c r="N520" s="19" t="e">
        <f>IF(J520="","SEM #CH",VLOOKUP(J520,#REF!,5,0))</f>
        <v>#REF!</v>
      </c>
      <c r="O520" s="19" t="e">
        <f>IF(J520="","SEM #CH",VLOOKUP(J520,#REF!,6,0))</f>
        <v>#REF!</v>
      </c>
      <c r="P520" s="19" t="e">
        <f>IF(J520="","SEM #CH",VLOOKUP(J520,#REF!,7,0))</f>
        <v>#REF!</v>
      </c>
      <c r="Q520" s="77" t="str">
        <f>VLOOKUP(J520,'p1'!$B$2:$C$30,2,0)</f>
        <v>NÃO TEM CHAPA</v>
      </c>
      <c r="R520" s="91"/>
      <c r="S520" s="91"/>
      <c r="T520" s="91" t="str">
        <f t="shared" si="34"/>
        <v/>
      </c>
      <c r="U520" s="91"/>
      <c r="V520" s="91"/>
      <c r="W520" s="93"/>
      <c r="X520" s="94" t="str">
        <f t="shared" si="35"/>
        <v/>
      </c>
      <c r="Y520"/>
    </row>
    <row r="521" spans="1:25">
      <c r="A521" s="90">
        <v>520</v>
      </c>
      <c r="B521" s="68"/>
      <c r="C521" s="40"/>
      <c r="D521" s="40" t="str">
        <f t="shared" si="32"/>
        <v/>
      </c>
      <c r="E521" s="44" t="s">
        <v>170</v>
      </c>
      <c r="F521" s="17" t="s">
        <v>58</v>
      </c>
      <c r="G521" s="17" t="s">
        <v>86</v>
      </c>
      <c r="H521" s="42" t="s">
        <v>757</v>
      </c>
      <c r="I521" s="17" t="str">
        <f t="shared" si="33"/>
        <v>PN-520</v>
      </c>
      <c r="J521" s="18" t="s">
        <v>85</v>
      </c>
      <c r="K521" s="19" t="e">
        <f>IF(J521="","SEM #CH",VLOOKUP(J521,#REF!,2,0))</f>
        <v>#REF!</v>
      </c>
      <c r="L521" s="19" t="e">
        <f>IF(J521="","SEM #CH",VLOOKUP(J521,#REF!,3,0))</f>
        <v>#REF!</v>
      </c>
      <c r="M521" s="19" t="e">
        <f>IF(J521="","SEM #CH",VLOOKUP(J521,#REF!,4,0))</f>
        <v>#REF!</v>
      </c>
      <c r="N521" s="19" t="e">
        <f>IF(J521="","SEM #CH",VLOOKUP(J521,#REF!,5,0))</f>
        <v>#REF!</v>
      </c>
      <c r="O521" s="19" t="e">
        <f>IF(J521="","SEM #CH",VLOOKUP(J521,#REF!,6,0))</f>
        <v>#REF!</v>
      </c>
      <c r="P521" s="19" t="e">
        <f>IF(J521="","SEM #CH",VLOOKUP(J521,#REF!,7,0))</f>
        <v>#REF!</v>
      </c>
      <c r="Q521" s="77" t="str">
        <f>VLOOKUP(J521,'p1'!$B$2:$C$30,2,0)</f>
        <v>NÃO TEM CHAPA</v>
      </c>
      <c r="R521" s="91"/>
      <c r="S521" s="91"/>
      <c r="T521" s="91" t="str">
        <f t="shared" si="34"/>
        <v/>
      </c>
      <c r="U521" s="91"/>
      <c r="V521" s="91"/>
      <c r="W521" s="93"/>
      <c r="X521" s="94" t="str">
        <f t="shared" si="35"/>
        <v/>
      </c>
      <c r="Y521"/>
    </row>
    <row r="522" spans="1:25">
      <c r="A522" s="90">
        <v>521</v>
      </c>
      <c r="B522" s="68"/>
      <c r="C522" s="40"/>
      <c r="D522" s="40" t="str">
        <f t="shared" si="32"/>
        <v/>
      </c>
      <c r="E522" s="44" t="s">
        <v>170</v>
      </c>
      <c r="F522" s="17" t="s">
        <v>58</v>
      </c>
      <c r="G522" s="17" t="s">
        <v>86</v>
      </c>
      <c r="H522" s="42" t="s">
        <v>758</v>
      </c>
      <c r="I522" s="17" t="str">
        <f t="shared" si="33"/>
        <v>PN-521</v>
      </c>
      <c r="J522" s="18" t="s">
        <v>85</v>
      </c>
      <c r="K522" s="19" t="e">
        <f>IF(J522="","SEM #CH",VLOOKUP(J522,#REF!,2,0))</f>
        <v>#REF!</v>
      </c>
      <c r="L522" s="19" t="e">
        <f>IF(J522="","SEM #CH",VLOOKUP(J522,#REF!,3,0))</f>
        <v>#REF!</v>
      </c>
      <c r="M522" s="19" t="e">
        <f>IF(J522="","SEM #CH",VLOOKUP(J522,#REF!,4,0))</f>
        <v>#REF!</v>
      </c>
      <c r="N522" s="19" t="e">
        <f>IF(J522="","SEM #CH",VLOOKUP(J522,#REF!,5,0))</f>
        <v>#REF!</v>
      </c>
      <c r="O522" s="19" t="e">
        <f>IF(J522="","SEM #CH",VLOOKUP(J522,#REF!,6,0))</f>
        <v>#REF!</v>
      </c>
      <c r="P522" s="19" t="e">
        <f>IF(J522="","SEM #CH",VLOOKUP(J522,#REF!,7,0))</f>
        <v>#REF!</v>
      </c>
      <c r="Q522" s="77" t="str">
        <f>VLOOKUP(J522,'p1'!$B$2:$C$30,2,0)</f>
        <v>NÃO TEM CHAPA</v>
      </c>
      <c r="R522" s="91"/>
      <c r="S522" s="91"/>
      <c r="T522" s="91" t="str">
        <f t="shared" si="34"/>
        <v/>
      </c>
      <c r="U522" s="91"/>
      <c r="V522" s="91"/>
      <c r="W522" s="93"/>
      <c r="X522" s="94" t="str">
        <f t="shared" si="35"/>
        <v/>
      </c>
      <c r="Y522"/>
    </row>
    <row r="523" spans="1:25">
      <c r="A523" s="90">
        <v>522</v>
      </c>
      <c r="B523" s="68"/>
      <c r="C523" s="40"/>
      <c r="D523" s="40" t="str">
        <f t="shared" si="32"/>
        <v/>
      </c>
      <c r="E523" s="44" t="s">
        <v>170</v>
      </c>
      <c r="F523" s="17" t="s">
        <v>60</v>
      </c>
      <c r="G523" s="17" t="s">
        <v>86</v>
      </c>
      <c r="H523" s="42" t="s">
        <v>759</v>
      </c>
      <c r="I523" s="17" t="str">
        <f t="shared" si="33"/>
        <v>PE-522</v>
      </c>
      <c r="J523" s="18" t="s">
        <v>90</v>
      </c>
      <c r="K523" s="19" t="e">
        <f>IF(J523="","SEM #CH",VLOOKUP(J523,#REF!,2,0))</f>
        <v>#REF!</v>
      </c>
      <c r="L523" s="19" t="e">
        <f>IF(J523="","SEM #CH",VLOOKUP(J523,#REF!,3,0))</f>
        <v>#REF!</v>
      </c>
      <c r="M523" s="19" t="e">
        <f>IF(J523="","SEM #CH",VLOOKUP(J523,#REF!,4,0))</f>
        <v>#REF!</v>
      </c>
      <c r="N523" s="19" t="e">
        <f>IF(J523="","SEM #CH",VLOOKUP(J523,#REF!,5,0))</f>
        <v>#REF!</v>
      </c>
      <c r="O523" s="19" t="e">
        <f>IF(J523="","SEM #CH",VLOOKUP(J523,#REF!,6,0))</f>
        <v>#REF!</v>
      </c>
      <c r="P523" s="19" t="e">
        <f>IF(J523="","SEM #CH",VLOOKUP(J523,#REF!,7,0))</f>
        <v>#REF!</v>
      </c>
      <c r="Q523" s="77" t="str">
        <f>VLOOKUP(J523,'p1'!$B$2:$C$30,2,0)</f>
        <v>#3/8-530X530</v>
      </c>
      <c r="R523" s="91"/>
      <c r="S523" s="91"/>
      <c r="T523" s="91" t="str">
        <f t="shared" si="34"/>
        <v/>
      </c>
      <c r="U523" s="91"/>
      <c r="V523" s="91"/>
      <c r="W523" s="93"/>
      <c r="X523" s="94" t="str">
        <f t="shared" si="35"/>
        <v/>
      </c>
      <c r="Y523"/>
    </row>
    <row r="524" spans="1:25">
      <c r="A524" s="90">
        <v>523</v>
      </c>
      <c r="B524" s="68"/>
      <c r="C524" s="40"/>
      <c r="D524" s="40" t="str">
        <f t="shared" si="32"/>
        <v/>
      </c>
      <c r="E524" s="44" t="s">
        <v>170</v>
      </c>
      <c r="F524" s="17" t="s">
        <v>60</v>
      </c>
      <c r="G524" s="17" t="s">
        <v>86</v>
      </c>
      <c r="H524" s="42" t="s">
        <v>760</v>
      </c>
      <c r="I524" s="17" t="str">
        <f t="shared" si="33"/>
        <v>PE-523</v>
      </c>
      <c r="J524" s="18" t="s">
        <v>89</v>
      </c>
      <c r="K524" s="19" t="e">
        <f>IF(J524="","SEM #CH",VLOOKUP(J524,#REF!,2,0))</f>
        <v>#REF!</v>
      </c>
      <c r="L524" s="19" t="e">
        <f>IF(J524="","SEM #CH",VLOOKUP(J524,#REF!,3,0))</f>
        <v>#REF!</v>
      </c>
      <c r="M524" s="19" t="e">
        <f>IF(J524="","SEM #CH",VLOOKUP(J524,#REF!,4,0))</f>
        <v>#REF!</v>
      </c>
      <c r="N524" s="19" t="e">
        <f>IF(J524="","SEM #CH",VLOOKUP(J524,#REF!,5,0))</f>
        <v>#REF!</v>
      </c>
      <c r="O524" s="19" t="e">
        <f>IF(J524="","SEM #CH",VLOOKUP(J524,#REF!,6,0))</f>
        <v>#REF!</v>
      </c>
      <c r="P524" s="19" t="e">
        <f>IF(J524="","SEM #CH",VLOOKUP(J524,#REF!,7,0))</f>
        <v>#REF!</v>
      </c>
      <c r="Q524" s="77" t="str">
        <f>VLOOKUP(J524,'p1'!$B$2:$C$30,2,0)</f>
        <v>#3/8-1200X1200</v>
      </c>
      <c r="R524" s="91"/>
      <c r="S524" s="91"/>
      <c r="T524" s="91" t="str">
        <f t="shared" si="34"/>
        <v/>
      </c>
      <c r="U524" s="91"/>
      <c r="V524" s="91"/>
      <c r="W524" s="93"/>
      <c r="X524" s="94" t="str">
        <f t="shared" si="35"/>
        <v/>
      </c>
      <c r="Y524"/>
    </row>
    <row r="525" spans="1:25">
      <c r="A525" s="90">
        <v>524</v>
      </c>
      <c r="B525" s="68"/>
      <c r="C525" s="40"/>
      <c r="D525" s="40" t="str">
        <f t="shared" si="32"/>
        <v/>
      </c>
      <c r="E525" s="44" t="s">
        <v>170</v>
      </c>
      <c r="F525" s="17" t="s">
        <v>60</v>
      </c>
      <c r="G525" s="17" t="s">
        <v>86</v>
      </c>
      <c r="H525" s="42" t="s">
        <v>761</v>
      </c>
      <c r="I525" s="17" t="str">
        <f t="shared" si="33"/>
        <v>PE-524</v>
      </c>
      <c r="J525" s="18" t="s">
        <v>87</v>
      </c>
      <c r="K525" s="19" t="e">
        <f>IF(J525="","SEM #CH",VLOOKUP(J525,#REF!,2,0))</f>
        <v>#REF!</v>
      </c>
      <c r="L525" s="19" t="e">
        <f>IF(J525="","SEM #CH",VLOOKUP(J525,#REF!,3,0))</f>
        <v>#REF!</v>
      </c>
      <c r="M525" s="19" t="e">
        <f>IF(J525="","SEM #CH",VLOOKUP(J525,#REF!,4,0))</f>
        <v>#REF!</v>
      </c>
      <c r="N525" s="19" t="e">
        <f>IF(J525="","SEM #CH",VLOOKUP(J525,#REF!,5,0))</f>
        <v>#REF!</v>
      </c>
      <c r="O525" s="19" t="e">
        <f>IF(J525="","SEM #CH",VLOOKUP(J525,#REF!,6,0))</f>
        <v>#REF!</v>
      </c>
      <c r="P525" s="19" t="e">
        <f>IF(J525="","SEM #CH",VLOOKUP(J525,#REF!,7,0))</f>
        <v>#REF!</v>
      </c>
      <c r="Q525" s="77" t="str">
        <f>VLOOKUP(J525,'p1'!$B$2:$C$30,2,0)</f>
        <v>#3/8-1620X1620</v>
      </c>
      <c r="R525" s="91"/>
      <c r="S525" s="91"/>
      <c r="T525" s="91" t="str">
        <f t="shared" si="34"/>
        <v/>
      </c>
      <c r="U525" s="91"/>
      <c r="V525" s="91"/>
      <c r="W525" s="93"/>
      <c r="X525" s="94" t="str">
        <f t="shared" si="35"/>
        <v/>
      </c>
      <c r="Y525"/>
    </row>
    <row r="526" spans="1:25">
      <c r="A526" s="90">
        <v>525</v>
      </c>
      <c r="B526" s="68"/>
      <c r="C526" s="40"/>
      <c r="D526" s="40" t="str">
        <f t="shared" si="32"/>
        <v/>
      </c>
      <c r="E526" s="44" t="s">
        <v>170</v>
      </c>
      <c r="F526" s="17" t="s">
        <v>60</v>
      </c>
      <c r="G526" s="17" t="s">
        <v>86</v>
      </c>
      <c r="H526" s="42" t="s">
        <v>762</v>
      </c>
      <c r="I526" s="17" t="str">
        <f t="shared" si="33"/>
        <v>PE-525</v>
      </c>
      <c r="J526" s="18" t="s">
        <v>88</v>
      </c>
      <c r="K526" s="19" t="e">
        <f>IF(J526="","SEM #CH",VLOOKUP(J526,#REF!,2,0))</f>
        <v>#REF!</v>
      </c>
      <c r="L526" s="19" t="e">
        <f>IF(J526="","SEM #CH",VLOOKUP(J526,#REF!,3,0))</f>
        <v>#REF!</v>
      </c>
      <c r="M526" s="19" t="e">
        <f>IF(J526="","SEM #CH",VLOOKUP(J526,#REF!,4,0))</f>
        <v>#REF!</v>
      </c>
      <c r="N526" s="19" t="e">
        <f>IF(J526="","SEM #CH",VLOOKUP(J526,#REF!,5,0))</f>
        <v>#REF!</v>
      </c>
      <c r="O526" s="19" t="e">
        <f>IF(J526="","SEM #CH",VLOOKUP(J526,#REF!,6,0))</f>
        <v>#REF!</v>
      </c>
      <c r="P526" s="19" t="e">
        <f>IF(J526="","SEM #CH",VLOOKUP(J526,#REF!,7,0))</f>
        <v>#REF!</v>
      </c>
      <c r="Q526" s="77" t="str">
        <f>VLOOKUP(J526,'p1'!$B$2:$C$30,2,0)</f>
        <v>#3/8-1315X1315</v>
      </c>
      <c r="R526" s="91"/>
      <c r="S526" s="91"/>
      <c r="T526" s="91" t="str">
        <f t="shared" si="34"/>
        <v/>
      </c>
      <c r="U526" s="91"/>
      <c r="V526" s="91"/>
      <c r="W526" s="93"/>
      <c r="X526" s="94" t="str">
        <f t="shared" si="35"/>
        <v/>
      </c>
      <c r="Y526"/>
    </row>
    <row r="527" spans="1:25">
      <c r="A527" s="90">
        <v>526</v>
      </c>
      <c r="B527" s="68"/>
      <c r="C527" s="40"/>
      <c r="D527" s="40" t="str">
        <f t="shared" si="32"/>
        <v/>
      </c>
      <c r="E527" s="44" t="s">
        <v>170</v>
      </c>
      <c r="F527" s="17" t="s">
        <v>58</v>
      </c>
      <c r="G527" s="17" t="s">
        <v>86</v>
      </c>
      <c r="H527" s="42" t="s">
        <v>763</v>
      </c>
      <c r="I527" s="17" t="str">
        <f t="shared" si="33"/>
        <v>PN-526</v>
      </c>
      <c r="J527" s="18" t="s">
        <v>85</v>
      </c>
      <c r="K527" s="19" t="e">
        <f>IF(J527="","SEM #CH",VLOOKUP(J527,#REF!,2,0))</f>
        <v>#REF!</v>
      </c>
      <c r="L527" s="19" t="e">
        <f>IF(J527="","SEM #CH",VLOOKUP(J527,#REF!,3,0))</f>
        <v>#REF!</v>
      </c>
      <c r="M527" s="19" t="e">
        <f>IF(J527="","SEM #CH",VLOOKUP(J527,#REF!,4,0))</f>
        <v>#REF!</v>
      </c>
      <c r="N527" s="19" t="e">
        <f>IF(J527="","SEM #CH",VLOOKUP(J527,#REF!,5,0))</f>
        <v>#REF!</v>
      </c>
      <c r="O527" s="19" t="e">
        <f>IF(J527="","SEM #CH",VLOOKUP(J527,#REF!,6,0))</f>
        <v>#REF!</v>
      </c>
      <c r="P527" s="19" t="e">
        <f>IF(J527="","SEM #CH",VLOOKUP(J527,#REF!,7,0))</f>
        <v>#REF!</v>
      </c>
      <c r="Q527" s="77" t="str">
        <f>VLOOKUP(J527,'p1'!$B$2:$C$30,2,0)</f>
        <v>NÃO TEM CHAPA</v>
      </c>
      <c r="R527" s="91"/>
      <c r="S527" s="91"/>
      <c r="T527" s="91" t="str">
        <f t="shared" si="34"/>
        <v/>
      </c>
      <c r="U527" s="91"/>
      <c r="V527" s="91"/>
      <c r="W527" s="93"/>
      <c r="X527" s="94" t="str">
        <f t="shared" si="35"/>
        <v/>
      </c>
      <c r="Y527"/>
    </row>
    <row r="528" spans="1:25">
      <c r="A528" s="90">
        <v>527</v>
      </c>
      <c r="B528" s="68"/>
      <c r="C528" s="40"/>
      <c r="D528" s="40" t="str">
        <f t="shared" si="32"/>
        <v/>
      </c>
      <c r="E528" s="44" t="s">
        <v>170</v>
      </c>
      <c r="F528" s="17" t="s">
        <v>58</v>
      </c>
      <c r="G528" s="17" t="s">
        <v>86</v>
      </c>
      <c r="H528" s="42" t="s">
        <v>764</v>
      </c>
      <c r="I528" s="17" t="str">
        <f t="shared" si="33"/>
        <v>PN-527</v>
      </c>
      <c r="J528" s="18" t="s">
        <v>85</v>
      </c>
      <c r="K528" s="19" t="e">
        <f>IF(J528="","SEM #CH",VLOOKUP(J528,#REF!,2,0))</f>
        <v>#REF!</v>
      </c>
      <c r="L528" s="19" t="e">
        <f>IF(J528="","SEM #CH",VLOOKUP(J528,#REF!,3,0))</f>
        <v>#REF!</v>
      </c>
      <c r="M528" s="19" t="e">
        <f>IF(J528="","SEM #CH",VLOOKUP(J528,#REF!,4,0))</f>
        <v>#REF!</v>
      </c>
      <c r="N528" s="19" t="e">
        <f>IF(J528="","SEM #CH",VLOOKUP(J528,#REF!,5,0))</f>
        <v>#REF!</v>
      </c>
      <c r="O528" s="19" t="e">
        <f>IF(J528="","SEM #CH",VLOOKUP(J528,#REF!,6,0))</f>
        <v>#REF!</v>
      </c>
      <c r="P528" s="19" t="e">
        <f>IF(J528="","SEM #CH",VLOOKUP(J528,#REF!,7,0))</f>
        <v>#REF!</v>
      </c>
      <c r="Q528" s="77" t="str">
        <f>VLOOKUP(J528,'p1'!$B$2:$C$30,2,0)</f>
        <v>NÃO TEM CHAPA</v>
      </c>
      <c r="R528" s="91"/>
      <c r="S528" s="91"/>
      <c r="T528" s="91" t="str">
        <f t="shared" si="34"/>
        <v/>
      </c>
      <c r="U528" s="91"/>
      <c r="V528" s="91"/>
      <c r="W528" s="93"/>
      <c r="X528" s="94" t="str">
        <f t="shared" si="35"/>
        <v/>
      </c>
      <c r="Y528"/>
    </row>
    <row r="529" spans="1:25">
      <c r="A529" s="90">
        <v>528</v>
      </c>
      <c r="B529" s="68"/>
      <c r="C529" s="40"/>
      <c r="D529" s="40" t="str">
        <f t="shared" si="32"/>
        <v/>
      </c>
      <c r="E529" s="44" t="s">
        <v>170</v>
      </c>
      <c r="F529" s="17" t="s">
        <v>61</v>
      </c>
      <c r="G529" s="17" t="s">
        <v>86</v>
      </c>
      <c r="H529" s="42" t="s">
        <v>765</v>
      </c>
      <c r="I529" s="17" t="str">
        <f t="shared" si="33"/>
        <v>PF-528</v>
      </c>
      <c r="J529" s="18" t="s">
        <v>61</v>
      </c>
      <c r="K529" s="19" t="e">
        <f>IF(J529="","SEM #CH",VLOOKUP(J529,#REF!,2,0))</f>
        <v>#REF!</v>
      </c>
      <c r="L529" s="19" t="e">
        <f>IF(J529="","SEM #CH",VLOOKUP(J529,#REF!,3,0))</f>
        <v>#REF!</v>
      </c>
      <c r="M529" s="19" t="e">
        <f>IF(J529="","SEM #CH",VLOOKUP(J529,#REF!,4,0))</f>
        <v>#REF!</v>
      </c>
      <c r="N529" s="19" t="e">
        <f>IF(J529="","SEM #CH",VLOOKUP(J529,#REF!,5,0))</f>
        <v>#REF!</v>
      </c>
      <c r="O529" s="19" t="e">
        <f>IF(J529="","SEM #CH",VLOOKUP(J529,#REF!,6,0))</f>
        <v>#REF!</v>
      </c>
      <c r="P529" s="19" t="e">
        <f>IF(J529="","SEM #CH",VLOOKUP(J529,#REF!,7,0))</f>
        <v>#REF!</v>
      </c>
      <c r="Q529" s="77" t="str">
        <f>VLOOKUP(J529,'p1'!$B$2:$C$30,2,0)</f>
        <v>SEM CHAPA</v>
      </c>
      <c r="R529" s="91"/>
      <c r="S529" s="91"/>
      <c r="T529" s="91" t="str">
        <f t="shared" si="34"/>
        <v/>
      </c>
      <c r="U529" s="91"/>
      <c r="V529" s="91"/>
      <c r="W529" s="93"/>
      <c r="X529" s="94" t="str">
        <f t="shared" si="35"/>
        <v/>
      </c>
      <c r="Y529"/>
    </row>
    <row r="530" spans="1:25">
      <c r="A530" s="90">
        <v>529</v>
      </c>
      <c r="B530" s="68"/>
      <c r="C530" s="40"/>
      <c r="D530" s="40" t="str">
        <f t="shared" si="32"/>
        <v/>
      </c>
      <c r="E530" s="44" t="s">
        <v>170</v>
      </c>
      <c r="F530" s="17" t="s">
        <v>58</v>
      </c>
      <c r="G530" s="17" t="s">
        <v>86</v>
      </c>
      <c r="H530" s="42" t="s">
        <v>766</v>
      </c>
      <c r="I530" s="17" t="str">
        <f t="shared" si="33"/>
        <v>PN-529</v>
      </c>
      <c r="J530" s="18" t="s">
        <v>85</v>
      </c>
      <c r="K530" s="19" t="e">
        <f>IF(J530="","SEM #CH",VLOOKUP(J530,#REF!,2,0))</f>
        <v>#REF!</v>
      </c>
      <c r="L530" s="19" t="e">
        <f>IF(J530="","SEM #CH",VLOOKUP(J530,#REF!,3,0))</f>
        <v>#REF!</v>
      </c>
      <c r="M530" s="19" t="e">
        <f>IF(J530="","SEM #CH",VLOOKUP(J530,#REF!,4,0))</f>
        <v>#REF!</v>
      </c>
      <c r="N530" s="19" t="e">
        <f>IF(J530="","SEM #CH",VLOOKUP(J530,#REF!,5,0))</f>
        <v>#REF!</v>
      </c>
      <c r="O530" s="19" t="e">
        <f>IF(J530="","SEM #CH",VLOOKUP(J530,#REF!,6,0))</f>
        <v>#REF!</v>
      </c>
      <c r="P530" s="19" t="e">
        <f>IF(J530="","SEM #CH",VLOOKUP(J530,#REF!,7,0))</f>
        <v>#REF!</v>
      </c>
      <c r="Q530" s="77" t="str">
        <f>VLOOKUP(J530,'p1'!$B$2:$C$30,2,0)</f>
        <v>NÃO TEM CHAPA</v>
      </c>
      <c r="R530" s="91"/>
      <c r="S530" s="91"/>
      <c r="T530" s="91" t="str">
        <f t="shared" si="34"/>
        <v/>
      </c>
      <c r="U530" s="91"/>
      <c r="V530" s="91"/>
      <c r="W530" s="93"/>
      <c r="X530" s="94" t="str">
        <f t="shared" si="35"/>
        <v/>
      </c>
      <c r="Y530"/>
    </row>
    <row r="531" spans="1:25">
      <c r="A531" s="90">
        <v>530</v>
      </c>
      <c r="B531" s="68"/>
      <c r="C531" s="40"/>
      <c r="D531" s="40" t="str">
        <f t="shared" si="32"/>
        <v/>
      </c>
      <c r="E531" s="44" t="s">
        <v>170</v>
      </c>
      <c r="F531" s="17" t="s">
        <v>58</v>
      </c>
      <c r="G531" s="17" t="s">
        <v>86</v>
      </c>
      <c r="H531" s="42" t="s">
        <v>767</v>
      </c>
      <c r="I531" s="17" t="str">
        <f t="shared" si="33"/>
        <v>PN-530</v>
      </c>
      <c r="J531" s="18" t="s">
        <v>85</v>
      </c>
      <c r="K531" s="19" t="e">
        <f>IF(J531="","SEM #CH",VLOOKUP(J531,#REF!,2,0))</f>
        <v>#REF!</v>
      </c>
      <c r="L531" s="19" t="e">
        <f>IF(J531="","SEM #CH",VLOOKUP(J531,#REF!,3,0))</f>
        <v>#REF!</v>
      </c>
      <c r="M531" s="19" t="e">
        <f>IF(J531="","SEM #CH",VLOOKUP(J531,#REF!,4,0))</f>
        <v>#REF!</v>
      </c>
      <c r="N531" s="19" t="e">
        <f>IF(J531="","SEM #CH",VLOOKUP(J531,#REF!,5,0))</f>
        <v>#REF!</v>
      </c>
      <c r="O531" s="19" t="e">
        <f>IF(J531="","SEM #CH",VLOOKUP(J531,#REF!,6,0))</f>
        <v>#REF!</v>
      </c>
      <c r="P531" s="19" t="e">
        <f>IF(J531="","SEM #CH",VLOOKUP(J531,#REF!,7,0))</f>
        <v>#REF!</v>
      </c>
      <c r="Q531" s="77" t="str">
        <f>VLOOKUP(J531,'p1'!$B$2:$C$30,2,0)</f>
        <v>NÃO TEM CHAPA</v>
      </c>
      <c r="R531" s="91"/>
      <c r="S531" s="91"/>
      <c r="T531" s="91" t="str">
        <f t="shared" si="34"/>
        <v/>
      </c>
      <c r="U531" s="91"/>
      <c r="V531" s="91"/>
      <c r="W531" s="93"/>
      <c r="X531" s="94" t="str">
        <f t="shared" si="35"/>
        <v/>
      </c>
      <c r="Y531"/>
    </row>
    <row r="532" spans="1:25">
      <c r="A532" s="90">
        <v>531</v>
      </c>
      <c r="B532" s="68"/>
      <c r="C532" s="40"/>
      <c r="D532" s="40" t="str">
        <f t="shared" si="32"/>
        <v/>
      </c>
      <c r="E532" s="44" t="s">
        <v>170</v>
      </c>
      <c r="F532" s="17" t="s">
        <v>58</v>
      </c>
      <c r="G532" s="17" t="s">
        <v>86</v>
      </c>
      <c r="H532" s="42" t="s">
        <v>768</v>
      </c>
      <c r="I532" s="17" t="str">
        <f t="shared" si="33"/>
        <v>PN-531</v>
      </c>
      <c r="J532" s="18" t="s">
        <v>85</v>
      </c>
      <c r="K532" s="19" t="e">
        <f>IF(J532="","SEM #CH",VLOOKUP(J532,#REF!,2,0))</f>
        <v>#REF!</v>
      </c>
      <c r="L532" s="19" t="e">
        <f>IF(J532="","SEM #CH",VLOOKUP(J532,#REF!,3,0))</f>
        <v>#REF!</v>
      </c>
      <c r="M532" s="19" t="e">
        <f>IF(J532="","SEM #CH",VLOOKUP(J532,#REF!,4,0))</f>
        <v>#REF!</v>
      </c>
      <c r="N532" s="19" t="e">
        <f>IF(J532="","SEM #CH",VLOOKUP(J532,#REF!,5,0))</f>
        <v>#REF!</v>
      </c>
      <c r="O532" s="19" t="e">
        <f>IF(J532="","SEM #CH",VLOOKUP(J532,#REF!,6,0))</f>
        <v>#REF!</v>
      </c>
      <c r="P532" s="19" t="e">
        <f>IF(J532="","SEM #CH",VLOOKUP(J532,#REF!,7,0))</f>
        <v>#REF!</v>
      </c>
      <c r="Q532" s="77" t="str">
        <f>VLOOKUP(J532,'p1'!$B$2:$C$30,2,0)</f>
        <v>NÃO TEM CHAPA</v>
      </c>
      <c r="R532" s="91"/>
      <c r="S532" s="91"/>
      <c r="T532" s="91" t="str">
        <f t="shared" si="34"/>
        <v/>
      </c>
      <c r="U532" s="91"/>
      <c r="V532" s="91"/>
      <c r="W532" s="93"/>
      <c r="X532" s="94" t="str">
        <f t="shared" si="35"/>
        <v/>
      </c>
      <c r="Y532"/>
    </row>
    <row r="533" spans="1:25">
      <c r="A533" s="90">
        <v>532</v>
      </c>
      <c r="B533" s="68"/>
      <c r="C533" s="40"/>
      <c r="D533" s="40" t="str">
        <f t="shared" si="32"/>
        <v/>
      </c>
      <c r="E533" s="44" t="s">
        <v>170</v>
      </c>
      <c r="F533" s="17" t="s">
        <v>58</v>
      </c>
      <c r="G533" s="17" t="s">
        <v>86</v>
      </c>
      <c r="H533" s="42" t="s">
        <v>769</v>
      </c>
      <c r="I533" s="17" t="str">
        <f t="shared" si="33"/>
        <v>PN-532</v>
      </c>
      <c r="J533" s="18" t="s">
        <v>85</v>
      </c>
      <c r="K533" s="19" t="e">
        <f>IF(J533="","SEM #CH",VLOOKUP(J533,#REF!,2,0))</f>
        <v>#REF!</v>
      </c>
      <c r="L533" s="19" t="e">
        <f>IF(J533="","SEM #CH",VLOOKUP(J533,#REF!,3,0))</f>
        <v>#REF!</v>
      </c>
      <c r="M533" s="19" t="e">
        <f>IF(J533="","SEM #CH",VLOOKUP(J533,#REF!,4,0))</f>
        <v>#REF!</v>
      </c>
      <c r="N533" s="19" t="e">
        <f>IF(J533="","SEM #CH",VLOOKUP(J533,#REF!,5,0))</f>
        <v>#REF!</v>
      </c>
      <c r="O533" s="19" t="e">
        <f>IF(J533="","SEM #CH",VLOOKUP(J533,#REF!,6,0))</f>
        <v>#REF!</v>
      </c>
      <c r="P533" s="19" t="e">
        <f>IF(J533="","SEM #CH",VLOOKUP(J533,#REF!,7,0))</f>
        <v>#REF!</v>
      </c>
      <c r="Q533" s="77" t="str">
        <f>VLOOKUP(J533,'p1'!$B$2:$C$30,2,0)</f>
        <v>NÃO TEM CHAPA</v>
      </c>
      <c r="R533" s="91"/>
      <c r="S533" s="91"/>
      <c r="T533" s="91" t="str">
        <f t="shared" si="34"/>
        <v/>
      </c>
      <c r="U533" s="91"/>
      <c r="V533" s="91"/>
      <c r="W533" s="93"/>
      <c r="X533" s="94" t="str">
        <f t="shared" si="35"/>
        <v/>
      </c>
      <c r="Y533"/>
    </row>
    <row r="534" spans="1:25">
      <c r="A534" s="90">
        <v>533</v>
      </c>
      <c r="B534" s="68"/>
      <c r="C534" s="40"/>
      <c r="D534" s="40" t="str">
        <f t="shared" si="32"/>
        <v/>
      </c>
      <c r="E534" s="44" t="s">
        <v>170</v>
      </c>
      <c r="F534" s="17" t="s">
        <v>58</v>
      </c>
      <c r="G534" s="17" t="s">
        <v>86</v>
      </c>
      <c r="H534" s="42" t="s">
        <v>770</v>
      </c>
      <c r="I534" s="17" t="str">
        <f t="shared" si="33"/>
        <v>PN-533</v>
      </c>
      <c r="J534" s="18" t="s">
        <v>85</v>
      </c>
      <c r="K534" s="19" t="e">
        <f>IF(J534="","SEM #CH",VLOOKUP(J534,#REF!,2,0))</f>
        <v>#REF!</v>
      </c>
      <c r="L534" s="19" t="e">
        <f>IF(J534="","SEM #CH",VLOOKUP(J534,#REF!,3,0))</f>
        <v>#REF!</v>
      </c>
      <c r="M534" s="19" t="e">
        <f>IF(J534="","SEM #CH",VLOOKUP(J534,#REF!,4,0))</f>
        <v>#REF!</v>
      </c>
      <c r="N534" s="19" t="e">
        <f>IF(J534="","SEM #CH",VLOOKUP(J534,#REF!,5,0))</f>
        <v>#REF!</v>
      </c>
      <c r="O534" s="19" t="e">
        <f>IF(J534="","SEM #CH",VLOOKUP(J534,#REF!,6,0))</f>
        <v>#REF!</v>
      </c>
      <c r="P534" s="19" t="e">
        <f>IF(J534="","SEM #CH",VLOOKUP(J534,#REF!,7,0))</f>
        <v>#REF!</v>
      </c>
      <c r="Q534" s="77" t="str">
        <f>VLOOKUP(J534,'p1'!$B$2:$C$30,2,0)</f>
        <v>NÃO TEM CHAPA</v>
      </c>
      <c r="R534" s="91"/>
      <c r="S534" s="91"/>
      <c r="T534" s="91" t="str">
        <f t="shared" si="34"/>
        <v/>
      </c>
      <c r="U534" s="91"/>
      <c r="V534" s="91"/>
      <c r="W534" s="93"/>
      <c r="X534" s="94" t="str">
        <f t="shared" si="35"/>
        <v/>
      </c>
      <c r="Y534"/>
    </row>
    <row r="535" spans="1:25">
      <c r="A535" s="90">
        <v>534</v>
      </c>
      <c r="B535" s="68"/>
      <c r="C535" s="40"/>
      <c r="D535" s="40" t="str">
        <f t="shared" si="32"/>
        <v/>
      </c>
      <c r="E535" s="44" t="s">
        <v>170</v>
      </c>
      <c r="F535" s="17" t="s">
        <v>58</v>
      </c>
      <c r="G535" s="17" t="s">
        <v>86</v>
      </c>
      <c r="H535" s="42" t="s">
        <v>771</v>
      </c>
      <c r="I535" s="17" t="str">
        <f t="shared" si="33"/>
        <v>PN-534</v>
      </c>
      <c r="J535" s="18" t="s">
        <v>85</v>
      </c>
      <c r="K535" s="19" t="e">
        <f>IF(J535="","SEM #CH",VLOOKUP(J535,#REF!,2,0))</f>
        <v>#REF!</v>
      </c>
      <c r="L535" s="19" t="e">
        <f>IF(J535="","SEM #CH",VLOOKUP(J535,#REF!,3,0))</f>
        <v>#REF!</v>
      </c>
      <c r="M535" s="19" t="e">
        <f>IF(J535="","SEM #CH",VLOOKUP(J535,#REF!,4,0))</f>
        <v>#REF!</v>
      </c>
      <c r="N535" s="19" t="e">
        <f>IF(J535="","SEM #CH",VLOOKUP(J535,#REF!,5,0))</f>
        <v>#REF!</v>
      </c>
      <c r="O535" s="19" t="e">
        <f>IF(J535="","SEM #CH",VLOOKUP(J535,#REF!,6,0))</f>
        <v>#REF!</v>
      </c>
      <c r="P535" s="19" t="e">
        <f>IF(J535="","SEM #CH",VLOOKUP(J535,#REF!,7,0))</f>
        <v>#REF!</v>
      </c>
      <c r="Q535" s="77" t="str">
        <f>VLOOKUP(J535,'p1'!$B$2:$C$30,2,0)</f>
        <v>NÃO TEM CHAPA</v>
      </c>
      <c r="R535" s="91"/>
      <c r="S535" s="91"/>
      <c r="T535" s="91" t="str">
        <f t="shared" si="34"/>
        <v/>
      </c>
      <c r="U535" s="91"/>
      <c r="V535" s="91"/>
      <c r="W535" s="93"/>
      <c r="X535" s="94" t="str">
        <f t="shared" si="35"/>
        <v/>
      </c>
      <c r="Y535"/>
    </row>
    <row r="536" spans="1:25">
      <c r="A536" s="90">
        <v>535</v>
      </c>
      <c r="B536" s="68"/>
      <c r="C536" s="40"/>
      <c r="D536" s="40" t="str">
        <f t="shared" si="32"/>
        <v/>
      </c>
      <c r="E536" s="44" t="s">
        <v>170</v>
      </c>
      <c r="F536" s="17" t="s">
        <v>58</v>
      </c>
      <c r="G536" s="17" t="s">
        <v>86</v>
      </c>
      <c r="H536" s="42" t="s">
        <v>772</v>
      </c>
      <c r="I536" s="17" t="str">
        <f t="shared" si="33"/>
        <v>PN-535</v>
      </c>
      <c r="J536" s="18" t="s">
        <v>85</v>
      </c>
      <c r="K536" s="19" t="e">
        <f>IF(J536="","SEM #CH",VLOOKUP(J536,#REF!,2,0))</f>
        <v>#REF!</v>
      </c>
      <c r="L536" s="19" t="e">
        <f>IF(J536="","SEM #CH",VLOOKUP(J536,#REF!,3,0))</f>
        <v>#REF!</v>
      </c>
      <c r="M536" s="19" t="e">
        <f>IF(J536="","SEM #CH",VLOOKUP(J536,#REF!,4,0))</f>
        <v>#REF!</v>
      </c>
      <c r="N536" s="19" t="e">
        <f>IF(J536="","SEM #CH",VLOOKUP(J536,#REF!,5,0))</f>
        <v>#REF!</v>
      </c>
      <c r="O536" s="19" t="e">
        <f>IF(J536="","SEM #CH",VLOOKUP(J536,#REF!,6,0))</f>
        <v>#REF!</v>
      </c>
      <c r="P536" s="19" t="e">
        <f>IF(J536="","SEM #CH",VLOOKUP(J536,#REF!,7,0))</f>
        <v>#REF!</v>
      </c>
      <c r="Q536" s="77" t="str">
        <f>VLOOKUP(J536,'p1'!$B$2:$C$30,2,0)</f>
        <v>NÃO TEM CHAPA</v>
      </c>
      <c r="R536" s="91"/>
      <c r="S536" s="91"/>
      <c r="T536" s="91" t="str">
        <f t="shared" si="34"/>
        <v/>
      </c>
      <c r="U536" s="91"/>
      <c r="V536" s="91"/>
      <c r="W536" s="93"/>
      <c r="X536" s="94" t="str">
        <f t="shared" si="35"/>
        <v/>
      </c>
      <c r="Y536"/>
    </row>
    <row r="537" spans="1:25">
      <c r="A537" s="90">
        <v>536</v>
      </c>
      <c r="B537" s="68"/>
      <c r="C537" s="40"/>
      <c r="D537" s="40" t="str">
        <f t="shared" si="32"/>
        <v/>
      </c>
      <c r="E537" s="44" t="s">
        <v>170</v>
      </c>
      <c r="F537" s="17" t="s">
        <v>58</v>
      </c>
      <c r="G537" s="17" t="s">
        <v>86</v>
      </c>
      <c r="H537" s="42" t="s">
        <v>773</v>
      </c>
      <c r="I537" s="17" t="str">
        <f t="shared" si="33"/>
        <v>PN-536</v>
      </c>
      <c r="J537" s="18" t="s">
        <v>85</v>
      </c>
      <c r="K537" s="19" t="e">
        <f>IF(J537="","SEM #CH",VLOOKUP(J537,#REF!,2,0))</f>
        <v>#REF!</v>
      </c>
      <c r="L537" s="19" t="e">
        <f>IF(J537="","SEM #CH",VLOOKUP(J537,#REF!,3,0))</f>
        <v>#REF!</v>
      </c>
      <c r="M537" s="19" t="e">
        <f>IF(J537="","SEM #CH",VLOOKUP(J537,#REF!,4,0))</f>
        <v>#REF!</v>
      </c>
      <c r="N537" s="19" t="e">
        <f>IF(J537="","SEM #CH",VLOOKUP(J537,#REF!,5,0))</f>
        <v>#REF!</v>
      </c>
      <c r="O537" s="19" t="e">
        <f>IF(J537="","SEM #CH",VLOOKUP(J537,#REF!,6,0))</f>
        <v>#REF!</v>
      </c>
      <c r="P537" s="19" t="e">
        <f>IF(J537="","SEM #CH",VLOOKUP(J537,#REF!,7,0))</f>
        <v>#REF!</v>
      </c>
      <c r="Q537" s="77" t="str">
        <f>VLOOKUP(J537,'p1'!$B$2:$C$30,2,0)</f>
        <v>NÃO TEM CHAPA</v>
      </c>
      <c r="R537" s="91"/>
      <c r="S537" s="91"/>
      <c r="T537" s="91" t="str">
        <f t="shared" si="34"/>
        <v/>
      </c>
      <c r="U537" s="91"/>
      <c r="V537" s="91"/>
      <c r="W537" s="93"/>
      <c r="X537" s="94" t="str">
        <f t="shared" si="35"/>
        <v/>
      </c>
      <c r="Y537"/>
    </row>
    <row r="538" spans="1:25">
      <c r="A538" s="90">
        <v>537</v>
      </c>
      <c r="B538" s="68"/>
      <c r="C538" s="40"/>
      <c r="D538" s="40" t="str">
        <f t="shared" si="32"/>
        <v/>
      </c>
      <c r="E538" s="44" t="s">
        <v>170</v>
      </c>
      <c r="F538" s="17" t="s">
        <v>58</v>
      </c>
      <c r="G538" s="17" t="s">
        <v>86</v>
      </c>
      <c r="H538" s="42" t="s">
        <v>774</v>
      </c>
      <c r="I538" s="17" t="str">
        <f t="shared" si="33"/>
        <v>PN-537</v>
      </c>
      <c r="J538" s="18" t="s">
        <v>85</v>
      </c>
      <c r="K538" s="19" t="e">
        <f>IF(J538="","SEM #CH",VLOOKUP(J538,#REF!,2,0))</f>
        <v>#REF!</v>
      </c>
      <c r="L538" s="19" t="e">
        <f>IF(J538="","SEM #CH",VLOOKUP(J538,#REF!,3,0))</f>
        <v>#REF!</v>
      </c>
      <c r="M538" s="19" t="e">
        <f>IF(J538="","SEM #CH",VLOOKUP(J538,#REF!,4,0))</f>
        <v>#REF!</v>
      </c>
      <c r="N538" s="19" t="e">
        <f>IF(J538="","SEM #CH",VLOOKUP(J538,#REF!,5,0))</f>
        <v>#REF!</v>
      </c>
      <c r="O538" s="19" t="e">
        <f>IF(J538="","SEM #CH",VLOOKUP(J538,#REF!,6,0))</f>
        <v>#REF!</v>
      </c>
      <c r="P538" s="19" t="e">
        <f>IF(J538="","SEM #CH",VLOOKUP(J538,#REF!,7,0))</f>
        <v>#REF!</v>
      </c>
      <c r="Q538" s="77" t="str">
        <f>VLOOKUP(J538,'p1'!$B$2:$C$30,2,0)</f>
        <v>NÃO TEM CHAPA</v>
      </c>
      <c r="R538" s="91"/>
      <c r="S538" s="91"/>
      <c r="T538" s="91" t="str">
        <f t="shared" si="34"/>
        <v/>
      </c>
      <c r="U538" s="91"/>
      <c r="V538" s="91"/>
      <c r="W538" s="93"/>
      <c r="X538" s="94" t="str">
        <f t="shared" si="35"/>
        <v/>
      </c>
      <c r="Y538"/>
    </row>
    <row r="539" spans="1:25">
      <c r="A539" s="90">
        <v>538</v>
      </c>
      <c r="B539" s="68"/>
      <c r="C539" s="40"/>
      <c r="D539" s="40" t="str">
        <f t="shared" si="32"/>
        <v/>
      </c>
      <c r="E539" s="44" t="s">
        <v>170</v>
      </c>
      <c r="F539" s="17" t="s">
        <v>58</v>
      </c>
      <c r="G539" s="17" t="s">
        <v>86</v>
      </c>
      <c r="H539" s="42" t="s">
        <v>775</v>
      </c>
      <c r="I539" s="17" t="str">
        <f t="shared" si="33"/>
        <v>PN-538</v>
      </c>
      <c r="J539" s="18" t="s">
        <v>85</v>
      </c>
      <c r="K539" s="19" t="e">
        <f>IF(J539="","SEM #CH",VLOOKUP(J539,#REF!,2,0))</f>
        <v>#REF!</v>
      </c>
      <c r="L539" s="19" t="e">
        <f>IF(J539="","SEM #CH",VLOOKUP(J539,#REF!,3,0))</f>
        <v>#REF!</v>
      </c>
      <c r="M539" s="19" t="e">
        <f>IF(J539="","SEM #CH",VLOOKUP(J539,#REF!,4,0))</f>
        <v>#REF!</v>
      </c>
      <c r="N539" s="19" t="e">
        <f>IF(J539="","SEM #CH",VLOOKUP(J539,#REF!,5,0))</f>
        <v>#REF!</v>
      </c>
      <c r="O539" s="19" t="e">
        <f>IF(J539="","SEM #CH",VLOOKUP(J539,#REF!,6,0))</f>
        <v>#REF!</v>
      </c>
      <c r="P539" s="19" t="e">
        <f>IF(J539="","SEM #CH",VLOOKUP(J539,#REF!,7,0))</f>
        <v>#REF!</v>
      </c>
      <c r="Q539" s="77" t="str">
        <f>VLOOKUP(J539,'p1'!$B$2:$C$30,2,0)</f>
        <v>NÃO TEM CHAPA</v>
      </c>
      <c r="R539" s="91"/>
      <c r="S539" s="91"/>
      <c r="T539" s="91" t="str">
        <f t="shared" si="34"/>
        <v/>
      </c>
      <c r="U539" s="91"/>
      <c r="V539" s="91"/>
      <c r="W539" s="93"/>
      <c r="X539" s="94" t="str">
        <f t="shared" si="35"/>
        <v/>
      </c>
      <c r="Y539"/>
    </row>
    <row r="540" spans="1:25">
      <c r="A540" s="90">
        <v>539</v>
      </c>
      <c r="B540" s="68"/>
      <c r="C540" s="40"/>
      <c r="D540" s="40" t="str">
        <f t="shared" si="32"/>
        <v/>
      </c>
      <c r="E540" s="44" t="s">
        <v>170</v>
      </c>
      <c r="F540" s="17" t="s">
        <v>60</v>
      </c>
      <c r="G540" s="17" t="s">
        <v>86</v>
      </c>
      <c r="H540" s="42" t="s">
        <v>776</v>
      </c>
      <c r="I540" s="17" t="str">
        <f t="shared" si="33"/>
        <v>PE-539</v>
      </c>
      <c r="J540" s="18" t="s">
        <v>90</v>
      </c>
      <c r="K540" s="19" t="e">
        <f>IF(J540="","SEM #CH",VLOOKUP(J540,#REF!,2,0))</f>
        <v>#REF!</v>
      </c>
      <c r="L540" s="19" t="e">
        <f>IF(J540="","SEM #CH",VLOOKUP(J540,#REF!,3,0))</f>
        <v>#REF!</v>
      </c>
      <c r="M540" s="19" t="e">
        <f>IF(J540="","SEM #CH",VLOOKUP(J540,#REF!,4,0))</f>
        <v>#REF!</v>
      </c>
      <c r="N540" s="19" t="e">
        <f>IF(J540="","SEM #CH",VLOOKUP(J540,#REF!,5,0))</f>
        <v>#REF!</v>
      </c>
      <c r="O540" s="19" t="e">
        <f>IF(J540="","SEM #CH",VLOOKUP(J540,#REF!,6,0))</f>
        <v>#REF!</v>
      </c>
      <c r="P540" s="19" t="e">
        <f>IF(J540="","SEM #CH",VLOOKUP(J540,#REF!,7,0))</f>
        <v>#REF!</v>
      </c>
      <c r="Q540" s="77" t="str">
        <f>VLOOKUP(J540,'p1'!$B$2:$C$30,2,0)</f>
        <v>#3/8-530X530</v>
      </c>
      <c r="R540" s="91"/>
      <c r="S540" s="91"/>
      <c r="T540" s="91" t="str">
        <f t="shared" si="34"/>
        <v/>
      </c>
      <c r="U540" s="91"/>
      <c r="V540" s="91"/>
      <c r="W540" s="93"/>
      <c r="X540" s="94" t="str">
        <f t="shared" si="35"/>
        <v/>
      </c>
      <c r="Y540"/>
    </row>
    <row r="541" spans="1:25">
      <c r="A541" s="90">
        <v>540</v>
      </c>
      <c r="B541" s="68"/>
      <c r="C541" s="40"/>
      <c r="D541" s="40" t="str">
        <f t="shared" si="32"/>
        <v/>
      </c>
      <c r="E541" s="44" t="s">
        <v>170</v>
      </c>
      <c r="F541" s="17" t="s">
        <v>58</v>
      </c>
      <c r="G541" s="17" t="s">
        <v>86</v>
      </c>
      <c r="H541" s="42" t="s">
        <v>777</v>
      </c>
      <c r="I541" s="17" t="str">
        <f t="shared" si="33"/>
        <v>PN-540</v>
      </c>
      <c r="J541" s="18" t="s">
        <v>85</v>
      </c>
      <c r="K541" s="19" t="e">
        <f>IF(J541="","SEM #CH",VLOOKUP(J541,#REF!,2,0))</f>
        <v>#REF!</v>
      </c>
      <c r="L541" s="19" t="e">
        <f>IF(J541="","SEM #CH",VLOOKUP(J541,#REF!,3,0))</f>
        <v>#REF!</v>
      </c>
      <c r="M541" s="19" t="e">
        <f>IF(J541="","SEM #CH",VLOOKUP(J541,#REF!,4,0))</f>
        <v>#REF!</v>
      </c>
      <c r="N541" s="19" t="e">
        <f>IF(J541="","SEM #CH",VLOOKUP(J541,#REF!,5,0))</f>
        <v>#REF!</v>
      </c>
      <c r="O541" s="19" t="e">
        <f>IF(J541="","SEM #CH",VLOOKUP(J541,#REF!,6,0))</f>
        <v>#REF!</v>
      </c>
      <c r="P541" s="19" t="e">
        <f>IF(J541="","SEM #CH",VLOOKUP(J541,#REF!,7,0))</f>
        <v>#REF!</v>
      </c>
      <c r="Q541" s="77" t="str">
        <f>VLOOKUP(J541,'p1'!$B$2:$C$30,2,0)</f>
        <v>NÃO TEM CHAPA</v>
      </c>
      <c r="R541" s="91"/>
      <c r="S541" s="91"/>
      <c r="T541" s="91" t="str">
        <f t="shared" si="34"/>
        <v/>
      </c>
      <c r="U541" s="91"/>
      <c r="V541" s="91"/>
      <c r="W541" s="93"/>
      <c r="X541" s="94" t="str">
        <f t="shared" si="35"/>
        <v/>
      </c>
      <c r="Y541"/>
    </row>
    <row r="542" spans="1:25">
      <c r="A542" s="90">
        <v>541</v>
      </c>
      <c r="B542" s="68"/>
      <c r="C542" s="40"/>
      <c r="D542" s="40" t="str">
        <f t="shared" si="32"/>
        <v/>
      </c>
      <c r="E542" s="44" t="s">
        <v>170</v>
      </c>
      <c r="F542" s="17" t="s">
        <v>58</v>
      </c>
      <c r="G542" s="17" t="s">
        <v>86</v>
      </c>
      <c r="H542" s="42" t="s">
        <v>778</v>
      </c>
      <c r="I542" s="17" t="str">
        <f t="shared" si="33"/>
        <v>PN-541</v>
      </c>
      <c r="J542" s="18" t="s">
        <v>85</v>
      </c>
      <c r="K542" s="19" t="e">
        <f>IF(J542="","SEM #CH",VLOOKUP(J542,#REF!,2,0))</f>
        <v>#REF!</v>
      </c>
      <c r="L542" s="19" t="e">
        <f>IF(J542="","SEM #CH",VLOOKUP(J542,#REF!,3,0))</f>
        <v>#REF!</v>
      </c>
      <c r="M542" s="19" t="e">
        <f>IF(J542="","SEM #CH",VLOOKUP(J542,#REF!,4,0))</f>
        <v>#REF!</v>
      </c>
      <c r="N542" s="19" t="e">
        <f>IF(J542="","SEM #CH",VLOOKUP(J542,#REF!,5,0))</f>
        <v>#REF!</v>
      </c>
      <c r="O542" s="19" t="e">
        <f>IF(J542="","SEM #CH",VLOOKUP(J542,#REF!,6,0))</f>
        <v>#REF!</v>
      </c>
      <c r="P542" s="19" t="e">
        <f>IF(J542="","SEM #CH",VLOOKUP(J542,#REF!,7,0))</f>
        <v>#REF!</v>
      </c>
      <c r="Q542" s="77" t="str">
        <f>VLOOKUP(J542,'p1'!$B$2:$C$30,2,0)</f>
        <v>NÃO TEM CHAPA</v>
      </c>
      <c r="R542" s="91"/>
      <c r="S542" s="91"/>
      <c r="T542" s="91" t="str">
        <f t="shared" si="34"/>
        <v/>
      </c>
      <c r="U542" s="91"/>
      <c r="V542" s="91"/>
      <c r="W542" s="93"/>
      <c r="X542" s="94" t="str">
        <f t="shared" si="35"/>
        <v/>
      </c>
      <c r="Y542"/>
    </row>
    <row r="543" spans="1:25">
      <c r="A543" s="90">
        <v>542</v>
      </c>
      <c r="B543" s="68"/>
      <c r="C543" s="40"/>
      <c r="D543" s="40" t="str">
        <f t="shared" si="32"/>
        <v/>
      </c>
      <c r="E543" s="44" t="s">
        <v>170</v>
      </c>
      <c r="F543" s="17" t="s">
        <v>58</v>
      </c>
      <c r="G543" s="17" t="s">
        <v>86</v>
      </c>
      <c r="H543" s="42" t="s">
        <v>779</v>
      </c>
      <c r="I543" s="17" t="str">
        <f t="shared" si="33"/>
        <v>PN-542</v>
      </c>
      <c r="J543" s="18" t="s">
        <v>85</v>
      </c>
      <c r="K543" s="19" t="e">
        <f>IF(J543="","SEM #CH",VLOOKUP(J543,#REF!,2,0))</f>
        <v>#REF!</v>
      </c>
      <c r="L543" s="19" t="e">
        <f>IF(J543="","SEM #CH",VLOOKUP(J543,#REF!,3,0))</f>
        <v>#REF!</v>
      </c>
      <c r="M543" s="19" t="e">
        <f>IF(J543="","SEM #CH",VLOOKUP(J543,#REF!,4,0))</f>
        <v>#REF!</v>
      </c>
      <c r="N543" s="19" t="e">
        <f>IF(J543="","SEM #CH",VLOOKUP(J543,#REF!,5,0))</f>
        <v>#REF!</v>
      </c>
      <c r="O543" s="19" t="e">
        <f>IF(J543="","SEM #CH",VLOOKUP(J543,#REF!,6,0))</f>
        <v>#REF!</v>
      </c>
      <c r="P543" s="19" t="e">
        <f>IF(J543="","SEM #CH",VLOOKUP(J543,#REF!,7,0))</f>
        <v>#REF!</v>
      </c>
      <c r="Q543" s="77" t="str">
        <f>VLOOKUP(J543,'p1'!$B$2:$C$30,2,0)</f>
        <v>NÃO TEM CHAPA</v>
      </c>
      <c r="R543" s="91"/>
      <c r="S543" s="91"/>
      <c r="T543" s="91" t="str">
        <f t="shared" si="34"/>
        <v/>
      </c>
      <c r="U543" s="91"/>
      <c r="V543" s="91"/>
      <c r="W543" s="93"/>
      <c r="X543" s="94" t="str">
        <f t="shared" si="35"/>
        <v/>
      </c>
      <c r="Y543"/>
    </row>
    <row r="544" spans="1:25">
      <c r="A544" s="90">
        <v>543</v>
      </c>
      <c r="B544" s="68"/>
      <c r="C544" s="40"/>
      <c r="D544" s="40" t="str">
        <f t="shared" si="32"/>
        <v/>
      </c>
      <c r="E544" s="44" t="s">
        <v>170</v>
      </c>
      <c r="F544" s="17" t="s">
        <v>58</v>
      </c>
      <c r="G544" s="17" t="s">
        <v>86</v>
      </c>
      <c r="H544" s="42" t="s">
        <v>780</v>
      </c>
      <c r="I544" s="17" t="str">
        <f t="shared" si="33"/>
        <v>PN-543</v>
      </c>
      <c r="J544" s="18" t="s">
        <v>85</v>
      </c>
      <c r="K544" s="19" t="e">
        <f>IF(J544="","SEM #CH",VLOOKUP(J544,#REF!,2,0))</f>
        <v>#REF!</v>
      </c>
      <c r="L544" s="19" t="e">
        <f>IF(J544="","SEM #CH",VLOOKUP(J544,#REF!,3,0))</f>
        <v>#REF!</v>
      </c>
      <c r="M544" s="19" t="e">
        <f>IF(J544="","SEM #CH",VLOOKUP(J544,#REF!,4,0))</f>
        <v>#REF!</v>
      </c>
      <c r="N544" s="19" t="e">
        <f>IF(J544="","SEM #CH",VLOOKUP(J544,#REF!,5,0))</f>
        <v>#REF!</v>
      </c>
      <c r="O544" s="19" t="e">
        <f>IF(J544="","SEM #CH",VLOOKUP(J544,#REF!,6,0))</f>
        <v>#REF!</v>
      </c>
      <c r="P544" s="19" t="e">
        <f>IF(J544="","SEM #CH",VLOOKUP(J544,#REF!,7,0))</f>
        <v>#REF!</v>
      </c>
      <c r="Q544" s="77" t="str">
        <f>VLOOKUP(J544,'p1'!$B$2:$C$30,2,0)</f>
        <v>NÃO TEM CHAPA</v>
      </c>
      <c r="R544" s="91"/>
      <c r="S544" s="91"/>
      <c r="T544" s="91" t="str">
        <f t="shared" si="34"/>
        <v/>
      </c>
      <c r="U544" s="91"/>
      <c r="V544" s="91"/>
      <c r="W544" s="93"/>
      <c r="X544" s="94" t="str">
        <f t="shared" si="35"/>
        <v/>
      </c>
      <c r="Y544"/>
    </row>
    <row r="545" spans="1:25">
      <c r="A545" s="90">
        <v>544</v>
      </c>
      <c r="B545" s="68"/>
      <c r="C545" s="40"/>
      <c r="D545" s="40" t="str">
        <f t="shared" si="32"/>
        <v/>
      </c>
      <c r="E545" s="44" t="s">
        <v>170</v>
      </c>
      <c r="F545" s="17" t="s">
        <v>58</v>
      </c>
      <c r="G545" s="17" t="s">
        <v>86</v>
      </c>
      <c r="H545" s="42" t="s">
        <v>781</v>
      </c>
      <c r="I545" s="17" t="str">
        <f t="shared" si="33"/>
        <v>PN-544</v>
      </c>
      <c r="J545" s="18" t="s">
        <v>85</v>
      </c>
      <c r="K545" s="19" t="e">
        <f>IF(J545="","SEM #CH",VLOOKUP(J545,#REF!,2,0))</f>
        <v>#REF!</v>
      </c>
      <c r="L545" s="19" t="e">
        <f>IF(J545="","SEM #CH",VLOOKUP(J545,#REF!,3,0))</f>
        <v>#REF!</v>
      </c>
      <c r="M545" s="19" t="e">
        <f>IF(J545="","SEM #CH",VLOOKUP(J545,#REF!,4,0))</f>
        <v>#REF!</v>
      </c>
      <c r="N545" s="19" t="e">
        <f>IF(J545="","SEM #CH",VLOOKUP(J545,#REF!,5,0))</f>
        <v>#REF!</v>
      </c>
      <c r="O545" s="19" t="e">
        <f>IF(J545="","SEM #CH",VLOOKUP(J545,#REF!,6,0))</f>
        <v>#REF!</v>
      </c>
      <c r="P545" s="19" t="e">
        <f>IF(J545="","SEM #CH",VLOOKUP(J545,#REF!,7,0))</f>
        <v>#REF!</v>
      </c>
      <c r="Q545" s="77" t="str">
        <f>VLOOKUP(J545,'p1'!$B$2:$C$30,2,0)</f>
        <v>NÃO TEM CHAPA</v>
      </c>
      <c r="R545" s="91"/>
      <c r="S545" s="91"/>
      <c r="T545" s="91" t="str">
        <f t="shared" si="34"/>
        <v/>
      </c>
      <c r="U545" s="91"/>
      <c r="V545" s="91"/>
      <c r="W545" s="93"/>
      <c r="X545" s="94" t="str">
        <f t="shared" si="35"/>
        <v/>
      </c>
      <c r="Y545"/>
    </row>
    <row r="546" spans="1:25">
      <c r="A546" s="90">
        <v>545</v>
      </c>
      <c r="B546" s="68"/>
      <c r="C546" s="40"/>
      <c r="D546" s="40" t="str">
        <f t="shared" si="32"/>
        <v/>
      </c>
      <c r="E546" s="44" t="s">
        <v>170</v>
      </c>
      <c r="F546" s="17" t="s">
        <v>58</v>
      </c>
      <c r="G546" s="17" t="s">
        <v>86</v>
      </c>
      <c r="H546" s="42" t="s">
        <v>782</v>
      </c>
      <c r="I546" s="17" t="str">
        <f t="shared" si="33"/>
        <v>PN-545</v>
      </c>
      <c r="J546" s="18" t="s">
        <v>85</v>
      </c>
      <c r="K546" s="19" t="e">
        <f>IF(J546="","SEM #CH",VLOOKUP(J546,#REF!,2,0))</f>
        <v>#REF!</v>
      </c>
      <c r="L546" s="19" t="e">
        <f>IF(J546="","SEM #CH",VLOOKUP(J546,#REF!,3,0))</f>
        <v>#REF!</v>
      </c>
      <c r="M546" s="19" t="e">
        <f>IF(J546="","SEM #CH",VLOOKUP(J546,#REF!,4,0))</f>
        <v>#REF!</v>
      </c>
      <c r="N546" s="19" t="e">
        <f>IF(J546="","SEM #CH",VLOOKUP(J546,#REF!,5,0))</f>
        <v>#REF!</v>
      </c>
      <c r="O546" s="19" t="e">
        <f>IF(J546="","SEM #CH",VLOOKUP(J546,#REF!,6,0))</f>
        <v>#REF!</v>
      </c>
      <c r="P546" s="19" t="e">
        <f>IF(J546="","SEM #CH",VLOOKUP(J546,#REF!,7,0))</f>
        <v>#REF!</v>
      </c>
      <c r="Q546" s="77" t="str">
        <f>VLOOKUP(J546,'p1'!$B$2:$C$30,2,0)</f>
        <v>NÃO TEM CHAPA</v>
      </c>
      <c r="R546" s="91"/>
      <c r="S546" s="91"/>
      <c r="T546" s="91" t="str">
        <f t="shared" si="34"/>
        <v/>
      </c>
      <c r="U546" s="91"/>
      <c r="V546" s="91"/>
      <c r="W546" s="93"/>
      <c r="X546" s="94" t="str">
        <f t="shared" si="35"/>
        <v/>
      </c>
      <c r="Y546"/>
    </row>
    <row r="547" spans="1:25">
      <c r="A547" s="90">
        <v>546</v>
      </c>
      <c r="B547" s="68"/>
      <c r="C547" s="40"/>
      <c r="D547" s="40" t="str">
        <f t="shared" si="32"/>
        <v/>
      </c>
      <c r="E547" s="44" t="s">
        <v>170</v>
      </c>
      <c r="F547" s="17" t="s">
        <v>58</v>
      </c>
      <c r="G547" s="17" t="s">
        <v>86</v>
      </c>
      <c r="H547" s="42" t="s">
        <v>783</v>
      </c>
      <c r="I547" s="17" t="str">
        <f t="shared" si="33"/>
        <v>PN-546</v>
      </c>
      <c r="J547" s="18" t="s">
        <v>85</v>
      </c>
      <c r="K547" s="19" t="e">
        <f>IF(J547="","SEM #CH",VLOOKUP(J547,#REF!,2,0))</f>
        <v>#REF!</v>
      </c>
      <c r="L547" s="19" t="e">
        <f>IF(J547="","SEM #CH",VLOOKUP(J547,#REF!,3,0))</f>
        <v>#REF!</v>
      </c>
      <c r="M547" s="19" t="e">
        <f>IF(J547="","SEM #CH",VLOOKUP(J547,#REF!,4,0))</f>
        <v>#REF!</v>
      </c>
      <c r="N547" s="19" t="e">
        <f>IF(J547="","SEM #CH",VLOOKUP(J547,#REF!,5,0))</f>
        <v>#REF!</v>
      </c>
      <c r="O547" s="19" t="e">
        <f>IF(J547="","SEM #CH",VLOOKUP(J547,#REF!,6,0))</f>
        <v>#REF!</v>
      </c>
      <c r="P547" s="19" t="e">
        <f>IF(J547="","SEM #CH",VLOOKUP(J547,#REF!,7,0))</f>
        <v>#REF!</v>
      </c>
      <c r="Q547" s="77" t="str">
        <f>VLOOKUP(J547,'p1'!$B$2:$C$30,2,0)</f>
        <v>NÃO TEM CHAPA</v>
      </c>
      <c r="R547" s="91"/>
      <c r="S547" s="91"/>
      <c r="T547" s="91" t="str">
        <f t="shared" si="34"/>
        <v/>
      </c>
      <c r="U547" s="91"/>
      <c r="V547" s="91"/>
      <c r="W547" s="93"/>
      <c r="X547" s="94" t="str">
        <f t="shared" si="35"/>
        <v/>
      </c>
      <c r="Y547"/>
    </row>
    <row r="548" spans="1:25">
      <c r="A548" s="90">
        <v>547</v>
      </c>
      <c r="B548" s="68"/>
      <c r="C548" s="40"/>
      <c r="D548" s="40" t="str">
        <f t="shared" si="32"/>
        <v/>
      </c>
      <c r="E548" s="44" t="s">
        <v>170</v>
      </c>
      <c r="F548" s="17" t="s">
        <v>58</v>
      </c>
      <c r="G548" s="17" t="s">
        <v>86</v>
      </c>
      <c r="H548" s="42" t="s">
        <v>784</v>
      </c>
      <c r="I548" s="17" t="str">
        <f t="shared" si="33"/>
        <v>PN-547</v>
      </c>
      <c r="J548" s="18" t="s">
        <v>85</v>
      </c>
      <c r="K548" s="19" t="e">
        <f>IF(J548="","SEM #CH",VLOOKUP(J548,#REF!,2,0))</f>
        <v>#REF!</v>
      </c>
      <c r="L548" s="19" t="e">
        <f>IF(J548="","SEM #CH",VLOOKUP(J548,#REF!,3,0))</f>
        <v>#REF!</v>
      </c>
      <c r="M548" s="19" t="e">
        <f>IF(J548="","SEM #CH",VLOOKUP(J548,#REF!,4,0))</f>
        <v>#REF!</v>
      </c>
      <c r="N548" s="19" t="e">
        <f>IF(J548="","SEM #CH",VLOOKUP(J548,#REF!,5,0))</f>
        <v>#REF!</v>
      </c>
      <c r="O548" s="19" t="e">
        <f>IF(J548="","SEM #CH",VLOOKUP(J548,#REF!,6,0))</f>
        <v>#REF!</v>
      </c>
      <c r="P548" s="19" t="e">
        <f>IF(J548="","SEM #CH",VLOOKUP(J548,#REF!,7,0))</f>
        <v>#REF!</v>
      </c>
      <c r="Q548" s="77" t="str">
        <f>VLOOKUP(J548,'p1'!$B$2:$C$30,2,0)</f>
        <v>NÃO TEM CHAPA</v>
      </c>
      <c r="R548" s="91"/>
      <c r="S548" s="91"/>
      <c r="T548" s="91" t="str">
        <f t="shared" si="34"/>
        <v/>
      </c>
      <c r="U548" s="91"/>
      <c r="V548" s="91"/>
      <c r="W548" s="93"/>
      <c r="X548" s="94" t="str">
        <f t="shared" si="35"/>
        <v/>
      </c>
      <c r="Y548"/>
    </row>
    <row r="549" spans="1:25">
      <c r="A549" s="90">
        <v>548</v>
      </c>
      <c r="B549" s="68"/>
      <c r="C549" s="40"/>
      <c r="D549" s="40" t="str">
        <f t="shared" si="32"/>
        <v/>
      </c>
      <c r="E549" s="44" t="s">
        <v>170</v>
      </c>
      <c r="F549" s="17" t="s">
        <v>58</v>
      </c>
      <c r="G549" s="17" t="s">
        <v>86</v>
      </c>
      <c r="H549" s="42" t="s">
        <v>785</v>
      </c>
      <c r="I549" s="17" t="str">
        <f t="shared" si="33"/>
        <v>PN-548</v>
      </c>
      <c r="J549" s="18" t="s">
        <v>85</v>
      </c>
      <c r="K549" s="19" t="e">
        <f>IF(J549="","SEM #CH",VLOOKUP(J549,#REF!,2,0))</f>
        <v>#REF!</v>
      </c>
      <c r="L549" s="19" t="e">
        <f>IF(J549="","SEM #CH",VLOOKUP(J549,#REF!,3,0))</f>
        <v>#REF!</v>
      </c>
      <c r="M549" s="19" t="e">
        <f>IF(J549="","SEM #CH",VLOOKUP(J549,#REF!,4,0))</f>
        <v>#REF!</v>
      </c>
      <c r="N549" s="19" t="e">
        <f>IF(J549="","SEM #CH",VLOOKUP(J549,#REF!,5,0))</f>
        <v>#REF!</v>
      </c>
      <c r="O549" s="19" t="e">
        <f>IF(J549="","SEM #CH",VLOOKUP(J549,#REF!,6,0))</f>
        <v>#REF!</v>
      </c>
      <c r="P549" s="19" t="e">
        <f>IF(J549="","SEM #CH",VLOOKUP(J549,#REF!,7,0))</f>
        <v>#REF!</v>
      </c>
      <c r="Q549" s="77" t="str">
        <f>VLOOKUP(J549,'p1'!$B$2:$C$30,2,0)</f>
        <v>NÃO TEM CHAPA</v>
      </c>
      <c r="R549" s="91"/>
      <c r="S549" s="91"/>
      <c r="T549" s="91" t="str">
        <f t="shared" si="34"/>
        <v/>
      </c>
      <c r="U549" s="91"/>
      <c r="V549" s="91"/>
      <c r="W549" s="93"/>
      <c r="X549" s="94" t="str">
        <f t="shared" si="35"/>
        <v/>
      </c>
      <c r="Y549"/>
    </row>
    <row r="550" spans="1:25">
      <c r="A550" s="90">
        <v>549</v>
      </c>
      <c r="B550" s="68"/>
      <c r="C550" s="40"/>
      <c r="D550" s="40" t="str">
        <f t="shared" si="32"/>
        <v/>
      </c>
      <c r="E550" s="44" t="s">
        <v>170</v>
      </c>
      <c r="F550" s="17" t="s">
        <v>58</v>
      </c>
      <c r="G550" s="17" t="s">
        <v>86</v>
      </c>
      <c r="H550" s="42" t="s">
        <v>786</v>
      </c>
      <c r="I550" s="17" t="str">
        <f t="shared" si="33"/>
        <v>PN-549</v>
      </c>
      <c r="J550" s="18" t="s">
        <v>85</v>
      </c>
      <c r="K550" s="19" t="e">
        <f>IF(J550="","SEM #CH",VLOOKUP(J550,#REF!,2,0))</f>
        <v>#REF!</v>
      </c>
      <c r="L550" s="19" t="e">
        <f>IF(J550="","SEM #CH",VLOOKUP(J550,#REF!,3,0))</f>
        <v>#REF!</v>
      </c>
      <c r="M550" s="19" t="e">
        <f>IF(J550="","SEM #CH",VLOOKUP(J550,#REF!,4,0))</f>
        <v>#REF!</v>
      </c>
      <c r="N550" s="19" t="e">
        <f>IF(J550="","SEM #CH",VLOOKUP(J550,#REF!,5,0))</f>
        <v>#REF!</v>
      </c>
      <c r="O550" s="19" t="e">
        <f>IF(J550="","SEM #CH",VLOOKUP(J550,#REF!,6,0))</f>
        <v>#REF!</v>
      </c>
      <c r="P550" s="19" t="e">
        <f>IF(J550="","SEM #CH",VLOOKUP(J550,#REF!,7,0))</f>
        <v>#REF!</v>
      </c>
      <c r="Q550" s="77" t="str">
        <f>VLOOKUP(J550,'p1'!$B$2:$C$30,2,0)</f>
        <v>NÃO TEM CHAPA</v>
      </c>
      <c r="R550" s="91"/>
      <c r="S550" s="91"/>
      <c r="T550" s="91" t="str">
        <f t="shared" si="34"/>
        <v/>
      </c>
      <c r="U550" s="91"/>
      <c r="V550" s="91"/>
      <c r="W550" s="93"/>
      <c r="X550" s="94" t="str">
        <f t="shared" si="35"/>
        <v/>
      </c>
      <c r="Y550"/>
    </row>
    <row r="551" spans="1:25">
      <c r="A551" s="90">
        <v>550</v>
      </c>
      <c r="B551" s="68"/>
      <c r="C551" s="40"/>
      <c r="D551" s="40" t="str">
        <f t="shared" si="32"/>
        <v/>
      </c>
      <c r="E551" s="44" t="s">
        <v>170</v>
      </c>
      <c r="F551" s="17" t="s">
        <v>58</v>
      </c>
      <c r="G551" s="17" t="s">
        <v>86</v>
      </c>
      <c r="H551" s="42" t="s">
        <v>787</v>
      </c>
      <c r="I551" s="17" t="str">
        <f t="shared" si="33"/>
        <v>PN-550</v>
      </c>
      <c r="J551" s="18" t="s">
        <v>85</v>
      </c>
      <c r="K551" s="19" t="e">
        <f>IF(J551="","SEM #CH",VLOOKUP(J551,#REF!,2,0))</f>
        <v>#REF!</v>
      </c>
      <c r="L551" s="19" t="e">
        <f>IF(J551="","SEM #CH",VLOOKUP(J551,#REF!,3,0))</f>
        <v>#REF!</v>
      </c>
      <c r="M551" s="19" t="e">
        <f>IF(J551="","SEM #CH",VLOOKUP(J551,#REF!,4,0))</f>
        <v>#REF!</v>
      </c>
      <c r="N551" s="19" t="e">
        <f>IF(J551="","SEM #CH",VLOOKUP(J551,#REF!,5,0))</f>
        <v>#REF!</v>
      </c>
      <c r="O551" s="19" t="e">
        <f>IF(J551="","SEM #CH",VLOOKUP(J551,#REF!,6,0))</f>
        <v>#REF!</v>
      </c>
      <c r="P551" s="19" t="e">
        <f>IF(J551="","SEM #CH",VLOOKUP(J551,#REF!,7,0))</f>
        <v>#REF!</v>
      </c>
      <c r="Q551" s="77" t="str">
        <f>VLOOKUP(J551,'p1'!$B$2:$C$30,2,0)</f>
        <v>NÃO TEM CHAPA</v>
      </c>
      <c r="R551" s="91"/>
      <c r="S551" s="91"/>
      <c r="T551" s="91" t="str">
        <f t="shared" si="34"/>
        <v/>
      </c>
      <c r="U551" s="91"/>
      <c r="V551" s="91"/>
      <c r="W551" s="93"/>
      <c r="X551" s="94" t="str">
        <f t="shared" si="35"/>
        <v/>
      </c>
      <c r="Y551"/>
    </row>
    <row r="552" spans="1:25">
      <c r="A552" s="90">
        <v>551</v>
      </c>
      <c r="B552" s="68"/>
      <c r="C552" s="40"/>
      <c r="D552" s="40" t="str">
        <f t="shared" si="32"/>
        <v/>
      </c>
      <c r="E552" s="44" t="s">
        <v>170</v>
      </c>
      <c r="F552" s="17" t="s">
        <v>58</v>
      </c>
      <c r="G552" s="17" t="s">
        <v>86</v>
      </c>
      <c r="H552" s="42" t="s">
        <v>788</v>
      </c>
      <c r="I552" s="17" t="str">
        <f t="shared" si="33"/>
        <v>PN-551</v>
      </c>
      <c r="J552" s="18" t="s">
        <v>85</v>
      </c>
      <c r="K552" s="19" t="e">
        <f>IF(J552="","SEM #CH",VLOOKUP(J552,#REF!,2,0))</f>
        <v>#REF!</v>
      </c>
      <c r="L552" s="19" t="e">
        <f>IF(J552="","SEM #CH",VLOOKUP(J552,#REF!,3,0))</f>
        <v>#REF!</v>
      </c>
      <c r="M552" s="19" t="e">
        <f>IF(J552="","SEM #CH",VLOOKUP(J552,#REF!,4,0))</f>
        <v>#REF!</v>
      </c>
      <c r="N552" s="19" t="e">
        <f>IF(J552="","SEM #CH",VLOOKUP(J552,#REF!,5,0))</f>
        <v>#REF!</v>
      </c>
      <c r="O552" s="19" t="e">
        <f>IF(J552="","SEM #CH",VLOOKUP(J552,#REF!,6,0))</f>
        <v>#REF!</v>
      </c>
      <c r="P552" s="19" t="e">
        <f>IF(J552="","SEM #CH",VLOOKUP(J552,#REF!,7,0))</f>
        <v>#REF!</v>
      </c>
      <c r="Q552" s="77" t="str">
        <f>VLOOKUP(J552,'p1'!$B$2:$C$30,2,0)</f>
        <v>NÃO TEM CHAPA</v>
      </c>
      <c r="R552" s="91"/>
      <c r="S552" s="91"/>
      <c r="T552" s="91" t="str">
        <f t="shared" si="34"/>
        <v/>
      </c>
      <c r="U552" s="91"/>
      <c r="V552" s="91"/>
      <c r="W552" s="93"/>
      <c r="X552" s="94" t="str">
        <f t="shared" si="35"/>
        <v/>
      </c>
      <c r="Y552"/>
    </row>
    <row r="553" spans="1:25">
      <c r="A553" s="90">
        <v>552</v>
      </c>
      <c r="B553" s="68"/>
      <c r="C553" s="40"/>
      <c r="D553" s="40" t="str">
        <f t="shared" si="32"/>
        <v/>
      </c>
      <c r="E553" s="44" t="s">
        <v>170</v>
      </c>
      <c r="F553" s="17" t="s">
        <v>58</v>
      </c>
      <c r="G553" s="17" t="s">
        <v>86</v>
      </c>
      <c r="H553" s="42" t="s">
        <v>789</v>
      </c>
      <c r="I553" s="17" t="str">
        <f t="shared" si="33"/>
        <v>PN-552</v>
      </c>
      <c r="J553" s="18" t="s">
        <v>85</v>
      </c>
      <c r="K553" s="19" t="e">
        <f>IF(J553="","SEM #CH",VLOOKUP(J553,#REF!,2,0))</f>
        <v>#REF!</v>
      </c>
      <c r="L553" s="19" t="e">
        <f>IF(J553="","SEM #CH",VLOOKUP(J553,#REF!,3,0))</f>
        <v>#REF!</v>
      </c>
      <c r="M553" s="19" t="e">
        <f>IF(J553="","SEM #CH",VLOOKUP(J553,#REF!,4,0))</f>
        <v>#REF!</v>
      </c>
      <c r="N553" s="19" t="e">
        <f>IF(J553="","SEM #CH",VLOOKUP(J553,#REF!,5,0))</f>
        <v>#REF!</v>
      </c>
      <c r="O553" s="19" t="e">
        <f>IF(J553="","SEM #CH",VLOOKUP(J553,#REF!,6,0))</f>
        <v>#REF!</v>
      </c>
      <c r="P553" s="19" t="e">
        <f>IF(J553="","SEM #CH",VLOOKUP(J553,#REF!,7,0))</f>
        <v>#REF!</v>
      </c>
      <c r="Q553" s="77" t="str">
        <f>VLOOKUP(J553,'p1'!$B$2:$C$30,2,0)</f>
        <v>NÃO TEM CHAPA</v>
      </c>
      <c r="R553" s="91"/>
      <c r="S553" s="91"/>
      <c r="T553" s="91" t="str">
        <f t="shared" si="34"/>
        <v/>
      </c>
      <c r="U553" s="91"/>
      <c r="V553" s="91"/>
      <c r="W553" s="93"/>
      <c r="X553" s="94" t="str">
        <f t="shared" si="35"/>
        <v/>
      </c>
      <c r="Y553"/>
    </row>
    <row r="554" spans="1:25">
      <c r="A554" s="90">
        <v>553</v>
      </c>
      <c r="B554" s="68"/>
      <c r="C554" s="40"/>
      <c r="D554" s="40" t="str">
        <f t="shared" si="32"/>
        <v/>
      </c>
      <c r="E554" s="44" t="s">
        <v>170</v>
      </c>
      <c r="F554" s="17" t="s">
        <v>58</v>
      </c>
      <c r="G554" s="17" t="s">
        <v>86</v>
      </c>
      <c r="H554" s="42" t="s">
        <v>790</v>
      </c>
      <c r="I554" s="17" t="str">
        <f t="shared" si="33"/>
        <v>PN-553</v>
      </c>
      <c r="J554" s="18" t="s">
        <v>85</v>
      </c>
      <c r="K554" s="19" t="e">
        <f>IF(J554="","SEM #CH",VLOOKUP(J554,#REF!,2,0))</f>
        <v>#REF!</v>
      </c>
      <c r="L554" s="19" t="e">
        <f>IF(J554="","SEM #CH",VLOOKUP(J554,#REF!,3,0))</f>
        <v>#REF!</v>
      </c>
      <c r="M554" s="19" t="e">
        <f>IF(J554="","SEM #CH",VLOOKUP(J554,#REF!,4,0))</f>
        <v>#REF!</v>
      </c>
      <c r="N554" s="19" t="e">
        <f>IF(J554="","SEM #CH",VLOOKUP(J554,#REF!,5,0))</f>
        <v>#REF!</v>
      </c>
      <c r="O554" s="19" t="e">
        <f>IF(J554="","SEM #CH",VLOOKUP(J554,#REF!,6,0))</f>
        <v>#REF!</v>
      </c>
      <c r="P554" s="19" t="e">
        <f>IF(J554="","SEM #CH",VLOOKUP(J554,#REF!,7,0))</f>
        <v>#REF!</v>
      </c>
      <c r="Q554" s="77" t="str">
        <f>VLOOKUP(J554,'p1'!$B$2:$C$30,2,0)</f>
        <v>NÃO TEM CHAPA</v>
      </c>
      <c r="R554" s="91"/>
      <c r="S554" s="91"/>
      <c r="T554" s="91" t="str">
        <f t="shared" si="34"/>
        <v/>
      </c>
      <c r="U554" s="91"/>
      <c r="V554" s="91"/>
      <c r="W554" s="93"/>
      <c r="X554" s="94" t="str">
        <f t="shared" si="35"/>
        <v/>
      </c>
      <c r="Y554"/>
    </row>
    <row r="555" spans="1:25">
      <c r="A555" s="90">
        <v>554</v>
      </c>
      <c r="B555" s="68"/>
      <c r="C555" s="40"/>
      <c r="D555" s="40" t="str">
        <f t="shared" si="32"/>
        <v/>
      </c>
      <c r="E555" s="44" t="s">
        <v>170</v>
      </c>
      <c r="F555" s="17" t="s">
        <v>58</v>
      </c>
      <c r="G555" s="17" t="s">
        <v>86</v>
      </c>
      <c r="H555" s="42" t="s">
        <v>791</v>
      </c>
      <c r="I555" s="17" t="str">
        <f t="shared" si="33"/>
        <v>PN-554</v>
      </c>
      <c r="J555" s="18" t="s">
        <v>85</v>
      </c>
      <c r="K555" s="19" t="e">
        <f>IF(J555="","SEM #CH",VLOOKUP(J555,#REF!,2,0))</f>
        <v>#REF!</v>
      </c>
      <c r="L555" s="19" t="e">
        <f>IF(J555="","SEM #CH",VLOOKUP(J555,#REF!,3,0))</f>
        <v>#REF!</v>
      </c>
      <c r="M555" s="19" t="e">
        <f>IF(J555="","SEM #CH",VLOOKUP(J555,#REF!,4,0))</f>
        <v>#REF!</v>
      </c>
      <c r="N555" s="19" t="e">
        <f>IF(J555="","SEM #CH",VLOOKUP(J555,#REF!,5,0))</f>
        <v>#REF!</v>
      </c>
      <c r="O555" s="19" t="e">
        <f>IF(J555="","SEM #CH",VLOOKUP(J555,#REF!,6,0))</f>
        <v>#REF!</v>
      </c>
      <c r="P555" s="19" t="e">
        <f>IF(J555="","SEM #CH",VLOOKUP(J555,#REF!,7,0))</f>
        <v>#REF!</v>
      </c>
      <c r="Q555" s="77" t="str">
        <f>VLOOKUP(J555,'p1'!$B$2:$C$30,2,0)</f>
        <v>NÃO TEM CHAPA</v>
      </c>
      <c r="R555" s="91"/>
      <c r="S555" s="91"/>
      <c r="T555" s="91" t="str">
        <f t="shared" si="34"/>
        <v/>
      </c>
      <c r="U555" s="91"/>
      <c r="V555" s="91"/>
      <c r="W555" s="93"/>
      <c r="X555" s="94" t="str">
        <f t="shared" si="35"/>
        <v/>
      </c>
      <c r="Y555"/>
    </row>
    <row r="556" spans="1:25">
      <c r="A556" s="90">
        <v>555</v>
      </c>
      <c r="B556" s="68"/>
      <c r="C556" s="40"/>
      <c r="D556" s="40" t="str">
        <f t="shared" si="32"/>
        <v/>
      </c>
      <c r="E556" s="44" t="s">
        <v>170</v>
      </c>
      <c r="F556" s="17" t="s">
        <v>60</v>
      </c>
      <c r="G556" s="17" t="s">
        <v>86</v>
      </c>
      <c r="H556" s="42" t="s">
        <v>792</v>
      </c>
      <c r="I556" s="17" t="str">
        <f t="shared" si="33"/>
        <v>PE-555</v>
      </c>
      <c r="J556" s="18" t="s">
        <v>88</v>
      </c>
      <c r="K556" s="19" t="e">
        <f>IF(J556="","SEM #CH",VLOOKUP(J556,#REF!,2,0))</f>
        <v>#REF!</v>
      </c>
      <c r="L556" s="19" t="e">
        <f>IF(J556="","SEM #CH",VLOOKUP(J556,#REF!,3,0))</f>
        <v>#REF!</v>
      </c>
      <c r="M556" s="19" t="e">
        <f>IF(J556="","SEM #CH",VLOOKUP(J556,#REF!,4,0))</f>
        <v>#REF!</v>
      </c>
      <c r="N556" s="19" t="e">
        <f>IF(J556="","SEM #CH",VLOOKUP(J556,#REF!,5,0))</f>
        <v>#REF!</v>
      </c>
      <c r="O556" s="19" t="e">
        <f>IF(J556="","SEM #CH",VLOOKUP(J556,#REF!,6,0))</f>
        <v>#REF!</v>
      </c>
      <c r="P556" s="19" t="e">
        <f>IF(J556="","SEM #CH",VLOOKUP(J556,#REF!,7,0))</f>
        <v>#REF!</v>
      </c>
      <c r="Q556" s="77" t="str">
        <f>VLOOKUP(J556,'p1'!$B$2:$C$30,2,0)</f>
        <v>#3/8-1315X1315</v>
      </c>
      <c r="R556" s="91"/>
      <c r="S556" s="91"/>
      <c r="T556" s="91" t="str">
        <f t="shared" si="34"/>
        <v/>
      </c>
      <c r="U556" s="91"/>
      <c r="V556" s="91"/>
      <c r="W556" s="93"/>
      <c r="X556" s="94" t="str">
        <f t="shared" si="35"/>
        <v/>
      </c>
      <c r="Y556"/>
    </row>
    <row r="557" spans="1:25">
      <c r="A557" s="90">
        <v>556</v>
      </c>
      <c r="B557" s="68"/>
      <c r="C557" s="40"/>
      <c r="D557" s="40" t="str">
        <f t="shared" si="32"/>
        <v/>
      </c>
      <c r="E557" s="44" t="s">
        <v>170</v>
      </c>
      <c r="F557" s="17" t="s">
        <v>58</v>
      </c>
      <c r="G557" s="17" t="s">
        <v>86</v>
      </c>
      <c r="H557" s="42" t="s">
        <v>793</v>
      </c>
      <c r="I557" s="17" t="str">
        <f t="shared" si="33"/>
        <v>PN-556</v>
      </c>
      <c r="J557" s="18" t="s">
        <v>85</v>
      </c>
      <c r="K557" s="19" t="e">
        <f>IF(J557="","SEM #CH",VLOOKUP(J557,#REF!,2,0))</f>
        <v>#REF!</v>
      </c>
      <c r="L557" s="19" t="e">
        <f>IF(J557="","SEM #CH",VLOOKUP(J557,#REF!,3,0))</f>
        <v>#REF!</v>
      </c>
      <c r="M557" s="19" t="e">
        <f>IF(J557="","SEM #CH",VLOOKUP(J557,#REF!,4,0))</f>
        <v>#REF!</v>
      </c>
      <c r="N557" s="19" t="e">
        <f>IF(J557="","SEM #CH",VLOOKUP(J557,#REF!,5,0))</f>
        <v>#REF!</v>
      </c>
      <c r="O557" s="19" t="e">
        <f>IF(J557="","SEM #CH",VLOOKUP(J557,#REF!,6,0))</f>
        <v>#REF!</v>
      </c>
      <c r="P557" s="19" t="e">
        <f>IF(J557="","SEM #CH",VLOOKUP(J557,#REF!,7,0))</f>
        <v>#REF!</v>
      </c>
      <c r="Q557" s="77" t="str">
        <f>VLOOKUP(J557,'p1'!$B$2:$C$30,2,0)</f>
        <v>NÃO TEM CHAPA</v>
      </c>
      <c r="R557" s="91"/>
      <c r="S557" s="91"/>
      <c r="T557" s="91" t="str">
        <f t="shared" si="34"/>
        <v/>
      </c>
      <c r="U557" s="91"/>
      <c r="V557" s="91"/>
      <c r="W557" s="93"/>
      <c r="X557" s="94" t="str">
        <f t="shared" si="35"/>
        <v/>
      </c>
      <c r="Y557"/>
    </row>
    <row r="558" spans="1:25">
      <c r="A558" s="90">
        <v>557</v>
      </c>
      <c r="B558" s="68"/>
      <c r="C558" s="40"/>
      <c r="D558" s="40" t="str">
        <f t="shared" si="32"/>
        <v/>
      </c>
      <c r="E558" s="44" t="s">
        <v>170</v>
      </c>
      <c r="F558" s="17" t="s">
        <v>58</v>
      </c>
      <c r="G558" s="17" t="s">
        <v>86</v>
      </c>
      <c r="H558" s="42" t="s">
        <v>794</v>
      </c>
      <c r="I558" s="17" t="str">
        <f t="shared" si="33"/>
        <v>PN-557</v>
      </c>
      <c r="J558" s="18" t="s">
        <v>85</v>
      </c>
      <c r="K558" s="19" t="e">
        <f>IF(J558="","SEM #CH",VLOOKUP(J558,#REF!,2,0))</f>
        <v>#REF!</v>
      </c>
      <c r="L558" s="19" t="e">
        <f>IF(J558="","SEM #CH",VLOOKUP(J558,#REF!,3,0))</f>
        <v>#REF!</v>
      </c>
      <c r="M558" s="19" t="e">
        <f>IF(J558="","SEM #CH",VLOOKUP(J558,#REF!,4,0))</f>
        <v>#REF!</v>
      </c>
      <c r="N558" s="19" t="e">
        <f>IF(J558="","SEM #CH",VLOOKUP(J558,#REF!,5,0))</f>
        <v>#REF!</v>
      </c>
      <c r="O558" s="19" t="e">
        <f>IF(J558="","SEM #CH",VLOOKUP(J558,#REF!,6,0))</f>
        <v>#REF!</v>
      </c>
      <c r="P558" s="19" t="e">
        <f>IF(J558="","SEM #CH",VLOOKUP(J558,#REF!,7,0))</f>
        <v>#REF!</v>
      </c>
      <c r="Q558" s="77" t="str">
        <f>VLOOKUP(J558,'p1'!$B$2:$C$30,2,0)</f>
        <v>NÃO TEM CHAPA</v>
      </c>
      <c r="R558" s="91"/>
      <c r="S558" s="91"/>
      <c r="T558" s="91" t="str">
        <f t="shared" si="34"/>
        <v/>
      </c>
      <c r="U558" s="91"/>
      <c r="V558" s="91"/>
      <c r="W558" s="93"/>
      <c r="X558" s="94" t="str">
        <f t="shared" si="35"/>
        <v/>
      </c>
      <c r="Y558"/>
    </row>
    <row r="559" spans="1:25">
      <c r="A559" s="90">
        <v>558</v>
      </c>
      <c r="B559" s="68"/>
      <c r="C559" s="40"/>
      <c r="D559" s="40" t="str">
        <f t="shared" si="32"/>
        <v/>
      </c>
      <c r="E559" s="44" t="s">
        <v>170</v>
      </c>
      <c r="F559" s="17" t="s">
        <v>58</v>
      </c>
      <c r="G559" s="17" t="s">
        <v>86</v>
      </c>
      <c r="H559" s="42" t="s">
        <v>795</v>
      </c>
      <c r="I559" s="17" t="str">
        <f t="shared" si="33"/>
        <v>PN-558</v>
      </c>
      <c r="J559" s="18" t="s">
        <v>85</v>
      </c>
      <c r="K559" s="19" t="e">
        <f>IF(J559="","SEM #CH",VLOOKUP(J559,#REF!,2,0))</f>
        <v>#REF!</v>
      </c>
      <c r="L559" s="19" t="e">
        <f>IF(J559="","SEM #CH",VLOOKUP(J559,#REF!,3,0))</f>
        <v>#REF!</v>
      </c>
      <c r="M559" s="19" t="e">
        <f>IF(J559="","SEM #CH",VLOOKUP(J559,#REF!,4,0))</f>
        <v>#REF!</v>
      </c>
      <c r="N559" s="19" t="e">
        <f>IF(J559="","SEM #CH",VLOOKUP(J559,#REF!,5,0))</f>
        <v>#REF!</v>
      </c>
      <c r="O559" s="19" t="e">
        <f>IF(J559="","SEM #CH",VLOOKUP(J559,#REF!,6,0))</f>
        <v>#REF!</v>
      </c>
      <c r="P559" s="19" t="e">
        <f>IF(J559="","SEM #CH",VLOOKUP(J559,#REF!,7,0))</f>
        <v>#REF!</v>
      </c>
      <c r="Q559" s="77" t="str">
        <f>VLOOKUP(J559,'p1'!$B$2:$C$30,2,0)</f>
        <v>NÃO TEM CHAPA</v>
      </c>
      <c r="R559" s="91"/>
      <c r="S559" s="91"/>
      <c r="T559" s="91" t="str">
        <f t="shared" si="34"/>
        <v/>
      </c>
      <c r="U559" s="91"/>
      <c r="V559" s="91"/>
      <c r="W559" s="93"/>
      <c r="X559" s="94" t="str">
        <f t="shared" si="35"/>
        <v/>
      </c>
      <c r="Y559"/>
    </row>
    <row r="560" spans="1:25">
      <c r="A560" s="90">
        <v>559</v>
      </c>
      <c r="B560" s="68"/>
      <c r="C560" s="40"/>
      <c r="D560" s="40" t="str">
        <f t="shared" si="32"/>
        <v/>
      </c>
      <c r="E560" s="47" t="s">
        <v>171</v>
      </c>
      <c r="F560" s="17" t="s">
        <v>61</v>
      </c>
      <c r="G560" s="17" t="s">
        <v>86</v>
      </c>
      <c r="H560" s="42" t="s">
        <v>796</v>
      </c>
      <c r="I560" s="17" t="str">
        <f t="shared" si="33"/>
        <v>PF-559</v>
      </c>
      <c r="J560" s="18" t="s">
        <v>61</v>
      </c>
      <c r="K560" s="19" t="e">
        <f>IF(J560="","SEM #CH",VLOOKUP(J560,#REF!,2,0))</f>
        <v>#REF!</v>
      </c>
      <c r="L560" s="19" t="e">
        <f>IF(J560="","SEM #CH",VLOOKUP(J560,#REF!,3,0))</f>
        <v>#REF!</v>
      </c>
      <c r="M560" s="19" t="e">
        <f>IF(J560="","SEM #CH",VLOOKUP(J560,#REF!,4,0))</f>
        <v>#REF!</v>
      </c>
      <c r="N560" s="19" t="e">
        <f>IF(J560="","SEM #CH",VLOOKUP(J560,#REF!,5,0))</f>
        <v>#REF!</v>
      </c>
      <c r="O560" s="19" t="e">
        <f>IF(J560="","SEM #CH",VLOOKUP(J560,#REF!,6,0))</f>
        <v>#REF!</v>
      </c>
      <c r="P560" s="19" t="e">
        <f>IF(J560="","SEM #CH",VLOOKUP(J560,#REF!,7,0))</f>
        <v>#REF!</v>
      </c>
      <c r="Q560" s="77" t="str">
        <f>VLOOKUP(J560,'p1'!$B$2:$C$30,2,0)</f>
        <v>SEM CHAPA</v>
      </c>
      <c r="R560" s="91"/>
      <c r="S560" s="91"/>
      <c r="T560" s="91" t="str">
        <f t="shared" si="34"/>
        <v/>
      </c>
      <c r="U560" s="91"/>
      <c r="V560" s="91"/>
      <c r="W560" s="93"/>
      <c r="X560" s="94" t="str">
        <f t="shared" si="35"/>
        <v/>
      </c>
      <c r="Y560"/>
    </row>
    <row r="561" spans="1:25">
      <c r="A561" s="90">
        <v>560</v>
      </c>
      <c r="B561" s="68"/>
      <c r="C561" s="40"/>
      <c r="D561" s="40" t="str">
        <f t="shared" si="32"/>
        <v/>
      </c>
      <c r="E561" s="47" t="s">
        <v>171</v>
      </c>
      <c r="F561" s="17" t="s">
        <v>58</v>
      </c>
      <c r="G561" s="17" t="s">
        <v>86</v>
      </c>
      <c r="H561" s="42" t="s">
        <v>797</v>
      </c>
      <c r="I561" s="17" t="str">
        <f t="shared" si="33"/>
        <v>PN-560</v>
      </c>
      <c r="J561" s="18" t="s">
        <v>85</v>
      </c>
      <c r="K561" s="19" t="e">
        <f>IF(J561="","SEM #CH",VLOOKUP(J561,#REF!,2,0))</f>
        <v>#REF!</v>
      </c>
      <c r="L561" s="19" t="e">
        <f>IF(J561="","SEM #CH",VLOOKUP(J561,#REF!,3,0))</f>
        <v>#REF!</v>
      </c>
      <c r="M561" s="19" t="e">
        <f>IF(J561="","SEM #CH",VLOOKUP(J561,#REF!,4,0))</f>
        <v>#REF!</v>
      </c>
      <c r="N561" s="19" t="e">
        <f>IF(J561="","SEM #CH",VLOOKUP(J561,#REF!,5,0))</f>
        <v>#REF!</v>
      </c>
      <c r="O561" s="19" t="e">
        <f>IF(J561="","SEM #CH",VLOOKUP(J561,#REF!,6,0))</f>
        <v>#REF!</v>
      </c>
      <c r="P561" s="19" t="e">
        <f>IF(J561="","SEM #CH",VLOOKUP(J561,#REF!,7,0))</f>
        <v>#REF!</v>
      </c>
      <c r="Q561" s="77" t="str">
        <f>VLOOKUP(J561,'p1'!$B$2:$C$30,2,0)</f>
        <v>NÃO TEM CHAPA</v>
      </c>
      <c r="R561" s="91"/>
      <c r="S561" s="91"/>
      <c r="T561" s="91" t="str">
        <f t="shared" si="34"/>
        <v/>
      </c>
      <c r="U561" s="91"/>
      <c r="V561" s="91"/>
      <c r="W561" s="93"/>
      <c r="X561" s="94" t="str">
        <f t="shared" si="35"/>
        <v/>
      </c>
      <c r="Y561"/>
    </row>
    <row r="562" spans="1:25">
      <c r="A562" s="90">
        <v>561</v>
      </c>
      <c r="B562" s="68"/>
      <c r="C562" s="40"/>
      <c r="D562" s="40" t="str">
        <f t="shared" si="32"/>
        <v/>
      </c>
      <c r="E562" s="47" t="s">
        <v>171</v>
      </c>
      <c r="F562" s="17" t="s">
        <v>58</v>
      </c>
      <c r="G562" s="17" t="s">
        <v>86</v>
      </c>
      <c r="H562" s="42" t="s">
        <v>798</v>
      </c>
      <c r="I562" s="17" t="str">
        <f t="shared" si="33"/>
        <v>PN-561</v>
      </c>
      <c r="J562" s="18" t="s">
        <v>85</v>
      </c>
      <c r="K562" s="19" t="e">
        <f>IF(J562="","SEM #CH",VLOOKUP(J562,#REF!,2,0))</f>
        <v>#REF!</v>
      </c>
      <c r="L562" s="19" t="e">
        <f>IF(J562="","SEM #CH",VLOOKUP(J562,#REF!,3,0))</f>
        <v>#REF!</v>
      </c>
      <c r="M562" s="19" t="e">
        <f>IF(J562="","SEM #CH",VLOOKUP(J562,#REF!,4,0))</f>
        <v>#REF!</v>
      </c>
      <c r="N562" s="19" t="e">
        <f>IF(J562="","SEM #CH",VLOOKUP(J562,#REF!,5,0))</f>
        <v>#REF!</v>
      </c>
      <c r="O562" s="19" t="e">
        <f>IF(J562="","SEM #CH",VLOOKUP(J562,#REF!,6,0))</f>
        <v>#REF!</v>
      </c>
      <c r="P562" s="19" t="e">
        <f>IF(J562="","SEM #CH",VLOOKUP(J562,#REF!,7,0))</f>
        <v>#REF!</v>
      </c>
      <c r="Q562" s="77" t="str">
        <f>VLOOKUP(J562,'p1'!$B$2:$C$30,2,0)</f>
        <v>NÃO TEM CHAPA</v>
      </c>
      <c r="R562" s="91"/>
      <c r="S562" s="91"/>
      <c r="T562" s="91" t="str">
        <f t="shared" si="34"/>
        <v/>
      </c>
      <c r="U562" s="91"/>
      <c r="V562" s="91"/>
      <c r="W562" s="93"/>
      <c r="X562" s="94" t="str">
        <f t="shared" si="35"/>
        <v/>
      </c>
      <c r="Y562"/>
    </row>
    <row r="563" spans="1:25">
      <c r="A563" s="90">
        <v>562</v>
      </c>
      <c r="B563" s="68"/>
      <c r="C563" s="40"/>
      <c r="D563" s="40" t="str">
        <f t="shared" si="32"/>
        <v/>
      </c>
      <c r="E563" s="47" t="s">
        <v>171</v>
      </c>
      <c r="F563" s="17" t="s">
        <v>58</v>
      </c>
      <c r="G563" s="17" t="s">
        <v>86</v>
      </c>
      <c r="H563" s="42" t="s">
        <v>799</v>
      </c>
      <c r="I563" s="17" t="str">
        <f t="shared" si="33"/>
        <v>PN-562</v>
      </c>
      <c r="J563" s="18" t="s">
        <v>85</v>
      </c>
      <c r="K563" s="19" t="e">
        <f>IF(J563="","SEM #CH",VLOOKUP(J563,#REF!,2,0))</f>
        <v>#REF!</v>
      </c>
      <c r="L563" s="19" t="e">
        <f>IF(J563="","SEM #CH",VLOOKUP(J563,#REF!,3,0))</f>
        <v>#REF!</v>
      </c>
      <c r="M563" s="19" t="e">
        <f>IF(J563="","SEM #CH",VLOOKUP(J563,#REF!,4,0))</f>
        <v>#REF!</v>
      </c>
      <c r="N563" s="19" t="e">
        <f>IF(J563="","SEM #CH",VLOOKUP(J563,#REF!,5,0))</f>
        <v>#REF!</v>
      </c>
      <c r="O563" s="19" t="e">
        <f>IF(J563="","SEM #CH",VLOOKUP(J563,#REF!,6,0))</f>
        <v>#REF!</v>
      </c>
      <c r="P563" s="19" t="e">
        <f>IF(J563="","SEM #CH",VLOOKUP(J563,#REF!,7,0))</f>
        <v>#REF!</v>
      </c>
      <c r="Q563" s="77" t="str">
        <f>VLOOKUP(J563,'p1'!$B$2:$C$30,2,0)</f>
        <v>NÃO TEM CHAPA</v>
      </c>
      <c r="R563" s="91"/>
      <c r="S563" s="91"/>
      <c r="T563" s="91" t="str">
        <f t="shared" si="34"/>
        <v/>
      </c>
      <c r="U563" s="91"/>
      <c r="V563" s="91"/>
      <c r="W563" s="93"/>
      <c r="X563" s="94" t="str">
        <f t="shared" si="35"/>
        <v/>
      </c>
      <c r="Y563"/>
    </row>
    <row r="564" spans="1:25">
      <c r="A564" s="90">
        <v>563</v>
      </c>
      <c r="B564" s="68"/>
      <c r="C564" s="40"/>
      <c r="D564" s="40" t="str">
        <f t="shared" si="32"/>
        <v/>
      </c>
      <c r="E564" s="47" t="s">
        <v>171</v>
      </c>
      <c r="F564" s="17" t="s">
        <v>58</v>
      </c>
      <c r="G564" s="17" t="s">
        <v>86</v>
      </c>
      <c r="H564" s="42" t="s">
        <v>800</v>
      </c>
      <c r="I564" s="17" t="str">
        <f t="shared" si="33"/>
        <v>PN-563</v>
      </c>
      <c r="J564" s="18" t="s">
        <v>85</v>
      </c>
      <c r="K564" s="19" t="e">
        <f>IF(J564="","SEM #CH",VLOOKUP(J564,#REF!,2,0))</f>
        <v>#REF!</v>
      </c>
      <c r="L564" s="19" t="e">
        <f>IF(J564="","SEM #CH",VLOOKUP(J564,#REF!,3,0))</f>
        <v>#REF!</v>
      </c>
      <c r="M564" s="19" t="e">
        <f>IF(J564="","SEM #CH",VLOOKUP(J564,#REF!,4,0))</f>
        <v>#REF!</v>
      </c>
      <c r="N564" s="19" t="e">
        <f>IF(J564="","SEM #CH",VLOOKUP(J564,#REF!,5,0))</f>
        <v>#REF!</v>
      </c>
      <c r="O564" s="19" t="e">
        <f>IF(J564="","SEM #CH",VLOOKUP(J564,#REF!,6,0))</f>
        <v>#REF!</v>
      </c>
      <c r="P564" s="19" t="e">
        <f>IF(J564="","SEM #CH",VLOOKUP(J564,#REF!,7,0))</f>
        <v>#REF!</v>
      </c>
      <c r="Q564" s="77" t="str">
        <f>VLOOKUP(J564,'p1'!$B$2:$C$30,2,0)</f>
        <v>NÃO TEM CHAPA</v>
      </c>
      <c r="R564" s="91"/>
      <c r="S564" s="91"/>
      <c r="T564" s="91" t="str">
        <f t="shared" si="34"/>
        <v/>
      </c>
      <c r="U564" s="91"/>
      <c r="V564" s="91"/>
      <c r="W564" s="93"/>
      <c r="X564" s="94" t="str">
        <f t="shared" si="35"/>
        <v/>
      </c>
      <c r="Y564"/>
    </row>
    <row r="565" spans="1:25">
      <c r="A565" s="90">
        <v>564</v>
      </c>
      <c r="B565" s="68"/>
      <c r="C565" s="40"/>
      <c r="D565" s="40" t="str">
        <f t="shared" si="32"/>
        <v/>
      </c>
      <c r="E565" s="47" t="s">
        <v>171</v>
      </c>
      <c r="F565" s="17" t="s">
        <v>58</v>
      </c>
      <c r="G565" s="17" t="s">
        <v>86</v>
      </c>
      <c r="H565" s="42" t="s">
        <v>801</v>
      </c>
      <c r="I565" s="17" t="str">
        <f t="shared" si="33"/>
        <v>PN-564</v>
      </c>
      <c r="J565" s="18" t="s">
        <v>85</v>
      </c>
      <c r="K565" s="19" t="e">
        <f>IF(J565="","SEM #CH",VLOOKUP(J565,#REF!,2,0))</f>
        <v>#REF!</v>
      </c>
      <c r="L565" s="19" t="e">
        <f>IF(J565="","SEM #CH",VLOOKUP(J565,#REF!,3,0))</f>
        <v>#REF!</v>
      </c>
      <c r="M565" s="19" t="e">
        <f>IF(J565="","SEM #CH",VLOOKUP(J565,#REF!,4,0))</f>
        <v>#REF!</v>
      </c>
      <c r="N565" s="19" t="e">
        <f>IF(J565="","SEM #CH",VLOOKUP(J565,#REF!,5,0))</f>
        <v>#REF!</v>
      </c>
      <c r="O565" s="19" t="e">
        <f>IF(J565="","SEM #CH",VLOOKUP(J565,#REF!,6,0))</f>
        <v>#REF!</v>
      </c>
      <c r="P565" s="19" t="e">
        <f>IF(J565="","SEM #CH",VLOOKUP(J565,#REF!,7,0))</f>
        <v>#REF!</v>
      </c>
      <c r="Q565" s="77" t="str">
        <f>VLOOKUP(J565,'p1'!$B$2:$C$30,2,0)</f>
        <v>NÃO TEM CHAPA</v>
      </c>
      <c r="R565" s="91"/>
      <c r="S565" s="91"/>
      <c r="T565" s="91" t="str">
        <f t="shared" si="34"/>
        <v/>
      </c>
      <c r="U565" s="91"/>
      <c r="V565" s="91"/>
      <c r="W565" s="93"/>
      <c r="X565" s="94" t="str">
        <f t="shared" si="35"/>
        <v/>
      </c>
      <c r="Y565"/>
    </row>
    <row r="566" spans="1:25">
      <c r="A566" s="90">
        <v>565</v>
      </c>
      <c r="B566" s="68"/>
      <c r="C566" s="40"/>
      <c r="D566" s="40" t="str">
        <f t="shared" si="32"/>
        <v/>
      </c>
      <c r="E566" s="47" t="s">
        <v>171</v>
      </c>
      <c r="F566" s="17" t="s">
        <v>58</v>
      </c>
      <c r="G566" s="17" t="s">
        <v>86</v>
      </c>
      <c r="H566" s="42" t="s">
        <v>802</v>
      </c>
      <c r="I566" s="17" t="str">
        <f t="shared" si="33"/>
        <v>PN-565</v>
      </c>
      <c r="J566" s="18" t="s">
        <v>85</v>
      </c>
      <c r="K566" s="19" t="e">
        <f>IF(J566="","SEM #CH",VLOOKUP(J566,#REF!,2,0))</f>
        <v>#REF!</v>
      </c>
      <c r="L566" s="19" t="e">
        <f>IF(J566="","SEM #CH",VLOOKUP(J566,#REF!,3,0))</f>
        <v>#REF!</v>
      </c>
      <c r="M566" s="19" t="e">
        <f>IF(J566="","SEM #CH",VLOOKUP(J566,#REF!,4,0))</f>
        <v>#REF!</v>
      </c>
      <c r="N566" s="19" t="e">
        <f>IF(J566="","SEM #CH",VLOOKUP(J566,#REF!,5,0))</f>
        <v>#REF!</v>
      </c>
      <c r="O566" s="19" t="e">
        <f>IF(J566="","SEM #CH",VLOOKUP(J566,#REF!,6,0))</f>
        <v>#REF!</v>
      </c>
      <c r="P566" s="19" t="e">
        <f>IF(J566="","SEM #CH",VLOOKUP(J566,#REF!,7,0))</f>
        <v>#REF!</v>
      </c>
      <c r="Q566" s="77" t="str">
        <f>VLOOKUP(J566,'p1'!$B$2:$C$30,2,0)</f>
        <v>NÃO TEM CHAPA</v>
      </c>
      <c r="R566" s="91"/>
      <c r="S566" s="91"/>
      <c r="T566" s="91" t="str">
        <f t="shared" si="34"/>
        <v/>
      </c>
      <c r="U566" s="91"/>
      <c r="V566" s="91"/>
      <c r="W566" s="93"/>
      <c r="X566" s="94" t="str">
        <f t="shared" si="35"/>
        <v/>
      </c>
      <c r="Y566"/>
    </row>
    <row r="567" spans="1:25">
      <c r="A567" s="90">
        <v>566</v>
      </c>
      <c r="B567" s="68"/>
      <c r="C567" s="40"/>
      <c r="D567" s="40" t="str">
        <f t="shared" si="32"/>
        <v/>
      </c>
      <c r="E567" s="47" t="s">
        <v>171</v>
      </c>
      <c r="F567" s="17" t="s">
        <v>58</v>
      </c>
      <c r="G567" s="17" t="s">
        <v>86</v>
      </c>
      <c r="H567" s="42" t="s">
        <v>803</v>
      </c>
      <c r="I567" s="17" t="str">
        <f t="shared" si="33"/>
        <v>PN-566</v>
      </c>
      <c r="J567" s="18" t="s">
        <v>85</v>
      </c>
      <c r="K567" s="19" t="e">
        <f>IF(J567="","SEM #CH",VLOOKUP(J567,#REF!,2,0))</f>
        <v>#REF!</v>
      </c>
      <c r="L567" s="19" t="e">
        <f>IF(J567="","SEM #CH",VLOOKUP(J567,#REF!,3,0))</f>
        <v>#REF!</v>
      </c>
      <c r="M567" s="19" t="e">
        <f>IF(J567="","SEM #CH",VLOOKUP(J567,#REF!,4,0))</f>
        <v>#REF!</v>
      </c>
      <c r="N567" s="19" t="e">
        <f>IF(J567="","SEM #CH",VLOOKUP(J567,#REF!,5,0))</f>
        <v>#REF!</v>
      </c>
      <c r="O567" s="19" t="e">
        <f>IF(J567="","SEM #CH",VLOOKUP(J567,#REF!,6,0))</f>
        <v>#REF!</v>
      </c>
      <c r="P567" s="19" t="e">
        <f>IF(J567="","SEM #CH",VLOOKUP(J567,#REF!,7,0))</f>
        <v>#REF!</v>
      </c>
      <c r="Q567" s="77" t="str">
        <f>VLOOKUP(J567,'p1'!$B$2:$C$30,2,0)</f>
        <v>NÃO TEM CHAPA</v>
      </c>
      <c r="R567" s="91"/>
      <c r="S567" s="91"/>
      <c r="T567" s="91" t="str">
        <f t="shared" si="34"/>
        <v/>
      </c>
      <c r="U567" s="91"/>
      <c r="V567" s="91"/>
      <c r="W567" s="93"/>
      <c r="X567" s="94" t="str">
        <f t="shared" si="35"/>
        <v/>
      </c>
      <c r="Y567"/>
    </row>
    <row r="568" spans="1:25">
      <c r="A568" s="90">
        <v>567</v>
      </c>
      <c r="B568" s="68"/>
      <c r="C568" s="40"/>
      <c r="D568" s="40" t="str">
        <f t="shared" si="32"/>
        <v/>
      </c>
      <c r="E568" s="47" t="s">
        <v>171</v>
      </c>
      <c r="F568" s="17" t="s">
        <v>60</v>
      </c>
      <c r="G568" s="17" t="s">
        <v>86</v>
      </c>
      <c r="H568" s="42" t="s">
        <v>804</v>
      </c>
      <c r="I568" s="17" t="str">
        <f t="shared" si="33"/>
        <v>PE-567</v>
      </c>
      <c r="J568" s="18" t="s">
        <v>90</v>
      </c>
      <c r="K568" s="19" t="e">
        <f>IF(J568="","SEM #CH",VLOOKUP(J568,#REF!,2,0))</f>
        <v>#REF!</v>
      </c>
      <c r="L568" s="19" t="e">
        <f>IF(J568="","SEM #CH",VLOOKUP(J568,#REF!,3,0))</f>
        <v>#REF!</v>
      </c>
      <c r="M568" s="19" t="e">
        <f>IF(J568="","SEM #CH",VLOOKUP(J568,#REF!,4,0))</f>
        <v>#REF!</v>
      </c>
      <c r="N568" s="19" t="e">
        <f>IF(J568="","SEM #CH",VLOOKUP(J568,#REF!,5,0))</f>
        <v>#REF!</v>
      </c>
      <c r="O568" s="19" t="e">
        <f>IF(J568="","SEM #CH",VLOOKUP(J568,#REF!,6,0))</f>
        <v>#REF!</v>
      </c>
      <c r="P568" s="19" t="e">
        <f>IF(J568="","SEM #CH",VLOOKUP(J568,#REF!,7,0))</f>
        <v>#REF!</v>
      </c>
      <c r="Q568" s="77" t="str">
        <f>VLOOKUP(J568,'p1'!$B$2:$C$30,2,0)</f>
        <v>#3/8-530X530</v>
      </c>
      <c r="R568" s="91"/>
      <c r="S568" s="91"/>
      <c r="T568" s="91" t="str">
        <f t="shared" si="34"/>
        <v/>
      </c>
      <c r="U568" s="91"/>
      <c r="V568" s="91"/>
      <c r="W568" s="93"/>
      <c r="X568" s="94" t="str">
        <f t="shared" si="35"/>
        <v/>
      </c>
      <c r="Y568"/>
    </row>
    <row r="569" spans="1:25">
      <c r="A569" s="90">
        <v>568</v>
      </c>
      <c r="B569" s="68"/>
      <c r="C569" s="40"/>
      <c r="D569" s="40" t="str">
        <f t="shared" si="32"/>
        <v/>
      </c>
      <c r="E569" s="47" t="s">
        <v>171</v>
      </c>
      <c r="F569" s="17" t="s">
        <v>58</v>
      </c>
      <c r="G569" s="17" t="s">
        <v>86</v>
      </c>
      <c r="H569" s="42" t="s">
        <v>805</v>
      </c>
      <c r="I569" s="17" t="str">
        <f t="shared" si="33"/>
        <v>PN-568</v>
      </c>
      <c r="J569" s="18" t="s">
        <v>85</v>
      </c>
      <c r="K569" s="19" t="e">
        <f>IF(J569="","SEM #CH",VLOOKUP(J569,#REF!,2,0))</f>
        <v>#REF!</v>
      </c>
      <c r="L569" s="19" t="e">
        <f>IF(J569="","SEM #CH",VLOOKUP(J569,#REF!,3,0))</f>
        <v>#REF!</v>
      </c>
      <c r="M569" s="19" t="e">
        <f>IF(J569="","SEM #CH",VLOOKUP(J569,#REF!,4,0))</f>
        <v>#REF!</v>
      </c>
      <c r="N569" s="19" t="e">
        <f>IF(J569="","SEM #CH",VLOOKUP(J569,#REF!,5,0))</f>
        <v>#REF!</v>
      </c>
      <c r="O569" s="19" t="e">
        <f>IF(J569="","SEM #CH",VLOOKUP(J569,#REF!,6,0))</f>
        <v>#REF!</v>
      </c>
      <c r="P569" s="19" t="e">
        <f>IF(J569="","SEM #CH",VLOOKUP(J569,#REF!,7,0))</f>
        <v>#REF!</v>
      </c>
      <c r="Q569" s="77" t="str">
        <f>VLOOKUP(J569,'p1'!$B$2:$C$30,2,0)</f>
        <v>NÃO TEM CHAPA</v>
      </c>
      <c r="R569" s="91"/>
      <c r="S569" s="91"/>
      <c r="T569" s="91" t="str">
        <f t="shared" si="34"/>
        <v/>
      </c>
      <c r="U569" s="91"/>
      <c r="V569" s="91"/>
      <c r="W569" s="93"/>
      <c r="X569" s="94" t="str">
        <f t="shared" si="35"/>
        <v/>
      </c>
      <c r="Y569"/>
    </row>
    <row r="570" spans="1:25">
      <c r="A570" s="90">
        <v>569</v>
      </c>
      <c r="B570" s="68"/>
      <c r="C570" s="40"/>
      <c r="D570" s="40" t="str">
        <f t="shared" si="32"/>
        <v/>
      </c>
      <c r="E570" s="47" t="s">
        <v>171</v>
      </c>
      <c r="F570" s="17" t="s">
        <v>58</v>
      </c>
      <c r="G570" s="17" t="s">
        <v>86</v>
      </c>
      <c r="H570" s="42" t="s">
        <v>806</v>
      </c>
      <c r="I570" s="17" t="str">
        <f t="shared" si="33"/>
        <v>PN-569</v>
      </c>
      <c r="J570" s="18" t="s">
        <v>85</v>
      </c>
      <c r="K570" s="19" t="e">
        <f>IF(J570="","SEM #CH",VLOOKUP(J570,#REF!,2,0))</f>
        <v>#REF!</v>
      </c>
      <c r="L570" s="19" t="e">
        <f>IF(J570="","SEM #CH",VLOOKUP(J570,#REF!,3,0))</f>
        <v>#REF!</v>
      </c>
      <c r="M570" s="19" t="e">
        <f>IF(J570="","SEM #CH",VLOOKUP(J570,#REF!,4,0))</f>
        <v>#REF!</v>
      </c>
      <c r="N570" s="19" t="e">
        <f>IF(J570="","SEM #CH",VLOOKUP(J570,#REF!,5,0))</f>
        <v>#REF!</v>
      </c>
      <c r="O570" s="19" t="e">
        <f>IF(J570="","SEM #CH",VLOOKUP(J570,#REF!,6,0))</f>
        <v>#REF!</v>
      </c>
      <c r="P570" s="19" t="e">
        <f>IF(J570="","SEM #CH",VLOOKUP(J570,#REF!,7,0))</f>
        <v>#REF!</v>
      </c>
      <c r="Q570" s="77" t="str">
        <f>VLOOKUP(J570,'p1'!$B$2:$C$30,2,0)</f>
        <v>NÃO TEM CHAPA</v>
      </c>
      <c r="R570" s="91"/>
      <c r="S570" s="91"/>
      <c r="T570" s="91" t="str">
        <f t="shared" si="34"/>
        <v/>
      </c>
      <c r="U570" s="91"/>
      <c r="V570" s="91"/>
      <c r="W570" s="93"/>
      <c r="X570" s="94" t="str">
        <f t="shared" si="35"/>
        <v/>
      </c>
      <c r="Y570"/>
    </row>
    <row r="571" spans="1:25">
      <c r="A571" s="90">
        <v>570</v>
      </c>
      <c r="B571" s="68"/>
      <c r="C571" s="40"/>
      <c r="D571" s="40" t="str">
        <f t="shared" si="32"/>
        <v/>
      </c>
      <c r="E571" s="47" t="s">
        <v>171</v>
      </c>
      <c r="F571" s="17" t="s">
        <v>58</v>
      </c>
      <c r="G571" s="17" t="s">
        <v>86</v>
      </c>
      <c r="H571" s="42" t="s">
        <v>807</v>
      </c>
      <c r="I571" s="17" t="str">
        <f t="shared" si="33"/>
        <v>PN-570</v>
      </c>
      <c r="J571" s="18" t="s">
        <v>85</v>
      </c>
      <c r="K571" s="19" t="e">
        <f>IF(J571="","SEM #CH",VLOOKUP(J571,#REF!,2,0))</f>
        <v>#REF!</v>
      </c>
      <c r="L571" s="19" t="e">
        <f>IF(J571="","SEM #CH",VLOOKUP(J571,#REF!,3,0))</f>
        <v>#REF!</v>
      </c>
      <c r="M571" s="19" t="e">
        <f>IF(J571="","SEM #CH",VLOOKUP(J571,#REF!,4,0))</f>
        <v>#REF!</v>
      </c>
      <c r="N571" s="19" t="e">
        <f>IF(J571="","SEM #CH",VLOOKUP(J571,#REF!,5,0))</f>
        <v>#REF!</v>
      </c>
      <c r="O571" s="19" t="e">
        <f>IF(J571="","SEM #CH",VLOOKUP(J571,#REF!,6,0))</f>
        <v>#REF!</v>
      </c>
      <c r="P571" s="19" t="e">
        <f>IF(J571="","SEM #CH",VLOOKUP(J571,#REF!,7,0))</f>
        <v>#REF!</v>
      </c>
      <c r="Q571" s="77" t="str">
        <f>VLOOKUP(J571,'p1'!$B$2:$C$30,2,0)</f>
        <v>NÃO TEM CHAPA</v>
      </c>
      <c r="R571" s="91"/>
      <c r="S571" s="91"/>
      <c r="T571" s="91" t="str">
        <f t="shared" si="34"/>
        <v/>
      </c>
      <c r="U571" s="91"/>
      <c r="V571" s="91"/>
      <c r="W571" s="93"/>
      <c r="X571" s="94" t="str">
        <f t="shared" si="35"/>
        <v/>
      </c>
      <c r="Y571"/>
    </row>
    <row r="572" spans="1:25">
      <c r="A572" s="90">
        <v>571</v>
      </c>
      <c r="B572" s="68"/>
      <c r="C572" s="40"/>
      <c r="D572" s="40" t="str">
        <f t="shared" si="32"/>
        <v/>
      </c>
      <c r="E572" s="47" t="s">
        <v>171</v>
      </c>
      <c r="F572" s="17" t="s">
        <v>58</v>
      </c>
      <c r="G572" s="17" t="s">
        <v>86</v>
      </c>
      <c r="H572" s="42" t="s">
        <v>808</v>
      </c>
      <c r="I572" s="17" t="str">
        <f t="shared" si="33"/>
        <v>PN-571</v>
      </c>
      <c r="J572" s="18" t="s">
        <v>85</v>
      </c>
      <c r="K572" s="19" t="e">
        <f>IF(J572="","SEM #CH",VLOOKUP(J572,#REF!,2,0))</f>
        <v>#REF!</v>
      </c>
      <c r="L572" s="19" t="e">
        <f>IF(J572="","SEM #CH",VLOOKUP(J572,#REF!,3,0))</f>
        <v>#REF!</v>
      </c>
      <c r="M572" s="19" t="e">
        <f>IF(J572="","SEM #CH",VLOOKUP(J572,#REF!,4,0))</f>
        <v>#REF!</v>
      </c>
      <c r="N572" s="19" t="e">
        <f>IF(J572="","SEM #CH",VLOOKUP(J572,#REF!,5,0))</f>
        <v>#REF!</v>
      </c>
      <c r="O572" s="19" t="e">
        <f>IF(J572="","SEM #CH",VLOOKUP(J572,#REF!,6,0))</f>
        <v>#REF!</v>
      </c>
      <c r="P572" s="19" t="e">
        <f>IF(J572="","SEM #CH",VLOOKUP(J572,#REF!,7,0))</f>
        <v>#REF!</v>
      </c>
      <c r="Q572" s="77" t="str">
        <f>VLOOKUP(J572,'p1'!$B$2:$C$30,2,0)</f>
        <v>NÃO TEM CHAPA</v>
      </c>
      <c r="R572" s="91"/>
      <c r="S572" s="91"/>
      <c r="T572" s="91" t="str">
        <f t="shared" si="34"/>
        <v/>
      </c>
      <c r="U572" s="91"/>
      <c r="V572" s="91"/>
      <c r="W572" s="93"/>
      <c r="X572" s="94" t="str">
        <f t="shared" si="35"/>
        <v/>
      </c>
      <c r="Y572"/>
    </row>
    <row r="573" spans="1:25">
      <c r="A573" s="90">
        <v>572</v>
      </c>
      <c r="B573" s="68"/>
      <c r="C573" s="40"/>
      <c r="D573" s="40" t="str">
        <f t="shared" si="32"/>
        <v/>
      </c>
      <c r="E573" s="47" t="s">
        <v>171</v>
      </c>
      <c r="F573" s="17" t="s">
        <v>58</v>
      </c>
      <c r="G573" s="17" t="s">
        <v>86</v>
      </c>
      <c r="H573" s="42" t="s">
        <v>809</v>
      </c>
      <c r="I573" s="17" t="str">
        <f t="shared" si="33"/>
        <v>PN-572</v>
      </c>
      <c r="J573" s="18" t="s">
        <v>85</v>
      </c>
      <c r="K573" s="19" t="e">
        <f>IF(J573="","SEM #CH",VLOOKUP(J573,#REF!,2,0))</f>
        <v>#REF!</v>
      </c>
      <c r="L573" s="19" t="e">
        <f>IF(J573="","SEM #CH",VLOOKUP(J573,#REF!,3,0))</f>
        <v>#REF!</v>
      </c>
      <c r="M573" s="19" t="e">
        <f>IF(J573="","SEM #CH",VLOOKUP(J573,#REF!,4,0))</f>
        <v>#REF!</v>
      </c>
      <c r="N573" s="19" t="e">
        <f>IF(J573="","SEM #CH",VLOOKUP(J573,#REF!,5,0))</f>
        <v>#REF!</v>
      </c>
      <c r="O573" s="19" t="e">
        <f>IF(J573="","SEM #CH",VLOOKUP(J573,#REF!,6,0))</f>
        <v>#REF!</v>
      </c>
      <c r="P573" s="19" t="e">
        <f>IF(J573="","SEM #CH",VLOOKUP(J573,#REF!,7,0))</f>
        <v>#REF!</v>
      </c>
      <c r="Q573" s="77" t="str">
        <f>VLOOKUP(J573,'p1'!$B$2:$C$30,2,0)</f>
        <v>NÃO TEM CHAPA</v>
      </c>
      <c r="R573" s="91"/>
      <c r="S573" s="91"/>
      <c r="T573" s="91" t="str">
        <f t="shared" si="34"/>
        <v/>
      </c>
      <c r="U573" s="91"/>
      <c r="V573" s="91"/>
      <c r="W573" s="93"/>
      <c r="X573" s="94" t="str">
        <f t="shared" si="35"/>
        <v/>
      </c>
      <c r="Y573"/>
    </row>
    <row r="574" spans="1:25">
      <c r="A574" s="90">
        <v>573</v>
      </c>
      <c r="B574" s="68"/>
      <c r="C574" s="40"/>
      <c r="D574" s="40" t="str">
        <f t="shared" si="32"/>
        <v/>
      </c>
      <c r="E574" s="47" t="s">
        <v>171</v>
      </c>
      <c r="F574" s="17" t="s">
        <v>58</v>
      </c>
      <c r="G574" s="17" t="s">
        <v>86</v>
      </c>
      <c r="H574" s="42" t="s">
        <v>810</v>
      </c>
      <c r="I574" s="17" t="str">
        <f t="shared" si="33"/>
        <v>PN-573</v>
      </c>
      <c r="J574" s="18" t="s">
        <v>85</v>
      </c>
      <c r="K574" s="19" t="e">
        <f>IF(J574="","SEM #CH",VLOOKUP(J574,#REF!,2,0))</f>
        <v>#REF!</v>
      </c>
      <c r="L574" s="19" t="e">
        <f>IF(J574="","SEM #CH",VLOOKUP(J574,#REF!,3,0))</f>
        <v>#REF!</v>
      </c>
      <c r="M574" s="19" t="e">
        <f>IF(J574="","SEM #CH",VLOOKUP(J574,#REF!,4,0))</f>
        <v>#REF!</v>
      </c>
      <c r="N574" s="19" t="e">
        <f>IF(J574="","SEM #CH",VLOOKUP(J574,#REF!,5,0))</f>
        <v>#REF!</v>
      </c>
      <c r="O574" s="19" t="e">
        <f>IF(J574="","SEM #CH",VLOOKUP(J574,#REF!,6,0))</f>
        <v>#REF!</v>
      </c>
      <c r="P574" s="19" t="e">
        <f>IF(J574="","SEM #CH",VLOOKUP(J574,#REF!,7,0))</f>
        <v>#REF!</v>
      </c>
      <c r="Q574" s="77" t="str">
        <f>VLOOKUP(J574,'p1'!$B$2:$C$30,2,0)</f>
        <v>NÃO TEM CHAPA</v>
      </c>
      <c r="R574" s="91"/>
      <c r="S574" s="91"/>
      <c r="T574" s="91" t="str">
        <f t="shared" si="34"/>
        <v/>
      </c>
      <c r="U574" s="91"/>
      <c r="V574" s="91"/>
      <c r="W574" s="93"/>
      <c r="X574" s="94" t="str">
        <f t="shared" si="35"/>
        <v/>
      </c>
      <c r="Y574"/>
    </row>
    <row r="575" spans="1:25">
      <c r="A575" s="90">
        <v>574</v>
      </c>
      <c r="B575" s="68"/>
      <c r="C575" s="40"/>
      <c r="D575" s="40" t="str">
        <f t="shared" si="32"/>
        <v/>
      </c>
      <c r="E575" s="47" t="s">
        <v>171</v>
      </c>
      <c r="F575" s="17" t="s">
        <v>58</v>
      </c>
      <c r="G575" s="17" t="s">
        <v>86</v>
      </c>
      <c r="H575" s="42" t="s">
        <v>811</v>
      </c>
      <c r="I575" s="17" t="str">
        <f t="shared" si="33"/>
        <v>PN-574</v>
      </c>
      <c r="J575" s="18" t="s">
        <v>85</v>
      </c>
      <c r="K575" s="19" t="e">
        <f>IF(J575="","SEM #CH",VLOOKUP(J575,#REF!,2,0))</f>
        <v>#REF!</v>
      </c>
      <c r="L575" s="19" t="e">
        <f>IF(J575="","SEM #CH",VLOOKUP(J575,#REF!,3,0))</f>
        <v>#REF!</v>
      </c>
      <c r="M575" s="19" t="e">
        <f>IF(J575="","SEM #CH",VLOOKUP(J575,#REF!,4,0))</f>
        <v>#REF!</v>
      </c>
      <c r="N575" s="19" t="e">
        <f>IF(J575="","SEM #CH",VLOOKUP(J575,#REF!,5,0))</f>
        <v>#REF!</v>
      </c>
      <c r="O575" s="19" t="e">
        <f>IF(J575="","SEM #CH",VLOOKUP(J575,#REF!,6,0))</f>
        <v>#REF!</v>
      </c>
      <c r="P575" s="19" t="e">
        <f>IF(J575="","SEM #CH",VLOOKUP(J575,#REF!,7,0))</f>
        <v>#REF!</v>
      </c>
      <c r="Q575" s="77" t="str">
        <f>VLOOKUP(J575,'p1'!$B$2:$C$30,2,0)</f>
        <v>NÃO TEM CHAPA</v>
      </c>
      <c r="R575" s="91"/>
      <c r="S575" s="91"/>
      <c r="T575" s="91" t="str">
        <f t="shared" si="34"/>
        <v/>
      </c>
      <c r="U575" s="91"/>
      <c r="V575" s="91"/>
      <c r="W575" s="93"/>
      <c r="X575" s="94" t="str">
        <f t="shared" si="35"/>
        <v/>
      </c>
      <c r="Y575"/>
    </row>
    <row r="576" spans="1:25">
      <c r="A576" s="90">
        <v>575</v>
      </c>
      <c r="B576" s="68"/>
      <c r="C576" s="40"/>
      <c r="D576" s="40" t="str">
        <f t="shared" si="32"/>
        <v/>
      </c>
      <c r="E576" s="47" t="s">
        <v>171</v>
      </c>
      <c r="F576" s="17" t="s">
        <v>58</v>
      </c>
      <c r="G576" s="17" t="s">
        <v>86</v>
      </c>
      <c r="H576" s="42" t="s">
        <v>812</v>
      </c>
      <c r="I576" s="17" t="str">
        <f t="shared" si="33"/>
        <v>PN-575</v>
      </c>
      <c r="J576" s="18" t="s">
        <v>85</v>
      </c>
      <c r="K576" s="19" t="e">
        <f>IF(J576="","SEM #CH",VLOOKUP(J576,#REF!,2,0))</f>
        <v>#REF!</v>
      </c>
      <c r="L576" s="19" t="e">
        <f>IF(J576="","SEM #CH",VLOOKUP(J576,#REF!,3,0))</f>
        <v>#REF!</v>
      </c>
      <c r="M576" s="19" t="e">
        <f>IF(J576="","SEM #CH",VLOOKUP(J576,#REF!,4,0))</f>
        <v>#REF!</v>
      </c>
      <c r="N576" s="19" t="e">
        <f>IF(J576="","SEM #CH",VLOOKUP(J576,#REF!,5,0))</f>
        <v>#REF!</v>
      </c>
      <c r="O576" s="19" t="e">
        <f>IF(J576="","SEM #CH",VLOOKUP(J576,#REF!,6,0))</f>
        <v>#REF!</v>
      </c>
      <c r="P576" s="19" t="e">
        <f>IF(J576="","SEM #CH",VLOOKUP(J576,#REF!,7,0))</f>
        <v>#REF!</v>
      </c>
      <c r="Q576" s="77" t="str">
        <f>VLOOKUP(J576,'p1'!$B$2:$C$30,2,0)</f>
        <v>NÃO TEM CHAPA</v>
      </c>
      <c r="R576" s="91"/>
      <c r="S576" s="91"/>
      <c r="T576" s="91" t="str">
        <f t="shared" si="34"/>
        <v/>
      </c>
      <c r="U576" s="91"/>
      <c r="V576" s="91"/>
      <c r="W576" s="93"/>
      <c r="X576" s="94" t="str">
        <f t="shared" si="35"/>
        <v/>
      </c>
      <c r="Y576"/>
    </row>
    <row r="577" spans="1:25">
      <c r="A577" s="90">
        <v>576</v>
      </c>
      <c r="B577" s="68"/>
      <c r="C577" s="40"/>
      <c r="D577" s="40" t="str">
        <f t="shared" si="32"/>
        <v/>
      </c>
      <c r="E577" s="47" t="s">
        <v>171</v>
      </c>
      <c r="F577" s="17" t="s">
        <v>58</v>
      </c>
      <c r="G577" s="17" t="s">
        <v>86</v>
      </c>
      <c r="H577" s="42" t="s">
        <v>813</v>
      </c>
      <c r="I577" s="17" t="str">
        <f t="shared" si="33"/>
        <v>PN-576</v>
      </c>
      <c r="J577" s="18" t="s">
        <v>85</v>
      </c>
      <c r="K577" s="19" t="e">
        <f>IF(J577="","SEM #CH",VLOOKUP(J577,#REF!,2,0))</f>
        <v>#REF!</v>
      </c>
      <c r="L577" s="19" t="e">
        <f>IF(J577="","SEM #CH",VLOOKUP(J577,#REF!,3,0))</f>
        <v>#REF!</v>
      </c>
      <c r="M577" s="19" t="e">
        <f>IF(J577="","SEM #CH",VLOOKUP(J577,#REF!,4,0))</f>
        <v>#REF!</v>
      </c>
      <c r="N577" s="19" t="e">
        <f>IF(J577="","SEM #CH",VLOOKUP(J577,#REF!,5,0))</f>
        <v>#REF!</v>
      </c>
      <c r="O577" s="19" t="e">
        <f>IF(J577="","SEM #CH",VLOOKUP(J577,#REF!,6,0))</f>
        <v>#REF!</v>
      </c>
      <c r="P577" s="19" t="e">
        <f>IF(J577="","SEM #CH",VLOOKUP(J577,#REF!,7,0))</f>
        <v>#REF!</v>
      </c>
      <c r="Q577" s="77" t="str">
        <f>VLOOKUP(J577,'p1'!$B$2:$C$30,2,0)</f>
        <v>NÃO TEM CHAPA</v>
      </c>
      <c r="R577" s="91"/>
      <c r="S577" s="91"/>
      <c r="T577" s="91" t="str">
        <f t="shared" si="34"/>
        <v/>
      </c>
      <c r="U577" s="91"/>
      <c r="V577" s="91"/>
      <c r="W577" s="93"/>
      <c r="X577" s="94" t="str">
        <f t="shared" si="35"/>
        <v/>
      </c>
      <c r="Y577"/>
    </row>
    <row r="578" spans="1:25">
      <c r="A578" s="90">
        <v>577</v>
      </c>
      <c r="B578" s="68"/>
      <c r="C578" s="40"/>
      <c r="D578" s="40" t="str">
        <f t="shared" ref="D578:D641" si="36">IF(B578&gt;0,1,"")</f>
        <v/>
      </c>
      <c r="E578" s="47" t="s">
        <v>171</v>
      </c>
      <c r="F578" s="17" t="s">
        <v>58</v>
      </c>
      <c r="G578" s="17" t="s">
        <v>86</v>
      </c>
      <c r="H578" s="42" t="s">
        <v>814</v>
      </c>
      <c r="I578" s="17" t="str">
        <f t="shared" ref="I578:I641" si="37">_xlfn.CONCAT(F578,G578,H578)</f>
        <v>PN-577</v>
      </c>
      <c r="J578" s="18" t="s">
        <v>85</v>
      </c>
      <c r="K578" s="19" t="e">
        <f>IF(J578="","SEM #CH",VLOOKUP(J578,#REF!,2,0))</f>
        <v>#REF!</v>
      </c>
      <c r="L578" s="19" t="e">
        <f>IF(J578="","SEM #CH",VLOOKUP(J578,#REF!,3,0))</f>
        <v>#REF!</v>
      </c>
      <c r="M578" s="19" t="e">
        <f>IF(J578="","SEM #CH",VLOOKUP(J578,#REF!,4,0))</f>
        <v>#REF!</v>
      </c>
      <c r="N578" s="19" t="e">
        <f>IF(J578="","SEM #CH",VLOOKUP(J578,#REF!,5,0))</f>
        <v>#REF!</v>
      </c>
      <c r="O578" s="19" t="e">
        <f>IF(J578="","SEM #CH",VLOOKUP(J578,#REF!,6,0))</f>
        <v>#REF!</v>
      </c>
      <c r="P578" s="19" t="e">
        <f>IF(J578="","SEM #CH",VLOOKUP(J578,#REF!,7,0))</f>
        <v>#REF!</v>
      </c>
      <c r="Q578" s="77" t="str">
        <f>VLOOKUP(J578,'p1'!$B$2:$C$30,2,0)</f>
        <v>NÃO TEM CHAPA</v>
      </c>
      <c r="R578" s="91"/>
      <c r="S578" s="91"/>
      <c r="T578" s="91" t="str">
        <f t="shared" ref="T578:T641" si="38">IF(R578=0,"",1)</f>
        <v/>
      </c>
      <c r="U578" s="91"/>
      <c r="V578" s="91"/>
      <c r="W578" s="93"/>
      <c r="X578" s="94" t="str">
        <f t="shared" ref="X578:X641" si="39">IF(U578&gt;0,1,"")</f>
        <v/>
      </c>
      <c r="Y578"/>
    </row>
    <row r="579" spans="1:25">
      <c r="A579" s="90">
        <v>578</v>
      </c>
      <c r="B579" s="68"/>
      <c r="C579" s="40"/>
      <c r="D579" s="40" t="str">
        <f t="shared" si="36"/>
        <v/>
      </c>
      <c r="E579" s="47" t="s">
        <v>171</v>
      </c>
      <c r="F579" s="17" t="s">
        <v>58</v>
      </c>
      <c r="G579" s="17" t="s">
        <v>86</v>
      </c>
      <c r="H579" s="42" t="s">
        <v>815</v>
      </c>
      <c r="I579" s="17" t="str">
        <f t="shared" si="37"/>
        <v>PN-578</v>
      </c>
      <c r="J579" s="18" t="s">
        <v>85</v>
      </c>
      <c r="K579" s="19" t="e">
        <f>IF(J579="","SEM #CH",VLOOKUP(J579,#REF!,2,0))</f>
        <v>#REF!</v>
      </c>
      <c r="L579" s="19" t="e">
        <f>IF(J579="","SEM #CH",VLOOKUP(J579,#REF!,3,0))</f>
        <v>#REF!</v>
      </c>
      <c r="M579" s="19" t="e">
        <f>IF(J579="","SEM #CH",VLOOKUP(J579,#REF!,4,0))</f>
        <v>#REF!</v>
      </c>
      <c r="N579" s="19" t="e">
        <f>IF(J579="","SEM #CH",VLOOKUP(J579,#REF!,5,0))</f>
        <v>#REF!</v>
      </c>
      <c r="O579" s="19" t="e">
        <f>IF(J579="","SEM #CH",VLOOKUP(J579,#REF!,6,0))</f>
        <v>#REF!</v>
      </c>
      <c r="P579" s="19" t="e">
        <f>IF(J579="","SEM #CH",VLOOKUP(J579,#REF!,7,0))</f>
        <v>#REF!</v>
      </c>
      <c r="Q579" s="77" t="str">
        <f>VLOOKUP(J579,'p1'!$B$2:$C$30,2,0)</f>
        <v>NÃO TEM CHAPA</v>
      </c>
      <c r="R579" s="91"/>
      <c r="S579" s="91"/>
      <c r="T579" s="91" t="str">
        <f t="shared" si="38"/>
        <v/>
      </c>
      <c r="U579" s="91"/>
      <c r="V579" s="91"/>
      <c r="W579" s="93"/>
      <c r="X579" s="94" t="str">
        <f t="shared" si="39"/>
        <v/>
      </c>
      <c r="Y579"/>
    </row>
    <row r="580" spans="1:25">
      <c r="A580" s="90">
        <v>579</v>
      </c>
      <c r="B580" s="68"/>
      <c r="C580" s="40"/>
      <c r="D580" s="40" t="str">
        <f t="shared" si="36"/>
        <v/>
      </c>
      <c r="E580" s="47" t="s">
        <v>171</v>
      </c>
      <c r="F580" s="17" t="s">
        <v>58</v>
      </c>
      <c r="G580" s="17" t="s">
        <v>86</v>
      </c>
      <c r="H580" s="42" t="s">
        <v>816</v>
      </c>
      <c r="I580" s="17" t="str">
        <f t="shared" si="37"/>
        <v>PN-579</v>
      </c>
      <c r="J580" s="18" t="s">
        <v>85</v>
      </c>
      <c r="K580" s="19" t="e">
        <f>IF(J580="","SEM #CH",VLOOKUP(J580,#REF!,2,0))</f>
        <v>#REF!</v>
      </c>
      <c r="L580" s="19" t="e">
        <f>IF(J580="","SEM #CH",VLOOKUP(J580,#REF!,3,0))</f>
        <v>#REF!</v>
      </c>
      <c r="M580" s="19" t="e">
        <f>IF(J580="","SEM #CH",VLOOKUP(J580,#REF!,4,0))</f>
        <v>#REF!</v>
      </c>
      <c r="N580" s="19" t="e">
        <f>IF(J580="","SEM #CH",VLOOKUP(J580,#REF!,5,0))</f>
        <v>#REF!</v>
      </c>
      <c r="O580" s="19" t="e">
        <f>IF(J580="","SEM #CH",VLOOKUP(J580,#REF!,6,0))</f>
        <v>#REF!</v>
      </c>
      <c r="P580" s="19" t="e">
        <f>IF(J580="","SEM #CH",VLOOKUP(J580,#REF!,7,0))</f>
        <v>#REF!</v>
      </c>
      <c r="Q580" s="77" t="str">
        <f>VLOOKUP(J580,'p1'!$B$2:$C$30,2,0)</f>
        <v>NÃO TEM CHAPA</v>
      </c>
      <c r="R580" s="91"/>
      <c r="S580" s="91"/>
      <c r="T580" s="91" t="str">
        <f t="shared" si="38"/>
        <v/>
      </c>
      <c r="U580" s="91"/>
      <c r="V580" s="91"/>
      <c r="W580" s="93"/>
      <c r="X580" s="94" t="str">
        <f t="shared" si="39"/>
        <v/>
      </c>
      <c r="Y580"/>
    </row>
    <row r="581" spans="1:25">
      <c r="A581" s="90">
        <v>580</v>
      </c>
      <c r="B581" s="68"/>
      <c r="C581" s="40"/>
      <c r="D581" s="40" t="str">
        <f t="shared" si="36"/>
        <v/>
      </c>
      <c r="E581" s="47" t="s">
        <v>171</v>
      </c>
      <c r="F581" s="17" t="s">
        <v>58</v>
      </c>
      <c r="G581" s="17" t="s">
        <v>86</v>
      </c>
      <c r="H581" s="42" t="s">
        <v>817</v>
      </c>
      <c r="I581" s="17" t="str">
        <f t="shared" si="37"/>
        <v>PN-580</v>
      </c>
      <c r="J581" s="18" t="s">
        <v>85</v>
      </c>
      <c r="K581" s="19" t="e">
        <f>IF(J581="","SEM #CH",VLOOKUP(J581,#REF!,2,0))</f>
        <v>#REF!</v>
      </c>
      <c r="L581" s="19" t="e">
        <f>IF(J581="","SEM #CH",VLOOKUP(J581,#REF!,3,0))</f>
        <v>#REF!</v>
      </c>
      <c r="M581" s="19" t="e">
        <f>IF(J581="","SEM #CH",VLOOKUP(J581,#REF!,4,0))</f>
        <v>#REF!</v>
      </c>
      <c r="N581" s="19" t="e">
        <f>IF(J581="","SEM #CH",VLOOKUP(J581,#REF!,5,0))</f>
        <v>#REF!</v>
      </c>
      <c r="O581" s="19" t="e">
        <f>IF(J581="","SEM #CH",VLOOKUP(J581,#REF!,6,0))</f>
        <v>#REF!</v>
      </c>
      <c r="P581" s="19" t="e">
        <f>IF(J581="","SEM #CH",VLOOKUP(J581,#REF!,7,0))</f>
        <v>#REF!</v>
      </c>
      <c r="Q581" s="77" t="str">
        <f>VLOOKUP(J581,'p1'!$B$2:$C$30,2,0)</f>
        <v>NÃO TEM CHAPA</v>
      </c>
      <c r="R581" s="91"/>
      <c r="S581" s="91"/>
      <c r="T581" s="91" t="str">
        <f t="shared" si="38"/>
        <v/>
      </c>
      <c r="U581" s="91"/>
      <c r="V581" s="91"/>
      <c r="W581" s="93"/>
      <c r="X581" s="94" t="str">
        <f t="shared" si="39"/>
        <v/>
      </c>
      <c r="Y581"/>
    </row>
    <row r="582" spans="1:25">
      <c r="A582" s="90">
        <v>581</v>
      </c>
      <c r="B582" s="68"/>
      <c r="C582" s="40"/>
      <c r="D582" s="40" t="str">
        <f t="shared" si="36"/>
        <v/>
      </c>
      <c r="E582" s="47" t="s">
        <v>171</v>
      </c>
      <c r="F582" s="17" t="s">
        <v>58</v>
      </c>
      <c r="G582" s="17" t="s">
        <v>86</v>
      </c>
      <c r="H582" s="42" t="s">
        <v>818</v>
      </c>
      <c r="I582" s="17" t="str">
        <f t="shared" si="37"/>
        <v>PN-581</v>
      </c>
      <c r="J582" s="18" t="s">
        <v>85</v>
      </c>
      <c r="K582" s="19" t="e">
        <f>IF(J582="","SEM #CH",VLOOKUP(J582,#REF!,2,0))</f>
        <v>#REF!</v>
      </c>
      <c r="L582" s="19" t="e">
        <f>IF(J582="","SEM #CH",VLOOKUP(J582,#REF!,3,0))</f>
        <v>#REF!</v>
      </c>
      <c r="M582" s="19" t="e">
        <f>IF(J582="","SEM #CH",VLOOKUP(J582,#REF!,4,0))</f>
        <v>#REF!</v>
      </c>
      <c r="N582" s="19" t="e">
        <f>IF(J582="","SEM #CH",VLOOKUP(J582,#REF!,5,0))</f>
        <v>#REF!</v>
      </c>
      <c r="O582" s="19" t="e">
        <f>IF(J582="","SEM #CH",VLOOKUP(J582,#REF!,6,0))</f>
        <v>#REF!</v>
      </c>
      <c r="P582" s="19" t="e">
        <f>IF(J582="","SEM #CH",VLOOKUP(J582,#REF!,7,0))</f>
        <v>#REF!</v>
      </c>
      <c r="Q582" s="77" t="str">
        <f>VLOOKUP(J582,'p1'!$B$2:$C$30,2,0)</f>
        <v>NÃO TEM CHAPA</v>
      </c>
      <c r="R582" s="91"/>
      <c r="S582" s="91"/>
      <c r="T582" s="91" t="str">
        <f t="shared" si="38"/>
        <v/>
      </c>
      <c r="U582" s="91"/>
      <c r="V582" s="91"/>
      <c r="W582" s="93"/>
      <c r="X582" s="94" t="str">
        <f t="shared" si="39"/>
        <v/>
      </c>
      <c r="Y582"/>
    </row>
    <row r="583" spans="1:25">
      <c r="A583" s="90">
        <v>582</v>
      </c>
      <c r="B583" s="68"/>
      <c r="C583" s="40"/>
      <c r="D583" s="40" t="str">
        <f t="shared" si="36"/>
        <v/>
      </c>
      <c r="E583" s="47" t="s">
        <v>171</v>
      </c>
      <c r="F583" s="17" t="s">
        <v>58</v>
      </c>
      <c r="G583" s="17" t="s">
        <v>86</v>
      </c>
      <c r="H583" s="42" t="s">
        <v>819</v>
      </c>
      <c r="I583" s="17" t="str">
        <f t="shared" si="37"/>
        <v>PN-582</v>
      </c>
      <c r="J583" s="18" t="s">
        <v>85</v>
      </c>
      <c r="K583" s="19" t="e">
        <f>IF(J583="","SEM #CH",VLOOKUP(J583,#REF!,2,0))</f>
        <v>#REF!</v>
      </c>
      <c r="L583" s="19" t="e">
        <f>IF(J583="","SEM #CH",VLOOKUP(J583,#REF!,3,0))</f>
        <v>#REF!</v>
      </c>
      <c r="M583" s="19" t="e">
        <f>IF(J583="","SEM #CH",VLOOKUP(J583,#REF!,4,0))</f>
        <v>#REF!</v>
      </c>
      <c r="N583" s="19" t="e">
        <f>IF(J583="","SEM #CH",VLOOKUP(J583,#REF!,5,0))</f>
        <v>#REF!</v>
      </c>
      <c r="O583" s="19" t="e">
        <f>IF(J583="","SEM #CH",VLOOKUP(J583,#REF!,6,0))</f>
        <v>#REF!</v>
      </c>
      <c r="P583" s="19" t="e">
        <f>IF(J583="","SEM #CH",VLOOKUP(J583,#REF!,7,0))</f>
        <v>#REF!</v>
      </c>
      <c r="Q583" s="77" t="str">
        <f>VLOOKUP(J583,'p1'!$B$2:$C$30,2,0)</f>
        <v>NÃO TEM CHAPA</v>
      </c>
      <c r="R583" s="91"/>
      <c r="S583" s="91"/>
      <c r="T583" s="91" t="str">
        <f t="shared" si="38"/>
        <v/>
      </c>
      <c r="U583" s="91"/>
      <c r="V583" s="91"/>
      <c r="W583" s="93"/>
      <c r="X583" s="94" t="str">
        <f t="shared" si="39"/>
        <v/>
      </c>
      <c r="Y583"/>
    </row>
    <row r="584" spans="1:25">
      <c r="A584" s="90">
        <v>583</v>
      </c>
      <c r="B584" s="68"/>
      <c r="C584" s="40"/>
      <c r="D584" s="40" t="str">
        <f t="shared" si="36"/>
        <v/>
      </c>
      <c r="E584" s="47" t="s">
        <v>171</v>
      </c>
      <c r="F584" s="17" t="s">
        <v>60</v>
      </c>
      <c r="G584" s="17" t="s">
        <v>86</v>
      </c>
      <c r="H584" s="42" t="s">
        <v>820</v>
      </c>
      <c r="I584" s="17" t="str">
        <f t="shared" si="37"/>
        <v>PE-583</v>
      </c>
      <c r="J584" s="18" t="s">
        <v>88</v>
      </c>
      <c r="K584" s="19" t="e">
        <f>IF(J584="","SEM #CH",VLOOKUP(J584,#REF!,2,0))</f>
        <v>#REF!</v>
      </c>
      <c r="L584" s="19" t="e">
        <f>IF(J584="","SEM #CH",VLOOKUP(J584,#REF!,3,0))</f>
        <v>#REF!</v>
      </c>
      <c r="M584" s="19" t="e">
        <f>IF(J584="","SEM #CH",VLOOKUP(J584,#REF!,4,0))</f>
        <v>#REF!</v>
      </c>
      <c r="N584" s="19" t="e">
        <f>IF(J584="","SEM #CH",VLOOKUP(J584,#REF!,5,0))</f>
        <v>#REF!</v>
      </c>
      <c r="O584" s="19" t="e">
        <f>IF(J584="","SEM #CH",VLOOKUP(J584,#REF!,6,0))</f>
        <v>#REF!</v>
      </c>
      <c r="P584" s="19" t="e">
        <f>IF(J584="","SEM #CH",VLOOKUP(J584,#REF!,7,0))</f>
        <v>#REF!</v>
      </c>
      <c r="Q584" s="77" t="str">
        <f>VLOOKUP(J584,'p1'!$B$2:$C$30,2,0)</f>
        <v>#3/8-1315X1315</v>
      </c>
      <c r="R584" s="91"/>
      <c r="S584" s="91"/>
      <c r="T584" s="91" t="str">
        <f t="shared" si="38"/>
        <v/>
      </c>
      <c r="U584" s="91"/>
      <c r="V584" s="91"/>
      <c r="W584" s="93"/>
      <c r="X584" s="94" t="str">
        <f t="shared" si="39"/>
        <v/>
      </c>
      <c r="Y584"/>
    </row>
    <row r="585" spans="1:25">
      <c r="A585" s="90">
        <v>584</v>
      </c>
      <c r="B585" s="68"/>
      <c r="C585" s="40"/>
      <c r="D585" s="40" t="str">
        <f t="shared" si="36"/>
        <v/>
      </c>
      <c r="E585" s="47" t="s">
        <v>171</v>
      </c>
      <c r="F585" s="17" t="s">
        <v>58</v>
      </c>
      <c r="G585" s="17" t="s">
        <v>86</v>
      </c>
      <c r="H585" s="42" t="s">
        <v>821</v>
      </c>
      <c r="I585" s="17" t="str">
        <f t="shared" si="37"/>
        <v>PN-584</v>
      </c>
      <c r="J585" s="18" t="s">
        <v>85</v>
      </c>
      <c r="K585" s="19" t="e">
        <f>IF(J585="","SEM #CH",VLOOKUP(J585,#REF!,2,0))</f>
        <v>#REF!</v>
      </c>
      <c r="L585" s="19" t="e">
        <f>IF(J585="","SEM #CH",VLOOKUP(J585,#REF!,3,0))</f>
        <v>#REF!</v>
      </c>
      <c r="M585" s="19" t="e">
        <f>IF(J585="","SEM #CH",VLOOKUP(J585,#REF!,4,0))</f>
        <v>#REF!</v>
      </c>
      <c r="N585" s="19" t="e">
        <f>IF(J585="","SEM #CH",VLOOKUP(J585,#REF!,5,0))</f>
        <v>#REF!</v>
      </c>
      <c r="O585" s="19" t="e">
        <f>IF(J585="","SEM #CH",VLOOKUP(J585,#REF!,6,0))</f>
        <v>#REF!</v>
      </c>
      <c r="P585" s="19" t="e">
        <f>IF(J585="","SEM #CH",VLOOKUP(J585,#REF!,7,0))</f>
        <v>#REF!</v>
      </c>
      <c r="Q585" s="77" t="str">
        <f>VLOOKUP(J585,'p1'!$B$2:$C$30,2,0)</f>
        <v>NÃO TEM CHAPA</v>
      </c>
      <c r="R585" s="91"/>
      <c r="S585" s="91"/>
      <c r="T585" s="91" t="str">
        <f t="shared" si="38"/>
        <v/>
      </c>
      <c r="U585" s="91"/>
      <c r="V585" s="91"/>
      <c r="W585" s="93"/>
      <c r="X585" s="94" t="str">
        <f t="shared" si="39"/>
        <v/>
      </c>
      <c r="Y585"/>
    </row>
    <row r="586" spans="1:25">
      <c r="A586" s="90">
        <v>585</v>
      </c>
      <c r="B586" s="68"/>
      <c r="C586" s="40"/>
      <c r="D586" s="40" t="str">
        <f t="shared" si="36"/>
        <v/>
      </c>
      <c r="E586" s="47" t="s">
        <v>171</v>
      </c>
      <c r="F586" s="17" t="s">
        <v>58</v>
      </c>
      <c r="G586" s="17" t="s">
        <v>86</v>
      </c>
      <c r="H586" s="42" t="s">
        <v>822</v>
      </c>
      <c r="I586" s="17" t="str">
        <f t="shared" si="37"/>
        <v>PN-585</v>
      </c>
      <c r="J586" s="18" t="s">
        <v>85</v>
      </c>
      <c r="K586" s="19" t="e">
        <f>IF(J586="","SEM #CH",VLOOKUP(J586,#REF!,2,0))</f>
        <v>#REF!</v>
      </c>
      <c r="L586" s="19" t="e">
        <f>IF(J586="","SEM #CH",VLOOKUP(J586,#REF!,3,0))</f>
        <v>#REF!</v>
      </c>
      <c r="M586" s="19" t="e">
        <f>IF(J586="","SEM #CH",VLOOKUP(J586,#REF!,4,0))</f>
        <v>#REF!</v>
      </c>
      <c r="N586" s="19" t="e">
        <f>IF(J586="","SEM #CH",VLOOKUP(J586,#REF!,5,0))</f>
        <v>#REF!</v>
      </c>
      <c r="O586" s="19" t="e">
        <f>IF(J586="","SEM #CH",VLOOKUP(J586,#REF!,6,0))</f>
        <v>#REF!</v>
      </c>
      <c r="P586" s="19" t="e">
        <f>IF(J586="","SEM #CH",VLOOKUP(J586,#REF!,7,0))</f>
        <v>#REF!</v>
      </c>
      <c r="Q586" s="77" t="str">
        <f>VLOOKUP(J586,'p1'!$B$2:$C$30,2,0)</f>
        <v>NÃO TEM CHAPA</v>
      </c>
      <c r="R586" s="91"/>
      <c r="S586" s="91"/>
      <c r="T586" s="91" t="str">
        <f t="shared" si="38"/>
        <v/>
      </c>
      <c r="U586" s="91"/>
      <c r="V586" s="91"/>
      <c r="W586" s="93"/>
      <c r="X586" s="94" t="str">
        <f t="shared" si="39"/>
        <v/>
      </c>
      <c r="Y586"/>
    </row>
    <row r="587" spans="1:25">
      <c r="A587" s="90">
        <v>586</v>
      </c>
      <c r="B587" s="68"/>
      <c r="C587" s="40"/>
      <c r="D587" s="40" t="str">
        <f t="shared" si="36"/>
        <v/>
      </c>
      <c r="E587" s="47" t="s">
        <v>171</v>
      </c>
      <c r="F587" s="17" t="s">
        <v>58</v>
      </c>
      <c r="G587" s="17" t="s">
        <v>86</v>
      </c>
      <c r="H587" s="42" t="s">
        <v>823</v>
      </c>
      <c r="I587" s="17" t="str">
        <f t="shared" si="37"/>
        <v>PN-586</v>
      </c>
      <c r="J587" s="18" t="s">
        <v>85</v>
      </c>
      <c r="K587" s="19" t="e">
        <f>IF(J587="","SEM #CH",VLOOKUP(J587,#REF!,2,0))</f>
        <v>#REF!</v>
      </c>
      <c r="L587" s="19" t="e">
        <f>IF(J587="","SEM #CH",VLOOKUP(J587,#REF!,3,0))</f>
        <v>#REF!</v>
      </c>
      <c r="M587" s="19" t="e">
        <f>IF(J587="","SEM #CH",VLOOKUP(J587,#REF!,4,0))</f>
        <v>#REF!</v>
      </c>
      <c r="N587" s="19" t="e">
        <f>IF(J587="","SEM #CH",VLOOKUP(J587,#REF!,5,0))</f>
        <v>#REF!</v>
      </c>
      <c r="O587" s="19" t="e">
        <f>IF(J587="","SEM #CH",VLOOKUP(J587,#REF!,6,0))</f>
        <v>#REF!</v>
      </c>
      <c r="P587" s="19" t="e">
        <f>IF(J587="","SEM #CH",VLOOKUP(J587,#REF!,7,0))</f>
        <v>#REF!</v>
      </c>
      <c r="Q587" s="77" t="str">
        <f>VLOOKUP(J587,'p1'!$B$2:$C$30,2,0)</f>
        <v>NÃO TEM CHAPA</v>
      </c>
      <c r="R587" s="91"/>
      <c r="S587" s="91"/>
      <c r="T587" s="91" t="str">
        <f t="shared" si="38"/>
        <v/>
      </c>
      <c r="U587" s="91"/>
      <c r="V587" s="91"/>
      <c r="W587" s="93"/>
      <c r="X587" s="94" t="str">
        <f t="shared" si="39"/>
        <v/>
      </c>
      <c r="Y587"/>
    </row>
    <row r="588" spans="1:25">
      <c r="A588" s="90">
        <v>587</v>
      </c>
      <c r="B588" s="68"/>
      <c r="C588" s="40"/>
      <c r="D588" s="40" t="str">
        <f t="shared" si="36"/>
        <v/>
      </c>
      <c r="E588" s="47" t="s">
        <v>171</v>
      </c>
      <c r="F588" s="17" t="s">
        <v>58</v>
      </c>
      <c r="G588" s="17" t="s">
        <v>86</v>
      </c>
      <c r="H588" s="42" t="s">
        <v>824</v>
      </c>
      <c r="I588" s="17" t="str">
        <f t="shared" si="37"/>
        <v>PN-587</v>
      </c>
      <c r="J588" s="18" t="s">
        <v>85</v>
      </c>
      <c r="K588" s="19" t="e">
        <f>IF(J588="","SEM #CH",VLOOKUP(J588,#REF!,2,0))</f>
        <v>#REF!</v>
      </c>
      <c r="L588" s="19" t="e">
        <f>IF(J588="","SEM #CH",VLOOKUP(J588,#REF!,3,0))</f>
        <v>#REF!</v>
      </c>
      <c r="M588" s="19" t="e">
        <f>IF(J588="","SEM #CH",VLOOKUP(J588,#REF!,4,0))</f>
        <v>#REF!</v>
      </c>
      <c r="N588" s="19" t="e">
        <f>IF(J588="","SEM #CH",VLOOKUP(J588,#REF!,5,0))</f>
        <v>#REF!</v>
      </c>
      <c r="O588" s="19" t="e">
        <f>IF(J588="","SEM #CH",VLOOKUP(J588,#REF!,6,0))</f>
        <v>#REF!</v>
      </c>
      <c r="P588" s="19" t="e">
        <f>IF(J588="","SEM #CH",VLOOKUP(J588,#REF!,7,0))</f>
        <v>#REF!</v>
      </c>
      <c r="Q588" s="77" t="str">
        <f>VLOOKUP(J588,'p1'!$B$2:$C$30,2,0)</f>
        <v>NÃO TEM CHAPA</v>
      </c>
      <c r="R588" s="91"/>
      <c r="S588" s="91"/>
      <c r="T588" s="91" t="str">
        <f t="shared" si="38"/>
        <v/>
      </c>
      <c r="U588" s="91"/>
      <c r="V588" s="91"/>
      <c r="W588" s="93"/>
      <c r="X588" s="94" t="str">
        <f t="shared" si="39"/>
        <v/>
      </c>
      <c r="Y588"/>
    </row>
    <row r="589" spans="1:25">
      <c r="A589" s="90">
        <v>588</v>
      </c>
      <c r="B589" s="68"/>
      <c r="C589" s="40"/>
      <c r="D589" s="40" t="str">
        <f t="shared" si="36"/>
        <v/>
      </c>
      <c r="E589" s="47" t="s">
        <v>171</v>
      </c>
      <c r="F589" s="17" t="s">
        <v>58</v>
      </c>
      <c r="G589" s="17" t="s">
        <v>86</v>
      </c>
      <c r="H589" s="42" t="s">
        <v>825</v>
      </c>
      <c r="I589" s="17" t="str">
        <f t="shared" si="37"/>
        <v>PN-588</v>
      </c>
      <c r="J589" s="18" t="s">
        <v>85</v>
      </c>
      <c r="K589" s="19" t="e">
        <f>IF(J589="","SEM #CH",VLOOKUP(J589,#REF!,2,0))</f>
        <v>#REF!</v>
      </c>
      <c r="L589" s="19" t="e">
        <f>IF(J589="","SEM #CH",VLOOKUP(J589,#REF!,3,0))</f>
        <v>#REF!</v>
      </c>
      <c r="M589" s="19" t="e">
        <f>IF(J589="","SEM #CH",VLOOKUP(J589,#REF!,4,0))</f>
        <v>#REF!</v>
      </c>
      <c r="N589" s="19" t="e">
        <f>IF(J589="","SEM #CH",VLOOKUP(J589,#REF!,5,0))</f>
        <v>#REF!</v>
      </c>
      <c r="O589" s="19" t="e">
        <f>IF(J589="","SEM #CH",VLOOKUP(J589,#REF!,6,0))</f>
        <v>#REF!</v>
      </c>
      <c r="P589" s="19" t="e">
        <f>IF(J589="","SEM #CH",VLOOKUP(J589,#REF!,7,0))</f>
        <v>#REF!</v>
      </c>
      <c r="Q589" s="77" t="str">
        <f>VLOOKUP(J589,'p1'!$B$2:$C$30,2,0)</f>
        <v>NÃO TEM CHAPA</v>
      </c>
      <c r="R589" s="91"/>
      <c r="S589" s="91"/>
      <c r="T589" s="91" t="str">
        <f t="shared" si="38"/>
        <v/>
      </c>
      <c r="U589" s="91"/>
      <c r="V589" s="91"/>
      <c r="W589" s="93"/>
      <c r="X589" s="94" t="str">
        <f t="shared" si="39"/>
        <v/>
      </c>
      <c r="Y589"/>
    </row>
    <row r="590" spans="1:25">
      <c r="A590" s="90">
        <v>589</v>
      </c>
      <c r="B590" s="68"/>
      <c r="C590" s="40"/>
      <c r="D590" s="40" t="str">
        <f t="shared" si="36"/>
        <v/>
      </c>
      <c r="E590" s="47" t="s">
        <v>171</v>
      </c>
      <c r="F590" s="17" t="s">
        <v>58</v>
      </c>
      <c r="G590" s="17" t="s">
        <v>86</v>
      </c>
      <c r="H590" s="42" t="s">
        <v>826</v>
      </c>
      <c r="I590" s="17" t="str">
        <f t="shared" si="37"/>
        <v>PN-589</v>
      </c>
      <c r="J590" s="18" t="s">
        <v>85</v>
      </c>
      <c r="K590" s="19" t="e">
        <f>IF(J590="","SEM #CH",VLOOKUP(J590,#REF!,2,0))</f>
        <v>#REF!</v>
      </c>
      <c r="L590" s="19" t="e">
        <f>IF(J590="","SEM #CH",VLOOKUP(J590,#REF!,3,0))</f>
        <v>#REF!</v>
      </c>
      <c r="M590" s="19" t="e">
        <f>IF(J590="","SEM #CH",VLOOKUP(J590,#REF!,4,0))</f>
        <v>#REF!</v>
      </c>
      <c r="N590" s="19" t="e">
        <f>IF(J590="","SEM #CH",VLOOKUP(J590,#REF!,5,0))</f>
        <v>#REF!</v>
      </c>
      <c r="O590" s="19" t="e">
        <f>IF(J590="","SEM #CH",VLOOKUP(J590,#REF!,6,0))</f>
        <v>#REF!</v>
      </c>
      <c r="P590" s="19" t="e">
        <f>IF(J590="","SEM #CH",VLOOKUP(J590,#REF!,7,0))</f>
        <v>#REF!</v>
      </c>
      <c r="Q590" s="77" t="str">
        <f>VLOOKUP(J590,'p1'!$B$2:$C$30,2,0)</f>
        <v>NÃO TEM CHAPA</v>
      </c>
      <c r="R590" s="91"/>
      <c r="S590" s="91"/>
      <c r="T590" s="91" t="str">
        <f t="shared" si="38"/>
        <v/>
      </c>
      <c r="U590" s="91"/>
      <c r="V590" s="91"/>
      <c r="W590" s="93"/>
      <c r="X590" s="94" t="str">
        <f t="shared" si="39"/>
        <v/>
      </c>
      <c r="Y590"/>
    </row>
    <row r="591" spans="1:25">
      <c r="A591" s="90">
        <v>590</v>
      </c>
      <c r="B591" s="68"/>
      <c r="C591" s="40"/>
      <c r="D591" s="40" t="str">
        <f t="shared" si="36"/>
        <v/>
      </c>
      <c r="E591" s="47" t="s">
        <v>171</v>
      </c>
      <c r="F591" s="17" t="s">
        <v>61</v>
      </c>
      <c r="G591" s="17" t="s">
        <v>86</v>
      </c>
      <c r="H591" s="42" t="s">
        <v>827</v>
      </c>
      <c r="I591" s="17" t="str">
        <f t="shared" si="37"/>
        <v>PF-590</v>
      </c>
      <c r="J591" s="18" t="s">
        <v>61</v>
      </c>
      <c r="K591" s="19" t="e">
        <f>IF(J591="","SEM #CH",VLOOKUP(J591,#REF!,2,0))</f>
        <v>#REF!</v>
      </c>
      <c r="L591" s="19" t="e">
        <f>IF(J591="","SEM #CH",VLOOKUP(J591,#REF!,3,0))</f>
        <v>#REF!</v>
      </c>
      <c r="M591" s="19" t="e">
        <f>IF(J591="","SEM #CH",VLOOKUP(J591,#REF!,4,0))</f>
        <v>#REF!</v>
      </c>
      <c r="N591" s="19" t="e">
        <f>IF(J591="","SEM #CH",VLOOKUP(J591,#REF!,5,0))</f>
        <v>#REF!</v>
      </c>
      <c r="O591" s="19" t="e">
        <f>IF(J591="","SEM #CH",VLOOKUP(J591,#REF!,6,0))</f>
        <v>#REF!</v>
      </c>
      <c r="P591" s="19" t="e">
        <f>IF(J591="","SEM #CH",VLOOKUP(J591,#REF!,7,0))</f>
        <v>#REF!</v>
      </c>
      <c r="Q591" s="77" t="str">
        <f>VLOOKUP(J591,'p1'!$B$2:$C$30,2,0)</f>
        <v>SEM CHAPA</v>
      </c>
      <c r="R591" s="91"/>
      <c r="S591" s="91"/>
      <c r="T591" s="91" t="str">
        <f t="shared" si="38"/>
        <v/>
      </c>
      <c r="U591" s="91"/>
      <c r="V591" s="91"/>
      <c r="W591" s="93"/>
      <c r="X591" s="94" t="str">
        <f t="shared" si="39"/>
        <v/>
      </c>
      <c r="Y591"/>
    </row>
    <row r="592" spans="1:25">
      <c r="A592" s="90">
        <v>591</v>
      </c>
      <c r="B592" s="68"/>
      <c r="C592" s="40"/>
      <c r="D592" s="40" t="str">
        <f t="shared" si="36"/>
        <v/>
      </c>
      <c r="E592" s="47" t="s">
        <v>171</v>
      </c>
      <c r="F592" s="17" t="s">
        <v>58</v>
      </c>
      <c r="G592" s="17" t="s">
        <v>86</v>
      </c>
      <c r="H592" s="42" t="s">
        <v>828</v>
      </c>
      <c r="I592" s="17" t="str">
        <f t="shared" si="37"/>
        <v>PN-591</v>
      </c>
      <c r="J592" s="18" t="s">
        <v>85</v>
      </c>
      <c r="K592" s="19" t="e">
        <f>IF(J592="","SEM #CH",VLOOKUP(J592,#REF!,2,0))</f>
        <v>#REF!</v>
      </c>
      <c r="L592" s="19" t="e">
        <f>IF(J592="","SEM #CH",VLOOKUP(J592,#REF!,3,0))</f>
        <v>#REF!</v>
      </c>
      <c r="M592" s="19" t="e">
        <f>IF(J592="","SEM #CH",VLOOKUP(J592,#REF!,4,0))</f>
        <v>#REF!</v>
      </c>
      <c r="N592" s="19" t="e">
        <f>IF(J592="","SEM #CH",VLOOKUP(J592,#REF!,5,0))</f>
        <v>#REF!</v>
      </c>
      <c r="O592" s="19" t="e">
        <f>IF(J592="","SEM #CH",VLOOKUP(J592,#REF!,6,0))</f>
        <v>#REF!</v>
      </c>
      <c r="P592" s="19" t="e">
        <f>IF(J592="","SEM #CH",VLOOKUP(J592,#REF!,7,0))</f>
        <v>#REF!</v>
      </c>
      <c r="Q592" s="77" t="str">
        <f>VLOOKUP(J592,'p1'!$B$2:$C$30,2,0)</f>
        <v>NÃO TEM CHAPA</v>
      </c>
      <c r="R592" s="91"/>
      <c r="S592" s="91"/>
      <c r="T592" s="91" t="str">
        <f t="shared" si="38"/>
        <v/>
      </c>
      <c r="U592" s="91"/>
      <c r="V592" s="91"/>
      <c r="W592" s="93"/>
      <c r="X592" s="94" t="str">
        <f t="shared" si="39"/>
        <v/>
      </c>
      <c r="Y592"/>
    </row>
    <row r="593" spans="1:25">
      <c r="A593" s="90">
        <v>592</v>
      </c>
      <c r="B593" s="68"/>
      <c r="C593" s="40"/>
      <c r="D593" s="40" t="str">
        <f t="shared" si="36"/>
        <v/>
      </c>
      <c r="E593" s="47" t="s">
        <v>171</v>
      </c>
      <c r="F593" s="17" t="s">
        <v>58</v>
      </c>
      <c r="G593" s="17" t="s">
        <v>86</v>
      </c>
      <c r="H593" s="42" t="s">
        <v>829</v>
      </c>
      <c r="I593" s="17" t="str">
        <f t="shared" si="37"/>
        <v>PN-592</v>
      </c>
      <c r="J593" s="18" t="s">
        <v>85</v>
      </c>
      <c r="K593" s="19" t="e">
        <f>IF(J593="","SEM #CH",VLOOKUP(J593,#REF!,2,0))</f>
        <v>#REF!</v>
      </c>
      <c r="L593" s="19" t="e">
        <f>IF(J593="","SEM #CH",VLOOKUP(J593,#REF!,3,0))</f>
        <v>#REF!</v>
      </c>
      <c r="M593" s="19" t="e">
        <f>IF(J593="","SEM #CH",VLOOKUP(J593,#REF!,4,0))</f>
        <v>#REF!</v>
      </c>
      <c r="N593" s="19" t="e">
        <f>IF(J593="","SEM #CH",VLOOKUP(J593,#REF!,5,0))</f>
        <v>#REF!</v>
      </c>
      <c r="O593" s="19" t="e">
        <f>IF(J593="","SEM #CH",VLOOKUP(J593,#REF!,6,0))</f>
        <v>#REF!</v>
      </c>
      <c r="P593" s="19" t="e">
        <f>IF(J593="","SEM #CH",VLOOKUP(J593,#REF!,7,0))</f>
        <v>#REF!</v>
      </c>
      <c r="Q593" s="77" t="str">
        <f>VLOOKUP(J593,'p1'!$B$2:$C$30,2,0)</f>
        <v>NÃO TEM CHAPA</v>
      </c>
      <c r="R593" s="91"/>
      <c r="S593" s="91"/>
      <c r="T593" s="91" t="str">
        <f t="shared" si="38"/>
        <v/>
      </c>
      <c r="U593" s="91"/>
      <c r="V593" s="91"/>
      <c r="W593" s="93"/>
      <c r="X593" s="94" t="str">
        <f t="shared" si="39"/>
        <v/>
      </c>
      <c r="Y593"/>
    </row>
    <row r="594" spans="1:25">
      <c r="A594" s="90">
        <v>593</v>
      </c>
      <c r="B594" s="68"/>
      <c r="C594" s="40"/>
      <c r="D594" s="40" t="str">
        <f t="shared" si="36"/>
        <v/>
      </c>
      <c r="E594" s="47" t="s">
        <v>171</v>
      </c>
      <c r="F594" s="17" t="s">
        <v>58</v>
      </c>
      <c r="G594" s="17" t="s">
        <v>86</v>
      </c>
      <c r="H594" s="42" t="s">
        <v>830</v>
      </c>
      <c r="I594" s="17" t="str">
        <f t="shared" si="37"/>
        <v>PN-593</v>
      </c>
      <c r="J594" s="18" t="s">
        <v>85</v>
      </c>
      <c r="K594" s="19" t="e">
        <f>IF(J594="","SEM #CH",VLOOKUP(J594,#REF!,2,0))</f>
        <v>#REF!</v>
      </c>
      <c r="L594" s="19" t="e">
        <f>IF(J594="","SEM #CH",VLOOKUP(J594,#REF!,3,0))</f>
        <v>#REF!</v>
      </c>
      <c r="M594" s="19" t="e">
        <f>IF(J594="","SEM #CH",VLOOKUP(J594,#REF!,4,0))</f>
        <v>#REF!</v>
      </c>
      <c r="N594" s="19" t="e">
        <f>IF(J594="","SEM #CH",VLOOKUP(J594,#REF!,5,0))</f>
        <v>#REF!</v>
      </c>
      <c r="O594" s="19" t="e">
        <f>IF(J594="","SEM #CH",VLOOKUP(J594,#REF!,6,0))</f>
        <v>#REF!</v>
      </c>
      <c r="P594" s="19" t="e">
        <f>IF(J594="","SEM #CH",VLOOKUP(J594,#REF!,7,0))</f>
        <v>#REF!</v>
      </c>
      <c r="Q594" s="77" t="str">
        <f>VLOOKUP(J594,'p1'!$B$2:$C$30,2,0)</f>
        <v>NÃO TEM CHAPA</v>
      </c>
      <c r="R594" s="91"/>
      <c r="S594" s="91"/>
      <c r="T594" s="91" t="str">
        <f t="shared" si="38"/>
        <v/>
      </c>
      <c r="U594" s="91"/>
      <c r="V594" s="91"/>
      <c r="W594" s="93"/>
      <c r="X594" s="94" t="str">
        <f t="shared" si="39"/>
        <v/>
      </c>
      <c r="Y594"/>
    </row>
    <row r="595" spans="1:25">
      <c r="A595" s="90">
        <v>594</v>
      </c>
      <c r="B595" s="68"/>
      <c r="C595" s="40"/>
      <c r="D595" s="40" t="str">
        <f t="shared" si="36"/>
        <v/>
      </c>
      <c r="E595" s="47" t="s">
        <v>171</v>
      </c>
      <c r="F595" s="17" t="s">
        <v>58</v>
      </c>
      <c r="G595" s="17" t="s">
        <v>86</v>
      </c>
      <c r="H595" s="42" t="s">
        <v>831</v>
      </c>
      <c r="I595" s="17" t="str">
        <f t="shared" si="37"/>
        <v>PN-594</v>
      </c>
      <c r="J595" s="18" t="s">
        <v>85</v>
      </c>
      <c r="K595" s="19" t="e">
        <f>IF(J595="","SEM #CH",VLOOKUP(J595,#REF!,2,0))</f>
        <v>#REF!</v>
      </c>
      <c r="L595" s="19" t="e">
        <f>IF(J595="","SEM #CH",VLOOKUP(J595,#REF!,3,0))</f>
        <v>#REF!</v>
      </c>
      <c r="M595" s="19" t="e">
        <f>IF(J595="","SEM #CH",VLOOKUP(J595,#REF!,4,0))</f>
        <v>#REF!</v>
      </c>
      <c r="N595" s="19" t="e">
        <f>IF(J595="","SEM #CH",VLOOKUP(J595,#REF!,5,0))</f>
        <v>#REF!</v>
      </c>
      <c r="O595" s="19" t="e">
        <f>IF(J595="","SEM #CH",VLOOKUP(J595,#REF!,6,0))</f>
        <v>#REF!</v>
      </c>
      <c r="P595" s="19" t="e">
        <f>IF(J595="","SEM #CH",VLOOKUP(J595,#REF!,7,0))</f>
        <v>#REF!</v>
      </c>
      <c r="Q595" s="77" t="str">
        <f>VLOOKUP(J595,'p1'!$B$2:$C$30,2,0)</f>
        <v>NÃO TEM CHAPA</v>
      </c>
      <c r="R595" s="91"/>
      <c r="S595" s="91"/>
      <c r="T595" s="91" t="str">
        <f t="shared" si="38"/>
        <v/>
      </c>
      <c r="U595" s="91"/>
      <c r="V595" s="91"/>
      <c r="W595" s="93"/>
      <c r="X595" s="94" t="str">
        <f t="shared" si="39"/>
        <v/>
      </c>
      <c r="Y595"/>
    </row>
    <row r="596" spans="1:25">
      <c r="A596" s="90">
        <v>595</v>
      </c>
      <c r="B596" s="68"/>
      <c r="C596" s="40"/>
      <c r="D596" s="40" t="str">
        <f t="shared" si="36"/>
        <v/>
      </c>
      <c r="E596" s="47" t="s">
        <v>171</v>
      </c>
      <c r="F596" s="17" t="s">
        <v>58</v>
      </c>
      <c r="G596" s="17" t="s">
        <v>86</v>
      </c>
      <c r="H596" s="42" t="s">
        <v>832</v>
      </c>
      <c r="I596" s="17" t="str">
        <f t="shared" si="37"/>
        <v>PN-595</v>
      </c>
      <c r="J596" s="18" t="s">
        <v>85</v>
      </c>
      <c r="K596" s="19" t="e">
        <f>IF(J596="","SEM #CH",VLOOKUP(J596,#REF!,2,0))</f>
        <v>#REF!</v>
      </c>
      <c r="L596" s="19" t="e">
        <f>IF(J596="","SEM #CH",VLOOKUP(J596,#REF!,3,0))</f>
        <v>#REF!</v>
      </c>
      <c r="M596" s="19" t="e">
        <f>IF(J596="","SEM #CH",VLOOKUP(J596,#REF!,4,0))</f>
        <v>#REF!</v>
      </c>
      <c r="N596" s="19" t="e">
        <f>IF(J596="","SEM #CH",VLOOKUP(J596,#REF!,5,0))</f>
        <v>#REF!</v>
      </c>
      <c r="O596" s="19" t="e">
        <f>IF(J596="","SEM #CH",VLOOKUP(J596,#REF!,6,0))</f>
        <v>#REF!</v>
      </c>
      <c r="P596" s="19" t="e">
        <f>IF(J596="","SEM #CH",VLOOKUP(J596,#REF!,7,0))</f>
        <v>#REF!</v>
      </c>
      <c r="Q596" s="77" t="str">
        <f>VLOOKUP(J596,'p1'!$B$2:$C$30,2,0)</f>
        <v>NÃO TEM CHAPA</v>
      </c>
      <c r="R596" s="91"/>
      <c r="S596" s="91"/>
      <c r="T596" s="91" t="str">
        <f t="shared" si="38"/>
        <v/>
      </c>
      <c r="U596" s="91"/>
      <c r="V596" s="91"/>
      <c r="W596" s="93"/>
      <c r="X596" s="94" t="str">
        <f t="shared" si="39"/>
        <v/>
      </c>
      <c r="Y596"/>
    </row>
    <row r="597" spans="1:25">
      <c r="A597" s="90">
        <v>596</v>
      </c>
      <c r="B597" s="68"/>
      <c r="C597" s="40"/>
      <c r="D597" s="40" t="str">
        <f t="shared" si="36"/>
        <v/>
      </c>
      <c r="E597" s="47" t="s">
        <v>171</v>
      </c>
      <c r="F597" s="17" t="s">
        <v>58</v>
      </c>
      <c r="G597" s="17" t="s">
        <v>86</v>
      </c>
      <c r="H597" s="42" t="s">
        <v>833</v>
      </c>
      <c r="I597" s="17" t="str">
        <f t="shared" si="37"/>
        <v>PN-596</v>
      </c>
      <c r="J597" s="18" t="s">
        <v>85</v>
      </c>
      <c r="K597" s="19" t="e">
        <f>IF(J597="","SEM #CH",VLOOKUP(J597,#REF!,2,0))</f>
        <v>#REF!</v>
      </c>
      <c r="L597" s="19" t="e">
        <f>IF(J597="","SEM #CH",VLOOKUP(J597,#REF!,3,0))</f>
        <v>#REF!</v>
      </c>
      <c r="M597" s="19" t="e">
        <f>IF(J597="","SEM #CH",VLOOKUP(J597,#REF!,4,0))</f>
        <v>#REF!</v>
      </c>
      <c r="N597" s="19" t="e">
        <f>IF(J597="","SEM #CH",VLOOKUP(J597,#REF!,5,0))</f>
        <v>#REF!</v>
      </c>
      <c r="O597" s="19" t="e">
        <f>IF(J597="","SEM #CH",VLOOKUP(J597,#REF!,6,0))</f>
        <v>#REF!</v>
      </c>
      <c r="P597" s="19" t="e">
        <f>IF(J597="","SEM #CH",VLOOKUP(J597,#REF!,7,0))</f>
        <v>#REF!</v>
      </c>
      <c r="Q597" s="77" t="str">
        <f>VLOOKUP(J597,'p1'!$B$2:$C$30,2,0)</f>
        <v>NÃO TEM CHAPA</v>
      </c>
      <c r="R597" s="91"/>
      <c r="S597" s="91"/>
      <c r="T597" s="91" t="str">
        <f t="shared" si="38"/>
        <v/>
      </c>
      <c r="U597" s="91"/>
      <c r="V597" s="91"/>
      <c r="W597" s="93"/>
      <c r="X597" s="94" t="str">
        <f t="shared" si="39"/>
        <v/>
      </c>
      <c r="Y597"/>
    </row>
    <row r="598" spans="1:25">
      <c r="A598" s="90">
        <v>597</v>
      </c>
      <c r="B598" s="68"/>
      <c r="C598" s="40"/>
      <c r="D598" s="40" t="str">
        <f t="shared" si="36"/>
        <v/>
      </c>
      <c r="E598" s="47" t="s">
        <v>171</v>
      </c>
      <c r="F598" s="17" t="s">
        <v>58</v>
      </c>
      <c r="G598" s="17" t="s">
        <v>86</v>
      </c>
      <c r="H598" s="42" t="s">
        <v>834</v>
      </c>
      <c r="I598" s="17" t="str">
        <f t="shared" si="37"/>
        <v>PN-597</v>
      </c>
      <c r="J598" s="18" t="s">
        <v>85</v>
      </c>
      <c r="K598" s="19" t="e">
        <f>IF(J598="","SEM #CH",VLOOKUP(J598,#REF!,2,0))</f>
        <v>#REF!</v>
      </c>
      <c r="L598" s="19" t="e">
        <f>IF(J598="","SEM #CH",VLOOKUP(J598,#REF!,3,0))</f>
        <v>#REF!</v>
      </c>
      <c r="M598" s="19" t="e">
        <f>IF(J598="","SEM #CH",VLOOKUP(J598,#REF!,4,0))</f>
        <v>#REF!</v>
      </c>
      <c r="N598" s="19" t="e">
        <f>IF(J598="","SEM #CH",VLOOKUP(J598,#REF!,5,0))</f>
        <v>#REF!</v>
      </c>
      <c r="O598" s="19" t="e">
        <f>IF(J598="","SEM #CH",VLOOKUP(J598,#REF!,6,0))</f>
        <v>#REF!</v>
      </c>
      <c r="P598" s="19" t="e">
        <f>IF(J598="","SEM #CH",VLOOKUP(J598,#REF!,7,0))</f>
        <v>#REF!</v>
      </c>
      <c r="Q598" s="77" t="str">
        <f>VLOOKUP(J598,'p1'!$B$2:$C$30,2,0)</f>
        <v>NÃO TEM CHAPA</v>
      </c>
      <c r="R598" s="91"/>
      <c r="S598" s="91"/>
      <c r="T598" s="91" t="str">
        <f t="shared" si="38"/>
        <v/>
      </c>
      <c r="U598" s="91"/>
      <c r="V598" s="91"/>
      <c r="W598" s="93"/>
      <c r="X598" s="94" t="str">
        <f t="shared" si="39"/>
        <v/>
      </c>
      <c r="Y598"/>
    </row>
    <row r="599" spans="1:25">
      <c r="A599" s="90">
        <v>598</v>
      </c>
      <c r="B599" s="68"/>
      <c r="C599" s="40"/>
      <c r="D599" s="40" t="str">
        <f t="shared" si="36"/>
        <v/>
      </c>
      <c r="E599" s="47" t="s">
        <v>171</v>
      </c>
      <c r="F599" s="17" t="s">
        <v>60</v>
      </c>
      <c r="G599" s="17" t="s">
        <v>86</v>
      </c>
      <c r="H599" s="42" t="s">
        <v>835</v>
      </c>
      <c r="I599" s="17" t="str">
        <f t="shared" si="37"/>
        <v>PE-598</v>
      </c>
      <c r="J599" s="18" t="s">
        <v>90</v>
      </c>
      <c r="K599" s="19" t="e">
        <f>IF(J599="","SEM #CH",VLOOKUP(J599,#REF!,2,0))</f>
        <v>#REF!</v>
      </c>
      <c r="L599" s="19" t="e">
        <f>IF(J599="","SEM #CH",VLOOKUP(J599,#REF!,3,0))</f>
        <v>#REF!</v>
      </c>
      <c r="M599" s="19" t="e">
        <f>IF(J599="","SEM #CH",VLOOKUP(J599,#REF!,4,0))</f>
        <v>#REF!</v>
      </c>
      <c r="N599" s="19" t="e">
        <f>IF(J599="","SEM #CH",VLOOKUP(J599,#REF!,5,0))</f>
        <v>#REF!</v>
      </c>
      <c r="O599" s="19" t="e">
        <f>IF(J599="","SEM #CH",VLOOKUP(J599,#REF!,6,0))</f>
        <v>#REF!</v>
      </c>
      <c r="P599" s="19" t="e">
        <f>IF(J599="","SEM #CH",VLOOKUP(J599,#REF!,7,0))</f>
        <v>#REF!</v>
      </c>
      <c r="Q599" s="77" t="str">
        <f>VLOOKUP(J599,'p1'!$B$2:$C$30,2,0)</f>
        <v>#3/8-530X530</v>
      </c>
      <c r="R599" s="91"/>
      <c r="S599" s="91"/>
      <c r="T599" s="91" t="str">
        <f t="shared" si="38"/>
        <v/>
      </c>
      <c r="U599" s="91"/>
      <c r="V599" s="91"/>
      <c r="W599" s="93"/>
      <c r="X599" s="94" t="str">
        <f t="shared" si="39"/>
        <v/>
      </c>
      <c r="Y599"/>
    </row>
    <row r="600" spans="1:25">
      <c r="A600" s="90">
        <v>599</v>
      </c>
      <c r="B600" s="68"/>
      <c r="C600" s="40"/>
      <c r="D600" s="40" t="str">
        <f t="shared" si="36"/>
        <v/>
      </c>
      <c r="E600" s="47" t="s">
        <v>171</v>
      </c>
      <c r="F600" s="17" t="s">
        <v>58</v>
      </c>
      <c r="G600" s="17" t="s">
        <v>86</v>
      </c>
      <c r="H600" s="42" t="s">
        <v>836</v>
      </c>
      <c r="I600" s="17" t="str">
        <f t="shared" si="37"/>
        <v>PN-599</v>
      </c>
      <c r="J600" s="18" t="s">
        <v>85</v>
      </c>
      <c r="K600" s="19" t="e">
        <f>IF(J600="","SEM #CH",VLOOKUP(J600,#REF!,2,0))</f>
        <v>#REF!</v>
      </c>
      <c r="L600" s="19" t="e">
        <f>IF(J600="","SEM #CH",VLOOKUP(J600,#REF!,3,0))</f>
        <v>#REF!</v>
      </c>
      <c r="M600" s="19" t="e">
        <f>IF(J600="","SEM #CH",VLOOKUP(J600,#REF!,4,0))</f>
        <v>#REF!</v>
      </c>
      <c r="N600" s="19" t="e">
        <f>IF(J600="","SEM #CH",VLOOKUP(J600,#REF!,5,0))</f>
        <v>#REF!</v>
      </c>
      <c r="O600" s="19" t="e">
        <f>IF(J600="","SEM #CH",VLOOKUP(J600,#REF!,6,0))</f>
        <v>#REF!</v>
      </c>
      <c r="P600" s="19" t="e">
        <f>IF(J600="","SEM #CH",VLOOKUP(J600,#REF!,7,0))</f>
        <v>#REF!</v>
      </c>
      <c r="Q600" s="77" t="str">
        <f>VLOOKUP(J600,'p1'!$B$2:$C$30,2,0)</f>
        <v>NÃO TEM CHAPA</v>
      </c>
      <c r="R600" s="91"/>
      <c r="S600" s="91"/>
      <c r="T600" s="91" t="str">
        <f t="shared" si="38"/>
        <v/>
      </c>
      <c r="U600" s="91"/>
      <c r="V600" s="91"/>
      <c r="W600" s="93"/>
      <c r="X600" s="94" t="str">
        <f t="shared" si="39"/>
        <v/>
      </c>
      <c r="Y600"/>
    </row>
    <row r="601" spans="1:25">
      <c r="A601" s="90">
        <v>600</v>
      </c>
      <c r="B601" s="68"/>
      <c r="C601" s="40"/>
      <c r="D601" s="40" t="str">
        <f t="shared" si="36"/>
        <v/>
      </c>
      <c r="E601" s="47" t="s">
        <v>171</v>
      </c>
      <c r="F601" s="17" t="s">
        <v>58</v>
      </c>
      <c r="G601" s="17" t="s">
        <v>86</v>
      </c>
      <c r="H601" s="42" t="s">
        <v>837</v>
      </c>
      <c r="I601" s="17" t="str">
        <f t="shared" si="37"/>
        <v>PN-600</v>
      </c>
      <c r="J601" s="18" t="s">
        <v>85</v>
      </c>
      <c r="K601" s="19" t="e">
        <f>IF(J601="","SEM #CH",VLOOKUP(J601,#REF!,2,0))</f>
        <v>#REF!</v>
      </c>
      <c r="L601" s="19" t="e">
        <f>IF(J601="","SEM #CH",VLOOKUP(J601,#REF!,3,0))</f>
        <v>#REF!</v>
      </c>
      <c r="M601" s="19" t="e">
        <f>IF(J601="","SEM #CH",VLOOKUP(J601,#REF!,4,0))</f>
        <v>#REF!</v>
      </c>
      <c r="N601" s="19" t="e">
        <f>IF(J601="","SEM #CH",VLOOKUP(J601,#REF!,5,0))</f>
        <v>#REF!</v>
      </c>
      <c r="O601" s="19" t="e">
        <f>IF(J601="","SEM #CH",VLOOKUP(J601,#REF!,6,0))</f>
        <v>#REF!</v>
      </c>
      <c r="P601" s="19" t="e">
        <f>IF(J601="","SEM #CH",VLOOKUP(J601,#REF!,7,0))</f>
        <v>#REF!</v>
      </c>
      <c r="Q601" s="77" t="str">
        <f>VLOOKUP(J601,'p1'!$B$2:$C$30,2,0)</f>
        <v>NÃO TEM CHAPA</v>
      </c>
      <c r="R601" s="91"/>
      <c r="S601" s="91"/>
      <c r="T601" s="91" t="str">
        <f t="shared" si="38"/>
        <v/>
      </c>
      <c r="U601" s="91"/>
      <c r="V601" s="91"/>
      <c r="W601" s="93"/>
      <c r="X601" s="94" t="str">
        <f t="shared" si="39"/>
        <v/>
      </c>
      <c r="Y601"/>
    </row>
    <row r="602" spans="1:25">
      <c r="A602" s="90">
        <v>601</v>
      </c>
      <c r="B602" s="68"/>
      <c r="C602" s="40"/>
      <c r="D602" s="40" t="str">
        <f t="shared" si="36"/>
        <v/>
      </c>
      <c r="E602" s="47" t="s">
        <v>171</v>
      </c>
      <c r="F602" s="17" t="s">
        <v>58</v>
      </c>
      <c r="G602" s="17" t="s">
        <v>86</v>
      </c>
      <c r="H602" s="42" t="s">
        <v>838</v>
      </c>
      <c r="I602" s="17" t="str">
        <f t="shared" si="37"/>
        <v>PN-601</v>
      </c>
      <c r="J602" s="18" t="s">
        <v>85</v>
      </c>
      <c r="K602" s="19" t="e">
        <f>IF(J602="","SEM #CH",VLOOKUP(J602,#REF!,2,0))</f>
        <v>#REF!</v>
      </c>
      <c r="L602" s="19" t="e">
        <f>IF(J602="","SEM #CH",VLOOKUP(J602,#REF!,3,0))</f>
        <v>#REF!</v>
      </c>
      <c r="M602" s="19" t="e">
        <f>IF(J602="","SEM #CH",VLOOKUP(J602,#REF!,4,0))</f>
        <v>#REF!</v>
      </c>
      <c r="N602" s="19" t="e">
        <f>IF(J602="","SEM #CH",VLOOKUP(J602,#REF!,5,0))</f>
        <v>#REF!</v>
      </c>
      <c r="O602" s="19" t="e">
        <f>IF(J602="","SEM #CH",VLOOKUP(J602,#REF!,6,0))</f>
        <v>#REF!</v>
      </c>
      <c r="P602" s="19" t="e">
        <f>IF(J602="","SEM #CH",VLOOKUP(J602,#REF!,7,0))</f>
        <v>#REF!</v>
      </c>
      <c r="Q602" s="77" t="str">
        <f>VLOOKUP(J602,'p1'!$B$2:$C$30,2,0)</f>
        <v>NÃO TEM CHAPA</v>
      </c>
      <c r="R602" s="91"/>
      <c r="S602" s="91"/>
      <c r="T602" s="91" t="str">
        <f t="shared" si="38"/>
        <v/>
      </c>
      <c r="U602" s="91"/>
      <c r="V602" s="91"/>
      <c r="W602" s="93"/>
      <c r="X602" s="94" t="str">
        <f t="shared" si="39"/>
        <v/>
      </c>
      <c r="Y602"/>
    </row>
    <row r="603" spans="1:25">
      <c r="A603" s="90">
        <v>602</v>
      </c>
      <c r="B603" s="68"/>
      <c r="C603" s="40"/>
      <c r="D603" s="40" t="str">
        <f t="shared" si="36"/>
        <v/>
      </c>
      <c r="E603" s="47" t="s">
        <v>171</v>
      </c>
      <c r="F603" s="17" t="s">
        <v>58</v>
      </c>
      <c r="G603" s="17" t="s">
        <v>86</v>
      </c>
      <c r="H603" s="42" t="s">
        <v>839</v>
      </c>
      <c r="I603" s="17" t="str">
        <f t="shared" si="37"/>
        <v>PN-602</v>
      </c>
      <c r="J603" s="18" t="s">
        <v>85</v>
      </c>
      <c r="K603" s="19" t="e">
        <f>IF(J603="","SEM #CH",VLOOKUP(J603,#REF!,2,0))</f>
        <v>#REF!</v>
      </c>
      <c r="L603" s="19" t="e">
        <f>IF(J603="","SEM #CH",VLOOKUP(J603,#REF!,3,0))</f>
        <v>#REF!</v>
      </c>
      <c r="M603" s="19" t="e">
        <f>IF(J603="","SEM #CH",VLOOKUP(J603,#REF!,4,0))</f>
        <v>#REF!</v>
      </c>
      <c r="N603" s="19" t="e">
        <f>IF(J603="","SEM #CH",VLOOKUP(J603,#REF!,5,0))</f>
        <v>#REF!</v>
      </c>
      <c r="O603" s="19" t="e">
        <f>IF(J603="","SEM #CH",VLOOKUP(J603,#REF!,6,0))</f>
        <v>#REF!</v>
      </c>
      <c r="P603" s="19" t="e">
        <f>IF(J603="","SEM #CH",VLOOKUP(J603,#REF!,7,0))</f>
        <v>#REF!</v>
      </c>
      <c r="Q603" s="77" t="str">
        <f>VLOOKUP(J603,'p1'!$B$2:$C$30,2,0)</f>
        <v>NÃO TEM CHAPA</v>
      </c>
      <c r="R603" s="91"/>
      <c r="S603" s="91"/>
      <c r="T603" s="91" t="str">
        <f t="shared" si="38"/>
        <v/>
      </c>
      <c r="U603" s="91"/>
      <c r="V603" s="91"/>
      <c r="W603" s="93"/>
      <c r="X603" s="94" t="str">
        <f t="shared" si="39"/>
        <v/>
      </c>
      <c r="Y603"/>
    </row>
    <row r="604" spans="1:25">
      <c r="A604" s="90">
        <v>603</v>
      </c>
      <c r="B604" s="68"/>
      <c r="C604" s="40"/>
      <c r="D604" s="40" t="str">
        <f t="shared" si="36"/>
        <v/>
      </c>
      <c r="E604" s="47" t="s">
        <v>171</v>
      </c>
      <c r="F604" s="17" t="s">
        <v>58</v>
      </c>
      <c r="G604" s="17" t="s">
        <v>86</v>
      </c>
      <c r="H604" s="42" t="s">
        <v>840</v>
      </c>
      <c r="I604" s="17" t="str">
        <f t="shared" si="37"/>
        <v>PN-603</v>
      </c>
      <c r="J604" s="18" t="s">
        <v>85</v>
      </c>
      <c r="K604" s="19" t="e">
        <f>IF(J604="","SEM #CH",VLOOKUP(J604,#REF!,2,0))</f>
        <v>#REF!</v>
      </c>
      <c r="L604" s="19" t="e">
        <f>IF(J604="","SEM #CH",VLOOKUP(J604,#REF!,3,0))</f>
        <v>#REF!</v>
      </c>
      <c r="M604" s="19" t="e">
        <f>IF(J604="","SEM #CH",VLOOKUP(J604,#REF!,4,0))</f>
        <v>#REF!</v>
      </c>
      <c r="N604" s="19" t="e">
        <f>IF(J604="","SEM #CH",VLOOKUP(J604,#REF!,5,0))</f>
        <v>#REF!</v>
      </c>
      <c r="O604" s="19" t="e">
        <f>IF(J604="","SEM #CH",VLOOKUP(J604,#REF!,6,0))</f>
        <v>#REF!</v>
      </c>
      <c r="P604" s="19" t="e">
        <f>IF(J604="","SEM #CH",VLOOKUP(J604,#REF!,7,0))</f>
        <v>#REF!</v>
      </c>
      <c r="Q604" s="77" t="str">
        <f>VLOOKUP(J604,'p1'!$B$2:$C$30,2,0)</f>
        <v>NÃO TEM CHAPA</v>
      </c>
      <c r="R604" s="91"/>
      <c r="S604" s="91"/>
      <c r="T604" s="91" t="str">
        <f t="shared" si="38"/>
        <v/>
      </c>
      <c r="U604" s="91"/>
      <c r="V604" s="91"/>
      <c r="W604" s="93"/>
      <c r="X604" s="94" t="str">
        <f t="shared" si="39"/>
        <v/>
      </c>
      <c r="Y604"/>
    </row>
    <row r="605" spans="1:25">
      <c r="A605" s="90">
        <v>604</v>
      </c>
      <c r="B605" s="68"/>
      <c r="C605" s="40"/>
      <c r="D605" s="40" t="str">
        <f t="shared" si="36"/>
        <v/>
      </c>
      <c r="E605" s="47" t="s">
        <v>171</v>
      </c>
      <c r="F605" s="17" t="s">
        <v>58</v>
      </c>
      <c r="G605" s="17" t="s">
        <v>86</v>
      </c>
      <c r="H605" s="42" t="s">
        <v>841</v>
      </c>
      <c r="I605" s="17" t="str">
        <f t="shared" si="37"/>
        <v>PN-604</v>
      </c>
      <c r="J605" s="18" t="s">
        <v>85</v>
      </c>
      <c r="K605" s="19" t="e">
        <f>IF(J605="","SEM #CH",VLOOKUP(J605,#REF!,2,0))</f>
        <v>#REF!</v>
      </c>
      <c r="L605" s="19" t="e">
        <f>IF(J605="","SEM #CH",VLOOKUP(J605,#REF!,3,0))</f>
        <v>#REF!</v>
      </c>
      <c r="M605" s="19" t="e">
        <f>IF(J605="","SEM #CH",VLOOKUP(J605,#REF!,4,0))</f>
        <v>#REF!</v>
      </c>
      <c r="N605" s="19" t="e">
        <f>IF(J605="","SEM #CH",VLOOKUP(J605,#REF!,5,0))</f>
        <v>#REF!</v>
      </c>
      <c r="O605" s="19" t="e">
        <f>IF(J605="","SEM #CH",VLOOKUP(J605,#REF!,6,0))</f>
        <v>#REF!</v>
      </c>
      <c r="P605" s="19" t="e">
        <f>IF(J605="","SEM #CH",VLOOKUP(J605,#REF!,7,0))</f>
        <v>#REF!</v>
      </c>
      <c r="Q605" s="77" t="str">
        <f>VLOOKUP(J605,'p1'!$B$2:$C$30,2,0)</f>
        <v>NÃO TEM CHAPA</v>
      </c>
      <c r="R605" s="91"/>
      <c r="S605" s="91"/>
      <c r="T605" s="91" t="str">
        <f t="shared" si="38"/>
        <v/>
      </c>
      <c r="U605" s="91"/>
      <c r="V605" s="91"/>
      <c r="W605" s="93"/>
      <c r="X605" s="94" t="str">
        <f t="shared" si="39"/>
        <v/>
      </c>
      <c r="Y605"/>
    </row>
    <row r="606" spans="1:25">
      <c r="A606" s="90">
        <v>605</v>
      </c>
      <c r="B606" s="68"/>
      <c r="C606" s="40"/>
      <c r="D606" s="40" t="str">
        <f t="shared" si="36"/>
        <v/>
      </c>
      <c r="E606" s="47" t="s">
        <v>171</v>
      </c>
      <c r="F606" s="17" t="s">
        <v>58</v>
      </c>
      <c r="G606" s="17" t="s">
        <v>86</v>
      </c>
      <c r="H606" s="42" t="s">
        <v>842</v>
      </c>
      <c r="I606" s="17" t="str">
        <f t="shared" si="37"/>
        <v>PN-605</v>
      </c>
      <c r="J606" s="18" t="s">
        <v>85</v>
      </c>
      <c r="K606" s="19" t="e">
        <f>IF(J606="","SEM #CH",VLOOKUP(J606,#REF!,2,0))</f>
        <v>#REF!</v>
      </c>
      <c r="L606" s="19" t="e">
        <f>IF(J606="","SEM #CH",VLOOKUP(J606,#REF!,3,0))</f>
        <v>#REF!</v>
      </c>
      <c r="M606" s="19" t="e">
        <f>IF(J606="","SEM #CH",VLOOKUP(J606,#REF!,4,0))</f>
        <v>#REF!</v>
      </c>
      <c r="N606" s="19" t="e">
        <f>IF(J606="","SEM #CH",VLOOKUP(J606,#REF!,5,0))</f>
        <v>#REF!</v>
      </c>
      <c r="O606" s="19" t="e">
        <f>IF(J606="","SEM #CH",VLOOKUP(J606,#REF!,6,0))</f>
        <v>#REF!</v>
      </c>
      <c r="P606" s="19" t="e">
        <f>IF(J606="","SEM #CH",VLOOKUP(J606,#REF!,7,0))</f>
        <v>#REF!</v>
      </c>
      <c r="Q606" s="77" t="str">
        <f>VLOOKUP(J606,'p1'!$B$2:$C$30,2,0)</f>
        <v>NÃO TEM CHAPA</v>
      </c>
      <c r="R606" s="91"/>
      <c r="S606" s="91"/>
      <c r="T606" s="91" t="str">
        <f t="shared" si="38"/>
        <v/>
      </c>
      <c r="U606" s="91"/>
      <c r="V606" s="91"/>
      <c r="W606" s="93"/>
      <c r="X606" s="94" t="str">
        <f t="shared" si="39"/>
        <v/>
      </c>
      <c r="Y606"/>
    </row>
    <row r="607" spans="1:25">
      <c r="A607" s="90">
        <v>606</v>
      </c>
      <c r="B607" s="68"/>
      <c r="C607" s="40"/>
      <c r="D607" s="40" t="str">
        <f t="shared" si="36"/>
        <v/>
      </c>
      <c r="E607" s="47" t="s">
        <v>171</v>
      </c>
      <c r="F607" s="17" t="s">
        <v>58</v>
      </c>
      <c r="G607" s="17" t="s">
        <v>86</v>
      </c>
      <c r="H607" s="42" t="s">
        <v>843</v>
      </c>
      <c r="I607" s="17" t="str">
        <f t="shared" si="37"/>
        <v>PN-606</v>
      </c>
      <c r="J607" s="18" t="s">
        <v>85</v>
      </c>
      <c r="K607" s="19" t="e">
        <f>IF(J607="","SEM #CH",VLOOKUP(J607,#REF!,2,0))</f>
        <v>#REF!</v>
      </c>
      <c r="L607" s="19" t="e">
        <f>IF(J607="","SEM #CH",VLOOKUP(J607,#REF!,3,0))</f>
        <v>#REF!</v>
      </c>
      <c r="M607" s="19" t="e">
        <f>IF(J607="","SEM #CH",VLOOKUP(J607,#REF!,4,0))</f>
        <v>#REF!</v>
      </c>
      <c r="N607" s="19" t="e">
        <f>IF(J607="","SEM #CH",VLOOKUP(J607,#REF!,5,0))</f>
        <v>#REF!</v>
      </c>
      <c r="O607" s="19" t="e">
        <f>IF(J607="","SEM #CH",VLOOKUP(J607,#REF!,6,0))</f>
        <v>#REF!</v>
      </c>
      <c r="P607" s="19" t="e">
        <f>IF(J607="","SEM #CH",VLOOKUP(J607,#REF!,7,0))</f>
        <v>#REF!</v>
      </c>
      <c r="Q607" s="77" t="str">
        <f>VLOOKUP(J607,'p1'!$B$2:$C$30,2,0)</f>
        <v>NÃO TEM CHAPA</v>
      </c>
      <c r="R607" s="91"/>
      <c r="S607" s="91"/>
      <c r="T607" s="91" t="str">
        <f t="shared" si="38"/>
        <v/>
      </c>
      <c r="U607" s="91"/>
      <c r="V607" s="91"/>
      <c r="W607" s="93"/>
      <c r="X607" s="94" t="str">
        <f t="shared" si="39"/>
        <v/>
      </c>
      <c r="Y607"/>
    </row>
    <row r="608" spans="1:25">
      <c r="A608" s="90">
        <v>607</v>
      </c>
      <c r="B608" s="68"/>
      <c r="C608" s="40"/>
      <c r="D608" s="40" t="str">
        <f t="shared" si="36"/>
        <v/>
      </c>
      <c r="E608" s="47" t="s">
        <v>171</v>
      </c>
      <c r="F608" s="17" t="s">
        <v>58</v>
      </c>
      <c r="G608" s="17" t="s">
        <v>86</v>
      </c>
      <c r="H608" s="42" t="s">
        <v>844</v>
      </c>
      <c r="I608" s="17" t="str">
        <f t="shared" si="37"/>
        <v>PN-607</v>
      </c>
      <c r="J608" s="18" t="s">
        <v>85</v>
      </c>
      <c r="K608" s="19" t="e">
        <f>IF(J608="","SEM #CH",VLOOKUP(J608,#REF!,2,0))</f>
        <v>#REF!</v>
      </c>
      <c r="L608" s="19" t="e">
        <f>IF(J608="","SEM #CH",VLOOKUP(J608,#REF!,3,0))</f>
        <v>#REF!</v>
      </c>
      <c r="M608" s="19" t="e">
        <f>IF(J608="","SEM #CH",VLOOKUP(J608,#REF!,4,0))</f>
        <v>#REF!</v>
      </c>
      <c r="N608" s="19" t="e">
        <f>IF(J608="","SEM #CH",VLOOKUP(J608,#REF!,5,0))</f>
        <v>#REF!</v>
      </c>
      <c r="O608" s="19" t="e">
        <f>IF(J608="","SEM #CH",VLOOKUP(J608,#REF!,6,0))</f>
        <v>#REF!</v>
      </c>
      <c r="P608" s="19" t="e">
        <f>IF(J608="","SEM #CH",VLOOKUP(J608,#REF!,7,0))</f>
        <v>#REF!</v>
      </c>
      <c r="Q608" s="77" t="str">
        <f>VLOOKUP(J608,'p1'!$B$2:$C$30,2,0)</f>
        <v>NÃO TEM CHAPA</v>
      </c>
      <c r="R608" s="91"/>
      <c r="S608" s="91"/>
      <c r="T608" s="91" t="str">
        <f t="shared" si="38"/>
        <v/>
      </c>
      <c r="U608" s="91"/>
      <c r="V608" s="91"/>
      <c r="W608" s="93"/>
      <c r="X608" s="94" t="str">
        <f t="shared" si="39"/>
        <v/>
      </c>
      <c r="Y608"/>
    </row>
    <row r="609" spans="1:25">
      <c r="A609" s="90">
        <v>608</v>
      </c>
      <c r="B609" s="68"/>
      <c r="C609" s="40"/>
      <c r="D609" s="40" t="str">
        <f t="shared" si="36"/>
        <v/>
      </c>
      <c r="E609" s="47" t="s">
        <v>171</v>
      </c>
      <c r="F609" s="17" t="s">
        <v>58</v>
      </c>
      <c r="G609" s="17" t="s">
        <v>86</v>
      </c>
      <c r="H609" s="42" t="s">
        <v>845</v>
      </c>
      <c r="I609" s="17" t="str">
        <f t="shared" si="37"/>
        <v>PN-608</v>
      </c>
      <c r="J609" s="18" t="s">
        <v>85</v>
      </c>
      <c r="K609" s="19" t="e">
        <f>IF(J609="","SEM #CH",VLOOKUP(J609,#REF!,2,0))</f>
        <v>#REF!</v>
      </c>
      <c r="L609" s="19" t="e">
        <f>IF(J609="","SEM #CH",VLOOKUP(J609,#REF!,3,0))</f>
        <v>#REF!</v>
      </c>
      <c r="M609" s="19" t="e">
        <f>IF(J609="","SEM #CH",VLOOKUP(J609,#REF!,4,0))</f>
        <v>#REF!</v>
      </c>
      <c r="N609" s="19" t="e">
        <f>IF(J609="","SEM #CH",VLOOKUP(J609,#REF!,5,0))</f>
        <v>#REF!</v>
      </c>
      <c r="O609" s="19" t="e">
        <f>IF(J609="","SEM #CH",VLOOKUP(J609,#REF!,6,0))</f>
        <v>#REF!</v>
      </c>
      <c r="P609" s="19" t="e">
        <f>IF(J609="","SEM #CH",VLOOKUP(J609,#REF!,7,0))</f>
        <v>#REF!</v>
      </c>
      <c r="Q609" s="77" t="str">
        <f>VLOOKUP(J609,'p1'!$B$2:$C$30,2,0)</f>
        <v>NÃO TEM CHAPA</v>
      </c>
      <c r="R609" s="91"/>
      <c r="S609" s="91"/>
      <c r="T609" s="91" t="str">
        <f t="shared" si="38"/>
        <v/>
      </c>
      <c r="U609" s="91"/>
      <c r="V609" s="91"/>
      <c r="W609" s="93"/>
      <c r="X609" s="94" t="str">
        <f t="shared" si="39"/>
        <v/>
      </c>
      <c r="Y609"/>
    </row>
    <row r="610" spans="1:25">
      <c r="A610" s="90">
        <v>609</v>
      </c>
      <c r="B610" s="68"/>
      <c r="C610" s="40"/>
      <c r="D610" s="40" t="str">
        <f t="shared" si="36"/>
        <v/>
      </c>
      <c r="E610" s="47" t="s">
        <v>171</v>
      </c>
      <c r="F610" s="17" t="s">
        <v>58</v>
      </c>
      <c r="G610" s="17" t="s">
        <v>86</v>
      </c>
      <c r="H610" s="42" t="s">
        <v>846</v>
      </c>
      <c r="I610" s="17" t="str">
        <f t="shared" si="37"/>
        <v>PN-609</v>
      </c>
      <c r="J610" s="18" t="s">
        <v>85</v>
      </c>
      <c r="K610" s="19" t="e">
        <f>IF(J610="","SEM #CH",VLOOKUP(J610,#REF!,2,0))</f>
        <v>#REF!</v>
      </c>
      <c r="L610" s="19" t="e">
        <f>IF(J610="","SEM #CH",VLOOKUP(J610,#REF!,3,0))</f>
        <v>#REF!</v>
      </c>
      <c r="M610" s="19" t="e">
        <f>IF(J610="","SEM #CH",VLOOKUP(J610,#REF!,4,0))</f>
        <v>#REF!</v>
      </c>
      <c r="N610" s="19" t="e">
        <f>IF(J610="","SEM #CH",VLOOKUP(J610,#REF!,5,0))</f>
        <v>#REF!</v>
      </c>
      <c r="O610" s="19" t="e">
        <f>IF(J610="","SEM #CH",VLOOKUP(J610,#REF!,6,0))</f>
        <v>#REF!</v>
      </c>
      <c r="P610" s="19" t="e">
        <f>IF(J610="","SEM #CH",VLOOKUP(J610,#REF!,7,0))</f>
        <v>#REF!</v>
      </c>
      <c r="Q610" s="77" t="str">
        <f>VLOOKUP(J610,'p1'!$B$2:$C$30,2,0)</f>
        <v>NÃO TEM CHAPA</v>
      </c>
      <c r="R610" s="91"/>
      <c r="S610" s="91"/>
      <c r="T610" s="91" t="str">
        <f t="shared" si="38"/>
        <v/>
      </c>
      <c r="U610" s="91"/>
      <c r="V610" s="91"/>
      <c r="W610" s="93"/>
      <c r="X610" s="94" t="str">
        <f t="shared" si="39"/>
        <v/>
      </c>
      <c r="Y610"/>
    </row>
    <row r="611" spans="1:25">
      <c r="A611" s="90">
        <v>610</v>
      </c>
      <c r="B611" s="68"/>
      <c r="C611" s="40"/>
      <c r="D611" s="40" t="str">
        <f t="shared" si="36"/>
        <v/>
      </c>
      <c r="E611" s="47" t="s">
        <v>171</v>
      </c>
      <c r="F611" s="17" t="s">
        <v>58</v>
      </c>
      <c r="G611" s="17" t="s">
        <v>86</v>
      </c>
      <c r="H611" s="42" t="s">
        <v>847</v>
      </c>
      <c r="I611" s="17" t="str">
        <f t="shared" si="37"/>
        <v>PN-610</v>
      </c>
      <c r="J611" s="18" t="s">
        <v>85</v>
      </c>
      <c r="K611" s="19" t="e">
        <f>IF(J611="","SEM #CH",VLOOKUP(J611,#REF!,2,0))</f>
        <v>#REF!</v>
      </c>
      <c r="L611" s="19" t="e">
        <f>IF(J611="","SEM #CH",VLOOKUP(J611,#REF!,3,0))</f>
        <v>#REF!</v>
      </c>
      <c r="M611" s="19" t="e">
        <f>IF(J611="","SEM #CH",VLOOKUP(J611,#REF!,4,0))</f>
        <v>#REF!</v>
      </c>
      <c r="N611" s="19" t="e">
        <f>IF(J611="","SEM #CH",VLOOKUP(J611,#REF!,5,0))</f>
        <v>#REF!</v>
      </c>
      <c r="O611" s="19" t="e">
        <f>IF(J611="","SEM #CH",VLOOKUP(J611,#REF!,6,0))</f>
        <v>#REF!</v>
      </c>
      <c r="P611" s="19" t="e">
        <f>IF(J611="","SEM #CH",VLOOKUP(J611,#REF!,7,0))</f>
        <v>#REF!</v>
      </c>
      <c r="Q611" s="77" t="str">
        <f>VLOOKUP(J611,'p1'!$B$2:$C$30,2,0)</f>
        <v>NÃO TEM CHAPA</v>
      </c>
      <c r="R611" s="91"/>
      <c r="S611" s="91"/>
      <c r="T611" s="91" t="str">
        <f t="shared" si="38"/>
        <v/>
      </c>
      <c r="U611" s="91"/>
      <c r="V611" s="91"/>
      <c r="W611" s="93"/>
      <c r="X611" s="94" t="str">
        <f t="shared" si="39"/>
        <v/>
      </c>
      <c r="Y611"/>
    </row>
    <row r="612" spans="1:25">
      <c r="A612" s="90">
        <v>611</v>
      </c>
      <c r="B612" s="68"/>
      <c r="C612" s="40"/>
      <c r="D612" s="40" t="str">
        <f t="shared" si="36"/>
        <v/>
      </c>
      <c r="E612" s="47" t="s">
        <v>171</v>
      </c>
      <c r="F612" s="17" t="s">
        <v>58</v>
      </c>
      <c r="G612" s="17" t="s">
        <v>86</v>
      </c>
      <c r="H612" s="42" t="s">
        <v>848</v>
      </c>
      <c r="I612" s="17" t="str">
        <f t="shared" si="37"/>
        <v>PN-611</v>
      </c>
      <c r="J612" s="18" t="s">
        <v>85</v>
      </c>
      <c r="K612" s="19" t="e">
        <f>IF(J612="","SEM #CH",VLOOKUP(J612,#REF!,2,0))</f>
        <v>#REF!</v>
      </c>
      <c r="L612" s="19" t="e">
        <f>IF(J612="","SEM #CH",VLOOKUP(J612,#REF!,3,0))</f>
        <v>#REF!</v>
      </c>
      <c r="M612" s="19" t="e">
        <f>IF(J612="","SEM #CH",VLOOKUP(J612,#REF!,4,0))</f>
        <v>#REF!</v>
      </c>
      <c r="N612" s="19" t="e">
        <f>IF(J612="","SEM #CH",VLOOKUP(J612,#REF!,5,0))</f>
        <v>#REF!</v>
      </c>
      <c r="O612" s="19" t="e">
        <f>IF(J612="","SEM #CH",VLOOKUP(J612,#REF!,6,0))</f>
        <v>#REF!</v>
      </c>
      <c r="P612" s="19" t="e">
        <f>IF(J612="","SEM #CH",VLOOKUP(J612,#REF!,7,0))</f>
        <v>#REF!</v>
      </c>
      <c r="Q612" s="77" t="str">
        <f>VLOOKUP(J612,'p1'!$B$2:$C$30,2,0)</f>
        <v>NÃO TEM CHAPA</v>
      </c>
      <c r="R612" s="91"/>
      <c r="S612" s="91"/>
      <c r="T612" s="91" t="str">
        <f t="shared" si="38"/>
        <v/>
      </c>
      <c r="U612" s="91"/>
      <c r="V612" s="91"/>
      <c r="W612" s="93"/>
      <c r="X612" s="94" t="str">
        <f t="shared" si="39"/>
        <v/>
      </c>
      <c r="Y612"/>
    </row>
    <row r="613" spans="1:25">
      <c r="A613" s="90">
        <v>612</v>
      </c>
      <c r="B613" s="68"/>
      <c r="C613" s="40"/>
      <c r="D613" s="40" t="str">
        <f t="shared" si="36"/>
        <v/>
      </c>
      <c r="E613" s="47" t="s">
        <v>171</v>
      </c>
      <c r="F613" s="17" t="s">
        <v>58</v>
      </c>
      <c r="G613" s="17" t="s">
        <v>86</v>
      </c>
      <c r="H613" s="42" t="s">
        <v>849</v>
      </c>
      <c r="I613" s="17" t="str">
        <f t="shared" si="37"/>
        <v>PN-612</v>
      </c>
      <c r="J613" s="18" t="s">
        <v>85</v>
      </c>
      <c r="K613" s="19" t="e">
        <f>IF(J613="","SEM #CH",VLOOKUP(J613,#REF!,2,0))</f>
        <v>#REF!</v>
      </c>
      <c r="L613" s="19" t="e">
        <f>IF(J613="","SEM #CH",VLOOKUP(J613,#REF!,3,0))</f>
        <v>#REF!</v>
      </c>
      <c r="M613" s="19" t="e">
        <f>IF(J613="","SEM #CH",VLOOKUP(J613,#REF!,4,0))</f>
        <v>#REF!</v>
      </c>
      <c r="N613" s="19" t="e">
        <f>IF(J613="","SEM #CH",VLOOKUP(J613,#REF!,5,0))</f>
        <v>#REF!</v>
      </c>
      <c r="O613" s="19" t="e">
        <f>IF(J613="","SEM #CH",VLOOKUP(J613,#REF!,6,0))</f>
        <v>#REF!</v>
      </c>
      <c r="P613" s="19" t="e">
        <f>IF(J613="","SEM #CH",VLOOKUP(J613,#REF!,7,0))</f>
        <v>#REF!</v>
      </c>
      <c r="Q613" s="77" t="str">
        <f>VLOOKUP(J613,'p1'!$B$2:$C$30,2,0)</f>
        <v>NÃO TEM CHAPA</v>
      </c>
      <c r="R613" s="91"/>
      <c r="S613" s="91"/>
      <c r="T613" s="91" t="str">
        <f t="shared" si="38"/>
        <v/>
      </c>
      <c r="U613" s="91"/>
      <c r="V613" s="91"/>
      <c r="W613" s="93"/>
      <c r="X613" s="94" t="str">
        <f t="shared" si="39"/>
        <v/>
      </c>
      <c r="Y613"/>
    </row>
    <row r="614" spans="1:25">
      <c r="A614" s="90">
        <v>613</v>
      </c>
      <c r="B614" s="68"/>
      <c r="C614" s="40"/>
      <c r="D614" s="40" t="str">
        <f t="shared" si="36"/>
        <v/>
      </c>
      <c r="E614" s="47" t="s">
        <v>171</v>
      </c>
      <c r="F614" s="17" t="s">
        <v>60</v>
      </c>
      <c r="G614" s="17" t="s">
        <v>86</v>
      </c>
      <c r="H614" s="42" t="s">
        <v>850</v>
      </c>
      <c r="I614" s="17" t="str">
        <f t="shared" si="37"/>
        <v>PE-613</v>
      </c>
      <c r="J614" s="18" t="s">
        <v>89</v>
      </c>
      <c r="K614" s="19" t="e">
        <f>IF(J614="","SEM #CH",VLOOKUP(J614,#REF!,2,0))</f>
        <v>#REF!</v>
      </c>
      <c r="L614" s="19" t="e">
        <f>IF(J614="","SEM #CH",VLOOKUP(J614,#REF!,3,0))</f>
        <v>#REF!</v>
      </c>
      <c r="M614" s="19" t="e">
        <f>IF(J614="","SEM #CH",VLOOKUP(J614,#REF!,4,0))</f>
        <v>#REF!</v>
      </c>
      <c r="N614" s="19" t="e">
        <f>IF(J614="","SEM #CH",VLOOKUP(J614,#REF!,5,0))</f>
        <v>#REF!</v>
      </c>
      <c r="O614" s="19" t="e">
        <f>IF(J614="","SEM #CH",VLOOKUP(J614,#REF!,6,0))</f>
        <v>#REF!</v>
      </c>
      <c r="P614" s="19" t="e">
        <f>IF(J614="","SEM #CH",VLOOKUP(J614,#REF!,7,0))</f>
        <v>#REF!</v>
      </c>
      <c r="Q614" s="77" t="str">
        <f>VLOOKUP(J614,'p1'!$B$2:$C$30,2,0)</f>
        <v>#3/8-1200X1200</v>
      </c>
      <c r="R614" s="91"/>
      <c r="S614" s="91"/>
      <c r="T614" s="91" t="str">
        <f t="shared" si="38"/>
        <v/>
      </c>
      <c r="U614" s="91"/>
      <c r="V614" s="91"/>
      <c r="W614" s="93"/>
      <c r="X614" s="94" t="str">
        <f t="shared" si="39"/>
        <v/>
      </c>
      <c r="Y614"/>
    </row>
    <row r="615" spans="1:25">
      <c r="A615" s="90">
        <v>614</v>
      </c>
      <c r="B615" s="68"/>
      <c r="C615" s="40"/>
      <c r="D615" s="40" t="str">
        <f t="shared" si="36"/>
        <v/>
      </c>
      <c r="E615" s="47" t="s">
        <v>171</v>
      </c>
      <c r="F615" s="17" t="s">
        <v>60</v>
      </c>
      <c r="G615" s="17" t="s">
        <v>86</v>
      </c>
      <c r="H615" s="42" t="s">
        <v>851</v>
      </c>
      <c r="I615" s="17" t="str">
        <f t="shared" si="37"/>
        <v>PE-614</v>
      </c>
      <c r="J615" s="18" t="s">
        <v>87</v>
      </c>
      <c r="K615" s="19" t="e">
        <f>IF(J615="","SEM #CH",VLOOKUP(J615,#REF!,2,0))</f>
        <v>#REF!</v>
      </c>
      <c r="L615" s="19" t="e">
        <f>IF(J615="","SEM #CH",VLOOKUP(J615,#REF!,3,0))</f>
        <v>#REF!</v>
      </c>
      <c r="M615" s="19" t="e">
        <f>IF(J615="","SEM #CH",VLOOKUP(J615,#REF!,4,0))</f>
        <v>#REF!</v>
      </c>
      <c r="N615" s="19" t="e">
        <f>IF(J615="","SEM #CH",VLOOKUP(J615,#REF!,5,0))</f>
        <v>#REF!</v>
      </c>
      <c r="O615" s="19" t="e">
        <f>IF(J615="","SEM #CH",VLOOKUP(J615,#REF!,6,0))</f>
        <v>#REF!</v>
      </c>
      <c r="P615" s="19" t="e">
        <f>IF(J615="","SEM #CH",VLOOKUP(J615,#REF!,7,0))</f>
        <v>#REF!</v>
      </c>
      <c r="Q615" s="77" t="str">
        <f>VLOOKUP(J615,'p1'!$B$2:$C$30,2,0)</f>
        <v>#3/8-1620X1620</v>
      </c>
      <c r="R615" s="91"/>
      <c r="S615" s="91"/>
      <c r="T615" s="91" t="str">
        <f t="shared" si="38"/>
        <v/>
      </c>
      <c r="U615" s="91"/>
      <c r="V615" s="91"/>
      <c r="W615" s="93"/>
      <c r="X615" s="94" t="str">
        <f t="shared" si="39"/>
        <v/>
      </c>
      <c r="Y615"/>
    </row>
    <row r="616" spans="1:25">
      <c r="A616" s="90">
        <v>615</v>
      </c>
      <c r="B616" s="68"/>
      <c r="C616" s="40"/>
      <c r="D616" s="40" t="str">
        <f t="shared" si="36"/>
        <v/>
      </c>
      <c r="E616" s="47" t="s">
        <v>171</v>
      </c>
      <c r="F616" s="17" t="s">
        <v>60</v>
      </c>
      <c r="G616" s="17" t="s">
        <v>86</v>
      </c>
      <c r="H616" s="42" t="s">
        <v>852</v>
      </c>
      <c r="I616" s="17" t="str">
        <f t="shared" si="37"/>
        <v>PE-615</v>
      </c>
      <c r="J616" s="18" t="s">
        <v>88</v>
      </c>
      <c r="K616" s="19" t="e">
        <f>IF(J616="","SEM #CH",VLOOKUP(J616,#REF!,2,0))</f>
        <v>#REF!</v>
      </c>
      <c r="L616" s="19" t="e">
        <f>IF(J616="","SEM #CH",VLOOKUP(J616,#REF!,3,0))</f>
        <v>#REF!</v>
      </c>
      <c r="M616" s="19" t="e">
        <f>IF(J616="","SEM #CH",VLOOKUP(J616,#REF!,4,0))</f>
        <v>#REF!</v>
      </c>
      <c r="N616" s="19" t="e">
        <f>IF(J616="","SEM #CH",VLOOKUP(J616,#REF!,5,0))</f>
        <v>#REF!</v>
      </c>
      <c r="O616" s="19" t="e">
        <f>IF(J616="","SEM #CH",VLOOKUP(J616,#REF!,6,0))</f>
        <v>#REF!</v>
      </c>
      <c r="P616" s="19" t="e">
        <f>IF(J616="","SEM #CH",VLOOKUP(J616,#REF!,7,0))</f>
        <v>#REF!</v>
      </c>
      <c r="Q616" s="77" t="str">
        <f>VLOOKUP(J616,'p1'!$B$2:$C$30,2,0)</f>
        <v>#3/8-1315X1315</v>
      </c>
      <c r="R616" s="91"/>
      <c r="S616" s="91"/>
      <c r="T616" s="91" t="str">
        <f t="shared" si="38"/>
        <v/>
      </c>
      <c r="U616" s="91"/>
      <c r="V616" s="91"/>
      <c r="W616" s="93"/>
      <c r="X616" s="94" t="str">
        <f t="shared" si="39"/>
        <v/>
      </c>
      <c r="Y616"/>
    </row>
    <row r="617" spans="1:25">
      <c r="A617" s="90">
        <v>616</v>
      </c>
      <c r="B617" s="68"/>
      <c r="C617" s="40"/>
      <c r="D617" s="40" t="str">
        <f t="shared" si="36"/>
        <v/>
      </c>
      <c r="E617" s="47" t="s">
        <v>171</v>
      </c>
      <c r="F617" s="17" t="s">
        <v>58</v>
      </c>
      <c r="G617" s="17" t="s">
        <v>86</v>
      </c>
      <c r="H617" s="42" t="s">
        <v>853</v>
      </c>
      <c r="I617" s="17" t="str">
        <f t="shared" si="37"/>
        <v>PN-616</v>
      </c>
      <c r="J617" s="18" t="s">
        <v>85</v>
      </c>
      <c r="K617" s="19" t="e">
        <f>IF(J617="","SEM #CH",VLOOKUP(J617,#REF!,2,0))</f>
        <v>#REF!</v>
      </c>
      <c r="L617" s="19" t="e">
        <f>IF(J617="","SEM #CH",VLOOKUP(J617,#REF!,3,0))</f>
        <v>#REF!</v>
      </c>
      <c r="M617" s="19" t="e">
        <f>IF(J617="","SEM #CH",VLOOKUP(J617,#REF!,4,0))</f>
        <v>#REF!</v>
      </c>
      <c r="N617" s="19" t="e">
        <f>IF(J617="","SEM #CH",VLOOKUP(J617,#REF!,5,0))</f>
        <v>#REF!</v>
      </c>
      <c r="O617" s="19" t="e">
        <f>IF(J617="","SEM #CH",VLOOKUP(J617,#REF!,6,0))</f>
        <v>#REF!</v>
      </c>
      <c r="P617" s="19" t="e">
        <f>IF(J617="","SEM #CH",VLOOKUP(J617,#REF!,7,0))</f>
        <v>#REF!</v>
      </c>
      <c r="Q617" s="77" t="str">
        <f>VLOOKUP(J617,'p1'!$B$2:$C$30,2,0)</f>
        <v>NÃO TEM CHAPA</v>
      </c>
      <c r="R617" s="91"/>
      <c r="S617" s="91"/>
      <c r="T617" s="91" t="str">
        <f t="shared" si="38"/>
        <v/>
      </c>
      <c r="U617" s="91"/>
      <c r="V617" s="91"/>
      <c r="W617" s="93"/>
      <c r="X617" s="94" t="str">
        <f t="shared" si="39"/>
        <v/>
      </c>
      <c r="Y617"/>
    </row>
    <row r="618" spans="1:25">
      <c r="A618" s="90">
        <v>617</v>
      </c>
      <c r="B618" s="68"/>
      <c r="C618" s="40"/>
      <c r="D618" s="40" t="str">
        <f t="shared" si="36"/>
        <v/>
      </c>
      <c r="E618" s="47" t="s">
        <v>171</v>
      </c>
      <c r="F618" s="17" t="s">
        <v>58</v>
      </c>
      <c r="G618" s="17" t="s">
        <v>86</v>
      </c>
      <c r="H618" s="42" t="s">
        <v>854</v>
      </c>
      <c r="I618" s="17" t="str">
        <f t="shared" si="37"/>
        <v>PN-617</v>
      </c>
      <c r="J618" s="18" t="s">
        <v>85</v>
      </c>
      <c r="K618" s="19" t="e">
        <f>IF(J618="","SEM #CH",VLOOKUP(J618,#REF!,2,0))</f>
        <v>#REF!</v>
      </c>
      <c r="L618" s="19" t="e">
        <f>IF(J618="","SEM #CH",VLOOKUP(J618,#REF!,3,0))</f>
        <v>#REF!</v>
      </c>
      <c r="M618" s="19" t="e">
        <f>IF(J618="","SEM #CH",VLOOKUP(J618,#REF!,4,0))</f>
        <v>#REF!</v>
      </c>
      <c r="N618" s="19" t="e">
        <f>IF(J618="","SEM #CH",VLOOKUP(J618,#REF!,5,0))</f>
        <v>#REF!</v>
      </c>
      <c r="O618" s="19" t="e">
        <f>IF(J618="","SEM #CH",VLOOKUP(J618,#REF!,6,0))</f>
        <v>#REF!</v>
      </c>
      <c r="P618" s="19" t="e">
        <f>IF(J618="","SEM #CH",VLOOKUP(J618,#REF!,7,0))</f>
        <v>#REF!</v>
      </c>
      <c r="Q618" s="77" t="str">
        <f>VLOOKUP(J618,'p1'!$B$2:$C$30,2,0)</f>
        <v>NÃO TEM CHAPA</v>
      </c>
      <c r="R618" s="91"/>
      <c r="S618" s="91"/>
      <c r="T618" s="91" t="str">
        <f t="shared" si="38"/>
        <v/>
      </c>
      <c r="U618" s="91"/>
      <c r="V618" s="91"/>
      <c r="W618" s="93"/>
      <c r="X618" s="94" t="str">
        <f t="shared" si="39"/>
        <v/>
      </c>
      <c r="Y618"/>
    </row>
    <row r="619" spans="1:25">
      <c r="A619" s="90">
        <v>618</v>
      </c>
      <c r="B619" s="68"/>
      <c r="C619" s="40"/>
      <c r="D619" s="40" t="str">
        <f t="shared" si="36"/>
        <v/>
      </c>
      <c r="E619" s="47" t="s">
        <v>171</v>
      </c>
      <c r="F619" s="17" t="s">
        <v>58</v>
      </c>
      <c r="G619" s="17" t="s">
        <v>86</v>
      </c>
      <c r="H619" s="42" t="s">
        <v>855</v>
      </c>
      <c r="I619" s="17" t="str">
        <f t="shared" si="37"/>
        <v>PN-618</v>
      </c>
      <c r="J619" s="18" t="s">
        <v>85</v>
      </c>
      <c r="K619" s="19" t="e">
        <f>IF(J619="","SEM #CH",VLOOKUP(J619,#REF!,2,0))</f>
        <v>#REF!</v>
      </c>
      <c r="L619" s="19" t="e">
        <f>IF(J619="","SEM #CH",VLOOKUP(J619,#REF!,3,0))</f>
        <v>#REF!</v>
      </c>
      <c r="M619" s="19" t="e">
        <f>IF(J619="","SEM #CH",VLOOKUP(J619,#REF!,4,0))</f>
        <v>#REF!</v>
      </c>
      <c r="N619" s="19" t="e">
        <f>IF(J619="","SEM #CH",VLOOKUP(J619,#REF!,5,0))</f>
        <v>#REF!</v>
      </c>
      <c r="O619" s="19" t="e">
        <f>IF(J619="","SEM #CH",VLOOKUP(J619,#REF!,6,0))</f>
        <v>#REF!</v>
      </c>
      <c r="P619" s="19" t="e">
        <f>IF(J619="","SEM #CH",VLOOKUP(J619,#REF!,7,0))</f>
        <v>#REF!</v>
      </c>
      <c r="Q619" s="77" t="str">
        <f>VLOOKUP(J619,'p1'!$B$2:$C$30,2,0)</f>
        <v>NÃO TEM CHAPA</v>
      </c>
      <c r="R619" s="91"/>
      <c r="S619" s="91"/>
      <c r="T619" s="91" t="str">
        <f t="shared" si="38"/>
        <v/>
      </c>
      <c r="U619" s="91"/>
      <c r="V619" s="91"/>
      <c r="W619" s="93"/>
      <c r="X619" s="94" t="str">
        <f t="shared" si="39"/>
        <v/>
      </c>
      <c r="Y619"/>
    </row>
    <row r="620" spans="1:25">
      <c r="A620" s="90">
        <v>619</v>
      </c>
      <c r="B620" s="68"/>
      <c r="C620" s="40"/>
      <c r="D620" s="40" t="str">
        <f t="shared" si="36"/>
        <v/>
      </c>
      <c r="E620" s="47" t="s">
        <v>171</v>
      </c>
      <c r="F620" s="17" t="s">
        <v>58</v>
      </c>
      <c r="G620" s="17" t="s">
        <v>86</v>
      </c>
      <c r="H620" s="42" t="s">
        <v>856</v>
      </c>
      <c r="I620" s="17" t="str">
        <f t="shared" si="37"/>
        <v>PN-619</v>
      </c>
      <c r="J620" s="18" t="s">
        <v>85</v>
      </c>
      <c r="K620" s="19" t="e">
        <f>IF(J620="","SEM #CH",VLOOKUP(J620,#REF!,2,0))</f>
        <v>#REF!</v>
      </c>
      <c r="L620" s="19" t="e">
        <f>IF(J620="","SEM #CH",VLOOKUP(J620,#REF!,3,0))</f>
        <v>#REF!</v>
      </c>
      <c r="M620" s="19" t="e">
        <f>IF(J620="","SEM #CH",VLOOKUP(J620,#REF!,4,0))</f>
        <v>#REF!</v>
      </c>
      <c r="N620" s="19" t="e">
        <f>IF(J620="","SEM #CH",VLOOKUP(J620,#REF!,5,0))</f>
        <v>#REF!</v>
      </c>
      <c r="O620" s="19" t="e">
        <f>IF(J620="","SEM #CH",VLOOKUP(J620,#REF!,6,0))</f>
        <v>#REF!</v>
      </c>
      <c r="P620" s="19" t="e">
        <f>IF(J620="","SEM #CH",VLOOKUP(J620,#REF!,7,0))</f>
        <v>#REF!</v>
      </c>
      <c r="Q620" s="77" t="str">
        <f>VLOOKUP(J620,'p1'!$B$2:$C$30,2,0)</f>
        <v>NÃO TEM CHAPA</v>
      </c>
      <c r="R620" s="91"/>
      <c r="S620" s="91"/>
      <c r="T620" s="91" t="str">
        <f t="shared" si="38"/>
        <v/>
      </c>
      <c r="U620" s="91"/>
      <c r="V620" s="91"/>
      <c r="W620" s="93"/>
      <c r="X620" s="94" t="str">
        <f t="shared" si="39"/>
        <v/>
      </c>
      <c r="Y620"/>
    </row>
    <row r="621" spans="1:25">
      <c r="A621" s="90">
        <v>620</v>
      </c>
      <c r="B621" s="68"/>
      <c r="C621" s="40"/>
      <c r="D621" s="40" t="str">
        <f t="shared" si="36"/>
        <v/>
      </c>
      <c r="E621" s="47" t="s">
        <v>171</v>
      </c>
      <c r="F621" s="17" t="s">
        <v>58</v>
      </c>
      <c r="G621" s="17" t="s">
        <v>86</v>
      </c>
      <c r="H621" s="42" t="s">
        <v>857</v>
      </c>
      <c r="I621" s="17" t="str">
        <f t="shared" si="37"/>
        <v>PN-620</v>
      </c>
      <c r="J621" s="18" t="s">
        <v>85</v>
      </c>
      <c r="K621" s="19" t="e">
        <f>IF(J621="","SEM #CH",VLOOKUP(J621,#REF!,2,0))</f>
        <v>#REF!</v>
      </c>
      <c r="L621" s="19" t="e">
        <f>IF(J621="","SEM #CH",VLOOKUP(J621,#REF!,3,0))</f>
        <v>#REF!</v>
      </c>
      <c r="M621" s="19" t="e">
        <f>IF(J621="","SEM #CH",VLOOKUP(J621,#REF!,4,0))</f>
        <v>#REF!</v>
      </c>
      <c r="N621" s="19" t="e">
        <f>IF(J621="","SEM #CH",VLOOKUP(J621,#REF!,5,0))</f>
        <v>#REF!</v>
      </c>
      <c r="O621" s="19" t="e">
        <f>IF(J621="","SEM #CH",VLOOKUP(J621,#REF!,6,0))</f>
        <v>#REF!</v>
      </c>
      <c r="P621" s="19" t="e">
        <f>IF(J621="","SEM #CH",VLOOKUP(J621,#REF!,7,0))</f>
        <v>#REF!</v>
      </c>
      <c r="Q621" s="77" t="str">
        <f>VLOOKUP(J621,'p1'!$B$2:$C$30,2,0)</f>
        <v>NÃO TEM CHAPA</v>
      </c>
      <c r="R621" s="91"/>
      <c r="S621" s="91"/>
      <c r="T621" s="91" t="str">
        <f t="shared" si="38"/>
        <v/>
      </c>
      <c r="U621" s="91"/>
      <c r="V621" s="91"/>
      <c r="W621" s="93"/>
      <c r="X621" s="94" t="str">
        <f t="shared" si="39"/>
        <v/>
      </c>
      <c r="Y621"/>
    </row>
    <row r="622" spans="1:25">
      <c r="A622" s="90">
        <v>621</v>
      </c>
      <c r="B622" s="68"/>
      <c r="C622" s="40"/>
      <c r="D622" s="40" t="str">
        <f t="shared" si="36"/>
        <v/>
      </c>
      <c r="E622" s="66" t="s">
        <v>172</v>
      </c>
      <c r="F622" s="17" t="s">
        <v>61</v>
      </c>
      <c r="G622" s="17" t="s">
        <v>86</v>
      </c>
      <c r="H622" s="42" t="s">
        <v>858</v>
      </c>
      <c r="I622" s="17" t="str">
        <f t="shared" si="37"/>
        <v>PF-621</v>
      </c>
      <c r="J622" s="18" t="s">
        <v>61</v>
      </c>
      <c r="K622" s="19" t="e">
        <f>IF(J622="","SEM #CH",VLOOKUP(J622,#REF!,2,0))</f>
        <v>#REF!</v>
      </c>
      <c r="L622" s="19" t="e">
        <f>IF(J622="","SEM #CH",VLOOKUP(J622,#REF!,3,0))</f>
        <v>#REF!</v>
      </c>
      <c r="M622" s="19" t="e">
        <f>IF(J622="","SEM #CH",VLOOKUP(J622,#REF!,4,0))</f>
        <v>#REF!</v>
      </c>
      <c r="N622" s="19" t="e">
        <f>IF(J622="","SEM #CH",VLOOKUP(J622,#REF!,5,0))</f>
        <v>#REF!</v>
      </c>
      <c r="O622" s="19" t="e">
        <f>IF(J622="","SEM #CH",VLOOKUP(J622,#REF!,6,0))</f>
        <v>#REF!</v>
      </c>
      <c r="P622" s="19" t="e">
        <f>IF(J622="","SEM #CH",VLOOKUP(J622,#REF!,7,0))</f>
        <v>#REF!</v>
      </c>
      <c r="Q622" s="77" t="str">
        <f>VLOOKUP(J622,'p1'!$B$2:$C$30,2,0)</f>
        <v>SEM CHAPA</v>
      </c>
      <c r="R622" s="91"/>
      <c r="S622" s="91"/>
      <c r="T622" s="91" t="str">
        <f t="shared" si="38"/>
        <v/>
      </c>
      <c r="U622" s="91"/>
      <c r="V622" s="91"/>
      <c r="W622" s="93"/>
      <c r="X622" s="94" t="str">
        <f t="shared" si="39"/>
        <v/>
      </c>
      <c r="Y622"/>
    </row>
    <row r="623" spans="1:25">
      <c r="A623" s="90">
        <v>622</v>
      </c>
      <c r="B623" s="68"/>
      <c r="C623" s="40"/>
      <c r="D623" s="40" t="str">
        <f t="shared" si="36"/>
        <v/>
      </c>
      <c r="E623" s="66" t="s">
        <v>172</v>
      </c>
      <c r="F623" s="17" t="s">
        <v>58</v>
      </c>
      <c r="G623" s="17" t="s">
        <v>86</v>
      </c>
      <c r="H623" s="42" t="s">
        <v>859</v>
      </c>
      <c r="I623" s="17" t="str">
        <f t="shared" si="37"/>
        <v>PN-622</v>
      </c>
      <c r="J623" s="18" t="s">
        <v>85</v>
      </c>
      <c r="K623" s="19" t="e">
        <f>IF(J623="","SEM #CH",VLOOKUP(J623,#REF!,2,0))</f>
        <v>#REF!</v>
      </c>
      <c r="L623" s="19" t="e">
        <f>IF(J623="","SEM #CH",VLOOKUP(J623,#REF!,3,0))</f>
        <v>#REF!</v>
      </c>
      <c r="M623" s="19" t="e">
        <f>IF(J623="","SEM #CH",VLOOKUP(J623,#REF!,4,0))</f>
        <v>#REF!</v>
      </c>
      <c r="N623" s="19" t="e">
        <f>IF(J623="","SEM #CH",VLOOKUP(J623,#REF!,5,0))</f>
        <v>#REF!</v>
      </c>
      <c r="O623" s="19" t="e">
        <f>IF(J623="","SEM #CH",VLOOKUP(J623,#REF!,6,0))</f>
        <v>#REF!</v>
      </c>
      <c r="P623" s="19" t="e">
        <f>IF(J623="","SEM #CH",VLOOKUP(J623,#REF!,7,0))</f>
        <v>#REF!</v>
      </c>
      <c r="Q623" s="77" t="str">
        <f>VLOOKUP(J623,'p1'!$B$2:$C$30,2,0)</f>
        <v>NÃO TEM CHAPA</v>
      </c>
      <c r="R623" s="91"/>
      <c r="S623" s="91"/>
      <c r="T623" s="91" t="str">
        <f t="shared" si="38"/>
        <v/>
      </c>
      <c r="U623" s="91"/>
      <c r="V623" s="91"/>
      <c r="W623" s="93"/>
      <c r="X623" s="94" t="str">
        <f t="shared" si="39"/>
        <v/>
      </c>
      <c r="Y623"/>
    </row>
    <row r="624" spans="1:25">
      <c r="A624" s="90">
        <v>623</v>
      </c>
      <c r="B624" s="68"/>
      <c r="C624" s="40"/>
      <c r="D624" s="40" t="str">
        <f t="shared" si="36"/>
        <v/>
      </c>
      <c r="E624" s="66" t="s">
        <v>172</v>
      </c>
      <c r="F624" s="17" t="s">
        <v>58</v>
      </c>
      <c r="G624" s="17" t="s">
        <v>86</v>
      </c>
      <c r="H624" s="42" t="s">
        <v>860</v>
      </c>
      <c r="I624" s="17" t="str">
        <f t="shared" si="37"/>
        <v>PN-623</v>
      </c>
      <c r="J624" s="18" t="s">
        <v>85</v>
      </c>
      <c r="K624" s="19" t="e">
        <f>IF(J624="","SEM #CH",VLOOKUP(J624,#REF!,2,0))</f>
        <v>#REF!</v>
      </c>
      <c r="L624" s="19" t="e">
        <f>IF(J624="","SEM #CH",VLOOKUP(J624,#REF!,3,0))</f>
        <v>#REF!</v>
      </c>
      <c r="M624" s="19" t="e">
        <f>IF(J624="","SEM #CH",VLOOKUP(J624,#REF!,4,0))</f>
        <v>#REF!</v>
      </c>
      <c r="N624" s="19" t="e">
        <f>IF(J624="","SEM #CH",VLOOKUP(J624,#REF!,5,0))</f>
        <v>#REF!</v>
      </c>
      <c r="O624" s="19" t="e">
        <f>IF(J624="","SEM #CH",VLOOKUP(J624,#REF!,6,0))</f>
        <v>#REF!</v>
      </c>
      <c r="P624" s="19" t="e">
        <f>IF(J624="","SEM #CH",VLOOKUP(J624,#REF!,7,0))</f>
        <v>#REF!</v>
      </c>
      <c r="Q624" s="77" t="str">
        <f>VLOOKUP(J624,'p1'!$B$2:$C$30,2,0)</f>
        <v>NÃO TEM CHAPA</v>
      </c>
      <c r="R624" s="91"/>
      <c r="S624" s="91"/>
      <c r="T624" s="91" t="str">
        <f t="shared" si="38"/>
        <v/>
      </c>
      <c r="U624" s="91"/>
      <c r="V624" s="91"/>
      <c r="W624" s="93"/>
      <c r="X624" s="94" t="str">
        <f t="shared" si="39"/>
        <v/>
      </c>
      <c r="Y624"/>
    </row>
    <row r="625" spans="1:25">
      <c r="A625" s="90">
        <v>624</v>
      </c>
      <c r="B625" s="68"/>
      <c r="C625" s="40"/>
      <c r="D625" s="40" t="str">
        <f t="shared" si="36"/>
        <v/>
      </c>
      <c r="E625" s="66" t="s">
        <v>172</v>
      </c>
      <c r="F625" s="17" t="s">
        <v>58</v>
      </c>
      <c r="G625" s="17" t="s">
        <v>86</v>
      </c>
      <c r="H625" s="42" t="s">
        <v>861</v>
      </c>
      <c r="I625" s="17" t="str">
        <f t="shared" si="37"/>
        <v>PN-624</v>
      </c>
      <c r="J625" s="18" t="s">
        <v>85</v>
      </c>
      <c r="K625" s="19" t="e">
        <f>IF(J625="","SEM #CH",VLOOKUP(J625,#REF!,2,0))</f>
        <v>#REF!</v>
      </c>
      <c r="L625" s="19" t="e">
        <f>IF(J625="","SEM #CH",VLOOKUP(J625,#REF!,3,0))</f>
        <v>#REF!</v>
      </c>
      <c r="M625" s="19" t="e">
        <f>IF(J625="","SEM #CH",VLOOKUP(J625,#REF!,4,0))</f>
        <v>#REF!</v>
      </c>
      <c r="N625" s="19" t="e">
        <f>IF(J625="","SEM #CH",VLOOKUP(J625,#REF!,5,0))</f>
        <v>#REF!</v>
      </c>
      <c r="O625" s="19" t="e">
        <f>IF(J625="","SEM #CH",VLOOKUP(J625,#REF!,6,0))</f>
        <v>#REF!</v>
      </c>
      <c r="P625" s="19" t="e">
        <f>IF(J625="","SEM #CH",VLOOKUP(J625,#REF!,7,0))</f>
        <v>#REF!</v>
      </c>
      <c r="Q625" s="77" t="str">
        <f>VLOOKUP(J625,'p1'!$B$2:$C$30,2,0)</f>
        <v>NÃO TEM CHAPA</v>
      </c>
      <c r="R625" s="91"/>
      <c r="S625" s="91"/>
      <c r="T625" s="91" t="str">
        <f t="shared" si="38"/>
        <v/>
      </c>
      <c r="U625" s="91"/>
      <c r="V625" s="91"/>
      <c r="W625" s="93"/>
      <c r="X625" s="94" t="str">
        <f t="shared" si="39"/>
        <v/>
      </c>
      <c r="Y625"/>
    </row>
    <row r="626" spans="1:25">
      <c r="A626" s="90">
        <v>625</v>
      </c>
      <c r="B626" s="68"/>
      <c r="C626" s="40"/>
      <c r="D626" s="40" t="str">
        <f t="shared" si="36"/>
        <v/>
      </c>
      <c r="E626" s="66" t="s">
        <v>172</v>
      </c>
      <c r="F626" s="17" t="s">
        <v>58</v>
      </c>
      <c r="G626" s="17" t="s">
        <v>86</v>
      </c>
      <c r="H626" s="42" t="s">
        <v>862</v>
      </c>
      <c r="I626" s="17" t="str">
        <f t="shared" si="37"/>
        <v>PN-625</v>
      </c>
      <c r="J626" s="18" t="s">
        <v>85</v>
      </c>
      <c r="K626" s="19" t="e">
        <f>IF(J626="","SEM #CH",VLOOKUP(J626,#REF!,2,0))</f>
        <v>#REF!</v>
      </c>
      <c r="L626" s="19" t="e">
        <f>IF(J626="","SEM #CH",VLOOKUP(J626,#REF!,3,0))</f>
        <v>#REF!</v>
      </c>
      <c r="M626" s="19" t="e">
        <f>IF(J626="","SEM #CH",VLOOKUP(J626,#REF!,4,0))</f>
        <v>#REF!</v>
      </c>
      <c r="N626" s="19" t="e">
        <f>IF(J626="","SEM #CH",VLOOKUP(J626,#REF!,5,0))</f>
        <v>#REF!</v>
      </c>
      <c r="O626" s="19" t="e">
        <f>IF(J626="","SEM #CH",VLOOKUP(J626,#REF!,6,0))</f>
        <v>#REF!</v>
      </c>
      <c r="P626" s="19" t="e">
        <f>IF(J626="","SEM #CH",VLOOKUP(J626,#REF!,7,0))</f>
        <v>#REF!</v>
      </c>
      <c r="Q626" s="77" t="str">
        <f>VLOOKUP(J626,'p1'!$B$2:$C$30,2,0)</f>
        <v>NÃO TEM CHAPA</v>
      </c>
      <c r="R626" s="91"/>
      <c r="S626" s="91"/>
      <c r="T626" s="91" t="str">
        <f t="shared" si="38"/>
        <v/>
      </c>
      <c r="U626" s="91"/>
      <c r="V626" s="91"/>
      <c r="W626" s="93"/>
      <c r="X626" s="94" t="str">
        <f t="shared" si="39"/>
        <v/>
      </c>
      <c r="Y626"/>
    </row>
    <row r="627" spans="1:25">
      <c r="A627" s="90">
        <v>626</v>
      </c>
      <c r="B627" s="68"/>
      <c r="C627" s="40"/>
      <c r="D627" s="40" t="str">
        <f t="shared" si="36"/>
        <v/>
      </c>
      <c r="E627" s="66" t="s">
        <v>172</v>
      </c>
      <c r="F627" s="17" t="s">
        <v>58</v>
      </c>
      <c r="G627" s="17" t="s">
        <v>86</v>
      </c>
      <c r="H627" s="42" t="s">
        <v>863</v>
      </c>
      <c r="I627" s="17" t="str">
        <f t="shared" si="37"/>
        <v>PN-626</v>
      </c>
      <c r="J627" s="18" t="s">
        <v>85</v>
      </c>
      <c r="K627" s="19" t="e">
        <f>IF(J627="","SEM #CH",VLOOKUP(J627,#REF!,2,0))</f>
        <v>#REF!</v>
      </c>
      <c r="L627" s="19" t="e">
        <f>IF(J627="","SEM #CH",VLOOKUP(J627,#REF!,3,0))</f>
        <v>#REF!</v>
      </c>
      <c r="M627" s="19" t="e">
        <f>IF(J627="","SEM #CH",VLOOKUP(J627,#REF!,4,0))</f>
        <v>#REF!</v>
      </c>
      <c r="N627" s="19" t="e">
        <f>IF(J627="","SEM #CH",VLOOKUP(J627,#REF!,5,0))</f>
        <v>#REF!</v>
      </c>
      <c r="O627" s="19" t="e">
        <f>IF(J627="","SEM #CH",VLOOKUP(J627,#REF!,6,0))</f>
        <v>#REF!</v>
      </c>
      <c r="P627" s="19" t="e">
        <f>IF(J627="","SEM #CH",VLOOKUP(J627,#REF!,7,0))</f>
        <v>#REF!</v>
      </c>
      <c r="Q627" s="77" t="str">
        <f>VLOOKUP(J627,'p1'!$B$2:$C$30,2,0)</f>
        <v>NÃO TEM CHAPA</v>
      </c>
      <c r="R627" s="91"/>
      <c r="S627" s="91"/>
      <c r="T627" s="91" t="str">
        <f t="shared" si="38"/>
        <v/>
      </c>
      <c r="U627" s="91"/>
      <c r="V627" s="91"/>
      <c r="W627" s="93"/>
      <c r="X627" s="94" t="str">
        <f t="shared" si="39"/>
        <v/>
      </c>
      <c r="Y627"/>
    </row>
    <row r="628" spans="1:25">
      <c r="A628" s="90">
        <v>627</v>
      </c>
      <c r="B628" s="68"/>
      <c r="C628" s="40"/>
      <c r="D628" s="40" t="str">
        <f t="shared" si="36"/>
        <v/>
      </c>
      <c r="E628" s="66" t="s">
        <v>172</v>
      </c>
      <c r="F628" s="17" t="s">
        <v>58</v>
      </c>
      <c r="G628" s="17" t="s">
        <v>86</v>
      </c>
      <c r="H628" s="42" t="s">
        <v>864</v>
      </c>
      <c r="I628" s="17" t="str">
        <f t="shared" si="37"/>
        <v>PN-627</v>
      </c>
      <c r="J628" s="18" t="s">
        <v>85</v>
      </c>
      <c r="K628" s="19" t="e">
        <f>IF(J628="","SEM #CH",VLOOKUP(J628,#REF!,2,0))</f>
        <v>#REF!</v>
      </c>
      <c r="L628" s="19" t="e">
        <f>IF(J628="","SEM #CH",VLOOKUP(J628,#REF!,3,0))</f>
        <v>#REF!</v>
      </c>
      <c r="M628" s="19" t="e">
        <f>IF(J628="","SEM #CH",VLOOKUP(J628,#REF!,4,0))</f>
        <v>#REF!</v>
      </c>
      <c r="N628" s="19" t="e">
        <f>IF(J628="","SEM #CH",VLOOKUP(J628,#REF!,5,0))</f>
        <v>#REF!</v>
      </c>
      <c r="O628" s="19" t="e">
        <f>IF(J628="","SEM #CH",VLOOKUP(J628,#REF!,6,0))</f>
        <v>#REF!</v>
      </c>
      <c r="P628" s="19" t="e">
        <f>IF(J628="","SEM #CH",VLOOKUP(J628,#REF!,7,0))</f>
        <v>#REF!</v>
      </c>
      <c r="Q628" s="77" t="str">
        <f>VLOOKUP(J628,'p1'!$B$2:$C$30,2,0)</f>
        <v>NÃO TEM CHAPA</v>
      </c>
      <c r="R628" s="91"/>
      <c r="S628" s="91"/>
      <c r="T628" s="91" t="str">
        <f t="shared" si="38"/>
        <v/>
      </c>
      <c r="U628" s="91"/>
      <c r="V628" s="91"/>
      <c r="W628" s="93"/>
      <c r="X628" s="94" t="str">
        <f t="shared" si="39"/>
        <v/>
      </c>
      <c r="Y628"/>
    </row>
    <row r="629" spans="1:25">
      <c r="A629" s="90">
        <v>628</v>
      </c>
      <c r="B629" s="68"/>
      <c r="C629" s="40"/>
      <c r="D629" s="40" t="str">
        <f t="shared" si="36"/>
        <v/>
      </c>
      <c r="E629" s="66" t="s">
        <v>172</v>
      </c>
      <c r="F629" s="17" t="s">
        <v>60</v>
      </c>
      <c r="G629" s="17" t="s">
        <v>86</v>
      </c>
      <c r="H629" s="42" t="s">
        <v>865</v>
      </c>
      <c r="I629" s="17" t="str">
        <f t="shared" si="37"/>
        <v>PE-628</v>
      </c>
      <c r="J629" s="18" t="s">
        <v>88</v>
      </c>
      <c r="K629" s="19" t="e">
        <f>IF(J629="","SEM #CH",VLOOKUP(J629,#REF!,2,0))</f>
        <v>#REF!</v>
      </c>
      <c r="L629" s="19" t="e">
        <f>IF(J629="","SEM #CH",VLOOKUP(J629,#REF!,3,0))</f>
        <v>#REF!</v>
      </c>
      <c r="M629" s="19" t="e">
        <f>IF(J629="","SEM #CH",VLOOKUP(J629,#REF!,4,0))</f>
        <v>#REF!</v>
      </c>
      <c r="N629" s="19" t="e">
        <f>IF(J629="","SEM #CH",VLOOKUP(J629,#REF!,5,0))</f>
        <v>#REF!</v>
      </c>
      <c r="O629" s="19" t="e">
        <f>IF(J629="","SEM #CH",VLOOKUP(J629,#REF!,6,0))</f>
        <v>#REF!</v>
      </c>
      <c r="P629" s="19" t="e">
        <f>IF(J629="","SEM #CH",VLOOKUP(J629,#REF!,7,0))</f>
        <v>#REF!</v>
      </c>
      <c r="Q629" s="77" t="str">
        <f>VLOOKUP(J629,'p1'!$B$2:$C$30,2,0)</f>
        <v>#3/8-1315X1315</v>
      </c>
      <c r="R629" s="91"/>
      <c r="S629" s="91"/>
      <c r="T629" s="91" t="str">
        <f t="shared" si="38"/>
        <v/>
      </c>
      <c r="U629" s="91"/>
      <c r="V629" s="91"/>
      <c r="W629" s="93"/>
      <c r="X629" s="94" t="str">
        <f t="shared" si="39"/>
        <v/>
      </c>
      <c r="Y629"/>
    </row>
    <row r="630" spans="1:25">
      <c r="A630" s="90">
        <v>629</v>
      </c>
      <c r="B630" s="68"/>
      <c r="C630" s="40"/>
      <c r="D630" s="40" t="str">
        <f t="shared" si="36"/>
        <v/>
      </c>
      <c r="E630" s="66" t="s">
        <v>172</v>
      </c>
      <c r="F630" s="17" t="s">
        <v>58</v>
      </c>
      <c r="G630" s="17" t="s">
        <v>86</v>
      </c>
      <c r="H630" s="42" t="s">
        <v>866</v>
      </c>
      <c r="I630" s="17" t="str">
        <f t="shared" si="37"/>
        <v>PN-629</v>
      </c>
      <c r="J630" s="18" t="s">
        <v>85</v>
      </c>
      <c r="K630" s="19" t="e">
        <f>IF(J630="","SEM #CH",VLOOKUP(J630,#REF!,2,0))</f>
        <v>#REF!</v>
      </c>
      <c r="L630" s="19" t="e">
        <f>IF(J630="","SEM #CH",VLOOKUP(J630,#REF!,3,0))</f>
        <v>#REF!</v>
      </c>
      <c r="M630" s="19" t="e">
        <f>IF(J630="","SEM #CH",VLOOKUP(J630,#REF!,4,0))</f>
        <v>#REF!</v>
      </c>
      <c r="N630" s="19" t="e">
        <f>IF(J630="","SEM #CH",VLOOKUP(J630,#REF!,5,0))</f>
        <v>#REF!</v>
      </c>
      <c r="O630" s="19" t="e">
        <f>IF(J630="","SEM #CH",VLOOKUP(J630,#REF!,6,0))</f>
        <v>#REF!</v>
      </c>
      <c r="P630" s="19" t="e">
        <f>IF(J630="","SEM #CH",VLOOKUP(J630,#REF!,7,0))</f>
        <v>#REF!</v>
      </c>
      <c r="Q630" s="77" t="str">
        <f>VLOOKUP(J630,'p1'!$B$2:$C$30,2,0)</f>
        <v>NÃO TEM CHAPA</v>
      </c>
      <c r="R630" s="91"/>
      <c r="S630" s="91"/>
      <c r="T630" s="91" t="str">
        <f t="shared" si="38"/>
        <v/>
      </c>
      <c r="U630" s="91"/>
      <c r="V630" s="91"/>
      <c r="W630" s="93"/>
      <c r="X630" s="94" t="str">
        <f t="shared" si="39"/>
        <v/>
      </c>
      <c r="Y630"/>
    </row>
    <row r="631" spans="1:25">
      <c r="A631" s="90">
        <v>630</v>
      </c>
      <c r="B631" s="68"/>
      <c r="C631" s="40"/>
      <c r="D631" s="40" t="str">
        <f t="shared" si="36"/>
        <v/>
      </c>
      <c r="E631" s="66" t="s">
        <v>172</v>
      </c>
      <c r="F631" s="17" t="s">
        <v>58</v>
      </c>
      <c r="G631" s="17" t="s">
        <v>86</v>
      </c>
      <c r="H631" s="42" t="s">
        <v>867</v>
      </c>
      <c r="I631" s="17" t="str">
        <f t="shared" si="37"/>
        <v>PN-630</v>
      </c>
      <c r="J631" s="18" t="s">
        <v>85</v>
      </c>
      <c r="K631" s="19" t="e">
        <f>IF(J631="","SEM #CH",VLOOKUP(J631,#REF!,2,0))</f>
        <v>#REF!</v>
      </c>
      <c r="L631" s="19" t="e">
        <f>IF(J631="","SEM #CH",VLOOKUP(J631,#REF!,3,0))</f>
        <v>#REF!</v>
      </c>
      <c r="M631" s="19" t="e">
        <f>IF(J631="","SEM #CH",VLOOKUP(J631,#REF!,4,0))</f>
        <v>#REF!</v>
      </c>
      <c r="N631" s="19" t="e">
        <f>IF(J631="","SEM #CH",VLOOKUP(J631,#REF!,5,0))</f>
        <v>#REF!</v>
      </c>
      <c r="O631" s="19" t="e">
        <f>IF(J631="","SEM #CH",VLOOKUP(J631,#REF!,6,0))</f>
        <v>#REF!</v>
      </c>
      <c r="P631" s="19" t="e">
        <f>IF(J631="","SEM #CH",VLOOKUP(J631,#REF!,7,0))</f>
        <v>#REF!</v>
      </c>
      <c r="Q631" s="77" t="str">
        <f>VLOOKUP(J631,'p1'!$B$2:$C$30,2,0)</f>
        <v>NÃO TEM CHAPA</v>
      </c>
      <c r="R631" s="91"/>
      <c r="S631" s="91"/>
      <c r="T631" s="91" t="str">
        <f t="shared" si="38"/>
        <v/>
      </c>
      <c r="U631" s="91"/>
      <c r="V631" s="91"/>
      <c r="W631" s="93"/>
      <c r="X631" s="94" t="str">
        <f t="shared" si="39"/>
        <v/>
      </c>
      <c r="Y631"/>
    </row>
    <row r="632" spans="1:25">
      <c r="A632" s="90">
        <v>631</v>
      </c>
      <c r="B632" s="68"/>
      <c r="C632" s="40"/>
      <c r="D632" s="40" t="str">
        <f t="shared" si="36"/>
        <v/>
      </c>
      <c r="E632" s="66" t="s">
        <v>172</v>
      </c>
      <c r="F632" s="17" t="s">
        <v>58</v>
      </c>
      <c r="G632" s="17" t="s">
        <v>86</v>
      </c>
      <c r="H632" s="42" t="s">
        <v>868</v>
      </c>
      <c r="I632" s="17" t="str">
        <f t="shared" si="37"/>
        <v>PN-631</v>
      </c>
      <c r="J632" s="18" t="s">
        <v>85</v>
      </c>
      <c r="K632" s="19" t="e">
        <f>IF(J632="","SEM #CH",VLOOKUP(J632,#REF!,2,0))</f>
        <v>#REF!</v>
      </c>
      <c r="L632" s="19" t="e">
        <f>IF(J632="","SEM #CH",VLOOKUP(J632,#REF!,3,0))</f>
        <v>#REF!</v>
      </c>
      <c r="M632" s="19" t="e">
        <f>IF(J632="","SEM #CH",VLOOKUP(J632,#REF!,4,0))</f>
        <v>#REF!</v>
      </c>
      <c r="N632" s="19" t="e">
        <f>IF(J632="","SEM #CH",VLOOKUP(J632,#REF!,5,0))</f>
        <v>#REF!</v>
      </c>
      <c r="O632" s="19" t="e">
        <f>IF(J632="","SEM #CH",VLOOKUP(J632,#REF!,6,0))</f>
        <v>#REF!</v>
      </c>
      <c r="P632" s="19" t="e">
        <f>IF(J632="","SEM #CH",VLOOKUP(J632,#REF!,7,0))</f>
        <v>#REF!</v>
      </c>
      <c r="Q632" s="77" t="str">
        <f>VLOOKUP(J632,'p1'!$B$2:$C$30,2,0)</f>
        <v>NÃO TEM CHAPA</v>
      </c>
      <c r="R632" s="91"/>
      <c r="S632" s="91"/>
      <c r="T632" s="91" t="str">
        <f t="shared" si="38"/>
        <v/>
      </c>
      <c r="U632" s="91"/>
      <c r="V632" s="91"/>
      <c r="W632" s="93"/>
      <c r="X632" s="94" t="str">
        <f t="shared" si="39"/>
        <v/>
      </c>
      <c r="Y632"/>
    </row>
    <row r="633" spans="1:25">
      <c r="A633" s="90">
        <v>632</v>
      </c>
      <c r="B633" s="68"/>
      <c r="C633" s="40"/>
      <c r="D633" s="40" t="str">
        <f t="shared" si="36"/>
        <v/>
      </c>
      <c r="E633" s="66" t="s">
        <v>172</v>
      </c>
      <c r="F633" s="17" t="s">
        <v>58</v>
      </c>
      <c r="G633" s="17" t="s">
        <v>86</v>
      </c>
      <c r="H633" s="42" t="s">
        <v>869</v>
      </c>
      <c r="I633" s="17" t="str">
        <f t="shared" si="37"/>
        <v>PN-632</v>
      </c>
      <c r="J633" s="18" t="s">
        <v>85</v>
      </c>
      <c r="K633" s="19" t="e">
        <f>IF(J633="","SEM #CH",VLOOKUP(J633,#REF!,2,0))</f>
        <v>#REF!</v>
      </c>
      <c r="L633" s="19" t="e">
        <f>IF(J633="","SEM #CH",VLOOKUP(J633,#REF!,3,0))</f>
        <v>#REF!</v>
      </c>
      <c r="M633" s="19" t="e">
        <f>IF(J633="","SEM #CH",VLOOKUP(J633,#REF!,4,0))</f>
        <v>#REF!</v>
      </c>
      <c r="N633" s="19" t="e">
        <f>IF(J633="","SEM #CH",VLOOKUP(J633,#REF!,5,0))</f>
        <v>#REF!</v>
      </c>
      <c r="O633" s="19" t="e">
        <f>IF(J633="","SEM #CH",VLOOKUP(J633,#REF!,6,0))</f>
        <v>#REF!</v>
      </c>
      <c r="P633" s="19" t="e">
        <f>IF(J633="","SEM #CH",VLOOKUP(J633,#REF!,7,0))</f>
        <v>#REF!</v>
      </c>
      <c r="Q633" s="77" t="str">
        <f>VLOOKUP(J633,'p1'!$B$2:$C$30,2,0)</f>
        <v>NÃO TEM CHAPA</v>
      </c>
      <c r="R633" s="91"/>
      <c r="S633" s="91"/>
      <c r="T633" s="91" t="str">
        <f t="shared" si="38"/>
        <v/>
      </c>
      <c r="U633" s="91"/>
      <c r="V633" s="91"/>
      <c r="W633" s="93"/>
      <c r="X633" s="94" t="str">
        <f t="shared" si="39"/>
        <v/>
      </c>
      <c r="Y633"/>
    </row>
    <row r="634" spans="1:25">
      <c r="A634" s="90">
        <v>633</v>
      </c>
      <c r="B634" s="68"/>
      <c r="C634" s="40"/>
      <c r="D634" s="40" t="str">
        <f t="shared" si="36"/>
        <v/>
      </c>
      <c r="E634" s="66" t="s">
        <v>172</v>
      </c>
      <c r="F634" s="17" t="s">
        <v>58</v>
      </c>
      <c r="G634" s="17" t="s">
        <v>86</v>
      </c>
      <c r="H634" s="42" t="s">
        <v>870</v>
      </c>
      <c r="I634" s="17" t="str">
        <f t="shared" si="37"/>
        <v>PN-633</v>
      </c>
      <c r="J634" s="18" t="s">
        <v>85</v>
      </c>
      <c r="K634" s="19" t="e">
        <f>IF(J634="","SEM #CH",VLOOKUP(J634,#REF!,2,0))</f>
        <v>#REF!</v>
      </c>
      <c r="L634" s="19" t="e">
        <f>IF(J634="","SEM #CH",VLOOKUP(J634,#REF!,3,0))</f>
        <v>#REF!</v>
      </c>
      <c r="M634" s="19" t="e">
        <f>IF(J634="","SEM #CH",VLOOKUP(J634,#REF!,4,0))</f>
        <v>#REF!</v>
      </c>
      <c r="N634" s="19" t="e">
        <f>IF(J634="","SEM #CH",VLOOKUP(J634,#REF!,5,0))</f>
        <v>#REF!</v>
      </c>
      <c r="O634" s="19" t="e">
        <f>IF(J634="","SEM #CH",VLOOKUP(J634,#REF!,6,0))</f>
        <v>#REF!</v>
      </c>
      <c r="P634" s="19" t="e">
        <f>IF(J634="","SEM #CH",VLOOKUP(J634,#REF!,7,0))</f>
        <v>#REF!</v>
      </c>
      <c r="Q634" s="77" t="str">
        <f>VLOOKUP(J634,'p1'!$B$2:$C$30,2,0)</f>
        <v>NÃO TEM CHAPA</v>
      </c>
      <c r="R634" s="91"/>
      <c r="S634" s="91"/>
      <c r="T634" s="91" t="str">
        <f t="shared" si="38"/>
        <v/>
      </c>
      <c r="U634" s="91"/>
      <c r="V634" s="91"/>
      <c r="W634" s="93"/>
      <c r="X634" s="94" t="str">
        <f t="shared" si="39"/>
        <v/>
      </c>
      <c r="Y634"/>
    </row>
    <row r="635" spans="1:25">
      <c r="A635" s="90">
        <v>634</v>
      </c>
      <c r="B635" s="68"/>
      <c r="C635" s="40"/>
      <c r="D635" s="40" t="str">
        <f t="shared" si="36"/>
        <v/>
      </c>
      <c r="E635" s="66" t="s">
        <v>172</v>
      </c>
      <c r="F635" s="17" t="s">
        <v>58</v>
      </c>
      <c r="G635" s="17" t="s">
        <v>86</v>
      </c>
      <c r="H635" s="42" t="s">
        <v>871</v>
      </c>
      <c r="I635" s="17" t="str">
        <f t="shared" si="37"/>
        <v>PN-634</v>
      </c>
      <c r="J635" s="18" t="s">
        <v>85</v>
      </c>
      <c r="K635" s="19" t="e">
        <f>IF(J635="","SEM #CH",VLOOKUP(J635,#REF!,2,0))</f>
        <v>#REF!</v>
      </c>
      <c r="L635" s="19" t="e">
        <f>IF(J635="","SEM #CH",VLOOKUP(J635,#REF!,3,0))</f>
        <v>#REF!</v>
      </c>
      <c r="M635" s="19" t="e">
        <f>IF(J635="","SEM #CH",VLOOKUP(J635,#REF!,4,0))</f>
        <v>#REF!</v>
      </c>
      <c r="N635" s="19" t="e">
        <f>IF(J635="","SEM #CH",VLOOKUP(J635,#REF!,5,0))</f>
        <v>#REF!</v>
      </c>
      <c r="O635" s="19" t="e">
        <f>IF(J635="","SEM #CH",VLOOKUP(J635,#REF!,6,0))</f>
        <v>#REF!</v>
      </c>
      <c r="P635" s="19" t="e">
        <f>IF(J635="","SEM #CH",VLOOKUP(J635,#REF!,7,0))</f>
        <v>#REF!</v>
      </c>
      <c r="Q635" s="77" t="str">
        <f>VLOOKUP(J635,'p1'!$B$2:$C$30,2,0)</f>
        <v>NÃO TEM CHAPA</v>
      </c>
      <c r="R635" s="91"/>
      <c r="S635" s="91"/>
      <c r="T635" s="91" t="str">
        <f t="shared" si="38"/>
        <v/>
      </c>
      <c r="U635" s="91"/>
      <c r="V635" s="91"/>
      <c r="W635" s="93"/>
      <c r="X635" s="94" t="str">
        <f t="shared" si="39"/>
        <v/>
      </c>
      <c r="Y635"/>
    </row>
    <row r="636" spans="1:25">
      <c r="A636" s="90">
        <v>635</v>
      </c>
      <c r="B636" s="68"/>
      <c r="C636" s="40"/>
      <c r="D636" s="40" t="str">
        <f t="shared" si="36"/>
        <v/>
      </c>
      <c r="E636" s="66" t="s">
        <v>172</v>
      </c>
      <c r="F636" s="17" t="s">
        <v>58</v>
      </c>
      <c r="G636" s="17" t="s">
        <v>86</v>
      </c>
      <c r="H636" s="42" t="s">
        <v>872</v>
      </c>
      <c r="I636" s="17" t="str">
        <f t="shared" si="37"/>
        <v>PN-635</v>
      </c>
      <c r="J636" s="18" t="s">
        <v>85</v>
      </c>
      <c r="K636" s="19" t="e">
        <f>IF(J636="","SEM #CH",VLOOKUP(J636,#REF!,2,0))</f>
        <v>#REF!</v>
      </c>
      <c r="L636" s="19" t="e">
        <f>IF(J636="","SEM #CH",VLOOKUP(J636,#REF!,3,0))</f>
        <v>#REF!</v>
      </c>
      <c r="M636" s="19" t="e">
        <f>IF(J636="","SEM #CH",VLOOKUP(J636,#REF!,4,0))</f>
        <v>#REF!</v>
      </c>
      <c r="N636" s="19" t="e">
        <f>IF(J636="","SEM #CH",VLOOKUP(J636,#REF!,5,0))</f>
        <v>#REF!</v>
      </c>
      <c r="O636" s="19" t="e">
        <f>IF(J636="","SEM #CH",VLOOKUP(J636,#REF!,6,0))</f>
        <v>#REF!</v>
      </c>
      <c r="P636" s="19" t="e">
        <f>IF(J636="","SEM #CH",VLOOKUP(J636,#REF!,7,0))</f>
        <v>#REF!</v>
      </c>
      <c r="Q636" s="77" t="str">
        <f>VLOOKUP(J636,'p1'!$B$2:$C$30,2,0)</f>
        <v>NÃO TEM CHAPA</v>
      </c>
      <c r="R636" s="91"/>
      <c r="S636" s="91"/>
      <c r="T636" s="91" t="str">
        <f t="shared" si="38"/>
        <v/>
      </c>
      <c r="U636" s="91"/>
      <c r="V636" s="91"/>
      <c r="W636" s="93"/>
      <c r="X636" s="94" t="str">
        <f t="shared" si="39"/>
        <v/>
      </c>
      <c r="Y636"/>
    </row>
    <row r="637" spans="1:25">
      <c r="A637" s="90">
        <v>636</v>
      </c>
      <c r="B637" s="68"/>
      <c r="C637" s="40"/>
      <c r="D637" s="40" t="str">
        <f t="shared" si="36"/>
        <v/>
      </c>
      <c r="E637" s="66" t="s">
        <v>172</v>
      </c>
      <c r="F637" s="17" t="s">
        <v>58</v>
      </c>
      <c r="G637" s="17" t="s">
        <v>86</v>
      </c>
      <c r="H637" s="42" t="s">
        <v>873</v>
      </c>
      <c r="I637" s="17" t="str">
        <f t="shared" si="37"/>
        <v>PN-636</v>
      </c>
      <c r="J637" s="18" t="s">
        <v>85</v>
      </c>
      <c r="K637" s="19" t="e">
        <f>IF(J637="","SEM #CH",VLOOKUP(J637,#REF!,2,0))</f>
        <v>#REF!</v>
      </c>
      <c r="L637" s="19" t="e">
        <f>IF(J637="","SEM #CH",VLOOKUP(J637,#REF!,3,0))</f>
        <v>#REF!</v>
      </c>
      <c r="M637" s="19" t="e">
        <f>IF(J637="","SEM #CH",VLOOKUP(J637,#REF!,4,0))</f>
        <v>#REF!</v>
      </c>
      <c r="N637" s="19" t="e">
        <f>IF(J637="","SEM #CH",VLOOKUP(J637,#REF!,5,0))</f>
        <v>#REF!</v>
      </c>
      <c r="O637" s="19" t="e">
        <f>IF(J637="","SEM #CH",VLOOKUP(J637,#REF!,6,0))</f>
        <v>#REF!</v>
      </c>
      <c r="P637" s="19" t="e">
        <f>IF(J637="","SEM #CH",VLOOKUP(J637,#REF!,7,0))</f>
        <v>#REF!</v>
      </c>
      <c r="Q637" s="77" t="str">
        <f>VLOOKUP(J637,'p1'!$B$2:$C$30,2,0)</f>
        <v>NÃO TEM CHAPA</v>
      </c>
      <c r="R637" s="91"/>
      <c r="S637" s="91"/>
      <c r="T637" s="91" t="str">
        <f t="shared" si="38"/>
        <v/>
      </c>
      <c r="U637" s="91"/>
      <c r="V637" s="91"/>
      <c r="W637" s="93"/>
      <c r="X637" s="94" t="str">
        <f t="shared" si="39"/>
        <v/>
      </c>
      <c r="Y637"/>
    </row>
    <row r="638" spans="1:25">
      <c r="A638" s="90">
        <v>637</v>
      </c>
      <c r="B638" s="68"/>
      <c r="C638" s="40"/>
      <c r="D638" s="40" t="str">
        <f t="shared" si="36"/>
        <v/>
      </c>
      <c r="E638" s="66" t="s">
        <v>172</v>
      </c>
      <c r="F638" s="17" t="s">
        <v>58</v>
      </c>
      <c r="G638" s="17" t="s">
        <v>86</v>
      </c>
      <c r="H638" s="42" t="s">
        <v>874</v>
      </c>
      <c r="I638" s="17" t="str">
        <f t="shared" si="37"/>
        <v>PN-637</v>
      </c>
      <c r="J638" s="18" t="s">
        <v>85</v>
      </c>
      <c r="K638" s="19" t="e">
        <f>IF(J638="","SEM #CH",VLOOKUP(J638,#REF!,2,0))</f>
        <v>#REF!</v>
      </c>
      <c r="L638" s="19" t="e">
        <f>IF(J638="","SEM #CH",VLOOKUP(J638,#REF!,3,0))</f>
        <v>#REF!</v>
      </c>
      <c r="M638" s="19" t="e">
        <f>IF(J638="","SEM #CH",VLOOKUP(J638,#REF!,4,0))</f>
        <v>#REF!</v>
      </c>
      <c r="N638" s="19" t="e">
        <f>IF(J638="","SEM #CH",VLOOKUP(J638,#REF!,5,0))</f>
        <v>#REF!</v>
      </c>
      <c r="O638" s="19" t="e">
        <f>IF(J638="","SEM #CH",VLOOKUP(J638,#REF!,6,0))</f>
        <v>#REF!</v>
      </c>
      <c r="P638" s="19" t="e">
        <f>IF(J638="","SEM #CH",VLOOKUP(J638,#REF!,7,0))</f>
        <v>#REF!</v>
      </c>
      <c r="Q638" s="77" t="str">
        <f>VLOOKUP(J638,'p1'!$B$2:$C$30,2,0)</f>
        <v>NÃO TEM CHAPA</v>
      </c>
      <c r="R638" s="91"/>
      <c r="S638" s="91"/>
      <c r="T638" s="91" t="str">
        <f t="shared" si="38"/>
        <v/>
      </c>
      <c r="U638" s="91"/>
      <c r="V638" s="91"/>
      <c r="W638" s="93"/>
      <c r="X638" s="94" t="str">
        <f t="shared" si="39"/>
        <v/>
      </c>
      <c r="Y638"/>
    </row>
    <row r="639" spans="1:25">
      <c r="A639" s="90">
        <v>638</v>
      </c>
      <c r="B639" s="68"/>
      <c r="C639" s="40"/>
      <c r="D639" s="40" t="str">
        <f t="shared" si="36"/>
        <v/>
      </c>
      <c r="E639" s="66" t="s">
        <v>172</v>
      </c>
      <c r="F639" s="17" t="s">
        <v>58</v>
      </c>
      <c r="G639" s="17" t="s">
        <v>86</v>
      </c>
      <c r="H639" s="42" t="s">
        <v>875</v>
      </c>
      <c r="I639" s="17" t="str">
        <f t="shared" si="37"/>
        <v>PN-638</v>
      </c>
      <c r="J639" s="18" t="s">
        <v>85</v>
      </c>
      <c r="K639" s="19" t="e">
        <f>IF(J639="","SEM #CH",VLOOKUP(J639,#REF!,2,0))</f>
        <v>#REF!</v>
      </c>
      <c r="L639" s="19" t="e">
        <f>IF(J639="","SEM #CH",VLOOKUP(J639,#REF!,3,0))</f>
        <v>#REF!</v>
      </c>
      <c r="M639" s="19" t="e">
        <f>IF(J639="","SEM #CH",VLOOKUP(J639,#REF!,4,0))</f>
        <v>#REF!</v>
      </c>
      <c r="N639" s="19" t="e">
        <f>IF(J639="","SEM #CH",VLOOKUP(J639,#REF!,5,0))</f>
        <v>#REF!</v>
      </c>
      <c r="O639" s="19" t="e">
        <f>IF(J639="","SEM #CH",VLOOKUP(J639,#REF!,6,0))</f>
        <v>#REF!</v>
      </c>
      <c r="P639" s="19" t="e">
        <f>IF(J639="","SEM #CH",VLOOKUP(J639,#REF!,7,0))</f>
        <v>#REF!</v>
      </c>
      <c r="Q639" s="77" t="str">
        <f>VLOOKUP(J639,'p1'!$B$2:$C$30,2,0)</f>
        <v>NÃO TEM CHAPA</v>
      </c>
      <c r="R639" s="91"/>
      <c r="S639" s="91"/>
      <c r="T639" s="91" t="str">
        <f t="shared" si="38"/>
        <v/>
      </c>
      <c r="U639" s="91"/>
      <c r="V639" s="91"/>
      <c r="W639" s="93"/>
      <c r="X639" s="94" t="str">
        <f t="shared" si="39"/>
        <v/>
      </c>
      <c r="Y639"/>
    </row>
    <row r="640" spans="1:25">
      <c r="A640" s="90">
        <v>639</v>
      </c>
      <c r="B640" s="68"/>
      <c r="C640" s="40"/>
      <c r="D640" s="40" t="str">
        <f t="shared" si="36"/>
        <v/>
      </c>
      <c r="E640" s="66" t="s">
        <v>172</v>
      </c>
      <c r="F640" s="17" t="s">
        <v>58</v>
      </c>
      <c r="G640" s="17" t="s">
        <v>86</v>
      </c>
      <c r="H640" s="42" t="s">
        <v>876</v>
      </c>
      <c r="I640" s="17" t="str">
        <f t="shared" si="37"/>
        <v>PN-639</v>
      </c>
      <c r="J640" s="18" t="s">
        <v>85</v>
      </c>
      <c r="K640" s="19" t="e">
        <f>IF(J640="","SEM #CH",VLOOKUP(J640,#REF!,2,0))</f>
        <v>#REF!</v>
      </c>
      <c r="L640" s="19" t="e">
        <f>IF(J640="","SEM #CH",VLOOKUP(J640,#REF!,3,0))</f>
        <v>#REF!</v>
      </c>
      <c r="M640" s="19" t="e">
        <f>IF(J640="","SEM #CH",VLOOKUP(J640,#REF!,4,0))</f>
        <v>#REF!</v>
      </c>
      <c r="N640" s="19" t="e">
        <f>IF(J640="","SEM #CH",VLOOKUP(J640,#REF!,5,0))</f>
        <v>#REF!</v>
      </c>
      <c r="O640" s="19" t="e">
        <f>IF(J640="","SEM #CH",VLOOKUP(J640,#REF!,6,0))</f>
        <v>#REF!</v>
      </c>
      <c r="P640" s="19" t="e">
        <f>IF(J640="","SEM #CH",VLOOKUP(J640,#REF!,7,0))</f>
        <v>#REF!</v>
      </c>
      <c r="Q640" s="77" t="str">
        <f>VLOOKUP(J640,'p1'!$B$2:$C$30,2,0)</f>
        <v>NÃO TEM CHAPA</v>
      </c>
      <c r="R640" s="91"/>
      <c r="S640" s="91"/>
      <c r="T640" s="91" t="str">
        <f t="shared" si="38"/>
        <v/>
      </c>
      <c r="U640" s="91"/>
      <c r="V640" s="91"/>
      <c r="W640" s="93"/>
      <c r="X640" s="94" t="str">
        <f t="shared" si="39"/>
        <v/>
      </c>
      <c r="Y640"/>
    </row>
    <row r="641" spans="1:25">
      <c r="A641" s="90">
        <v>640</v>
      </c>
      <c r="B641" s="68"/>
      <c r="C641" s="40"/>
      <c r="D641" s="40" t="str">
        <f t="shared" si="36"/>
        <v/>
      </c>
      <c r="E641" s="66" t="s">
        <v>172</v>
      </c>
      <c r="F641" s="17" t="s">
        <v>58</v>
      </c>
      <c r="G641" s="17" t="s">
        <v>86</v>
      </c>
      <c r="H641" s="42" t="s">
        <v>877</v>
      </c>
      <c r="I641" s="17" t="str">
        <f t="shared" si="37"/>
        <v>PN-640</v>
      </c>
      <c r="J641" s="18" t="s">
        <v>85</v>
      </c>
      <c r="K641" s="19" t="e">
        <f>IF(J641="","SEM #CH",VLOOKUP(J641,#REF!,2,0))</f>
        <v>#REF!</v>
      </c>
      <c r="L641" s="19" t="e">
        <f>IF(J641="","SEM #CH",VLOOKUP(J641,#REF!,3,0))</f>
        <v>#REF!</v>
      </c>
      <c r="M641" s="19" t="e">
        <f>IF(J641="","SEM #CH",VLOOKUP(J641,#REF!,4,0))</f>
        <v>#REF!</v>
      </c>
      <c r="N641" s="19" t="e">
        <f>IF(J641="","SEM #CH",VLOOKUP(J641,#REF!,5,0))</f>
        <v>#REF!</v>
      </c>
      <c r="O641" s="19" t="e">
        <f>IF(J641="","SEM #CH",VLOOKUP(J641,#REF!,6,0))</f>
        <v>#REF!</v>
      </c>
      <c r="P641" s="19" t="e">
        <f>IF(J641="","SEM #CH",VLOOKUP(J641,#REF!,7,0))</f>
        <v>#REF!</v>
      </c>
      <c r="Q641" s="77" t="str">
        <f>VLOOKUP(J641,'p1'!$B$2:$C$30,2,0)</f>
        <v>NÃO TEM CHAPA</v>
      </c>
      <c r="R641" s="91"/>
      <c r="S641" s="91"/>
      <c r="T641" s="91" t="str">
        <f t="shared" si="38"/>
        <v/>
      </c>
      <c r="U641" s="91"/>
      <c r="V641" s="91"/>
      <c r="W641" s="93"/>
      <c r="X641" s="94" t="str">
        <f t="shared" si="39"/>
        <v/>
      </c>
      <c r="Y641"/>
    </row>
    <row r="642" spans="1:25">
      <c r="A642" s="90">
        <v>641</v>
      </c>
      <c r="B642" s="68"/>
      <c r="C642" s="40"/>
      <c r="D642" s="40" t="str">
        <f t="shared" ref="D642:D705" si="40">IF(B642&gt;0,1,"")</f>
        <v/>
      </c>
      <c r="E642" s="66" t="s">
        <v>172</v>
      </c>
      <c r="F642" s="17" t="s">
        <v>58</v>
      </c>
      <c r="G642" s="17" t="s">
        <v>86</v>
      </c>
      <c r="H642" s="42" t="s">
        <v>878</v>
      </c>
      <c r="I642" s="17" t="str">
        <f t="shared" ref="I642:I705" si="41">_xlfn.CONCAT(F642,G642,H642)</f>
        <v>PN-641</v>
      </c>
      <c r="J642" s="18" t="s">
        <v>85</v>
      </c>
      <c r="K642" s="19" t="e">
        <f>IF(J642="","SEM #CH",VLOOKUP(J642,#REF!,2,0))</f>
        <v>#REF!</v>
      </c>
      <c r="L642" s="19" t="e">
        <f>IF(J642="","SEM #CH",VLOOKUP(J642,#REF!,3,0))</f>
        <v>#REF!</v>
      </c>
      <c r="M642" s="19" t="e">
        <f>IF(J642="","SEM #CH",VLOOKUP(J642,#REF!,4,0))</f>
        <v>#REF!</v>
      </c>
      <c r="N642" s="19" t="e">
        <f>IF(J642="","SEM #CH",VLOOKUP(J642,#REF!,5,0))</f>
        <v>#REF!</v>
      </c>
      <c r="O642" s="19" t="e">
        <f>IF(J642="","SEM #CH",VLOOKUP(J642,#REF!,6,0))</f>
        <v>#REF!</v>
      </c>
      <c r="P642" s="19" t="e">
        <f>IF(J642="","SEM #CH",VLOOKUP(J642,#REF!,7,0))</f>
        <v>#REF!</v>
      </c>
      <c r="Q642" s="77" t="str">
        <f>VLOOKUP(J642,'p1'!$B$2:$C$30,2,0)</f>
        <v>NÃO TEM CHAPA</v>
      </c>
      <c r="R642" s="91"/>
      <c r="S642" s="91"/>
      <c r="T642" s="91" t="str">
        <f t="shared" ref="T642:T705" si="42">IF(R642=0,"",1)</f>
        <v/>
      </c>
      <c r="U642" s="91"/>
      <c r="V642" s="91"/>
      <c r="W642" s="93"/>
      <c r="X642" s="94" t="str">
        <f t="shared" ref="X642:X705" si="43">IF(U642&gt;0,1,"")</f>
        <v/>
      </c>
      <c r="Y642"/>
    </row>
    <row r="643" spans="1:25">
      <c r="A643" s="90">
        <v>642</v>
      </c>
      <c r="B643" s="68"/>
      <c r="C643" s="40"/>
      <c r="D643" s="40" t="str">
        <f t="shared" si="40"/>
        <v/>
      </c>
      <c r="E643" s="66" t="s">
        <v>172</v>
      </c>
      <c r="F643" s="17" t="s">
        <v>58</v>
      </c>
      <c r="G643" s="17" t="s">
        <v>86</v>
      </c>
      <c r="H643" s="42" t="s">
        <v>879</v>
      </c>
      <c r="I643" s="17" t="str">
        <f t="shared" si="41"/>
        <v>PN-642</v>
      </c>
      <c r="J643" s="18" t="s">
        <v>85</v>
      </c>
      <c r="K643" s="19" t="e">
        <f>IF(J643="","SEM #CH",VLOOKUP(J643,#REF!,2,0))</f>
        <v>#REF!</v>
      </c>
      <c r="L643" s="19" t="e">
        <f>IF(J643="","SEM #CH",VLOOKUP(J643,#REF!,3,0))</f>
        <v>#REF!</v>
      </c>
      <c r="M643" s="19" t="e">
        <f>IF(J643="","SEM #CH",VLOOKUP(J643,#REF!,4,0))</f>
        <v>#REF!</v>
      </c>
      <c r="N643" s="19" t="e">
        <f>IF(J643="","SEM #CH",VLOOKUP(J643,#REF!,5,0))</f>
        <v>#REF!</v>
      </c>
      <c r="O643" s="19" t="e">
        <f>IF(J643="","SEM #CH",VLOOKUP(J643,#REF!,6,0))</f>
        <v>#REF!</v>
      </c>
      <c r="P643" s="19" t="e">
        <f>IF(J643="","SEM #CH",VLOOKUP(J643,#REF!,7,0))</f>
        <v>#REF!</v>
      </c>
      <c r="Q643" s="77" t="str">
        <f>VLOOKUP(J643,'p1'!$B$2:$C$30,2,0)</f>
        <v>NÃO TEM CHAPA</v>
      </c>
      <c r="R643" s="91"/>
      <c r="S643" s="91"/>
      <c r="T643" s="91" t="str">
        <f t="shared" si="42"/>
        <v/>
      </c>
      <c r="U643" s="91"/>
      <c r="V643" s="91"/>
      <c r="W643" s="93"/>
      <c r="X643" s="94" t="str">
        <f t="shared" si="43"/>
        <v/>
      </c>
      <c r="Y643"/>
    </row>
    <row r="644" spans="1:25">
      <c r="A644" s="90">
        <v>643</v>
      </c>
      <c r="B644" s="68"/>
      <c r="C644" s="40"/>
      <c r="D644" s="40" t="str">
        <f t="shared" si="40"/>
        <v/>
      </c>
      <c r="E644" s="66" t="s">
        <v>172</v>
      </c>
      <c r="F644" s="17" t="s">
        <v>58</v>
      </c>
      <c r="G644" s="17" t="s">
        <v>86</v>
      </c>
      <c r="H644" s="42" t="s">
        <v>880</v>
      </c>
      <c r="I644" s="17" t="str">
        <f t="shared" si="41"/>
        <v>PN-643</v>
      </c>
      <c r="J644" s="18" t="s">
        <v>85</v>
      </c>
      <c r="K644" s="19" t="e">
        <f>IF(J644="","SEM #CH",VLOOKUP(J644,#REF!,2,0))</f>
        <v>#REF!</v>
      </c>
      <c r="L644" s="19" t="e">
        <f>IF(J644="","SEM #CH",VLOOKUP(J644,#REF!,3,0))</f>
        <v>#REF!</v>
      </c>
      <c r="M644" s="19" t="e">
        <f>IF(J644="","SEM #CH",VLOOKUP(J644,#REF!,4,0))</f>
        <v>#REF!</v>
      </c>
      <c r="N644" s="19" t="e">
        <f>IF(J644="","SEM #CH",VLOOKUP(J644,#REF!,5,0))</f>
        <v>#REF!</v>
      </c>
      <c r="O644" s="19" t="e">
        <f>IF(J644="","SEM #CH",VLOOKUP(J644,#REF!,6,0))</f>
        <v>#REF!</v>
      </c>
      <c r="P644" s="19" t="e">
        <f>IF(J644="","SEM #CH",VLOOKUP(J644,#REF!,7,0))</f>
        <v>#REF!</v>
      </c>
      <c r="Q644" s="77" t="str">
        <f>VLOOKUP(J644,'p1'!$B$2:$C$30,2,0)</f>
        <v>NÃO TEM CHAPA</v>
      </c>
      <c r="R644" s="91"/>
      <c r="S644" s="91"/>
      <c r="T644" s="91" t="str">
        <f t="shared" si="42"/>
        <v/>
      </c>
      <c r="U644" s="91"/>
      <c r="V644" s="91"/>
      <c r="W644" s="93"/>
      <c r="X644" s="94" t="str">
        <f t="shared" si="43"/>
        <v/>
      </c>
      <c r="Y644"/>
    </row>
    <row r="645" spans="1:25">
      <c r="A645" s="90">
        <v>644</v>
      </c>
      <c r="B645" s="68"/>
      <c r="C645" s="40"/>
      <c r="D645" s="40" t="str">
        <f t="shared" si="40"/>
        <v/>
      </c>
      <c r="E645" s="66" t="s">
        <v>172</v>
      </c>
      <c r="F645" s="17" t="s">
        <v>60</v>
      </c>
      <c r="G645" s="17" t="s">
        <v>86</v>
      </c>
      <c r="H645" s="42" t="s">
        <v>881</v>
      </c>
      <c r="I645" s="17" t="str">
        <f t="shared" si="41"/>
        <v>PE-644</v>
      </c>
      <c r="J645" s="18" t="s">
        <v>90</v>
      </c>
      <c r="K645" s="19" t="e">
        <f>IF(J645="","SEM #CH",VLOOKUP(J645,#REF!,2,0))</f>
        <v>#REF!</v>
      </c>
      <c r="L645" s="19" t="e">
        <f>IF(J645="","SEM #CH",VLOOKUP(J645,#REF!,3,0))</f>
        <v>#REF!</v>
      </c>
      <c r="M645" s="19" t="e">
        <f>IF(J645="","SEM #CH",VLOOKUP(J645,#REF!,4,0))</f>
        <v>#REF!</v>
      </c>
      <c r="N645" s="19" t="e">
        <f>IF(J645="","SEM #CH",VLOOKUP(J645,#REF!,5,0))</f>
        <v>#REF!</v>
      </c>
      <c r="O645" s="19" t="e">
        <f>IF(J645="","SEM #CH",VLOOKUP(J645,#REF!,6,0))</f>
        <v>#REF!</v>
      </c>
      <c r="P645" s="19" t="e">
        <f>IF(J645="","SEM #CH",VLOOKUP(J645,#REF!,7,0))</f>
        <v>#REF!</v>
      </c>
      <c r="Q645" s="77" t="str">
        <f>VLOOKUP(J645,'p1'!$B$2:$C$30,2,0)</f>
        <v>#3/8-530X530</v>
      </c>
      <c r="R645" s="91"/>
      <c r="S645" s="91"/>
      <c r="T645" s="91" t="str">
        <f t="shared" si="42"/>
        <v/>
      </c>
      <c r="U645" s="91"/>
      <c r="V645" s="91"/>
      <c r="W645" s="93"/>
      <c r="X645" s="94" t="str">
        <f t="shared" si="43"/>
        <v/>
      </c>
      <c r="Y645"/>
    </row>
    <row r="646" spans="1:25">
      <c r="A646" s="90">
        <v>645</v>
      </c>
      <c r="B646" s="68"/>
      <c r="C646" s="40"/>
      <c r="D646" s="40" t="str">
        <f t="shared" si="40"/>
        <v/>
      </c>
      <c r="E646" s="66" t="s">
        <v>172</v>
      </c>
      <c r="F646" s="17" t="s">
        <v>58</v>
      </c>
      <c r="G646" s="17" t="s">
        <v>86</v>
      </c>
      <c r="H646" s="42" t="s">
        <v>882</v>
      </c>
      <c r="I646" s="17" t="str">
        <f t="shared" si="41"/>
        <v>PN-645</v>
      </c>
      <c r="J646" s="18" t="s">
        <v>85</v>
      </c>
      <c r="K646" s="19" t="e">
        <f>IF(J646="","SEM #CH",VLOOKUP(J646,#REF!,2,0))</f>
        <v>#REF!</v>
      </c>
      <c r="L646" s="19" t="e">
        <f>IF(J646="","SEM #CH",VLOOKUP(J646,#REF!,3,0))</f>
        <v>#REF!</v>
      </c>
      <c r="M646" s="19" t="e">
        <f>IF(J646="","SEM #CH",VLOOKUP(J646,#REF!,4,0))</f>
        <v>#REF!</v>
      </c>
      <c r="N646" s="19" t="e">
        <f>IF(J646="","SEM #CH",VLOOKUP(J646,#REF!,5,0))</f>
        <v>#REF!</v>
      </c>
      <c r="O646" s="19" t="e">
        <f>IF(J646="","SEM #CH",VLOOKUP(J646,#REF!,6,0))</f>
        <v>#REF!</v>
      </c>
      <c r="P646" s="19" t="e">
        <f>IF(J646="","SEM #CH",VLOOKUP(J646,#REF!,7,0))</f>
        <v>#REF!</v>
      </c>
      <c r="Q646" s="77" t="str">
        <f>VLOOKUP(J646,'p1'!$B$2:$C$30,2,0)</f>
        <v>NÃO TEM CHAPA</v>
      </c>
      <c r="R646" s="91"/>
      <c r="S646" s="91"/>
      <c r="T646" s="91" t="str">
        <f t="shared" si="42"/>
        <v/>
      </c>
      <c r="U646" s="91"/>
      <c r="V646" s="91"/>
      <c r="W646" s="93"/>
      <c r="X646" s="94" t="str">
        <f t="shared" si="43"/>
        <v/>
      </c>
      <c r="Y646"/>
    </row>
    <row r="647" spans="1:25">
      <c r="A647" s="90">
        <v>646</v>
      </c>
      <c r="B647" s="68"/>
      <c r="C647" s="40"/>
      <c r="D647" s="40" t="str">
        <f t="shared" si="40"/>
        <v/>
      </c>
      <c r="E647" s="66" t="s">
        <v>172</v>
      </c>
      <c r="F647" s="17" t="s">
        <v>58</v>
      </c>
      <c r="G647" s="17" t="s">
        <v>86</v>
      </c>
      <c r="H647" s="42" t="s">
        <v>883</v>
      </c>
      <c r="I647" s="17" t="str">
        <f t="shared" si="41"/>
        <v>PN-646</v>
      </c>
      <c r="J647" s="18" t="s">
        <v>85</v>
      </c>
      <c r="K647" s="19" t="e">
        <f>IF(J647="","SEM #CH",VLOOKUP(J647,#REF!,2,0))</f>
        <v>#REF!</v>
      </c>
      <c r="L647" s="19" t="e">
        <f>IF(J647="","SEM #CH",VLOOKUP(J647,#REF!,3,0))</f>
        <v>#REF!</v>
      </c>
      <c r="M647" s="19" t="e">
        <f>IF(J647="","SEM #CH",VLOOKUP(J647,#REF!,4,0))</f>
        <v>#REF!</v>
      </c>
      <c r="N647" s="19" t="e">
        <f>IF(J647="","SEM #CH",VLOOKUP(J647,#REF!,5,0))</f>
        <v>#REF!</v>
      </c>
      <c r="O647" s="19" t="e">
        <f>IF(J647="","SEM #CH",VLOOKUP(J647,#REF!,6,0))</f>
        <v>#REF!</v>
      </c>
      <c r="P647" s="19" t="e">
        <f>IF(J647="","SEM #CH",VLOOKUP(J647,#REF!,7,0))</f>
        <v>#REF!</v>
      </c>
      <c r="Q647" s="77" t="str">
        <f>VLOOKUP(J647,'p1'!$B$2:$C$30,2,0)</f>
        <v>NÃO TEM CHAPA</v>
      </c>
      <c r="R647" s="91"/>
      <c r="S647" s="91"/>
      <c r="T647" s="91" t="str">
        <f t="shared" si="42"/>
        <v/>
      </c>
      <c r="U647" s="91"/>
      <c r="V647" s="91"/>
      <c r="W647" s="93"/>
      <c r="X647" s="94" t="str">
        <f t="shared" si="43"/>
        <v/>
      </c>
      <c r="Y647"/>
    </row>
    <row r="648" spans="1:25">
      <c r="A648" s="90">
        <v>647</v>
      </c>
      <c r="B648" s="68"/>
      <c r="C648" s="40"/>
      <c r="D648" s="40" t="str">
        <f t="shared" si="40"/>
        <v/>
      </c>
      <c r="E648" s="66" t="s">
        <v>172</v>
      </c>
      <c r="F648" s="17" t="s">
        <v>58</v>
      </c>
      <c r="G648" s="17" t="s">
        <v>86</v>
      </c>
      <c r="H648" s="42" t="s">
        <v>884</v>
      </c>
      <c r="I648" s="17" t="str">
        <f t="shared" si="41"/>
        <v>PN-647</v>
      </c>
      <c r="J648" s="18" t="s">
        <v>85</v>
      </c>
      <c r="K648" s="19" t="e">
        <f>IF(J648="","SEM #CH",VLOOKUP(J648,#REF!,2,0))</f>
        <v>#REF!</v>
      </c>
      <c r="L648" s="19" t="e">
        <f>IF(J648="","SEM #CH",VLOOKUP(J648,#REF!,3,0))</f>
        <v>#REF!</v>
      </c>
      <c r="M648" s="19" t="e">
        <f>IF(J648="","SEM #CH",VLOOKUP(J648,#REF!,4,0))</f>
        <v>#REF!</v>
      </c>
      <c r="N648" s="19" t="e">
        <f>IF(J648="","SEM #CH",VLOOKUP(J648,#REF!,5,0))</f>
        <v>#REF!</v>
      </c>
      <c r="O648" s="19" t="e">
        <f>IF(J648="","SEM #CH",VLOOKUP(J648,#REF!,6,0))</f>
        <v>#REF!</v>
      </c>
      <c r="P648" s="19" t="e">
        <f>IF(J648="","SEM #CH",VLOOKUP(J648,#REF!,7,0))</f>
        <v>#REF!</v>
      </c>
      <c r="Q648" s="77" t="str">
        <f>VLOOKUP(J648,'p1'!$B$2:$C$30,2,0)</f>
        <v>NÃO TEM CHAPA</v>
      </c>
      <c r="R648" s="91"/>
      <c r="S648" s="91"/>
      <c r="T648" s="91" t="str">
        <f t="shared" si="42"/>
        <v/>
      </c>
      <c r="U648" s="91"/>
      <c r="V648" s="91"/>
      <c r="W648" s="93"/>
      <c r="X648" s="94" t="str">
        <f t="shared" si="43"/>
        <v/>
      </c>
      <c r="Y648"/>
    </row>
    <row r="649" spans="1:25">
      <c r="A649" s="90">
        <v>648</v>
      </c>
      <c r="B649" s="68"/>
      <c r="C649" s="40"/>
      <c r="D649" s="40" t="str">
        <f t="shared" si="40"/>
        <v/>
      </c>
      <c r="E649" s="66" t="s">
        <v>172</v>
      </c>
      <c r="F649" s="17" t="s">
        <v>58</v>
      </c>
      <c r="G649" s="17" t="s">
        <v>86</v>
      </c>
      <c r="H649" s="42" t="s">
        <v>885</v>
      </c>
      <c r="I649" s="17" t="str">
        <f t="shared" si="41"/>
        <v>PN-648</v>
      </c>
      <c r="J649" s="18" t="s">
        <v>85</v>
      </c>
      <c r="K649" s="19" t="e">
        <f>IF(J649="","SEM #CH",VLOOKUP(J649,#REF!,2,0))</f>
        <v>#REF!</v>
      </c>
      <c r="L649" s="19" t="e">
        <f>IF(J649="","SEM #CH",VLOOKUP(J649,#REF!,3,0))</f>
        <v>#REF!</v>
      </c>
      <c r="M649" s="19" t="e">
        <f>IF(J649="","SEM #CH",VLOOKUP(J649,#REF!,4,0))</f>
        <v>#REF!</v>
      </c>
      <c r="N649" s="19" t="e">
        <f>IF(J649="","SEM #CH",VLOOKUP(J649,#REF!,5,0))</f>
        <v>#REF!</v>
      </c>
      <c r="O649" s="19" t="e">
        <f>IF(J649="","SEM #CH",VLOOKUP(J649,#REF!,6,0))</f>
        <v>#REF!</v>
      </c>
      <c r="P649" s="19" t="e">
        <f>IF(J649="","SEM #CH",VLOOKUP(J649,#REF!,7,0))</f>
        <v>#REF!</v>
      </c>
      <c r="Q649" s="77" t="str">
        <f>VLOOKUP(J649,'p1'!$B$2:$C$30,2,0)</f>
        <v>NÃO TEM CHAPA</v>
      </c>
      <c r="R649" s="91"/>
      <c r="S649" s="91"/>
      <c r="T649" s="91" t="str">
        <f t="shared" si="42"/>
        <v/>
      </c>
      <c r="U649" s="91"/>
      <c r="V649" s="91"/>
      <c r="W649" s="93"/>
      <c r="X649" s="94" t="str">
        <f t="shared" si="43"/>
        <v/>
      </c>
      <c r="Y649"/>
    </row>
    <row r="650" spans="1:25">
      <c r="A650" s="90">
        <v>649</v>
      </c>
      <c r="B650" s="68"/>
      <c r="C650" s="40"/>
      <c r="D650" s="40" t="str">
        <f t="shared" si="40"/>
        <v/>
      </c>
      <c r="E650" s="66" t="s">
        <v>172</v>
      </c>
      <c r="F650" s="17" t="s">
        <v>58</v>
      </c>
      <c r="G650" s="17" t="s">
        <v>86</v>
      </c>
      <c r="H650" s="42" t="s">
        <v>886</v>
      </c>
      <c r="I650" s="17" t="str">
        <f t="shared" si="41"/>
        <v>PN-649</v>
      </c>
      <c r="J650" s="18" t="s">
        <v>85</v>
      </c>
      <c r="K650" s="19" t="e">
        <f>IF(J650="","SEM #CH",VLOOKUP(J650,#REF!,2,0))</f>
        <v>#REF!</v>
      </c>
      <c r="L650" s="19" t="e">
        <f>IF(J650="","SEM #CH",VLOOKUP(J650,#REF!,3,0))</f>
        <v>#REF!</v>
      </c>
      <c r="M650" s="19" t="e">
        <f>IF(J650="","SEM #CH",VLOOKUP(J650,#REF!,4,0))</f>
        <v>#REF!</v>
      </c>
      <c r="N650" s="19" t="e">
        <f>IF(J650="","SEM #CH",VLOOKUP(J650,#REF!,5,0))</f>
        <v>#REF!</v>
      </c>
      <c r="O650" s="19" t="e">
        <f>IF(J650="","SEM #CH",VLOOKUP(J650,#REF!,6,0))</f>
        <v>#REF!</v>
      </c>
      <c r="P650" s="19" t="e">
        <f>IF(J650="","SEM #CH",VLOOKUP(J650,#REF!,7,0))</f>
        <v>#REF!</v>
      </c>
      <c r="Q650" s="77" t="str">
        <f>VLOOKUP(J650,'p1'!$B$2:$C$30,2,0)</f>
        <v>NÃO TEM CHAPA</v>
      </c>
      <c r="R650" s="91"/>
      <c r="S650" s="91"/>
      <c r="T650" s="91" t="str">
        <f t="shared" si="42"/>
        <v/>
      </c>
      <c r="U650" s="91"/>
      <c r="V650" s="91"/>
      <c r="W650" s="93"/>
      <c r="X650" s="94" t="str">
        <f t="shared" si="43"/>
        <v/>
      </c>
      <c r="Y650"/>
    </row>
    <row r="651" spans="1:25">
      <c r="A651" s="90">
        <v>650</v>
      </c>
      <c r="B651" s="68"/>
      <c r="C651" s="40"/>
      <c r="D651" s="40" t="str">
        <f t="shared" si="40"/>
        <v/>
      </c>
      <c r="E651" s="66" t="s">
        <v>172</v>
      </c>
      <c r="F651" s="17" t="s">
        <v>58</v>
      </c>
      <c r="G651" s="17" t="s">
        <v>86</v>
      </c>
      <c r="H651" s="42" t="s">
        <v>887</v>
      </c>
      <c r="I651" s="17" t="str">
        <f t="shared" si="41"/>
        <v>PN-650</v>
      </c>
      <c r="J651" s="18" t="s">
        <v>85</v>
      </c>
      <c r="K651" s="19" t="e">
        <f>IF(J651="","SEM #CH",VLOOKUP(J651,#REF!,2,0))</f>
        <v>#REF!</v>
      </c>
      <c r="L651" s="19" t="e">
        <f>IF(J651="","SEM #CH",VLOOKUP(J651,#REF!,3,0))</f>
        <v>#REF!</v>
      </c>
      <c r="M651" s="19" t="e">
        <f>IF(J651="","SEM #CH",VLOOKUP(J651,#REF!,4,0))</f>
        <v>#REF!</v>
      </c>
      <c r="N651" s="19" t="e">
        <f>IF(J651="","SEM #CH",VLOOKUP(J651,#REF!,5,0))</f>
        <v>#REF!</v>
      </c>
      <c r="O651" s="19" t="e">
        <f>IF(J651="","SEM #CH",VLOOKUP(J651,#REF!,6,0))</f>
        <v>#REF!</v>
      </c>
      <c r="P651" s="19" t="e">
        <f>IF(J651="","SEM #CH",VLOOKUP(J651,#REF!,7,0))</f>
        <v>#REF!</v>
      </c>
      <c r="Q651" s="77" t="str">
        <f>VLOOKUP(J651,'p1'!$B$2:$C$30,2,0)</f>
        <v>NÃO TEM CHAPA</v>
      </c>
      <c r="R651" s="91"/>
      <c r="S651" s="91"/>
      <c r="T651" s="91" t="str">
        <f t="shared" si="42"/>
        <v/>
      </c>
      <c r="U651" s="91"/>
      <c r="V651" s="91"/>
      <c r="W651" s="93"/>
      <c r="X651" s="94" t="str">
        <f t="shared" si="43"/>
        <v/>
      </c>
      <c r="Y651"/>
    </row>
    <row r="652" spans="1:25">
      <c r="A652" s="90">
        <v>651</v>
      </c>
      <c r="B652" s="68"/>
      <c r="C652" s="40"/>
      <c r="D652" s="40" t="str">
        <f t="shared" si="40"/>
        <v/>
      </c>
      <c r="E652" s="66" t="s">
        <v>172</v>
      </c>
      <c r="F652" s="17" t="s">
        <v>58</v>
      </c>
      <c r="G652" s="17" t="s">
        <v>86</v>
      </c>
      <c r="H652" s="42" t="s">
        <v>888</v>
      </c>
      <c r="I652" s="17" t="str">
        <f t="shared" si="41"/>
        <v>PN-651</v>
      </c>
      <c r="J652" s="18" t="s">
        <v>85</v>
      </c>
      <c r="K652" s="19" t="e">
        <f>IF(J652="","SEM #CH",VLOOKUP(J652,#REF!,2,0))</f>
        <v>#REF!</v>
      </c>
      <c r="L652" s="19" t="e">
        <f>IF(J652="","SEM #CH",VLOOKUP(J652,#REF!,3,0))</f>
        <v>#REF!</v>
      </c>
      <c r="M652" s="19" t="e">
        <f>IF(J652="","SEM #CH",VLOOKUP(J652,#REF!,4,0))</f>
        <v>#REF!</v>
      </c>
      <c r="N652" s="19" t="e">
        <f>IF(J652="","SEM #CH",VLOOKUP(J652,#REF!,5,0))</f>
        <v>#REF!</v>
      </c>
      <c r="O652" s="19" t="e">
        <f>IF(J652="","SEM #CH",VLOOKUP(J652,#REF!,6,0))</f>
        <v>#REF!</v>
      </c>
      <c r="P652" s="19" t="e">
        <f>IF(J652="","SEM #CH",VLOOKUP(J652,#REF!,7,0))</f>
        <v>#REF!</v>
      </c>
      <c r="Q652" s="77" t="str">
        <f>VLOOKUP(J652,'p1'!$B$2:$C$30,2,0)</f>
        <v>NÃO TEM CHAPA</v>
      </c>
      <c r="R652" s="91"/>
      <c r="S652" s="91"/>
      <c r="T652" s="91" t="str">
        <f t="shared" si="42"/>
        <v/>
      </c>
      <c r="U652" s="91"/>
      <c r="V652" s="91"/>
      <c r="W652" s="93"/>
      <c r="X652" s="94" t="str">
        <f t="shared" si="43"/>
        <v/>
      </c>
      <c r="Y652"/>
    </row>
    <row r="653" spans="1:25">
      <c r="A653" s="90">
        <v>652</v>
      </c>
      <c r="B653" s="68"/>
      <c r="C653" s="40"/>
      <c r="D653" s="40" t="str">
        <f t="shared" si="40"/>
        <v/>
      </c>
      <c r="E653" s="66" t="s">
        <v>172</v>
      </c>
      <c r="F653" s="17" t="s">
        <v>61</v>
      </c>
      <c r="G653" s="17" t="s">
        <v>86</v>
      </c>
      <c r="H653" s="42" t="s">
        <v>889</v>
      </c>
      <c r="I653" s="17" t="str">
        <f t="shared" si="41"/>
        <v>PF-652</v>
      </c>
      <c r="J653" s="18" t="s">
        <v>61</v>
      </c>
      <c r="K653" s="19" t="e">
        <f>IF(J653="","SEM #CH",VLOOKUP(J653,#REF!,2,0))</f>
        <v>#REF!</v>
      </c>
      <c r="L653" s="19" t="e">
        <f>IF(J653="","SEM #CH",VLOOKUP(J653,#REF!,3,0))</f>
        <v>#REF!</v>
      </c>
      <c r="M653" s="19" t="e">
        <f>IF(J653="","SEM #CH",VLOOKUP(J653,#REF!,4,0))</f>
        <v>#REF!</v>
      </c>
      <c r="N653" s="19" t="e">
        <f>IF(J653="","SEM #CH",VLOOKUP(J653,#REF!,5,0))</f>
        <v>#REF!</v>
      </c>
      <c r="O653" s="19" t="e">
        <f>IF(J653="","SEM #CH",VLOOKUP(J653,#REF!,6,0))</f>
        <v>#REF!</v>
      </c>
      <c r="P653" s="19" t="e">
        <f>IF(J653="","SEM #CH",VLOOKUP(J653,#REF!,7,0))</f>
        <v>#REF!</v>
      </c>
      <c r="Q653" s="77" t="str">
        <f>VLOOKUP(J653,'p1'!$B$2:$C$30,2,0)</f>
        <v>SEM CHAPA</v>
      </c>
      <c r="R653" s="91"/>
      <c r="S653" s="91"/>
      <c r="T653" s="91" t="str">
        <f t="shared" si="42"/>
        <v/>
      </c>
      <c r="U653" s="91"/>
      <c r="V653" s="91"/>
      <c r="W653" s="93"/>
      <c r="X653" s="94" t="str">
        <f t="shared" si="43"/>
        <v/>
      </c>
      <c r="Y653"/>
    </row>
    <row r="654" spans="1:25">
      <c r="A654" s="90">
        <v>653</v>
      </c>
      <c r="B654" s="68"/>
      <c r="C654" s="40"/>
      <c r="D654" s="40" t="str">
        <f t="shared" si="40"/>
        <v/>
      </c>
      <c r="E654" s="66" t="s">
        <v>172</v>
      </c>
      <c r="F654" s="17" t="s">
        <v>58</v>
      </c>
      <c r="G654" s="17" t="s">
        <v>86</v>
      </c>
      <c r="H654" s="42" t="s">
        <v>890</v>
      </c>
      <c r="I654" s="17" t="str">
        <f t="shared" si="41"/>
        <v>PN-653</v>
      </c>
      <c r="J654" s="18" t="s">
        <v>85</v>
      </c>
      <c r="K654" s="19" t="e">
        <f>IF(J654="","SEM #CH",VLOOKUP(J654,#REF!,2,0))</f>
        <v>#REF!</v>
      </c>
      <c r="L654" s="19" t="e">
        <f>IF(J654="","SEM #CH",VLOOKUP(J654,#REF!,3,0))</f>
        <v>#REF!</v>
      </c>
      <c r="M654" s="19" t="e">
        <f>IF(J654="","SEM #CH",VLOOKUP(J654,#REF!,4,0))</f>
        <v>#REF!</v>
      </c>
      <c r="N654" s="19" t="e">
        <f>IF(J654="","SEM #CH",VLOOKUP(J654,#REF!,5,0))</f>
        <v>#REF!</v>
      </c>
      <c r="O654" s="19" t="e">
        <f>IF(J654="","SEM #CH",VLOOKUP(J654,#REF!,6,0))</f>
        <v>#REF!</v>
      </c>
      <c r="P654" s="19" t="e">
        <f>IF(J654="","SEM #CH",VLOOKUP(J654,#REF!,7,0))</f>
        <v>#REF!</v>
      </c>
      <c r="Q654" s="77" t="str">
        <f>VLOOKUP(J654,'p1'!$B$2:$C$30,2,0)</f>
        <v>NÃO TEM CHAPA</v>
      </c>
      <c r="R654" s="91"/>
      <c r="S654" s="91"/>
      <c r="T654" s="91" t="str">
        <f t="shared" si="42"/>
        <v/>
      </c>
      <c r="U654" s="91"/>
      <c r="V654" s="91"/>
      <c r="W654" s="93"/>
      <c r="X654" s="94" t="str">
        <f t="shared" si="43"/>
        <v/>
      </c>
      <c r="Y654"/>
    </row>
    <row r="655" spans="1:25">
      <c r="A655" s="90">
        <v>654</v>
      </c>
      <c r="B655" s="68"/>
      <c r="C655" s="40"/>
      <c r="D655" s="40" t="str">
        <f t="shared" si="40"/>
        <v/>
      </c>
      <c r="E655" s="66" t="s">
        <v>172</v>
      </c>
      <c r="F655" s="17" t="s">
        <v>58</v>
      </c>
      <c r="G655" s="17" t="s">
        <v>86</v>
      </c>
      <c r="H655" s="42" t="s">
        <v>891</v>
      </c>
      <c r="I655" s="17" t="str">
        <f t="shared" si="41"/>
        <v>PN-654</v>
      </c>
      <c r="J655" s="18" t="s">
        <v>85</v>
      </c>
      <c r="K655" s="19" t="e">
        <f>IF(J655="","SEM #CH",VLOOKUP(J655,#REF!,2,0))</f>
        <v>#REF!</v>
      </c>
      <c r="L655" s="19" t="e">
        <f>IF(J655="","SEM #CH",VLOOKUP(J655,#REF!,3,0))</f>
        <v>#REF!</v>
      </c>
      <c r="M655" s="19" t="e">
        <f>IF(J655="","SEM #CH",VLOOKUP(J655,#REF!,4,0))</f>
        <v>#REF!</v>
      </c>
      <c r="N655" s="19" t="e">
        <f>IF(J655="","SEM #CH",VLOOKUP(J655,#REF!,5,0))</f>
        <v>#REF!</v>
      </c>
      <c r="O655" s="19" t="e">
        <f>IF(J655="","SEM #CH",VLOOKUP(J655,#REF!,6,0))</f>
        <v>#REF!</v>
      </c>
      <c r="P655" s="19" t="e">
        <f>IF(J655="","SEM #CH",VLOOKUP(J655,#REF!,7,0))</f>
        <v>#REF!</v>
      </c>
      <c r="Q655" s="77" t="str">
        <f>VLOOKUP(J655,'p1'!$B$2:$C$30,2,0)</f>
        <v>NÃO TEM CHAPA</v>
      </c>
      <c r="R655" s="91"/>
      <c r="S655" s="91"/>
      <c r="T655" s="91" t="str">
        <f t="shared" si="42"/>
        <v/>
      </c>
      <c r="U655" s="91"/>
      <c r="V655" s="91"/>
      <c r="W655" s="93"/>
      <c r="X655" s="94" t="str">
        <f t="shared" si="43"/>
        <v/>
      </c>
      <c r="Y655"/>
    </row>
    <row r="656" spans="1:25">
      <c r="A656" s="90">
        <v>655</v>
      </c>
      <c r="B656" s="68"/>
      <c r="C656" s="40"/>
      <c r="D656" s="40" t="str">
        <f t="shared" si="40"/>
        <v/>
      </c>
      <c r="E656" s="66" t="s">
        <v>172</v>
      </c>
      <c r="F656" s="17" t="s">
        <v>58</v>
      </c>
      <c r="G656" s="17" t="s">
        <v>86</v>
      </c>
      <c r="H656" s="42" t="s">
        <v>892</v>
      </c>
      <c r="I656" s="17" t="str">
        <f t="shared" si="41"/>
        <v>PN-655</v>
      </c>
      <c r="J656" s="18" t="s">
        <v>85</v>
      </c>
      <c r="K656" s="19" t="e">
        <f>IF(J656="","SEM #CH",VLOOKUP(J656,#REF!,2,0))</f>
        <v>#REF!</v>
      </c>
      <c r="L656" s="19" t="e">
        <f>IF(J656="","SEM #CH",VLOOKUP(J656,#REF!,3,0))</f>
        <v>#REF!</v>
      </c>
      <c r="M656" s="19" t="e">
        <f>IF(J656="","SEM #CH",VLOOKUP(J656,#REF!,4,0))</f>
        <v>#REF!</v>
      </c>
      <c r="N656" s="19" t="e">
        <f>IF(J656="","SEM #CH",VLOOKUP(J656,#REF!,5,0))</f>
        <v>#REF!</v>
      </c>
      <c r="O656" s="19" t="e">
        <f>IF(J656="","SEM #CH",VLOOKUP(J656,#REF!,6,0))</f>
        <v>#REF!</v>
      </c>
      <c r="P656" s="19" t="e">
        <f>IF(J656="","SEM #CH",VLOOKUP(J656,#REF!,7,0))</f>
        <v>#REF!</v>
      </c>
      <c r="Q656" s="77" t="str">
        <f>VLOOKUP(J656,'p1'!$B$2:$C$30,2,0)</f>
        <v>NÃO TEM CHAPA</v>
      </c>
      <c r="R656" s="91"/>
      <c r="S656" s="91"/>
      <c r="T656" s="91" t="str">
        <f t="shared" si="42"/>
        <v/>
      </c>
      <c r="U656" s="91"/>
      <c r="V656" s="91"/>
      <c r="W656" s="93"/>
      <c r="X656" s="94" t="str">
        <f t="shared" si="43"/>
        <v/>
      </c>
      <c r="Y656"/>
    </row>
    <row r="657" spans="1:25">
      <c r="A657" s="90">
        <v>656</v>
      </c>
      <c r="B657" s="68"/>
      <c r="C657" s="40"/>
      <c r="D657" s="40" t="str">
        <f t="shared" si="40"/>
        <v/>
      </c>
      <c r="E657" s="66" t="s">
        <v>172</v>
      </c>
      <c r="F657" s="17" t="s">
        <v>58</v>
      </c>
      <c r="G657" s="17" t="s">
        <v>86</v>
      </c>
      <c r="H657" s="42" t="s">
        <v>893</v>
      </c>
      <c r="I657" s="17" t="str">
        <f t="shared" si="41"/>
        <v>PN-656</v>
      </c>
      <c r="J657" s="18" t="s">
        <v>85</v>
      </c>
      <c r="K657" s="19" t="e">
        <f>IF(J657="","SEM #CH",VLOOKUP(J657,#REF!,2,0))</f>
        <v>#REF!</v>
      </c>
      <c r="L657" s="19" t="e">
        <f>IF(J657="","SEM #CH",VLOOKUP(J657,#REF!,3,0))</f>
        <v>#REF!</v>
      </c>
      <c r="M657" s="19" t="e">
        <f>IF(J657="","SEM #CH",VLOOKUP(J657,#REF!,4,0))</f>
        <v>#REF!</v>
      </c>
      <c r="N657" s="19" t="e">
        <f>IF(J657="","SEM #CH",VLOOKUP(J657,#REF!,5,0))</f>
        <v>#REF!</v>
      </c>
      <c r="O657" s="19" t="e">
        <f>IF(J657="","SEM #CH",VLOOKUP(J657,#REF!,6,0))</f>
        <v>#REF!</v>
      </c>
      <c r="P657" s="19" t="e">
        <f>IF(J657="","SEM #CH",VLOOKUP(J657,#REF!,7,0))</f>
        <v>#REF!</v>
      </c>
      <c r="Q657" s="77" t="str">
        <f>VLOOKUP(J657,'p1'!$B$2:$C$30,2,0)</f>
        <v>NÃO TEM CHAPA</v>
      </c>
      <c r="R657" s="91"/>
      <c r="S657" s="91"/>
      <c r="T657" s="91" t="str">
        <f t="shared" si="42"/>
        <v/>
      </c>
      <c r="U657" s="91"/>
      <c r="V657" s="91"/>
      <c r="W657" s="93"/>
      <c r="X657" s="94" t="str">
        <f t="shared" si="43"/>
        <v/>
      </c>
      <c r="Y657"/>
    </row>
    <row r="658" spans="1:25">
      <c r="A658" s="90">
        <v>657</v>
      </c>
      <c r="B658" s="68"/>
      <c r="C658" s="40"/>
      <c r="D658" s="40" t="str">
        <f t="shared" si="40"/>
        <v/>
      </c>
      <c r="E658" s="66" t="s">
        <v>172</v>
      </c>
      <c r="F658" s="17" t="s">
        <v>58</v>
      </c>
      <c r="G658" s="17" t="s">
        <v>86</v>
      </c>
      <c r="H658" s="42" t="s">
        <v>894</v>
      </c>
      <c r="I658" s="17" t="str">
        <f t="shared" si="41"/>
        <v>PN-657</v>
      </c>
      <c r="J658" s="18" t="s">
        <v>85</v>
      </c>
      <c r="K658" s="19" t="e">
        <f>IF(J658="","SEM #CH",VLOOKUP(J658,#REF!,2,0))</f>
        <v>#REF!</v>
      </c>
      <c r="L658" s="19" t="e">
        <f>IF(J658="","SEM #CH",VLOOKUP(J658,#REF!,3,0))</f>
        <v>#REF!</v>
      </c>
      <c r="M658" s="19" t="e">
        <f>IF(J658="","SEM #CH",VLOOKUP(J658,#REF!,4,0))</f>
        <v>#REF!</v>
      </c>
      <c r="N658" s="19" t="e">
        <f>IF(J658="","SEM #CH",VLOOKUP(J658,#REF!,5,0))</f>
        <v>#REF!</v>
      </c>
      <c r="O658" s="19" t="e">
        <f>IF(J658="","SEM #CH",VLOOKUP(J658,#REF!,6,0))</f>
        <v>#REF!</v>
      </c>
      <c r="P658" s="19" t="e">
        <f>IF(J658="","SEM #CH",VLOOKUP(J658,#REF!,7,0))</f>
        <v>#REF!</v>
      </c>
      <c r="Q658" s="77" t="str">
        <f>VLOOKUP(J658,'p1'!$B$2:$C$30,2,0)</f>
        <v>NÃO TEM CHAPA</v>
      </c>
      <c r="R658" s="91"/>
      <c r="S658" s="91"/>
      <c r="T658" s="91" t="str">
        <f t="shared" si="42"/>
        <v/>
      </c>
      <c r="U658" s="91"/>
      <c r="V658" s="91"/>
      <c r="W658" s="93"/>
      <c r="X658" s="94" t="str">
        <f t="shared" si="43"/>
        <v/>
      </c>
      <c r="Y658"/>
    </row>
    <row r="659" spans="1:25">
      <c r="A659" s="90">
        <v>658</v>
      </c>
      <c r="B659" s="68"/>
      <c r="C659" s="40"/>
      <c r="D659" s="40" t="str">
        <f t="shared" si="40"/>
        <v/>
      </c>
      <c r="E659" s="66" t="s">
        <v>172</v>
      </c>
      <c r="F659" s="17" t="s">
        <v>60</v>
      </c>
      <c r="G659" s="17" t="s">
        <v>86</v>
      </c>
      <c r="H659" s="42" t="s">
        <v>895</v>
      </c>
      <c r="I659" s="17" t="str">
        <f t="shared" si="41"/>
        <v>PE-658</v>
      </c>
      <c r="J659" s="18" t="s">
        <v>88</v>
      </c>
      <c r="K659" s="19" t="e">
        <f>IF(J659="","SEM #CH",VLOOKUP(J659,#REF!,2,0))</f>
        <v>#REF!</v>
      </c>
      <c r="L659" s="19" t="e">
        <f>IF(J659="","SEM #CH",VLOOKUP(J659,#REF!,3,0))</f>
        <v>#REF!</v>
      </c>
      <c r="M659" s="19" t="e">
        <f>IF(J659="","SEM #CH",VLOOKUP(J659,#REF!,4,0))</f>
        <v>#REF!</v>
      </c>
      <c r="N659" s="19" t="e">
        <f>IF(J659="","SEM #CH",VLOOKUP(J659,#REF!,5,0))</f>
        <v>#REF!</v>
      </c>
      <c r="O659" s="19" t="e">
        <f>IF(J659="","SEM #CH",VLOOKUP(J659,#REF!,6,0))</f>
        <v>#REF!</v>
      </c>
      <c r="P659" s="19" t="e">
        <f>IF(J659="","SEM #CH",VLOOKUP(J659,#REF!,7,0))</f>
        <v>#REF!</v>
      </c>
      <c r="Q659" s="77" t="str">
        <f>VLOOKUP(J659,'p1'!$B$2:$C$30,2,0)</f>
        <v>#3/8-1315X1315</v>
      </c>
      <c r="R659" s="91"/>
      <c r="S659" s="91"/>
      <c r="T659" s="91" t="str">
        <f t="shared" si="42"/>
        <v/>
      </c>
      <c r="U659" s="91"/>
      <c r="V659" s="91"/>
      <c r="W659" s="93"/>
      <c r="X659" s="94" t="str">
        <f t="shared" si="43"/>
        <v/>
      </c>
      <c r="Y659"/>
    </row>
    <row r="660" spans="1:25">
      <c r="A660" s="90">
        <v>659</v>
      </c>
      <c r="B660" s="68"/>
      <c r="C660" s="40"/>
      <c r="D660" s="40" t="str">
        <f t="shared" si="40"/>
        <v/>
      </c>
      <c r="E660" s="66" t="s">
        <v>172</v>
      </c>
      <c r="F660" s="17" t="s">
        <v>60</v>
      </c>
      <c r="G660" s="17" t="s">
        <v>86</v>
      </c>
      <c r="H660" s="42" t="s">
        <v>896</v>
      </c>
      <c r="I660" s="17" t="str">
        <f t="shared" si="41"/>
        <v>PE-659</v>
      </c>
      <c r="J660" s="18" t="s">
        <v>87</v>
      </c>
      <c r="K660" s="19" t="e">
        <f>IF(J660="","SEM #CH",VLOOKUP(J660,#REF!,2,0))</f>
        <v>#REF!</v>
      </c>
      <c r="L660" s="19" t="e">
        <f>IF(J660="","SEM #CH",VLOOKUP(J660,#REF!,3,0))</f>
        <v>#REF!</v>
      </c>
      <c r="M660" s="19" t="e">
        <f>IF(J660="","SEM #CH",VLOOKUP(J660,#REF!,4,0))</f>
        <v>#REF!</v>
      </c>
      <c r="N660" s="19" t="e">
        <f>IF(J660="","SEM #CH",VLOOKUP(J660,#REF!,5,0))</f>
        <v>#REF!</v>
      </c>
      <c r="O660" s="19" t="e">
        <f>IF(J660="","SEM #CH",VLOOKUP(J660,#REF!,6,0))</f>
        <v>#REF!</v>
      </c>
      <c r="P660" s="19" t="e">
        <f>IF(J660="","SEM #CH",VLOOKUP(J660,#REF!,7,0))</f>
        <v>#REF!</v>
      </c>
      <c r="Q660" s="77" t="str">
        <f>VLOOKUP(J660,'p1'!$B$2:$C$30,2,0)</f>
        <v>#3/8-1620X1620</v>
      </c>
      <c r="R660" s="91"/>
      <c r="S660" s="91"/>
      <c r="T660" s="91" t="str">
        <f t="shared" si="42"/>
        <v/>
      </c>
      <c r="U660" s="91"/>
      <c r="V660" s="91"/>
      <c r="W660" s="93"/>
      <c r="X660" s="94" t="str">
        <f t="shared" si="43"/>
        <v/>
      </c>
      <c r="Y660"/>
    </row>
    <row r="661" spans="1:25">
      <c r="A661" s="90">
        <v>660</v>
      </c>
      <c r="B661" s="68"/>
      <c r="C661" s="40"/>
      <c r="D661" s="40" t="str">
        <f t="shared" si="40"/>
        <v/>
      </c>
      <c r="E661" s="66" t="s">
        <v>172</v>
      </c>
      <c r="F661" s="17" t="s">
        <v>60</v>
      </c>
      <c r="G661" s="17" t="s">
        <v>86</v>
      </c>
      <c r="H661" s="42" t="s">
        <v>897</v>
      </c>
      <c r="I661" s="17" t="str">
        <f t="shared" si="41"/>
        <v>PE-660</v>
      </c>
      <c r="J661" s="18" t="s">
        <v>89</v>
      </c>
      <c r="K661" s="19" t="e">
        <f>IF(J661="","SEM #CH",VLOOKUP(J661,#REF!,2,0))</f>
        <v>#REF!</v>
      </c>
      <c r="L661" s="19" t="e">
        <f>IF(J661="","SEM #CH",VLOOKUP(J661,#REF!,3,0))</f>
        <v>#REF!</v>
      </c>
      <c r="M661" s="19" t="e">
        <f>IF(J661="","SEM #CH",VLOOKUP(J661,#REF!,4,0))</f>
        <v>#REF!</v>
      </c>
      <c r="N661" s="19" t="e">
        <f>IF(J661="","SEM #CH",VLOOKUP(J661,#REF!,5,0))</f>
        <v>#REF!</v>
      </c>
      <c r="O661" s="19" t="e">
        <f>IF(J661="","SEM #CH",VLOOKUP(J661,#REF!,6,0))</f>
        <v>#REF!</v>
      </c>
      <c r="P661" s="19" t="e">
        <f>IF(J661="","SEM #CH",VLOOKUP(J661,#REF!,7,0))</f>
        <v>#REF!</v>
      </c>
      <c r="Q661" s="77" t="str">
        <f>VLOOKUP(J661,'p1'!$B$2:$C$30,2,0)</f>
        <v>#3/8-1200X1200</v>
      </c>
      <c r="R661" s="91"/>
      <c r="S661" s="91"/>
      <c r="T661" s="91" t="str">
        <f t="shared" si="42"/>
        <v/>
      </c>
      <c r="U661" s="91"/>
      <c r="V661" s="91"/>
      <c r="W661" s="93"/>
      <c r="X661" s="94" t="str">
        <f t="shared" si="43"/>
        <v/>
      </c>
      <c r="Y661"/>
    </row>
    <row r="662" spans="1:25">
      <c r="A662" s="90">
        <v>661</v>
      </c>
      <c r="B662" s="68"/>
      <c r="C662" s="40"/>
      <c r="D662" s="40" t="str">
        <f t="shared" si="40"/>
        <v/>
      </c>
      <c r="E662" s="66" t="s">
        <v>172</v>
      </c>
      <c r="F662" s="17" t="s">
        <v>58</v>
      </c>
      <c r="G662" s="17" t="s">
        <v>86</v>
      </c>
      <c r="H662" s="42" t="s">
        <v>898</v>
      </c>
      <c r="I662" s="17" t="str">
        <f t="shared" si="41"/>
        <v>PN-661</v>
      </c>
      <c r="J662" s="18" t="s">
        <v>85</v>
      </c>
      <c r="K662" s="19" t="e">
        <f>IF(J662="","SEM #CH",VLOOKUP(J662,#REF!,2,0))</f>
        <v>#REF!</v>
      </c>
      <c r="L662" s="19" t="e">
        <f>IF(J662="","SEM #CH",VLOOKUP(J662,#REF!,3,0))</f>
        <v>#REF!</v>
      </c>
      <c r="M662" s="19" t="e">
        <f>IF(J662="","SEM #CH",VLOOKUP(J662,#REF!,4,0))</f>
        <v>#REF!</v>
      </c>
      <c r="N662" s="19" t="e">
        <f>IF(J662="","SEM #CH",VLOOKUP(J662,#REF!,5,0))</f>
        <v>#REF!</v>
      </c>
      <c r="O662" s="19" t="e">
        <f>IF(J662="","SEM #CH",VLOOKUP(J662,#REF!,6,0))</f>
        <v>#REF!</v>
      </c>
      <c r="P662" s="19" t="e">
        <f>IF(J662="","SEM #CH",VLOOKUP(J662,#REF!,7,0))</f>
        <v>#REF!</v>
      </c>
      <c r="Q662" s="77" t="str">
        <f>VLOOKUP(J662,'p1'!$B$2:$C$30,2,0)</f>
        <v>NÃO TEM CHAPA</v>
      </c>
      <c r="R662" s="91"/>
      <c r="S662" s="91"/>
      <c r="T662" s="91" t="str">
        <f t="shared" si="42"/>
        <v/>
      </c>
      <c r="U662" s="91"/>
      <c r="V662" s="91"/>
      <c r="W662" s="93"/>
      <c r="X662" s="94" t="str">
        <f t="shared" si="43"/>
        <v/>
      </c>
      <c r="Y662"/>
    </row>
    <row r="663" spans="1:25">
      <c r="A663" s="90">
        <v>662</v>
      </c>
      <c r="B663" s="68"/>
      <c r="C663" s="40"/>
      <c r="D663" s="40" t="str">
        <f t="shared" si="40"/>
        <v/>
      </c>
      <c r="E663" s="66" t="s">
        <v>172</v>
      </c>
      <c r="F663" s="17" t="s">
        <v>58</v>
      </c>
      <c r="G663" s="17" t="s">
        <v>86</v>
      </c>
      <c r="H663" s="42" t="s">
        <v>899</v>
      </c>
      <c r="I663" s="17" t="str">
        <f t="shared" si="41"/>
        <v>PN-662</v>
      </c>
      <c r="J663" s="18" t="s">
        <v>85</v>
      </c>
      <c r="K663" s="19" t="e">
        <f>IF(J663="","SEM #CH",VLOOKUP(J663,#REF!,2,0))</f>
        <v>#REF!</v>
      </c>
      <c r="L663" s="19" t="e">
        <f>IF(J663="","SEM #CH",VLOOKUP(J663,#REF!,3,0))</f>
        <v>#REF!</v>
      </c>
      <c r="M663" s="19" t="e">
        <f>IF(J663="","SEM #CH",VLOOKUP(J663,#REF!,4,0))</f>
        <v>#REF!</v>
      </c>
      <c r="N663" s="19" t="e">
        <f>IF(J663="","SEM #CH",VLOOKUP(J663,#REF!,5,0))</f>
        <v>#REF!</v>
      </c>
      <c r="O663" s="19" t="e">
        <f>IF(J663="","SEM #CH",VLOOKUP(J663,#REF!,6,0))</f>
        <v>#REF!</v>
      </c>
      <c r="P663" s="19" t="e">
        <f>IF(J663="","SEM #CH",VLOOKUP(J663,#REF!,7,0))</f>
        <v>#REF!</v>
      </c>
      <c r="Q663" s="77" t="str">
        <f>VLOOKUP(J663,'p1'!$B$2:$C$30,2,0)</f>
        <v>NÃO TEM CHAPA</v>
      </c>
      <c r="R663" s="91"/>
      <c r="S663" s="91"/>
      <c r="T663" s="91" t="str">
        <f t="shared" si="42"/>
        <v/>
      </c>
      <c r="U663" s="91"/>
      <c r="V663" s="91"/>
      <c r="W663" s="93"/>
      <c r="X663" s="94" t="str">
        <f t="shared" si="43"/>
        <v/>
      </c>
      <c r="Y663"/>
    </row>
    <row r="664" spans="1:25">
      <c r="A664" s="90">
        <v>663</v>
      </c>
      <c r="B664" s="68"/>
      <c r="C664" s="40"/>
      <c r="D664" s="40" t="str">
        <f t="shared" si="40"/>
        <v/>
      </c>
      <c r="E664" s="66" t="s">
        <v>172</v>
      </c>
      <c r="F664" s="17" t="s">
        <v>58</v>
      </c>
      <c r="G664" s="17" t="s">
        <v>86</v>
      </c>
      <c r="H664" s="42" t="s">
        <v>900</v>
      </c>
      <c r="I664" s="17" t="str">
        <f t="shared" si="41"/>
        <v>PN-663</v>
      </c>
      <c r="J664" s="18" t="s">
        <v>85</v>
      </c>
      <c r="K664" s="19" t="e">
        <f>IF(J664="","SEM #CH",VLOOKUP(J664,#REF!,2,0))</f>
        <v>#REF!</v>
      </c>
      <c r="L664" s="19" t="e">
        <f>IF(J664="","SEM #CH",VLOOKUP(J664,#REF!,3,0))</f>
        <v>#REF!</v>
      </c>
      <c r="M664" s="19" t="e">
        <f>IF(J664="","SEM #CH",VLOOKUP(J664,#REF!,4,0))</f>
        <v>#REF!</v>
      </c>
      <c r="N664" s="19" t="e">
        <f>IF(J664="","SEM #CH",VLOOKUP(J664,#REF!,5,0))</f>
        <v>#REF!</v>
      </c>
      <c r="O664" s="19" t="e">
        <f>IF(J664="","SEM #CH",VLOOKUP(J664,#REF!,6,0))</f>
        <v>#REF!</v>
      </c>
      <c r="P664" s="19" t="e">
        <f>IF(J664="","SEM #CH",VLOOKUP(J664,#REF!,7,0))</f>
        <v>#REF!</v>
      </c>
      <c r="Q664" s="77" t="str">
        <f>VLOOKUP(J664,'p1'!$B$2:$C$30,2,0)</f>
        <v>NÃO TEM CHAPA</v>
      </c>
      <c r="R664" s="91"/>
      <c r="S664" s="91"/>
      <c r="T664" s="91" t="str">
        <f t="shared" si="42"/>
        <v/>
      </c>
      <c r="U664" s="91"/>
      <c r="V664" s="91"/>
      <c r="W664" s="93"/>
      <c r="X664" s="94" t="str">
        <f t="shared" si="43"/>
        <v/>
      </c>
      <c r="Y664"/>
    </row>
    <row r="665" spans="1:25">
      <c r="A665" s="90">
        <v>664</v>
      </c>
      <c r="B665" s="68"/>
      <c r="C665" s="40"/>
      <c r="D665" s="40" t="str">
        <f t="shared" si="40"/>
        <v/>
      </c>
      <c r="E665" s="66" t="s">
        <v>172</v>
      </c>
      <c r="F665" s="17" t="s">
        <v>58</v>
      </c>
      <c r="G665" s="17" t="s">
        <v>86</v>
      </c>
      <c r="H665" s="42" t="s">
        <v>901</v>
      </c>
      <c r="I665" s="17" t="str">
        <f t="shared" si="41"/>
        <v>PN-664</v>
      </c>
      <c r="J665" s="18" t="s">
        <v>85</v>
      </c>
      <c r="K665" s="19" t="e">
        <f>IF(J665="","SEM #CH",VLOOKUP(J665,#REF!,2,0))</f>
        <v>#REF!</v>
      </c>
      <c r="L665" s="19" t="e">
        <f>IF(J665="","SEM #CH",VLOOKUP(J665,#REF!,3,0))</f>
        <v>#REF!</v>
      </c>
      <c r="M665" s="19" t="e">
        <f>IF(J665="","SEM #CH",VLOOKUP(J665,#REF!,4,0))</f>
        <v>#REF!</v>
      </c>
      <c r="N665" s="19" t="e">
        <f>IF(J665="","SEM #CH",VLOOKUP(J665,#REF!,5,0))</f>
        <v>#REF!</v>
      </c>
      <c r="O665" s="19" t="e">
        <f>IF(J665="","SEM #CH",VLOOKUP(J665,#REF!,6,0))</f>
        <v>#REF!</v>
      </c>
      <c r="P665" s="19" t="e">
        <f>IF(J665="","SEM #CH",VLOOKUP(J665,#REF!,7,0))</f>
        <v>#REF!</v>
      </c>
      <c r="Q665" s="77" t="str">
        <f>VLOOKUP(J665,'p1'!$B$2:$C$30,2,0)</f>
        <v>NÃO TEM CHAPA</v>
      </c>
      <c r="R665" s="91"/>
      <c r="S665" s="91"/>
      <c r="T665" s="91" t="str">
        <f t="shared" si="42"/>
        <v/>
      </c>
      <c r="U665" s="91"/>
      <c r="V665" s="91"/>
      <c r="W665" s="93"/>
      <c r="X665" s="94" t="str">
        <f t="shared" si="43"/>
        <v/>
      </c>
      <c r="Y665"/>
    </row>
    <row r="666" spans="1:25">
      <c r="A666" s="90">
        <v>665</v>
      </c>
      <c r="B666" s="68"/>
      <c r="C666" s="40"/>
      <c r="D666" s="40" t="str">
        <f t="shared" si="40"/>
        <v/>
      </c>
      <c r="E666" s="66" t="s">
        <v>172</v>
      </c>
      <c r="F666" s="17" t="s">
        <v>58</v>
      </c>
      <c r="G666" s="17" t="s">
        <v>86</v>
      </c>
      <c r="H666" s="42" t="s">
        <v>902</v>
      </c>
      <c r="I666" s="17" t="str">
        <f t="shared" si="41"/>
        <v>PN-665</v>
      </c>
      <c r="J666" s="18" t="s">
        <v>85</v>
      </c>
      <c r="K666" s="19" t="e">
        <f>IF(J666="","SEM #CH",VLOOKUP(J666,#REF!,2,0))</f>
        <v>#REF!</v>
      </c>
      <c r="L666" s="19" t="e">
        <f>IF(J666="","SEM #CH",VLOOKUP(J666,#REF!,3,0))</f>
        <v>#REF!</v>
      </c>
      <c r="M666" s="19" t="e">
        <f>IF(J666="","SEM #CH",VLOOKUP(J666,#REF!,4,0))</f>
        <v>#REF!</v>
      </c>
      <c r="N666" s="19" t="e">
        <f>IF(J666="","SEM #CH",VLOOKUP(J666,#REF!,5,0))</f>
        <v>#REF!</v>
      </c>
      <c r="O666" s="19" t="e">
        <f>IF(J666="","SEM #CH",VLOOKUP(J666,#REF!,6,0))</f>
        <v>#REF!</v>
      </c>
      <c r="P666" s="19" t="e">
        <f>IF(J666="","SEM #CH",VLOOKUP(J666,#REF!,7,0))</f>
        <v>#REF!</v>
      </c>
      <c r="Q666" s="77" t="str">
        <f>VLOOKUP(J666,'p1'!$B$2:$C$30,2,0)</f>
        <v>NÃO TEM CHAPA</v>
      </c>
      <c r="R666" s="91"/>
      <c r="S666" s="91"/>
      <c r="T666" s="91" t="str">
        <f t="shared" si="42"/>
        <v/>
      </c>
      <c r="U666" s="91"/>
      <c r="V666" s="91"/>
      <c r="W666" s="93"/>
      <c r="X666" s="94" t="str">
        <f t="shared" si="43"/>
        <v/>
      </c>
      <c r="Y666"/>
    </row>
    <row r="667" spans="1:25">
      <c r="A667" s="90">
        <v>666</v>
      </c>
      <c r="B667" s="68"/>
      <c r="C667" s="40"/>
      <c r="D667" s="40" t="str">
        <f t="shared" si="40"/>
        <v/>
      </c>
      <c r="E667" s="66" t="s">
        <v>172</v>
      </c>
      <c r="F667" s="17" t="s">
        <v>58</v>
      </c>
      <c r="G667" s="17" t="s">
        <v>86</v>
      </c>
      <c r="H667" s="42" t="s">
        <v>903</v>
      </c>
      <c r="I667" s="17" t="str">
        <f t="shared" si="41"/>
        <v>PN-666</v>
      </c>
      <c r="J667" s="18" t="s">
        <v>85</v>
      </c>
      <c r="K667" s="19" t="e">
        <f>IF(J667="","SEM #CH",VLOOKUP(J667,#REF!,2,0))</f>
        <v>#REF!</v>
      </c>
      <c r="L667" s="19" t="e">
        <f>IF(J667="","SEM #CH",VLOOKUP(J667,#REF!,3,0))</f>
        <v>#REF!</v>
      </c>
      <c r="M667" s="19" t="e">
        <f>IF(J667="","SEM #CH",VLOOKUP(J667,#REF!,4,0))</f>
        <v>#REF!</v>
      </c>
      <c r="N667" s="19" t="e">
        <f>IF(J667="","SEM #CH",VLOOKUP(J667,#REF!,5,0))</f>
        <v>#REF!</v>
      </c>
      <c r="O667" s="19" t="e">
        <f>IF(J667="","SEM #CH",VLOOKUP(J667,#REF!,6,0))</f>
        <v>#REF!</v>
      </c>
      <c r="P667" s="19" t="e">
        <f>IF(J667="","SEM #CH",VLOOKUP(J667,#REF!,7,0))</f>
        <v>#REF!</v>
      </c>
      <c r="Q667" s="77" t="str">
        <f>VLOOKUP(J667,'p1'!$B$2:$C$30,2,0)</f>
        <v>NÃO TEM CHAPA</v>
      </c>
      <c r="R667" s="91"/>
      <c r="S667" s="91"/>
      <c r="T667" s="91" t="str">
        <f t="shared" si="42"/>
        <v/>
      </c>
      <c r="U667" s="91"/>
      <c r="V667" s="91"/>
      <c r="W667" s="93"/>
      <c r="X667" s="94" t="str">
        <f t="shared" si="43"/>
        <v/>
      </c>
      <c r="Y667"/>
    </row>
    <row r="668" spans="1:25">
      <c r="A668" s="90">
        <v>667</v>
      </c>
      <c r="B668" s="68"/>
      <c r="C668" s="40"/>
      <c r="D668" s="40" t="str">
        <f t="shared" si="40"/>
        <v/>
      </c>
      <c r="E668" s="66" t="s">
        <v>172</v>
      </c>
      <c r="F668" s="17" t="s">
        <v>58</v>
      </c>
      <c r="G668" s="17" t="s">
        <v>86</v>
      </c>
      <c r="H668" s="42" t="s">
        <v>904</v>
      </c>
      <c r="I668" s="17" t="str">
        <f t="shared" si="41"/>
        <v>PN-667</v>
      </c>
      <c r="J668" s="18" t="s">
        <v>85</v>
      </c>
      <c r="K668" s="19" t="e">
        <f>IF(J668="","SEM #CH",VLOOKUP(J668,#REF!,2,0))</f>
        <v>#REF!</v>
      </c>
      <c r="L668" s="19" t="e">
        <f>IF(J668="","SEM #CH",VLOOKUP(J668,#REF!,3,0))</f>
        <v>#REF!</v>
      </c>
      <c r="M668" s="19" t="e">
        <f>IF(J668="","SEM #CH",VLOOKUP(J668,#REF!,4,0))</f>
        <v>#REF!</v>
      </c>
      <c r="N668" s="19" t="e">
        <f>IF(J668="","SEM #CH",VLOOKUP(J668,#REF!,5,0))</f>
        <v>#REF!</v>
      </c>
      <c r="O668" s="19" t="e">
        <f>IF(J668="","SEM #CH",VLOOKUP(J668,#REF!,6,0))</f>
        <v>#REF!</v>
      </c>
      <c r="P668" s="19" t="e">
        <f>IF(J668="","SEM #CH",VLOOKUP(J668,#REF!,7,0))</f>
        <v>#REF!</v>
      </c>
      <c r="Q668" s="77" t="str">
        <f>VLOOKUP(J668,'p1'!$B$2:$C$30,2,0)</f>
        <v>NÃO TEM CHAPA</v>
      </c>
      <c r="R668" s="91"/>
      <c r="S668" s="91"/>
      <c r="T668" s="91" t="str">
        <f t="shared" si="42"/>
        <v/>
      </c>
      <c r="U668" s="91"/>
      <c r="V668" s="91"/>
      <c r="W668" s="93"/>
      <c r="X668" s="94" t="str">
        <f t="shared" si="43"/>
        <v/>
      </c>
      <c r="Y668"/>
    </row>
    <row r="669" spans="1:25">
      <c r="A669" s="90">
        <v>668</v>
      </c>
      <c r="B669" s="68"/>
      <c r="C669" s="40"/>
      <c r="D669" s="40" t="str">
        <f t="shared" si="40"/>
        <v/>
      </c>
      <c r="E669" s="66" t="s">
        <v>172</v>
      </c>
      <c r="F669" s="17" t="s">
        <v>58</v>
      </c>
      <c r="G669" s="17" t="s">
        <v>86</v>
      </c>
      <c r="H669" s="42" t="s">
        <v>905</v>
      </c>
      <c r="I669" s="17" t="str">
        <f t="shared" si="41"/>
        <v>PN-668</v>
      </c>
      <c r="J669" s="18" t="s">
        <v>85</v>
      </c>
      <c r="K669" s="19" t="e">
        <f>IF(J669="","SEM #CH",VLOOKUP(J669,#REF!,2,0))</f>
        <v>#REF!</v>
      </c>
      <c r="L669" s="19" t="e">
        <f>IF(J669="","SEM #CH",VLOOKUP(J669,#REF!,3,0))</f>
        <v>#REF!</v>
      </c>
      <c r="M669" s="19" t="e">
        <f>IF(J669="","SEM #CH",VLOOKUP(J669,#REF!,4,0))</f>
        <v>#REF!</v>
      </c>
      <c r="N669" s="19" t="e">
        <f>IF(J669="","SEM #CH",VLOOKUP(J669,#REF!,5,0))</f>
        <v>#REF!</v>
      </c>
      <c r="O669" s="19" t="e">
        <f>IF(J669="","SEM #CH",VLOOKUP(J669,#REF!,6,0))</f>
        <v>#REF!</v>
      </c>
      <c r="P669" s="19" t="e">
        <f>IF(J669="","SEM #CH",VLOOKUP(J669,#REF!,7,0))</f>
        <v>#REF!</v>
      </c>
      <c r="Q669" s="77" t="str">
        <f>VLOOKUP(J669,'p1'!$B$2:$C$30,2,0)</f>
        <v>NÃO TEM CHAPA</v>
      </c>
      <c r="R669" s="91"/>
      <c r="S669" s="91"/>
      <c r="T669" s="91" t="str">
        <f t="shared" si="42"/>
        <v/>
      </c>
      <c r="U669" s="91"/>
      <c r="V669" s="91"/>
      <c r="W669" s="93"/>
      <c r="X669" s="94" t="str">
        <f t="shared" si="43"/>
        <v/>
      </c>
      <c r="Y669"/>
    </row>
    <row r="670" spans="1:25">
      <c r="A670" s="90">
        <v>669</v>
      </c>
      <c r="B670" s="68"/>
      <c r="C670" s="40"/>
      <c r="D670" s="40" t="str">
        <f t="shared" si="40"/>
        <v/>
      </c>
      <c r="E670" s="66" t="s">
        <v>172</v>
      </c>
      <c r="F670" s="17" t="s">
        <v>58</v>
      </c>
      <c r="G670" s="17" t="s">
        <v>86</v>
      </c>
      <c r="H670" s="42" t="s">
        <v>906</v>
      </c>
      <c r="I670" s="17" t="str">
        <f t="shared" si="41"/>
        <v>PN-669</v>
      </c>
      <c r="J670" s="18" t="s">
        <v>85</v>
      </c>
      <c r="K670" s="19" t="e">
        <f>IF(J670="","SEM #CH",VLOOKUP(J670,#REF!,2,0))</f>
        <v>#REF!</v>
      </c>
      <c r="L670" s="19" t="e">
        <f>IF(J670="","SEM #CH",VLOOKUP(J670,#REF!,3,0))</f>
        <v>#REF!</v>
      </c>
      <c r="M670" s="19" t="e">
        <f>IF(J670="","SEM #CH",VLOOKUP(J670,#REF!,4,0))</f>
        <v>#REF!</v>
      </c>
      <c r="N670" s="19" t="e">
        <f>IF(J670="","SEM #CH",VLOOKUP(J670,#REF!,5,0))</f>
        <v>#REF!</v>
      </c>
      <c r="O670" s="19" t="e">
        <f>IF(J670="","SEM #CH",VLOOKUP(J670,#REF!,6,0))</f>
        <v>#REF!</v>
      </c>
      <c r="P670" s="19" t="e">
        <f>IF(J670="","SEM #CH",VLOOKUP(J670,#REF!,7,0))</f>
        <v>#REF!</v>
      </c>
      <c r="Q670" s="77" t="str">
        <f>VLOOKUP(J670,'p1'!$B$2:$C$30,2,0)</f>
        <v>NÃO TEM CHAPA</v>
      </c>
      <c r="R670" s="91"/>
      <c r="S670" s="91"/>
      <c r="T670" s="91" t="str">
        <f t="shared" si="42"/>
        <v/>
      </c>
      <c r="U670" s="91"/>
      <c r="V670" s="91"/>
      <c r="W670" s="93"/>
      <c r="X670" s="94" t="str">
        <f t="shared" si="43"/>
        <v/>
      </c>
      <c r="Y670"/>
    </row>
    <row r="671" spans="1:25">
      <c r="A671" s="90">
        <v>670</v>
      </c>
      <c r="B671" s="68"/>
      <c r="C671" s="40"/>
      <c r="D671" s="40" t="str">
        <f t="shared" si="40"/>
        <v/>
      </c>
      <c r="E671" s="66" t="s">
        <v>172</v>
      </c>
      <c r="F671" s="17" t="s">
        <v>58</v>
      </c>
      <c r="G671" s="17" t="s">
        <v>86</v>
      </c>
      <c r="H671" s="42" t="s">
        <v>907</v>
      </c>
      <c r="I671" s="17" t="str">
        <f t="shared" si="41"/>
        <v>PN-670</v>
      </c>
      <c r="J671" s="18" t="s">
        <v>85</v>
      </c>
      <c r="K671" s="19" t="e">
        <f>IF(J671="","SEM #CH",VLOOKUP(J671,#REF!,2,0))</f>
        <v>#REF!</v>
      </c>
      <c r="L671" s="19" t="e">
        <f>IF(J671="","SEM #CH",VLOOKUP(J671,#REF!,3,0))</f>
        <v>#REF!</v>
      </c>
      <c r="M671" s="19" t="e">
        <f>IF(J671="","SEM #CH",VLOOKUP(J671,#REF!,4,0))</f>
        <v>#REF!</v>
      </c>
      <c r="N671" s="19" t="e">
        <f>IF(J671="","SEM #CH",VLOOKUP(J671,#REF!,5,0))</f>
        <v>#REF!</v>
      </c>
      <c r="O671" s="19" t="e">
        <f>IF(J671="","SEM #CH",VLOOKUP(J671,#REF!,6,0))</f>
        <v>#REF!</v>
      </c>
      <c r="P671" s="19" t="e">
        <f>IF(J671="","SEM #CH",VLOOKUP(J671,#REF!,7,0))</f>
        <v>#REF!</v>
      </c>
      <c r="Q671" s="77" t="str">
        <f>VLOOKUP(J671,'p1'!$B$2:$C$30,2,0)</f>
        <v>NÃO TEM CHAPA</v>
      </c>
      <c r="R671" s="91"/>
      <c r="S671" s="91"/>
      <c r="T671" s="91" t="str">
        <f t="shared" si="42"/>
        <v/>
      </c>
      <c r="U671" s="91"/>
      <c r="V671" s="91"/>
      <c r="W671" s="93"/>
      <c r="X671" s="94" t="str">
        <f t="shared" si="43"/>
        <v/>
      </c>
      <c r="Y671"/>
    </row>
    <row r="672" spans="1:25">
      <c r="A672" s="90">
        <v>671</v>
      </c>
      <c r="B672" s="68"/>
      <c r="C672" s="40"/>
      <c r="D672" s="40" t="str">
        <f t="shared" si="40"/>
        <v/>
      </c>
      <c r="E672" s="66" t="s">
        <v>172</v>
      </c>
      <c r="F672" s="17" t="s">
        <v>58</v>
      </c>
      <c r="G672" s="17" t="s">
        <v>86</v>
      </c>
      <c r="H672" s="42" t="s">
        <v>908</v>
      </c>
      <c r="I672" s="17" t="str">
        <f t="shared" si="41"/>
        <v>PN-671</v>
      </c>
      <c r="J672" s="18" t="s">
        <v>85</v>
      </c>
      <c r="K672" s="19" t="e">
        <f>IF(J672="","SEM #CH",VLOOKUP(J672,#REF!,2,0))</f>
        <v>#REF!</v>
      </c>
      <c r="L672" s="19" t="e">
        <f>IF(J672="","SEM #CH",VLOOKUP(J672,#REF!,3,0))</f>
        <v>#REF!</v>
      </c>
      <c r="M672" s="19" t="e">
        <f>IF(J672="","SEM #CH",VLOOKUP(J672,#REF!,4,0))</f>
        <v>#REF!</v>
      </c>
      <c r="N672" s="19" t="e">
        <f>IF(J672="","SEM #CH",VLOOKUP(J672,#REF!,5,0))</f>
        <v>#REF!</v>
      </c>
      <c r="O672" s="19" t="e">
        <f>IF(J672="","SEM #CH",VLOOKUP(J672,#REF!,6,0))</f>
        <v>#REF!</v>
      </c>
      <c r="P672" s="19" t="e">
        <f>IF(J672="","SEM #CH",VLOOKUP(J672,#REF!,7,0))</f>
        <v>#REF!</v>
      </c>
      <c r="Q672" s="77" t="str">
        <f>VLOOKUP(J672,'p1'!$B$2:$C$30,2,0)</f>
        <v>NÃO TEM CHAPA</v>
      </c>
      <c r="R672" s="91"/>
      <c r="S672" s="91"/>
      <c r="T672" s="91" t="str">
        <f t="shared" si="42"/>
        <v/>
      </c>
      <c r="U672" s="91"/>
      <c r="V672" s="91"/>
      <c r="W672" s="93"/>
      <c r="X672" s="94" t="str">
        <f t="shared" si="43"/>
        <v/>
      </c>
      <c r="Y672"/>
    </row>
    <row r="673" spans="1:25">
      <c r="A673" s="90">
        <v>672</v>
      </c>
      <c r="B673" s="68"/>
      <c r="C673" s="40"/>
      <c r="D673" s="40" t="str">
        <f t="shared" si="40"/>
        <v/>
      </c>
      <c r="E673" s="66" t="s">
        <v>172</v>
      </c>
      <c r="F673" s="17" t="s">
        <v>58</v>
      </c>
      <c r="G673" s="17" t="s">
        <v>86</v>
      </c>
      <c r="H673" s="42" t="s">
        <v>909</v>
      </c>
      <c r="I673" s="17" t="str">
        <f t="shared" si="41"/>
        <v>PN-672</v>
      </c>
      <c r="J673" s="18" t="s">
        <v>85</v>
      </c>
      <c r="K673" s="19" t="e">
        <f>IF(J673="","SEM #CH",VLOOKUP(J673,#REF!,2,0))</f>
        <v>#REF!</v>
      </c>
      <c r="L673" s="19" t="e">
        <f>IF(J673="","SEM #CH",VLOOKUP(J673,#REF!,3,0))</f>
        <v>#REF!</v>
      </c>
      <c r="M673" s="19" t="e">
        <f>IF(J673="","SEM #CH",VLOOKUP(J673,#REF!,4,0))</f>
        <v>#REF!</v>
      </c>
      <c r="N673" s="19" t="e">
        <f>IF(J673="","SEM #CH",VLOOKUP(J673,#REF!,5,0))</f>
        <v>#REF!</v>
      </c>
      <c r="O673" s="19" t="e">
        <f>IF(J673="","SEM #CH",VLOOKUP(J673,#REF!,6,0))</f>
        <v>#REF!</v>
      </c>
      <c r="P673" s="19" t="e">
        <f>IF(J673="","SEM #CH",VLOOKUP(J673,#REF!,7,0))</f>
        <v>#REF!</v>
      </c>
      <c r="Q673" s="77" t="str">
        <f>VLOOKUP(J673,'p1'!$B$2:$C$30,2,0)</f>
        <v>NÃO TEM CHAPA</v>
      </c>
      <c r="R673" s="91"/>
      <c r="S673" s="91"/>
      <c r="T673" s="91" t="str">
        <f t="shared" si="42"/>
        <v/>
      </c>
      <c r="U673" s="91"/>
      <c r="V673" s="91"/>
      <c r="W673" s="93"/>
      <c r="X673" s="94" t="str">
        <f t="shared" si="43"/>
        <v/>
      </c>
      <c r="Y673"/>
    </row>
    <row r="674" spans="1:25">
      <c r="A674" s="90">
        <v>673</v>
      </c>
      <c r="B674" s="68"/>
      <c r="C674" s="40"/>
      <c r="D674" s="40" t="str">
        <f t="shared" si="40"/>
        <v/>
      </c>
      <c r="E674" s="66" t="s">
        <v>172</v>
      </c>
      <c r="F674" s="17" t="s">
        <v>58</v>
      </c>
      <c r="G674" s="17" t="s">
        <v>86</v>
      </c>
      <c r="H674" s="42" t="s">
        <v>910</v>
      </c>
      <c r="I674" s="17" t="str">
        <f t="shared" si="41"/>
        <v>PN-673</v>
      </c>
      <c r="J674" s="18" t="s">
        <v>85</v>
      </c>
      <c r="K674" s="19" t="e">
        <f>IF(J674="","SEM #CH",VLOOKUP(J674,#REF!,2,0))</f>
        <v>#REF!</v>
      </c>
      <c r="L674" s="19" t="e">
        <f>IF(J674="","SEM #CH",VLOOKUP(J674,#REF!,3,0))</f>
        <v>#REF!</v>
      </c>
      <c r="M674" s="19" t="e">
        <f>IF(J674="","SEM #CH",VLOOKUP(J674,#REF!,4,0))</f>
        <v>#REF!</v>
      </c>
      <c r="N674" s="19" t="e">
        <f>IF(J674="","SEM #CH",VLOOKUP(J674,#REF!,5,0))</f>
        <v>#REF!</v>
      </c>
      <c r="O674" s="19" t="e">
        <f>IF(J674="","SEM #CH",VLOOKUP(J674,#REF!,6,0))</f>
        <v>#REF!</v>
      </c>
      <c r="P674" s="19" t="e">
        <f>IF(J674="","SEM #CH",VLOOKUP(J674,#REF!,7,0))</f>
        <v>#REF!</v>
      </c>
      <c r="Q674" s="77" t="str">
        <f>VLOOKUP(J674,'p1'!$B$2:$C$30,2,0)</f>
        <v>NÃO TEM CHAPA</v>
      </c>
      <c r="R674" s="91"/>
      <c r="S674" s="91"/>
      <c r="T674" s="91" t="str">
        <f t="shared" si="42"/>
        <v/>
      </c>
      <c r="U674" s="91"/>
      <c r="V674" s="91"/>
      <c r="W674" s="93"/>
      <c r="X674" s="94" t="str">
        <f t="shared" si="43"/>
        <v/>
      </c>
      <c r="Y674"/>
    </row>
    <row r="675" spans="1:25">
      <c r="A675" s="90">
        <v>674</v>
      </c>
      <c r="B675" s="68"/>
      <c r="C675" s="40"/>
      <c r="D675" s="40" t="str">
        <f t="shared" si="40"/>
        <v/>
      </c>
      <c r="E675" s="66" t="s">
        <v>172</v>
      </c>
      <c r="F675" s="17" t="s">
        <v>58</v>
      </c>
      <c r="G675" s="17" t="s">
        <v>86</v>
      </c>
      <c r="H675" s="42" t="s">
        <v>911</v>
      </c>
      <c r="I675" s="17" t="str">
        <f t="shared" si="41"/>
        <v>PN-674</v>
      </c>
      <c r="J675" s="18" t="s">
        <v>85</v>
      </c>
      <c r="K675" s="19" t="e">
        <f>IF(J675="","SEM #CH",VLOOKUP(J675,#REF!,2,0))</f>
        <v>#REF!</v>
      </c>
      <c r="L675" s="19" t="e">
        <f>IF(J675="","SEM #CH",VLOOKUP(J675,#REF!,3,0))</f>
        <v>#REF!</v>
      </c>
      <c r="M675" s="19" t="e">
        <f>IF(J675="","SEM #CH",VLOOKUP(J675,#REF!,4,0))</f>
        <v>#REF!</v>
      </c>
      <c r="N675" s="19" t="e">
        <f>IF(J675="","SEM #CH",VLOOKUP(J675,#REF!,5,0))</f>
        <v>#REF!</v>
      </c>
      <c r="O675" s="19" t="e">
        <f>IF(J675="","SEM #CH",VLOOKUP(J675,#REF!,6,0))</f>
        <v>#REF!</v>
      </c>
      <c r="P675" s="19" t="e">
        <f>IF(J675="","SEM #CH",VLOOKUP(J675,#REF!,7,0))</f>
        <v>#REF!</v>
      </c>
      <c r="Q675" s="77" t="str">
        <f>VLOOKUP(J675,'p1'!$B$2:$C$30,2,0)</f>
        <v>NÃO TEM CHAPA</v>
      </c>
      <c r="R675" s="91"/>
      <c r="S675" s="91"/>
      <c r="T675" s="91" t="str">
        <f t="shared" si="42"/>
        <v/>
      </c>
      <c r="U675" s="91"/>
      <c r="V675" s="91"/>
      <c r="W675" s="93"/>
      <c r="X675" s="94" t="str">
        <f t="shared" si="43"/>
        <v/>
      </c>
      <c r="Y675"/>
    </row>
    <row r="676" spans="1:25">
      <c r="A676" s="90">
        <v>675</v>
      </c>
      <c r="B676" s="68"/>
      <c r="C676" s="40"/>
      <c r="D676" s="40" t="str">
        <f t="shared" si="40"/>
        <v/>
      </c>
      <c r="E676" s="66" t="s">
        <v>172</v>
      </c>
      <c r="F676" s="17" t="s">
        <v>60</v>
      </c>
      <c r="G676" s="17" t="s">
        <v>86</v>
      </c>
      <c r="H676" s="42" t="s">
        <v>912</v>
      </c>
      <c r="I676" s="17" t="str">
        <f t="shared" si="41"/>
        <v>PE-675</v>
      </c>
      <c r="J676" s="18" t="s">
        <v>90</v>
      </c>
      <c r="K676" s="19" t="e">
        <f>IF(J676="","SEM #CH",VLOOKUP(J676,#REF!,2,0))</f>
        <v>#REF!</v>
      </c>
      <c r="L676" s="19" t="e">
        <f>IF(J676="","SEM #CH",VLOOKUP(J676,#REF!,3,0))</f>
        <v>#REF!</v>
      </c>
      <c r="M676" s="19" t="e">
        <f>IF(J676="","SEM #CH",VLOOKUP(J676,#REF!,4,0))</f>
        <v>#REF!</v>
      </c>
      <c r="N676" s="19" t="e">
        <f>IF(J676="","SEM #CH",VLOOKUP(J676,#REF!,5,0))</f>
        <v>#REF!</v>
      </c>
      <c r="O676" s="19" t="e">
        <f>IF(J676="","SEM #CH",VLOOKUP(J676,#REF!,6,0))</f>
        <v>#REF!</v>
      </c>
      <c r="P676" s="19" t="e">
        <f>IF(J676="","SEM #CH",VLOOKUP(J676,#REF!,7,0))</f>
        <v>#REF!</v>
      </c>
      <c r="Q676" s="77" t="str">
        <f>VLOOKUP(J676,'p1'!$B$2:$C$30,2,0)</f>
        <v>#3/8-530X530</v>
      </c>
      <c r="R676" s="91"/>
      <c r="S676" s="91"/>
      <c r="T676" s="91" t="str">
        <f t="shared" si="42"/>
        <v/>
      </c>
      <c r="U676" s="91"/>
      <c r="V676" s="91"/>
      <c r="W676" s="93"/>
      <c r="X676" s="94" t="str">
        <f t="shared" si="43"/>
        <v/>
      </c>
      <c r="Y676"/>
    </row>
    <row r="677" spans="1:25">
      <c r="A677" s="90">
        <v>676</v>
      </c>
      <c r="B677" s="68"/>
      <c r="C677" s="40"/>
      <c r="D677" s="40" t="str">
        <f t="shared" si="40"/>
        <v/>
      </c>
      <c r="E677" s="66" t="s">
        <v>172</v>
      </c>
      <c r="F677" s="17" t="s">
        <v>58</v>
      </c>
      <c r="G677" s="17" t="s">
        <v>86</v>
      </c>
      <c r="H677" s="42" t="s">
        <v>913</v>
      </c>
      <c r="I677" s="17" t="str">
        <f t="shared" si="41"/>
        <v>PN-676</v>
      </c>
      <c r="J677" s="18" t="s">
        <v>85</v>
      </c>
      <c r="K677" s="19" t="e">
        <f>IF(J677="","SEM #CH",VLOOKUP(J677,#REF!,2,0))</f>
        <v>#REF!</v>
      </c>
      <c r="L677" s="19" t="e">
        <f>IF(J677="","SEM #CH",VLOOKUP(J677,#REF!,3,0))</f>
        <v>#REF!</v>
      </c>
      <c r="M677" s="19" t="e">
        <f>IF(J677="","SEM #CH",VLOOKUP(J677,#REF!,4,0))</f>
        <v>#REF!</v>
      </c>
      <c r="N677" s="19" t="e">
        <f>IF(J677="","SEM #CH",VLOOKUP(J677,#REF!,5,0))</f>
        <v>#REF!</v>
      </c>
      <c r="O677" s="19" t="e">
        <f>IF(J677="","SEM #CH",VLOOKUP(J677,#REF!,6,0))</f>
        <v>#REF!</v>
      </c>
      <c r="P677" s="19" t="e">
        <f>IF(J677="","SEM #CH",VLOOKUP(J677,#REF!,7,0))</f>
        <v>#REF!</v>
      </c>
      <c r="Q677" s="77" t="str">
        <f>VLOOKUP(J677,'p1'!$B$2:$C$30,2,0)</f>
        <v>NÃO TEM CHAPA</v>
      </c>
      <c r="R677" s="91"/>
      <c r="S677" s="91"/>
      <c r="T677" s="91" t="str">
        <f t="shared" si="42"/>
        <v/>
      </c>
      <c r="U677" s="91"/>
      <c r="V677" s="91"/>
      <c r="W677" s="93"/>
      <c r="X677" s="94" t="str">
        <f t="shared" si="43"/>
        <v/>
      </c>
      <c r="Y677"/>
    </row>
    <row r="678" spans="1:25">
      <c r="A678" s="90">
        <v>677</v>
      </c>
      <c r="B678" s="68"/>
      <c r="C678" s="40"/>
      <c r="D678" s="40" t="str">
        <f t="shared" si="40"/>
        <v/>
      </c>
      <c r="E678" s="66" t="s">
        <v>172</v>
      </c>
      <c r="F678" s="17" t="s">
        <v>58</v>
      </c>
      <c r="G678" s="17" t="s">
        <v>86</v>
      </c>
      <c r="H678" s="42" t="s">
        <v>914</v>
      </c>
      <c r="I678" s="17" t="str">
        <f t="shared" si="41"/>
        <v>PN-677</v>
      </c>
      <c r="J678" s="18" t="s">
        <v>85</v>
      </c>
      <c r="K678" s="19" t="e">
        <f>IF(J678="","SEM #CH",VLOOKUP(J678,#REF!,2,0))</f>
        <v>#REF!</v>
      </c>
      <c r="L678" s="19" t="e">
        <f>IF(J678="","SEM #CH",VLOOKUP(J678,#REF!,3,0))</f>
        <v>#REF!</v>
      </c>
      <c r="M678" s="19" t="e">
        <f>IF(J678="","SEM #CH",VLOOKUP(J678,#REF!,4,0))</f>
        <v>#REF!</v>
      </c>
      <c r="N678" s="19" t="e">
        <f>IF(J678="","SEM #CH",VLOOKUP(J678,#REF!,5,0))</f>
        <v>#REF!</v>
      </c>
      <c r="O678" s="19" t="e">
        <f>IF(J678="","SEM #CH",VLOOKUP(J678,#REF!,6,0))</f>
        <v>#REF!</v>
      </c>
      <c r="P678" s="19" t="e">
        <f>IF(J678="","SEM #CH",VLOOKUP(J678,#REF!,7,0))</f>
        <v>#REF!</v>
      </c>
      <c r="Q678" s="77" t="str">
        <f>VLOOKUP(J678,'p1'!$B$2:$C$30,2,0)</f>
        <v>NÃO TEM CHAPA</v>
      </c>
      <c r="R678" s="91"/>
      <c r="S678" s="91"/>
      <c r="T678" s="91" t="str">
        <f t="shared" si="42"/>
        <v/>
      </c>
      <c r="U678" s="91"/>
      <c r="V678" s="91"/>
      <c r="W678" s="93"/>
      <c r="X678" s="94" t="str">
        <f t="shared" si="43"/>
        <v/>
      </c>
      <c r="Y678"/>
    </row>
    <row r="679" spans="1:25">
      <c r="A679" s="90">
        <v>678</v>
      </c>
      <c r="B679" s="68"/>
      <c r="C679" s="40"/>
      <c r="D679" s="40" t="str">
        <f t="shared" si="40"/>
        <v/>
      </c>
      <c r="E679" s="66" t="s">
        <v>172</v>
      </c>
      <c r="F679" s="17" t="s">
        <v>58</v>
      </c>
      <c r="G679" s="17" t="s">
        <v>86</v>
      </c>
      <c r="H679" s="42" t="s">
        <v>915</v>
      </c>
      <c r="I679" s="17" t="str">
        <f t="shared" si="41"/>
        <v>PN-678</v>
      </c>
      <c r="J679" s="18" t="s">
        <v>85</v>
      </c>
      <c r="K679" s="19" t="e">
        <f>IF(J679="","SEM #CH",VLOOKUP(J679,#REF!,2,0))</f>
        <v>#REF!</v>
      </c>
      <c r="L679" s="19" t="e">
        <f>IF(J679="","SEM #CH",VLOOKUP(J679,#REF!,3,0))</f>
        <v>#REF!</v>
      </c>
      <c r="M679" s="19" t="e">
        <f>IF(J679="","SEM #CH",VLOOKUP(J679,#REF!,4,0))</f>
        <v>#REF!</v>
      </c>
      <c r="N679" s="19" t="e">
        <f>IF(J679="","SEM #CH",VLOOKUP(J679,#REF!,5,0))</f>
        <v>#REF!</v>
      </c>
      <c r="O679" s="19" t="e">
        <f>IF(J679="","SEM #CH",VLOOKUP(J679,#REF!,6,0))</f>
        <v>#REF!</v>
      </c>
      <c r="P679" s="19" t="e">
        <f>IF(J679="","SEM #CH",VLOOKUP(J679,#REF!,7,0))</f>
        <v>#REF!</v>
      </c>
      <c r="Q679" s="77" t="str">
        <f>VLOOKUP(J679,'p1'!$B$2:$C$30,2,0)</f>
        <v>NÃO TEM CHAPA</v>
      </c>
      <c r="R679" s="91"/>
      <c r="S679" s="91"/>
      <c r="T679" s="91" t="str">
        <f t="shared" si="42"/>
        <v/>
      </c>
      <c r="U679" s="91"/>
      <c r="V679" s="91"/>
      <c r="W679" s="93"/>
      <c r="X679" s="94" t="str">
        <f t="shared" si="43"/>
        <v/>
      </c>
      <c r="Y679"/>
    </row>
    <row r="680" spans="1:25">
      <c r="A680" s="90">
        <v>679</v>
      </c>
      <c r="B680" s="68"/>
      <c r="C680" s="40"/>
      <c r="D680" s="40" t="str">
        <f t="shared" si="40"/>
        <v/>
      </c>
      <c r="E680" s="66" t="s">
        <v>172</v>
      </c>
      <c r="F680" s="17" t="s">
        <v>58</v>
      </c>
      <c r="G680" s="17" t="s">
        <v>86</v>
      </c>
      <c r="H680" s="42" t="s">
        <v>916</v>
      </c>
      <c r="I680" s="17" t="str">
        <f t="shared" si="41"/>
        <v>PN-679</v>
      </c>
      <c r="J680" s="18" t="s">
        <v>85</v>
      </c>
      <c r="K680" s="19" t="e">
        <f>IF(J680="","SEM #CH",VLOOKUP(J680,#REF!,2,0))</f>
        <v>#REF!</v>
      </c>
      <c r="L680" s="19" t="e">
        <f>IF(J680="","SEM #CH",VLOOKUP(J680,#REF!,3,0))</f>
        <v>#REF!</v>
      </c>
      <c r="M680" s="19" t="e">
        <f>IF(J680="","SEM #CH",VLOOKUP(J680,#REF!,4,0))</f>
        <v>#REF!</v>
      </c>
      <c r="N680" s="19" t="e">
        <f>IF(J680="","SEM #CH",VLOOKUP(J680,#REF!,5,0))</f>
        <v>#REF!</v>
      </c>
      <c r="O680" s="19" t="e">
        <f>IF(J680="","SEM #CH",VLOOKUP(J680,#REF!,6,0))</f>
        <v>#REF!</v>
      </c>
      <c r="P680" s="19" t="e">
        <f>IF(J680="","SEM #CH",VLOOKUP(J680,#REF!,7,0))</f>
        <v>#REF!</v>
      </c>
      <c r="Q680" s="77" t="str">
        <f>VLOOKUP(J680,'p1'!$B$2:$C$30,2,0)</f>
        <v>NÃO TEM CHAPA</v>
      </c>
      <c r="R680" s="91"/>
      <c r="S680" s="91"/>
      <c r="T680" s="91" t="str">
        <f t="shared" si="42"/>
        <v/>
      </c>
      <c r="U680" s="91"/>
      <c r="V680" s="91"/>
      <c r="W680" s="93"/>
      <c r="X680" s="94" t="str">
        <f t="shared" si="43"/>
        <v/>
      </c>
      <c r="Y680"/>
    </row>
    <row r="681" spans="1:25">
      <c r="A681" s="90">
        <v>680</v>
      </c>
      <c r="B681" s="68"/>
      <c r="C681" s="40"/>
      <c r="D681" s="40" t="str">
        <f t="shared" si="40"/>
        <v/>
      </c>
      <c r="E681" s="66" t="s">
        <v>172</v>
      </c>
      <c r="F681" s="17" t="s">
        <v>58</v>
      </c>
      <c r="G681" s="17" t="s">
        <v>86</v>
      </c>
      <c r="H681" s="42" t="s">
        <v>917</v>
      </c>
      <c r="I681" s="17" t="str">
        <f t="shared" si="41"/>
        <v>PN-680</v>
      </c>
      <c r="J681" s="18" t="s">
        <v>85</v>
      </c>
      <c r="K681" s="19" t="e">
        <f>IF(J681="","SEM #CH",VLOOKUP(J681,#REF!,2,0))</f>
        <v>#REF!</v>
      </c>
      <c r="L681" s="19" t="e">
        <f>IF(J681="","SEM #CH",VLOOKUP(J681,#REF!,3,0))</f>
        <v>#REF!</v>
      </c>
      <c r="M681" s="19" t="e">
        <f>IF(J681="","SEM #CH",VLOOKUP(J681,#REF!,4,0))</f>
        <v>#REF!</v>
      </c>
      <c r="N681" s="19" t="e">
        <f>IF(J681="","SEM #CH",VLOOKUP(J681,#REF!,5,0))</f>
        <v>#REF!</v>
      </c>
      <c r="O681" s="19" t="e">
        <f>IF(J681="","SEM #CH",VLOOKUP(J681,#REF!,6,0))</f>
        <v>#REF!</v>
      </c>
      <c r="P681" s="19" t="e">
        <f>IF(J681="","SEM #CH",VLOOKUP(J681,#REF!,7,0))</f>
        <v>#REF!</v>
      </c>
      <c r="Q681" s="77" t="str">
        <f>VLOOKUP(J681,'p1'!$B$2:$C$30,2,0)</f>
        <v>NÃO TEM CHAPA</v>
      </c>
      <c r="R681" s="91"/>
      <c r="S681" s="91"/>
      <c r="T681" s="91" t="str">
        <f t="shared" si="42"/>
        <v/>
      </c>
      <c r="U681" s="91"/>
      <c r="V681" s="91"/>
      <c r="W681" s="93"/>
      <c r="X681" s="94" t="str">
        <f t="shared" si="43"/>
        <v/>
      </c>
      <c r="Y681"/>
    </row>
    <row r="682" spans="1:25">
      <c r="A682" s="90">
        <v>681</v>
      </c>
      <c r="B682" s="68"/>
      <c r="C682" s="40"/>
      <c r="D682" s="40" t="str">
        <f t="shared" si="40"/>
        <v/>
      </c>
      <c r="E682" s="66" t="s">
        <v>172</v>
      </c>
      <c r="F682" s="17" t="s">
        <v>58</v>
      </c>
      <c r="G682" s="17" t="s">
        <v>86</v>
      </c>
      <c r="H682" s="42" t="s">
        <v>918</v>
      </c>
      <c r="I682" s="17" t="str">
        <f t="shared" si="41"/>
        <v>PN-681</v>
      </c>
      <c r="J682" s="18" t="s">
        <v>85</v>
      </c>
      <c r="K682" s="19" t="e">
        <f>IF(J682="","SEM #CH",VLOOKUP(J682,#REF!,2,0))</f>
        <v>#REF!</v>
      </c>
      <c r="L682" s="19" t="e">
        <f>IF(J682="","SEM #CH",VLOOKUP(J682,#REF!,3,0))</f>
        <v>#REF!</v>
      </c>
      <c r="M682" s="19" t="e">
        <f>IF(J682="","SEM #CH",VLOOKUP(J682,#REF!,4,0))</f>
        <v>#REF!</v>
      </c>
      <c r="N682" s="19" t="e">
        <f>IF(J682="","SEM #CH",VLOOKUP(J682,#REF!,5,0))</f>
        <v>#REF!</v>
      </c>
      <c r="O682" s="19" t="e">
        <f>IF(J682="","SEM #CH",VLOOKUP(J682,#REF!,6,0))</f>
        <v>#REF!</v>
      </c>
      <c r="P682" s="19" t="e">
        <f>IF(J682="","SEM #CH",VLOOKUP(J682,#REF!,7,0))</f>
        <v>#REF!</v>
      </c>
      <c r="Q682" s="77" t="str">
        <f>VLOOKUP(J682,'p1'!$B$2:$C$30,2,0)</f>
        <v>NÃO TEM CHAPA</v>
      </c>
      <c r="R682" s="91"/>
      <c r="S682" s="91"/>
      <c r="T682" s="91" t="str">
        <f t="shared" si="42"/>
        <v/>
      </c>
      <c r="U682" s="91"/>
      <c r="V682" s="91"/>
      <c r="W682" s="93"/>
      <c r="X682" s="94" t="str">
        <f t="shared" si="43"/>
        <v/>
      </c>
      <c r="Y682"/>
    </row>
    <row r="683" spans="1:25">
      <c r="A683" s="90">
        <v>682</v>
      </c>
      <c r="B683" s="68"/>
      <c r="C683" s="40"/>
      <c r="D683" s="40" t="str">
        <f t="shared" si="40"/>
        <v/>
      </c>
      <c r="E683" s="66" t="s">
        <v>172</v>
      </c>
      <c r="F683" s="17" t="s">
        <v>58</v>
      </c>
      <c r="G683" s="17" t="s">
        <v>86</v>
      </c>
      <c r="H683" s="42" t="s">
        <v>919</v>
      </c>
      <c r="I683" s="17" t="str">
        <f t="shared" si="41"/>
        <v>PN-682</v>
      </c>
      <c r="J683" s="18" t="s">
        <v>85</v>
      </c>
      <c r="K683" s="19" t="e">
        <f>IF(J683="","SEM #CH",VLOOKUP(J683,#REF!,2,0))</f>
        <v>#REF!</v>
      </c>
      <c r="L683" s="19" t="e">
        <f>IF(J683="","SEM #CH",VLOOKUP(J683,#REF!,3,0))</f>
        <v>#REF!</v>
      </c>
      <c r="M683" s="19" t="e">
        <f>IF(J683="","SEM #CH",VLOOKUP(J683,#REF!,4,0))</f>
        <v>#REF!</v>
      </c>
      <c r="N683" s="19" t="e">
        <f>IF(J683="","SEM #CH",VLOOKUP(J683,#REF!,5,0))</f>
        <v>#REF!</v>
      </c>
      <c r="O683" s="19" t="e">
        <f>IF(J683="","SEM #CH",VLOOKUP(J683,#REF!,6,0))</f>
        <v>#REF!</v>
      </c>
      <c r="P683" s="19" t="e">
        <f>IF(J683="","SEM #CH",VLOOKUP(J683,#REF!,7,0))</f>
        <v>#REF!</v>
      </c>
      <c r="Q683" s="77" t="str">
        <f>VLOOKUP(J683,'p1'!$B$2:$C$30,2,0)</f>
        <v>NÃO TEM CHAPA</v>
      </c>
      <c r="R683" s="91"/>
      <c r="S683" s="91"/>
      <c r="T683" s="91" t="str">
        <f t="shared" si="42"/>
        <v/>
      </c>
      <c r="U683" s="91"/>
      <c r="V683" s="91"/>
      <c r="W683" s="93"/>
      <c r="X683" s="94" t="str">
        <f t="shared" si="43"/>
        <v/>
      </c>
      <c r="Y683"/>
    </row>
    <row r="684" spans="1:25">
      <c r="A684" s="90">
        <v>683</v>
      </c>
      <c r="B684" s="68"/>
      <c r="C684" s="40"/>
      <c r="D684" s="40" t="str">
        <f t="shared" si="40"/>
        <v/>
      </c>
      <c r="E684" s="65" t="s">
        <v>163</v>
      </c>
      <c r="F684" s="17" t="s">
        <v>61</v>
      </c>
      <c r="G684" s="17" t="s">
        <v>86</v>
      </c>
      <c r="H684" s="42" t="s">
        <v>920</v>
      </c>
      <c r="I684" s="17" t="str">
        <f t="shared" si="41"/>
        <v>PF-683</v>
      </c>
      <c r="J684" s="18" t="s">
        <v>61</v>
      </c>
      <c r="K684" s="19" t="e">
        <f>IF(J684="","SEM #CH",VLOOKUP(J684,#REF!,2,0))</f>
        <v>#REF!</v>
      </c>
      <c r="L684" s="19" t="e">
        <f>IF(J684="","SEM #CH",VLOOKUP(J684,#REF!,3,0))</f>
        <v>#REF!</v>
      </c>
      <c r="M684" s="19" t="e">
        <f>IF(J684="","SEM #CH",VLOOKUP(J684,#REF!,4,0))</f>
        <v>#REF!</v>
      </c>
      <c r="N684" s="19" t="e">
        <f>IF(J684="","SEM #CH",VLOOKUP(J684,#REF!,5,0))</f>
        <v>#REF!</v>
      </c>
      <c r="O684" s="19" t="e">
        <f>IF(J684="","SEM #CH",VLOOKUP(J684,#REF!,6,0))</f>
        <v>#REF!</v>
      </c>
      <c r="P684" s="19" t="e">
        <f>IF(J684="","SEM #CH",VLOOKUP(J684,#REF!,7,0))</f>
        <v>#REF!</v>
      </c>
      <c r="Q684" s="77" t="str">
        <f>VLOOKUP(J684,'p1'!$B$2:$C$30,2,0)</f>
        <v>SEM CHAPA</v>
      </c>
      <c r="R684" s="91"/>
      <c r="S684" s="91"/>
      <c r="T684" s="91" t="str">
        <f t="shared" si="42"/>
        <v/>
      </c>
      <c r="U684" s="91"/>
      <c r="V684" s="91"/>
      <c r="W684" s="93"/>
      <c r="X684" s="94" t="str">
        <f t="shared" si="43"/>
        <v/>
      </c>
      <c r="Y684"/>
    </row>
    <row r="685" spans="1:25">
      <c r="A685" s="90">
        <v>684</v>
      </c>
      <c r="B685" s="68"/>
      <c r="C685" s="40"/>
      <c r="D685" s="40" t="str">
        <f t="shared" si="40"/>
        <v/>
      </c>
      <c r="E685" s="65" t="s">
        <v>163</v>
      </c>
      <c r="F685" s="17" t="s">
        <v>58</v>
      </c>
      <c r="G685" s="17" t="s">
        <v>86</v>
      </c>
      <c r="H685" s="42" t="s">
        <v>921</v>
      </c>
      <c r="I685" s="17" t="str">
        <f t="shared" si="41"/>
        <v>PN-684</v>
      </c>
      <c r="J685" s="18" t="s">
        <v>85</v>
      </c>
      <c r="K685" s="19" t="e">
        <f>IF(J685="","SEM #CH",VLOOKUP(J685,#REF!,2,0))</f>
        <v>#REF!</v>
      </c>
      <c r="L685" s="19" t="e">
        <f>IF(J685="","SEM #CH",VLOOKUP(J685,#REF!,3,0))</f>
        <v>#REF!</v>
      </c>
      <c r="M685" s="19" t="e">
        <f>IF(J685="","SEM #CH",VLOOKUP(J685,#REF!,4,0))</f>
        <v>#REF!</v>
      </c>
      <c r="N685" s="19" t="e">
        <f>IF(J685="","SEM #CH",VLOOKUP(J685,#REF!,5,0))</f>
        <v>#REF!</v>
      </c>
      <c r="O685" s="19" t="e">
        <f>IF(J685="","SEM #CH",VLOOKUP(J685,#REF!,6,0))</f>
        <v>#REF!</v>
      </c>
      <c r="P685" s="19" t="e">
        <f>IF(J685="","SEM #CH",VLOOKUP(J685,#REF!,7,0))</f>
        <v>#REF!</v>
      </c>
      <c r="Q685" s="77" t="str">
        <f>VLOOKUP(J685,'p1'!$B$2:$C$30,2,0)</f>
        <v>NÃO TEM CHAPA</v>
      </c>
      <c r="R685" s="91"/>
      <c r="S685" s="91"/>
      <c r="T685" s="91" t="str">
        <f t="shared" si="42"/>
        <v/>
      </c>
      <c r="U685" s="91"/>
      <c r="V685" s="91"/>
      <c r="W685" s="93"/>
      <c r="X685" s="94" t="str">
        <f t="shared" si="43"/>
        <v/>
      </c>
      <c r="Y685"/>
    </row>
    <row r="686" spans="1:25">
      <c r="A686" s="90">
        <v>685</v>
      </c>
      <c r="B686" s="68"/>
      <c r="C686" s="40"/>
      <c r="D686" s="40" t="str">
        <f t="shared" si="40"/>
        <v/>
      </c>
      <c r="E686" s="65" t="s">
        <v>163</v>
      </c>
      <c r="F686" s="17" t="s">
        <v>58</v>
      </c>
      <c r="G686" s="17" t="s">
        <v>86</v>
      </c>
      <c r="H686" s="42" t="s">
        <v>922</v>
      </c>
      <c r="I686" s="17" t="str">
        <f t="shared" si="41"/>
        <v>PN-685</v>
      </c>
      <c r="J686" s="18" t="s">
        <v>85</v>
      </c>
      <c r="K686" s="19" t="e">
        <f>IF(J686="","SEM #CH",VLOOKUP(J686,#REF!,2,0))</f>
        <v>#REF!</v>
      </c>
      <c r="L686" s="19" t="e">
        <f>IF(J686="","SEM #CH",VLOOKUP(J686,#REF!,3,0))</f>
        <v>#REF!</v>
      </c>
      <c r="M686" s="19" t="e">
        <f>IF(J686="","SEM #CH",VLOOKUP(J686,#REF!,4,0))</f>
        <v>#REF!</v>
      </c>
      <c r="N686" s="19" t="e">
        <f>IF(J686="","SEM #CH",VLOOKUP(J686,#REF!,5,0))</f>
        <v>#REF!</v>
      </c>
      <c r="O686" s="19" t="e">
        <f>IF(J686="","SEM #CH",VLOOKUP(J686,#REF!,6,0))</f>
        <v>#REF!</v>
      </c>
      <c r="P686" s="19" t="e">
        <f>IF(J686="","SEM #CH",VLOOKUP(J686,#REF!,7,0))</f>
        <v>#REF!</v>
      </c>
      <c r="Q686" s="77" t="str">
        <f>VLOOKUP(J686,'p1'!$B$2:$C$30,2,0)</f>
        <v>NÃO TEM CHAPA</v>
      </c>
      <c r="R686" s="91"/>
      <c r="S686" s="91"/>
      <c r="T686" s="91" t="str">
        <f t="shared" si="42"/>
        <v/>
      </c>
      <c r="U686" s="91"/>
      <c r="V686" s="91"/>
      <c r="W686" s="93"/>
      <c r="X686" s="94" t="str">
        <f t="shared" si="43"/>
        <v/>
      </c>
      <c r="Y686"/>
    </row>
    <row r="687" spans="1:25">
      <c r="A687" s="90">
        <v>686</v>
      </c>
      <c r="B687" s="68"/>
      <c r="C687" s="40"/>
      <c r="D687" s="40" t="str">
        <f t="shared" si="40"/>
        <v/>
      </c>
      <c r="E687" s="65" t="s">
        <v>163</v>
      </c>
      <c r="F687" s="17" t="s">
        <v>58</v>
      </c>
      <c r="G687" s="17" t="s">
        <v>86</v>
      </c>
      <c r="H687" s="42" t="s">
        <v>923</v>
      </c>
      <c r="I687" s="17" t="str">
        <f t="shared" si="41"/>
        <v>PN-686</v>
      </c>
      <c r="J687" s="18" t="s">
        <v>85</v>
      </c>
      <c r="K687" s="19" t="e">
        <f>IF(J687="","SEM #CH",VLOOKUP(J687,#REF!,2,0))</f>
        <v>#REF!</v>
      </c>
      <c r="L687" s="19" t="e">
        <f>IF(J687="","SEM #CH",VLOOKUP(J687,#REF!,3,0))</f>
        <v>#REF!</v>
      </c>
      <c r="M687" s="19" t="e">
        <f>IF(J687="","SEM #CH",VLOOKUP(J687,#REF!,4,0))</f>
        <v>#REF!</v>
      </c>
      <c r="N687" s="19" t="e">
        <f>IF(J687="","SEM #CH",VLOOKUP(J687,#REF!,5,0))</f>
        <v>#REF!</v>
      </c>
      <c r="O687" s="19" t="e">
        <f>IF(J687="","SEM #CH",VLOOKUP(J687,#REF!,6,0))</f>
        <v>#REF!</v>
      </c>
      <c r="P687" s="19" t="e">
        <f>IF(J687="","SEM #CH",VLOOKUP(J687,#REF!,7,0))</f>
        <v>#REF!</v>
      </c>
      <c r="Q687" s="77" t="str">
        <f>VLOOKUP(J687,'p1'!$B$2:$C$30,2,0)</f>
        <v>NÃO TEM CHAPA</v>
      </c>
      <c r="R687" s="91"/>
      <c r="S687" s="91"/>
      <c r="T687" s="91" t="str">
        <f t="shared" si="42"/>
        <v/>
      </c>
      <c r="U687" s="91"/>
      <c r="V687" s="91"/>
      <c r="W687" s="93"/>
      <c r="X687" s="94" t="str">
        <f t="shared" si="43"/>
        <v/>
      </c>
      <c r="Y687"/>
    </row>
    <row r="688" spans="1:25">
      <c r="A688" s="90">
        <v>687</v>
      </c>
      <c r="B688" s="68"/>
      <c r="C688" s="40"/>
      <c r="D688" s="40" t="str">
        <f t="shared" si="40"/>
        <v/>
      </c>
      <c r="E688" s="65" t="s">
        <v>163</v>
      </c>
      <c r="F688" s="17" t="s">
        <v>58</v>
      </c>
      <c r="G688" s="17" t="s">
        <v>86</v>
      </c>
      <c r="H688" s="42" t="s">
        <v>924</v>
      </c>
      <c r="I688" s="17" t="str">
        <f t="shared" si="41"/>
        <v>PN-687</v>
      </c>
      <c r="J688" s="18" t="s">
        <v>85</v>
      </c>
      <c r="K688" s="19" t="e">
        <f>IF(J688="","SEM #CH",VLOOKUP(J688,#REF!,2,0))</f>
        <v>#REF!</v>
      </c>
      <c r="L688" s="19" t="e">
        <f>IF(J688="","SEM #CH",VLOOKUP(J688,#REF!,3,0))</f>
        <v>#REF!</v>
      </c>
      <c r="M688" s="19" t="e">
        <f>IF(J688="","SEM #CH",VLOOKUP(J688,#REF!,4,0))</f>
        <v>#REF!</v>
      </c>
      <c r="N688" s="19" t="e">
        <f>IF(J688="","SEM #CH",VLOOKUP(J688,#REF!,5,0))</f>
        <v>#REF!</v>
      </c>
      <c r="O688" s="19" t="e">
        <f>IF(J688="","SEM #CH",VLOOKUP(J688,#REF!,6,0))</f>
        <v>#REF!</v>
      </c>
      <c r="P688" s="19" t="e">
        <f>IF(J688="","SEM #CH",VLOOKUP(J688,#REF!,7,0))</f>
        <v>#REF!</v>
      </c>
      <c r="Q688" s="77" t="str">
        <f>VLOOKUP(J688,'p1'!$B$2:$C$30,2,0)</f>
        <v>NÃO TEM CHAPA</v>
      </c>
      <c r="R688" s="91"/>
      <c r="S688" s="91"/>
      <c r="T688" s="91" t="str">
        <f t="shared" si="42"/>
        <v/>
      </c>
      <c r="U688" s="91"/>
      <c r="V688" s="91"/>
      <c r="W688" s="93"/>
      <c r="X688" s="94" t="str">
        <f t="shared" si="43"/>
        <v/>
      </c>
      <c r="Y688"/>
    </row>
    <row r="689" spans="1:25">
      <c r="A689" s="90">
        <v>688</v>
      </c>
      <c r="B689" s="68"/>
      <c r="C689" s="40"/>
      <c r="D689" s="40" t="str">
        <f t="shared" si="40"/>
        <v/>
      </c>
      <c r="E689" s="65" t="s">
        <v>163</v>
      </c>
      <c r="F689" s="17" t="s">
        <v>58</v>
      </c>
      <c r="G689" s="17" t="s">
        <v>86</v>
      </c>
      <c r="H689" s="42" t="s">
        <v>925</v>
      </c>
      <c r="I689" s="17" t="str">
        <f t="shared" si="41"/>
        <v>PN-688</v>
      </c>
      <c r="J689" s="18" t="s">
        <v>85</v>
      </c>
      <c r="K689" s="19" t="e">
        <f>IF(J689="","SEM #CH",VLOOKUP(J689,#REF!,2,0))</f>
        <v>#REF!</v>
      </c>
      <c r="L689" s="19" t="e">
        <f>IF(J689="","SEM #CH",VLOOKUP(J689,#REF!,3,0))</f>
        <v>#REF!</v>
      </c>
      <c r="M689" s="19" t="e">
        <f>IF(J689="","SEM #CH",VLOOKUP(J689,#REF!,4,0))</f>
        <v>#REF!</v>
      </c>
      <c r="N689" s="19" t="e">
        <f>IF(J689="","SEM #CH",VLOOKUP(J689,#REF!,5,0))</f>
        <v>#REF!</v>
      </c>
      <c r="O689" s="19" t="e">
        <f>IF(J689="","SEM #CH",VLOOKUP(J689,#REF!,6,0))</f>
        <v>#REF!</v>
      </c>
      <c r="P689" s="19" t="e">
        <f>IF(J689="","SEM #CH",VLOOKUP(J689,#REF!,7,0))</f>
        <v>#REF!</v>
      </c>
      <c r="Q689" s="77" t="str">
        <f>VLOOKUP(J689,'p1'!$B$2:$C$30,2,0)</f>
        <v>NÃO TEM CHAPA</v>
      </c>
      <c r="R689" s="91"/>
      <c r="S689" s="91"/>
      <c r="T689" s="91" t="str">
        <f t="shared" si="42"/>
        <v/>
      </c>
      <c r="U689" s="91"/>
      <c r="V689" s="91"/>
      <c r="W689" s="93"/>
      <c r="X689" s="94" t="str">
        <f t="shared" si="43"/>
        <v/>
      </c>
      <c r="Y689"/>
    </row>
    <row r="690" spans="1:25">
      <c r="A690" s="90">
        <v>689</v>
      </c>
      <c r="B690" s="68"/>
      <c r="C690" s="40"/>
      <c r="D690" s="40" t="str">
        <f t="shared" si="40"/>
        <v/>
      </c>
      <c r="E690" s="65" t="s">
        <v>163</v>
      </c>
      <c r="F690" s="17" t="s">
        <v>58</v>
      </c>
      <c r="G690" s="17" t="s">
        <v>86</v>
      </c>
      <c r="H690" s="42" t="s">
        <v>926</v>
      </c>
      <c r="I690" s="17" t="str">
        <f t="shared" si="41"/>
        <v>PN-689</v>
      </c>
      <c r="J690" s="18" t="s">
        <v>85</v>
      </c>
      <c r="K690" s="19" t="e">
        <f>IF(J690="","SEM #CH",VLOOKUP(J690,#REF!,2,0))</f>
        <v>#REF!</v>
      </c>
      <c r="L690" s="19" t="e">
        <f>IF(J690="","SEM #CH",VLOOKUP(J690,#REF!,3,0))</f>
        <v>#REF!</v>
      </c>
      <c r="M690" s="19" t="e">
        <f>IF(J690="","SEM #CH",VLOOKUP(J690,#REF!,4,0))</f>
        <v>#REF!</v>
      </c>
      <c r="N690" s="19" t="e">
        <f>IF(J690="","SEM #CH",VLOOKUP(J690,#REF!,5,0))</f>
        <v>#REF!</v>
      </c>
      <c r="O690" s="19" t="e">
        <f>IF(J690="","SEM #CH",VLOOKUP(J690,#REF!,6,0))</f>
        <v>#REF!</v>
      </c>
      <c r="P690" s="19" t="e">
        <f>IF(J690="","SEM #CH",VLOOKUP(J690,#REF!,7,0))</f>
        <v>#REF!</v>
      </c>
      <c r="Q690" s="77" t="str">
        <f>VLOOKUP(J690,'p1'!$B$2:$C$30,2,0)</f>
        <v>NÃO TEM CHAPA</v>
      </c>
      <c r="R690" s="91"/>
      <c r="S690" s="91"/>
      <c r="T690" s="91" t="str">
        <f t="shared" si="42"/>
        <v/>
      </c>
      <c r="U690" s="91"/>
      <c r="V690" s="91"/>
      <c r="W690" s="93"/>
      <c r="X690" s="94" t="str">
        <f t="shared" si="43"/>
        <v/>
      </c>
      <c r="Y690"/>
    </row>
    <row r="691" spans="1:25">
      <c r="A691" s="90">
        <v>690</v>
      </c>
      <c r="B691" s="68"/>
      <c r="C691" s="40"/>
      <c r="D691" s="40" t="str">
        <f t="shared" si="40"/>
        <v/>
      </c>
      <c r="E691" s="65" t="s">
        <v>163</v>
      </c>
      <c r="F691" s="17" t="s">
        <v>60</v>
      </c>
      <c r="G691" s="17" t="s">
        <v>86</v>
      </c>
      <c r="H691" s="42" t="s">
        <v>927</v>
      </c>
      <c r="I691" s="17" t="str">
        <f t="shared" si="41"/>
        <v>PE-690</v>
      </c>
      <c r="J691" s="18" t="s">
        <v>88</v>
      </c>
      <c r="K691" s="19" t="e">
        <f>IF(J691="","SEM #CH",VLOOKUP(J691,#REF!,2,0))</f>
        <v>#REF!</v>
      </c>
      <c r="L691" s="19" t="e">
        <f>IF(J691="","SEM #CH",VLOOKUP(J691,#REF!,3,0))</f>
        <v>#REF!</v>
      </c>
      <c r="M691" s="19" t="e">
        <f>IF(J691="","SEM #CH",VLOOKUP(J691,#REF!,4,0))</f>
        <v>#REF!</v>
      </c>
      <c r="N691" s="19" t="e">
        <f>IF(J691="","SEM #CH",VLOOKUP(J691,#REF!,5,0))</f>
        <v>#REF!</v>
      </c>
      <c r="O691" s="19" t="e">
        <f>IF(J691="","SEM #CH",VLOOKUP(J691,#REF!,6,0))</f>
        <v>#REF!</v>
      </c>
      <c r="P691" s="19" t="e">
        <f>IF(J691="","SEM #CH",VLOOKUP(J691,#REF!,7,0))</f>
        <v>#REF!</v>
      </c>
      <c r="Q691" s="77" t="str">
        <f>VLOOKUP(J691,'p1'!$B$2:$C$30,2,0)</f>
        <v>#3/8-1315X1315</v>
      </c>
      <c r="R691" s="91"/>
      <c r="S691" s="91"/>
      <c r="T691" s="91" t="str">
        <f t="shared" si="42"/>
        <v/>
      </c>
      <c r="U691" s="91"/>
      <c r="V691" s="91"/>
      <c r="W691" s="93"/>
      <c r="X691" s="94" t="str">
        <f t="shared" si="43"/>
        <v/>
      </c>
      <c r="Y691"/>
    </row>
    <row r="692" spans="1:25">
      <c r="A692" s="90">
        <v>691</v>
      </c>
      <c r="B692" s="68"/>
      <c r="C692" s="40"/>
      <c r="D692" s="40" t="str">
        <f t="shared" si="40"/>
        <v/>
      </c>
      <c r="E692" s="65" t="s">
        <v>163</v>
      </c>
      <c r="F692" s="17" t="s">
        <v>58</v>
      </c>
      <c r="G692" s="17" t="s">
        <v>86</v>
      </c>
      <c r="H692" s="42" t="s">
        <v>928</v>
      </c>
      <c r="I692" s="17" t="str">
        <f t="shared" si="41"/>
        <v>PN-691</v>
      </c>
      <c r="J692" s="18" t="s">
        <v>85</v>
      </c>
      <c r="K692" s="19" t="e">
        <f>IF(J692="","SEM #CH",VLOOKUP(J692,#REF!,2,0))</f>
        <v>#REF!</v>
      </c>
      <c r="L692" s="19" t="e">
        <f>IF(J692="","SEM #CH",VLOOKUP(J692,#REF!,3,0))</f>
        <v>#REF!</v>
      </c>
      <c r="M692" s="19" t="e">
        <f>IF(J692="","SEM #CH",VLOOKUP(J692,#REF!,4,0))</f>
        <v>#REF!</v>
      </c>
      <c r="N692" s="19" t="e">
        <f>IF(J692="","SEM #CH",VLOOKUP(J692,#REF!,5,0))</f>
        <v>#REF!</v>
      </c>
      <c r="O692" s="19" t="e">
        <f>IF(J692="","SEM #CH",VLOOKUP(J692,#REF!,6,0))</f>
        <v>#REF!</v>
      </c>
      <c r="P692" s="19" t="e">
        <f>IF(J692="","SEM #CH",VLOOKUP(J692,#REF!,7,0))</f>
        <v>#REF!</v>
      </c>
      <c r="Q692" s="77" t="str">
        <f>VLOOKUP(J692,'p1'!$B$2:$C$30,2,0)</f>
        <v>NÃO TEM CHAPA</v>
      </c>
      <c r="R692" s="91"/>
      <c r="S692" s="91"/>
      <c r="T692" s="91" t="str">
        <f t="shared" si="42"/>
        <v/>
      </c>
      <c r="U692" s="91"/>
      <c r="V692" s="91"/>
      <c r="W692" s="93"/>
      <c r="X692" s="94" t="str">
        <f t="shared" si="43"/>
        <v/>
      </c>
      <c r="Y692"/>
    </row>
    <row r="693" spans="1:25">
      <c r="A693" s="90">
        <v>692</v>
      </c>
      <c r="B693" s="68"/>
      <c r="C693" s="40"/>
      <c r="D693" s="40" t="str">
        <f t="shared" si="40"/>
        <v/>
      </c>
      <c r="E693" s="65" t="s">
        <v>163</v>
      </c>
      <c r="F693" s="17" t="s">
        <v>58</v>
      </c>
      <c r="G693" s="17" t="s">
        <v>86</v>
      </c>
      <c r="H693" s="42" t="s">
        <v>929</v>
      </c>
      <c r="I693" s="17" t="str">
        <f t="shared" si="41"/>
        <v>PN-692</v>
      </c>
      <c r="J693" s="18" t="s">
        <v>85</v>
      </c>
      <c r="K693" s="19" t="e">
        <f>IF(J693="","SEM #CH",VLOOKUP(J693,#REF!,2,0))</f>
        <v>#REF!</v>
      </c>
      <c r="L693" s="19" t="e">
        <f>IF(J693="","SEM #CH",VLOOKUP(J693,#REF!,3,0))</f>
        <v>#REF!</v>
      </c>
      <c r="M693" s="19" t="e">
        <f>IF(J693="","SEM #CH",VLOOKUP(J693,#REF!,4,0))</f>
        <v>#REF!</v>
      </c>
      <c r="N693" s="19" t="e">
        <f>IF(J693="","SEM #CH",VLOOKUP(J693,#REF!,5,0))</f>
        <v>#REF!</v>
      </c>
      <c r="O693" s="19" t="e">
        <f>IF(J693="","SEM #CH",VLOOKUP(J693,#REF!,6,0))</f>
        <v>#REF!</v>
      </c>
      <c r="P693" s="19" t="e">
        <f>IF(J693="","SEM #CH",VLOOKUP(J693,#REF!,7,0))</f>
        <v>#REF!</v>
      </c>
      <c r="Q693" s="77" t="str">
        <f>VLOOKUP(J693,'p1'!$B$2:$C$30,2,0)</f>
        <v>NÃO TEM CHAPA</v>
      </c>
      <c r="R693" s="91"/>
      <c r="S693" s="91"/>
      <c r="T693" s="91" t="str">
        <f t="shared" si="42"/>
        <v/>
      </c>
      <c r="U693" s="91"/>
      <c r="V693" s="91"/>
      <c r="W693" s="93"/>
      <c r="X693" s="94" t="str">
        <f t="shared" si="43"/>
        <v/>
      </c>
      <c r="Y693"/>
    </row>
    <row r="694" spans="1:25">
      <c r="A694" s="90">
        <v>693</v>
      </c>
      <c r="B694" s="68"/>
      <c r="C694" s="40"/>
      <c r="D694" s="40" t="str">
        <f t="shared" si="40"/>
        <v/>
      </c>
      <c r="E694" s="65" t="s">
        <v>163</v>
      </c>
      <c r="F694" s="17" t="s">
        <v>58</v>
      </c>
      <c r="G694" s="17" t="s">
        <v>86</v>
      </c>
      <c r="H694" s="42" t="s">
        <v>930</v>
      </c>
      <c r="I694" s="17" t="str">
        <f t="shared" si="41"/>
        <v>PN-693</v>
      </c>
      <c r="J694" s="18" t="s">
        <v>85</v>
      </c>
      <c r="K694" s="19" t="e">
        <f>IF(J694="","SEM #CH",VLOOKUP(J694,#REF!,2,0))</f>
        <v>#REF!</v>
      </c>
      <c r="L694" s="19" t="e">
        <f>IF(J694="","SEM #CH",VLOOKUP(J694,#REF!,3,0))</f>
        <v>#REF!</v>
      </c>
      <c r="M694" s="19" t="e">
        <f>IF(J694="","SEM #CH",VLOOKUP(J694,#REF!,4,0))</f>
        <v>#REF!</v>
      </c>
      <c r="N694" s="19" t="e">
        <f>IF(J694="","SEM #CH",VLOOKUP(J694,#REF!,5,0))</f>
        <v>#REF!</v>
      </c>
      <c r="O694" s="19" t="e">
        <f>IF(J694="","SEM #CH",VLOOKUP(J694,#REF!,6,0))</f>
        <v>#REF!</v>
      </c>
      <c r="P694" s="19" t="e">
        <f>IF(J694="","SEM #CH",VLOOKUP(J694,#REF!,7,0))</f>
        <v>#REF!</v>
      </c>
      <c r="Q694" s="77" t="str">
        <f>VLOOKUP(J694,'p1'!$B$2:$C$30,2,0)</f>
        <v>NÃO TEM CHAPA</v>
      </c>
      <c r="R694" s="91"/>
      <c r="S694" s="91"/>
      <c r="T694" s="91" t="str">
        <f t="shared" si="42"/>
        <v/>
      </c>
      <c r="U694" s="91"/>
      <c r="V694" s="91"/>
      <c r="W694" s="93"/>
      <c r="X694" s="94" t="str">
        <f t="shared" si="43"/>
        <v/>
      </c>
      <c r="Y694"/>
    </row>
    <row r="695" spans="1:25">
      <c r="A695" s="90">
        <v>694</v>
      </c>
      <c r="B695" s="68"/>
      <c r="C695" s="40"/>
      <c r="D695" s="40" t="str">
        <f t="shared" si="40"/>
        <v/>
      </c>
      <c r="E695" s="65" t="s">
        <v>163</v>
      </c>
      <c r="F695" s="17" t="s">
        <v>58</v>
      </c>
      <c r="G695" s="17" t="s">
        <v>86</v>
      </c>
      <c r="H695" s="42" t="s">
        <v>931</v>
      </c>
      <c r="I695" s="17" t="str">
        <f t="shared" si="41"/>
        <v>PN-694</v>
      </c>
      <c r="J695" s="18" t="s">
        <v>85</v>
      </c>
      <c r="K695" s="19" t="e">
        <f>IF(J695="","SEM #CH",VLOOKUP(J695,#REF!,2,0))</f>
        <v>#REF!</v>
      </c>
      <c r="L695" s="19" t="e">
        <f>IF(J695="","SEM #CH",VLOOKUP(J695,#REF!,3,0))</f>
        <v>#REF!</v>
      </c>
      <c r="M695" s="19" t="e">
        <f>IF(J695="","SEM #CH",VLOOKUP(J695,#REF!,4,0))</f>
        <v>#REF!</v>
      </c>
      <c r="N695" s="19" t="e">
        <f>IF(J695="","SEM #CH",VLOOKUP(J695,#REF!,5,0))</f>
        <v>#REF!</v>
      </c>
      <c r="O695" s="19" t="e">
        <f>IF(J695="","SEM #CH",VLOOKUP(J695,#REF!,6,0))</f>
        <v>#REF!</v>
      </c>
      <c r="P695" s="19" t="e">
        <f>IF(J695="","SEM #CH",VLOOKUP(J695,#REF!,7,0))</f>
        <v>#REF!</v>
      </c>
      <c r="Q695" s="77" t="str">
        <f>VLOOKUP(J695,'p1'!$B$2:$C$30,2,0)</f>
        <v>NÃO TEM CHAPA</v>
      </c>
      <c r="R695" s="91"/>
      <c r="S695" s="91"/>
      <c r="T695" s="91" t="str">
        <f t="shared" si="42"/>
        <v/>
      </c>
      <c r="U695" s="91"/>
      <c r="V695" s="91"/>
      <c r="W695" s="93"/>
      <c r="X695" s="94" t="str">
        <f t="shared" si="43"/>
        <v/>
      </c>
      <c r="Y695"/>
    </row>
    <row r="696" spans="1:25">
      <c r="A696" s="90">
        <v>695</v>
      </c>
      <c r="B696" s="68"/>
      <c r="C696" s="40"/>
      <c r="D696" s="40" t="str">
        <f t="shared" si="40"/>
        <v/>
      </c>
      <c r="E696" s="65" t="s">
        <v>163</v>
      </c>
      <c r="F696" s="17" t="s">
        <v>58</v>
      </c>
      <c r="G696" s="17" t="s">
        <v>86</v>
      </c>
      <c r="H696" s="42" t="s">
        <v>932</v>
      </c>
      <c r="I696" s="17" t="str">
        <f t="shared" si="41"/>
        <v>PN-695</v>
      </c>
      <c r="J696" s="18" t="s">
        <v>85</v>
      </c>
      <c r="K696" s="19" t="e">
        <f>IF(J696="","SEM #CH",VLOOKUP(J696,#REF!,2,0))</f>
        <v>#REF!</v>
      </c>
      <c r="L696" s="19" t="e">
        <f>IF(J696="","SEM #CH",VLOOKUP(J696,#REF!,3,0))</f>
        <v>#REF!</v>
      </c>
      <c r="M696" s="19" t="e">
        <f>IF(J696="","SEM #CH",VLOOKUP(J696,#REF!,4,0))</f>
        <v>#REF!</v>
      </c>
      <c r="N696" s="19" t="e">
        <f>IF(J696="","SEM #CH",VLOOKUP(J696,#REF!,5,0))</f>
        <v>#REF!</v>
      </c>
      <c r="O696" s="19" t="e">
        <f>IF(J696="","SEM #CH",VLOOKUP(J696,#REF!,6,0))</f>
        <v>#REF!</v>
      </c>
      <c r="P696" s="19" t="e">
        <f>IF(J696="","SEM #CH",VLOOKUP(J696,#REF!,7,0))</f>
        <v>#REF!</v>
      </c>
      <c r="Q696" s="77" t="str">
        <f>VLOOKUP(J696,'p1'!$B$2:$C$30,2,0)</f>
        <v>NÃO TEM CHAPA</v>
      </c>
      <c r="R696" s="91"/>
      <c r="S696" s="91"/>
      <c r="T696" s="91" t="str">
        <f t="shared" si="42"/>
        <v/>
      </c>
      <c r="U696" s="91"/>
      <c r="V696" s="91"/>
      <c r="W696" s="93"/>
      <c r="X696" s="94" t="str">
        <f t="shared" si="43"/>
        <v/>
      </c>
      <c r="Y696"/>
    </row>
    <row r="697" spans="1:25">
      <c r="A697" s="90">
        <v>696</v>
      </c>
      <c r="B697" s="68"/>
      <c r="C697" s="40"/>
      <c r="D697" s="40" t="str">
        <f t="shared" si="40"/>
        <v/>
      </c>
      <c r="E697" s="65" t="s">
        <v>163</v>
      </c>
      <c r="F697" s="17" t="s">
        <v>58</v>
      </c>
      <c r="G697" s="17" t="s">
        <v>86</v>
      </c>
      <c r="H697" s="42" t="s">
        <v>933</v>
      </c>
      <c r="I697" s="17" t="str">
        <f t="shared" si="41"/>
        <v>PN-696</v>
      </c>
      <c r="J697" s="18" t="s">
        <v>85</v>
      </c>
      <c r="K697" s="19" t="e">
        <f>IF(J697="","SEM #CH",VLOOKUP(J697,#REF!,2,0))</f>
        <v>#REF!</v>
      </c>
      <c r="L697" s="19" t="e">
        <f>IF(J697="","SEM #CH",VLOOKUP(J697,#REF!,3,0))</f>
        <v>#REF!</v>
      </c>
      <c r="M697" s="19" t="e">
        <f>IF(J697="","SEM #CH",VLOOKUP(J697,#REF!,4,0))</f>
        <v>#REF!</v>
      </c>
      <c r="N697" s="19" t="e">
        <f>IF(J697="","SEM #CH",VLOOKUP(J697,#REF!,5,0))</f>
        <v>#REF!</v>
      </c>
      <c r="O697" s="19" t="e">
        <f>IF(J697="","SEM #CH",VLOOKUP(J697,#REF!,6,0))</f>
        <v>#REF!</v>
      </c>
      <c r="P697" s="19" t="e">
        <f>IF(J697="","SEM #CH",VLOOKUP(J697,#REF!,7,0))</f>
        <v>#REF!</v>
      </c>
      <c r="Q697" s="77" t="str">
        <f>VLOOKUP(J697,'p1'!$B$2:$C$30,2,0)</f>
        <v>NÃO TEM CHAPA</v>
      </c>
      <c r="R697" s="91"/>
      <c r="S697" s="91"/>
      <c r="T697" s="91" t="str">
        <f t="shared" si="42"/>
        <v/>
      </c>
      <c r="U697" s="91"/>
      <c r="V697" s="91"/>
      <c r="W697" s="93"/>
      <c r="X697" s="94" t="str">
        <f t="shared" si="43"/>
        <v/>
      </c>
      <c r="Y697"/>
    </row>
    <row r="698" spans="1:25">
      <c r="A698" s="90">
        <v>697</v>
      </c>
      <c r="B698" s="68"/>
      <c r="C698" s="40"/>
      <c r="D698" s="40" t="str">
        <f t="shared" si="40"/>
        <v/>
      </c>
      <c r="E698" s="65" t="s">
        <v>163</v>
      </c>
      <c r="F698" s="17" t="s">
        <v>58</v>
      </c>
      <c r="G698" s="17" t="s">
        <v>86</v>
      </c>
      <c r="H698" s="42" t="s">
        <v>934</v>
      </c>
      <c r="I698" s="17" t="str">
        <f t="shared" si="41"/>
        <v>PN-697</v>
      </c>
      <c r="J698" s="18" t="s">
        <v>85</v>
      </c>
      <c r="K698" s="19" t="e">
        <f>IF(J698="","SEM #CH",VLOOKUP(J698,#REF!,2,0))</f>
        <v>#REF!</v>
      </c>
      <c r="L698" s="19" t="e">
        <f>IF(J698="","SEM #CH",VLOOKUP(J698,#REF!,3,0))</f>
        <v>#REF!</v>
      </c>
      <c r="M698" s="19" t="e">
        <f>IF(J698="","SEM #CH",VLOOKUP(J698,#REF!,4,0))</f>
        <v>#REF!</v>
      </c>
      <c r="N698" s="19" t="e">
        <f>IF(J698="","SEM #CH",VLOOKUP(J698,#REF!,5,0))</f>
        <v>#REF!</v>
      </c>
      <c r="O698" s="19" t="e">
        <f>IF(J698="","SEM #CH",VLOOKUP(J698,#REF!,6,0))</f>
        <v>#REF!</v>
      </c>
      <c r="P698" s="19" t="e">
        <f>IF(J698="","SEM #CH",VLOOKUP(J698,#REF!,7,0))</f>
        <v>#REF!</v>
      </c>
      <c r="Q698" s="77" t="str">
        <f>VLOOKUP(J698,'p1'!$B$2:$C$30,2,0)</f>
        <v>NÃO TEM CHAPA</v>
      </c>
      <c r="R698" s="91"/>
      <c r="S698" s="91"/>
      <c r="T698" s="91" t="str">
        <f t="shared" si="42"/>
        <v/>
      </c>
      <c r="U698" s="91"/>
      <c r="V698" s="91"/>
      <c r="W698" s="93"/>
      <c r="X698" s="94" t="str">
        <f t="shared" si="43"/>
        <v/>
      </c>
      <c r="Y698"/>
    </row>
    <row r="699" spans="1:25">
      <c r="A699" s="90">
        <v>698</v>
      </c>
      <c r="B699" s="68"/>
      <c r="C699" s="40"/>
      <c r="D699" s="40" t="str">
        <f t="shared" si="40"/>
        <v/>
      </c>
      <c r="E699" s="65" t="s">
        <v>163</v>
      </c>
      <c r="F699" s="17" t="s">
        <v>58</v>
      </c>
      <c r="G699" s="17" t="s">
        <v>86</v>
      </c>
      <c r="H699" s="42" t="s">
        <v>935</v>
      </c>
      <c r="I699" s="17" t="str">
        <f t="shared" si="41"/>
        <v>PN-698</v>
      </c>
      <c r="J699" s="18" t="s">
        <v>85</v>
      </c>
      <c r="K699" s="19" t="e">
        <f>IF(J699="","SEM #CH",VLOOKUP(J699,#REF!,2,0))</f>
        <v>#REF!</v>
      </c>
      <c r="L699" s="19" t="e">
        <f>IF(J699="","SEM #CH",VLOOKUP(J699,#REF!,3,0))</f>
        <v>#REF!</v>
      </c>
      <c r="M699" s="19" t="e">
        <f>IF(J699="","SEM #CH",VLOOKUP(J699,#REF!,4,0))</f>
        <v>#REF!</v>
      </c>
      <c r="N699" s="19" t="e">
        <f>IF(J699="","SEM #CH",VLOOKUP(J699,#REF!,5,0))</f>
        <v>#REF!</v>
      </c>
      <c r="O699" s="19" t="e">
        <f>IF(J699="","SEM #CH",VLOOKUP(J699,#REF!,6,0))</f>
        <v>#REF!</v>
      </c>
      <c r="P699" s="19" t="e">
        <f>IF(J699="","SEM #CH",VLOOKUP(J699,#REF!,7,0))</f>
        <v>#REF!</v>
      </c>
      <c r="Q699" s="77" t="str">
        <f>VLOOKUP(J699,'p1'!$B$2:$C$30,2,0)</f>
        <v>NÃO TEM CHAPA</v>
      </c>
      <c r="R699" s="91"/>
      <c r="S699" s="91"/>
      <c r="T699" s="91" t="str">
        <f t="shared" si="42"/>
        <v/>
      </c>
      <c r="U699" s="91"/>
      <c r="V699" s="91"/>
      <c r="W699" s="93"/>
      <c r="X699" s="94" t="str">
        <f t="shared" si="43"/>
        <v/>
      </c>
      <c r="Y699"/>
    </row>
    <row r="700" spans="1:25">
      <c r="A700" s="90">
        <v>699</v>
      </c>
      <c r="B700" s="68"/>
      <c r="C700" s="40"/>
      <c r="D700" s="40" t="str">
        <f t="shared" si="40"/>
        <v/>
      </c>
      <c r="E700" s="65" t="s">
        <v>163</v>
      </c>
      <c r="F700" s="17" t="s">
        <v>58</v>
      </c>
      <c r="G700" s="17" t="s">
        <v>86</v>
      </c>
      <c r="H700" s="42" t="s">
        <v>936</v>
      </c>
      <c r="I700" s="17" t="str">
        <f t="shared" si="41"/>
        <v>PN-699</v>
      </c>
      <c r="J700" s="18" t="s">
        <v>85</v>
      </c>
      <c r="K700" s="19" t="e">
        <f>IF(J700="","SEM #CH",VLOOKUP(J700,#REF!,2,0))</f>
        <v>#REF!</v>
      </c>
      <c r="L700" s="19" t="e">
        <f>IF(J700="","SEM #CH",VLOOKUP(J700,#REF!,3,0))</f>
        <v>#REF!</v>
      </c>
      <c r="M700" s="19" t="e">
        <f>IF(J700="","SEM #CH",VLOOKUP(J700,#REF!,4,0))</f>
        <v>#REF!</v>
      </c>
      <c r="N700" s="19" t="e">
        <f>IF(J700="","SEM #CH",VLOOKUP(J700,#REF!,5,0))</f>
        <v>#REF!</v>
      </c>
      <c r="O700" s="19" t="e">
        <f>IF(J700="","SEM #CH",VLOOKUP(J700,#REF!,6,0))</f>
        <v>#REF!</v>
      </c>
      <c r="P700" s="19" t="e">
        <f>IF(J700="","SEM #CH",VLOOKUP(J700,#REF!,7,0))</f>
        <v>#REF!</v>
      </c>
      <c r="Q700" s="77" t="str">
        <f>VLOOKUP(J700,'p1'!$B$2:$C$30,2,0)</f>
        <v>NÃO TEM CHAPA</v>
      </c>
      <c r="R700" s="91"/>
      <c r="S700" s="91"/>
      <c r="T700" s="91" t="str">
        <f t="shared" si="42"/>
        <v/>
      </c>
      <c r="U700" s="91"/>
      <c r="V700" s="91"/>
      <c r="W700" s="93"/>
      <c r="X700" s="94" t="str">
        <f t="shared" si="43"/>
        <v/>
      </c>
      <c r="Y700"/>
    </row>
    <row r="701" spans="1:25">
      <c r="A701" s="90">
        <v>700</v>
      </c>
      <c r="B701" s="68"/>
      <c r="C701" s="40"/>
      <c r="D701" s="40" t="str">
        <f t="shared" si="40"/>
        <v/>
      </c>
      <c r="E701" s="65" t="s">
        <v>163</v>
      </c>
      <c r="F701" s="17" t="s">
        <v>58</v>
      </c>
      <c r="G701" s="17" t="s">
        <v>86</v>
      </c>
      <c r="H701" s="42" t="s">
        <v>937</v>
      </c>
      <c r="I701" s="17" t="str">
        <f t="shared" si="41"/>
        <v>PN-700</v>
      </c>
      <c r="J701" s="18" t="s">
        <v>85</v>
      </c>
      <c r="K701" s="19" t="e">
        <f>IF(J701="","SEM #CH",VLOOKUP(J701,#REF!,2,0))</f>
        <v>#REF!</v>
      </c>
      <c r="L701" s="19" t="e">
        <f>IF(J701="","SEM #CH",VLOOKUP(J701,#REF!,3,0))</f>
        <v>#REF!</v>
      </c>
      <c r="M701" s="19" t="e">
        <f>IF(J701="","SEM #CH",VLOOKUP(J701,#REF!,4,0))</f>
        <v>#REF!</v>
      </c>
      <c r="N701" s="19" t="e">
        <f>IF(J701="","SEM #CH",VLOOKUP(J701,#REF!,5,0))</f>
        <v>#REF!</v>
      </c>
      <c r="O701" s="19" t="e">
        <f>IF(J701="","SEM #CH",VLOOKUP(J701,#REF!,6,0))</f>
        <v>#REF!</v>
      </c>
      <c r="P701" s="19" t="e">
        <f>IF(J701="","SEM #CH",VLOOKUP(J701,#REF!,7,0))</f>
        <v>#REF!</v>
      </c>
      <c r="Q701" s="77" t="str">
        <f>VLOOKUP(J701,'p1'!$B$2:$C$30,2,0)</f>
        <v>NÃO TEM CHAPA</v>
      </c>
      <c r="R701" s="91"/>
      <c r="S701" s="91"/>
      <c r="T701" s="91" t="str">
        <f t="shared" si="42"/>
        <v/>
      </c>
      <c r="U701" s="91"/>
      <c r="V701" s="91"/>
      <c r="W701" s="93"/>
      <c r="X701" s="94" t="str">
        <f t="shared" si="43"/>
        <v/>
      </c>
      <c r="Y701"/>
    </row>
    <row r="702" spans="1:25">
      <c r="A702" s="90">
        <v>701</v>
      </c>
      <c r="B702" s="68"/>
      <c r="C702" s="40"/>
      <c r="D702" s="40" t="str">
        <f t="shared" si="40"/>
        <v/>
      </c>
      <c r="E702" s="65" t="s">
        <v>163</v>
      </c>
      <c r="F702" s="17" t="s">
        <v>58</v>
      </c>
      <c r="G702" s="17" t="s">
        <v>86</v>
      </c>
      <c r="H702" s="42" t="s">
        <v>938</v>
      </c>
      <c r="I702" s="17" t="str">
        <f t="shared" si="41"/>
        <v>PN-701</v>
      </c>
      <c r="J702" s="18" t="s">
        <v>85</v>
      </c>
      <c r="K702" s="19" t="e">
        <f>IF(J702="","SEM #CH",VLOOKUP(J702,#REF!,2,0))</f>
        <v>#REF!</v>
      </c>
      <c r="L702" s="19" t="e">
        <f>IF(J702="","SEM #CH",VLOOKUP(J702,#REF!,3,0))</f>
        <v>#REF!</v>
      </c>
      <c r="M702" s="19" t="e">
        <f>IF(J702="","SEM #CH",VLOOKUP(J702,#REF!,4,0))</f>
        <v>#REF!</v>
      </c>
      <c r="N702" s="19" t="e">
        <f>IF(J702="","SEM #CH",VLOOKUP(J702,#REF!,5,0))</f>
        <v>#REF!</v>
      </c>
      <c r="O702" s="19" t="e">
        <f>IF(J702="","SEM #CH",VLOOKUP(J702,#REF!,6,0))</f>
        <v>#REF!</v>
      </c>
      <c r="P702" s="19" t="e">
        <f>IF(J702="","SEM #CH",VLOOKUP(J702,#REF!,7,0))</f>
        <v>#REF!</v>
      </c>
      <c r="Q702" s="77" t="str">
        <f>VLOOKUP(J702,'p1'!$B$2:$C$30,2,0)</f>
        <v>NÃO TEM CHAPA</v>
      </c>
      <c r="R702" s="91"/>
      <c r="S702" s="91"/>
      <c r="T702" s="91" t="str">
        <f t="shared" si="42"/>
        <v/>
      </c>
      <c r="U702" s="91"/>
      <c r="V702" s="91"/>
      <c r="W702" s="93"/>
      <c r="X702" s="94" t="str">
        <f t="shared" si="43"/>
        <v/>
      </c>
      <c r="Y702"/>
    </row>
    <row r="703" spans="1:25">
      <c r="A703" s="90">
        <v>702</v>
      </c>
      <c r="B703" s="68"/>
      <c r="C703" s="40"/>
      <c r="D703" s="40" t="str">
        <f t="shared" si="40"/>
        <v/>
      </c>
      <c r="E703" s="65" t="s">
        <v>163</v>
      </c>
      <c r="F703" s="17" t="s">
        <v>58</v>
      </c>
      <c r="G703" s="17" t="s">
        <v>86</v>
      </c>
      <c r="H703" s="42" t="s">
        <v>939</v>
      </c>
      <c r="I703" s="17" t="str">
        <f t="shared" si="41"/>
        <v>PN-702</v>
      </c>
      <c r="J703" s="18" t="s">
        <v>85</v>
      </c>
      <c r="K703" s="19" t="e">
        <f>IF(J703="","SEM #CH",VLOOKUP(J703,#REF!,2,0))</f>
        <v>#REF!</v>
      </c>
      <c r="L703" s="19" t="e">
        <f>IF(J703="","SEM #CH",VLOOKUP(J703,#REF!,3,0))</f>
        <v>#REF!</v>
      </c>
      <c r="M703" s="19" t="e">
        <f>IF(J703="","SEM #CH",VLOOKUP(J703,#REF!,4,0))</f>
        <v>#REF!</v>
      </c>
      <c r="N703" s="19" t="e">
        <f>IF(J703="","SEM #CH",VLOOKUP(J703,#REF!,5,0))</f>
        <v>#REF!</v>
      </c>
      <c r="O703" s="19" t="e">
        <f>IF(J703="","SEM #CH",VLOOKUP(J703,#REF!,6,0))</f>
        <v>#REF!</v>
      </c>
      <c r="P703" s="19" t="e">
        <f>IF(J703="","SEM #CH",VLOOKUP(J703,#REF!,7,0))</f>
        <v>#REF!</v>
      </c>
      <c r="Q703" s="77" t="str">
        <f>VLOOKUP(J703,'p1'!$B$2:$C$30,2,0)</f>
        <v>NÃO TEM CHAPA</v>
      </c>
      <c r="R703" s="91"/>
      <c r="S703" s="91"/>
      <c r="T703" s="91" t="str">
        <f t="shared" si="42"/>
        <v/>
      </c>
      <c r="U703" s="91"/>
      <c r="V703" s="91"/>
      <c r="W703" s="93"/>
      <c r="X703" s="94" t="str">
        <f t="shared" si="43"/>
        <v/>
      </c>
      <c r="Y703"/>
    </row>
    <row r="704" spans="1:25">
      <c r="A704" s="90">
        <v>703</v>
      </c>
      <c r="B704" s="68"/>
      <c r="C704" s="40"/>
      <c r="D704" s="40" t="str">
        <f t="shared" si="40"/>
        <v/>
      </c>
      <c r="E704" s="65" t="s">
        <v>163</v>
      </c>
      <c r="F704" s="17" t="s">
        <v>58</v>
      </c>
      <c r="G704" s="17" t="s">
        <v>86</v>
      </c>
      <c r="H704" s="42" t="s">
        <v>940</v>
      </c>
      <c r="I704" s="17" t="str">
        <f t="shared" si="41"/>
        <v>PN-703</v>
      </c>
      <c r="J704" s="18" t="s">
        <v>85</v>
      </c>
      <c r="K704" s="19" t="e">
        <f>IF(J704="","SEM #CH",VLOOKUP(J704,#REF!,2,0))</f>
        <v>#REF!</v>
      </c>
      <c r="L704" s="19" t="e">
        <f>IF(J704="","SEM #CH",VLOOKUP(J704,#REF!,3,0))</f>
        <v>#REF!</v>
      </c>
      <c r="M704" s="19" t="e">
        <f>IF(J704="","SEM #CH",VLOOKUP(J704,#REF!,4,0))</f>
        <v>#REF!</v>
      </c>
      <c r="N704" s="19" t="e">
        <f>IF(J704="","SEM #CH",VLOOKUP(J704,#REF!,5,0))</f>
        <v>#REF!</v>
      </c>
      <c r="O704" s="19" t="e">
        <f>IF(J704="","SEM #CH",VLOOKUP(J704,#REF!,6,0))</f>
        <v>#REF!</v>
      </c>
      <c r="P704" s="19" t="e">
        <f>IF(J704="","SEM #CH",VLOOKUP(J704,#REF!,7,0))</f>
        <v>#REF!</v>
      </c>
      <c r="Q704" s="77" t="str">
        <f>VLOOKUP(J704,'p1'!$B$2:$C$30,2,0)</f>
        <v>NÃO TEM CHAPA</v>
      </c>
      <c r="R704" s="91"/>
      <c r="S704" s="91"/>
      <c r="T704" s="91" t="str">
        <f t="shared" si="42"/>
        <v/>
      </c>
      <c r="U704" s="91"/>
      <c r="V704" s="91"/>
      <c r="W704" s="93"/>
      <c r="X704" s="94" t="str">
        <f t="shared" si="43"/>
        <v/>
      </c>
      <c r="Y704"/>
    </row>
    <row r="705" spans="1:25">
      <c r="A705" s="90">
        <v>704</v>
      </c>
      <c r="B705" s="68"/>
      <c r="C705" s="40"/>
      <c r="D705" s="40" t="str">
        <f t="shared" si="40"/>
        <v/>
      </c>
      <c r="E705" s="65" t="s">
        <v>163</v>
      </c>
      <c r="F705" s="17" t="s">
        <v>58</v>
      </c>
      <c r="G705" s="17" t="s">
        <v>86</v>
      </c>
      <c r="H705" s="42" t="s">
        <v>941</v>
      </c>
      <c r="I705" s="17" t="str">
        <f t="shared" si="41"/>
        <v>PN-704</v>
      </c>
      <c r="J705" s="18" t="s">
        <v>85</v>
      </c>
      <c r="K705" s="19" t="e">
        <f>IF(J705="","SEM #CH",VLOOKUP(J705,#REF!,2,0))</f>
        <v>#REF!</v>
      </c>
      <c r="L705" s="19" t="e">
        <f>IF(J705="","SEM #CH",VLOOKUP(J705,#REF!,3,0))</f>
        <v>#REF!</v>
      </c>
      <c r="M705" s="19" t="e">
        <f>IF(J705="","SEM #CH",VLOOKUP(J705,#REF!,4,0))</f>
        <v>#REF!</v>
      </c>
      <c r="N705" s="19" t="e">
        <f>IF(J705="","SEM #CH",VLOOKUP(J705,#REF!,5,0))</f>
        <v>#REF!</v>
      </c>
      <c r="O705" s="19" t="e">
        <f>IF(J705="","SEM #CH",VLOOKUP(J705,#REF!,6,0))</f>
        <v>#REF!</v>
      </c>
      <c r="P705" s="19" t="e">
        <f>IF(J705="","SEM #CH",VLOOKUP(J705,#REF!,7,0))</f>
        <v>#REF!</v>
      </c>
      <c r="Q705" s="77" t="str">
        <f>VLOOKUP(J705,'p1'!$B$2:$C$30,2,0)</f>
        <v>NÃO TEM CHAPA</v>
      </c>
      <c r="R705" s="91"/>
      <c r="S705" s="91"/>
      <c r="T705" s="91" t="str">
        <f t="shared" si="42"/>
        <v/>
      </c>
      <c r="U705" s="91"/>
      <c r="V705" s="91"/>
      <c r="W705" s="93"/>
      <c r="X705" s="94" t="str">
        <f t="shared" si="43"/>
        <v/>
      </c>
      <c r="Y705"/>
    </row>
    <row r="706" spans="1:25">
      <c r="A706" s="90">
        <v>705</v>
      </c>
      <c r="B706" s="68"/>
      <c r="C706" s="40"/>
      <c r="D706" s="40" t="str">
        <f t="shared" ref="D706:D751" si="44">IF(B706&gt;0,1,"")</f>
        <v/>
      </c>
      <c r="E706" s="65" t="s">
        <v>163</v>
      </c>
      <c r="F706" s="17" t="s">
        <v>58</v>
      </c>
      <c r="G706" s="17" t="s">
        <v>86</v>
      </c>
      <c r="H706" s="42" t="s">
        <v>942</v>
      </c>
      <c r="I706" s="17" t="str">
        <f t="shared" ref="I706:I745" si="45">_xlfn.CONCAT(F706,G706,H706)</f>
        <v>PN-705</v>
      </c>
      <c r="J706" s="18" t="s">
        <v>85</v>
      </c>
      <c r="K706" s="19" t="e">
        <f>IF(J706="","SEM #CH",VLOOKUP(J706,#REF!,2,0))</f>
        <v>#REF!</v>
      </c>
      <c r="L706" s="19" t="e">
        <f>IF(J706="","SEM #CH",VLOOKUP(J706,#REF!,3,0))</f>
        <v>#REF!</v>
      </c>
      <c r="M706" s="19" t="e">
        <f>IF(J706="","SEM #CH",VLOOKUP(J706,#REF!,4,0))</f>
        <v>#REF!</v>
      </c>
      <c r="N706" s="19" t="e">
        <f>IF(J706="","SEM #CH",VLOOKUP(J706,#REF!,5,0))</f>
        <v>#REF!</v>
      </c>
      <c r="O706" s="19" t="e">
        <f>IF(J706="","SEM #CH",VLOOKUP(J706,#REF!,6,0))</f>
        <v>#REF!</v>
      </c>
      <c r="P706" s="19" t="e">
        <f>IF(J706="","SEM #CH",VLOOKUP(J706,#REF!,7,0))</f>
        <v>#REF!</v>
      </c>
      <c r="Q706" s="77" t="str">
        <f>VLOOKUP(J706,'p1'!$B$2:$C$30,2,0)</f>
        <v>NÃO TEM CHAPA</v>
      </c>
      <c r="R706" s="91"/>
      <c r="S706" s="91"/>
      <c r="T706" s="91" t="str">
        <f t="shared" ref="T706:T751" si="46">IF(R706=0,"",1)</f>
        <v/>
      </c>
      <c r="U706" s="91"/>
      <c r="V706" s="91"/>
      <c r="W706" s="93"/>
      <c r="X706" s="94" t="str">
        <f t="shared" ref="X706:X769" si="47">IF(U706&gt;0,1,"")</f>
        <v/>
      </c>
      <c r="Y706"/>
    </row>
    <row r="707" spans="1:25">
      <c r="A707" s="90">
        <v>706</v>
      </c>
      <c r="B707" s="68"/>
      <c r="C707" s="40"/>
      <c r="D707" s="40" t="str">
        <f t="shared" si="44"/>
        <v/>
      </c>
      <c r="E707" s="65" t="s">
        <v>163</v>
      </c>
      <c r="F707" s="17" t="s">
        <v>60</v>
      </c>
      <c r="G707" s="17" t="s">
        <v>86</v>
      </c>
      <c r="H707" s="42" t="s">
        <v>943</v>
      </c>
      <c r="I707" s="17" t="str">
        <f t="shared" si="45"/>
        <v>PE-706</v>
      </c>
      <c r="J707" s="18" t="s">
        <v>90</v>
      </c>
      <c r="K707" s="19" t="e">
        <f>IF(J707="","SEM #CH",VLOOKUP(J707,#REF!,2,0))</f>
        <v>#REF!</v>
      </c>
      <c r="L707" s="19" t="e">
        <f>IF(J707="","SEM #CH",VLOOKUP(J707,#REF!,3,0))</f>
        <v>#REF!</v>
      </c>
      <c r="M707" s="19" t="e">
        <f>IF(J707="","SEM #CH",VLOOKUP(J707,#REF!,4,0))</f>
        <v>#REF!</v>
      </c>
      <c r="N707" s="19" t="e">
        <f>IF(J707="","SEM #CH",VLOOKUP(J707,#REF!,5,0))</f>
        <v>#REF!</v>
      </c>
      <c r="O707" s="19" t="e">
        <f>IF(J707="","SEM #CH",VLOOKUP(J707,#REF!,6,0))</f>
        <v>#REF!</v>
      </c>
      <c r="P707" s="19" t="e">
        <f>IF(J707="","SEM #CH",VLOOKUP(J707,#REF!,7,0))</f>
        <v>#REF!</v>
      </c>
      <c r="Q707" s="77" t="str">
        <f>VLOOKUP(J707,'p1'!$B$2:$C$30,2,0)</f>
        <v>#3/8-530X530</v>
      </c>
      <c r="R707" s="91"/>
      <c r="S707" s="91"/>
      <c r="T707" s="91" t="str">
        <f t="shared" si="46"/>
        <v/>
      </c>
      <c r="U707" s="91"/>
      <c r="V707" s="91"/>
      <c r="W707" s="93"/>
      <c r="X707" s="94" t="str">
        <f t="shared" si="47"/>
        <v/>
      </c>
      <c r="Y707"/>
    </row>
    <row r="708" spans="1:25">
      <c r="A708" s="90">
        <v>707</v>
      </c>
      <c r="B708" s="68"/>
      <c r="C708" s="40"/>
      <c r="D708" s="40" t="str">
        <f t="shared" si="44"/>
        <v/>
      </c>
      <c r="E708" s="65" t="s">
        <v>163</v>
      </c>
      <c r="F708" s="17" t="s">
        <v>58</v>
      </c>
      <c r="G708" s="17" t="s">
        <v>86</v>
      </c>
      <c r="H708" s="42" t="s">
        <v>944</v>
      </c>
      <c r="I708" s="17" t="str">
        <f t="shared" si="45"/>
        <v>PN-707</v>
      </c>
      <c r="J708" s="18" t="s">
        <v>85</v>
      </c>
      <c r="K708" s="19" t="e">
        <f>IF(J708="","SEM #CH",VLOOKUP(J708,#REF!,2,0))</f>
        <v>#REF!</v>
      </c>
      <c r="L708" s="19" t="e">
        <f>IF(J708="","SEM #CH",VLOOKUP(J708,#REF!,3,0))</f>
        <v>#REF!</v>
      </c>
      <c r="M708" s="19" t="e">
        <f>IF(J708="","SEM #CH",VLOOKUP(J708,#REF!,4,0))</f>
        <v>#REF!</v>
      </c>
      <c r="N708" s="19" t="e">
        <f>IF(J708="","SEM #CH",VLOOKUP(J708,#REF!,5,0))</f>
        <v>#REF!</v>
      </c>
      <c r="O708" s="19" t="e">
        <f>IF(J708="","SEM #CH",VLOOKUP(J708,#REF!,6,0))</f>
        <v>#REF!</v>
      </c>
      <c r="P708" s="19" t="e">
        <f>IF(J708="","SEM #CH",VLOOKUP(J708,#REF!,7,0))</f>
        <v>#REF!</v>
      </c>
      <c r="Q708" s="77" t="str">
        <f>VLOOKUP(J708,'p1'!$B$2:$C$30,2,0)</f>
        <v>NÃO TEM CHAPA</v>
      </c>
      <c r="R708" s="91"/>
      <c r="S708" s="91"/>
      <c r="T708" s="91" t="str">
        <f t="shared" si="46"/>
        <v/>
      </c>
      <c r="U708" s="91"/>
      <c r="V708" s="91"/>
      <c r="W708" s="93"/>
      <c r="X708" s="94" t="str">
        <f t="shared" si="47"/>
        <v/>
      </c>
      <c r="Y708"/>
    </row>
    <row r="709" spans="1:25">
      <c r="A709" s="90">
        <v>708</v>
      </c>
      <c r="B709" s="68"/>
      <c r="C709" s="40"/>
      <c r="D709" s="40" t="str">
        <f t="shared" si="44"/>
        <v/>
      </c>
      <c r="E709" s="65" t="s">
        <v>163</v>
      </c>
      <c r="F709" s="17" t="s">
        <v>58</v>
      </c>
      <c r="G709" s="17" t="s">
        <v>86</v>
      </c>
      <c r="H709" s="42" t="s">
        <v>945</v>
      </c>
      <c r="I709" s="17" t="str">
        <f t="shared" si="45"/>
        <v>PN-708</v>
      </c>
      <c r="J709" s="18" t="s">
        <v>85</v>
      </c>
      <c r="K709" s="19" t="e">
        <f>IF(J709="","SEM #CH",VLOOKUP(J709,#REF!,2,0))</f>
        <v>#REF!</v>
      </c>
      <c r="L709" s="19" t="e">
        <f>IF(J709="","SEM #CH",VLOOKUP(J709,#REF!,3,0))</f>
        <v>#REF!</v>
      </c>
      <c r="M709" s="19" t="e">
        <f>IF(J709="","SEM #CH",VLOOKUP(J709,#REF!,4,0))</f>
        <v>#REF!</v>
      </c>
      <c r="N709" s="19" t="e">
        <f>IF(J709="","SEM #CH",VLOOKUP(J709,#REF!,5,0))</f>
        <v>#REF!</v>
      </c>
      <c r="O709" s="19" t="e">
        <f>IF(J709="","SEM #CH",VLOOKUP(J709,#REF!,6,0))</f>
        <v>#REF!</v>
      </c>
      <c r="P709" s="19" t="e">
        <f>IF(J709="","SEM #CH",VLOOKUP(J709,#REF!,7,0))</f>
        <v>#REF!</v>
      </c>
      <c r="Q709" s="77" t="str">
        <f>VLOOKUP(J709,'p1'!$B$2:$C$30,2,0)</f>
        <v>NÃO TEM CHAPA</v>
      </c>
      <c r="R709" s="91"/>
      <c r="S709" s="91"/>
      <c r="T709" s="91" t="str">
        <f t="shared" si="46"/>
        <v/>
      </c>
      <c r="U709" s="91"/>
      <c r="V709" s="91"/>
      <c r="W709" s="93"/>
      <c r="X709" s="94" t="str">
        <f t="shared" si="47"/>
        <v/>
      </c>
      <c r="Y709"/>
    </row>
    <row r="710" spans="1:25">
      <c r="A710" s="90">
        <v>709</v>
      </c>
      <c r="B710" s="68"/>
      <c r="C710" s="40"/>
      <c r="D710" s="40" t="str">
        <f t="shared" si="44"/>
        <v/>
      </c>
      <c r="E710" s="65" t="s">
        <v>163</v>
      </c>
      <c r="F710" s="17" t="s">
        <v>58</v>
      </c>
      <c r="G710" s="17" t="s">
        <v>86</v>
      </c>
      <c r="H710" s="42" t="s">
        <v>946</v>
      </c>
      <c r="I710" s="17" t="str">
        <f t="shared" si="45"/>
        <v>PN-709</v>
      </c>
      <c r="J710" s="18" t="s">
        <v>85</v>
      </c>
      <c r="K710" s="19" t="e">
        <f>IF(J710="","SEM #CH",VLOOKUP(J710,#REF!,2,0))</f>
        <v>#REF!</v>
      </c>
      <c r="L710" s="19" t="e">
        <f>IF(J710="","SEM #CH",VLOOKUP(J710,#REF!,3,0))</f>
        <v>#REF!</v>
      </c>
      <c r="M710" s="19" t="e">
        <f>IF(J710="","SEM #CH",VLOOKUP(J710,#REF!,4,0))</f>
        <v>#REF!</v>
      </c>
      <c r="N710" s="19" t="e">
        <f>IF(J710="","SEM #CH",VLOOKUP(J710,#REF!,5,0))</f>
        <v>#REF!</v>
      </c>
      <c r="O710" s="19" t="e">
        <f>IF(J710="","SEM #CH",VLOOKUP(J710,#REF!,6,0))</f>
        <v>#REF!</v>
      </c>
      <c r="P710" s="19" t="e">
        <f>IF(J710="","SEM #CH",VLOOKUP(J710,#REF!,7,0))</f>
        <v>#REF!</v>
      </c>
      <c r="Q710" s="77" t="str">
        <f>VLOOKUP(J710,'p1'!$B$2:$C$30,2,0)</f>
        <v>NÃO TEM CHAPA</v>
      </c>
      <c r="R710" s="91"/>
      <c r="S710" s="91"/>
      <c r="T710" s="91" t="str">
        <f t="shared" si="46"/>
        <v/>
      </c>
      <c r="U710" s="91"/>
      <c r="V710" s="91"/>
      <c r="W710" s="93"/>
      <c r="X710" s="94" t="str">
        <f t="shared" si="47"/>
        <v/>
      </c>
      <c r="Y710"/>
    </row>
    <row r="711" spans="1:25">
      <c r="A711" s="90">
        <v>710</v>
      </c>
      <c r="B711" s="68"/>
      <c r="C711" s="40"/>
      <c r="D711" s="40" t="str">
        <f t="shared" si="44"/>
        <v/>
      </c>
      <c r="E711" s="65" t="s">
        <v>163</v>
      </c>
      <c r="F711" s="17" t="s">
        <v>58</v>
      </c>
      <c r="G711" s="17" t="s">
        <v>86</v>
      </c>
      <c r="H711" s="42" t="s">
        <v>947</v>
      </c>
      <c r="I711" s="17" t="str">
        <f t="shared" si="45"/>
        <v>PN-710</v>
      </c>
      <c r="J711" s="18" t="s">
        <v>85</v>
      </c>
      <c r="K711" s="19" t="e">
        <f>IF(J711="","SEM #CH",VLOOKUP(J711,#REF!,2,0))</f>
        <v>#REF!</v>
      </c>
      <c r="L711" s="19" t="e">
        <f>IF(J711="","SEM #CH",VLOOKUP(J711,#REF!,3,0))</f>
        <v>#REF!</v>
      </c>
      <c r="M711" s="19" t="e">
        <f>IF(J711="","SEM #CH",VLOOKUP(J711,#REF!,4,0))</f>
        <v>#REF!</v>
      </c>
      <c r="N711" s="19" t="e">
        <f>IF(J711="","SEM #CH",VLOOKUP(J711,#REF!,5,0))</f>
        <v>#REF!</v>
      </c>
      <c r="O711" s="19" t="e">
        <f>IF(J711="","SEM #CH",VLOOKUP(J711,#REF!,6,0))</f>
        <v>#REF!</v>
      </c>
      <c r="P711" s="19" t="e">
        <f>IF(J711="","SEM #CH",VLOOKUP(J711,#REF!,7,0))</f>
        <v>#REF!</v>
      </c>
      <c r="Q711" s="77" t="str">
        <f>VLOOKUP(J711,'p1'!$B$2:$C$30,2,0)</f>
        <v>NÃO TEM CHAPA</v>
      </c>
      <c r="R711" s="91"/>
      <c r="S711" s="91"/>
      <c r="T711" s="91" t="str">
        <f t="shared" si="46"/>
        <v/>
      </c>
      <c r="U711" s="91"/>
      <c r="V711" s="91"/>
      <c r="W711" s="93"/>
      <c r="X711" s="94" t="str">
        <f t="shared" si="47"/>
        <v/>
      </c>
      <c r="Y711"/>
    </row>
    <row r="712" spans="1:25">
      <c r="A712" s="90">
        <v>711</v>
      </c>
      <c r="B712" s="68"/>
      <c r="C712" s="40"/>
      <c r="D712" s="40" t="str">
        <f t="shared" si="44"/>
        <v/>
      </c>
      <c r="E712" s="65" t="s">
        <v>163</v>
      </c>
      <c r="F712" s="17" t="s">
        <v>58</v>
      </c>
      <c r="G712" s="17" t="s">
        <v>86</v>
      </c>
      <c r="H712" s="42" t="s">
        <v>948</v>
      </c>
      <c r="I712" s="17" t="str">
        <f t="shared" si="45"/>
        <v>PN-711</v>
      </c>
      <c r="J712" s="18" t="s">
        <v>85</v>
      </c>
      <c r="K712" s="19" t="e">
        <f>IF(J712="","SEM #CH",VLOOKUP(J712,#REF!,2,0))</f>
        <v>#REF!</v>
      </c>
      <c r="L712" s="19" t="e">
        <f>IF(J712="","SEM #CH",VLOOKUP(J712,#REF!,3,0))</f>
        <v>#REF!</v>
      </c>
      <c r="M712" s="19" t="e">
        <f>IF(J712="","SEM #CH",VLOOKUP(J712,#REF!,4,0))</f>
        <v>#REF!</v>
      </c>
      <c r="N712" s="19" t="e">
        <f>IF(J712="","SEM #CH",VLOOKUP(J712,#REF!,5,0))</f>
        <v>#REF!</v>
      </c>
      <c r="O712" s="19" t="e">
        <f>IF(J712="","SEM #CH",VLOOKUP(J712,#REF!,6,0))</f>
        <v>#REF!</v>
      </c>
      <c r="P712" s="19" t="e">
        <f>IF(J712="","SEM #CH",VLOOKUP(J712,#REF!,7,0))</f>
        <v>#REF!</v>
      </c>
      <c r="Q712" s="77" t="str">
        <f>VLOOKUP(J712,'p1'!$B$2:$C$30,2,0)</f>
        <v>NÃO TEM CHAPA</v>
      </c>
      <c r="R712" s="91"/>
      <c r="S712" s="91"/>
      <c r="T712" s="91" t="str">
        <f t="shared" si="46"/>
        <v/>
      </c>
      <c r="U712" s="91"/>
      <c r="V712" s="91"/>
      <c r="W712" s="93"/>
      <c r="X712" s="94" t="str">
        <f t="shared" si="47"/>
        <v/>
      </c>
      <c r="Y712"/>
    </row>
    <row r="713" spans="1:25">
      <c r="A713" s="90">
        <v>712</v>
      </c>
      <c r="B713" s="68"/>
      <c r="C713" s="40"/>
      <c r="D713" s="40" t="str">
        <f t="shared" si="44"/>
        <v/>
      </c>
      <c r="E713" s="65" t="s">
        <v>163</v>
      </c>
      <c r="F713" s="17" t="s">
        <v>58</v>
      </c>
      <c r="G713" s="17" t="s">
        <v>86</v>
      </c>
      <c r="H713" s="42" t="s">
        <v>949</v>
      </c>
      <c r="I713" s="17" t="str">
        <f t="shared" si="45"/>
        <v>PN-712</v>
      </c>
      <c r="J713" s="18" t="s">
        <v>85</v>
      </c>
      <c r="K713" s="19" t="e">
        <f>IF(J713="","SEM #CH",VLOOKUP(J713,#REF!,2,0))</f>
        <v>#REF!</v>
      </c>
      <c r="L713" s="19" t="e">
        <f>IF(J713="","SEM #CH",VLOOKUP(J713,#REF!,3,0))</f>
        <v>#REF!</v>
      </c>
      <c r="M713" s="19" t="e">
        <f>IF(J713="","SEM #CH",VLOOKUP(J713,#REF!,4,0))</f>
        <v>#REF!</v>
      </c>
      <c r="N713" s="19" t="e">
        <f>IF(J713="","SEM #CH",VLOOKUP(J713,#REF!,5,0))</f>
        <v>#REF!</v>
      </c>
      <c r="O713" s="19" t="e">
        <f>IF(J713="","SEM #CH",VLOOKUP(J713,#REF!,6,0))</f>
        <v>#REF!</v>
      </c>
      <c r="P713" s="19" t="e">
        <f>IF(J713="","SEM #CH",VLOOKUP(J713,#REF!,7,0))</f>
        <v>#REF!</v>
      </c>
      <c r="Q713" s="77" t="str">
        <f>VLOOKUP(J713,'p1'!$B$2:$C$30,2,0)</f>
        <v>NÃO TEM CHAPA</v>
      </c>
      <c r="R713" s="91"/>
      <c r="S713" s="91"/>
      <c r="T713" s="91" t="str">
        <f t="shared" si="46"/>
        <v/>
      </c>
      <c r="U713" s="91"/>
      <c r="V713" s="91"/>
      <c r="W713" s="93"/>
      <c r="X713" s="94" t="str">
        <f t="shared" si="47"/>
        <v/>
      </c>
      <c r="Y713"/>
    </row>
    <row r="714" spans="1:25">
      <c r="A714" s="90">
        <v>713</v>
      </c>
      <c r="B714" s="68"/>
      <c r="C714" s="40"/>
      <c r="D714" s="40" t="str">
        <f t="shared" si="44"/>
        <v/>
      </c>
      <c r="E714" s="65" t="s">
        <v>163</v>
      </c>
      <c r="F714" s="17" t="s">
        <v>58</v>
      </c>
      <c r="G714" s="17" t="s">
        <v>86</v>
      </c>
      <c r="H714" s="42" t="s">
        <v>950</v>
      </c>
      <c r="I714" s="17" t="str">
        <f t="shared" si="45"/>
        <v>PN-713</v>
      </c>
      <c r="J714" s="18" t="s">
        <v>85</v>
      </c>
      <c r="K714" s="19" t="e">
        <f>IF(J714="","SEM #CH",VLOOKUP(J714,#REF!,2,0))</f>
        <v>#REF!</v>
      </c>
      <c r="L714" s="19" t="e">
        <f>IF(J714="","SEM #CH",VLOOKUP(J714,#REF!,3,0))</f>
        <v>#REF!</v>
      </c>
      <c r="M714" s="19" t="e">
        <f>IF(J714="","SEM #CH",VLOOKUP(J714,#REF!,4,0))</f>
        <v>#REF!</v>
      </c>
      <c r="N714" s="19" t="e">
        <f>IF(J714="","SEM #CH",VLOOKUP(J714,#REF!,5,0))</f>
        <v>#REF!</v>
      </c>
      <c r="O714" s="19" t="e">
        <f>IF(J714="","SEM #CH",VLOOKUP(J714,#REF!,6,0))</f>
        <v>#REF!</v>
      </c>
      <c r="P714" s="19" t="e">
        <f>IF(J714="","SEM #CH",VLOOKUP(J714,#REF!,7,0))</f>
        <v>#REF!</v>
      </c>
      <c r="Q714" s="77" t="str">
        <f>VLOOKUP(J714,'p1'!$B$2:$C$30,2,0)</f>
        <v>NÃO TEM CHAPA</v>
      </c>
      <c r="R714" s="91"/>
      <c r="S714" s="91"/>
      <c r="T714" s="91" t="str">
        <f t="shared" si="46"/>
        <v/>
      </c>
      <c r="U714" s="91"/>
      <c r="V714" s="91"/>
      <c r="W714" s="93"/>
      <c r="X714" s="94" t="str">
        <f t="shared" si="47"/>
        <v/>
      </c>
      <c r="Y714"/>
    </row>
    <row r="715" spans="1:25">
      <c r="A715" s="90">
        <v>714</v>
      </c>
      <c r="B715" s="68"/>
      <c r="C715" s="40"/>
      <c r="D715" s="40" t="str">
        <f t="shared" si="44"/>
        <v/>
      </c>
      <c r="E715" s="65" t="s">
        <v>163</v>
      </c>
      <c r="F715" s="17" t="s">
        <v>61</v>
      </c>
      <c r="G715" s="17" t="s">
        <v>86</v>
      </c>
      <c r="H715" s="42" t="s">
        <v>951</v>
      </c>
      <c r="I715" s="17" t="str">
        <f t="shared" si="45"/>
        <v>PF-714</v>
      </c>
      <c r="J715" s="18" t="s">
        <v>61</v>
      </c>
      <c r="K715" s="19" t="e">
        <f>IF(J715="","SEM #CH",VLOOKUP(J715,#REF!,2,0))</f>
        <v>#REF!</v>
      </c>
      <c r="L715" s="19" t="e">
        <f>IF(J715="","SEM #CH",VLOOKUP(J715,#REF!,3,0))</f>
        <v>#REF!</v>
      </c>
      <c r="M715" s="19" t="e">
        <f>IF(J715="","SEM #CH",VLOOKUP(J715,#REF!,4,0))</f>
        <v>#REF!</v>
      </c>
      <c r="N715" s="19" t="e">
        <f>IF(J715="","SEM #CH",VLOOKUP(J715,#REF!,5,0))</f>
        <v>#REF!</v>
      </c>
      <c r="O715" s="19" t="e">
        <f>IF(J715="","SEM #CH",VLOOKUP(J715,#REF!,6,0))</f>
        <v>#REF!</v>
      </c>
      <c r="P715" s="19" t="e">
        <f>IF(J715="","SEM #CH",VLOOKUP(J715,#REF!,7,0))</f>
        <v>#REF!</v>
      </c>
      <c r="Q715" s="77" t="str">
        <f>VLOOKUP(J715,'p1'!$B$2:$C$30,2,0)</f>
        <v>SEM CHAPA</v>
      </c>
      <c r="R715" s="91"/>
      <c r="S715" s="91"/>
      <c r="T715" s="91" t="str">
        <f t="shared" si="46"/>
        <v/>
      </c>
      <c r="U715" s="91"/>
      <c r="V715" s="91"/>
      <c r="W715" s="93"/>
      <c r="X715" s="94" t="str">
        <f t="shared" si="47"/>
        <v/>
      </c>
      <c r="Y715"/>
    </row>
    <row r="716" spans="1:25">
      <c r="A716" s="90">
        <v>715</v>
      </c>
      <c r="B716" s="68"/>
      <c r="C716" s="40"/>
      <c r="D716" s="40" t="str">
        <f t="shared" si="44"/>
        <v/>
      </c>
      <c r="E716" s="65" t="s">
        <v>163</v>
      </c>
      <c r="F716" s="17" t="s">
        <v>58</v>
      </c>
      <c r="G716" s="17" t="s">
        <v>86</v>
      </c>
      <c r="H716" s="42" t="s">
        <v>952</v>
      </c>
      <c r="I716" s="17" t="str">
        <f t="shared" si="45"/>
        <v>PN-715</v>
      </c>
      <c r="J716" s="18" t="s">
        <v>85</v>
      </c>
      <c r="K716" s="19" t="e">
        <f>IF(J716="","SEM #CH",VLOOKUP(J716,#REF!,2,0))</f>
        <v>#REF!</v>
      </c>
      <c r="L716" s="19" t="e">
        <f>IF(J716="","SEM #CH",VLOOKUP(J716,#REF!,3,0))</f>
        <v>#REF!</v>
      </c>
      <c r="M716" s="19" t="e">
        <f>IF(J716="","SEM #CH",VLOOKUP(J716,#REF!,4,0))</f>
        <v>#REF!</v>
      </c>
      <c r="N716" s="19" t="e">
        <f>IF(J716="","SEM #CH",VLOOKUP(J716,#REF!,5,0))</f>
        <v>#REF!</v>
      </c>
      <c r="O716" s="19" t="e">
        <f>IF(J716="","SEM #CH",VLOOKUP(J716,#REF!,6,0))</f>
        <v>#REF!</v>
      </c>
      <c r="P716" s="19" t="e">
        <f>IF(J716="","SEM #CH",VLOOKUP(J716,#REF!,7,0))</f>
        <v>#REF!</v>
      </c>
      <c r="Q716" s="77" t="str">
        <f>VLOOKUP(J716,'p1'!$B$2:$C$30,2,0)</f>
        <v>NÃO TEM CHAPA</v>
      </c>
      <c r="R716" s="91"/>
      <c r="S716" s="91"/>
      <c r="T716" s="91" t="str">
        <f t="shared" si="46"/>
        <v/>
      </c>
      <c r="U716" s="91"/>
      <c r="V716" s="91"/>
      <c r="W716" s="93"/>
      <c r="X716" s="94" t="str">
        <f t="shared" si="47"/>
        <v/>
      </c>
      <c r="Y716"/>
    </row>
    <row r="717" spans="1:25">
      <c r="A717" s="90">
        <v>716</v>
      </c>
      <c r="B717" s="68"/>
      <c r="C717" s="40"/>
      <c r="D717" s="40" t="str">
        <f t="shared" si="44"/>
        <v/>
      </c>
      <c r="E717" s="65" t="s">
        <v>163</v>
      </c>
      <c r="F717" s="17" t="s">
        <v>58</v>
      </c>
      <c r="G717" s="17" t="s">
        <v>86</v>
      </c>
      <c r="H717" s="42" t="s">
        <v>953</v>
      </c>
      <c r="I717" s="17" t="str">
        <f t="shared" si="45"/>
        <v>PN-716</v>
      </c>
      <c r="J717" s="18" t="s">
        <v>85</v>
      </c>
      <c r="K717" s="19" t="e">
        <f>IF(J717="","SEM #CH",VLOOKUP(J717,#REF!,2,0))</f>
        <v>#REF!</v>
      </c>
      <c r="L717" s="19" t="e">
        <f>IF(J717="","SEM #CH",VLOOKUP(J717,#REF!,3,0))</f>
        <v>#REF!</v>
      </c>
      <c r="M717" s="19" t="e">
        <f>IF(J717="","SEM #CH",VLOOKUP(J717,#REF!,4,0))</f>
        <v>#REF!</v>
      </c>
      <c r="N717" s="19" t="e">
        <f>IF(J717="","SEM #CH",VLOOKUP(J717,#REF!,5,0))</f>
        <v>#REF!</v>
      </c>
      <c r="O717" s="19" t="e">
        <f>IF(J717="","SEM #CH",VLOOKUP(J717,#REF!,6,0))</f>
        <v>#REF!</v>
      </c>
      <c r="P717" s="19" t="e">
        <f>IF(J717="","SEM #CH",VLOOKUP(J717,#REF!,7,0))</f>
        <v>#REF!</v>
      </c>
      <c r="Q717" s="77" t="str">
        <f>VLOOKUP(J717,'p1'!$B$2:$C$30,2,0)</f>
        <v>NÃO TEM CHAPA</v>
      </c>
      <c r="R717" s="91"/>
      <c r="S717" s="91"/>
      <c r="T717" s="91" t="str">
        <f t="shared" si="46"/>
        <v/>
      </c>
      <c r="U717" s="91"/>
      <c r="V717" s="91"/>
      <c r="W717" s="93"/>
      <c r="X717" s="94" t="str">
        <f t="shared" si="47"/>
        <v/>
      </c>
      <c r="Y717"/>
    </row>
    <row r="718" spans="1:25">
      <c r="A718" s="90">
        <v>717</v>
      </c>
      <c r="B718" s="68"/>
      <c r="C718" s="40"/>
      <c r="D718" s="40" t="str">
        <f t="shared" si="44"/>
        <v/>
      </c>
      <c r="E718" s="65" t="s">
        <v>163</v>
      </c>
      <c r="F718" s="17" t="s">
        <v>58</v>
      </c>
      <c r="G718" s="17" t="s">
        <v>86</v>
      </c>
      <c r="H718" s="42" t="s">
        <v>954</v>
      </c>
      <c r="I718" s="17" t="str">
        <f t="shared" si="45"/>
        <v>PN-717</v>
      </c>
      <c r="J718" s="18" t="s">
        <v>85</v>
      </c>
      <c r="K718" s="19" t="e">
        <f>IF(J718="","SEM #CH",VLOOKUP(J718,#REF!,2,0))</f>
        <v>#REF!</v>
      </c>
      <c r="L718" s="19" t="e">
        <f>IF(J718="","SEM #CH",VLOOKUP(J718,#REF!,3,0))</f>
        <v>#REF!</v>
      </c>
      <c r="M718" s="19" t="e">
        <f>IF(J718="","SEM #CH",VLOOKUP(J718,#REF!,4,0))</f>
        <v>#REF!</v>
      </c>
      <c r="N718" s="19" t="e">
        <f>IF(J718="","SEM #CH",VLOOKUP(J718,#REF!,5,0))</f>
        <v>#REF!</v>
      </c>
      <c r="O718" s="19" t="e">
        <f>IF(J718="","SEM #CH",VLOOKUP(J718,#REF!,6,0))</f>
        <v>#REF!</v>
      </c>
      <c r="P718" s="19" t="e">
        <f>IF(J718="","SEM #CH",VLOOKUP(J718,#REF!,7,0))</f>
        <v>#REF!</v>
      </c>
      <c r="Q718" s="77" t="str">
        <f>VLOOKUP(J718,'p1'!$B$2:$C$30,2,0)</f>
        <v>NÃO TEM CHAPA</v>
      </c>
      <c r="R718" s="91"/>
      <c r="S718" s="91"/>
      <c r="T718" s="91" t="str">
        <f t="shared" si="46"/>
        <v/>
      </c>
      <c r="U718" s="91"/>
      <c r="V718" s="91"/>
      <c r="W718" s="93"/>
      <c r="X718" s="94" t="str">
        <f t="shared" si="47"/>
        <v/>
      </c>
      <c r="Y718"/>
    </row>
    <row r="719" spans="1:25">
      <c r="A719" s="90">
        <v>718</v>
      </c>
      <c r="B719" s="68"/>
      <c r="C719" s="40"/>
      <c r="D719" s="40" t="str">
        <f t="shared" si="44"/>
        <v/>
      </c>
      <c r="E719" s="65" t="s">
        <v>163</v>
      </c>
      <c r="F719" s="17" t="s">
        <v>58</v>
      </c>
      <c r="G719" s="17" t="s">
        <v>86</v>
      </c>
      <c r="H719" s="42" t="s">
        <v>955</v>
      </c>
      <c r="I719" s="17" t="str">
        <f t="shared" si="45"/>
        <v>PN-718</v>
      </c>
      <c r="J719" s="18" t="s">
        <v>85</v>
      </c>
      <c r="K719" s="19" t="e">
        <f>IF(J719="","SEM #CH",VLOOKUP(J719,#REF!,2,0))</f>
        <v>#REF!</v>
      </c>
      <c r="L719" s="19" t="e">
        <f>IF(J719="","SEM #CH",VLOOKUP(J719,#REF!,3,0))</f>
        <v>#REF!</v>
      </c>
      <c r="M719" s="19" t="e">
        <f>IF(J719="","SEM #CH",VLOOKUP(J719,#REF!,4,0))</f>
        <v>#REF!</v>
      </c>
      <c r="N719" s="19" t="e">
        <f>IF(J719="","SEM #CH",VLOOKUP(J719,#REF!,5,0))</f>
        <v>#REF!</v>
      </c>
      <c r="O719" s="19" t="e">
        <f>IF(J719="","SEM #CH",VLOOKUP(J719,#REF!,6,0))</f>
        <v>#REF!</v>
      </c>
      <c r="P719" s="19" t="e">
        <f>IF(J719="","SEM #CH",VLOOKUP(J719,#REF!,7,0))</f>
        <v>#REF!</v>
      </c>
      <c r="Q719" s="77" t="str">
        <f>VLOOKUP(J719,'p1'!$B$2:$C$30,2,0)</f>
        <v>NÃO TEM CHAPA</v>
      </c>
      <c r="R719" s="91"/>
      <c r="S719" s="91"/>
      <c r="T719" s="91" t="str">
        <f t="shared" si="46"/>
        <v/>
      </c>
      <c r="U719" s="91"/>
      <c r="V719" s="91"/>
      <c r="W719" s="93"/>
      <c r="X719" s="94" t="str">
        <f t="shared" si="47"/>
        <v/>
      </c>
      <c r="Y719"/>
    </row>
    <row r="720" spans="1:25">
      <c r="A720" s="90">
        <v>719</v>
      </c>
      <c r="B720" s="68"/>
      <c r="C720" s="40"/>
      <c r="D720" s="40" t="str">
        <f t="shared" si="44"/>
        <v/>
      </c>
      <c r="E720" s="65" t="s">
        <v>163</v>
      </c>
      <c r="F720" s="17" t="s">
        <v>58</v>
      </c>
      <c r="G720" s="17" t="s">
        <v>86</v>
      </c>
      <c r="H720" s="42" t="s">
        <v>956</v>
      </c>
      <c r="I720" s="17" t="str">
        <f t="shared" si="45"/>
        <v>PN-719</v>
      </c>
      <c r="J720" s="18" t="s">
        <v>85</v>
      </c>
      <c r="K720" s="19" t="e">
        <f>IF(J720="","SEM #CH",VLOOKUP(J720,#REF!,2,0))</f>
        <v>#REF!</v>
      </c>
      <c r="L720" s="19" t="e">
        <f>IF(J720="","SEM #CH",VLOOKUP(J720,#REF!,3,0))</f>
        <v>#REF!</v>
      </c>
      <c r="M720" s="19" t="e">
        <f>IF(J720="","SEM #CH",VLOOKUP(J720,#REF!,4,0))</f>
        <v>#REF!</v>
      </c>
      <c r="N720" s="19" t="e">
        <f>IF(J720="","SEM #CH",VLOOKUP(J720,#REF!,5,0))</f>
        <v>#REF!</v>
      </c>
      <c r="O720" s="19" t="e">
        <f>IF(J720="","SEM #CH",VLOOKUP(J720,#REF!,6,0))</f>
        <v>#REF!</v>
      </c>
      <c r="P720" s="19" t="e">
        <f>IF(J720="","SEM #CH",VLOOKUP(J720,#REF!,7,0))</f>
        <v>#REF!</v>
      </c>
      <c r="Q720" s="77" t="str">
        <f>VLOOKUP(J720,'p1'!$B$2:$C$30,2,0)</f>
        <v>NÃO TEM CHAPA</v>
      </c>
      <c r="R720" s="91"/>
      <c r="S720" s="91"/>
      <c r="T720" s="91" t="str">
        <f t="shared" si="46"/>
        <v/>
      </c>
      <c r="U720" s="91"/>
      <c r="V720" s="91"/>
      <c r="W720" s="93"/>
      <c r="X720" s="94" t="str">
        <f t="shared" si="47"/>
        <v/>
      </c>
      <c r="Y720"/>
    </row>
    <row r="721" spans="1:25">
      <c r="A721" s="90">
        <v>720</v>
      </c>
      <c r="B721" s="68"/>
      <c r="C721" s="40"/>
      <c r="D721" s="40" t="str">
        <f t="shared" si="44"/>
        <v/>
      </c>
      <c r="E721" s="65" t="s">
        <v>163</v>
      </c>
      <c r="F721" s="17" t="s">
        <v>60</v>
      </c>
      <c r="G721" s="17" t="s">
        <v>86</v>
      </c>
      <c r="H721" s="42" t="s">
        <v>957</v>
      </c>
      <c r="I721" s="17" t="str">
        <f t="shared" si="45"/>
        <v>PE-720</v>
      </c>
      <c r="J721" s="18" t="s">
        <v>88</v>
      </c>
      <c r="K721" s="19" t="e">
        <f>IF(J721="","SEM #CH",VLOOKUP(J721,#REF!,2,0))</f>
        <v>#REF!</v>
      </c>
      <c r="L721" s="19" t="e">
        <f>IF(J721="","SEM #CH",VLOOKUP(J721,#REF!,3,0))</f>
        <v>#REF!</v>
      </c>
      <c r="M721" s="19" t="e">
        <f>IF(J721="","SEM #CH",VLOOKUP(J721,#REF!,4,0))</f>
        <v>#REF!</v>
      </c>
      <c r="N721" s="19" t="e">
        <f>IF(J721="","SEM #CH",VLOOKUP(J721,#REF!,5,0))</f>
        <v>#REF!</v>
      </c>
      <c r="O721" s="19" t="e">
        <f>IF(J721="","SEM #CH",VLOOKUP(J721,#REF!,6,0))</f>
        <v>#REF!</v>
      </c>
      <c r="P721" s="19" t="e">
        <f>IF(J721="","SEM #CH",VLOOKUP(J721,#REF!,7,0))</f>
        <v>#REF!</v>
      </c>
      <c r="Q721" s="77" t="str">
        <f>VLOOKUP(J721,'p1'!$B$2:$C$30,2,0)</f>
        <v>#3/8-1315X1315</v>
      </c>
      <c r="R721" s="91"/>
      <c r="S721" s="91"/>
      <c r="T721" s="91" t="str">
        <f t="shared" si="46"/>
        <v/>
      </c>
      <c r="U721" s="91"/>
      <c r="V721" s="91"/>
      <c r="W721" s="93"/>
      <c r="X721" s="94" t="str">
        <f t="shared" si="47"/>
        <v/>
      </c>
      <c r="Y721"/>
    </row>
    <row r="722" spans="1:25">
      <c r="A722" s="90">
        <v>721</v>
      </c>
      <c r="B722" s="68"/>
      <c r="C722" s="40"/>
      <c r="D722" s="40" t="str">
        <f t="shared" si="44"/>
        <v/>
      </c>
      <c r="E722" s="65" t="s">
        <v>163</v>
      </c>
      <c r="F722" s="17" t="s">
        <v>60</v>
      </c>
      <c r="G722" s="17" t="s">
        <v>86</v>
      </c>
      <c r="H722" s="42" t="s">
        <v>958</v>
      </c>
      <c r="I722" s="17" t="str">
        <f t="shared" si="45"/>
        <v>PE-721</v>
      </c>
      <c r="J722" s="18" t="s">
        <v>87</v>
      </c>
      <c r="K722" s="19" t="e">
        <f>IF(J722="","SEM #CH",VLOOKUP(J722,#REF!,2,0))</f>
        <v>#REF!</v>
      </c>
      <c r="L722" s="19" t="e">
        <f>IF(J722="","SEM #CH",VLOOKUP(J722,#REF!,3,0))</f>
        <v>#REF!</v>
      </c>
      <c r="M722" s="19" t="e">
        <f>IF(J722="","SEM #CH",VLOOKUP(J722,#REF!,4,0))</f>
        <v>#REF!</v>
      </c>
      <c r="N722" s="19" t="e">
        <f>IF(J722="","SEM #CH",VLOOKUP(J722,#REF!,5,0))</f>
        <v>#REF!</v>
      </c>
      <c r="O722" s="19" t="e">
        <f>IF(J722="","SEM #CH",VLOOKUP(J722,#REF!,6,0))</f>
        <v>#REF!</v>
      </c>
      <c r="P722" s="19" t="e">
        <f>IF(J722="","SEM #CH",VLOOKUP(J722,#REF!,7,0))</f>
        <v>#REF!</v>
      </c>
      <c r="Q722" s="77" t="str">
        <f>VLOOKUP(J722,'p1'!$B$2:$C$30,2,0)</f>
        <v>#3/8-1620X1620</v>
      </c>
      <c r="R722" s="91"/>
      <c r="S722" s="91"/>
      <c r="T722" s="91" t="str">
        <f t="shared" si="46"/>
        <v/>
      </c>
      <c r="U722" s="91"/>
      <c r="V722" s="91"/>
      <c r="W722" s="93"/>
      <c r="X722" s="94" t="str">
        <f t="shared" si="47"/>
        <v/>
      </c>
      <c r="Y722"/>
    </row>
    <row r="723" spans="1:25">
      <c r="A723" s="90">
        <v>722</v>
      </c>
      <c r="B723" s="68"/>
      <c r="C723" s="40"/>
      <c r="D723" s="40" t="str">
        <f t="shared" si="44"/>
        <v/>
      </c>
      <c r="E723" s="65" t="s">
        <v>163</v>
      </c>
      <c r="F723" s="17" t="s">
        <v>60</v>
      </c>
      <c r="G723" s="17" t="s">
        <v>86</v>
      </c>
      <c r="H723" s="42" t="s">
        <v>959</v>
      </c>
      <c r="I723" s="17" t="str">
        <f t="shared" si="45"/>
        <v>PE-722</v>
      </c>
      <c r="J723" s="18" t="s">
        <v>89</v>
      </c>
      <c r="K723" s="19" t="e">
        <f>IF(J723="","SEM #CH",VLOOKUP(J723,#REF!,2,0))</f>
        <v>#REF!</v>
      </c>
      <c r="L723" s="19" t="e">
        <f>IF(J723="","SEM #CH",VLOOKUP(J723,#REF!,3,0))</f>
        <v>#REF!</v>
      </c>
      <c r="M723" s="19" t="e">
        <f>IF(J723="","SEM #CH",VLOOKUP(J723,#REF!,4,0))</f>
        <v>#REF!</v>
      </c>
      <c r="N723" s="19" t="e">
        <f>IF(J723="","SEM #CH",VLOOKUP(J723,#REF!,5,0))</f>
        <v>#REF!</v>
      </c>
      <c r="O723" s="19" t="e">
        <f>IF(J723="","SEM #CH",VLOOKUP(J723,#REF!,6,0))</f>
        <v>#REF!</v>
      </c>
      <c r="P723" s="19" t="e">
        <f>IF(J723="","SEM #CH",VLOOKUP(J723,#REF!,7,0))</f>
        <v>#REF!</v>
      </c>
      <c r="Q723" s="77" t="str">
        <f>VLOOKUP(J723,'p1'!$B$2:$C$30,2,0)</f>
        <v>#3/8-1200X1200</v>
      </c>
      <c r="R723" s="91"/>
      <c r="S723" s="91"/>
      <c r="T723" s="91" t="str">
        <f t="shared" si="46"/>
        <v/>
      </c>
      <c r="U723" s="91"/>
      <c r="V723" s="91"/>
      <c r="W723" s="93"/>
      <c r="X723" s="94" t="str">
        <f t="shared" si="47"/>
        <v/>
      </c>
      <c r="Y723"/>
    </row>
    <row r="724" spans="1:25">
      <c r="A724" s="90">
        <v>723</v>
      </c>
      <c r="B724" s="68"/>
      <c r="C724" s="40"/>
      <c r="D724" s="40" t="str">
        <f t="shared" si="44"/>
        <v/>
      </c>
      <c r="E724" s="65" t="s">
        <v>163</v>
      </c>
      <c r="F724" s="17" t="s">
        <v>60</v>
      </c>
      <c r="G724" s="17" t="s">
        <v>86</v>
      </c>
      <c r="H724" s="42" t="s">
        <v>960</v>
      </c>
      <c r="I724" s="17" t="str">
        <f t="shared" si="45"/>
        <v>PE-723</v>
      </c>
      <c r="J724" s="18" t="s">
        <v>90</v>
      </c>
      <c r="K724" s="19" t="e">
        <f>IF(J724="","SEM #CH",VLOOKUP(J724,#REF!,2,0))</f>
        <v>#REF!</v>
      </c>
      <c r="L724" s="19" t="e">
        <f>IF(J724="","SEM #CH",VLOOKUP(J724,#REF!,3,0))</f>
        <v>#REF!</v>
      </c>
      <c r="M724" s="19" t="e">
        <f>IF(J724="","SEM #CH",VLOOKUP(J724,#REF!,4,0))</f>
        <v>#REF!</v>
      </c>
      <c r="N724" s="19" t="e">
        <f>IF(J724="","SEM #CH",VLOOKUP(J724,#REF!,5,0))</f>
        <v>#REF!</v>
      </c>
      <c r="O724" s="19" t="e">
        <f>IF(J724="","SEM #CH",VLOOKUP(J724,#REF!,6,0))</f>
        <v>#REF!</v>
      </c>
      <c r="P724" s="19" t="e">
        <f>IF(J724="","SEM #CH",VLOOKUP(J724,#REF!,7,0))</f>
        <v>#REF!</v>
      </c>
      <c r="Q724" s="77" t="str">
        <f>VLOOKUP(J724,'p1'!$B$2:$C$30,2,0)</f>
        <v>#3/8-530X530</v>
      </c>
      <c r="R724" s="91"/>
      <c r="S724" s="91"/>
      <c r="T724" s="91" t="str">
        <f t="shared" si="46"/>
        <v/>
      </c>
      <c r="U724" s="91"/>
      <c r="V724" s="91"/>
      <c r="W724" s="93"/>
      <c r="X724" s="94" t="str">
        <f t="shared" si="47"/>
        <v/>
      </c>
      <c r="Y724"/>
    </row>
    <row r="725" spans="1:25">
      <c r="A725" s="90">
        <v>724</v>
      </c>
      <c r="B725" s="68"/>
      <c r="C725" s="40"/>
      <c r="D725" s="40" t="str">
        <f t="shared" si="44"/>
        <v/>
      </c>
      <c r="E725" s="65" t="s">
        <v>163</v>
      </c>
      <c r="F725" s="17" t="s">
        <v>58</v>
      </c>
      <c r="G725" s="17" t="s">
        <v>86</v>
      </c>
      <c r="H725" s="42" t="s">
        <v>961</v>
      </c>
      <c r="I725" s="17" t="str">
        <f t="shared" si="45"/>
        <v>PN-724</v>
      </c>
      <c r="J725" s="18" t="s">
        <v>85</v>
      </c>
      <c r="K725" s="19" t="e">
        <f>IF(J725="","SEM #CH",VLOOKUP(J725,#REF!,2,0))</f>
        <v>#REF!</v>
      </c>
      <c r="L725" s="19" t="e">
        <f>IF(J725="","SEM #CH",VLOOKUP(J725,#REF!,3,0))</f>
        <v>#REF!</v>
      </c>
      <c r="M725" s="19" t="e">
        <f>IF(J725="","SEM #CH",VLOOKUP(J725,#REF!,4,0))</f>
        <v>#REF!</v>
      </c>
      <c r="N725" s="19" t="e">
        <f>IF(J725="","SEM #CH",VLOOKUP(J725,#REF!,5,0))</f>
        <v>#REF!</v>
      </c>
      <c r="O725" s="19" t="e">
        <f>IF(J725="","SEM #CH",VLOOKUP(J725,#REF!,6,0))</f>
        <v>#REF!</v>
      </c>
      <c r="P725" s="19" t="e">
        <f>IF(J725="","SEM #CH",VLOOKUP(J725,#REF!,7,0))</f>
        <v>#REF!</v>
      </c>
      <c r="Q725" s="77" t="str">
        <f>VLOOKUP(J725,'p1'!$B$2:$C$30,2,0)</f>
        <v>NÃO TEM CHAPA</v>
      </c>
      <c r="R725" s="91"/>
      <c r="S725" s="91"/>
      <c r="T725" s="91" t="str">
        <f t="shared" si="46"/>
        <v/>
      </c>
      <c r="U725" s="91"/>
      <c r="V725" s="91"/>
      <c r="W725" s="93"/>
      <c r="X725" s="94" t="str">
        <f t="shared" si="47"/>
        <v/>
      </c>
      <c r="Y725"/>
    </row>
    <row r="726" spans="1:25">
      <c r="A726" s="90">
        <v>725</v>
      </c>
      <c r="B726" s="68"/>
      <c r="C726" s="40"/>
      <c r="D726" s="40" t="str">
        <f t="shared" si="44"/>
        <v/>
      </c>
      <c r="E726" s="65" t="s">
        <v>163</v>
      </c>
      <c r="F726" s="17" t="s">
        <v>58</v>
      </c>
      <c r="G726" s="17" t="s">
        <v>86</v>
      </c>
      <c r="H726" s="42" t="s">
        <v>962</v>
      </c>
      <c r="I726" s="17" t="str">
        <f t="shared" si="45"/>
        <v>PN-725</v>
      </c>
      <c r="J726" s="18" t="s">
        <v>85</v>
      </c>
      <c r="K726" s="19" t="e">
        <f>IF(J726="","SEM #CH",VLOOKUP(J726,#REF!,2,0))</f>
        <v>#REF!</v>
      </c>
      <c r="L726" s="19" t="e">
        <f>IF(J726="","SEM #CH",VLOOKUP(J726,#REF!,3,0))</f>
        <v>#REF!</v>
      </c>
      <c r="M726" s="19" t="e">
        <f>IF(J726="","SEM #CH",VLOOKUP(J726,#REF!,4,0))</f>
        <v>#REF!</v>
      </c>
      <c r="N726" s="19" t="e">
        <f>IF(J726="","SEM #CH",VLOOKUP(J726,#REF!,5,0))</f>
        <v>#REF!</v>
      </c>
      <c r="O726" s="19" t="e">
        <f>IF(J726="","SEM #CH",VLOOKUP(J726,#REF!,6,0))</f>
        <v>#REF!</v>
      </c>
      <c r="P726" s="19" t="e">
        <f>IF(J726="","SEM #CH",VLOOKUP(J726,#REF!,7,0))</f>
        <v>#REF!</v>
      </c>
      <c r="Q726" s="77" t="str">
        <f>VLOOKUP(J726,'p1'!$B$2:$C$30,2,0)</f>
        <v>NÃO TEM CHAPA</v>
      </c>
      <c r="R726" s="91"/>
      <c r="S726" s="91"/>
      <c r="T726" s="91" t="str">
        <f t="shared" si="46"/>
        <v/>
      </c>
      <c r="U726" s="91"/>
      <c r="V726" s="91"/>
      <c r="W726" s="93"/>
      <c r="X726" s="94" t="str">
        <f t="shared" si="47"/>
        <v/>
      </c>
      <c r="Y726"/>
    </row>
    <row r="727" spans="1:25">
      <c r="A727" s="90">
        <v>726</v>
      </c>
      <c r="B727" s="68"/>
      <c r="C727" s="40"/>
      <c r="D727" s="40" t="str">
        <f t="shared" si="44"/>
        <v/>
      </c>
      <c r="E727" s="65" t="s">
        <v>163</v>
      </c>
      <c r="F727" s="17" t="s">
        <v>58</v>
      </c>
      <c r="G727" s="17" t="s">
        <v>86</v>
      </c>
      <c r="H727" s="42" t="s">
        <v>963</v>
      </c>
      <c r="I727" s="17" t="str">
        <f t="shared" si="45"/>
        <v>PN-726</v>
      </c>
      <c r="J727" s="18" t="s">
        <v>85</v>
      </c>
      <c r="K727" s="19" t="e">
        <f>IF(J727="","SEM #CH",VLOOKUP(J727,#REF!,2,0))</f>
        <v>#REF!</v>
      </c>
      <c r="L727" s="19" t="e">
        <f>IF(J727="","SEM #CH",VLOOKUP(J727,#REF!,3,0))</f>
        <v>#REF!</v>
      </c>
      <c r="M727" s="19" t="e">
        <f>IF(J727="","SEM #CH",VLOOKUP(J727,#REF!,4,0))</f>
        <v>#REF!</v>
      </c>
      <c r="N727" s="19" t="e">
        <f>IF(J727="","SEM #CH",VLOOKUP(J727,#REF!,5,0))</f>
        <v>#REF!</v>
      </c>
      <c r="O727" s="19" t="e">
        <f>IF(J727="","SEM #CH",VLOOKUP(J727,#REF!,6,0))</f>
        <v>#REF!</v>
      </c>
      <c r="P727" s="19" t="e">
        <f>IF(J727="","SEM #CH",VLOOKUP(J727,#REF!,7,0))</f>
        <v>#REF!</v>
      </c>
      <c r="Q727" s="77" t="str">
        <f>VLOOKUP(J727,'p1'!$B$2:$C$30,2,0)</f>
        <v>NÃO TEM CHAPA</v>
      </c>
      <c r="R727" s="91"/>
      <c r="S727" s="91"/>
      <c r="T727" s="91" t="str">
        <f t="shared" si="46"/>
        <v/>
      </c>
      <c r="U727" s="91"/>
      <c r="V727" s="91"/>
      <c r="W727" s="93"/>
      <c r="X727" s="94" t="str">
        <f t="shared" si="47"/>
        <v/>
      </c>
      <c r="Y727"/>
    </row>
    <row r="728" spans="1:25">
      <c r="A728" s="90">
        <v>727</v>
      </c>
      <c r="B728" s="68"/>
      <c r="C728" s="40"/>
      <c r="D728" s="40" t="str">
        <f t="shared" si="44"/>
        <v/>
      </c>
      <c r="E728" s="65" t="s">
        <v>163</v>
      </c>
      <c r="F728" s="17" t="s">
        <v>58</v>
      </c>
      <c r="G728" s="17" t="s">
        <v>86</v>
      </c>
      <c r="H728" s="42" t="s">
        <v>964</v>
      </c>
      <c r="I728" s="17" t="str">
        <f t="shared" si="45"/>
        <v>PN-727</v>
      </c>
      <c r="J728" s="18" t="s">
        <v>85</v>
      </c>
      <c r="K728" s="19" t="e">
        <f>IF(J728="","SEM #CH",VLOOKUP(J728,#REF!,2,0))</f>
        <v>#REF!</v>
      </c>
      <c r="L728" s="19" t="e">
        <f>IF(J728="","SEM #CH",VLOOKUP(J728,#REF!,3,0))</f>
        <v>#REF!</v>
      </c>
      <c r="M728" s="19" t="e">
        <f>IF(J728="","SEM #CH",VLOOKUP(J728,#REF!,4,0))</f>
        <v>#REF!</v>
      </c>
      <c r="N728" s="19" t="e">
        <f>IF(J728="","SEM #CH",VLOOKUP(J728,#REF!,5,0))</f>
        <v>#REF!</v>
      </c>
      <c r="O728" s="19" t="e">
        <f>IF(J728="","SEM #CH",VLOOKUP(J728,#REF!,6,0))</f>
        <v>#REF!</v>
      </c>
      <c r="P728" s="19" t="e">
        <f>IF(J728="","SEM #CH",VLOOKUP(J728,#REF!,7,0))</f>
        <v>#REF!</v>
      </c>
      <c r="Q728" s="77" t="str">
        <f>VLOOKUP(J728,'p1'!$B$2:$C$30,2,0)</f>
        <v>NÃO TEM CHAPA</v>
      </c>
      <c r="R728" s="91"/>
      <c r="S728" s="91"/>
      <c r="T728" s="91" t="str">
        <f t="shared" si="46"/>
        <v/>
      </c>
      <c r="U728" s="91"/>
      <c r="V728" s="91"/>
      <c r="W728" s="93"/>
      <c r="X728" s="94" t="str">
        <f t="shared" si="47"/>
        <v/>
      </c>
      <c r="Y728"/>
    </row>
    <row r="729" spans="1:25">
      <c r="A729" s="90">
        <v>728</v>
      </c>
      <c r="B729" s="68"/>
      <c r="C729" s="40"/>
      <c r="D729" s="40" t="str">
        <f t="shared" si="44"/>
        <v/>
      </c>
      <c r="E729" s="65" t="s">
        <v>163</v>
      </c>
      <c r="F729" s="17" t="s">
        <v>58</v>
      </c>
      <c r="G729" s="17" t="s">
        <v>86</v>
      </c>
      <c r="H729" s="42" t="s">
        <v>965</v>
      </c>
      <c r="I729" s="17" t="str">
        <f t="shared" si="45"/>
        <v>PN-728</v>
      </c>
      <c r="J729" s="18" t="s">
        <v>85</v>
      </c>
      <c r="K729" s="19" t="e">
        <f>IF(J729="","SEM #CH",VLOOKUP(J729,#REF!,2,0))</f>
        <v>#REF!</v>
      </c>
      <c r="L729" s="19" t="e">
        <f>IF(J729="","SEM #CH",VLOOKUP(J729,#REF!,3,0))</f>
        <v>#REF!</v>
      </c>
      <c r="M729" s="19" t="e">
        <f>IF(J729="","SEM #CH",VLOOKUP(J729,#REF!,4,0))</f>
        <v>#REF!</v>
      </c>
      <c r="N729" s="19" t="e">
        <f>IF(J729="","SEM #CH",VLOOKUP(J729,#REF!,5,0))</f>
        <v>#REF!</v>
      </c>
      <c r="O729" s="19" t="e">
        <f>IF(J729="","SEM #CH",VLOOKUP(J729,#REF!,6,0))</f>
        <v>#REF!</v>
      </c>
      <c r="P729" s="19" t="e">
        <f>IF(J729="","SEM #CH",VLOOKUP(J729,#REF!,7,0))</f>
        <v>#REF!</v>
      </c>
      <c r="Q729" s="77" t="str">
        <f>VLOOKUP(J729,'p1'!$B$2:$C$30,2,0)</f>
        <v>NÃO TEM CHAPA</v>
      </c>
      <c r="R729" s="91"/>
      <c r="S729" s="91"/>
      <c r="T729" s="91" t="str">
        <f t="shared" si="46"/>
        <v/>
      </c>
      <c r="U729" s="91"/>
      <c r="V729" s="91"/>
      <c r="W729" s="93"/>
      <c r="X729" s="94" t="str">
        <f t="shared" si="47"/>
        <v/>
      </c>
      <c r="Y729"/>
    </row>
    <row r="730" spans="1:25">
      <c r="A730" s="90">
        <v>729</v>
      </c>
      <c r="B730" s="68"/>
      <c r="C730" s="40"/>
      <c r="D730" s="40" t="str">
        <f t="shared" si="44"/>
        <v/>
      </c>
      <c r="E730" s="65" t="s">
        <v>163</v>
      </c>
      <c r="F730" s="17" t="s">
        <v>58</v>
      </c>
      <c r="G730" s="17" t="s">
        <v>86</v>
      </c>
      <c r="H730" s="42" t="s">
        <v>966</v>
      </c>
      <c r="I730" s="17" t="str">
        <f t="shared" si="45"/>
        <v>PN-729</v>
      </c>
      <c r="J730" s="18" t="s">
        <v>85</v>
      </c>
      <c r="K730" s="19" t="e">
        <f>IF(J730="","SEM #CH",VLOOKUP(J730,#REF!,2,0))</f>
        <v>#REF!</v>
      </c>
      <c r="L730" s="19" t="e">
        <f>IF(J730="","SEM #CH",VLOOKUP(J730,#REF!,3,0))</f>
        <v>#REF!</v>
      </c>
      <c r="M730" s="19" t="e">
        <f>IF(J730="","SEM #CH",VLOOKUP(J730,#REF!,4,0))</f>
        <v>#REF!</v>
      </c>
      <c r="N730" s="19" t="e">
        <f>IF(J730="","SEM #CH",VLOOKUP(J730,#REF!,5,0))</f>
        <v>#REF!</v>
      </c>
      <c r="O730" s="19" t="e">
        <f>IF(J730="","SEM #CH",VLOOKUP(J730,#REF!,6,0))</f>
        <v>#REF!</v>
      </c>
      <c r="P730" s="19" t="e">
        <f>IF(J730="","SEM #CH",VLOOKUP(J730,#REF!,7,0))</f>
        <v>#REF!</v>
      </c>
      <c r="Q730" s="77" t="str">
        <f>VLOOKUP(J730,'p1'!$B$2:$C$30,2,0)</f>
        <v>NÃO TEM CHAPA</v>
      </c>
      <c r="R730" s="91"/>
      <c r="S730" s="91"/>
      <c r="T730" s="91" t="str">
        <f t="shared" si="46"/>
        <v/>
      </c>
      <c r="U730" s="91"/>
      <c r="V730" s="91"/>
      <c r="W730" s="93"/>
      <c r="X730" s="94" t="str">
        <f t="shared" si="47"/>
        <v/>
      </c>
      <c r="Y730"/>
    </row>
    <row r="731" spans="1:25">
      <c r="A731" s="90">
        <v>730</v>
      </c>
      <c r="B731" s="68"/>
      <c r="C731" s="40"/>
      <c r="D731" s="40" t="str">
        <f t="shared" si="44"/>
        <v/>
      </c>
      <c r="E731" s="65" t="s">
        <v>163</v>
      </c>
      <c r="F731" s="17" t="s">
        <v>58</v>
      </c>
      <c r="G731" s="17" t="s">
        <v>86</v>
      </c>
      <c r="H731" s="42" t="s">
        <v>967</v>
      </c>
      <c r="I731" s="17" t="str">
        <f t="shared" si="45"/>
        <v>PN-730</v>
      </c>
      <c r="J731" s="18" t="s">
        <v>85</v>
      </c>
      <c r="K731" s="19" t="e">
        <f>IF(J731="","SEM #CH",VLOOKUP(J731,#REF!,2,0))</f>
        <v>#REF!</v>
      </c>
      <c r="L731" s="19" t="e">
        <f>IF(J731="","SEM #CH",VLOOKUP(J731,#REF!,3,0))</f>
        <v>#REF!</v>
      </c>
      <c r="M731" s="19" t="e">
        <f>IF(J731="","SEM #CH",VLOOKUP(J731,#REF!,4,0))</f>
        <v>#REF!</v>
      </c>
      <c r="N731" s="19" t="e">
        <f>IF(J731="","SEM #CH",VLOOKUP(J731,#REF!,5,0))</f>
        <v>#REF!</v>
      </c>
      <c r="O731" s="19" t="e">
        <f>IF(J731="","SEM #CH",VLOOKUP(J731,#REF!,6,0))</f>
        <v>#REF!</v>
      </c>
      <c r="P731" s="19" t="e">
        <f>IF(J731="","SEM #CH",VLOOKUP(J731,#REF!,7,0))</f>
        <v>#REF!</v>
      </c>
      <c r="Q731" s="77" t="str">
        <f>VLOOKUP(J731,'p1'!$B$2:$C$30,2,0)</f>
        <v>NÃO TEM CHAPA</v>
      </c>
      <c r="R731" s="91"/>
      <c r="S731" s="91"/>
      <c r="T731" s="91" t="str">
        <f t="shared" si="46"/>
        <v/>
      </c>
      <c r="U731" s="91"/>
      <c r="V731" s="91"/>
      <c r="W731" s="93"/>
      <c r="X731" s="94" t="str">
        <f t="shared" si="47"/>
        <v/>
      </c>
      <c r="Y731"/>
    </row>
    <row r="732" spans="1:25">
      <c r="A732" s="90">
        <v>731</v>
      </c>
      <c r="B732" s="68"/>
      <c r="C732" s="40"/>
      <c r="D732" s="40" t="str">
        <f t="shared" si="44"/>
        <v/>
      </c>
      <c r="E732" s="65" t="s">
        <v>163</v>
      </c>
      <c r="F732" s="17" t="s">
        <v>58</v>
      </c>
      <c r="G732" s="17" t="s">
        <v>86</v>
      </c>
      <c r="H732" s="42" t="s">
        <v>968</v>
      </c>
      <c r="I732" s="17" t="str">
        <f t="shared" si="45"/>
        <v>PN-731</v>
      </c>
      <c r="J732" s="18" t="s">
        <v>85</v>
      </c>
      <c r="K732" s="19" t="e">
        <f>IF(J732="","SEM #CH",VLOOKUP(J732,#REF!,2,0))</f>
        <v>#REF!</v>
      </c>
      <c r="L732" s="19" t="e">
        <f>IF(J732="","SEM #CH",VLOOKUP(J732,#REF!,3,0))</f>
        <v>#REF!</v>
      </c>
      <c r="M732" s="19" t="e">
        <f>IF(J732="","SEM #CH",VLOOKUP(J732,#REF!,4,0))</f>
        <v>#REF!</v>
      </c>
      <c r="N732" s="19" t="e">
        <f>IF(J732="","SEM #CH",VLOOKUP(J732,#REF!,5,0))</f>
        <v>#REF!</v>
      </c>
      <c r="O732" s="19" t="e">
        <f>IF(J732="","SEM #CH",VLOOKUP(J732,#REF!,6,0))</f>
        <v>#REF!</v>
      </c>
      <c r="P732" s="19" t="e">
        <f>IF(J732="","SEM #CH",VLOOKUP(J732,#REF!,7,0))</f>
        <v>#REF!</v>
      </c>
      <c r="Q732" s="77" t="str">
        <f>VLOOKUP(J732,'p1'!$B$2:$C$30,2,0)</f>
        <v>NÃO TEM CHAPA</v>
      </c>
      <c r="R732" s="91"/>
      <c r="S732" s="91"/>
      <c r="T732" s="91" t="str">
        <f t="shared" si="46"/>
        <v/>
      </c>
      <c r="U732" s="91"/>
      <c r="V732" s="91"/>
      <c r="W732" s="93"/>
      <c r="X732" s="94" t="str">
        <f t="shared" si="47"/>
        <v/>
      </c>
      <c r="Y732"/>
    </row>
    <row r="733" spans="1:25">
      <c r="A733" s="90">
        <v>732</v>
      </c>
      <c r="B733" s="68"/>
      <c r="C733" s="40"/>
      <c r="D733" s="40" t="str">
        <f t="shared" si="44"/>
        <v/>
      </c>
      <c r="E733" s="65" t="s">
        <v>163</v>
      </c>
      <c r="F733" s="17" t="s">
        <v>58</v>
      </c>
      <c r="G733" s="17" t="s">
        <v>86</v>
      </c>
      <c r="H733" s="42" t="s">
        <v>969</v>
      </c>
      <c r="I733" s="17" t="str">
        <f t="shared" si="45"/>
        <v>PN-732</v>
      </c>
      <c r="J733" s="18" t="s">
        <v>85</v>
      </c>
      <c r="K733" s="19" t="e">
        <f>IF(J733="","SEM #CH",VLOOKUP(J733,#REF!,2,0))</f>
        <v>#REF!</v>
      </c>
      <c r="L733" s="19" t="e">
        <f>IF(J733="","SEM #CH",VLOOKUP(J733,#REF!,3,0))</f>
        <v>#REF!</v>
      </c>
      <c r="M733" s="19" t="e">
        <f>IF(J733="","SEM #CH",VLOOKUP(J733,#REF!,4,0))</f>
        <v>#REF!</v>
      </c>
      <c r="N733" s="19" t="e">
        <f>IF(J733="","SEM #CH",VLOOKUP(J733,#REF!,5,0))</f>
        <v>#REF!</v>
      </c>
      <c r="O733" s="19" t="e">
        <f>IF(J733="","SEM #CH",VLOOKUP(J733,#REF!,6,0))</f>
        <v>#REF!</v>
      </c>
      <c r="P733" s="19" t="e">
        <f>IF(J733="","SEM #CH",VLOOKUP(J733,#REF!,7,0))</f>
        <v>#REF!</v>
      </c>
      <c r="Q733" s="77" t="str">
        <f>VLOOKUP(J733,'p1'!$B$2:$C$30,2,0)</f>
        <v>NÃO TEM CHAPA</v>
      </c>
      <c r="R733" s="91"/>
      <c r="S733" s="91"/>
      <c r="T733" s="91" t="str">
        <f t="shared" si="46"/>
        <v/>
      </c>
      <c r="U733" s="91"/>
      <c r="V733" s="91"/>
      <c r="W733" s="93"/>
      <c r="X733" s="94" t="str">
        <f t="shared" si="47"/>
        <v/>
      </c>
      <c r="Y733"/>
    </row>
    <row r="734" spans="1:25">
      <c r="A734" s="90">
        <v>733</v>
      </c>
      <c r="B734" s="68"/>
      <c r="C734" s="40"/>
      <c r="D734" s="40" t="str">
        <f t="shared" si="44"/>
        <v/>
      </c>
      <c r="E734" s="65" t="s">
        <v>163</v>
      </c>
      <c r="F734" s="17" t="s">
        <v>58</v>
      </c>
      <c r="G734" s="17" t="s">
        <v>86</v>
      </c>
      <c r="H734" s="42" t="s">
        <v>970</v>
      </c>
      <c r="I734" s="17" t="str">
        <f t="shared" si="45"/>
        <v>PN-733</v>
      </c>
      <c r="J734" s="18" t="s">
        <v>85</v>
      </c>
      <c r="K734" s="19" t="e">
        <f>IF(J734="","SEM #CH",VLOOKUP(J734,#REF!,2,0))</f>
        <v>#REF!</v>
      </c>
      <c r="L734" s="19" t="e">
        <f>IF(J734="","SEM #CH",VLOOKUP(J734,#REF!,3,0))</f>
        <v>#REF!</v>
      </c>
      <c r="M734" s="19" t="e">
        <f>IF(J734="","SEM #CH",VLOOKUP(J734,#REF!,4,0))</f>
        <v>#REF!</v>
      </c>
      <c r="N734" s="19" t="e">
        <f>IF(J734="","SEM #CH",VLOOKUP(J734,#REF!,5,0))</f>
        <v>#REF!</v>
      </c>
      <c r="O734" s="19" t="e">
        <f>IF(J734="","SEM #CH",VLOOKUP(J734,#REF!,6,0))</f>
        <v>#REF!</v>
      </c>
      <c r="P734" s="19" t="e">
        <f>IF(J734="","SEM #CH",VLOOKUP(J734,#REF!,7,0))</f>
        <v>#REF!</v>
      </c>
      <c r="Q734" s="77" t="str">
        <f>VLOOKUP(J734,'p1'!$B$2:$C$30,2,0)</f>
        <v>NÃO TEM CHAPA</v>
      </c>
      <c r="R734" s="91"/>
      <c r="S734" s="91"/>
      <c r="T734" s="91" t="str">
        <f t="shared" si="46"/>
        <v/>
      </c>
      <c r="U734" s="91"/>
      <c r="V734" s="91"/>
      <c r="W734" s="93"/>
      <c r="X734" s="94" t="str">
        <f t="shared" si="47"/>
        <v/>
      </c>
      <c r="Y734"/>
    </row>
    <row r="735" spans="1:25">
      <c r="A735" s="90">
        <v>734</v>
      </c>
      <c r="B735" s="68"/>
      <c r="C735" s="40"/>
      <c r="D735" s="40" t="str">
        <f t="shared" si="44"/>
        <v/>
      </c>
      <c r="E735" s="65" t="s">
        <v>163</v>
      </c>
      <c r="F735" s="17" t="s">
        <v>58</v>
      </c>
      <c r="G735" s="17" t="s">
        <v>86</v>
      </c>
      <c r="H735" s="42" t="s">
        <v>971</v>
      </c>
      <c r="I735" s="17" t="str">
        <f t="shared" si="45"/>
        <v>PN-734</v>
      </c>
      <c r="J735" s="18" t="s">
        <v>85</v>
      </c>
      <c r="K735" s="19" t="e">
        <f>IF(J735="","SEM #CH",VLOOKUP(J735,#REF!,2,0))</f>
        <v>#REF!</v>
      </c>
      <c r="L735" s="19" t="e">
        <f>IF(J735="","SEM #CH",VLOOKUP(J735,#REF!,3,0))</f>
        <v>#REF!</v>
      </c>
      <c r="M735" s="19" t="e">
        <f>IF(J735="","SEM #CH",VLOOKUP(J735,#REF!,4,0))</f>
        <v>#REF!</v>
      </c>
      <c r="N735" s="19" t="e">
        <f>IF(J735="","SEM #CH",VLOOKUP(J735,#REF!,5,0))</f>
        <v>#REF!</v>
      </c>
      <c r="O735" s="19" t="e">
        <f>IF(J735="","SEM #CH",VLOOKUP(J735,#REF!,6,0))</f>
        <v>#REF!</v>
      </c>
      <c r="P735" s="19" t="e">
        <f>IF(J735="","SEM #CH",VLOOKUP(J735,#REF!,7,0))</f>
        <v>#REF!</v>
      </c>
      <c r="Q735" s="77" t="str">
        <f>VLOOKUP(J735,'p1'!$B$2:$C$30,2,0)</f>
        <v>NÃO TEM CHAPA</v>
      </c>
      <c r="R735" s="91"/>
      <c r="S735" s="91"/>
      <c r="T735" s="91" t="str">
        <f t="shared" si="46"/>
        <v/>
      </c>
      <c r="U735" s="91"/>
      <c r="V735" s="91"/>
      <c r="W735" s="93"/>
      <c r="X735" s="94" t="str">
        <f t="shared" si="47"/>
        <v/>
      </c>
      <c r="Y735"/>
    </row>
    <row r="736" spans="1:25">
      <c r="A736" s="90">
        <v>735</v>
      </c>
      <c r="B736" s="68"/>
      <c r="C736" s="40"/>
      <c r="D736" s="40" t="str">
        <f t="shared" si="44"/>
        <v/>
      </c>
      <c r="E736" s="65" t="s">
        <v>163</v>
      </c>
      <c r="F736" s="17" t="s">
        <v>58</v>
      </c>
      <c r="G736" s="17" t="s">
        <v>86</v>
      </c>
      <c r="H736" s="42" t="s">
        <v>972</v>
      </c>
      <c r="I736" s="17" t="str">
        <f t="shared" si="45"/>
        <v>PN-735</v>
      </c>
      <c r="J736" s="18" t="s">
        <v>85</v>
      </c>
      <c r="K736" s="19" t="e">
        <f>IF(J736="","SEM #CH",VLOOKUP(J736,#REF!,2,0))</f>
        <v>#REF!</v>
      </c>
      <c r="L736" s="19" t="e">
        <f>IF(J736="","SEM #CH",VLOOKUP(J736,#REF!,3,0))</f>
        <v>#REF!</v>
      </c>
      <c r="M736" s="19" t="e">
        <f>IF(J736="","SEM #CH",VLOOKUP(J736,#REF!,4,0))</f>
        <v>#REF!</v>
      </c>
      <c r="N736" s="19" t="e">
        <f>IF(J736="","SEM #CH",VLOOKUP(J736,#REF!,5,0))</f>
        <v>#REF!</v>
      </c>
      <c r="O736" s="19" t="e">
        <f>IF(J736="","SEM #CH",VLOOKUP(J736,#REF!,6,0))</f>
        <v>#REF!</v>
      </c>
      <c r="P736" s="19" t="e">
        <f>IF(J736="","SEM #CH",VLOOKUP(J736,#REF!,7,0))</f>
        <v>#REF!</v>
      </c>
      <c r="Q736" s="77" t="str">
        <f>VLOOKUP(J736,'p1'!$B$2:$C$30,2,0)</f>
        <v>NÃO TEM CHAPA</v>
      </c>
      <c r="R736" s="91"/>
      <c r="S736" s="91"/>
      <c r="T736" s="91" t="str">
        <f t="shared" si="46"/>
        <v/>
      </c>
      <c r="U736" s="91"/>
      <c r="V736" s="91"/>
      <c r="W736" s="93"/>
      <c r="X736" s="94" t="str">
        <f t="shared" si="47"/>
        <v/>
      </c>
      <c r="Y736"/>
    </row>
    <row r="737" spans="1:25">
      <c r="A737" s="90">
        <v>736</v>
      </c>
      <c r="B737" s="68"/>
      <c r="C737" s="40"/>
      <c r="D737" s="40" t="str">
        <f t="shared" si="44"/>
        <v/>
      </c>
      <c r="E737" s="65" t="s">
        <v>163</v>
      </c>
      <c r="F737" s="17" t="s">
        <v>58</v>
      </c>
      <c r="G737" s="17" t="s">
        <v>86</v>
      </c>
      <c r="H737" s="42" t="s">
        <v>973</v>
      </c>
      <c r="I737" s="17" t="str">
        <f t="shared" si="45"/>
        <v>PN-736</v>
      </c>
      <c r="J737" s="18" t="s">
        <v>85</v>
      </c>
      <c r="K737" s="19" t="e">
        <f>IF(J737="","SEM #CH",VLOOKUP(J737,#REF!,2,0))</f>
        <v>#REF!</v>
      </c>
      <c r="L737" s="19" t="e">
        <f>IF(J737="","SEM #CH",VLOOKUP(J737,#REF!,3,0))</f>
        <v>#REF!</v>
      </c>
      <c r="M737" s="19" t="e">
        <f>IF(J737="","SEM #CH",VLOOKUP(J737,#REF!,4,0))</f>
        <v>#REF!</v>
      </c>
      <c r="N737" s="19" t="e">
        <f>IF(J737="","SEM #CH",VLOOKUP(J737,#REF!,5,0))</f>
        <v>#REF!</v>
      </c>
      <c r="O737" s="19" t="e">
        <f>IF(J737="","SEM #CH",VLOOKUP(J737,#REF!,6,0))</f>
        <v>#REF!</v>
      </c>
      <c r="P737" s="19" t="e">
        <f>IF(J737="","SEM #CH",VLOOKUP(J737,#REF!,7,0))</f>
        <v>#REF!</v>
      </c>
      <c r="Q737" s="77" t="str">
        <f>VLOOKUP(J737,'p1'!$B$2:$C$30,2,0)</f>
        <v>NÃO TEM CHAPA</v>
      </c>
      <c r="R737" s="91"/>
      <c r="S737" s="91"/>
      <c r="T737" s="91" t="str">
        <f t="shared" si="46"/>
        <v/>
      </c>
      <c r="U737" s="91"/>
      <c r="V737" s="91"/>
      <c r="W737" s="93"/>
      <c r="X737" s="94" t="str">
        <f t="shared" si="47"/>
        <v/>
      </c>
      <c r="Y737"/>
    </row>
    <row r="738" spans="1:25">
      <c r="A738" s="90">
        <v>737</v>
      </c>
      <c r="B738" s="68"/>
      <c r="C738" s="40"/>
      <c r="D738" s="40" t="str">
        <f t="shared" si="44"/>
        <v/>
      </c>
      <c r="E738" s="65" t="s">
        <v>163</v>
      </c>
      <c r="F738" s="17" t="s">
        <v>60</v>
      </c>
      <c r="G738" s="17" t="s">
        <v>86</v>
      </c>
      <c r="H738" s="42" t="s">
        <v>974</v>
      </c>
      <c r="I738" s="17" t="str">
        <f t="shared" si="45"/>
        <v>PE-737</v>
      </c>
      <c r="J738" s="18" t="s">
        <v>90</v>
      </c>
      <c r="K738" s="19" t="e">
        <f>IF(J738="","SEM #CH",VLOOKUP(J738,#REF!,2,0))</f>
        <v>#REF!</v>
      </c>
      <c r="L738" s="19" t="e">
        <f>IF(J738="","SEM #CH",VLOOKUP(J738,#REF!,3,0))</f>
        <v>#REF!</v>
      </c>
      <c r="M738" s="19" t="e">
        <f>IF(J738="","SEM #CH",VLOOKUP(J738,#REF!,4,0))</f>
        <v>#REF!</v>
      </c>
      <c r="N738" s="19" t="e">
        <f>IF(J738="","SEM #CH",VLOOKUP(J738,#REF!,5,0))</f>
        <v>#REF!</v>
      </c>
      <c r="O738" s="19" t="e">
        <f>IF(J738="","SEM #CH",VLOOKUP(J738,#REF!,6,0))</f>
        <v>#REF!</v>
      </c>
      <c r="P738" s="19" t="e">
        <f>IF(J738="","SEM #CH",VLOOKUP(J738,#REF!,7,0))</f>
        <v>#REF!</v>
      </c>
      <c r="Q738" s="77" t="str">
        <f>VLOOKUP(J738,'p1'!$B$2:$C$30,2,0)</f>
        <v>#3/8-530X530</v>
      </c>
      <c r="R738" s="91"/>
      <c r="S738" s="91"/>
      <c r="T738" s="91" t="str">
        <f t="shared" si="46"/>
        <v/>
      </c>
      <c r="U738" s="91"/>
      <c r="V738" s="91"/>
      <c r="W738" s="93"/>
      <c r="X738" s="94" t="str">
        <f t="shared" si="47"/>
        <v/>
      </c>
      <c r="Y738"/>
    </row>
    <row r="739" spans="1:25">
      <c r="A739" s="90">
        <v>738</v>
      </c>
      <c r="B739" s="68"/>
      <c r="C739" s="40"/>
      <c r="D739" s="40" t="str">
        <f t="shared" si="44"/>
        <v/>
      </c>
      <c r="E739" s="65" t="s">
        <v>163</v>
      </c>
      <c r="F739" s="17" t="s">
        <v>58</v>
      </c>
      <c r="G739" s="17" t="s">
        <v>86</v>
      </c>
      <c r="H739" s="42" t="s">
        <v>975</v>
      </c>
      <c r="I739" s="17" t="str">
        <f t="shared" si="45"/>
        <v>PN-738</v>
      </c>
      <c r="J739" s="18" t="s">
        <v>85</v>
      </c>
      <c r="K739" s="19" t="e">
        <f>IF(J739="","SEM #CH",VLOOKUP(J739,#REF!,2,0))</f>
        <v>#REF!</v>
      </c>
      <c r="L739" s="19" t="e">
        <f>IF(J739="","SEM #CH",VLOOKUP(J739,#REF!,3,0))</f>
        <v>#REF!</v>
      </c>
      <c r="M739" s="19" t="e">
        <f>IF(J739="","SEM #CH",VLOOKUP(J739,#REF!,4,0))</f>
        <v>#REF!</v>
      </c>
      <c r="N739" s="19" t="e">
        <f>IF(J739="","SEM #CH",VLOOKUP(J739,#REF!,5,0))</f>
        <v>#REF!</v>
      </c>
      <c r="O739" s="19" t="e">
        <f>IF(J739="","SEM #CH",VLOOKUP(J739,#REF!,6,0))</f>
        <v>#REF!</v>
      </c>
      <c r="P739" s="19" t="e">
        <f>IF(J739="","SEM #CH",VLOOKUP(J739,#REF!,7,0))</f>
        <v>#REF!</v>
      </c>
      <c r="Q739" s="77" t="str">
        <f>VLOOKUP(J739,'p1'!$B$2:$C$30,2,0)</f>
        <v>NÃO TEM CHAPA</v>
      </c>
      <c r="R739" s="91"/>
      <c r="S739" s="91"/>
      <c r="T739" s="91" t="str">
        <f t="shared" si="46"/>
        <v/>
      </c>
      <c r="U739" s="91"/>
      <c r="V739" s="91"/>
      <c r="W739" s="93"/>
      <c r="X739" s="94" t="str">
        <f t="shared" si="47"/>
        <v/>
      </c>
      <c r="Y739"/>
    </row>
    <row r="740" spans="1:25">
      <c r="A740" s="90">
        <v>739</v>
      </c>
      <c r="B740" s="68"/>
      <c r="C740" s="40"/>
      <c r="D740" s="40" t="str">
        <f t="shared" si="44"/>
        <v/>
      </c>
      <c r="E740" s="65" t="s">
        <v>163</v>
      </c>
      <c r="F740" s="17" t="s">
        <v>58</v>
      </c>
      <c r="G740" s="17" t="s">
        <v>86</v>
      </c>
      <c r="H740" s="42" t="s">
        <v>976</v>
      </c>
      <c r="I740" s="17" t="str">
        <f t="shared" si="45"/>
        <v>PN-739</v>
      </c>
      <c r="J740" s="18" t="s">
        <v>85</v>
      </c>
      <c r="K740" s="19" t="e">
        <f>IF(J740="","SEM #CH",VLOOKUP(J740,#REF!,2,0))</f>
        <v>#REF!</v>
      </c>
      <c r="L740" s="19" t="e">
        <f>IF(J740="","SEM #CH",VLOOKUP(J740,#REF!,3,0))</f>
        <v>#REF!</v>
      </c>
      <c r="M740" s="19" t="e">
        <f>IF(J740="","SEM #CH",VLOOKUP(J740,#REF!,4,0))</f>
        <v>#REF!</v>
      </c>
      <c r="N740" s="19" t="e">
        <f>IF(J740="","SEM #CH",VLOOKUP(J740,#REF!,5,0))</f>
        <v>#REF!</v>
      </c>
      <c r="O740" s="19" t="e">
        <f>IF(J740="","SEM #CH",VLOOKUP(J740,#REF!,6,0))</f>
        <v>#REF!</v>
      </c>
      <c r="P740" s="19" t="e">
        <f>IF(J740="","SEM #CH",VLOOKUP(J740,#REF!,7,0))</f>
        <v>#REF!</v>
      </c>
      <c r="Q740" s="77" t="str">
        <f>VLOOKUP(J740,'p1'!$B$2:$C$30,2,0)</f>
        <v>NÃO TEM CHAPA</v>
      </c>
      <c r="R740" s="91"/>
      <c r="S740" s="91"/>
      <c r="T740" s="91" t="str">
        <f t="shared" si="46"/>
        <v/>
      </c>
      <c r="U740" s="91"/>
      <c r="V740" s="91"/>
      <c r="W740" s="93"/>
      <c r="X740" s="94" t="str">
        <f t="shared" si="47"/>
        <v/>
      </c>
      <c r="Y740"/>
    </row>
    <row r="741" spans="1:25">
      <c r="A741" s="90">
        <v>740</v>
      </c>
      <c r="B741" s="68"/>
      <c r="C741" s="40"/>
      <c r="D741" s="40" t="str">
        <f t="shared" si="44"/>
        <v/>
      </c>
      <c r="E741" s="65" t="s">
        <v>163</v>
      </c>
      <c r="F741" s="17" t="s">
        <v>58</v>
      </c>
      <c r="G741" s="17" t="s">
        <v>86</v>
      </c>
      <c r="H741" s="42" t="s">
        <v>977</v>
      </c>
      <c r="I741" s="17" t="str">
        <f t="shared" si="45"/>
        <v>PN-740</v>
      </c>
      <c r="J741" s="18" t="s">
        <v>85</v>
      </c>
      <c r="K741" s="19" t="e">
        <f>IF(J741="","SEM #CH",VLOOKUP(J741,#REF!,2,0))</f>
        <v>#REF!</v>
      </c>
      <c r="L741" s="19" t="e">
        <f>IF(J741="","SEM #CH",VLOOKUP(J741,#REF!,3,0))</f>
        <v>#REF!</v>
      </c>
      <c r="M741" s="19" t="e">
        <f>IF(J741="","SEM #CH",VLOOKUP(J741,#REF!,4,0))</f>
        <v>#REF!</v>
      </c>
      <c r="N741" s="19" t="e">
        <f>IF(J741="","SEM #CH",VLOOKUP(J741,#REF!,5,0))</f>
        <v>#REF!</v>
      </c>
      <c r="O741" s="19" t="e">
        <f>IF(J741="","SEM #CH",VLOOKUP(J741,#REF!,6,0))</f>
        <v>#REF!</v>
      </c>
      <c r="P741" s="19" t="e">
        <f>IF(J741="","SEM #CH",VLOOKUP(J741,#REF!,7,0))</f>
        <v>#REF!</v>
      </c>
      <c r="Q741" s="77" t="str">
        <f>VLOOKUP(J741,'p1'!$B$2:$C$30,2,0)</f>
        <v>NÃO TEM CHAPA</v>
      </c>
      <c r="R741" s="91"/>
      <c r="S741" s="91"/>
      <c r="T741" s="91" t="str">
        <f t="shared" si="46"/>
        <v/>
      </c>
      <c r="U741" s="91"/>
      <c r="V741" s="91"/>
      <c r="W741" s="93"/>
      <c r="X741" s="94" t="str">
        <f t="shared" si="47"/>
        <v/>
      </c>
      <c r="Y741"/>
    </row>
    <row r="742" spans="1:25">
      <c r="A742" s="90">
        <v>741</v>
      </c>
      <c r="B742" s="68"/>
      <c r="C742" s="40"/>
      <c r="D742" s="40" t="str">
        <f t="shared" si="44"/>
        <v/>
      </c>
      <c r="E742" s="65" t="s">
        <v>163</v>
      </c>
      <c r="F742" s="17" t="s">
        <v>58</v>
      </c>
      <c r="G742" s="17" t="s">
        <v>86</v>
      </c>
      <c r="H742" s="42" t="s">
        <v>978</v>
      </c>
      <c r="I742" s="17" t="str">
        <f t="shared" si="45"/>
        <v>PN-741</v>
      </c>
      <c r="J742" s="18" t="s">
        <v>85</v>
      </c>
      <c r="K742" s="19" t="e">
        <f>IF(J742="","SEM #CH",VLOOKUP(J742,#REF!,2,0))</f>
        <v>#REF!</v>
      </c>
      <c r="L742" s="19" t="e">
        <f>IF(J742="","SEM #CH",VLOOKUP(J742,#REF!,3,0))</f>
        <v>#REF!</v>
      </c>
      <c r="M742" s="19" t="e">
        <f>IF(J742="","SEM #CH",VLOOKUP(J742,#REF!,4,0))</f>
        <v>#REF!</v>
      </c>
      <c r="N742" s="19" t="e">
        <f>IF(J742="","SEM #CH",VLOOKUP(J742,#REF!,5,0))</f>
        <v>#REF!</v>
      </c>
      <c r="O742" s="19" t="e">
        <f>IF(J742="","SEM #CH",VLOOKUP(J742,#REF!,6,0))</f>
        <v>#REF!</v>
      </c>
      <c r="P742" s="19" t="e">
        <f>IF(J742="","SEM #CH",VLOOKUP(J742,#REF!,7,0))</f>
        <v>#REF!</v>
      </c>
      <c r="Q742" s="77" t="str">
        <f>VLOOKUP(J742,'p1'!$B$2:$C$30,2,0)</f>
        <v>NÃO TEM CHAPA</v>
      </c>
      <c r="R742" s="91"/>
      <c r="S742" s="91"/>
      <c r="T742" s="91" t="str">
        <f t="shared" si="46"/>
        <v/>
      </c>
      <c r="U742" s="91"/>
      <c r="V742" s="91"/>
      <c r="W742" s="93"/>
      <c r="X742" s="94" t="str">
        <f t="shared" si="47"/>
        <v/>
      </c>
      <c r="Y742"/>
    </row>
    <row r="743" spans="1:25">
      <c r="A743" s="90">
        <v>742</v>
      </c>
      <c r="B743" s="68"/>
      <c r="C743" s="40"/>
      <c r="D743" s="40" t="str">
        <f t="shared" si="44"/>
        <v/>
      </c>
      <c r="E743" s="65" t="s">
        <v>163</v>
      </c>
      <c r="F743" s="17" t="s">
        <v>58</v>
      </c>
      <c r="G743" s="17" t="s">
        <v>86</v>
      </c>
      <c r="H743" s="42" t="s">
        <v>979</v>
      </c>
      <c r="I743" s="17" t="str">
        <f t="shared" si="45"/>
        <v>PN-742</v>
      </c>
      <c r="J743" s="18" t="s">
        <v>85</v>
      </c>
      <c r="K743" s="19" t="e">
        <f>IF(J743="","SEM #CH",VLOOKUP(J743,#REF!,2,0))</f>
        <v>#REF!</v>
      </c>
      <c r="L743" s="19" t="e">
        <f>IF(J743="","SEM #CH",VLOOKUP(J743,#REF!,3,0))</f>
        <v>#REF!</v>
      </c>
      <c r="M743" s="19" t="e">
        <f>IF(J743="","SEM #CH",VLOOKUP(J743,#REF!,4,0))</f>
        <v>#REF!</v>
      </c>
      <c r="N743" s="19" t="e">
        <f>IF(J743="","SEM #CH",VLOOKUP(J743,#REF!,5,0))</f>
        <v>#REF!</v>
      </c>
      <c r="O743" s="19" t="e">
        <f>IF(J743="","SEM #CH",VLOOKUP(J743,#REF!,6,0))</f>
        <v>#REF!</v>
      </c>
      <c r="P743" s="19" t="e">
        <f>IF(J743="","SEM #CH",VLOOKUP(J743,#REF!,7,0))</f>
        <v>#REF!</v>
      </c>
      <c r="Q743" s="77" t="str">
        <f>VLOOKUP(J743,'p1'!$B$2:$C$30,2,0)</f>
        <v>NÃO TEM CHAPA</v>
      </c>
      <c r="R743" s="91"/>
      <c r="S743" s="91"/>
      <c r="T743" s="91" t="str">
        <f t="shared" si="46"/>
        <v/>
      </c>
      <c r="U743" s="91"/>
      <c r="V743" s="91"/>
      <c r="W743" s="93"/>
      <c r="X743" s="94" t="str">
        <f t="shared" si="47"/>
        <v/>
      </c>
      <c r="Y743"/>
    </row>
    <row r="744" spans="1:25">
      <c r="A744" s="90">
        <v>743</v>
      </c>
      <c r="B744" s="68"/>
      <c r="C744" s="40"/>
      <c r="D744" s="40" t="str">
        <f t="shared" si="44"/>
        <v/>
      </c>
      <c r="E744" s="65" t="s">
        <v>163</v>
      </c>
      <c r="F744" s="17" t="s">
        <v>58</v>
      </c>
      <c r="G744" s="17" t="s">
        <v>86</v>
      </c>
      <c r="H744" s="42" t="s">
        <v>980</v>
      </c>
      <c r="I744" s="17" t="str">
        <f t="shared" si="45"/>
        <v>PN-743</v>
      </c>
      <c r="J744" s="18" t="s">
        <v>85</v>
      </c>
      <c r="K744" s="19" t="e">
        <f>IF(J744="","SEM #CH",VLOOKUP(J744,#REF!,2,0))</f>
        <v>#REF!</v>
      </c>
      <c r="L744" s="19" t="e">
        <f>IF(J744="","SEM #CH",VLOOKUP(J744,#REF!,3,0))</f>
        <v>#REF!</v>
      </c>
      <c r="M744" s="19" t="e">
        <f>IF(J744="","SEM #CH",VLOOKUP(J744,#REF!,4,0))</f>
        <v>#REF!</v>
      </c>
      <c r="N744" s="19" t="e">
        <f>IF(J744="","SEM #CH",VLOOKUP(J744,#REF!,5,0))</f>
        <v>#REF!</v>
      </c>
      <c r="O744" s="19" t="e">
        <f>IF(J744="","SEM #CH",VLOOKUP(J744,#REF!,6,0))</f>
        <v>#REF!</v>
      </c>
      <c r="P744" s="19" t="e">
        <f>IF(J744="","SEM #CH",VLOOKUP(J744,#REF!,7,0))</f>
        <v>#REF!</v>
      </c>
      <c r="Q744" s="77" t="str">
        <f>VLOOKUP(J744,'p1'!$B$2:$C$30,2,0)</f>
        <v>NÃO TEM CHAPA</v>
      </c>
      <c r="R744" s="91"/>
      <c r="S744" s="91"/>
      <c r="T744" s="91" t="str">
        <f t="shared" si="46"/>
        <v/>
      </c>
      <c r="U744" s="91"/>
      <c r="V744" s="91"/>
      <c r="W744" s="93"/>
      <c r="X744" s="94" t="str">
        <f t="shared" si="47"/>
        <v/>
      </c>
      <c r="Y744"/>
    </row>
    <row r="745" spans="1:25">
      <c r="A745" s="90">
        <v>744</v>
      </c>
      <c r="B745" s="68"/>
      <c r="C745" s="40"/>
      <c r="D745" s="40" t="str">
        <f t="shared" si="44"/>
        <v/>
      </c>
      <c r="E745" s="65" t="s">
        <v>163</v>
      </c>
      <c r="F745" s="17" t="s">
        <v>58</v>
      </c>
      <c r="G745" s="17" t="s">
        <v>86</v>
      </c>
      <c r="H745" s="42" t="s">
        <v>981</v>
      </c>
      <c r="I745" s="17" t="str">
        <f t="shared" si="45"/>
        <v>PN-744</v>
      </c>
      <c r="J745" s="18" t="s">
        <v>85</v>
      </c>
      <c r="K745" s="19" t="e">
        <f>IF(J745="","SEM #CH",VLOOKUP(J745,#REF!,2,0))</f>
        <v>#REF!</v>
      </c>
      <c r="L745" s="19" t="e">
        <f>IF(J745="","SEM #CH",VLOOKUP(J745,#REF!,3,0))</f>
        <v>#REF!</v>
      </c>
      <c r="M745" s="19" t="e">
        <f>IF(J745="","SEM #CH",VLOOKUP(J745,#REF!,4,0))</f>
        <v>#REF!</v>
      </c>
      <c r="N745" s="19" t="e">
        <f>IF(J745="","SEM #CH",VLOOKUP(J745,#REF!,5,0))</f>
        <v>#REF!</v>
      </c>
      <c r="O745" s="19" t="e">
        <f>IF(J745="","SEM #CH",VLOOKUP(J745,#REF!,6,0))</f>
        <v>#REF!</v>
      </c>
      <c r="P745" s="19" t="e">
        <f>IF(J745="","SEM #CH",VLOOKUP(J745,#REF!,7,0))</f>
        <v>#REF!</v>
      </c>
      <c r="Q745" s="77" t="str">
        <f>VLOOKUP(J745,'p1'!$B$2:$C$30,2,0)</f>
        <v>NÃO TEM CHAPA</v>
      </c>
      <c r="R745" s="91"/>
      <c r="S745" s="91"/>
      <c r="T745" s="91" t="str">
        <f t="shared" si="46"/>
        <v/>
      </c>
      <c r="U745" s="91"/>
      <c r="V745" s="91"/>
      <c r="W745" s="93"/>
      <c r="X745" s="94" t="str">
        <f t="shared" si="47"/>
        <v/>
      </c>
      <c r="Y745"/>
    </row>
    <row r="746" spans="1:25">
      <c r="A746" s="90">
        <v>745</v>
      </c>
      <c r="B746" s="68">
        <v>45839</v>
      </c>
      <c r="C746" s="40">
        <v>42</v>
      </c>
      <c r="D746" s="40">
        <f t="shared" si="44"/>
        <v>1</v>
      </c>
      <c r="E746" s="41" t="s">
        <v>1056</v>
      </c>
      <c r="F746" s="17" t="s">
        <v>58</v>
      </c>
      <c r="G746" s="17" t="s">
        <v>86</v>
      </c>
      <c r="H746" s="17">
        <v>1</v>
      </c>
      <c r="I746" s="17" t="str">
        <f t="shared" ref="I746:I751" si="48">_xlfn.CONCAT("PR_",F746,G746,H746)</f>
        <v>PR_PN-1</v>
      </c>
      <c r="J746" s="18" t="s">
        <v>124</v>
      </c>
      <c r="K746" s="19" t="e">
        <f>IF(J746="","SEM #CH",VLOOKUP(J746,#REF!,2,0))</f>
        <v>#REF!</v>
      </c>
      <c r="L746" s="19" t="e">
        <f>IF(J746="","SEM #CH",VLOOKUP(J746,#REF!,3,0))</f>
        <v>#REF!</v>
      </c>
      <c r="M746" s="19" t="e">
        <f>IF(J746="","SEM #CH",VLOOKUP(J746,#REF!,4,0))</f>
        <v>#REF!</v>
      </c>
      <c r="N746" s="19" t="e">
        <f>IF(J746="","SEM #CH",VLOOKUP(J746,#REF!,5,0))</f>
        <v>#REF!</v>
      </c>
      <c r="O746" s="19" t="e">
        <f>IF(J746="","SEM #CH",VLOOKUP(J746,#REF!,6,0))</f>
        <v>#REF!</v>
      </c>
      <c r="P746" s="19" t="e">
        <f>IF(J746="","SEM #CH",VLOOKUP(J746,#REF!,7,0))</f>
        <v>#REF!</v>
      </c>
      <c r="Q746" s="77" t="str">
        <f>VLOOKUP(J746,'p1'!$B$2:$C$30,2,0)</f>
        <v>02- 150X150 #3/8</v>
      </c>
      <c r="R746" s="91"/>
      <c r="S746" s="91" t="s">
        <v>222</v>
      </c>
      <c r="T746" s="91" t="str">
        <f t="shared" si="46"/>
        <v/>
      </c>
      <c r="U746" s="91"/>
      <c r="V746" s="91"/>
      <c r="W746" s="93"/>
      <c r="X746" s="94" t="str">
        <f t="shared" si="47"/>
        <v/>
      </c>
      <c r="Y746" s="13">
        <v>700</v>
      </c>
    </row>
    <row r="747" spans="1:25">
      <c r="A747" s="90">
        <v>746</v>
      </c>
      <c r="B747" s="68">
        <v>45733</v>
      </c>
      <c r="C747" s="40">
        <v>1</v>
      </c>
      <c r="D747" s="40">
        <f t="shared" si="44"/>
        <v>1</v>
      </c>
      <c r="E747" s="41" t="s">
        <v>1056</v>
      </c>
      <c r="F747" s="17" t="s">
        <v>58</v>
      </c>
      <c r="G747" s="17" t="s">
        <v>86</v>
      </c>
      <c r="H747" s="17">
        <v>2</v>
      </c>
      <c r="I747" s="17" t="str">
        <f t="shared" si="48"/>
        <v>PR_PN-2</v>
      </c>
      <c r="J747" s="18" t="s">
        <v>85</v>
      </c>
      <c r="K747" s="19" t="e">
        <f>IF(J747="","SEM #CH",VLOOKUP(J747,#REF!,2,0))</f>
        <v>#REF!</v>
      </c>
      <c r="L747" s="19" t="e">
        <f>IF(J747="","SEM #CH",VLOOKUP(J747,#REF!,3,0))</f>
        <v>#REF!</v>
      </c>
      <c r="M747" s="19" t="e">
        <f>IF(J747="","SEM #CH",VLOOKUP(J747,#REF!,4,0))</f>
        <v>#REF!</v>
      </c>
      <c r="N747" s="19" t="e">
        <f>IF(J747="","SEM #CH",VLOOKUP(J747,#REF!,5,0))</f>
        <v>#REF!</v>
      </c>
      <c r="O747" s="19" t="e">
        <f>IF(J747="","SEM #CH",VLOOKUP(J747,#REF!,6,0))</f>
        <v>#REF!</v>
      </c>
      <c r="P747" s="19" t="e">
        <f>IF(J747="","SEM #CH",VLOOKUP(J747,#REF!,7,0))</f>
        <v>#REF!</v>
      </c>
      <c r="Q747" s="77" t="str">
        <f>VLOOKUP(J747,'p1'!$B$2:$C$30,2,0)</f>
        <v>NÃO TEM CHAPA</v>
      </c>
      <c r="R747" s="95">
        <v>45741</v>
      </c>
      <c r="S747" s="91" t="s">
        <v>221</v>
      </c>
      <c r="T747" s="91">
        <f t="shared" si="46"/>
        <v>1</v>
      </c>
      <c r="U747" s="95">
        <v>45806</v>
      </c>
      <c r="V747" s="91" t="s">
        <v>986</v>
      </c>
      <c r="W747" s="93">
        <v>2355</v>
      </c>
      <c r="X747" s="94">
        <f t="shared" si="47"/>
        <v>1</v>
      </c>
    </row>
    <row r="748" spans="1:25">
      <c r="A748" s="90">
        <v>747</v>
      </c>
      <c r="B748" s="68">
        <v>45741</v>
      </c>
      <c r="C748" s="40">
        <v>2</v>
      </c>
      <c r="D748" s="40">
        <f t="shared" si="44"/>
        <v>1</v>
      </c>
      <c r="E748" s="41" t="s">
        <v>1056</v>
      </c>
      <c r="F748" s="17" t="s">
        <v>58</v>
      </c>
      <c r="G748" s="17" t="s">
        <v>86</v>
      </c>
      <c r="H748" s="17">
        <v>3</v>
      </c>
      <c r="I748" s="17" t="str">
        <f t="shared" si="48"/>
        <v>PR_PN-3</v>
      </c>
      <c r="J748" s="18" t="s">
        <v>85</v>
      </c>
      <c r="K748" s="19" t="e">
        <f>IF(J748="","SEM #CH",VLOOKUP(J748,#REF!,2,0))</f>
        <v>#REF!</v>
      </c>
      <c r="L748" s="19" t="e">
        <f>IF(J748="","SEM #CH",VLOOKUP(J748,#REF!,3,0))</f>
        <v>#REF!</v>
      </c>
      <c r="M748" s="19" t="e">
        <f>IF(J748="","SEM #CH",VLOOKUP(J748,#REF!,4,0))</f>
        <v>#REF!</v>
      </c>
      <c r="N748" s="19" t="e">
        <f>IF(J748="","SEM #CH",VLOOKUP(J748,#REF!,5,0))</f>
        <v>#REF!</v>
      </c>
      <c r="O748" s="19" t="e">
        <f>IF(J748="","SEM #CH",VLOOKUP(J748,#REF!,6,0))</f>
        <v>#REF!</v>
      </c>
      <c r="P748" s="19" t="e">
        <f>IF(J748="","SEM #CH",VLOOKUP(J748,#REF!,7,0))</f>
        <v>#REF!</v>
      </c>
      <c r="Q748" s="77" t="str">
        <f>VLOOKUP(J748,'p1'!$B$2:$C$30,2,0)</f>
        <v>NÃO TEM CHAPA</v>
      </c>
      <c r="R748" s="95">
        <v>45756</v>
      </c>
      <c r="S748" s="91" t="s">
        <v>221</v>
      </c>
      <c r="T748" s="91">
        <f t="shared" si="46"/>
        <v>1</v>
      </c>
      <c r="U748" s="95">
        <v>45805</v>
      </c>
      <c r="V748" s="91" t="s">
        <v>86</v>
      </c>
      <c r="W748" s="93">
        <v>2354</v>
      </c>
      <c r="X748" s="94">
        <f t="shared" si="47"/>
        <v>1</v>
      </c>
    </row>
    <row r="749" spans="1:25">
      <c r="A749" s="90">
        <v>748</v>
      </c>
      <c r="B749" s="68">
        <v>45742</v>
      </c>
      <c r="C749" s="40">
        <v>3</v>
      </c>
      <c r="D749" s="40">
        <f t="shared" si="44"/>
        <v>1</v>
      </c>
      <c r="E749" s="41" t="s">
        <v>1056</v>
      </c>
      <c r="F749" s="17" t="s">
        <v>58</v>
      </c>
      <c r="G749" s="17" t="s">
        <v>86</v>
      </c>
      <c r="H749" s="17">
        <v>4</v>
      </c>
      <c r="I749" s="17" t="str">
        <f t="shared" si="48"/>
        <v>PR_PN-4</v>
      </c>
      <c r="J749" s="18" t="s">
        <v>85</v>
      </c>
      <c r="K749" s="19" t="e">
        <f>IF(J749="","SEM #CH",VLOOKUP(J749,#REF!,2,0))</f>
        <v>#REF!</v>
      </c>
      <c r="L749" s="19" t="e">
        <f>IF(J749="","SEM #CH",VLOOKUP(J749,#REF!,3,0))</f>
        <v>#REF!</v>
      </c>
      <c r="M749" s="19" t="e">
        <f>IF(J749="","SEM #CH",VLOOKUP(J749,#REF!,4,0))</f>
        <v>#REF!</v>
      </c>
      <c r="N749" s="19" t="e">
        <f>IF(J749="","SEM #CH",VLOOKUP(J749,#REF!,5,0))</f>
        <v>#REF!</v>
      </c>
      <c r="O749" s="19" t="e">
        <f>IF(J749="","SEM #CH",VLOOKUP(J749,#REF!,6,0))</f>
        <v>#REF!</v>
      </c>
      <c r="P749" s="19" t="e">
        <f>IF(J749="","SEM #CH",VLOOKUP(J749,#REF!,7,0))</f>
        <v>#REF!</v>
      </c>
      <c r="Q749" s="77" t="str">
        <f>VLOOKUP(J749,'p1'!$B$2:$C$30,2,0)</f>
        <v>NÃO TEM CHAPA</v>
      </c>
      <c r="R749" s="95">
        <v>45752</v>
      </c>
      <c r="S749" s="91" t="s">
        <v>222</v>
      </c>
      <c r="T749" s="91">
        <f t="shared" si="46"/>
        <v>1</v>
      </c>
      <c r="U749" s="95">
        <v>45805</v>
      </c>
      <c r="V749" s="91" t="s">
        <v>86</v>
      </c>
      <c r="W749" s="93">
        <v>2353</v>
      </c>
      <c r="X749" s="94">
        <f t="shared" si="47"/>
        <v>1</v>
      </c>
    </row>
    <row r="750" spans="1:25">
      <c r="A750" s="90">
        <v>749</v>
      </c>
      <c r="B750" s="68">
        <v>45743</v>
      </c>
      <c r="C750" s="40">
        <v>4</v>
      </c>
      <c r="D750" s="40">
        <f t="shared" si="44"/>
        <v>1</v>
      </c>
      <c r="E750" s="41" t="s">
        <v>1056</v>
      </c>
      <c r="F750" s="17" t="s">
        <v>58</v>
      </c>
      <c r="G750" s="17" t="s">
        <v>86</v>
      </c>
      <c r="H750" s="17">
        <v>5</v>
      </c>
      <c r="I750" s="17" t="str">
        <f t="shared" si="48"/>
        <v>PR_PN-5</v>
      </c>
      <c r="J750" s="18" t="s">
        <v>85</v>
      </c>
      <c r="K750" s="19" t="e">
        <f>IF(J750="","SEM #CH",VLOOKUP(J750,#REF!,2,0))</f>
        <v>#REF!</v>
      </c>
      <c r="L750" s="19" t="e">
        <f>IF(J750="","SEM #CH",VLOOKUP(J750,#REF!,3,0))</f>
        <v>#REF!</v>
      </c>
      <c r="M750" s="19" t="e">
        <f>IF(J750="","SEM #CH",VLOOKUP(J750,#REF!,4,0))</f>
        <v>#REF!</v>
      </c>
      <c r="N750" s="19" t="e">
        <f>IF(J750="","SEM #CH",VLOOKUP(J750,#REF!,5,0))</f>
        <v>#REF!</v>
      </c>
      <c r="O750" s="19" t="e">
        <f>IF(J750="","SEM #CH",VLOOKUP(J750,#REF!,6,0))</f>
        <v>#REF!</v>
      </c>
      <c r="P750" s="19" t="e">
        <f>IF(J750="","SEM #CH",VLOOKUP(J750,#REF!,7,0))</f>
        <v>#REF!</v>
      </c>
      <c r="Q750" s="77" t="str">
        <f>VLOOKUP(J750,'p1'!$B$2:$C$30,2,0)</f>
        <v>NÃO TEM CHAPA</v>
      </c>
      <c r="R750" s="95">
        <v>45752</v>
      </c>
      <c r="S750" s="91" t="s">
        <v>221</v>
      </c>
      <c r="T750" s="91">
        <f t="shared" si="46"/>
        <v>1</v>
      </c>
      <c r="U750" s="95">
        <v>45805</v>
      </c>
      <c r="V750" s="91" t="s">
        <v>86</v>
      </c>
      <c r="W750" s="93">
        <v>2353</v>
      </c>
      <c r="X750" s="94">
        <f t="shared" si="47"/>
        <v>1</v>
      </c>
    </row>
    <row r="751" spans="1:25">
      <c r="A751" s="90">
        <v>750</v>
      </c>
      <c r="B751" s="68">
        <v>45744</v>
      </c>
      <c r="C751" s="40">
        <v>5</v>
      </c>
      <c r="D751" s="40">
        <f t="shared" si="44"/>
        <v>1</v>
      </c>
      <c r="E751" s="41" t="s">
        <v>1056</v>
      </c>
      <c r="F751" s="17" t="s">
        <v>58</v>
      </c>
      <c r="G751" s="17" t="s">
        <v>86</v>
      </c>
      <c r="H751" s="17">
        <v>6</v>
      </c>
      <c r="I751" s="17" t="str">
        <f t="shared" si="48"/>
        <v>PR_PN-6</v>
      </c>
      <c r="J751" s="18" t="s">
        <v>85</v>
      </c>
      <c r="K751" s="19" t="e">
        <f>IF(J751="","SEM #CH",VLOOKUP(J751,#REF!,2,0))</f>
        <v>#REF!</v>
      </c>
      <c r="L751" s="19" t="e">
        <f>IF(J751="","SEM #CH",VLOOKUP(J751,#REF!,3,0))</f>
        <v>#REF!</v>
      </c>
      <c r="M751" s="19" t="e">
        <f>IF(J751="","SEM #CH",VLOOKUP(J751,#REF!,4,0))</f>
        <v>#REF!</v>
      </c>
      <c r="N751" s="19" t="e">
        <f>IF(J751="","SEM #CH",VLOOKUP(J751,#REF!,5,0))</f>
        <v>#REF!</v>
      </c>
      <c r="O751" s="19" t="e">
        <f>IF(J751="","SEM #CH",VLOOKUP(J751,#REF!,6,0))</f>
        <v>#REF!</v>
      </c>
      <c r="P751" s="19" t="e">
        <f>IF(J751="","SEM #CH",VLOOKUP(J751,#REF!,7,0))</f>
        <v>#REF!</v>
      </c>
      <c r="Q751" s="77" t="str">
        <f>VLOOKUP(J751,'p1'!$B$2:$C$30,2,0)</f>
        <v>NÃO TEM CHAPA</v>
      </c>
      <c r="R751" s="95">
        <v>45758</v>
      </c>
      <c r="S751" s="91" t="s">
        <v>222</v>
      </c>
      <c r="T751" s="91">
        <f t="shared" si="46"/>
        <v>1</v>
      </c>
      <c r="U751" s="95">
        <v>45806</v>
      </c>
      <c r="V751" s="91" t="s">
        <v>987</v>
      </c>
      <c r="W751" s="93">
        <v>2356</v>
      </c>
      <c r="X751" s="94">
        <f t="shared" si="47"/>
        <v>1</v>
      </c>
    </row>
    <row r="752" spans="1:25">
      <c r="A752" s="90">
        <v>751</v>
      </c>
      <c r="B752" s="68">
        <v>45828</v>
      </c>
      <c r="C752" s="40">
        <v>38</v>
      </c>
      <c r="D752" s="40">
        <f t="shared" ref="D752:D783" si="49">IF(B752&gt;0,1,"")</f>
        <v>1</v>
      </c>
      <c r="E752" s="41" t="s">
        <v>1056</v>
      </c>
      <c r="F752" s="17" t="s">
        <v>124</v>
      </c>
      <c r="G752" s="17" t="s">
        <v>86</v>
      </c>
      <c r="H752" s="17">
        <v>7</v>
      </c>
      <c r="I752" s="17" t="str">
        <f t="shared" ref="I752:I783" si="50">_xlfn.CONCAT("PR_",F752,G752,H752)</f>
        <v>PR_PNI-7</v>
      </c>
      <c r="J752" s="18" t="s">
        <v>124</v>
      </c>
      <c r="K752" s="19" t="e">
        <f>IF(J752="","SEM #CH",VLOOKUP(J752,#REF!,2,0))</f>
        <v>#REF!</v>
      </c>
      <c r="L752" s="19" t="e">
        <f>IF(J752="","SEM #CH",VLOOKUP(J752,#REF!,3,0))</f>
        <v>#REF!</v>
      </c>
      <c r="M752" s="19" t="e">
        <f>IF(J752="","SEM #CH",VLOOKUP(J752,#REF!,4,0))</f>
        <v>#REF!</v>
      </c>
      <c r="N752" s="19" t="e">
        <f>IF(J752="","SEM #CH",VLOOKUP(J752,#REF!,5,0))</f>
        <v>#REF!</v>
      </c>
      <c r="O752" s="19" t="e">
        <f>IF(J752="","SEM #CH",VLOOKUP(J752,#REF!,6,0))</f>
        <v>#REF!</v>
      </c>
      <c r="P752" s="19" t="e">
        <f>IF(J752="","SEM #CH",VLOOKUP(J752,#REF!,7,0))</f>
        <v>#REF!</v>
      </c>
      <c r="Q752" s="77" t="str">
        <f>VLOOKUP(J752,'p1'!$B$2:$C$30,2,0)</f>
        <v>02- 150X150 #3/8</v>
      </c>
      <c r="R752" s="91"/>
      <c r="S752" s="91" t="s">
        <v>222</v>
      </c>
      <c r="T752" s="91" t="str">
        <f t="shared" ref="T752:T783" si="51">IF(R752=0,"",1)</f>
        <v/>
      </c>
      <c r="U752" s="91"/>
      <c r="V752" s="91"/>
      <c r="W752" s="93"/>
      <c r="X752" s="94" t="str">
        <f t="shared" si="47"/>
        <v/>
      </c>
      <c r="Y752" s="13">
        <v>700</v>
      </c>
    </row>
    <row r="753" spans="1:25">
      <c r="A753" s="90">
        <v>752</v>
      </c>
      <c r="B753" s="68">
        <v>45747</v>
      </c>
      <c r="C753" s="40">
        <v>6</v>
      </c>
      <c r="D753" s="40">
        <f t="shared" si="49"/>
        <v>1</v>
      </c>
      <c r="E753" s="41" t="s">
        <v>1056</v>
      </c>
      <c r="F753" s="17" t="s">
        <v>58</v>
      </c>
      <c r="G753" s="17" t="s">
        <v>86</v>
      </c>
      <c r="H753" s="21">
        <v>8</v>
      </c>
      <c r="I753" s="17" t="str">
        <f t="shared" si="50"/>
        <v>PR_PN-8</v>
      </c>
      <c r="J753" s="18" t="s">
        <v>85</v>
      </c>
      <c r="K753" s="19" t="e">
        <f>IF(J753="","SEM #CH",VLOOKUP(J753,#REF!,2,0))</f>
        <v>#REF!</v>
      </c>
      <c r="L753" s="19" t="e">
        <f>IF(J753="","SEM #CH",VLOOKUP(J753,#REF!,3,0))</f>
        <v>#REF!</v>
      </c>
      <c r="M753" s="19" t="e">
        <f>IF(J753="","SEM #CH",VLOOKUP(J753,#REF!,4,0))</f>
        <v>#REF!</v>
      </c>
      <c r="N753" s="19" t="e">
        <f>IF(J753="","SEM #CH",VLOOKUP(J753,#REF!,5,0))</f>
        <v>#REF!</v>
      </c>
      <c r="O753" s="19" t="e">
        <f>IF(J753="","SEM #CH",VLOOKUP(J753,#REF!,6,0))</f>
        <v>#REF!</v>
      </c>
      <c r="P753" s="19" t="e">
        <f>IF(J753="","SEM #CH",VLOOKUP(J753,#REF!,7,0))</f>
        <v>#REF!</v>
      </c>
      <c r="Q753" s="77" t="str">
        <f>VLOOKUP(J753,'p1'!$B$2:$C$30,2,0)</f>
        <v>NÃO TEM CHAPA</v>
      </c>
      <c r="R753" s="95">
        <v>45758</v>
      </c>
      <c r="S753" s="91" t="s">
        <v>221</v>
      </c>
      <c r="T753" s="91">
        <f t="shared" si="51"/>
        <v>1</v>
      </c>
      <c r="U753" s="95">
        <v>45807</v>
      </c>
      <c r="V753" s="91" t="s">
        <v>989</v>
      </c>
      <c r="W753" s="93">
        <v>2358</v>
      </c>
      <c r="X753" s="94">
        <f t="shared" si="47"/>
        <v>1</v>
      </c>
    </row>
    <row r="754" spans="1:25">
      <c r="A754" s="90">
        <v>753</v>
      </c>
      <c r="B754" s="68">
        <v>45749</v>
      </c>
      <c r="C754" s="40">
        <v>7</v>
      </c>
      <c r="D754" s="40">
        <f t="shared" si="49"/>
        <v>1</v>
      </c>
      <c r="E754" s="41" t="s">
        <v>1056</v>
      </c>
      <c r="F754" s="17" t="s">
        <v>58</v>
      </c>
      <c r="G754" s="17" t="s">
        <v>86</v>
      </c>
      <c r="H754" s="17">
        <v>9</v>
      </c>
      <c r="I754" s="17" t="str">
        <f t="shared" si="50"/>
        <v>PR_PN-9</v>
      </c>
      <c r="J754" s="18" t="s">
        <v>85</v>
      </c>
      <c r="K754" s="19" t="e">
        <f>IF(J754="","SEM #CH",VLOOKUP(J754,#REF!,2,0))</f>
        <v>#REF!</v>
      </c>
      <c r="L754" s="19" t="e">
        <f>IF(J754="","SEM #CH",VLOOKUP(J754,#REF!,3,0))</f>
        <v>#REF!</v>
      </c>
      <c r="M754" s="19" t="e">
        <f>IF(J754="","SEM #CH",VLOOKUP(J754,#REF!,4,0))</f>
        <v>#REF!</v>
      </c>
      <c r="N754" s="19" t="e">
        <f>IF(J754="","SEM #CH",VLOOKUP(J754,#REF!,5,0))</f>
        <v>#REF!</v>
      </c>
      <c r="O754" s="19" t="e">
        <f>IF(J754="","SEM #CH",VLOOKUP(J754,#REF!,6,0))</f>
        <v>#REF!</v>
      </c>
      <c r="P754" s="19" t="e">
        <f>IF(J754="","SEM #CH",VLOOKUP(J754,#REF!,7,0))</f>
        <v>#REF!</v>
      </c>
      <c r="Q754" s="77" t="str">
        <f>VLOOKUP(J754,'p1'!$B$2:$C$30,2,0)</f>
        <v>NÃO TEM CHAPA</v>
      </c>
      <c r="R754" s="95">
        <v>45762</v>
      </c>
      <c r="S754" s="91" t="s">
        <v>222</v>
      </c>
      <c r="T754" s="91">
        <f t="shared" si="51"/>
        <v>1</v>
      </c>
      <c r="U754" s="95">
        <v>45805</v>
      </c>
      <c r="V754" s="91" t="s">
        <v>86</v>
      </c>
      <c r="W754" s="93">
        <v>2354</v>
      </c>
      <c r="X754" s="94">
        <f t="shared" si="47"/>
        <v>1</v>
      </c>
    </row>
    <row r="755" spans="1:25">
      <c r="A755" s="90">
        <v>754</v>
      </c>
      <c r="B755" s="68">
        <v>45750</v>
      </c>
      <c r="C755" s="40">
        <v>8</v>
      </c>
      <c r="D755" s="40">
        <f t="shared" si="49"/>
        <v>1</v>
      </c>
      <c r="E755" s="41" t="s">
        <v>1056</v>
      </c>
      <c r="F755" s="17" t="s">
        <v>58</v>
      </c>
      <c r="G755" s="17" t="s">
        <v>86</v>
      </c>
      <c r="H755" s="17">
        <v>10</v>
      </c>
      <c r="I755" s="17" t="str">
        <f t="shared" si="50"/>
        <v>PR_PN-10</v>
      </c>
      <c r="J755" s="18" t="s">
        <v>85</v>
      </c>
      <c r="K755" s="19" t="e">
        <f>IF(J755="","SEM #CH",VLOOKUP(J755,#REF!,2,0))</f>
        <v>#REF!</v>
      </c>
      <c r="L755" s="19" t="e">
        <f>IF(J755="","SEM #CH",VLOOKUP(J755,#REF!,3,0))</f>
        <v>#REF!</v>
      </c>
      <c r="M755" s="19" t="e">
        <f>IF(J755="","SEM #CH",VLOOKUP(J755,#REF!,4,0))</f>
        <v>#REF!</v>
      </c>
      <c r="N755" s="19" t="e">
        <f>IF(J755="","SEM #CH",VLOOKUP(J755,#REF!,5,0))</f>
        <v>#REF!</v>
      </c>
      <c r="O755" s="19" t="e">
        <f>IF(J755="","SEM #CH",VLOOKUP(J755,#REF!,6,0))</f>
        <v>#REF!</v>
      </c>
      <c r="P755" s="19" t="e">
        <f>IF(J755="","SEM #CH",VLOOKUP(J755,#REF!,7,0))</f>
        <v>#REF!</v>
      </c>
      <c r="Q755" s="77" t="str">
        <f>VLOOKUP(J755,'p1'!$B$2:$C$30,2,0)</f>
        <v>NÃO TEM CHAPA</v>
      </c>
      <c r="R755" s="95">
        <v>45805</v>
      </c>
      <c r="S755" s="91" t="s">
        <v>221</v>
      </c>
      <c r="T755" s="91">
        <f t="shared" si="51"/>
        <v>1</v>
      </c>
      <c r="U755" s="95">
        <v>45806</v>
      </c>
      <c r="V755" s="91" t="s">
        <v>986</v>
      </c>
      <c r="W755" s="93">
        <v>2355</v>
      </c>
      <c r="X755" s="94">
        <f t="shared" si="47"/>
        <v>1</v>
      </c>
    </row>
    <row r="756" spans="1:25">
      <c r="A756" s="90">
        <v>755</v>
      </c>
      <c r="B756" s="68">
        <v>45752</v>
      </c>
      <c r="C756" s="40">
        <v>9</v>
      </c>
      <c r="D756" s="40">
        <f t="shared" si="49"/>
        <v>1</v>
      </c>
      <c r="E756" s="41" t="s">
        <v>1056</v>
      </c>
      <c r="F756" s="17" t="s">
        <v>58</v>
      </c>
      <c r="G756" s="17" t="s">
        <v>86</v>
      </c>
      <c r="H756" s="17">
        <v>11</v>
      </c>
      <c r="I756" s="17" t="str">
        <f t="shared" si="50"/>
        <v>PR_PN-11</v>
      </c>
      <c r="J756" s="18" t="s">
        <v>85</v>
      </c>
      <c r="K756" s="19" t="e">
        <f>IF(J756="","SEM #CH",VLOOKUP(J756,#REF!,2,0))</f>
        <v>#REF!</v>
      </c>
      <c r="L756" s="19" t="e">
        <f>IF(J756="","SEM #CH",VLOOKUP(J756,#REF!,3,0))</f>
        <v>#REF!</v>
      </c>
      <c r="M756" s="19" t="e">
        <f>IF(J756="","SEM #CH",VLOOKUP(J756,#REF!,4,0))</f>
        <v>#REF!</v>
      </c>
      <c r="N756" s="19" t="e">
        <f>IF(J756="","SEM #CH",VLOOKUP(J756,#REF!,5,0))</f>
        <v>#REF!</v>
      </c>
      <c r="O756" s="19" t="e">
        <f>IF(J756="","SEM #CH",VLOOKUP(J756,#REF!,6,0))</f>
        <v>#REF!</v>
      </c>
      <c r="P756" s="19" t="e">
        <f>IF(J756="","SEM #CH",VLOOKUP(J756,#REF!,7,0))</f>
        <v>#REF!</v>
      </c>
      <c r="Q756" s="77" t="str">
        <f>VLOOKUP(J756,'p1'!$B$2:$C$30,2,0)</f>
        <v>NÃO TEM CHAPA</v>
      </c>
      <c r="R756" s="95">
        <v>45758</v>
      </c>
      <c r="S756" s="91" t="s">
        <v>222</v>
      </c>
      <c r="T756" s="91">
        <f t="shared" si="51"/>
        <v>1</v>
      </c>
      <c r="U756" s="95">
        <v>45805</v>
      </c>
      <c r="V756" s="91" t="s">
        <v>86</v>
      </c>
      <c r="W756" s="93">
        <v>2353</v>
      </c>
      <c r="X756" s="94">
        <f t="shared" si="47"/>
        <v>1</v>
      </c>
    </row>
    <row r="757" spans="1:25">
      <c r="A757" s="90">
        <v>756</v>
      </c>
      <c r="B757" s="68"/>
      <c r="C757" s="40"/>
      <c r="D757" s="40" t="str">
        <f t="shared" si="49"/>
        <v/>
      </c>
      <c r="E757" s="41" t="s">
        <v>1056</v>
      </c>
      <c r="F757" s="17" t="s">
        <v>60</v>
      </c>
      <c r="G757" s="17" t="s">
        <v>86</v>
      </c>
      <c r="H757" s="17">
        <v>12</v>
      </c>
      <c r="I757" s="17" t="str">
        <f t="shared" si="50"/>
        <v>PR_PE-12</v>
      </c>
      <c r="J757" s="18" t="s">
        <v>60</v>
      </c>
      <c r="K757" s="19" t="e">
        <f>IF(J757="","SEM #CH",VLOOKUP(J757,#REF!,2,0))</f>
        <v>#REF!</v>
      </c>
      <c r="L757" s="19" t="e">
        <f>IF(J757="","SEM #CH",VLOOKUP(J757,#REF!,3,0))</f>
        <v>#REF!</v>
      </c>
      <c r="M757" s="19" t="e">
        <f>IF(J757="","SEM #CH",VLOOKUP(J757,#REF!,4,0))</f>
        <v>#REF!</v>
      </c>
      <c r="N757" s="19" t="e">
        <f>IF(J757="","SEM #CH",VLOOKUP(J757,#REF!,5,0))</f>
        <v>#REF!</v>
      </c>
      <c r="O757" s="19" t="e">
        <f>IF(J757="","SEM #CH",VLOOKUP(J757,#REF!,6,0))</f>
        <v>#REF!</v>
      </c>
      <c r="P757" s="19" t="e">
        <f>IF(J757="","SEM #CH",VLOOKUP(J757,#REF!,7,0))</f>
        <v>#REF!</v>
      </c>
      <c r="Q757" s="77" t="str">
        <f>VLOOKUP(J757,'p1'!$B$2:$C$30,2,0)</f>
        <v>A DEFINIR</v>
      </c>
      <c r="R757" s="91"/>
      <c r="S757" s="91"/>
      <c r="T757" s="91" t="str">
        <f t="shared" si="51"/>
        <v/>
      </c>
      <c r="U757" s="91"/>
      <c r="V757" s="91"/>
      <c r="W757" s="93"/>
      <c r="X757" s="94" t="str">
        <f t="shared" si="47"/>
        <v/>
      </c>
    </row>
    <row r="758" spans="1:25">
      <c r="A758" s="90">
        <v>757</v>
      </c>
      <c r="B758" s="68">
        <v>45828</v>
      </c>
      <c r="C758" s="40">
        <v>38</v>
      </c>
      <c r="D758" s="40">
        <f t="shared" si="49"/>
        <v>1</v>
      </c>
      <c r="E758" s="41" t="s">
        <v>1056</v>
      </c>
      <c r="F758" s="17" t="s">
        <v>124</v>
      </c>
      <c r="G758" s="17" t="s">
        <v>86</v>
      </c>
      <c r="H758" s="17">
        <v>13</v>
      </c>
      <c r="I758" s="17" t="str">
        <f t="shared" si="50"/>
        <v>PR_PNI-13</v>
      </c>
      <c r="J758" s="18" t="s">
        <v>124</v>
      </c>
      <c r="K758" s="19" t="e">
        <f>IF(J758="","SEM #CH",VLOOKUP(J758,#REF!,2,0))</f>
        <v>#REF!</v>
      </c>
      <c r="L758" s="19" t="e">
        <f>IF(J758="","SEM #CH",VLOOKUP(J758,#REF!,3,0))</f>
        <v>#REF!</v>
      </c>
      <c r="M758" s="19" t="e">
        <f>IF(J758="","SEM #CH",VLOOKUP(J758,#REF!,4,0))</f>
        <v>#REF!</v>
      </c>
      <c r="N758" s="19" t="e">
        <f>IF(J758="","SEM #CH",VLOOKUP(J758,#REF!,5,0))</f>
        <v>#REF!</v>
      </c>
      <c r="O758" s="19" t="e">
        <f>IF(J758="","SEM #CH",VLOOKUP(J758,#REF!,6,0))</f>
        <v>#REF!</v>
      </c>
      <c r="P758" s="19" t="e">
        <f>IF(J758="","SEM #CH",VLOOKUP(J758,#REF!,7,0))</f>
        <v>#REF!</v>
      </c>
      <c r="Q758" s="77" t="str">
        <f>VLOOKUP(J758,'p1'!$B$2:$C$30,2,0)</f>
        <v>02- 150X150 #3/8</v>
      </c>
      <c r="R758" s="91"/>
      <c r="S758" s="91" t="s">
        <v>222</v>
      </c>
      <c r="T758" s="91" t="str">
        <f t="shared" si="51"/>
        <v/>
      </c>
      <c r="U758" s="91"/>
      <c r="V758" s="91"/>
      <c r="W758" s="93"/>
      <c r="X758" s="94" t="str">
        <f t="shared" si="47"/>
        <v/>
      </c>
      <c r="Y758" s="13">
        <v>700</v>
      </c>
    </row>
    <row r="759" spans="1:25">
      <c r="A759" s="90">
        <v>758</v>
      </c>
      <c r="B759" s="68">
        <v>45754</v>
      </c>
      <c r="C759" s="40">
        <v>10</v>
      </c>
      <c r="D759" s="40">
        <f t="shared" si="49"/>
        <v>1</v>
      </c>
      <c r="E759" s="41" t="s">
        <v>1056</v>
      </c>
      <c r="F759" s="17" t="s">
        <v>58</v>
      </c>
      <c r="G759" s="17" t="s">
        <v>86</v>
      </c>
      <c r="H759" s="17">
        <v>14</v>
      </c>
      <c r="I759" s="17" t="str">
        <f t="shared" si="50"/>
        <v>PR_PN-14</v>
      </c>
      <c r="J759" s="18" t="s">
        <v>85</v>
      </c>
      <c r="K759" s="19" t="e">
        <f>IF(J759="","SEM #CH",VLOOKUP(J759,#REF!,2,0))</f>
        <v>#REF!</v>
      </c>
      <c r="L759" s="19" t="e">
        <f>IF(J759="","SEM #CH",VLOOKUP(J759,#REF!,3,0))</f>
        <v>#REF!</v>
      </c>
      <c r="M759" s="19" t="e">
        <f>IF(J759="","SEM #CH",VLOOKUP(J759,#REF!,4,0))</f>
        <v>#REF!</v>
      </c>
      <c r="N759" s="19" t="e">
        <f>IF(J759="","SEM #CH",VLOOKUP(J759,#REF!,5,0))</f>
        <v>#REF!</v>
      </c>
      <c r="O759" s="19" t="e">
        <f>IF(J759="","SEM #CH",VLOOKUP(J759,#REF!,6,0))</f>
        <v>#REF!</v>
      </c>
      <c r="P759" s="19" t="e">
        <f>IF(J759="","SEM #CH",VLOOKUP(J759,#REF!,7,0))</f>
        <v>#REF!</v>
      </c>
      <c r="Q759" s="77" t="str">
        <f>VLOOKUP(J759,'p1'!$B$2:$C$30,2,0)</f>
        <v>NÃO TEM CHAPA</v>
      </c>
      <c r="R759" s="95">
        <v>45805</v>
      </c>
      <c r="S759" s="91" t="s">
        <v>221</v>
      </c>
      <c r="T759" s="91">
        <f t="shared" si="51"/>
        <v>1</v>
      </c>
      <c r="U759" s="95">
        <v>45806</v>
      </c>
      <c r="V759" s="91" t="s">
        <v>986</v>
      </c>
      <c r="W759" s="93">
        <v>2355</v>
      </c>
      <c r="X759" s="94">
        <f t="shared" si="47"/>
        <v>1</v>
      </c>
    </row>
    <row r="760" spans="1:25">
      <c r="A760" s="90">
        <v>759</v>
      </c>
      <c r="B760" s="68">
        <v>45755</v>
      </c>
      <c r="C760" s="40">
        <v>11</v>
      </c>
      <c r="D760" s="40">
        <f t="shared" si="49"/>
        <v>1</v>
      </c>
      <c r="E760" s="41" t="s">
        <v>1056</v>
      </c>
      <c r="F760" s="17" t="s">
        <v>58</v>
      </c>
      <c r="G760" s="17" t="s">
        <v>86</v>
      </c>
      <c r="H760" s="17">
        <v>15</v>
      </c>
      <c r="I760" s="17" t="str">
        <f t="shared" si="50"/>
        <v>PR_PN-15</v>
      </c>
      <c r="J760" s="18" t="s">
        <v>85</v>
      </c>
      <c r="K760" s="19" t="e">
        <f>IF(J760="","SEM #CH",VLOOKUP(J760,#REF!,2,0))</f>
        <v>#REF!</v>
      </c>
      <c r="L760" s="19" t="e">
        <f>IF(J760="","SEM #CH",VLOOKUP(J760,#REF!,3,0))</f>
        <v>#REF!</v>
      </c>
      <c r="M760" s="19" t="e">
        <f>IF(J760="","SEM #CH",VLOOKUP(J760,#REF!,4,0))</f>
        <v>#REF!</v>
      </c>
      <c r="N760" s="19" t="e">
        <f>IF(J760="","SEM #CH",VLOOKUP(J760,#REF!,5,0))</f>
        <v>#REF!</v>
      </c>
      <c r="O760" s="19" t="e">
        <f>IF(J760="","SEM #CH",VLOOKUP(J760,#REF!,6,0))</f>
        <v>#REF!</v>
      </c>
      <c r="P760" s="19" t="e">
        <f>IF(J760="","SEM #CH",VLOOKUP(J760,#REF!,7,0))</f>
        <v>#REF!</v>
      </c>
      <c r="Q760" s="77" t="str">
        <f>VLOOKUP(J760,'p1'!$B$2:$C$30,2,0)</f>
        <v>NÃO TEM CHAPA</v>
      </c>
      <c r="R760" s="95">
        <v>45762</v>
      </c>
      <c r="S760" s="91" t="s">
        <v>222</v>
      </c>
      <c r="T760" s="91">
        <f t="shared" si="51"/>
        <v>1</v>
      </c>
      <c r="U760" s="95">
        <v>45805</v>
      </c>
      <c r="V760" s="91" t="s">
        <v>86</v>
      </c>
      <c r="W760" s="93">
        <v>2354</v>
      </c>
      <c r="X760" s="94">
        <f t="shared" si="47"/>
        <v>1</v>
      </c>
    </row>
    <row r="761" spans="1:25">
      <c r="A761" s="90">
        <v>760</v>
      </c>
      <c r="B761" s="68">
        <v>45757</v>
      </c>
      <c r="C761" s="40">
        <v>12</v>
      </c>
      <c r="D761" s="40">
        <f t="shared" si="49"/>
        <v>1</v>
      </c>
      <c r="E761" s="41" t="s">
        <v>1056</v>
      </c>
      <c r="F761" s="17" t="s">
        <v>58</v>
      </c>
      <c r="G761" s="17" t="s">
        <v>86</v>
      </c>
      <c r="H761" s="17">
        <v>16</v>
      </c>
      <c r="I761" s="17" t="str">
        <f t="shared" si="50"/>
        <v>PR_PN-16</v>
      </c>
      <c r="J761" s="18" t="s">
        <v>85</v>
      </c>
      <c r="K761" s="19" t="e">
        <f>IF(J761="","SEM #CH",VLOOKUP(J761,#REF!,2,0))</f>
        <v>#REF!</v>
      </c>
      <c r="L761" s="19" t="e">
        <f>IF(J761="","SEM #CH",VLOOKUP(J761,#REF!,3,0))</f>
        <v>#REF!</v>
      </c>
      <c r="M761" s="19" t="e">
        <f>IF(J761="","SEM #CH",VLOOKUP(J761,#REF!,4,0))</f>
        <v>#REF!</v>
      </c>
      <c r="N761" s="19" t="e">
        <f>IF(J761="","SEM #CH",VLOOKUP(J761,#REF!,5,0))</f>
        <v>#REF!</v>
      </c>
      <c r="O761" s="19" t="e">
        <f>IF(J761="","SEM #CH",VLOOKUP(J761,#REF!,6,0))</f>
        <v>#REF!</v>
      </c>
      <c r="P761" s="19" t="e">
        <f>IF(J761="","SEM #CH",VLOOKUP(J761,#REF!,7,0))</f>
        <v>#REF!</v>
      </c>
      <c r="Q761" s="77" t="str">
        <f>VLOOKUP(J761,'p1'!$B$2:$C$30,2,0)</f>
        <v>NÃO TEM CHAPA</v>
      </c>
      <c r="R761" s="95">
        <v>45764</v>
      </c>
      <c r="S761" s="91" t="s">
        <v>221</v>
      </c>
      <c r="T761" s="91">
        <f t="shared" si="51"/>
        <v>1</v>
      </c>
      <c r="U761" s="95">
        <v>45799</v>
      </c>
      <c r="V761" s="91" t="s">
        <v>984</v>
      </c>
      <c r="W761" s="110">
        <v>2351</v>
      </c>
      <c r="X761" s="94">
        <f t="shared" si="47"/>
        <v>1</v>
      </c>
    </row>
    <row r="762" spans="1:25">
      <c r="A762" s="90">
        <v>761</v>
      </c>
      <c r="B762" s="68">
        <v>45758</v>
      </c>
      <c r="C762" s="40">
        <v>13</v>
      </c>
      <c r="D762" s="40">
        <f t="shared" si="49"/>
        <v>1</v>
      </c>
      <c r="E762" s="41" t="s">
        <v>1056</v>
      </c>
      <c r="F762" s="17" t="s">
        <v>58</v>
      </c>
      <c r="G762" s="17" t="s">
        <v>86</v>
      </c>
      <c r="H762" s="21">
        <v>17</v>
      </c>
      <c r="I762" s="17" t="str">
        <f t="shared" si="50"/>
        <v>PR_PN-17</v>
      </c>
      <c r="J762" s="18" t="s">
        <v>85</v>
      </c>
      <c r="K762" s="19" t="e">
        <f>IF(J762="","SEM #CH",VLOOKUP(J762,#REF!,2,0))</f>
        <v>#REF!</v>
      </c>
      <c r="L762" s="19" t="e">
        <f>IF(J762="","SEM #CH",VLOOKUP(J762,#REF!,3,0))</f>
        <v>#REF!</v>
      </c>
      <c r="M762" s="19" t="e">
        <f>IF(J762="","SEM #CH",VLOOKUP(J762,#REF!,4,0))</f>
        <v>#REF!</v>
      </c>
      <c r="N762" s="19" t="e">
        <f>IF(J762="","SEM #CH",VLOOKUP(J762,#REF!,5,0))</f>
        <v>#REF!</v>
      </c>
      <c r="O762" s="19" t="e">
        <f>IF(J762="","SEM #CH",VLOOKUP(J762,#REF!,6,0))</f>
        <v>#REF!</v>
      </c>
      <c r="P762" s="19" t="e">
        <f>IF(J762="","SEM #CH",VLOOKUP(J762,#REF!,7,0))</f>
        <v>#REF!</v>
      </c>
      <c r="Q762" s="77" t="str">
        <f>VLOOKUP(J762,'p1'!$B$2:$C$30,2,0)</f>
        <v>NÃO TEM CHAPA</v>
      </c>
      <c r="R762" s="95">
        <v>45807</v>
      </c>
      <c r="S762" s="91" t="s">
        <v>221</v>
      </c>
      <c r="T762" s="91">
        <f t="shared" si="51"/>
        <v>1</v>
      </c>
      <c r="U762" s="95">
        <v>45807</v>
      </c>
      <c r="V762" s="91" t="s">
        <v>989</v>
      </c>
      <c r="W762" s="93">
        <v>2358</v>
      </c>
      <c r="X762" s="94">
        <f t="shared" si="47"/>
        <v>1</v>
      </c>
    </row>
    <row r="763" spans="1:25">
      <c r="A763" s="90">
        <v>762</v>
      </c>
      <c r="B763" s="68">
        <v>45761</v>
      </c>
      <c r="C763" s="40">
        <v>14</v>
      </c>
      <c r="D763" s="40">
        <f t="shared" si="49"/>
        <v>1</v>
      </c>
      <c r="E763" s="41" t="s">
        <v>1056</v>
      </c>
      <c r="F763" s="17" t="s">
        <v>58</v>
      </c>
      <c r="G763" s="17" t="s">
        <v>86</v>
      </c>
      <c r="H763" s="21">
        <v>18</v>
      </c>
      <c r="I763" s="17" t="str">
        <f t="shared" si="50"/>
        <v>PR_PN-18</v>
      </c>
      <c r="J763" s="18" t="s">
        <v>85</v>
      </c>
      <c r="K763" s="19" t="e">
        <f>IF(J763="","SEM #CH",VLOOKUP(J763,#REF!,2,0))</f>
        <v>#REF!</v>
      </c>
      <c r="L763" s="19" t="e">
        <f>IF(J763="","SEM #CH",VLOOKUP(J763,#REF!,3,0))</f>
        <v>#REF!</v>
      </c>
      <c r="M763" s="19" t="e">
        <f>IF(J763="","SEM #CH",VLOOKUP(J763,#REF!,4,0))</f>
        <v>#REF!</v>
      </c>
      <c r="N763" s="19" t="e">
        <f>IF(J763="","SEM #CH",VLOOKUP(J763,#REF!,5,0))</f>
        <v>#REF!</v>
      </c>
      <c r="O763" s="19" t="e">
        <f>IF(J763="","SEM #CH",VLOOKUP(J763,#REF!,6,0))</f>
        <v>#REF!</v>
      </c>
      <c r="P763" s="19" t="e">
        <f>IF(J763="","SEM #CH",VLOOKUP(J763,#REF!,7,0))</f>
        <v>#REF!</v>
      </c>
      <c r="Q763" s="77" t="str">
        <f>VLOOKUP(J763,'p1'!$B$2:$C$30,2,0)</f>
        <v>NÃO TEM CHAPA</v>
      </c>
      <c r="R763" s="95">
        <v>45773</v>
      </c>
      <c r="S763" s="91" t="s">
        <v>221</v>
      </c>
      <c r="T763" s="91">
        <f t="shared" si="51"/>
        <v>1</v>
      </c>
      <c r="U763" s="95">
        <v>45807</v>
      </c>
      <c r="V763" s="91" t="s">
        <v>989</v>
      </c>
      <c r="W763" s="93">
        <v>2358</v>
      </c>
      <c r="X763" s="94">
        <f t="shared" si="47"/>
        <v>1</v>
      </c>
    </row>
    <row r="764" spans="1:25">
      <c r="A764" s="90">
        <v>763</v>
      </c>
      <c r="B764" s="68">
        <v>45828</v>
      </c>
      <c r="C764" s="40">
        <v>38</v>
      </c>
      <c r="D764" s="40">
        <f t="shared" si="49"/>
        <v>1</v>
      </c>
      <c r="E764" s="41" t="s">
        <v>1056</v>
      </c>
      <c r="F764" s="17" t="s">
        <v>124</v>
      </c>
      <c r="G764" s="17" t="s">
        <v>86</v>
      </c>
      <c r="H764" s="17">
        <v>19</v>
      </c>
      <c r="I764" s="17" t="str">
        <f t="shared" si="50"/>
        <v>PR_PNI-19</v>
      </c>
      <c r="J764" s="18" t="s">
        <v>124</v>
      </c>
      <c r="K764" s="19" t="e">
        <f>IF(J764="","SEM #CH",VLOOKUP(J764,#REF!,2,0))</f>
        <v>#REF!</v>
      </c>
      <c r="L764" s="19" t="e">
        <f>IF(J764="","SEM #CH",VLOOKUP(J764,#REF!,3,0))</f>
        <v>#REF!</v>
      </c>
      <c r="M764" s="19" t="e">
        <f>IF(J764="","SEM #CH",VLOOKUP(J764,#REF!,4,0))</f>
        <v>#REF!</v>
      </c>
      <c r="N764" s="19" t="e">
        <f>IF(J764="","SEM #CH",VLOOKUP(J764,#REF!,5,0))</f>
        <v>#REF!</v>
      </c>
      <c r="O764" s="19" t="e">
        <f>IF(J764="","SEM #CH",VLOOKUP(J764,#REF!,6,0))</f>
        <v>#REF!</v>
      </c>
      <c r="P764" s="19" t="e">
        <f>IF(J764="","SEM #CH",VLOOKUP(J764,#REF!,7,0))</f>
        <v>#REF!</v>
      </c>
      <c r="Q764" s="77" t="str">
        <f>VLOOKUP(J764,'p1'!$B$2:$C$30,2,0)</f>
        <v>02- 150X150 #3/8</v>
      </c>
      <c r="R764" s="91"/>
      <c r="S764" s="91" t="s">
        <v>222</v>
      </c>
      <c r="T764" s="91" t="str">
        <f t="shared" si="51"/>
        <v/>
      </c>
      <c r="U764" s="91"/>
      <c r="V764" s="91"/>
      <c r="W764" s="93"/>
      <c r="X764" s="94" t="str">
        <f t="shared" si="47"/>
        <v/>
      </c>
      <c r="Y764" s="13">
        <v>700</v>
      </c>
    </row>
    <row r="765" spans="1:25">
      <c r="A765" s="90">
        <v>764</v>
      </c>
      <c r="B765" s="68">
        <v>45762</v>
      </c>
      <c r="C765" s="40">
        <v>15</v>
      </c>
      <c r="D765" s="40">
        <f t="shared" si="49"/>
        <v>1</v>
      </c>
      <c r="E765" s="41" t="s">
        <v>1056</v>
      </c>
      <c r="F765" s="17" t="s">
        <v>58</v>
      </c>
      <c r="G765" s="17" t="s">
        <v>86</v>
      </c>
      <c r="H765" s="17">
        <v>20</v>
      </c>
      <c r="I765" s="17" t="str">
        <f t="shared" si="50"/>
        <v>PR_PN-20</v>
      </c>
      <c r="J765" s="18" t="s">
        <v>85</v>
      </c>
      <c r="K765" s="19" t="e">
        <f>IF(J765="","SEM #CH",VLOOKUP(J765,#REF!,2,0))</f>
        <v>#REF!</v>
      </c>
      <c r="L765" s="19" t="e">
        <f>IF(J765="","SEM #CH",VLOOKUP(J765,#REF!,3,0))</f>
        <v>#REF!</v>
      </c>
      <c r="M765" s="19" t="e">
        <f>IF(J765="","SEM #CH",VLOOKUP(J765,#REF!,4,0))</f>
        <v>#REF!</v>
      </c>
      <c r="N765" s="19" t="e">
        <f>IF(J765="","SEM #CH",VLOOKUP(J765,#REF!,5,0))</f>
        <v>#REF!</v>
      </c>
      <c r="O765" s="19" t="e">
        <f>IF(J765="","SEM #CH",VLOOKUP(J765,#REF!,6,0))</f>
        <v>#REF!</v>
      </c>
      <c r="P765" s="19" t="e">
        <f>IF(J765="","SEM #CH",VLOOKUP(J765,#REF!,7,0))</f>
        <v>#REF!</v>
      </c>
      <c r="Q765" s="77" t="str">
        <f>VLOOKUP(J765,'p1'!$B$2:$C$30,2,0)</f>
        <v>NÃO TEM CHAPA</v>
      </c>
      <c r="R765" s="95">
        <v>45771</v>
      </c>
      <c r="S765" s="91" t="s">
        <v>222</v>
      </c>
      <c r="T765" s="91">
        <f t="shared" si="51"/>
        <v>1</v>
      </c>
      <c r="U765" s="95">
        <v>45806</v>
      </c>
      <c r="V765" s="91" t="s">
        <v>987</v>
      </c>
      <c r="W765" s="93">
        <v>2356</v>
      </c>
      <c r="X765" s="94">
        <f t="shared" si="47"/>
        <v>1</v>
      </c>
    </row>
    <row r="766" spans="1:25">
      <c r="A766" s="90">
        <v>765</v>
      </c>
      <c r="B766" s="68">
        <v>45797</v>
      </c>
      <c r="C766" s="40">
        <v>29</v>
      </c>
      <c r="D766" s="40">
        <f t="shared" si="49"/>
        <v>1</v>
      </c>
      <c r="E766" s="41" t="s">
        <v>1056</v>
      </c>
      <c r="F766" s="17" t="s">
        <v>61</v>
      </c>
      <c r="G766" s="17" t="s">
        <v>86</v>
      </c>
      <c r="H766" s="21">
        <v>21</v>
      </c>
      <c r="I766" s="17" t="str">
        <f t="shared" si="50"/>
        <v>PR_PF-21</v>
      </c>
      <c r="J766" s="18" t="s">
        <v>61</v>
      </c>
      <c r="K766" s="19" t="e">
        <f>IF(J766="","SEM #CH",VLOOKUP(J766,#REF!,2,0))</f>
        <v>#REF!</v>
      </c>
      <c r="L766" s="19" t="e">
        <f>IF(J766="","SEM #CH",VLOOKUP(J766,#REF!,3,0))</f>
        <v>#REF!</v>
      </c>
      <c r="M766" s="19" t="e">
        <f>IF(J766="","SEM #CH",VLOOKUP(J766,#REF!,4,0))</f>
        <v>#REF!</v>
      </c>
      <c r="N766" s="19" t="e">
        <f>IF(J766="","SEM #CH",VLOOKUP(J766,#REF!,5,0))</f>
        <v>#REF!</v>
      </c>
      <c r="O766" s="19" t="e">
        <f>IF(J766="","SEM #CH",VLOOKUP(J766,#REF!,6,0))</f>
        <v>#REF!</v>
      </c>
      <c r="P766" s="19" t="e">
        <f>IF(J766="","SEM #CH",VLOOKUP(J766,#REF!,7,0))</f>
        <v>#REF!</v>
      </c>
      <c r="Q766" s="77" t="str">
        <f>VLOOKUP(J766,'p1'!$B$2:$C$30,2,0)</f>
        <v>SEM CHAPA</v>
      </c>
      <c r="R766" s="91"/>
      <c r="S766" s="91" t="s">
        <v>221</v>
      </c>
      <c r="T766" s="91" t="str">
        <f t="shared" si="51"/>
        <v/>
      </c>
      <c r="U766" s="91"/>
      <c r="V766" s="91"/>
      <c r="W766" s="93"/>
      <c r="X766" s="94" t="str">
        <f t="shared" si="47"/>
        <v/>
      </c>
      <c r="Y766" s="13">
        <v>700</v>
      </c>
    </row>
    <row r="767" spans="1:25">
      <c r="A767" s="90">
        <v>766</v>
      </c>
      <c r="B767" s="68">
        <v>45764</v>
      </c>
      <c r="C767" s="40">
        <v>16</v>
      </c>
      <c r="D767" s="40">
        <f t="shared" si="49"/>
        <v>1</v>
      </c>
      <c r="E767" s="41" t="s">
        <v>1056</v>
      </c>
      <c r="F767" s="17" t="s">
        <v>58</v>
      </c>
      <c r="G767" s="17" t="s">
        <v>86</v>
      </c>
      <c r="H767" s="17">
        <v>22</v>
      </c>
      <c r="I767" s="17" t="str">
        <f t="shared" si="50"/>
        <v>PR_PN-22</v>
      </c>
      <c r="J767" s="18" t="s">
        <v>85</v>
      </c>
      <c r="K767" s="19" t="e">
        <f>IF(J767="","SEM #CH",VLOOKUP(J767,#REF!,2,0))</f>
        <v>#REF!</v>
      </c>
      <c r="L767" s="19" t="e">
        <f>IF(J767="","SEM #CH",VLOOKUP(J767,#REF!,3,0))</f>
        <v>#REF!</v>
      </c>
      <c r="M767" s="19" t="e">
        <f>IF(J767="","SEM #CH",VLOOKUP(J767,#REF!,4,0))</f>
        <v>#REF!</v>
      </c>
      <c r="N767" s="19" t="e">
        <f>IF(J767="","SEM #CH",VLOOKUP(J767,#REF!,5,0))</f>
        <v>#REF!</v>
      </c>
      <c r="O767" s="19" t="e">
        <f>IF(J767="","SEM #CH",VLOOKUP(J767,#REF!,6,0))</f>
        <v>#REF!</v>
      </c>
      <c r="P767" s="19" t="e">
        <f>IF(J767="","SEM #CH",VLOOKUP(J767,#REF!,7,0))</f>
        <v>#REF!</v>
      </c>
      <c r="Q767" s="77" t="str">
        <f>VLOOKUP(J767,'p1'!$B$2:$C$30,2,0)</f>
        <v>NÃO TEM CHAPA</v>
      </c>
      <c r="R767" s="95">
        <v>45783</v>
      </c>
      <c r="S767" s="91" t="s">
        <v>221</v>
      </c>
      <c r="T767" s="91">
        <f t="shared" si="51"/>
        <v>1</v>
      </c>
      <c r="U767" s="95">
        <v>45804</v>
      </c>
      <c r="V767" s="91" t="s">
        <v>988</v>
      </c>
      <c r="W767" s="93">
        <v>2352</v>
      </c>
      <c r="X767" s="94">
        <f t="shared" si="47"/>
        <v>1</v>
      </c>
    </row>
    <row r="768" spans="1:25">
      <c r="A768" s="90">
        <v>767</v>
      </c>
      <c r="B768" s="68"/>
      <c r="C768" s="40"/>
      <c r="D768" s="40" t="str">
        <f t="shared" si="49"/>
        <v/>
      </c>
      <c r="E768" s="41" t="s">
        <v>1056</v>
      </c>
      <c r="F768" s="17" t="s">
        <v>60</v>
      </c>
      <c r="G768" s="17" t="s">
        <v>86</v>
      </c>
      <c r="H768" s="17">
        <v>23</v>
      </c>
      <c r="I768" s="17" t="str">
        <f t="shared" si="50"/>
        <v>PR_PE-23</v>
      </c>
      <c r="J768" s="18" t="s">
        <v>173</v>
      </c>
      <c r="K768" s="19" t="e">
        <f>IF(J768="","SEM #CH",VLOOKUP(J768,#REF!,2,0))</f>
        <v>#REF!</v>
      </c>
      <c r="L768" s="19" t="e">
        <f>IF(J768="","SEM #CH",VLOOKUP(J768,#REF!,3,0))</f>
        <v>#REF!</v>
      </c>
      <c r="M768" s="19" t="e">
        <f>IF(J768="","SEM #CH",VLOOKUP(J768,#REF!,4,0))</f>
        <v>#REF!</v>
      </c>
      <c r="N768" s="19" t="e">
        <f>IF(J768="","SEM #CH",VLOOKUP(J768,#REF!,5,0))</f>
        <v>#REF!</v>
      </c>
      <c r="O768" s="19" t="e">
        <f>IF(J768="","SEM #CH",VLOOKUP(J768,#REF!,6,0))</f>
        <v>#REF!</v>
      </c>
      <c r="P768" s="19" t="e">
        <f>IF(J768="","SEM #CH",VLOOKUP(J768,#REF!,7,0))</f>
        <v>#REF!</v>
      </c>
      <c r="Q768" s="77" t="str">
        <f>VLOOKUP(J768,'p1'!$B$2:$C$30,2,0)</f>
        <v>ARM. CANAL SAIDA</v>
      </c>
      <c r="R768" s="91"/>
      <c r="S768" s="91"/>
      <c r="T768" s="91" t="str">
        <f t="shared" si="51"/>
        <v/>
      </c>
      <c r="U768" s="91"/>
      <c r="V768" s="91"/>
      <c r="W768" s="93"/>
      <c r="X768" s="94" t="str">
        <f t="shared" si="47"/>
        <v/>
      </c>
    </row>
    <row r="769" spans="1:25">
      <c r="A769" s="90">
        <v>768</v>
      </c>
      <c r="B769" s="68"/>
      <c r="C769" s="40"/>
      <c r="D769" s="40" t="str">
        <f t="shared" si="49"/>
        <v/>
      </c>
      <c r="E769" s="41" t="s">
        <v>1056</v>
      </c>
      <c r="F769" s="17" t="s">
        <v>60</v>
      </c>
      <c r="G769" s="17" t="s">
        <v>86</v>
      </c>
      <c r="H769" s="17">
        <v>24</v>
      </c>
      <c r="I769" s="17" t="str">
        <f t="shared" si="50"/>
        <v>PR_PE-24</v>
      </c>
      <c r="J769" s="18" t="s">
        <v>173</v>
      </c>
      <c r="K769" s="19" t="e">
        <f>IF(J769="","SEM #CH",VLOOKUP(J769,#REF!,2,0))</f>
        <v>#REF!</v>
      </c>
      <c r="L769" s="19" t="e">
        <f>IF(J769="","SEM #CH",VLOOKUP(J769,#REF!,3,0))</f>
        <v>#REF!</v>
      </c>
      <c r="M769" s="19" t="e">
        <f>IF(J769="","SEM #CH",VLOOKUP(J769,#REF!,4,0))</f>
        <v>#REF!</v>
      </c>
      <c r="N769" s="19" t="e">
        <f>IF(J769="","SEM #CH",VLOOKUP(J769,#REF!,5,0))</f>
        <v>#REF!</v>
      </c>
      <c r="O769" s="19" t="e">
        <f>IF(J769="","SEM #CH",VLOOKUP(J769,#REF!,6,0))</f>
        <v>#REF!</v>
      </c>
      <c r="P769" s="19" t="e">
        <f>IF(J769="","SEM #CH",VLOOKUP(J769,#REF!,7,0))</f>
        <v>#REF!</v>
      </c>
      <c r="Q769" s="77" t="str">
        <f>VLOOKUP(J769,'p1'!$B$2:$C$30,2,0)</f>
        <v>ARM. CANAL SAIDA</v>
      </c>
      <c r="R769" s="91"/>
      <c r="S769" s="91"/>
      <c r="T769" s="91" t="str">
        <f t="shared" si="51"/>
        <v/>
      </c>
      <c r="U769" s="91"/>
      <c r="V769" s="91"/>
      <c r="W769" s="93"/>
      <c r="X769" s="94" t="str">
        <f t="shared" si="47"/>
        <v/>
      </c>
    </row>
    <row r="770" spans="1:25">
      <c r="A770" s="90">
        <v>769</v>
      </c>
      <c r="B770" s="108"/>
      <c r="C770" s="40"/>
      <c r="D770" s="40" t="str">
        <f t="shared" si="49"/>
        <v/>
      </c>
      <c r="E770" s="41" t="s">
        <v>1056</v>
      </c>
      <c r="F770" s="17" t="s">
        <v>177</v>
      </c>
      <c r="G770" s="17" t="s">
        <v>86</v>
      </c>
      <c r="H770" s="17">
        <v>25</v>
      </c>
      <c r="I770" s="17" t="str">
        <f t="shared" si="50"/>
        <v>PR_PEI(V)-25</v>
      </c>
      <c r="J770" s="18" t="s">
        <v>177</v>
      </c>
      <c r="K770" s="19" t="e">
        <f>IF(J770="","SEM #CH",VLOOKUP(J770,#REF!,2,0))</f>
        <v>#REF!</v>
      </c>
      <c r="L770" s="19" t="e">
        <f>IF(J770="","SEM #CH",VLOOKUP(J770,#REF!,3,0))</f>
        <v>#REF!</v>
      </c>
      <c r="M770" s="19" t="e">
        <f>IF(J770="","SEM #CH",VLOOKUP(J770,#REF!,4,0))</f>
        <v>#REF!</v>
      </c>
      <c r="N770" s="19" t="e">
        <f>IF(J770="","SEM #CH",VLOOKUP(J770,#REF!,5,0))</f>
        <v>#REF!</v>
      </c>
      <c r="O770" s="19" t="e">
        <f>IF(J770="","SEM #CH",VLOOKUP(J770,#REF!,6,0))</f>
        <v>#REF!</v>
      </c>
      <c r="P770" s="19" t="e">
        <f>IF(J770="","SEM #CH",VLOOKUP(J770,#REF!,7,0))</f>
        <v>#REF!</v>
      </c>
      <c r="Q770" s="77" t="str">
        <f>VLOOKUP(J770,'p1'!$B$2:$C$30,2,0)</f>
        <v>ATERRAMENTO + ARM. CANAL</v>
      </c>
      <c r="R770" s="91"/>
      <c r="S770" s="91"/>
      <c r="T770" s="91" t="str">
        <f t="shared" si="51"/>
        <v/>
      </c>
      <c r="U770" s="91"/>
      <c r="V770" s="91"/>
      <c r="W770" s="93"/>
      <c r="X770" s="94" t="str">
        <f t="shared" ref="X770:X833" si="52">IF(U770&gt;0,1,"")</f>
        <v/>
      </c>
    </row>
    <row r="771" spans="1:25">
      <c r="A771" s="90">
        <v>770</v>
      </c>
      <c r="B771" s="68">
        <v>45764</v>
      </c>
      <c r="C771" s="40">
        <v>17</v>
      </c>
      <c r="D771" s="40">
        <f t="shared" si="49"/>
        <v>1</v>
      </c>
      <c r="E771" s="41" t="s">
        <v>1056</v>
      </c>
      <c r="F771" s="17" t="s">
        <v>58</v>
      </c>
      <c r="G771" s="17" t="s">
        <v>86</v>
      </c>
      <c r="H771" s="17">
        <v>26</v>
      </c>
      <c r="I771" s="17" t="str">
        <f t="shared" si="50"/>
        <v>PR_PN-26</v>
      </c>
      <c r="J771" s="18" t="s">
        <v>85</v>
      </c>
      <c r="K771" s="19" t="e">
        <f>IF(J771="","SEM #CH",VLOOKUP(J771,#REF!,2,0))</f>
        <v>#REF!</v>
      </c>
      <c r="L771" s="19" t="e">
        <f>IF(J771="","SEM #CH",VLOOKUP(J771,#REF!,3,0))</f>
        <v>#REF!</v>
      </c>
      <c r="M771" s="19" t="e">
        <f>IF(J771="","SEM #CH",VLOOKUP(J771,#REF!,4,0))</f>
        <v>#REF!</v>
      </c>
      <c r="N771" s="19" t="e">
        <f>IF(J771="","SEM #CH",VLOOKUP(J771,#REF!,5,0))</f>
        <v>#REF!</v>
      </c>
      <c r="O771" s="19" t="e">
        <f>IF(J771="","SEM #CH",VLOOKUP(J771,#REF!,6,0))</f>
        <v>#REF!</v>
      </c>
      <c r="P771" s="19" t="e">
        <f>IF(J771="","SEM #CH",VLOOKUP(J771,#REF!,7,0))</f>
        <v>#REF!</v>
      </c>
      <c r="Q771" s="77" t="str">
        <f>VLOOKUP(J771,'p1'!$B$2:$C$30,2,0)</f>
        <v>NÃO TEM CHAPA</v>
      </c>
      <c r="R771" s="95">
        <v>45773</v>
      </c>
      <c r="S771" s="91" t="s">
        <v>222</v>
      </c>
      <c r="T771" s="91">
        <f t="shared" si="51"/>
        <v>1</v>
      </c>
      <c r="U771" s="95">
        <v>45805</v>
      </c>
      <c r="V771" s="91" t="s">
        <v>86</v>
      </c>
      <c r="W771" s="93">
        <v>2353</v>
      </c>
      <c r="X771" s="94">
        <f t="shared" si="52"/>
        <v>1</v>
      </c>
    </row>
    <row r="772" spans="1:25">
      <c r="A772" s="90">
        <v>771</v>
      </c>
      <c r="B772" s="68">
        <v>45770</v>
      </c>
      <c r="C772" s="40">
        <v>18</v>
      </c>
      <c r="D772" s="40">
        <f t="shared" si="49"/>
        <v>1</v>
      </c>
      <c r="E772" s="41" t="s">
        <v>1056</v>
      </c>
      <c r="F772" s="17" t="s">
        <v>58</v>
      </c>
      <c r="G772" s="17" t="s">
        <v>86</v>
      </c>
      <c r="H772" s="17">
        <v>27</v>
      </c>
      <c r="I772" s="17" t="str">
        <f t="shared" si="50"/>
        <v>PR_PN-27</v>
      </c>
      <c r="J772" s="18" t="s">
        <v>85</v>
      </c>
      <c r="K772" s="19" t="e">
        <f>IF(J772="","SEM #CH",VLOOKUP(J772,#REF!,2,0))</f>
        <v>#REF!</v>
      </c>
      <c r="L772" s="19" t="e">
        <f>IF(J772="","SEM #CH",VLOOKUP(J772,#REF!,3,0))</f>
        <v>#REF!</v>
      </c>
      <c r="M772" s="19" t="e">
        <f>IF(J772="","SEM #CH",VLOOKUP(J772,#REF!,4,0))</f>
        <v>#REF!</v>
      </c>
      <c r="N772" s="19" t="e">
        <f>IF(J772="","SEM #CH",VLOOKUP(J772,#REF!,5,0))</f>
        <v>#REF!</v>
      </c>
      <c r="O772" s="19" t="e">
        <f>IF(J772="","SEM #CH",VLOOKUP(J772,#REF!,6,0))</f>
        <v>#REF!</v>
      </c>
      <c r="P772" s="19" t="e">
        <f>IF(J772="","SEM #CH",VLOOKUP(J772,#REF!,7,0))</f>
        <v>#REF!</v>
      </c>
      <c r="Q772" s="77" t="str">
        <f>VLOOKUP(J772,'p1'!$B$2:$C$30,2,0)</f>
        <v>NÃO TEM CHAPA</v>
      </c>
      <c r="R772" s="95">
        <v>45782</v>
      </c>
      <c r="S772" s="91" t="s">
        <v>222</v>
      </c>
      <c r="T772" s="91">
        <f t="shared" si="51"/>
        <v>1</v>
      </c>
      <c r="U772" s="95">
        <v>45799</v>
      </c>
      <c r="V772" s="91" t="s">
        <v>984</v>
      </c>
      <c r="W772" s="110">
        <v>2351</v>
      </c>
      <c r="X772" s="94">
        <f t="shared" si="52"/>
        <v>1</v>
      </c>
    </row>
    <row r="773" spans="1:25">
      <c r="A773" s="90">
        <v>772</v>
      </c>
      <c r="B773" s="68">
        <v>45771</v>
      </c>
      <c r="C773" s="40">
        <v>19</v>
      </c>
      <c r="D773" s="40">
        <f t="shared" si="49"/>
        <v>1</v>
      </c>
      <c r="E773" s="41" t="s">
        <v>1056</v>
      </c>
      <c r="F773" s="17" t="s">
        <v>58</v>
      </c>
      <c r="G773" s="17" t="s">
        <v>86</v>
      </c>
      <c r="H773" s="21">
        <v>28</v>
      </c>
      <c r="I773" s="17" t="str">
        <f t="shared" si="50"/>
        <v>PR_PN-28</v>
      </c>
      <c r="J773" s="18" t="s">
        <v>85</v>
      </c>
      <c r="K773" s="19" t="e">
        <f>IF(J773="","SEM #CH",VLOOKUP(J773,#REF!,2,0))</f>
        <v>#REF!</v>
      </c>
      <c r="L773" s="19" t="e">
        <f>IF(J773="","SEM #CH",VLOOKUP(J773,#REF!,3,0))</f>
        <v>#REF!</v>
      </c>
      <c r="M773" s="19" t="e">
        <f>IF(J773="","SEM #CH",VLOOKUP(J773,#REF!,4,0))</f>
        <v>#REF!</v>
      </c>
      <c r="N773" s="19" t="e">
        <f>IF(J773="","SEM #CH",VLOOKUP(J773,#REF!,5,0))</f>
        <v>#REF!</v>
      </c>
      <c r="O773" s="19" t="e">
        <f>IF(J773="","SEM #CH",VLOOKUP(J773,#REF!,6,0))</f>
        <v>#REF!</v>
      </c>
      <c r="P773" s="19" t="e">
        <f>IF(J773="","SEM #CH",VLOOKUP(J773,#REF!,7,0))</f>
        <v>#REF!</v>
      </c>
      <c r="Q773" s="77" t="str">
        <f>VLOOKUP(J773,'p1'!$B$2:$C$30,2,0)</f>
        <v>NÃO TEM CHAPA</v>
      </c>
      <c r="R773" s="95">
        <v>45777</v>
      </c>
      <c r="S773" s="91" t="s">
        <v>221</v>
      </c>
      <c r="T773" s="91">
        <f t="shared" si="51"/>
        <v>1</v>
      </c>
      <c r="U773" s="95">
        <v>45807</v>
      </c>
      <c r="V773" s="91" t="s">
        <v>989</v>
      </c>
      <c r="W773" s="93">
        <v>2358</v>
      </c>
      <c r="X773" s="94">
        <f t="shared" si="52"/>
        <v>1</v>
      </c>
    </row>
    <row r="774" spans="1:25">
      <c r="A774" s="90">
        <v>773</v>
      </c>
      <c r="B774" s="68">
        <v>45773</v>
      </c>
      <c r="C774" s="40">
        <v>20</v>
      </c>
      <c r="D774" s="40">
        <f t="shared" si="49"/>
        <v>1</v>
      </c>
      <c r="E774" s="41" t="s">
        <v>1056</v>
      </c>
      <c r="F774" s="17" t="s">
        <v>58</v>
      </c>
      <c r="G774" s="17" t="s">
        <v>86</v>
      </c>
      <c r="H774" s="17">
        <v>29</v>
      </c>
      <c r="I774" s="17" t="str">
        <f t="shared" si="50"/>
        <v>PR_PN-29</v>
      </c>
      <c r="J774" s="18" t="s">
        <v>85</v>
      </c>
      <c r="K774" s="19" t="e">
        <f>IF(J774="","SEM #CH",VLOOKUP(J774,#REF!,2,0))</f>
        <v>#REF!</v>
      </c>
      <c r="L774" s="19" t="e">
        <f>IF(J774="","SEM #CH",VLOOKUP(J774,#REF!,3,0))</f>
        <v>#REF!</v>
      </c>
      <c r="M774" s="19" t="e">
        <f>IF(J774="","SEM #CH",VLOOKUP(J774,#REF!,4,0))</f>
        <v>#REF!</v>
      </c>
      <c r="N774" s="19" t="e">
        <f>IF(J774="","SEM #CH",VLOOKUP(J774,#REF!,5,0))</f>
        <v>#REF!</v>
      </c>
      <c r="O774" s="19" t="e">
        <f>IF(J774="","SEM #CH",VLOOKUP(J774,#REF!,6,0))</f>
        <v>#REF!</v>
      </c>
      <c r="P774" s="19" t="e">
        <f>IF(J774="","SEM #CH",VLOOKUP(J774,#REF!,7,0))</f>
        <v>#REF!</v>
      </c>
      <c r="Q774" s="77" t="str">
        <f>VLOOKUP(J774,'p1'!$B$2:$C$30,2,0)</f>
        <v>NÃO TEM CHAPA</v>
      </c>
      <c r="R774" s="95">
        <v>45786</v>
      </c>
      <c r="S774" s="91" t="s">
        <v>222</v>
      </c>
      <c r="T774" s="91">
        <f t="shared" si="51"/>
        <v>1</v>
      </c>
      <c r="U774" s="95">
        <v>45806</v>
      </c>
      <c r="V774" s="91" t="s">
        <v>987</v>
      </c>
      <c r="W774" s="93">
        <v>2356</v>
      </c>
      <c r="X774" s="94">
        <f t="shared" si="52"/>
        <v>1</v>
      </c>
    </row>
    <row r="775" spans="1:25">
      <c r="A775" s="90">
        <v>774</v>
      </c>
      <c r="B775" s="68">
        <v>45776</v>
      </c>
      <c r="C775" s="40">
        <v>21</v>
      </c>
      <c r="D775" s="40">
        <f t="shared" si="49"/>
        <v>1</v>
      </c>
      <c r="E775" s="41" t="s">
        <v>1056</v>
      </c>
      <c r="F775" s="17" t="s">
        <v>58</v>
      </c>
      <c r="G775" s="17" t="s">
        <v>86</v>
      </c>
      <c r="H775" s="17">
        <v>30</v>
      </c>
      <c r="I775" s="17" t="str">
        <f t="shared" si="50"/>
        <v>PR_PN-30</v>
      </c>
      <c r="J775" s="18" t="s">
        <v>85</v>
      </c>
      <c r="K775" s="19" t="e">
        <f>IF(J775="","SEM #CH",VLOOKUP(J775,#REF!,2,0))</f>
        <v>#REF!</v>
      </c>
      <c r="L775" s="19" t="e">
        <f>IF(J775="","SEM #CH",VLOOKUP(J775,#REF!,3,0))</f>
        <v>#REF!</v>
      </c>
      <c r="M775" s="19" t="e">
        <f>IF(J775="","SEM #CH",VLOOKUP(J775,#REF!,4,0))</f>
        <v>#REF!</v>
      </c>
      <c r="N775" s="19" t="e">
        <f>IF(J775="","SEM #CH",VLOOKUP(J775,#REF!,5,0))</f>
        <v>#REF!</v>
      </c>
      <c r="O775" s="19" t="e">
        <f>IF(J775="","SEM #CH",VLOOKUP(J775,#REF!,6,0))</f>
        <v>#REF!</v>
      </c>
      <c r="P775" s="19" t="e">
        <f>IF(J775="","SEM #CH",VLOOKUP(J775,#REF!,7,0))</f>
        <v>#REF!</v>
      </c>
      <c r="Q775" s="77" t="str">
        <f>VLOOKUP(J775,'p1'!$B$2:$C$30,2,0)</f>
        <v>NÃO TEM CHAPA</v>
      </c>
      <c r="R775" s="95" t="s">
        <v>1054</v>
      </c>
      <c r="S775" s="91" t="s">
        <v>221</v>
      </c>
      <c r="T775" s="91">
        <f t="shared" si="51"/>
        <v>1</v>
      </c>
      <c r="U775" s="95">
        <v>45799</v>
      </c>
      <c r="V775" s="91" t="s">
        <v>984</v>
      </c>
      <c r="W775" s="110">
        <v>2351</v>
      </c>
      <c r="X775" s="94">
        <f t="shared" si="52"/>
        <v>1</v>
      </c>
    </row>
    <row r="776" spans="1:25">
      <c r="A776" s="90">
        <v>775</v>
      </c>
      <c r="B776" s="68">
        <v>45834</v>
      </c>
      <c r="C776" s="40">
        <v>40</v>
      </c>
      <c r="D776" s="40">
        <f t="shared" si="49"/>
        <v>1</v>
      </c>
      <c r="E776" s="41" t="s">
        <v>1056</v>
      </c>
      <c r="F776" s="17" t="s">
        <v>124</v>
      </c>
      <c r="G776" s="17" t="s">
        <v>86</v>
      </c>
      <c r="H776" s="17">
        <v>31</v>
      </c>
      <c r="I776" s="17" t="str">
        <f t="shared" si="50"/>
        <v>PR_PNI-31</v>
      </c>
      <c r="J776" s="18" t="s">
        <v>124</v>
      </c>
      <c r="K776" s="19" t="e">
        <f>IF(J776="","SEM #CH",VLOOKUP(J776,#REF!,2,0))</f>
        <v>#REF!</v>
      </c>
      <c r="L776" s="19" t="e">
        <f>IF(J776="","SEM #CH",VLOOKUP(J776,#REF!,3,0))</f>
        <v>#REF!</v>
      </c>
      <c r="M776" s="19" t="e">
        <f>IF(J776="","SEM #CH",VLOOKUP(J776,#REF!,4,0))</f>
        <v>#REF!</v>
      </c>
      <c r="N776" s="19" t="e">
        <f>IF(J776="","SEM #CH",VLOOKUP(J776,#REF!,5,0))</f>
        <v>#REF!</v>
      </c>
      <c r="O776" s="19" t="e">
        <f>IF(J776="","SEM #CH",VLOOKUP(J776,#REF!,6,0))</f>
        <v>#REF!</v>
      </c>
      <c r="P776" s="19" t="e">
        <f>IF(J776="","SEM #CH",VLOOKUP(J776,#REF!,7,0))</f>
        <v>#REF!</v>
      </c>
      <c r="Q776" s="77" t="str">
        <f>VLOOKUP(J776,'p1'!$B$2:$C$30,2,0)</f>
        <v>02- 150X150 #3/8</v>
      </c>
      <c r="R776" s="95">
        <v>45749</v>
      </c>
      <c r="S776" s="91" t="s">
        <v>222</v>
      </c>
      <c r="T776" s="91">
        <f t="shared" si="51"/>
        <v>1</v>
      </c>
      <c r="U776" s="91"/>
      <c r="V776" s="91"/>
      <c r="W776" s="93"/>
      <c r="X776" s="94" t="str">
        <f t="shared" si="52"/>
        <v/>
      </c>
      <c r="Y776" s="13">
        <v>700</v>
      </c>
    </row>
    <row r="777" spans="1:25">
      <c r="A777" s="90">
        <v>776</v>
      </c>
      <c r="B777" s="68">
        <v>45777</v>
      </c>
      <c r="C777" s="40">
        <v>22</v>
      </c>
      <c r="D777" s="40">
        <f t="shared" si="49"/>
        <v>1</v>
      </c>
      <c r="E777" s="41" t="s">
        <v>1056</v>
      </c>
      <c r="F777" s="17" t="s">
        <v>58</v>
      </c>
      <c r="G777" s="17" t="s">
        <v>86</v>
      </c>
      <c r="H777" s="17">
        <v>32</v>
      </c>
      <c r="I777" s="17" t="str">
        <f t="shared" si="50"/>
        <v>PR_PN-32</v>
      </c>
      <c r="J777" s="18" t="s">
        <v>85</v>
      </c>
      <c r="K777" s="19" t="e">
        <f>IF(J777="","SEM #CH",VLOOKUP(J777,#REF!,2,0))</f>
        <v>#REF!</v>
      </c>
      <c r="L777" s="19" t="e">
        <f>IF(J777="","SEM #CH",VLOOKUP(J777,#REF!,3,0))</f>
        <v>#REF!</v>
      </c>
      <c r="M777" s="19" t="e">
        <f>IF(J777="","SEM #CH",VLOOKUP(J777,#REF!,4,0))</f>
        <v>#REF!</v>
      </c>
      <c r="N777" s="19" t="e">
        <f>IF(J777="","SEM #CH",VLOOKUP(J777,#REF!,5,0))</f>
        <v>#REF!</v>
      </c>
      <c r="O777" s="19" t="e">
        <f>IF(J777="","SEM #CH",VLOOKUP(J777,#REF!,6,0))</f>
        <v>#REF!</v>
      </c>
      <c r="P777" s="19" t="e">
        <f>IF(J777="","SEM #CH",VLOOKUP(J777,#REF!,7,0))</f>
        <v>#REF!</v>
      </c>
      <c r="Q777" s="77" t="str">
        <f>VLOOKUP(J777,'p1'!$B$2:$C$30,2,0)</f>
        <v>NÃO TEM CHAPA</v>
      </c>
      <c r="R777" s="95">
        <v>45797</v>
      </c>
      <c r="S777" s="91" t="s">
        <v>222</v>
      </c>
      <c r="T777" s="91">
        <f t="shared" si="51"/>
        <v>1</v>
      </c>
      <c r="U777" s="95">
        <v>45799</v>
      </c>
      <c r="V777" s="91" t="s">
        <v>984</v>
      </c>
      <c r="W777" s="110">
        <v>2351</v>
      </c>
      <c r="X777" s="94">
        <f t="shared" si="52"/>
        <v>1</v>
      </c>
    </row>
    <row r="778" spans="1:25">
      <c r="A778" s="90">
        <v>777</v>
      </c>
      <c r="B778" s="68">
        <v>45780</v>
      </c>
      <c r="C778" s="40">
        <v>23</v>
      </c>
      <c r="D778" s="40">
        <f t="shared" si="49"/>
        <v>1</v>
      </c>
      <c r="E778" s="41" t="s">
        <v>1056</v>
      </c>
      <c r="F778" s="17" t="s">
        <v>58</v>
      </c>
      <c r="G778" s="17" t="s">
        <v>86</v>
      </c>
      <c r="H778" s="17">
        <v>33</v>
      </c>
      <c r="I778" s="17" t="str">
        <f t="shared" si="50"/>
        <v>PR_PN-33</v>
      </c>
      <c r="J778" s="18" t="s">
        <v>85</v>
      </c>
      <c r="K778" s="19" t="e">
        <f>IF(J778="","SEM #CH",VLOOKUP(J778,#REF!,2,0))</f>
        <v>#REF!</v>
      </c>
      <c r="L778" s="19" t="e">
        <f>IF(J778="","SEM #CH",VLOOKUP(J778,#REF!,3,0))</f>
        <v>#REF!</v>
      </c>
      <c r="M778" s="19" t="e">
        <f>IF(J778="","SEM #CH",VLOOKUP(J778,#REF!,4,0))</f>
        <v>#REF!</v>
      </c>
      <c r="N778" s="19" t="e">
        <f>IF(J778="","SEM #CH",VLOOKUP(J778,#REF!,5,0))</f>
        <v>#REF!</v>
      </c>
      <c r="O778" s="19" t="e">
        <f>IF(J778="","SEM #CH",VLOOKUP(J778,#REF!,6,0))</f>
        <v>#REF!</v>
      </c>
      <c r="P778" s="19" t="e">
        <f>IF(J778="","SEM #CH",VLOOKUP(J778,#REF!,7,0))</f>
        <v>#REF!</v>
      </c>
      <c r="Q778" s="77" t="str">
        <f>VLOOKUP(J778,'p1'!$B$2:$C$30,2,0)</f>
        <v>NÃO TEM CHAPA</v>
      </c>
      <c r="R778" s="95">
        <v>45784</v>
      </c>
      <c r="S778" s="91" t="s">
        <v>221</v>
      </c>
      <c r="T778" s="91">
        <f t="shared" si="51"/>
        <v>1</v>
      </c>
      <c r="U778" s="95">
        <v>45804</v>
      </c>
      <c r="V778" s="91" t="s">
        <v>988</v>
      </c>
      <c r="W778" s="93">
        <v>2352</v>
      </c>
      <c r="X778" s="94">
        <f t="shared" si="52"/>
        <v>1</v>
      </c>
    </row>
    <row r="779" spans="1:25">
      <c r="A779" s="90">
        <v>778</v>
      </c>
      <c r="B779" s="68">
        <v>45782</v>
      </c>
      <c r="C779" s="40">
        <v>24</v>
      </c>
      <c r="D779" s="40">
        <f t="shared" si="49"/>
        <v>1</v>
      </c>
      <c r="E779" s="41" t="s">
        <v>1056</v>
      </c>
      <c r="F779" s="17" t="s">
        <v>58</v>
      </c>
      <c r="G779" s="17" t="s">
        <v>86</v>
      </c>
      <c r="H779" s="17">
        <v>34</v>
      </c>
      <c r="I779" s="17" t="str">
        <f t="shared" si="50"/>
        <v>PR_PN-34</v>
      </c>
      <c r="J779" s="18" t="s">
        <v>85</v>
      </c>
      <c r="K779" s="19" t="e">
        <f>IF(J779="","SEM #CH",VLOOKUP(J779,#REF!,2,0))</f>
        <v>#REF!</v>
      </c>
      <c r="L779" s="19" t="e">
        <f>IF(J779="","SEM #CH",VLOOKUP(J779,#REF!,3,0))</f>
        <v>#REF!</v>
      </c>
      <c r="M779" s="19" t="e">
        <f>IF(J779="","SEM #CH",VLOOKUP(J779,#REF!,4,0))</f>
        <v>#REF!</v>
      </c>
      <c r="N779" s="19" t="e">
        <f>IF(J779="","SEM #CH",VLOOKUP(J779,#REF!,5,0))</f>
        <v>#REF!</v>
      </c>
      <c r="O779" s="19" t="e">
        <f>IF(J779="","SEM #CH",VLOOKUP(J779,#REF!,6,0))</f>
        <v>#REF!</v>
      </c>
      <c r="P779" s="19" t="e">
        <f>IF(J779="","SEM #CH",VLOOKUP(J779,#REF!,7,0))</f>
        <v>#REF!</v>
      </c>
      <c r="Q779" s="77" t="str">
        <f>VLOOKUP(J779,'p1'!$B$2:$C$30,2,0)</f>
        <v>NÃO TEM CHAPA</v>
      </c>
      <c r="R779" s="95">
        <v>45791</v>
      </c>
      <c r="S779" s="91" t="s">
        <v>222</v>
      </c>
      <c r="T779" s="91">
        <f t="shared" si="51"/>
        <v>1</v>
      </c>
      <c r="U779" s="95">
        <v>45806</v>
      </c>
      <c r="V779" s="91" t="s">
        <v>987</v>
      </c>
      <c r="W779" s="93">
        <v>2356</v>
      </c>
      <c r="X779" s="94">
        <f t="shared" si="52"/>
        <v>1</v>
      </c>
    </row>
    <row r="780" spans="1:25">
      <c r="A780" s="90">
        <v>779</v>
      </c>
      <c r="B780" s="68"/>
      <c r="C780" s="40"/>
      <c r="D780" s="40" t="str">
        <f t="shared" si="49"/>
        <v/>
      </c>
      <c r="E780" s="41" t="s">
        <v>1056</v>
      </c>
      <c r="F780" s="17" t="s">
        <v>60</v>
      </c>
      <c r="G780" s="17" t="s">
        <v>86</v>
      </c>
      <c r="H780" s="17">
        <v>35</v>
      </c>
      <c r="I780" s="17" t="str">
        <f t="shared" si="50"/>
        <v>PR_PE-35</v>
      </c>
      <c r="J780" s="18" t="s">
        <v>182</v>
      </c>
      <c r="K780" s="19" t="e">
        <f>IF(J780="","SEM #CH",VLOOKUP(J780,#REF!,2,0))</f>
        <v>#REF!</v>
      </c>
      <c r="L780" s="19" t="e">
        <f>IF(J780="","SEM #CH",VLOOKUP(J780,#REF!,3,0))</f>
        <v>#REF!</v>
      </c>
      <c r="M780" s="19" t="e">
        <f>IF(J780="","SEM #CH",VLOOKUP(J780,#REF!,4,0))</f>
        <v>#REF!</v>
      </c>
      <c r="N780" s="19" t="e">
        <f>IF(J780="","SEM #CH",VLOOKUP(J780,#REF!,5,0))</f>
        <v>#REF!</v>
      </c>
      <c r="O780" s="19" t="e">
        <f>IF(J780="","SEM #CH",VLOOKUP(J780,#REF!,6,0))</f>
        <v>#REF!</v>
      </c>
      <c r="P780" s="19" t="e">
        <f>IF(J780="","SEM #CH",VLOOKUP(J780,#REF!,7,0))</f>
        <v>#REF!</v>
      </c>
      <c r="Q780" s="77" t="str">
        <f>VLOOKUP(J780,'p1'!$B$2:$C$30,2,0)</f>
        <v>TUBO DE 10 " - A DEFINIR</v>
      </c>
      <c r="R780" s="91"/>
      <c r="S780" s="91"/>
      <c r="T780" s="91" t="str">
        <f t="shared" si="51"/>
        <v/>
      </c>
      <c r="U780" s="91"/>
      <c r="V780" s="91"/>
      <c r="W780" s="93"/>
      <c r="X780" s="94" t="str">
        <f t="shared" si="52"/>
        <v/>
      </c>
    </row>
    <row r="781" spans="1:25">
      <c r="A781" s="90">
        <v>780</v>
      </c>
      <c r="B781" s="68"/>
      <c r="C781" s="40"/>
      <c r="D781" s="40" t="str">
        <f t="shared" si="49"/>
        <v/>
      </c>
      <c r="E781" s="41" t="s">
        <v>1056</v>
      </c>
      <c r="F781" s="17" t="s">
        <v>60</v>
      </c>
      <c r="G781" s="17" t="s">
        <v>86</v>
      </c>
      <c r="H781" s="17">
        <v>36</v>
      </c>
      <c r="I781" s="17" t="str">
        <f t="shared" si="50"/>
        <v>PR_PE-36</v>
      </c>
      <c r="J781" s="18" t="s">
        <v>182</v>
      </c>
      <c r="K781" s="19" t="e">
        <f>IF(J781="","SEM #CH",VLOOKUP(J781,#REF!,2,0))</f>
        <v>#REF!</v>
      </c>
      <c r="L781" s="19" t="e">
        <f>IF(J781="","SEM #CH",VLOOKUP(J781,#REF!,3,0))</f>
        <v>#REF!</v>
      </c>
      <c r="M781" s="19" t="e">
        <f>IF(J781="","SEM #CH",VLOOKUP(J781,#REF!,4,0))</f>
        <v>#REF!</v>
      </c>
      <c r="N781" s="19" t="e">
        <f>IF(J781="","SEM #CH",VLOOKUP(J781,#REF!,5,0))</f>
        <v>#REF!</v>
      </c>
      <c r="O781" s="19" t="e">
        <f>IF(J781="","SEM #CH",VLOOKUP(J781,#REF!,6,0))</f>
        <v>#REF!</v>
      </c>
      <c r="P781" s="19" t="e">
        <f>IF(J781="","SEM #CH",VLOOKUP(J781,#REF!,7,0))</f>
        <v>#REF!</v>
      </c>
      <c r="Q781" s="77" t="str">
        <f>VLOOKUP(J781,'p1'!$B$2:$C$30,2,0)</f>
        <v>TUBO DE 10 " - A DEFINIR</v>
      </c>
      <c r="R781" s="91"/>
      <c r="S781" s="91"/>
      <c r="T781" s="91" t="str">
        <f t="shared" si="51"/>
        <v/>
      </c>
      <c r="U781" s="91"/>
      <c r="V781" s="91"/>
      <c r="W781" s="93"/>
      <c r="X781" s="94" t="str">
        <f t="shared" si="52"/>
        <v/>
      </c>
    </row>
    <row r="782" spans="1:25">
      <c r="A782" s="90">
        <v>781</v>
      </c>
      <c r="B782" s="68"/>
      <c r="C782" s="40"/>
      <c r="D782" s="40" t="str">
        <f t="shared" si="49"/>
        <v/>
      </c>
      <c r="E782" s="41" t="s">
        <v>1056</v>
      </c>
      <c r="F782" s="17" t="s">
        <v>176</v>
      </c>
      <c r="G782" s="17" t="s">
        <v>86</v>
      </c>
      <c r="H782" s="17">
        <v>37</v>
      </c>
      <c r="I782" s="17" t="str">
        <f t="shared" si="50"/>
        <v>PR_PE(I)-37</v>
      </c>
      <c r="J782" s="18" t="s">
        <v>176</v>
      </c>
      <c r="K782" s="19" t="e">
        <f>IF(J782="","SEM #CH",VLOOKUP(J782,#REF!,2,0))</f>
        <v>#REF!</v>
      </c>
      <c r="L782" s="19" t="e">
        <f>IF(J782="","SEM #CH",VLOOKUP(J782,#REF!,3,0))</f>
        <v>#REF!</v>
      </c>
      <c r="M782" s="19" t="e">
        <f>IF(J782="","SEM #CH",VLOOKUP(J782,#REF!,4,0))</f>
        <v>#REF!</v>
      </c>
      <c r="N782" s="19" t="e">
        <f>IF(J782="","SEM #CH",VLOOKUP(J782,#REF!,5,0))</f>
        <v>#REF!</v>
      </c>
      <c r="O782" s="19" t="e">
        <f>IF(J782="","SEM #CH",VLOOKUP(J782,#REF!,6,0))</f>
        <v>#REF!</v>
      </c>
      <c r="P782" s="19" t="e">
        <f>IF(J782="","SEM #CH",VLOOKUP(J782,#REF!,7,0))</f>
        <v>#REF!</v>
      </c>
      <c r="Q782" s="77" t="str">
        <f>VLOOKUP(J782,'p1'!$B$2:$C$30,2,0)</f>
        <v>ATERRAMENTO+ CHAPA P/ T10"</v>
      </c>
      <c r="R782" s="91"/>
      <c r="S782" s="91"/>
      <c r="T782" s="91" t="str">
        <f t="shared" si="51"/>
        <v/>
      </c>
      <c r="U782" s="91"/>
      <c r="V782" s="91"/>
      <c r="W782" s="93"/>
      <c r="X782" s="94" t="str">
        <f t="shared" si="52"/>
        <v/>
      </c>
    </row>
    <row r="783" spans="1:25">
      <c r="A783" s="90">
        <v>782</v>
      </c>
      <c r="B783" s="68"/>
      <c r="C783" s="40"/>
      <c r="D783" s="40" t="str">
        <f t="shared" si="49"/>
        <v/>
      </c>
      <c r="E783" s="41" t="s">
        <v>1056</v>
      </c>
      <c r="F783" s="17" t="s">
        <v>60</v>
      </c>
      <c r="G783" s="17" t="s">
        <v>86</v>
      </c>
      <c r="H783" s="17">
        <v>38</v>
      </c>
      <c r="I783" s="17" t="str">
        <f t="shared" si="50"/>
        <v>PR_PE-38</v>
      </c>
      <c r="J783" s="18" t="s">
        <v>60</v>
      </c>
      <c r="K783" s="19" t="e">
        <f>IF(J783="","SEM #CH",VLOOKUP(J783,#REF!,2,0))</f>
        <v>#REF!</v>
      </c>
      <c r="L783" s="19" t="e">
        <f>IF(J783="","SEM #CH",VLOOKUP(J783,#REF!,3,0))</f>
        <v>#REF!</v>
      </c>
      <c r="M783" s="19" t="e">
        <f>IF(J783="","SEM #CH",VLOOKUP(J783,#REF!,4,0))</f>
        <v>#REF!</v>
      </c>
      <c r="N783" s="19" t="e">
        <f>IF(J783="","SEM #CH",VLOOKUP(J783,#REF!,5,0))</f>
        <v>#REF!</v>
      </c>
      <c r="O783" s="19" t="e">
        <f>IF(J783="","SEM #CH",VLOOKUP(J783,#REF!,6,0))</f>
        <v>#REF!</v>
      </c>
      <c r="P783" s="19" t="e">
        <f>IF(J783="","SEM #CH",VLOOKUP(J783,#REF!,7,0))</f>
        <v>#REF!</v>
      </c>
      <c r="Q783" s="77" t="str">
        <f>VLOOKUP(J783,'p1'!$B$2:$C$30,2,0)</f>
        <v>A DEFINIR</v>
      </c>
      <c r="R783" s="91"/>
      <c r="S783" s="91"/>
      <c r="T783" s="91" t="str">
        <f t="shared" si="51"/>
        <v/>
      </c>
      <c r="U783" s="91"/>
      <c r="V783" s="91"/>
      <c r="W783" s="93"/>
      <c r="X783" s="94" t="str">
        <f t="shared" si="52"/>
        <v/>
      </c>
    </row>
    <row r="784" spans="1:25">
      <c r="A784" s="90">
        <v>783</v>
      </c>
      <c r="B784" s="68">
        <v>45834</v>
      </c>
      <c r="C784" s="40">
        <v>40</v>
      </c>
      <c r="D784" s="40">
        <f t="shared" ref="D784:D806" si="53">IF(B784&gt;0,1,"")</f>
        <v>1</v>
      </c>
      <c r="E784" s="41" t="s">
        <v>1056</v>
      </c>
      <c r="F784" s="17" t="s">
        <v>124</v>
      </c>
      <c r="G784" s="17" t="s">
        <v>86</v>
      </c>
      <c r="H784" s="17">
        <v>39</v>
      </c>
      <c r="I784" s="17" t="str">
        <f t="shared" ref="I784:I806" si="54">_xlfn.CONCAT("PR_",F784,G784,H784)</f>
        <v>PR_PNI-39</v>
      </c>
      <c r="J784" s="18" t="s">
        <v>124</v>
      </c>
      <c r="K784" s="19" t="e">
        <f>IF(J784="","SEM #CH",VLOOKUP(J784,#REF!,2,0))</f>
        <v>#REF!</v>
      </c>
      <c r="L784" s="19" t="e">
        <f>IF(J784="","SEM #CH",VLOOKUP(J784,#REF!,3,0))</f>
        <v>#REF!</v>
      </c>
      <c r="M784" s="19" t="e">
        <f>IF(J784="","SEM #CH",VLOOKUP(J784,#REF!,4,0))</f>
        <v>#REF!</v>
      </c>
      <c r="N784" s="19" t="e">
        <f>IF(J784="","SEM #CH",VLOOKUP(J784,#REF!,5,0))</f>
        <v>#REF!</v>
      </c>
      <c r="O784" s="19" t="e">
        <f>IF(J784="","SEM #CH",VLOOKUP(J784,#REF!,6,0))</f>
        <v>#REF!</v>
      </c>
      <c r="P784" s="19" t="e">
        <f>IF(J784="","SEM #CH",VLOOKUP(J784,#REF!,7,0))</f>
        <v>#REF!</v>
      </c>
      <c r="Q784" s="77" t="str">
        <f>VLOOKUP(J784,'p1'!$B$2:$C$30,2,0)</f>
        <v>02- 150X150 #3/8</v>
      </c>
      <c r="R784" s="91"/>
      <c r="S784" s="91" t="s">
        <v>222</v>
      </c>
      <c r="T784" s="91" t="str">
        <f t="shared" ref="T784:T806" si="55">IF(R784=0,"",1)</f>
        <v/>
      </c>
      <c r="U784" s="91"/>
      <c r="V784" s="91"/>
      <c r="W784" s="93"/>
      <c r="X784" s="94" t="str">
        <f t="shared" si="52"/>
        <v/>
      </c>
      <c r="Y784" s="13">
        <v>700</v>
      </c>
    </row>
    <row r="785" spans="1:25">
      <c r="A785" s="90">
        <v>784</v>
      </c>
      <c r="B785" s="68">
        <v>45783</v>
      </c>
      <c r="C785" s="40">
        <v>25</v>
      </c>
      <c r="D785" s="40">
        <f t="shared" si="53"/>
        <v>1</v>
      </c>
      <c r="E785" s="41" t="s">
        <v>1056</v>
      </c>
      <c r="F785" s="17" t="s">
        <v>58</v>
      </c>
      <c r="G785" s="17" t="s">
        <v>86</v>
      </c>
      <c r="H785" s="17">
        <v>40</v>
      </c>
      <c r="I785" s="17" t="str">
        <f t="shared" si="54"/>
        <v>PR_PN-40</v>
      </c>
      <c r="J785" s="18" t="s">
        <v>85</v>
      </c>
      <c r="K785" s="19" t="e">
        <f>IF(J785="","SEM #CH",VLOOKUP(J785,#REF!,2,0))</f>
        <v>#REF!</v>
      </c>
      <c r="L785" s="19" t="e">
        <f>IF(J785="","SEM #CH",VLOOKUP(J785,#REF!,3,0))</f>
        <v>#REF!</v>
      </c>
      <c r="M785" s="19" t="e">
        <f>IF(J785="","SEM #CH",VLOOKUP(J785,#REF!,4,0))</f>
        <v>#REF!</v>
      </c>
      <c r="N785" s="19" t="e">
        <f>IF(J785="","SEM #CH",VLOOKUP(J785,#REF!,5,0))</f>
        <v>#REF!</v>
      </c>
      <c r="O785" s="19" t="e">
        <f>IF(J785="","SEM #CH",VLOOKUP(J785,#REF!,6,0))</f>
        <v>#REF!</v>
      </c>
      <c r="P785" s="19" t="e">
        <f>IF(J785="","SEM #CH",VLOOKUP(J785,#REF!,7,0))</f>
        <v>#REF!</v>
      </c>
      <c r="Q785" s="77" t="str">
        <f>VLOOKUP(J785,'p1'!$B$2:$C$30,2,0)</f>
        <v>NÃO TEM CHAPA</v>
      </c>
      <c r="R785" s="95">
        <v>45789</v>
      </c>
      <c r="S785" s="91" t="s">
        <v>221</v>
      </c>
      <c r="T785" s="91">
        <f t="shared" si="55"/>
        <v>1</v>
      </c>
      <c r="U785" s="95">
        <v>45804</v>
      </c>
      <c r="V785" s="91" t="s">
        <v>988</v>
      </c>
      <c r="W785" s="93">
        <v>2352</v>
      </c>
      <c r="X785" s="94">
        <f t="shared" si="52"/>
        <v>1</v>
      </c>
    </row>
    <row r="786" spans="1:25">
      <c r="A786" s="90">
        <v>785</v>
      </c>
      <c r="B786" s="68">
        <v>45785</v>
      </c>
      <c r="C786" s="40">
        <v>26</v>
      </c>
      <c r="D786" s="40">
        <f t="shared" si="53"/>
        <v>1</v>
      </c>
      <c r="E786" s="41" t="s">
        <v>1056</v>
      </c>
      <c r="F786" s="17" t="s">
        <v>58</v>
      </c>
      <c r="G786" s="17" t="s">
        <v>86</v>
      </c>
      <c r="H786" s="17">
        <v>41</v>
      </c>
      <c r="I786" s="17" t="str">
        <f t="shared" si="54"/>
        <v>PR_PN-41</v>
      </c>
      <c r="J786" s="18" t="s">
        <v>85</v>
      </c>
      <c r="K786" s="19" t="e">
        <f>IF(J786="","SEM #CH",VLOOKUP(J786,#REF!,2,0))</f>
        <v>#REF!</v>
      </c>
      <c r="L786" s="19" t="e">
        <f>IF(J786="","SEM #CH",VLOOKUP(J786,#REF!,3,0))</f>
        <v>#REF!</v>
      </c>
      <c r="M786" s="19" t="e">
        <f>IF(J786="","SEM #CH",VLOOKUP(J786,#REF!,4,0))</f>
        <v>#REF!</v>
      </c>
      <c r="N786" s="19" t="e">
        <f>IF(J786="","SEM #CH",VLOOKUP(J786,#REF!,5,0))</f>
        <v>#REF!</v>
      </c>
      <c r="O786" s="19" t="e">
        <f>IF(J786="","SEM #CH",VLOOKUP(J786,#REF!,6,0))</f>
        <v>#REF!</v>
      </c>
      <c r="P786" s="19" t="e">
        <f>IF(J786="","SEM #CH",VLOOKUP(J786,#REF!,7,0))</f>
        <v>#REF!</v>
      </c>
      <c r="Q786" s="77" t="str">
        <f>VLOOKUP(J786,'p1'!$B$2:$C$30,2,0)</f>
        <v>NÃO TEM CHAPA</v>
      </c>
      <c r="R786" s="95">
        <v>45798</v>
      </c>
      <c r="S786" s="91" t="s">
        <v>222</v>
      </c>
      <c r="T786" s="91">
        <f t="shared" si="55"/>
        <v>1</v>
      </c>
      <c r="U786" s="95">
        <v>45806</v>
      </c>
      <c r="V786" s="91" t="s">
        <v>986</v>
      </c>
      <c r="W786" s="93">
        <v>2355</v>
      </c>
      <c r="X786" s="94">
        <f t="shared" si="52"/>
        <v>1</v>
      </c>
    </row>
    <row r="787" spans="1:25">
      <c r="A787" s="90">
        <v>786</v>
      </c>
      <c r="B787" s="68">
        <v>45786</v>
      </c>
      <c r="C787" s="40">
        <v>27</v>
      </c>
      <c r="D787" s="40">
        <f t="shared" si="53"/>
        <v>1</v>
      </c>
      <c r="E787" s="41" t="s">
        <v>1056</v>
      </c>
      <c r="F787" s="17" t="s">
        <v>58</v>
      </c>
      <c r="G787" s="17" t="s">
        <v>86</v>
      </c>
      <c r="H787" s="17">
        <v>42</v>
      </c>
      <c r="I787" s="17" t="str">
        <f t="shared" si="54"/>
        <v>PR_PN-42</v>
      </c>
      <c r="J787" s="18" t="s">
        <v>85</v>
      </c>
      <c r="K787" s="19" t="e">
        <f>IF(J787="","SEM #CH",VLOOKUP(J787,#REF!,2,0))</f>
        <v>#REF!</v>
      </c>
      <c r="L787" s="19" t="e">
        <f>IF(J787="","SEM #CH",VLOOKUP(J787,#REF!,3,0))</f>
        <v>#REF!</v>
      </c>
      <c r="M787" s="19" t="e">
        <f>IF(J787="","SEM #CH",VLOOKUP(J787,#REF!,4,0))</f>
        <v>#REF!</v>
      </c>
      <c r="N787" s="19" t="e">
        <f>IF(J787="","SEM #CH",VLOOKUP(J787,#REF!,5,0))</f>
        <v>#REF!</v>
      </c>
      <c r="O787" s="19" t="e">
        <f>IF(J787="","SEM #CH",VLOOKUP(J787,#REF!,6,0))</f>
        <v>#REF!</v>
      </c>
      <c r="P787" s="19" t="e">
        <f>IF(J787="","SEM #CH",VLOOKUP(J787,#REF!,7,0))</f>
        <v>#REF!</v>
      </c>
      <c r="Q787" s="77" t="str">
        <f>VLOOKUP(J787,'p1'!$B$2:$C$30,2,0)</f>
        <v>NÃO TEM CHAPA</v>
      </c>
      <c r="R787" s="95">
        <v>45791</v>
      </c>
      <c r="S787" s="91" t="s">
        <v>221</v>
      </c>
      <c r="T787" s="91">
        <f t="shared" si="55"/>
        <v>1</v>
      </c>
      <c r="U787" s="95">
        <v>45804</v>
      </c>
      <c r="V787" s="91" t="s">
        <v>988</v>
      </c>
      <c r="W787" s="93">
        <v>2352</v>
      </c>
      <c r="X787" s="94">
        <f t="shared" si="52"/>
        <v>1</v>
      </c>
    </row>
    <row r="788" spans="1:25">
      <c r="A788" s="90">
        <v>787</v>
      </c>
      <c r="B788" s="68">
        <v>45789</v>
      </c>
      <c r="C788" s="40">
        <v>28</v>
      </c>
      <c r="D788" s="40">
        <f t="shared" si="53"/>
        <v>1</v>
      </c>
      <c r="E788" s="41" t="s">
        <v>1056</v>
      </c>
      <c r="F788" s="17" t="s">
        <v>58</v>
      </c>
      <c r="G788" s="17" t="s">
        <v>86</v>
      </c>
      <c r="H788" s="17">
        <v>43</v>
      </c>
      <c r="I788" s="17" t="str">
        <f t="shared" si="54"/>
        <v>PR_PN-43</v>
      </c>
      <c r="J788" s="18" t="s">
        <v>85</v>
      </c>
      <c r="K788" s="19" t="e">
        <f>IF(J788="","SEM #CH",VLOOKUP(J788,#REF!,2,0))</f>
        <v>#REF!</v>
      </c>
      <c r="L788" s="19" t="e">
        <f>IF(J788="","SEM #CH",VLOOKUP(J788,#REF!,3,0))</f>
        <v>#REF!</v>
      </c>
      <c r="M788" s="19" t="e">
        <f>IF(J788="","SEM #CH",VLOOKUP(J788,#REF!,4,0))</f>
        <v>#REF!</v>
      </c>
      <c r="N788" s="19" t="e">
        <f>IF(J788="","SEM #CH",VLOOKUP(J788,#REF!,5,0))</f>
        <v>#REF!</v>
      </c>
      <c r="O788" s="19" t="e">
        <f>IF(J788="","SEM #CH",VLOOKUP(J788,#REF!,6,0))</f>
        <v>#REF!</v>
      </c>
      <c r="P788" s="19" t="e">
        <f>IF(J788="","SEM #CH",VLOOKUP(J788,#REF!,7,0))</f>
        <v>#REF!</v>
      </c>
      <c r="Q788" s="77" t="str">
        <f>VLOOKUP(J788,'p1'!$B$2:$C$30,2,0)</f>
        <v>NÃO TEM CHAPA</v>
      </c>
      <c r="R788" s="95">
        <v>45804</v>
      </c>
      <c r="S788" s="91" t="s">
        <v>222</v>
      </c>
      <c r="T788" s="91">
        <f t="shared" si="55"/>
        <v>1</v>
      </c>
      <c r="U788" s="95">
        <v>45805</v>
      </c>
      <c r="V788" s="91" t="s">
        <v>86</v>
      </c>
      <c r="W788" s="93">
        <v>2354</v>
      </c>
      <c r="X788" s="94">
        <f t="shared" si="52"/>
        <v>1</v>
      </c>
    </row>
    <row r="789" spans="1:25">
      <c r="A789" s="90">
        <v>788</v>
      </c>
      <c r="B789" s="68">
        <v>45806</v>
      </c>
      <c r="C789" s="40">
        <v>31</v>
      </c>
      <c r="D789" s="40">
        <f t="shared" si="53"/>
        <v>1</v>
      </c>
      <c r="E789" s="41" t="s">
        <v>1056</v>
      </c>
      <c r="F789" s="17" t="s">
        <v>58</v>
      </c>
      <c r="G789" s="17" t="s">
        <v>86</v>
      </c>
      <c r="H789" s="17">
        <v>44</v>
      </c>
      <c r="I789" s="17" t="str">
        <f t="shared" si="54"/>
        <v>PR_PN-44</v>
      </c>
      <c r="J789" s="18" t="s">
        <v>85</v>
      </c>
      <c r="K789" s="19" t="e">
        <f>IF(J789="","SEM #CH",VLOOKUP(J789,#REF!,2,0))</f>
        <v>#REF!</v>
      </c>
      <c r="L789" s="19" t="e">
        <f>IF(J789="","SEM #CH",VLOOKUP(J789,#REF!,3,0))</f>
        <v>#REF!</v>
      </c>
      <c r="M789" s="19" t="e">
        <f>IF(J789="","SEM #CH",VLOOKUP(J789,#REF!,4,0))</f>
        <v>#REF!</v>
      </c>
      <c r="N789" s="19" t="e">
        <f>IF(J789="","SEM #CH",VLOOKUP(J789,#REF!,5,0))</f>
        <v>#REF!</v>
      </c>
      <c r="O789" s="19" t="e">
        <f>IF(J789="","SEM #CH",VLOOKUP(J789,#REF!,6,0))</f>
        <v>#REF!</v>
      </c>
      <c r="P789" s="19" t="e">
        <f>IF(J789="","SEM #CH",VLOOKUP(J789,#REF!,7,0))</f>
        <v>#REF!</v>
      </c>
      <c r="Q789" s="77" t="str">
        <f>VLOOKUP(J789,'p1'!$B$2:$C$30,2,0)</f>
        <v>NÃO TEM CHAPA</v>
      </c>
      <c r="R789" s="91"/>
      <c r="S789" s="91" t="s">
        <v>221</v>
      </c>
      <c r="T789" s="91" t="str">
        <f t="shared" si="55"/>
        <v/>
      </c>
      <c r="U789" s="91"/>
      <c r="V789" s="91"/>
      <c r="W789" s="93"/>
      <c r="X789" s="94" t="str">
        <f t="shared" si="52"/>
        <v/>
      </c>
    </row>
    <row r="790" spans="1:25">
      <c r="A790" s="90">
        <v>789</v>
      </c>
      <c r="B790" s="68">
        <v>45834</v>
      </c>
      <c r="C790" s="40">
        <v>40</v>
      </c>
      <c r="D790" s="40">
        <f t="shared" si="53"/>
        <v>1</v>
      </c>
      <c r="E790" s="41" t="s">
        <v>1056</v>
      </c>
      <c r="F790" s="17" t="s">
        <v>124</v>
      </c>
      <c r="G790" s="17" t="s">
        <v>86</v>
      </c>
      <c r="H790" s="17">
        <v>45</v>
      </c>
      <c r="I790" s="17" t="str">
        <f t="shared" si="54"/>
        <v>PR_PNI-45</v>
      </c>
      <c r="J790" s="18" t="s">
        <v>124</v>
      </c>
      <c r="K790" s="19" t="e">
        <f>IF(J790="","SEM #CH",VLOOKUP(J790,#REF!,2,0))</f>
        <v>#REF!</v>
      </c>
      <c r="L790" s="19" t="e">
        <f>IF(J790="","SEM #CH",VLOOKUP(J790,#REF!,3,0))</f>
        <v>#REF!</v>
      </c>
      <c r="M790" s="19" t="e">
        <f>IF(J790="","SEM #CH",VLOOKUP(J790,#REF!,4,0))</f>
        <v>#REF!</v>
      </c>
      <c r="N790" s="19" t="e">
        <f>IF(J790="","SEM #CH",VLOOKUP(J790,#REF!,5,0))</f>
        <v>#REF!</v>
      </c>
      <c r="O790" s="19" t="e">
        <f>IF(J790="","SEM #CH",VLOOKUP(J790,#REF!,6,0))</f>
        <v>#REF!</v>
      </c>
      <c r="P790" s="19" t="e">
        <f>IF(J790="","SEM #CH",VLOOKUP(J790,#REF!,7,0))</f>
        <v>#REF!</v>
      </c>
      <c r="Q790" s="77" t="str">
        <f>VLOOKUP(J790,'p1'!$B$2:$C$30,2,0)</f>
        <v>02- 150X150 #3/8</v>
      </c>
      <c r="R790" s="91"/>
      <c r="S790" s="91" t="s">
        <v>222</v>
      </c>
      <c r="T790" s="91" t="str">
        <f t="shared" si="55"/>
        <v/>
      </c>
      <c r="U790" s="91"/>
      <c r="V790" s="91"/>
      <c r="W790" s="93"/>
      <c r="X790" s="94" t="str">
        <f t="shared" si="52"/>
        <v/>
      </c>
      <c r="Y790" s="13">
        <v>700</v>
      </c>
    </row>
    <row r="791" spans="1:25">
      <c r="A791" s="90">
        <v>790</v>
      </c>
      <c r="B791" s="68">
        <v>45800</v>
      </c>
      <c r="C791" s="40">
        <v>30</v>
      </c>
      <c r="D791" s="40">
        <f t="shared" si="53"/>
        <v>1</v>
      </c>
      <c r="E791" s="41" t="s">
        <v>1056</v>
      </c>
      <c r="F791" s="17" t="s">
        <v>61</v>
      </c>
      <c r="G791" s="17" t="s">
        <v>86</v>
      </c>
      <c r="H791" s="17">
        <v>46</v>
      </c>
      <c r="I791" s="17" t="str">
        <f t="shared" si="54"/>
        <v>PR_PF-46</v>
      </c>
      <c r="J791" s="18" t="s">
        <v>61</v>
      </c>
      <c r="K791" s="19" t="e">
        <f>IF(J791="","SEM #CH",VLOOKUP(J791,#REF!,2,0))</f>
        <v>#REF!</v>
      </c>
      <c r="L791" s="19" t="e">
        <f>IF(J791="","SEM #CH",VLOOKUP(J791,#REF!,3,0))</f>
        <v>#REF!</v>
      </c>
      <c r="M791" s="19" t="e">
        <f>IF(J791="","SEM #CH",VLOOKUP(J791,#REF!,4,0))</f>
        <v>#REF!</v>
      </c>
      <c r="N791" s="19" t="e">
        <f>IF(J791="","SEM #CH",VLOOKUP(J791,#REF!,5,0))</f>
        <v>#REF!</v>
      </c>
      <c r="O791" s="19" t="e">
        <f>IF(J791="","SEM #CH",VLOOKUP(J791,#REF!,6,0))</f>
        <v>#REF!</v>
      </c>
      <c r="P791" s="19" t="e">
        <f>IF(J791="","SEM #CH",VLOOKUP(J791,#REF!,7,0))</f>
        <v>#REF!</v>
      </c>
      <c r="Q791" s="77" t="str">
        <f>VLOOKUP(J791,'p1'!$B$2:$C$30,2,0)</f>
        <v>SEM CHAPA</v>
      </c>
      <c r="R791" s="95">
        <v>45804</v>
      </c>
      <c r="S791" s="91" t="s">
        <v>221</v>
      </c>
      <c r="T791" s="91">
        <f t="shared" si="55"/>
        <v>1</v>
      </c>
      <c r="U791" s="91"/>
      <c r="V791" s="91"/>
      <c r="W791" s="93"/>
      <c r="X791" s="94" t="str">
        <f t="shared" si="52"/>
        <v/>
      </c>
      <c r="Y791" s="13">
        <v>700</v>
      </c>
    </row>
    <row r="792" spans="1:25">
      <c r="A792" s="90">
        <v>791</v>
      </c>
      <c r="B792" s="68">
        <v>45812</v>
      </c>
      <c r="C792" s="40">
        <v>32</v>
      </c>
      <c r="D792" s="40">
        <f t="shared" si="53"/>
        <v>1</v>
      </c>
      <c r="E792" s="41" t="s">
        <v>1056</v>
      </c>
      <c r="F792" s="17" t="s">
        <v>58</v>
      </c>
      <c r="G792" s="17" t="s">
        <v>86</v>
      </c>
      <c r="H792" s="17">
        <v>47</v>
      </c>
      <c r="I792" s="17" t="str">
        <f t="shared" si="54"/>
        <v>PR_PN-47</v>
      </c>
      <c r="J792" s="18" t="s">
        <v>85</v>
      </c>
      <c r="K792" s="19" t="e">
        <f>IF(J792="","SEM #CH",VLOOKUP(J792,#REF!,2,0))</f>
        <v>#REF!</v>
      </c>
      <c r="L792" s="19" t="e">
        <f>IF(J792="","SEM #CH",VLOOKUP(J792,#REF!,3,0))</f>
        <v>#REF!</v>
      </c>
      <c r="M792" s="19" t="e">
        <f>IF(J792="","SEM #CH",VLOOKUP(J792,#REF!,4,0))</f>
        <v>#REF!</v>
      </c>
      <c r="N792" s="19" t="e">
        <f>IF(J792="","SEM #CH",VLOOKUP(J792,#REF!,5,0))</f>
        <v>#REF!</v>
      </c>
      <c r="O792" s="19" t="e">
        <f>IF(J792="","SEM #CH",VLOOKUP(J792,#REF!,6,0))</f>
        <v>#REF!</v>
      </c>
      <c r="P792" s="19" t="e">
        <f>IF(J792="","SEM #CH",VLOOKUP(J792,#REF!,7,0))</f>
        <v>#REF!</v>
      </c>
      <c r="Q792" s="77" t="str">
        <f>VLOOKUP(J792,'p1'!$B$2:$C$30,2,0)</f>
        <v>NÃO TEM CHAPA</v>
      </c>
      <c r="R792" s="91"/>
      <c r="S792" s="91" t="s">
        <v>221</v>
      </c>
      <c r="T792" s="91" t="str">
        <f t="shared" si="55"/>
        <v/>
      </c>
      <c r="U792" s="91"/>
      <c r="V792" s="91"/>
      <c r="W792" s="93"/>
      <c r="X792" s="94" t="str">
        <f t="shared" si="52"/>
        <v/>
      </c>
    </row>
    <row r="793" spans="1:25">
      <c r="A793" s="90">
        <v>792</v>
      </c>
      <c r="B793" s="68">
        <v>45818</v>
      </c>
      <c r="C793" s="40">
        <v>34</v>
      </c>
      <c r="D793" s="40">
        <f t="shared" si="53"/>
        <v>1</v>
      </c>
      <c r="E793" s="41" t="s">
        <v>1056</v>
      </c>
      <c r="F793" s="17" t="s">
        <v>58</v>
      </c>
      <c r="G793" s="17" t="s">
        <v>86</v>
      </c>
      <c r="H793" s="17">
        <v>48</v>
      </c>
      <c r="I793" s="17" t="str">
        <f t="shared" si="54"/>
        <v>PR_PN-48</v>
      </c>
      <c r="J793" s="18" t="s">
        <v>85</v>
      </c>
      <c r="K793" s="19" t="e">
        <f>IF(J793="","SEM #CH",VLOOKUP(J793,#REF!,2,0))</f>
        <v>#REF!</v>
      </c>
      <c r="L793" s="19" t="e">
        <f>IF(J793="","SEM #CH",VLOOKUP(J793,#REF!,3,0))</f>
        <v>#REF!</v>
      </c>
      <c r="M793" s="19" t="e">
        <f>IF(J793="","SEM #CH",VLOOKUP(J793,#REF!,4,0))</f>
        <v>#REF!</v>
      </c>
      <c r="N793" s="19" t="e">
        <f>IF(J793="","SEM #CH",VLOOKUP(J793,#REF!,5,0))</f>
        <v>#REF!</v>
      </c>
      <c r="O793" s="19" t="e">
        <f>IF(J793="","SEM #CH",VLOOKUP(J793,#REF!,6,0))</f>
        <v>#REF!</v>
      </c>
      <c r="P793" s="19" t="e">
        <f>IF(J793="","SEM #CH",VLOOKUP(J793,#REF!,7,0))</f>
        <v>#REF!</v>
      </c>
      <c r="Q793" s="77" t="str">
        <f>VLOOKUP(J793,'p1'!$B$2:$C$30,2,0)</f>
        <v>NÃO TEM CHAPA</v>
      </c>
      <c r="R793" s="91"/>
      <c r="S793" s="91" t="s">
        <v>221</v>
      </c>
      <c r="T793" s="91" t="str">
        <f t="shared" si="55"/>
        <v/>
      </c>
      <c r="U793" s="91"/>
      <c r="V793" s="91"/>
      <c r="W793" s="93"/>
      <c r="X793" s="94" t="str">
        <f t="shared" si="52"/>
        <v/>
      </c>
    </row>
    <row r="794" spans="1:25">
      <c r="A794" s="90">
        <v>793</v>
      </c>
      <c r="B794" s="68">
        <v>45821</v>
      </c>
      <c r="C794" s="40">
        <v>35</v>
      </c>
      <c r="D794" s="40">
        <f t="shared" si="53"/>
        <v>1</v>
      </c>
      <c r="E794" s="41" t="s">
        <v>1056</v>
      </c>
      <c r="F794" s="17" t="s">
        <v>58</v>
      </c>
      <c r="G794" s="17" t="s">
        <v>86</v>
      </c>
      <c r="H794" s="17">
        <v>49</v>
      </c>
      <c r="I794" s="17" t="str">
        <f t="shared" si="54"/>
        <v>PR_PN-49</v>
      </c>
      <c r="J794" s="18" t="s">
        <v>85</v>
      </c>
      <c r="K794" s="19" t="e">
        <f>IF(J794="","SEM #CH",VLOOKUP(J794,#REF!,2,0))</f>
        <v>#REF!</v>
      </c>
      <c r="L794" s="19" t="e">
        <f>IF(J794="","SEM #CH",VLOOKUP(J794,#REF!,3,0))</f>
        <v>#REF!</v>
      </c>
      <c r="M794" s="19" t="e">
        <f>IF(J794="","SEM #CH",VLOOKUP(J794,#REF!,4,0))</f>
        <v>#REF!</v>
      </c>
      <c r="N794" s="19" t="e">
        <f>IF(J794="","SEM #CH",VLOOKUP(J794,#REF!,5,0))</f>
        <v>#REF!</v>
      </c>
      <c r="O794" s="19" t="e">
        <f>IF(J794="","SEM #CH",VLOOKUP(J794,#REF!,6,0))</f>
        <v>#REF!</v>
      </c>
      <c r="P794" s="19" t="e">
        <f>IF(J794="","SEM #CH",VLOOKUP(J794,#REF!,7,0))</f>
        <v>#REF!</v>
      </c>
      <c r="Q794" s="77" t="str">
        <f>VLOOKUP(J794,'p1'!$B$2:$C$30,2,0)</f>
        <v>NÃO TEM CHAPA</v>
      </c>
      <c r="R794" s="91"/>
      <c r="S794" s="91" t="s">
        <v>221</v>
      </c>
      <c r="T794" s="91" t="str">
        <f t="shared" si="55"/>
        <v/>
      </c>
      <c r="U794" s="91"/>
      <c r="V794" s="91"/>
      <c r="W794" s="93"/>
      <c r="X794" s="94" t="str">
        <f t="shared" si="52"/>
        <v/>
      </c>
    </row>
    <row r="795" spans="1:25">
      <c r="A795" s="90">
        <v>794</v>
      </c>
      <c r="B795" s="68">
        <v>45827</v>
      </c>
      <c r="C795" s="40">
        <v>37</v>
      </c>
      <c r="D795" s="40">
        <f t="shared" si="53"/>
        <v>1</v>
      </c>
      <c r="E795" s="41" t="s">
        <v>1056</v>
      </c>
      <c r="F795" s="17" t="s">
        <v>58</v>
      </c>
      <c r="G795" s="17" t="s">
        <v>86</v>
      </c>
      <c r="H795" s="17">
        <v>50</v>
      </c>
      <c r="I795" s="17" t="str">
        <f t="shared" si="54"/>
        <v>PR_PN-50</v>
      </c>
      <c r="J795" s="18" t="s">
        <v>85</v>
      </c>
      <c r="K795" s="19" t="e">
        <f>IF(J795="","SEM #CH",VLOOKUP(J795,#REF!,2,0))</f>
        <v>#REF!</v>
      </c>
      <c r="L795" s="19" t="e">
        <f>IF(J795="","SEM #CH",VLOOKUP(J795,#REF!,3,0))</f>
        <v>#REF!</v>
      </c>
      <c r="M795" s="19" t="e">
        <f>IF(J795="","SEM #CH",VLOOKUP(J795,#REF!,4,0))</f>
        <v>#REF!</v>
      </c>
      <c r="N795" s="19" t="e">
        <f>IF(J795="","SEM #CH",VLOOKUP(J795,#REF!,5,0))</f>
        <v>#REF!</v>
      </c>
      <c r="O795" s="19" t="e">
        <f>IF(J795="","SEM #CH",VLOOKUP(J795,#REF!,6,0))</f>
        <v>#REF!</v>
      </c>
      <c r="P795" s="19" t="e">
        <f>IF(J795="","SEM #CH",VLOOKUP(J795,#REF!,7,0))</f>
        <v>#REF!</v>
      </c>
      <c r="Q795" s="77" t="str">
        <f>VLOOKUP(J795,'p1'!$B$2:$C$30,2,0)</f>
        <v>NÃO TEM CHAPA</v>
      </c>
      <c r="R795" s="91"/>
      <c r="S795" s="91" t="s">
        <v>221</v>
      </c>
      <c r="T795" s="91" t="str">
        <f t="shared" si="55"/>
        <v/>
      </c>
      <c r="U795" s="91"/>
      <c r="V795" s="91"/>
      <c r="W795" s="93"/>
      <c r="X795" s="94" t="str">
        <f t="shared" si="52"/>
        <v/>
      </c>
    </row>
    <row r="796" spans="1:25">
      <c r="A796" s="90">
        <v>795</v>
      </c>
      <c r="B796" s="68">
        <v>45839</v>
      </c>
      <c r="C796" s="40">
        <v>42</v>
      </c>
      <c r="D796" s="40">
        <f t="shared" si="53"/>
        <v>1</v>
      </c>
      <c r="E796" s="41" t="s">
        <v>1056</v>
      </c>
      <c r="F796" s="17" t="s">
        <v>124</v>
      </c>
      <c r="G796" s="17" t="s">
        <v>86</v>
      </c>
      <c r="H796" s="17">
        <v>51</v>
      </c>
      <c r="I796" s="17" t="str">
        <f t="shared" si="54"/>
        <v>PR_PNI-51</v>
      </c>
      <c r="J796" s="18" t="s">
        <v>124</v>
      </c>
      <c r="K796" s="19" t="e">
        <f>IF(J796="","SEM #CH",VLOOKUP(J796,#REF!,2,0))</f>
        <v>#REF!</v>
      </c>
      <c r="L796" s="19" t="e">
        <f>IF(J796="","SEM #CH",VLOOKUP(J796,#REF!,3,0))</f>
        <v>#REF!</v>
      </c>
      <c r="M796" s="19" t="e">
        <f>IF(J796="","SEM #CH",VLOOKUP(J796,#REF!,4,0))</f>
        <v>#REF!</v>
      </c>
      <c r="N796" s="19" t="e">
        <f>IF(J796="","SEM #CH",VLOOKUP(J796,#REF!,5,0))</f>
        <v>#REF!</v>
      </c>
      <c r="O796" s="19" t="e">
        <f>IF(J796="","SEM #CH",VLOOKUP(J796,#REF!,6,0))</f>
        <v>#REF!</v>
      </c>
      <c r="P796" s="19" t="e">
        <f>IF(J796="","SEM #CH",VLOOKUP(J796,#REF!,7,0))</f>
        <v>#REF!</v>
      </c>
      <c r="Q796" s="77" t="str">
        <f>VLOOKUP(J796,'p1'!$B$2:$C$30,2,0)</f>
        <v>02- 150X150 #3/8</v>
      </c>
      <c r="R796" s="91"/>
      <c r="S796" s="91" t="s">
        <v>222</v>
      </c>
      <c r="T796" s="91" t="str">
        <f t="shared" si="55"/>
        <v/>
      </c>
      <c r="U796" s="91"/>
      <c r="V796" s="91"/>
      <c r="W796" s="93"/>
      <c r="X796" s="94" t="str">
        <f t="shared" si="52"/>
        <v/>
      </c>
      <c r="Y796" s="13">
        <v>700</v>
      </c>
    </row>
    <row r="797" spans="1:25">
      <c r="A797" s="90">
        <v>796</v>
      </c>
      <c r="B797" s="68">
        <v>45828</v>
      </c>
      <c r="C797" s="40">
        <v>38</v>
      </c>
      <c r="D797" s="40">
        <f t="shared" si="53"/>
        <v>1</v>
      </c>
      <c r="E797" s="41" t="s">
        <v>1056</v>
      </c>
      <c r="F797" s="17" t="s">
        <v>58</v>
      </c>
      <c r="G797" s="17" t="s">
        <v>86</v>
      </c>
      <c r="H797" s="17">
        <v>52</v>
      </c>
      <c r="I797" s="17" t="str">
        <f t="shared" si="54"/>
        <v>PR_PN-52</v>
      </c>
      <c r="J797" s="18" t="s">
        <v>85</v>
      </c>
      <c r="K797" s="19" t="e">
        <f>IF(J797="","SEM #CH",VLOOKUP(J797,#REF!,2,0))</f>
        <v>#REF!</v>
      </c>
      <c r="L797" s="19" t="e">
        <f>IF(J797="","SEM #CH",VLOOKUP(J797,#REF!,3,0))</f>
        <v>#REF!</v>
      </c>
      <c r="M797" s="19" t="e">
        <f>IF(J797="","SEM #CH",VLOOKUP(J797,#REF!,4,0))</f>
        <v>#REF!</v>
      </c>
      <c r="N797" s="19" t="e">
        <f>IF(J797="","SEM #CH",VLOOKUP(J797,#REF!,5,0))</f>
        <v>#REF!</v>
      </c>
      <c r="O797" s="19" t="e">
        <f>IF(J797="","SEM #CH",VLOOKUP(J797,#REF!,6,0))</f>
        <v>#REF!</v>
      </c>
      <c r="P797" s="19" t="e">
        <f>IF(J797="","SEM #CH",VLOOKUP(J797,#REF!,7,0))</f>
        <v>#REF!</v>
      </c>
      <c r="Q797" s="77" t="str">
        <f>VLOOKUP(J797,'p1'!$B$2:$C$30,2,0)</f>
        <v>NÃO TEM CHAPA</v>
      </c>
      <c r="R797" s="95">
        <v>45847</v>
      </c>
      <c r="S797" s="91" t="s">
        <v>222</v>
      </c>
      <c r="T797" s="91">
        <f t="shared" si="55"/>
        <v>1</v>
      </c>
      <c r="U797" s="91"/>
      <c r="V797" s="91"/>
      <c r="W797" s="93"/>
      <c r="X797" s="94" t="str">
        <f t="shared" si="52"/>
        <v/>
      </c>
    </row>
    <row r="798" spans="1:25">
      <c r="A798" s="90">
        <v>797</v>
      </c>
      <c r="B798" s="68">
        <v>45828</v>
      </c>
      <c r="C798" s="40">
        <v>38</v>
      </c>
      <c r="D798" s="40">
        <f t="shared" si="53"/>
        <v>1</v>
      </c>
      <c r="E798" s="41" t="s">
        <v>1056</v>
      </c>
      <c r="F798" s="17" t="s">
        <v>58</v>
      </c>
      <c r="G798" s="17" t="s">
        <v>86</v>
      </c>
      <c r="H798" s="17">
        <v>53</v>
      </c>
      <c r="I798" s="17" t="str">
        <f t="shared" si="54"/>
        <v>PR_PN-53</v>
      </c>
      <c r="J798" s="18" t="s">
        <v>85</v>
      </c>
      <c r="K798" s="19" t="e">
        <f>IF(J798="","SEM #CH",VLOOKUP(J798,#REF!,2,0))</f>
        <v>#REF!</v>
      </c>
      <c r="L798" s="19" t="e">
        <f>IF(J798="","SEM #CH",VLOOKUP(J798,#REF!,3,0))</f>
        <v>#REF!</v>
      </c>
      <c r="M798" s="19" t="e">
        <f>IF(J798="","SEM #CH",VLOOKUP(J798,#REF!,4,0))</f>
        <v>#REF!</v>
      </c>
      <c r="N798" s="19" t="e">
        <f>IF(J798="","SEM #CH",VLOOKUP(J798,#REF!,5,0))</f>
        <v>#REF!</v>
      </c>
      <c r="O798" s="19" t="e">
        <f>IF(J798="","SEM #CH",VLOOKUP(J798,#REF!,6,0))</f>
        <v>#REF!</v>
      </c>
      <c r="P798" s="19" t="e">
        <f>IF(J798="","SEM #CH",VLOOKUP(J798,#REF!,7,0))</f>
        <v>#REF!</v>
      </c>
      <c r="Q798" s="77" t="str">
        <f>VLOOKUP(J798,'p1'!$B$2:$C$30,2,0)</f>
        <v>NÃO TEM CHAPA</v>
      </c>
      <c r="R798" s="91"/>
      <c r="S798" s="91" t="s">
        <v>222</v>
      </c>
      <c r="T798" s="91" t="str">
        <f t="shared" si="55"/>
        <v/>
      </c>
      <c r="U798" s="91"/>
      <c r="V798" s="91"/>
      <c r="W798" s="93"/>
      <c r="X798" s="94" t="str">
        <f t="shared" si="52"/>
        <v/>
      </c>
    </row>
    <row r="799" spans="1:25">
      <c r="A799" s="90">
        <v>798</v>
      </c>
      <c r="B799" s="68">
        <v>45828</v>
      </c>
      <c r="C799" s="40">
        <v>38</v>
      </c>
      <c r="D799" s="40">
        <f t="shared" si="53"/>
        <v>1</v>
      </c>
      <c r="E799" s="41" t="s">
        <v>1056</v>
      </c>
      <c r="F799" s="17" t="s">
        <v>58</v>
      </c>
      <c r="G799" s="17" t="s">
        <v>86</v>
      </c>
      <c r="H799" s="17">
        <v>54</v>
      </c>
      <c r="I799" s="17" t="str">
        <f t="shared" si="54"/>
        <v>PR_PN-54</v>
      </c>
      <c r="J799" s="18" t="s">
        <v>85</v>
      </c>
      <c r="K799" s="19" t="e">
        <f>IF(J799="","SEM #CH",VLOOKUP(J799,#REF!,2,0))</f>
        <v>#REF!</v>
      </c>
      <c r="L799" s="19" t="e">
        <f>IF(J799="","SEM #CH",VLOOKUP(J799,#REF!,3,0))</f>
        <v>#REF!</v>
      </c>
      <c r="M799" s="19" t="e">
        <f>IF(J799="","SEM #CH",VLOOKUP(J799,#REF!,4,0))</f>
        <v>#REF!</v>
      </c>
      <c r="N799" s="19" t="e">
        <f>IF(J799="","SEM #CH",VLOOKUP(J799,#REF!,5,0))</f>
        <v>#REF!</v>
      </c>
      <c r="O799" s="19" t="e">
        <f>IF(J799="","SEM #CH",VLOOKUP(J799,#REF!,6,0))</f>
        <v>#REF!</v>
      </c>
      <c r="P799" s="19" t="e">
        <f>IF(J799="","SEM #CH",VLOOKUP(J799,#REF!,7,0))</f>
        <v>#REF!</v>
      </c>
      <c r="Q799" s="77" t="str">
        <f>VLOOKUP(J799,'p1'!$B$2:$C$30,2,0)</f>
        <v>NÃO TEM CHAPA</v>
      </c>
      <c r="R799" s="91"/>
      <c r="S799" s="91" t="s">
        <v>222</v>
      </c>
      <c r="T799" s="91" t="str">
        <f t="shared" si="55"/>
        <v/>
      </c>
      <c r="U799" s="91"/>
      <c r="V799" s="91"/>
      <c r="W799" s="93"/>
      <c r="X799" s="94" t="str">
        <f t="shared" si="52"/>
        <v/>
      </c>
    </row>
    <row r="800" spans="1:25">
      <c r="A800" s="90">
        <v>799</v>
      </c>
      <c r="B800" s="68">
        <v>45828</v>
      </c>
      <c r="C800" s="40">
        <v>38</v>
      </c>
      <c r="D800" s="40">
        <f t="shared" si="53"/>
        <v>1</v>
      </c>
      <c r="E800" s="41" t="s">
        <v>1056</v>
      </c>
      <c r="F800" s="17" t="s">
        <v>58</v>
      </c>
      <c r="G800" s="17" t="s">
        <v>86</v>
      </c>
      <c r="H800" s="17">
        <v>55</v>
      </c>
      <c r="I800" s="17" t="str">
        <f t="shared" si="54"/>
        <v>PR_PN-55</v>
      </c>
      <c r="J800" s="18" t="s">
        <v>85</v>
      </c>
      <c r="K800" s="19" t="e">
        <f>IF(J800="","SEM #CH",VLOOKUP(J800,#REF!,2,0))</f>
        <v>#REF!</v>
      </c>
      <c r="L800" s="19" t="e">
        <f>IF(J800="","SEM #CH",VLOOKUP(J800,#REF!,3,0))</f>
        <v>#REF!</v>
      </c>
      <c r="M800" s="19" t="e">
        <f>IF(J800="","SEM #CH",VLOOKUP(J800,#REF!,4,0))</f>
        <v>#REF!</v>
      </c>
      <c r="N800" s="19" t="e">
        <f>IF(J800="","SEM #CH",VLOOKUP(J800,#REF!,5,0))</f>
        <v>#REF!</v>
      </c>
      <c r="O800" s="19" t="e">
        <f>IF(J800="","SEM #CH",VLOOKUP(J800,#REF!,6,0))</f>
        <v>#REF!</v>
      </c>
      <c r="P800" s="19" t="e">
        <f>IF(J800="","SEM #CH",VLOOKUP(J800,#REF!,7,0))</f>
        <v>#REF!</v>
      </c>
      <c r="Q800" s="77" t="str">
        <f>VLOOKUP(J800,'p1'!$B$2:$C$30,2,0)</f>
        <v>NÃO TEM CHAPA</v>
      </c>
      <c r="R800" s="95">
        <v>45843</v>
      </c>
      <c r="S800" s="91" t="s">
        <v>222</v>
      </c>
      <c r="T800" s="91">
        <f t="shared" si="55"/>
        <v>1</v>
      </c>
      <c r="U800" s="91"/>
      <c r="V800" s="91"/>
      <c r="W800" s="93"/>
      <c r="X800" s="94" t="str">
        <f t="shared" si="52"/>
        <v/>
      </c>
    </row>
    <row r="801" spans="1:25">
      <c r="A801" s="90">
        <v>800</v>
      </c>
      <c r="B801" s="68">
        <v>45828</v>
      </c>
      <c r="C801" s="40">
        <v>38</v>
      </c>
      <c r="D801" s="40">
        <f t="shared" si="53"/>
        <v>1</v>
      </c>
      <c r="E801" s="41" t="s">
        <v>1056</v>
      </c>
      <c r="F801" s="17" t="s">
        <v>58</v>
      </c>
      <c r="G801" s="17" t="s">
        <v>86</v>
      </c>
      <c r="H801" s="17">
        <v>56</v>
      </c>
      <c r="I801" s="17" t="str">
        <f t="shared" si="54"/>
        <v>PR_PN-56</v>
      </c>
      <c r="J801" s="18" t="s">
        <v>85</v>
      </c>
      <c r="K801" s="19" t="e">
        <f>IF(J801="","SEM #CH",VLOOKUP(J801,#REF!,2,0))</f>
        <v>#REF!</v>
      </c>
      <c r="L801" s="19" t="e">
        <f>IF(J801="","SEM #CH",VLOOKUP(J801,#REF!,3,0))</f>
        <v>#REF!</v>
      </c>
      <c r="M801" s="19" t="e">
        <f>IF(J801="","SEM #CH",VLOOKUP(J801,#REF!,4,0))</f>
        <v>#REF!</v>
      </c>
      <c r="N801" s="19" t="e">
        <f>IF(J801="","SEM #CH",VLOOKUP(J801,#REF!,5,0))</f>
        <v>#REF!</v>
      </c>
      <c r="O801" s="19" t="e">
        <f>IF(J801="","SEM #CH",VLOOKUP(J801,#REF!,6,0))</f>
        <v>#REF!</v>
      </c>
      <c r="P801" s="19" t="e">
        <f>IF(J801="","SEM #CH",VLOOKUP(J801,#REF!,7,0))</f>
        <v>#REF!</v>
      </c>
      <c r="Q801" s="77" t="str">
        <f>VLOOKUP(J801,'p1'!$B$2:$C$30,2,0)</f>
        <v>NÃO TEM CHAPA</v>
      </c>
      <c r="R801" s="95">
        <v>45845</v>
      </c>
      <c r="S801" s="91" t="s">
        <v>222</v>
      </c>
      <c r="T801" s="91">
        <f t="shared" si="55"/>
        <v>1</v>
      </c>
      <c r="U801" s="91"/>
      <c r="V801" s="91"/>
      <c r="W801" s="93"/>
      <c r="X801" s="94" t="str">
        <f t="shared" si="52"/>
        <v/>
      </c>
    </row>
    <row r="802" spans="1:25">
      <c r="A802" s="90">
        <v>801</v>
      </c>
      <c r="B802" s="68">
        <v>45839</v>
      </c>
      <c r="C802" s="40">
        <v>42</v>
      </c>
      <c r="D802" s="40">
        <f t="shared" si="53"/>
        <v>1</v>
      </c>
      <c r="E802" s="41" t="s">
        <v>1056</v>
      </c>
      <c r="F802" s="17" t="s">
        <v>124</v>
      </c>
      <c r="G802" s="17" t="s">
        <v>86</v>
      </c>
      <c r="H802" s="17">
        <v>57</v>
      </c>
      <c r="I802" s="17" t="str">
        <f t="shared" si="54"/>
        <v>PR_PNI-57</v>
      </c>
      <c r="J802" s="18" t="s">
        <v>124</v>
      </c>
      <c r="K802" s="19" t="e">
        <f>IF(J802="","SEM #CH",VLOOKUP(J802,#REF!,2,0))</f>
        <v>#REF!</v>
      </c>
      <c r="L802" s="19" t="e">
        <f>IF(J802="","SEM #CH",VLOOKUP(J802,#REF!,3,0))</f>
        <v>#REF!</v>
      </c>
      <c r="M802" s="19" t="e">
        <f>IF(J802="","SEM #CH",VLOOKUP(J802,#REF!,4,0))</f>
        <v>#REF!</v>
      </c>
      <c r="N802" s="19" t="e">
        <f>IF(J802="","SEM #CH",VLOOKUP(J802,#REF!,5,0))</f>
        <v>#REF!</v>
      </c>
      <c r="O802" s="19" t="e">
        <f>IF(J802="","SEM #CH",VLOOKUP(J802,#REF!,6,0))</f>
        <v>#REF!</v>
      </c>
      <c r="P802" s="19" t="e">
        <f>IF(J802="","SEM #CH",VLOOKUP(J802,#REF!,7,0))</f>
        <v>#REF!</v>
      </c>
      <c r="Q802" s="77" t="str">
        <f>VLOOKUP(J802,'p1'!$B$2:$C$30,2,0)</f>
        <v>02- 150X150 #3/8</v>
      </c>
      <c r="R802" s="91"/>
      <c r="S802" s="91" t="s">
        <v>222</v>
      </c>
      <c r="T802" s="91" t="str">
        <f t="shared" si="55"/>
        <v/>
      </c>
      <c r="U802" s="91"/>
      <c r="V802" s="91"/>
      <c r="W802" s="93"/>
      <c r="X802" s="94" t="str">
        <f t="shared" si="52"/>
        <v/>
      </c>
      <c r="Y802" s="13">
        <v>700</v>
      </c>
    </row>
    <row r="803" spans="1:25">
      <c r="A803" s="90">
        <v>802</v>
      </c>
      <c r="B803" s="68">
        <v>45828</v>
      </c>
      <c r="C803" s="40">
        <v>38</v>
      </c>
      <c r="D803" s="40">
        <f t="shared" si="53"/>
        <v>1</v>
      </c>
      <c r="E803" s="41" t="s">
        <v>1056</v>
      </c>
      <c r="F803" s="17" t="s">
        <v>58</v>
      </c>
      <c r="G803" s="17" t="s">
        <v>86</v>
      </c>
      <c r="H803" s="17">
        <v>58</v>
      </c>
      <c r="I803" s="17" t="str">
        <f t="shared" si="54"/>
        <v>PR_PN-58</v>
      </c>
      <c r="J803" s="18" t="s">
        <v>85</v>
      </c>
      <c r="K803" s="19" t="e">
        <f>IF(J803="","SEM #CH",VLOOKUP(J803,#REF!,2,0))</f>
        <v>#REF!</v>
      </c>
      <c r="L803" s="19" t="e">
        <f>IF(J803="","SEM #CH",VLOOKUP(J803,#REF!,3,0))</f>
        <v>#REF!</v>
      </c>
      <c r="M803" s="19" t="e">
        <f>IF(J803="","SEM #CH",VLOOKUP(J803,#REF!,4,0))</f>
        <v>#REF!</v>
      </c>
      <c r="N803" s="19" t="e">
        <f>IF(J803="","SEM #CH",VLOOKUP(J803,#REF!,5,0))</f>
        <v>#REF!</v>
      </c>
      <c r="O803" s="19" t="e">
        <f>IF(J803="","SEM #CH",VLOOKUP(J803,#REF!,6,0))</f>
        <v>#REF!</v>
      </c>
      <c r="P803" s="19" t="e">
        <f>IF(J803="","SEM #CH",VLOOKUP(J803,#REF!,7,0))</f>
        <v>#REF!</v>
      </c>
      <c r="Q803" s="77" t="str">
        <f>VLOOKUP(J803,'p1'!$B$2:$C$30,2,0)</f>
        <v>NÃO TEM CHAPA</v>
      </c>
      <c r="R803" s="91"/>
      <c r="S803" s="91" t="s">
        <v>222</v>
      </c>
      <c r="T803" s="91" t="str">
        <f t="shared" si="55"/>
        <v/>
      </c>
      <c r="U803" s="91"/>
      <c r="V803" s="91"/>
      <c r="W803" s="93"/>
      <c r="X803" s="94" t="str">
        <f t="shared" si="52"/>
        <v/>
      </c>
      <c r="Y803" s="13">
        <v>700</v>
      </c>
    </row>
    <row r="804" spans="1:25">
      <c r="A804" s="90">
        <v>803</v>
      </c>
      <c r="B804" s="68">
        <v>45828</v>
      </c>
      <c r="C804" s="40">
        <v>38</v>
      </c>
      <c r="D804" s="40">
        <f t="shared" si="53"/>
        <v>1</v>
      </c>
      <c r="E804" s="41" t="s">
        <v>1056</v>
      </c>
      <c r="F804" s="17" t="s">
        <v>58</v>
      </c>
      <c r="G804" s="17" t="s">
        <v>86</v>
      </c>
      <c r="H804" s="17">
        <v>59</v>
      </c>
      <c r="I804" s="17" t="str">
        <f t="shared" si="54"/>
        <v>PR_PN-59</v>
      </c>
      <c r="J804" s="18" t="s">
        <v>85</v>
      </c>
      <c r="K804" s="19" t="e">
        <f>IF(J804="","SEM #CH",VLOOKUP(J804,#REF!,2,0))</f>
        <v>#REF!</v>
      </c>
      <c r="L804" s="19" t="e">
        <f>IF(J804="","SEM #CH",VLOOKUP(J804,#REF!,3,0))</f>
        <v>#REF!</v>
      </c>
      <c r="M804" s="19" t="e">
        <f>IF(J804="","SEM #CH",VLOOKUP(J804,#REF!,4,0))</f>
        <v>#REF!</v>
      </c>
      <c r="N804" s="19" t="e">
        <f>IF(J804="","SEM #CH",VLOOKUP(J804,#REF!,5,0))</f>
        <v>#REF!</v>
      </c>
      <c r="O804" s="19" t="e">
        <f>IF(J804="","SEM #CH",VLOOKUP(J804,#REF!,6,0))</f>
        <v>#REF!</v>
      </c>
      <c r="P804" s="19" t="e">
        <f>IF(J804="","SEM #CH",VLOOKUP(J804,#REF!,7,0))</f>
        <v>#REF!</v>
      </c>
      <c r="Q804" s="77" t="str">
        <f>VLOOKUP(J804,'p1'!$B$2:$C$30,2,0)</f>
        <v>NÃO TEM CHAPA</v>
      </c>
      <c r="R804" s="95">
        <v>45845</v>
      </c>
      <c r="S804" s="91" t="s">
        <v>222</v>
      </c>
      <c r="T804" s="91">
        <f t="shared" si="55"/>
        <v>1</v>
      </c>
      <c r="U804" s="91"/>
      <c r="V804" s="91"/>
      <c r="W804" s="93"/>
      <c r="X804" s="94" t="str">
        <f t="shared" si="52"/>
        <v/>
      </c>
      <c r="Y804" s="13">
        <v>700</v>
      </c>
    </row>
    <row r="805" spans="1:25">
      <c r="A805" s="90">
        <v>804</v>
      </c>
      <c r="B805" s="68">
        <v>45828</v>
      </c>
      <c r="C805" s="40">
        <v>38</v>
      </c>
      <c r="D805" s="40">
        <f t="shared" si="53"/>
        <v>1</v>
      </c>
      <c r="E805" s="41" t="s">
        <v>1056</v>
      </c>
      <c r="F805" s="17" t="s">
        <v>58</v>
      </c>
      <c r="G805" s="17" t="s">
        <v>86</v>
      </c>
      <c r="H805" s="17">
        <v>60</v>
      </c>
      <c r="I805" s="17" t="str">
        <f t="shared" si="54"/>
        <v>PR_PN-60</v>
      </c>
      <c r="J805" s="18" t="s">
        <v>85</v>
      </c>
      <c r="K805" s="19" t="e">
        <f>IF(J805="","SEM #CH",VLOOKUP(J805,#REF!,2,0))</f>
        <v>#REF!</v>
      </c>
      <c r="L805" s="19" t="e">
        <f>IF(J805="","SEM #CH",VLOOKUP(J805,#REF!,3,0))</f>
        <v>#REF!</v>
      </c>
      <c r="M805" s="19" t="e">
        <f>IF(J805="","SEM #CH",VLOOKUP(J805,#REF!,4,0))</f>
        <v>#REF!</v>
      </c>
      <c r="N805" s="19" t="e">
        <f>IF(J805="","SEM #CH",VLOOKUP(J805,#REF!,5,0))</f>
        <v>#REF!</v>
      </c>
      <c r="O805" s="19" t="e">
        <f>IF(J805="","SEM #CH",VLOOKUP(J805,#REF!,6,0))</f>
        <v>#REF!</v>
      </c>
      <c r="P805" s="19" t="e">
        <f>IF(J805="","SEM #CH",VLOOKUP(J805,#REF!,7,0))</f>
        <v>#REF!</v>
      </c>
      <c r="Q805" s="77" t="str">
        <f>VLOOKUP(J805,'p1'!$B$2:$C$30,2,0)</f>
        <v>NÃO TEM CHAPA</v>
      </c>
      <c r="R805" s="91"/>
      <c r="S805" s="91" t="s">
        <v>222</v>
      </c>
      <c r="T805" s="91" t="str">
        <f t="shared" si="55"/>
        <v/>
      </c>
      <c r="U805" s="91"/>
      <c r="V805" s="91"/>
      <c r="W805" s="93"/>
      <c r="X805" s="94" t="str">
        <f t="shared" si="52"/>
        <v/>
      </c>
      <c r="Y805" s="13">
        <v>700</v>
      </c>
    </row>
    <row r="806" spans="1:25">
      <c r="A806" s="90">
        <v>805</v>
      </c>
      <c r="B806" s="68">
        <v>45828</v>
      </c>
      <c r="C806" s="40">
        <v>38</v>
      </c>
      <c r="D806" s="40">
        <f t="shared" si="53"/>
        <v>1</v>
      </c>
      <c r="E806" s="41" t="s">
        <v>1056</v>
      </c>
      <c r="F806" s="17" t="s">
        <v>58</v>
      </c>
      <c r="G806" s="17" t="s">
        <v>86</v>
      </c>
      <c r="H806" s="17">
        <v>61</v>
      </c>
      <c r="I806" s="17" t="str">
        <f t="shared" si="54"/>
        <v>PR_PN-61</v>
      </c>
      <c r="J806" s="18" t="s">
        <v>85</v>
      </c>
      <c r="K806" s="19" t="e">
        <f>IF(J806="","SEM #CH",VLOOKUP(J806,#REF!,2,0))</f>
        <v>#REF!</v>
      </c>
      <c r="L806" s="19" t="e">
        <f>IF(J806="","SEM #CH",VLOOKUP(J806,#REF!,3,0))</f>
        <v>#REF!</v>
      </c>
      <c r="M806" s="19" t="e">
        <f>IF(J806="","SEM #CH",VLOOKUP(J806,#REF!,4,0))</f>
        <v>#REF!</v>
      </c>
      <c r="N806" s="19" t="e">
        <f>IF(J806="","SEM #CH",VLOOKUP(J806,#REF!,5,0))</f>
        <v>#REF!</v>
      </c>
      <c r="O806" s="19" t="e">
        <f>IF(J806="","SEM #CH",VLOOKUP(J806,#REF!,6,0))</f>
        <v>#REF!</v>
      </c>
      <c r="P806" s="19" t="e">
        <f>IF(J806="","SEM #CH",VLOOKUP(J806,#REF!,7,0))</f>
        <v>#REF!</v>
      </c>
      <c r="Q806" s="77" t="str">
        <f>VLOOKUP(J806,'p1'!$B$2:$C$30,2,0)</f>
        <v>NÃO TEM CHAPA</v>
      </c>
      <c r="R806" s="91"/>
      <c r="S806" s="91" t="s">
        <v>222</v>
      </c>
      <c r="T806" s="91" t="str">
        <f t="shared" si="55"/>
        <v/>
      </c>
      <c r="U806" s="91"/>
      <c r="V806" s="91"/>
      <c r="W806" s="93"/>
      <c r="X806" s="94" t="str">
        <f t="shared" si="52"/>
        <v/>
      </c>
      <c r="Y806" s="13">
        <v>700</v>
      </c>
    </row>
    <row r="807" spans="1:25">
      <c r="A807" s="90">
        <v>806</v>
      </c>
      <c r="B807" s="68">
        <v>45833</v>
      </c>
      <c r="C807" s="40">
        <v>39</v>
      </c>
      <c r="D807" s="40">
        <f t="shared" ref="D807:D833" si="56">IF(B807&gt;0,1,"")</f>
        <v>1</v>
      </c>
      <c r="E807" s="41" t="s">
        <v>1056</v>
      </c>
      <c r="F807" s="17" t="s">
        <v>58</v>
      </c>
      <c r="G807" s="17" t="s">
        <v>86</v>
      </c>
      <c r="H807" s="17">
        <v>62</v>
      </c>
      <c r="I807" s="17" t="str">
        <f t="shared" ref="I807:I809" si="57">_xlfn.CONCAT("PR_",F807,G807,H807)</f>
        <v>PR_PN-62</v>
      </c>
      <c r="J807" s="18" t="s">
        <v>85</v>
      </c>
      <c r="K807" s="19" t="e">
        <f>IF(J807="","SEM #CH",VLOOKUP(J807,#REF!,2,0))</f>
        <v>#REF!</v>
      </c>
      <c r="L807" s="19" t="e">
        <f>IF(J807="","SEM #CH",VLOOKUP(J807,#REF!,3,0))</f>
        <v>#REF!</v>
      </c>
      <c r="M807" s="19" t="e">
        <f>IF(J807="","SEM #CH",VLOOKUP(J807,#REF!,4,0))</f>
        <v>#REF!</v>
      </c>
      <c r="N807" s="19" t="e">
        <f>IF(J807="","SEM #CH",VLOOKUP(J807,#REF!,5,0))</f>
        <v>#REF!</v>
      </c>
      <c r="O807" s="19" t="e">
        <f>IF(J807="","SEM #CH",VLOOKUP(J807,#REF!,6,0))</f>
        <v>#REF!</v>
      </c>
      <c r="P807" s="19" t="e">
        <f>IF(J807="","SEM #CH",VLOOKUP(J807,#REF!,7,0))</f>
        <v>#REF!</v>
      </c>
      <c r="Q807" s="77" t="str">
        <f>VLOOKUP(J807,'p1'!$B$2:$C$30,2,0)</f>
        <v>NÃO TEM CHAPA</v>
      </c>
      <c r="R807" s="91"/>
      <c r="S807" s="91" t="s">
        <v>221</v>
      </c>
      <c r="T807" s="91" t="str">
        <f t="shared" ref="T807:T833" si="58">IF(R807=0,"",1)</f>
        <v/>
      </c>
      <c r="U807" s="91"/>
      <c r="V807" s="91"/>
      <c r="W807" s="93"/>
      <c r="X807" s="94" t="str">
        <f t="shared" si="52"/>
        <v/>
      </c>
      <c r="Y807" s="13">
        <v>700</v>
      </c>
    </row>
    <row r="808" spans="1:25">
      <c r="A808" s="90">
        <v>807</v>
      </c>
      <c r="B808" s="68">
        <v>45842</v>
      </c>
      <c r="C808" s="40">
        <v>45</v>
      </c>
      <c r="D808" s="40">
        <f t="shared" si="56"/>
        <v>1</v>
      </c>
      <c r="E808" s="41" t="s">
        <v>1056</v>
      </c>
      <c r="F808" s="17" t="s">
        <v>124</v>
      </c>
      <c r="G808" s="17" t="s">
        <v>86</v>
      </c>
      <c r="H808" s="17">
        <v>63</v>
      </c>
      <c r="I808" s="17" t="str">
        <f t="shared" si="57"/>
        <v>PR_PNI-63</v>
      </c>
      <c r="J808" s="18" t="s">
        <v>124</v>
      </c>
      <c r="K808" s="19" t="e">
        <f>IF(J808="","SEM #CH",VLOOKUP(J808,#REF!,2,0))</f>
        <v>#REF!</v>
      </c>
      <c r="L808" s="19" t="e">
        <f>IF(J808="","SEM #CH",VLOOKUP(J808,#REF!,3,0))</f>
        <v>#REF!</v>
      </c>
      <c r="M808" s="19" t="e">
        <f>IF(J808="","SEM #CH",VLOOKUP(J808,#REF!,4,0))</f>
        <v>#REF!</v>
      </c>
      <c r="N808" s="19" t="e">
        <f>IF(J808="","SEM #CH",VLOOKUP(J808,#REF!,5,0))</f>
        <v>#REF!</v>
      </c>
      <c r="O808" s="19" t="s">
        <v>123</v>
      </c>
      <c r="P808" s="19" t="e">
        <f>IF(J808="","SEM #CH",VLOOKUP(J808,#REF!,7,0))</f>
        <v>#REF!</v>
      </c>
      <c r="Q808" s="77" t="str">
        <f>VLOOKUP(J808,'p1'!$B$2:$C$30,2,0)</f>
        <v>02- 150X150 #3/8</v>
      </c>
      <c r="R808" s="91"/>
      <c r="S808" s="91" t="s">
        <v>222</v>
      </c>
      <c r="T808" s="91" t="str">
        <f t="shared" si="58"/>
        <v/>
      </c>
      <c r="U808" s="91"/>
      <c r="V808" s="91"/>
      <c r="W808" s="93"/>
      <c r="X808" s="94" t="str">
        <f t="shared" si="52"/>
        <v/>
      </c>
      <c r="Y808" s="13">
        <v>700</v>
      </c>
    </row>
    <row r="809" spans="1:25">
      <c r="A809" s="90">
        <v>808</v>
      </c>
      <c r="B809" s="68">
        <v>45834</v>
      </c>
      <c r="C809" s="40">
        <v>40</v>
      </c>
      <c r="D809" s="40">
        <f t="shared" si="56"/>
        <v>1</v>
      </c>
      <c r="E809" s="41" t="s">
        <v>1056</v>
      </c>
      <c r="F809" s="17" t="s">
        <v>58</v>
      </c>
      <c r="G809" s="17" t="s">
        <v>86</v>
      </c>
      <c r="H809" s="17">
        <v>64</v>
      </c>
      <c r="I809" s="17" t="str">
        <f t="shared" si="57"/>
        <v>PR_PN-64</v>
      </c>
      <c r="J809" s="18" t="s">
        <v>85</v>
      </c>
      <c r="K809" s="19" t="e">
        <f>IF(J809="","SEM #CH",VLOOKUP(J809,#REF!,2,0))</f>
        <v>#REF!</v>
      </c>
      <c r="L809" s="19" t="e">
        <f>IF(J809="","SEM #CH",VLOOKUP(J809,#REF!,3,0))</f>
        <v>#REF!</v>
      </c>
      <c r="M809" s="19" t="e">
        <f>IF(J809="","SEM #CH",VLOOKUP(J809,#REF!,4,0))</f>
        <v>#REF!</v>
      </c>
      <c r="N809" s="19" t="e">
        <f>IF(J809="","SEM #CH",VLOOKUP(J809,#REF!,5,0))</f>
        <v>#REF!</v>
      </c>
      <c r="O809" s="19" t="e">
        <f>IF(J809="","SEM #CH",VLOOKUP(J809,#REF!,6,0))</f>
        <v>#REF!</v>
      </c>
      <c r="P809" s="19" t="e">
        <f>IF(J809="","SEM #CH",VLOOKUP(J809,#REF!,7,0))</f>
        <v>#REF!</v>
      </c>
      <c r="Q809" s="77" t="str">
        <f>VLOOKUP(J809,'p1'!$B$2:$C$30,2,0)</f>
        <v>NÃO TEM CHAPA</v>
      </c>
      <c r="R809" s="91"/>
      <c r="S809" s="91" t="s">
        <v>222</v>
      </c>
      <c r="T809" s="91" t="str">
        <f t="shared" si="58"/>
        <v/>
      </c>
      <c r="U809" s="91"/>
      <c r="V809" s="91"/>
      <c r="W809" s="93"/>
      <c r="X809" s="94" t="str">
        <f t="shared" si="52"/>
        <v/>
      </c>
      <c r="Y809" s="13">
        <v>700</v>
      </c>
    </row>
    <row r="810" spans="1:25">
      <c r="A810" s="90">
        <v>809</v>
      </c>
      <c r="B810" s="68">
        <v>45834</v>
      </c>
      <c r="C810" s="40">
        <v>40</v>
      </c>
      <c r="D810" s="40">
        <f t="shared" si="56"/>
        <v>1</v>
      </c>
      <c r="E810" s="41" t="s">
        <v>1056</v>
      </c>
      <c r="F810" s="17" t="s">
        <v>58</v>
      </c>
      <c r="G810" s="17" t="s">
        <v>86</v>
      </c>
      <c r="H810" s="17">
        <v>65</v>
      </c>
      <c r="I810" s="17" t="str">
        <f t="shared" ref="I810:I841" si="59">_xlfn.CONCAT("PR_",F810,G810,H810)</f>
        <v>PR_PN-65</v>
      </c>
      <c r="J810" s="18" t="s">
        <v>85</v>
      </c>
      <c r="K810" s="19" t="e">
        <f>IF(J810="","SEM #CH",VLOOKUP(J810,#REF!,2,0))</f>
        <v>#REF!</v>
      </c>
      <c r="L810" s="19" t="e">
        <f>IF(J810="","SEM #CH",VLOOKUP(J810,#REF!,3,0))</f>
        <v>#REF!</v>
      </c>
      <c r="M810" s="19" t="e">
        <f>IF(J810="","SEM #CH",VLOOKUP(J810,#REF!,4,0))</f>
        <v>#REF!</v>
      </c>
      <c r="N810" s="19" t="e">
        <f>IF(J810="","SEM #CH",VLOOKUP(J810,#REF!,5,0))</f>
        <v>#REF!</v>
      </c>
      <c r="O810" s="19" t="e">
        <f>IF(J810="","SEM #CH",VLOOKUP(J810,#REF!,6,0))</f>
        <v>#REF!</v>
      </c>
      <c r="P810" s="19" t="e">
        <f>IF(J810="","SEM #CH",VLOOKUP(J810,#REF!,7,0))</f>
        <v>#REF!</v>
      </c>
      <c r="Q810" s="77" t="str">
        <f>VLOOKUP(J810,'p1'!$B$2:$C$30,2,0)</f>
        <v>NÃO TEM CHAPA</v>
      </c>
      <c r="R810" s="91"/>
      <c r="S810" s="91" t="s">
        <v>222</v>
      </c>
      <c r="T810" s="91" t="str">
        <f t="shared" si="58"/>
        <v/>
      </c>
      <c r="U810" s="91"/>
      <c r="V810" s="91"/>
      <c r="W810" s="93"/>
      <c r="X810" s="94" t="str">
        <f t="shared" si="52"/>
        <v/>
      </c>
      <c r="Y810" s="13">
        <v>700</v>
      </c>
    </row>
    <row r="811" spans="1:25">
      <c r="A811" s="90">
        <v>810</v>
      </c>
      <c r="B811" s="68">
        <v>45834</v>
      </c>
      <c r="C811" s="40">
        <v>40</v>
      </c>
      <c r="D811" s="40">
        <f t="shared" si="56"/>
        <v>1</v>
      </c>
      <c r="E811" s="41" t="s">
        <v>1056</v>
      </c>
      <c r="F811" s="17" t="s">
        <v>58</v>
      </c>
      <c r="G811" s="17" t="s">
        <v>86</v>
      </c>
      <c r="H811" s="17">
        <v>66</v>
      </c>
      <c r="I811" s="17" t="str">
        <f t="shared" si="59"/>
        <v>PR_PN-66</v>
      </c>
      <c r="J811" s="18" t="s">
        <v>85</v>
      </c>
      <c r="K811" s="19" t="e">
        <f>IF(J811="","SEM #CH",VLOOKUP(J811,#REF!,2,0))</f>
        <v>#REF!</v>
      </c>
      <c r="L811" s="19" t="e">
        <f>IF(J811="","SEM #CH",VLOOKUP(J811,#REF!,3,0))</f>
        <v>#REF!</v>
      </c>
      <c r="M811" s="19" t="e">
        <f>IF(J811="","SEM #CH",VLOOKUP(J811,#REF!,4,0))</f>
        <v>#REF!</v>
      </c>
      <c r="N811" s="19" t="e">
        <f>IF(J811="","SEM #CH",VLOOKUP(J811,#REF!,5,0))</f>
        <v>#REF!</v>
      </c>
      <c r="O811" s="19" t="e">
        <f>IF(J811="","SEM #CH",VLOOKUP(J811,#REF!,6,0))</f>
        <v>#REF!</v>
      </c>
      <c r="P811" s="19" t="e">
        <f>IF(J811="","SEM #CH",VLOOKUP(J811,#REF!,7,0))</f>
        <v>#REF!</v>
      </c>
      <c r="Q811" s="77" t="str">
        <f>VLOOKUP(J811,'p1'!$B$2:$C$30,2,0)</f>
        <v>NÃO TEM CHAPA</v>
      </c>
      <c r="R811" s="91"/>
      <c r="S811" s="91" t="s">
        <v>222</v>
      </c>
      <c r="T811" s="91" t="str">
        <f t="shared" si="58"/>
        <v/>
      </c>
      <c r="U811" s="91"/>
      <c r="V811" s="91"/>
      <c r="W811" s="93"/>
      <c r="X811" s="94" t="str">
        <f t="shared" si="52"/>
        <v/>
      </c>
      <c r="Y811" s="13">
        <v>700</v>
      </c>
    </row>
    <row r="812" spans="1:25">
      <c r="A812" s="90">
        <v>811</v>
      </c>
      <c r="B812" s="68">
        <v>45834</v>
      </c>
      <c r="C812" s="40">
        <v>40</v>
      </c>
      <c r="D812" s="40">
        <f t="shared" si="56"/>
        <v>1</v>
      </c>
      <c r="E812" s="41" t="s">
        <v>1056</v>
      </c>
      <c r="F812" s="17" t="s">
        <v>58</v>
      </c>
      <c r="G812" s="17" t="s">
        <v>86</v>
      </c>
      <c r="H812" s="17">
        <v>67</v>
      </c>
      <c r="I812" s="17" t="str">
        <f t="shared" si="59"/>
        <v>PR_PN-67</v>
      </c>
      <c r="J812" s="18" t="s">
        <v>85</v>
      </c>
      <c r="K812" s="19" t="e">
        <f>IF(J812="","SEM #CH",VLOOKUP(J812,#REF!,2,0))</f>
        <v>#REF!</v>
      </c>
      <c r="L812" s="19" t="e">
        <f>IF(J812="","SEM #CH",VLOOKUP(J812,#REF!,3,0))</f>
        <v>#REF!</v>
      </c>
      <c r="M812" s="19" t="e">
        <f>IF(J812="","SEM #CH",VLOOKUP(J812,#REF!,4,0))</f>
        <v>#REF!</v>
      </c>
      <c r="N812" s="19" t="e">
        <f>IF(J812="","SEM #CH",VLOOKUP(J812,#REF!,5,0))</f>
        <v>#REF!</v>
      </c>
      <c r="O812" s="19" t="e">
        <f>IF(J812="","SEM #CH",VLOOKUP(J812,#REF!,6,0))</f>
        <v>#REF!</v>
      </c>
      <c r="P812" s="19" t="e">
        <f>IF(J812="","SEM #CH",VLOOKUP(J812,#REF!,7,0))</f>
        <v>#REF!</v>
      </c>
      <c r="Q812" s="77" t="str">
        <f>VLOOKUP(J812,'p1'!$B$2:$C$30,2,0)</f>
        <v>NÃO TEM CHAPA</v>
      </c>
      <c r="R812" s="91"/>
      <c r="S812" s="91" t="s">
        <v>222</v>
      </c>
      <c r="T812" s="91" t="str">
        <f t="shared" si="58"/>
        <v/>
      </c>
      <c r="U812" s="91"/>
      <c r="V812" s="91"/>
      <c r="W812" s="93"/>
      <c r="X812" s="94" t="str">
        <f t="shared" si="52"/>
        <v/>
      </c>
      <c r="Y812" s="13">
        <v>700</v>
      </c>
    </row>
    <row r="813" spans="1:25">
      <c r="A813" s="90">
        <v>812</v>
      </c>
      <c r="B813" s="68">
        <v>45834</v>
      </c>
      <c r="C813" s="40">
        <v>40</v>
      </c>
      <c r="D813" s="40">
        <f t="shared" si="56"/>
        <v>1</v>
      </c>
      <c r="E813" s="41" t="s">
        <v>1056</v>
      </c>
      <c r="F813" s="17" t="s">
        <v>58</v>
      </c>
      <c r="G813" s="17" t="s">
        <v>86</v>
      </c>
      <c r="H813" s="17">
        <v>68</v>
      </c>
      <c r="I813" s="17" t="str">
        <f t="shared" si="59"/>
        <v>PR_PN-68</v>
      </c>
      <c r="J813" s="18" t="s">
        <v>85</v>
      </c>
      <c r="K813" s="19" t="e">
        <f>IF(J813="","SEM #CH",VLOOKUP(J813,#REF!,2,0))</f>
        <v>#REF!</v>
      </c>
      <c r="L813" s="19" t="e">
        <f>IF(J813="","SEM #CH",VLOOKUP(J813,#REF!,3,0))</f>
        <v>#REF!</v>
      </c>
      <c r="M813" s="19" t="e">
        <f>IF(J813="","SEM #CH",VLOOKUP(J813,#REF!,4,0))</f>
        <v>#REF!</v>
      </c>
      <c r="N813" s="19" t="e">
        <f>IF(J813="","SEM #CH",VLOOKUP(J813,#REF!,5,0))</f>
        <v>#REF!</v>
      </c>
      <c r="O813" s="19" t="e">
        <f>IF(J813="","SEM #CH",VLOOKUP(J813,#REF!,6,0))</f>
        <v>#REF!</v>
      </c>
      <c r="P813" s="19" t="e">
        <f>IF(J813="","SEM #CH",VLOOKUP(J813,#REF!,7,0))</f>
        <v>#REF!</v>
      </c>
      <c r="Q813" s="77" t="str">
        <f>VLOOKUP(J813,'p1'!$B$2:$C$30,2,0)</f>
        <v>NÃO TEM CHAPA</v>
      </c>
      <c r="R813" s="95">
        <v>45839</v>
      </c>
      <c r="S813" s="91" t="s">
        <v>222</v>
      </c>
      <c r="T813" s="91">
        <f t="shared" si="58"/>
        <v>1</v>
      </c>
      <c r="U813" s="91"/>
      <c r="V813" s="91"/>
      <c r="W813" s="93"/>
      <c r="X813" s="94" t="str">
        <f t="shared" si="52"/>
        <v/>
      </c>
      <c r="Y813" s="13">
        <v>700</v>
      </c>
    </row>
    <row r="814" spans="1:25">
      <c r="A814" s="90">
        <v>813</v>
      </c>
      <c r="B814" s="68" t="s">
        <v>1038</v>
      </c>
      <c r="C814" s="40">
        <v>45</v>
      </c>
      <c r="D814" s="40">
        <f t="shared" si="56"/>
        <v>1</v>
      </c>
      <c r="E814" s="41" t="s">
        <v>1056</v>
      </c>
      <c r="F814" s="17" t="s">
        <v>124</v>
      </c>
      <c r="G814" s="17" t="s">
        <v>86</v>
      </c>
      <c r="H814" s="17">
        <v>69</v>
      </c>
      <c r="I814" s="17" t="str">
        <f t="shared" si="59"/>
        <v>PR_PNI-69</v>
      </c>
      <c r="J814" s="18" t="s">
        <v>124</v>
      </c>
      <c r="K814" s="19" t="e">
        <f>IF(J814="","SEM #CH",VLOOKUP(J814,#REF!,2,0))</f>
        <v>#REF!</v>
      </c>
      <c r="L814" s="19" t="e">
        <f>IF(J814="","SEM #CH",VLOOKUP(J814,#REF!,3,0))</f>
        <v>#REF!</v>
      </c>
      <c r="M814" s="19" t="e">
        <f>IF(J814="","SEM #CH",VLOOKUP(J814,#REF!,4,0))</f>
        <v>#REF!</v>
      </c>
      <c r="N814" s="19" t="e">
        <f>IF(J814="","SEM #CH",VLOOKUP(J814,#REF!,5,0))</f>
        <v>#REF!</v>
      </c>
      <c r="O814" s="19" t="e">
        <f>IF(J814="","SEM #CH",VLOOKUP(J814,#REF!,6,0))</f>
        <v>#REF!</v>
      </c>
      <c r="P814" s="19" t="e">
        <f>IF(J814="","SEM #CH",VLOOKUP(J814,#REF!,7,0))</f>
        <v>#REF!</v>
      </c>
      <c r="Q814" s="77" t="str">
        <f>VLOOKUP(J814,'p1'!$B$2:$C$30,2,0)</f>
        <v>02- 150X150 #3/8</v>
      </c>
      <c r="R814" s="91"/>
      <c r="S814" s="91" t="s">
        <v>222</v>
      </c>
      <c r="T814" s="91" t="str">
        <f t="shared" si="58"/>
        <v/>
      </c>
      <c r="U814" s="91"/>
      <c r="V814" s="91"/>
      <c r="W814" s="93"/>
      <c r="X814" s="94" t="str">
        <f t="shared" si="52"/>
        <v/>
      </c>
      <c r="Y814" s="13">
        <v>700</v>
      </c>
    </row>
    <row r="815" spans="1:25">
      <c r="A815" s="90">
        <v>814</v>
      </c>
      <c r="B815" s="68">
        <v>45814</v>
      </c>
      <c r="C815" s="40">
        <v>33</v>
      </c>
      <c r="D815" s="40">
        <f t="shared" si="56"/>
        <v>1</v>
      </c>
      <c r="E815" s="41" t="s">
        <v>1056</v>
      </c>
      <c r="F815" s="17" t="s">
        <v>61</v>
      </c>
      <c r="G815" s="17" t="s">
        <v>86</v>
      </c>
      <c r="H815" s="17">
        <v>70</v>
      </c>
      <c r="I815" s="17" t="str">
        <f t="shared" si="59"/>
        <v>PR_PF-70</v>
      </c>
      <c r="J815" s="18" t="s">
        <v>61</v>
      </c>
      <c r="K815" s="19" t="e">
        <f>IF(J815="","SEM #CH",VLOOKUP(J815,#REF!,2,0))</f>
        <v>#REF!</v>
      </c>
      <c r="L815" s="19" t="e">
        <f>IF(J815="","SEM #CH",VLOOKUP(J815,#REF!,3,0))</f>
        <v>#REF!</v>
      </c>
      <c r="M815" s="19" t="e">
        <f>IF(J815="","SEM #CH",VLOOKUP(J815,#REF!,4,0))</f>
        <v>#REF!</v>
      </c>
      <c r="N815" s="19" t="e">
        <f>IF(J815="","SEM #CH",VLOOKUP(J815,#REF!,5,0))</f>
        <v>#REF!</v>
      </c>
      <c r="O815" s="19" t="e">
        <f>IF(J815="","SEM #CH",VLOOKUP(J815,#REF!,6,0))</f>
        <v>#REF!</v>
      </c>
      <c r="P815" s="19" t="e">
        <f>IF(J815="","SEM #CH",VLOOKUP(J815,#REF!,7,0))</f>
        <v>#REF!</v>
      </c>
      <c r="Q815" s="77" t="str">
        <f>VLOOKUP(J815,'p1'!$B$2:$C$30,2,0)</f>
        <v>SEM CHAPA</v>
      </c>
      <c r="R815" s="91"/>
      <c r="S815" s="91" t="s">
        <v>221</v>
      </c>
      <c r="T815" s="91" t="str">
        <f t="shared" si="58"/>
        <v/>
      </c>
      <c r="U815" s="91"/>
      <c r="V815" s="91"/>
      <c r="W815" s="93"/>
      <c r="X815" s="94" t="str">
        <f t="shared" si="52"/>
        <v/>
      </c>
      <c r="Y815" s="13">
        <v>700</v>
      </c>
    </row>
    <row r="816" spans="1:25">
      <c r="A816" s="90">
        <v>815</v>
      </c>
      <c r="B816" s="68">
        <v>45834</v>
      </c>
      <c r="C816" s="40">
        <v>40</v>
      </c>
      <c r="D816" s="40">
        <f t="shared" si="56"/>
        <v>1</v>
      </c>
      <c r="E816" s="41" t="s">
        <v>1056</v>
      </c>
      <c r="F816" s="17" t="s">
        <v>58</v>
      </c>
      <c r="G816" s="17" t="s">
        <v>86</v>
      </c>
      <c r="H816" s="17">
        <v>71</v>
      </c>
      <c r="I816" s="17" t="str">
        <f t="shared" si="59"/>
        <v>PR_PN-71</v>
      </c>
      <c r="J816" s="18" t="s">
        <v>85</v>
      </c>
      <c r="K816" s="19" t="e">
        <f>IF(J816="","SEM #CH",VLOOKUP(J816,#REF!,2,0))</f>
        <v>#REF!</v>
      </c>
      <c r="L816" s="19" t="e">
        <f>IF(J816="","SEM #CH",VLOOKUP(J816,#REF!,3,0))</f>
        <v>#REF!</v>
      </c>
      <c r="M816" s="19" t="e">
        <f>IF(J816="","SEM #CH",VLOOKUP(J816,#REF!,4,0))</f>
        <v>#REF!</v>
      </c>
      <c r="N816" s="19" t="e">
        <f>IF(J816="","SEM #CH",VLOOKUP(J816,#REF!,5,0))</f>
        <v>#REF!</v>
      </c>
      <c r="O816" s="19" t="e">
        <f>IF(J816="","SEM #CH",VLOOKUP(J816,#REF!,6,0))</f>
        <v>#REF!</v>
      </c>
      <c r="P816" s="19" t="e">
        <f>IF(J816="","SEM #CH",VLOOKUP(J816,#REF!,7,0))</f>
        <v>#REF!</v>
      </c>
      <c r="Q816" s="77" t="str">
        <f>VLOOKUP(J816,'p1'!$B$2:$C$30,2,0)</f>
        <v>NÃO TEM CHAPA</v>
      </c>
      <c r="R816" s="95">
        <v>45843</v>
      </c>
      <c r="S816" s="91" t="s">
        <v>222</v>
      </c>
      <c r="T816" s="91">
        <f t="shared" si="58"/>
        <v>1</v>
      </c>
      <c r="U816" s="91"/>
      <c r="V816" s="91"/>
      <c r="W816" s="93"/>
      <c r="X816" s="94" t="str">
        <f t="shared" si="52"/>
        <v/>
      </c>
      <c r="Y816" s="13">
        <v>700</v>
      </c>
    </row>
    <row r="817" spans="1:25">
      <c r="A817" s="90">
        <v>816</v>
      </c>
      <c r="B817" s="68">
        <v>45834</v>
      </c>
      <c r="C817" s="40">
        <v>40</v>
      </c>
      <c r="D817" s="40">
        <f t="shared" si="56"/>
        <v>1</v>
      </c>
      <c r="E817" s="41" t="s">
        <v>1056</v>
      </c>
      <c r="F817" s="17" t="s">
        <v>58</v>
      </c>
      <c r="G817" s="17" t="s">
        <v>86</v>
      </c>
      <c r="H817" s="17">
        <v>72</v>
      </c>
      <c r="I817" s="17" t="str">
        <f t="shared" si="59"/>
        <v>PR_PN-72</v>
      </c>
      <c r="J817" s="18" t="s">
        <v>85</v>
      </c>
      <c r="K817" s="19" t="e">
        <f>IF(J817="","SEM #CH",VLOOKUP(J817,#REF!,2,0))</f>
        <v>#REF!</v>
      </c>
      <c r="L817" s="19" t="e">
        <f>IF(J817="","SEM #CH",VLOOKUP(J817,#REF!,3,0))</f>
        <v>#REF!</v>
      </c>
      <c r="M817" s="19" t="e">
        <f>IF(J817="","SEM #CH",VLOOKUP(J817,#REF!,4,0))</f>
        <v>#REF!</v>
      </c>
      <c r="N817" s="19" t="e">
        <f>IF(J817="","SEM #CH",VLOOKUP(J817,#REF!,5,0))</f>
        <v>#REF!</v>
      </c>
      <c r="O817" s="19" t="e">
        <f>IF(J817="","SEM #CH",VLOOKUP(J817,#REF!,6,0))</f>
        <v>#REF!</v>
      </c>
      <c r="P817" s="19" t="e">
        <f>IF(J817="","SEM #CH",VLOOKUP(J817,#REF!,7,0))</f>
        <v>#REF!</v>
      </c>
      <c r="Q817" s="77" t="str">
        <f>VLOOKUP(J817,'p1'!$B$2:$C$30,2,0)</f>
        <v>NÃO TEM CHAPA</v>
      </c>
      <c r="R817" s="95">
        <v>45843</v>
      </c>
      <c r="S817" s="91" t="s">
        <v>222</v>
      </c>
      <c r="T817" s="91">
        <f t="shared" si="58"/>
        <v>1</v>
      </c>
      <c r="U817" s="91"/>
      <c r="V817" s="91"/>
      <c r="W817" s="93"/>
      <c r="X817" s="94" t="str">
        <f t="shared" si="52"/>
        <v/>
      </c>
      <c r="Y817" s="13">
        <v>700</v>
      </c>
    </row>
    <row r="818" spans="1:25">
      <c r="A818" s="90">
        <v>817</v>
      </c>
      <c r="B818" s="68">
        <v>45834</v>
      </c>
      <c r="C818" s="40">
        <v>40</v>
      </c>
      <c r="D818" s="40">
        <f t="shared" si="56"/>
        <v>1</v>
      </c>
      <c r="E818" s="41" t="s">
        <v>1056</v>
      </c>
      <c r="F818" s="17" t="s">
        <v>58</v>
      </c>
      <c r="G818" s="17" t="s">
        <v>86</v>
      </c>
      <c r="H818" s="17">
        <v>73</v>
      </c>
      <c r="I818" s="17" t="str">
        <f t="shared" si="59"/>
        <v>PR_PN-73</v>
      </c>
      <c r="J818" s="18" t="s">
        <v>85</v>
      </c>
      <c r="K818" s="19" t="e">
        <f>IF(J818="","SEM #CH",VLOOKUP(J818,#REF!,2,0))</f>
        <v>#REF!</v>
      </c>
      <c r="L818" s="19" t="e">
        <f>IF(J818="","SEM #CH",VLOOKUP(J818,#REF!,3,0))</f>
        <v>#REF!</v>
      </c>
      <c r="M818" s="19" t="e">
        <f>IF(J818="","SEM #CH",VLOOKUP(J818,#REF!,4,0))</f>
        <v>#REF!</v>
      </c>
      <c r="N818" s="19" t="e">
        <f>IF(J818="","SEM #CH",VLOOKUP(J818,#REF!,5,0))</f>
        <v>#REF!</v>
      </c>
      <c r="O818" s="19" t="e">
        <f>IF(J818="","SEM #CH",VLOOKUP(J818,#REF!,6,0))</f>
        <v>#REF!</v>
      </c>
      <c r="P818" s="19" t="e">
        <f>IF(J818="","SEM #CH",VLOOKUP(J818,#REF!,7,0))</f>
        <v>#REF!</v>
      </c>
      <c r="Q818" s="77" t="str">
        <f>VLOOKUP(J818,'p1'!$B$2:$C$30,2,0)</f>
        <v>NÃO TEM CHAPA</v>
      </c>
      <c r="R818" s="95">
        <v>45839</v>
      </c>
      <c r="S818" s="91" t="s">
        <v>222</v>
      </c>
      <c r="T818" s="91">
        <f t="shared" si="58"/>
        <v>1</v>
      </c>
      <c r="U818" s="91"/>
      <c r="V818" s="91"/>
      <c r="W818" s="93"/>
      <c r="X818" s="94" t="str">
        <f t="shared" si="52"/>
        <v/>
      </c>
      <c r="Y818" s="13">
        <v>700</v>
      </c>
    </row>
    <row r="819" spans="1:25">
      <c r="A819" s="90">
        <v>818</v>
      </c>
      <c r="B819" s="68">
        <v>45834</v>
      </c>
      <c r="C819" s="40">
        <v>40</v>
      </c>
      <c r="D819" s="40">
        <f t="shared" si="56"/>
        <v>1</v>
      </c>
      <c r="E819" s="41" t="s">
        <v>1056</v>
      </c>
      <c r="F819" s="17" t="s">
        <v>58</v>
      </c>
      <c r="G819" s="17" t="s">
        <v>86</v>
      </c>
      <c r="H819" s="17">
        <v>74</v>
      </c>
      <c r="I819" s="17" t="str">
        <f t="shared" si="59"/>
        <v>PR_PN-74</v>
      </c>
      <c r="J819" s="18" t="s">
        <v>85</v>
      </c>
      <c r="K819" s="19" t="e">
        <f>IF(J819="","SEM #CH",VLOOKUP(J819,#REF!,2,0))</f>
        <v>#REF!</v>
      </c>
      <c r="L819" s="19" t="e">
        <f>IF(J819="","SEM #CH",VLOOKUP(J819,#REF!,3,0))</f>
        <v>#REF!</v>
      </c>
      <c r="M819" s="19" t="e">
        <f>IF(J819="","SEM #CH",VLOOKUP(J819,#REF!,4,0))</f>
        <v>#REF!</v>
      </c>
      <c r="N819" s="19" t="e">
        <f>IF(J819="","SEM #CH",VLOOKUP(J819,#REF!,5,0))</f>
        <v>#REF!</v>
      </c>
      <c r="O819" s="19" t="e">
        <f>IF(J819="","SEM #CH",VLOOKUP(J819,#REF!,6,0))</f>
        <v>#REF!</v>
      </c>
      <c r="P819" s="19" t="e">
        <f>IF(J819="","SEM #CH",VLOOKUP(J819,#REF!,7,0))</f>
        <v>#REF!</v>
      </c>
      <c r="Q819" s="77" t="str">
        <f>VLOOKUP(J819,'p1'!$B$2:$C$30,2,0)</f>
        <v>NÃO TEM CHAPA</v>
      </c>
      <c r="R819" s="91"/>
      <c r="S819" s="91" t="s">
        <v>222</v>
      </c>
      <c r="T819" s="91" t="str">
        <f t="shared" si="58"/>
        <v/>
      </c>
      <c r="U819" s="91"/>
      <c r="V819" s="91"/>
      <c r="W819" s="93"/>
      <c r="X819" s="94" t="str">
        <f t="shared" si="52"/>
        <v/>
      </c>
      <c r="Y819" s="13">
        <v>700</v>
      </c>
    </row>
    <row r="820" spans="1:25">
      <c r="A820" s="90">
        <v>819</v>
      </c>
      <c r="B820" s="68">
        <v>45842</v>
      </c>
      <c r="C820" s="40">
        <v>45</v>
      </c>
      <c r="D820" s="40">
        <f t="shared" si="56"/>
        <v>1</v>
      </c>
      <c r="E820" s="41" t="s">
        <v>1057</v>
      </c>
      <c r="F820" s="17" t="s">
        <v>124</v>
      </c>
      <c r="G820" s="17" t="s">
        <v>86</v>
      </c>
      <c r="H820" s="17">
        <v>75</v>
      </c>
      <c r="I820" s="17" t="str">
        <f t="shared" si="59"/>
        <v>PR_PNI-75</v>
      </c>
      <c r="J820" s="18" t="s">
        <v>124</v>
      </c>
      <c r="K820" s="19" t="e">
        <f>IF(J820="","SEM #CH",VLOOKUP(J820,#REF!,2,0))</f>
        <v>#REF!</v>
      </c>
      <c r="L820" s="19" t="e">
        <f>IF(J820="","SEM #CH",VLOOKUP(J820,#REF!,3,0))</f>
        <v>#REF!</v>
      </c>
      <c r="M820" s="19" t="e">
        <f>IF(J820="","SEM #CH",VLOOKUP(J820,#REF!,4,0))</f>
        <v>#REF!</v>
      </c>
      <c r="N820" s="19" t="e">
        <f>IF(J820="","SEM #CH",VLOOKUP(J820,#REF!,5,0))</f>
        <v>#REF!</v>
      </c>
      <c r="O820" s="19" t="e">
        <f>IF(J820="","SEM #CH",VLOOKUP(J820,#REF!,6,0))</f>
        <v>#REF!</v>
      </c>
      <c r="P820" s="19" t="e">
        <f>IF(J820="","SEM #CH",VLOOKUP(J820,#REF!,7,0))</f>
        <v>#REF!</v>
      </c>
      <c r="Q820" s="77" t="str">
        <f>VLOOKUP(J820,'p1'!$B$2:$C$30,2,0)</f>
        <v>02- 150X150 #3/8</v>
      </c>
      <c r="R820" s="91"/>
      <c r="S820" s="91" t="s">
        <v>222</v>
      </c>
      <c r="T820" s="91" t="str">
        <f t="shared" si="58"/>
        <v/>
      </c>
      <c r="U820" s="91"/>
      <c r="V820" s="91"/>
      <c r="W820" s="93"/>
      <c r="X820" s="94" t="str">
        <f t="shared" si="52"/>
        <v/>
      </c>
      <c r="Y820" s="13">
        <v>700</v>
      </c>
    </row>
    <row r="821" spans="1:25">
      <c r="A821" s="90">
        <v>820</v>
      </c>
      <c r="B821" s="68">
        <v>45839</v>
      </c>
      <c r="C821" s="40">
        <v>42</v>
      </c>
      <c r="D821" s="40">
        <f t="shared" si="56"/>
        <v>1</v>
      </c>
      <c r="E821" s="41" t="s">
        <v>1057</v>
      </c>
      <c r="F821" s="17" t="s">
        <v>58</v>
      </c>
      <c r="G821" s="17" t="s">
        <v>86</v>
      </c>
      <c r="H821" s="17">
        <v>76</v>
      </c>
      <c r="I821" s="17" t="str">
        <f t="shared" si="59"/>
        <v>PR_PN-76</v>
      </c>
      <c r="J821" s="18" t="s">
        <v>85</v>
      </c>
      <c r="K821" s="19" t="e">
        <f>IF(J821="","SEM #CH",VLOOKUP(J821,#REF!,2,0))</f>
        <v>#REF!</v>
      </c>
      <c r="L821" s="19" t="e">
        <f>IF(J821="","SEM #CH",VLOOKUP(J821,#REF!,3,0))</f>
        <v>#REF!</v>
      </c>
      <c r="M821" s="19" t="e">
        <f>IF(J821="","SEM #CH",VLOOKUP(J821,#REF!,4,0))</f>
        <v>#REF!</v>
      </c>
      <c r="N821" s="19" t="e">
        <f>IF(J821="","SEM #CH",VLOOKUP(J821,#REF!,5,0))</f>
        <v>#REF!</v>
      </c>
      <c r="O821" s="19" t="e">
        <f>IF(J821="","SEM #CH",VLOOKUP(J821,#REF!,6,0))</f>
        <v>#REF!</v>
      </c>
      <c r="P821" s="19" t="e">
        <f>IF(J821="","SEM #CH",VLOOKUP(J821,#REF!,7,0))</f>
        <v>#REF!</v>
      </c>
      <c r="Q821" s="77" t="str">
        <f>VLOOKUP(J821,'p1'!$B$2:$C$30,2,0)</f>
        <v>NÃO TEM CHAPA</v>
      </c>
      <c r="R821" s="91"/>
      <c r="S821" s="91" t="s">
        <v>222</v>
      </c>
      <c r="T821" s="91" t="str">
        <f t="shared" si="58"/>
        <v/>
      </c>
      <c r="U821" s="91"/>
      <c r="V821" s="91"/>
      <c r="W821" s="93"/>
      <c r="X821" s="94" t="str">
        <f t="shared" si="52"/>
        <v/>
      </c>
      <c r="Y821" s="13">
        <v>700</v>
      </c>
    </row>
    <row r="822" spans="1:25">
      <c r="A822" s="90">
        <v>821</v>
      </c>
      <c r="B822" s="68">
        <v>45839</v>
      </c>
      <c r="C822" s="40">
        <v>42</v>
      </c>
      <c r="D822" s="40">
        <f t="shared" si="56"/>
        <v>1</v>
      </c>
      <c r="E822" s="41" t="s">
        <v>1057</v>
      </c>
      <c r="F822" s="17" t="s">
        <v>58</v>
      </c>
      <c r="G822" s="17" t="s">
        <v>86</v>
      </c>
      <c r="H822" s="17">
        <v>77</v>
      </c>
      <c r="I822" s="17" t="str">
        <f t="shared" si="59"/>
        <v>PR_PN-77</v>
      </c>
      <c r="J822" s="18" t="s">
        <v>85</v>
      </c>
      <c r="K822" s="19" t="e">
        <f>IF(J822="","SEM #CH",VLOOKUP(J822,#REF!,2,0))</f>
        <v>#REF!</v>
      </c>
      <c r="L822" s="19" t="e">
        <f>IF(J822="","SEM #CH",VLOOKUP(J822,#REF!,3,0))</f>
        <v>#REF!</v>
      </c>
      <c r="M822" s="19" t="e">
        <f>IF(J822="","SEM #CH",VLOOKUP(J822,#REF!,4,0))</f>
        <v>#REF!</v>
      </c>
      <c r="N822" s="19" t="e">
        <f>IF(J822="","SEM #CH",VLOOKUP(J822,#REF!,5,0))</f>
        <v>#REF!</v>
      </c>
      <c r="O822" s="19" t="e">
        <f>IF(J822="","SEM #CH",VLOOKUP(J822,#REF!,6,0))</f>
        <v>#REF!</v>
      </c>
      <c r="P822" s="19" t="e">
        <f>IF(J822="","SEM #CH",VLOOKUP(J822,#REF!,7,0))</f>
        <v>#REF!</v>
      </c>
      <c r="Q822" s="77" t="str">
        <f>VLOOKUP(J822,'p1'!$B$2:$C$30,2,0)</f>
        <v>NÃO TEM CHAPA</v>
      </c>
      <c r="R822" s="91"/>
      <c r="S822" s="91" t="s">
        <v>222</v>
      </c>
      <c r="T822" s="91" t="str">
        <f t="shared" si="58"/>
        <v/>
      </c>
      <c r="U822" s="91"/>
      <c r="V822" s="91"/>
      <c r="W822" s="93"/>
      <c r="X822" s="94" t="str">
        <f t="shared" si="52"/>
        <v/>
      </c>
      <c r="Y822" s="13">
        <v>700</v>
      </c>
    </row>
    <row r="823" spans="1:25">
      <c r="A823" s="90">
        <v>822</v>
      </c>
      <c r="B823" s="68">
        <v>45839</v>
      </c>
      <c r="C823" s="40">
        <v>42</v>
      </c>
      <c r="D823" s="40">
        <f t="shared" si="56"/>
        <v>1</v>
      </c>
      <c r="E823" s="41" t="s">
        <v>1057</v>
      </c>
      <c r="F823" s="17" t="s">
        <v>58</v>
      </c>
      <c r="G823" s="17" t="s">
        <v>86</v>
      </c>
      <c r="H823" s="17">
        <v>78</v>
      </c>
      <c r="I823" s="17" t="str">
        <f t="shared" si="59"/>
        <v>PR_PN-78</v>
      </c>
      <c r="J823" s="18" t="s">
        <v>85</v>
      </c>
      <c r="K823" s="19" t="e">
        <f>IF(J823="","SEM #CH",VLOOKUP(J823,#REF!,2,0))</f>
        <v>#REF!</v>
      </c>
      <c r="L823" s="19" t="e">
        <f>IF(J823="","SEM #CH",VLOOKUP(J823,#REF!,3,0))</f>
        <v>#REF!</v>
      </c>
      <c r="M823" s="19" t="e">
        <f>IF(J823="","SEM #CH",VLOOKUP(J823,#REF!,4,0))</f>
        <v>#REF!</v>
      </c>
      <c r="N823" s="19" t="e">
        <f>IF(J823="","SEM #CH",VLOOKUP(J823,#REF!,5,0))</f>
        <v>#REF!</v>
      </c>
      <c r="O823" s="19" t="e">
        <f>IF(J823="","SEM #CH",VLOOKUP(J823,#REF!,6,0))</f>
        <v>#REF!</v>
      </c>
      <c r="P823" s="19" t="e">
        <f>IF(J823="","SEM #CH",VLOOKUP(J823,#REF!,7,0))</f>
        <v>#REF!</v>
      </c>
      <c r="Q823" s="77" t="str">
        <f>VLOOKUP(J823,'p1'!$B$2:$C$30,2,0)</f>
        <v>NÃO TEM CHAPA</v>
      </c>
      <c r="R823" s="91"/>
      <c r="S823" s="91" t="s">
        <v>222</v>
      </c>
      <c r="T823" s="91" t="str">
        <f t="shared" si="58"/>
        <v/>
      </c>
      <c r="U823" s="91"/>
      <c r="V823" s="91"/>
      <c r="W823" s="93"/>
      <c r="X823" s="94" t="str">
        <f t="shared" si="52"/>
        <v/>
      </c>
      <c r="Y823" s="13">
        <v>700</v>
      </c>
    </row>
    <row r="824" spans="1:25">
      <c r="A824" s="90">
        <v>823</v>
      </c>
      <c r="B824" s="68">
        <v>45839</v>
      </c>
      <c r="C824" s="40">
        <v>42</v>
      </c>
      <c r="D824" s="40">
        <f t="shared" si="56"/>
        <v>1</v>
      </c>
      <c r="E824" s="41" t="s">
        <v>1057</v>
      </c>
      <c r="F824" s="17" t="s">
        <v>58</v>
      </c>
      <c r="G824" s="17" t="s">
        <v>86</v>
      </c>
      <c r="H824" s="17">
        <v>79</v>
      </c>
      <c r="I824" s="17" t="str">
        <f t="shared" si="59"/>
        <v>PR_PN-79</v>
      </c>
      <c r="J824" s="18" t="s">
        <v>85</v>
      </c>
      <c r="K824" s="19" t="e">
        <f>IF(J824="","SEM #CH",VLOOKUP(J824,#REF!,2,0))</f>
        <v>#REF!</v>
      </c>
      <c r="L824" s="19" t="e">
        <f>IF(J824="","SEM #CH",VLOOKUP(J824,#REF!,3,0))</f>
        <v>#REF!</v>
      </c>
      <c r="M824" s="19" t="e">
        <f>IF(J824="","SEM #CH",VLOOKUP(J824,#REF!,4,0))</f>
        <v>#REF!</v>
      </c>
      <c r="N824" s="19" t="e">
        <f>IF(J824="","SEM #CH",VLOOKUP(J824,#REF!,5,0))</f>
        <v>#REF!</v>
      </c>
      <c r="O824" s="19" t="e">
        <f>IF(J824="","SEM #CH",VLOOKUP(J824,#REF!,6,0))</f>
        <v>#REF!</v>
      </c>
      <c r="P824" s="19" t="e">
        <f>IF(J824="","SEM #CH",VLOOKUP(J824,#REF!,7,0))</f>
        <v>#REF!</v>
      </c>
      <c r="Q824" s="77" t="str">
        <f>VLOOKUP(J824,'p1'!$B$2:$C$30,2,0)</f>
        <v>NÃO TEM CHAPA</v>
      </c>
      <c r="R824" s="95">
        <v>45848</v>
      </c>
      <c r="S824" s="91" t="s">
        <v>222</v>
      </c>
      <c r="T824" s="91">
        <f t="shared" si="58"/>
        <v>1</v>
      </c>
      <c r="U824" s="91"/>
      <c r="V824" s="91"/>
      <c r="W824" s="93"/>
      <c r="X824" s="94" t="str">
        <f t="shared" si="52"/>
        <v/>
      </c>
      <c r="Y824" s="13">
        <v>700</v>
      </c>
    </row>
    <row r="825" spans="1:25">
      <c r="A825" s="90">
        <v>824</v>
      </c>
      <c r="B825" s="68">
        <v>45839</v>
      </c>
      <c r="C825" s="40">
        <v>42</v>
      </c>
      <c r="D825" s="40">
        <f t="shared" si="56"/>
        <v>1</v>
      </c>
      <c r="E825" s="41" t="s">
        <v>1057</v>
      </c>
      <c r="F825" s="17" t="s">
        <v>58</v>
      </c>
      <c r="G825" s="17" t="s">
        <v>86</v>
      </c>
      <c r="H825" s="17">
        <v>80</v>
      </c>
      <c r="I825" s="17" t="str">
        <f t="shared" si="59"/>
        <v>PR_PN-80</v>
      </c>
      <c r="J825" s="18" t="s">
        <v>85</v>
      </c>
      <c r="K825" s="19" t="e">
        <f>IF(J825="","SEM #CH",VLOOKUP(J825,#REF!,2,0))</f>
        <v>#REF!</v>
      </c>
      <c r="L825" s="19" t="e">
        <f>IF(J825="","SEM #CH",VLOOKUP(J825,#REF!,3,0))</f>
        <v>#REF!</v>
      </c>
      <c r="M825" s="19" t="e">
        <f>IF(J825="","SEM #CH",VLOOKUP(J825,#REF!,4,0))</f>
        <v>#REF!</v>
      </c>
      <c r="N825" s="19" t="e">
        <f>IF(J825="","SEM #CH",VLOOKUP(J825,#REF!,5,0))</f>
        <v>#REF!</v>
      </c>
      <c r="O825" s="19" t="e">
        <f>IF(J825="","SEM #CH",VLOOKUP(J825,#REF!,6,0))</f>
        <v>#REF!</v>
      </c>
      <c r="P825" s="19" t="e">
        <f>IF(J825="","SEM #CH",VLOOKUP(J825,#REF!,7,0))</f>
        <v>#REF!</v>
      </c>
      <c r="Q825" s="77" t="str">
        <f>VLOOKUP(J825,'p1'!$B$2:$C$30,2,0)</f>
        <v>NÃO TEM CHAPA</v>
      </c>
      <c r="R825" s="91"/>
      <c r="S825" s="91" t="s">
        <v>222</v>
      </c>
      <c r="T825" s="91" t="str">
        <f t="shared" si="58"/>
        <v/>
      </c>
      <c r="U825" s="91"/>
      <c r="V825" s="91"/>
      <c r="W825" s="93"/>
      <c r="X825" s="94" t="str">
        <f t="shared" si="52"/>
        <v/>
      </c>
      <c r="Y825" s="13">
        <v>700</v>
      </c>
    </row>
    <row r="826" spans="1:25">
      <c r="A826" s="90">
        <v>825</v>
      </c>
      <c r="B826" s="68"/>
      <c r="C826" s="40"/>
      <c r="D826" s="40" t="str">
        <f t="shared" si="56"/>
        <v/>
      </c>
      <c r="E826" s="41" t="s">
        <v>1057</v>
      </c>
      <c r="F826" s="17" t="s">
        <v>124</v>
      </c>
      <c r="G826" s="17" t="s">
        <v>86</v>
      </c>
      <c r="H826" s="17">
        <v>81</v>
      </c>
      <c r="I826" s="17" t="str">
        <f t="shared" si="59"/>
        <v>PR_PNI-81</v>
      </c>
      <c r="J826" s="18" t="s">
        <v>124</v>
      </c>
      <c r="K826" s="19" t="e">
        <f>IF(J826="","SEM #CH",VLOOKUP(J826,#REF!,2,0))</f>
        <v>#REF!</v>
      </c>
      <c r="L826" s="19" t="e">
        <f>IF(J826="","SEM #CH",VLOOKUP(J826,#REF!,3,0))</f>
        <v>#REF!</v>
      </c>
      <c r="M826" s="19" t="e">
        <f>IF(J826="","SEM #CH",VLOOKUP(J826,#REF!,4,0))</f>
        <v>#REF!</v>
      </c>
      <c r="N826" s="19" t="e">
        <f>IF(J826="","SEM #CH",VLOOKUP(J826,#REF!,5,0))</f>
        <v>#REF!</v>
      </c>
      <c r="O826" s="19" t="e">
        <f>IF(J826="","SEM #CH",VLOOKUP(J826,#REF!,6,0))</f>
        <v>#REF!</v>
      </c>
      <c r="P826" s="19" t="e">
        <f>IF(J826="","SEM #CH",VLOOKUP(J826,#REF!,7,0))</f>
        <v>#REF!</v>
      </c>
      <c r="Q826" s="77" t="str">
        <f>VLOOKUP(J826,'p1'!$B$2:$C$30,2,0)</f>
        <v>02- 150X150 #3/8</v>
      </c>
      <c r="R826" s="91"/>
      <c r="S826" s="91"/>
      <c r="T826" s="91" t="str">
        <f t="shared" si="58"/>
        <v/>
      </c>
      <c r="U826" s="91"/>
      <c r="V826" s="91"/>
      <c r="W826" s="93"/>
      <c r="X826" s="94" t="str">
        <f t="shared" si="52"/>
        <v/>
      </c>
    </row>
    <row r="827" spans="1:25">
      <c r="A827" s="90">
        <v>826</v>
      </c>
      <c r="B827" s="68">
        <v>45839</v>
      </c>
      <c r="C827" s="40">
        <v>42</v>
      </c>
      <c r="D827" s="40">
        <f t="shared" si="56"/>
        <v>1</v>
      </c>
      <c r="E827" s="41" t="s">
        <v>1057</v>
      </c>
      <c r="F827" s="17" t="s">
        <v>58</v>
      </c>
      <c r="G827" s="17" t="s">
        <v>86</v>
      </c>
      <c r="H827" s="17">
        <v>82</v>
      </c>
      <c r="I827" s="17" t="str">
        <f t="shared" si="59"/>
        <v>PR_PN-82</v>
      </c>
      <c r="J827" s="18" t="s">
        <v>85</v>
      </c>
      <c r="K827" s="19" t="e">
        <f>IF(J827="","SEM #CH",VLOOKUP(J827,#REF!,2,0))</f>
        <v>#REF!</v>
      </c>
      <c r="L827" s="19" t="e">
        <f>IF(J827="","SEM #CH",VLOOKUP(J827,#REF!,3,0))</f>
        <v>#REF!</v>
      </c>
      <c r="M827" s="19" t="e">
        <f>IF(J827="","SEM #CH",VLOOKUP(J827,#REF!,4,0))</f>
        <v>#REF!</v>
      </c>
      <c r="N827" s="19" t="e">
        <f>IF(J827="","SEM #CH",VLOOKUP(J827,#REF!,5,0))</f>
        <v>#REF!</v>
      </c>
      <c r="O827" s="19" t="e">
        <f>IF(J827="","SEM #CH",VLOOKUP(J827,#REF!,6,0))</f>
        <v>#REF!</v>
      </c>
      <c r="P827" s="19" t="e">
        <f>IF(J827="","SEM #CH",VLOOKUP(J827,#REF!,7,0))</f>
        <v>#REF!</v>
      </c>
      <c r="Q827" s="77" t="str">
        <f>VLOOKUP(J827,'p1'!$B$2:$C$30,2,0)</f>
        <v>NÃO TEM CHAPA</v>
      </c>
      <c r="R827" s="91"/>
      <c r="S827" s="91" t="s">
        <v>222</v>
      </c>
      <c r="T827" s="91" t="str">
        <f t="shared" si="58"/>
        <v/>
      </c>
      <c r="U827" s="91"/>
      <c r="V827" s="91"/>
      <c r="W827" s="93"/>
      <c r="X827" s="94" t="str">
        <f t="shared" si="52"/>
        <v/>
      </c>
      <c r="Y827" s="13">
        <v>700</v>
      </c>
    </row>
    <row r="828" spans="1:25">
      <c r="A828" s="90">
        <v>827</v>
      </c>
      <c r="B828" s="68">
        <v>45839</v>
      </c>
      <c r="C828" s="40">
        <v>42</v>
      </c>
      <c r="D828" s="40">
        <f t="shared" si="56"/>
        <v>1</v>
      </c>
      <c r="E828" s="41" t="s">
        <v>1057</v>
      </c>
      <c r="F828" s="17" t="s">
        <v>58</v>
      </c>
      <c r="G828" s="17" t="s">
        <v>86</v>
      </c>
      <c r="H828" s="17">
        <v>83</v>
      </c>
      <c r="I828" s="17" t="str">
        <f t="shared" si="59"/>
        <v>PR_PN-83</v>
      </c>
      <c r="J828" s="18" t="s">
        <v>85</v>
      </c>
      <c r="K828" s="19" t="e">
        <f>IF(J828="","SEM #CH",VLOOKUP(J828,#REF!,2,0))</f>
        <v>#REF!</v>
      </c>
      <c r="L828" s="19" t="e">
        <f>IF(J828="","SEM #CH",VLOOKUP(J828,#REF!,3,0))</f>
        <v>#REF!</v>
      </c>
      <c r="M828" s="19" t="e">
        <f>IF(J828="","SEM #CH",VLOOKUP(J828,#REF!,4,0))</f>
        <v>#REF!</v>
      </c>
      <c r="N828" s="19" t="e">
        <f>IF(J828="","SEM #CH",VLOOKUP(J828,#REF!,5,0))</f>
        <v>#REF!</v>
      </c>
      <c r="O828" s="19" t="e">
        <f>IF(J828="","SEM #CH",VLOOKUP(J828,#REF!,6,0))</f>
        <v>#REF!</v>
      </c>
      <c r="P828" s="19" t="e">
        <f>IF(J828="","SEM #CH",VLOOKUP(J828,#REF!,7,0))</f>
        <v>#REF!</v>
      </c>
      <c r="Q828" s="77" t="str">
        <f>VLOOKUP(J828,'p1'!$B$2:$C$30,2,0)</f>
        <v>NÃO TEM CHAPA</v>
      </c>
      <c r="R828" s="91"/>
      <c r="S828" s="91" t="s">
        <v>222</v>
      </c>
      <c r="T828" s="91" t="str">
        <f t="shared" si="58"/>
        <v/>
      </c>
      <c r="U828" s="91"/>
      <c r="V828" s="91"/>
      <c r="W828" s="93"/>
      <c r="X828" s="94" t="str">
        <f t="shared" si="52"/>
        <v/>
      </c>
      <c r="Y828" s="13">
        <v>700</v>
      </c>
    </row>
    <row r="829" spans="1:25">
      <c r="A829" s="90">
        <v>828</v>
      </c>
      <c r="B829" s="68">
        <v>45839</v>
      </c>
      <c r="C829" s="40">
        <v>42</v>
      </c>
      <c r="D829" s="40">
        <f t="shared" si="56"/>
        <v>1</v>
      </c>
      <c r="E829" s="41" t="s">
        <v>1057</v>
      </c>
      <c r="F829" s="17" t="s">
        <v>58</v>
      </c>
      <c r="G829" s="17" t="s">
        <v>86</v>
      </c>
      <c r="H829" s="17">
        <v>84</v>
      </c>
      <c r="I829" s="17" t="str">
        <f t="shared" si="59"/>
        <v>PR_PN-84</v>
      </c>
      <c r="J829" s="18" t="s">
        <v>85</v>
      </c>
      <c r="K829" s="19" t="e">
        <f>IF(J829="","SEM #CH",VLOOKUP(J829,#REF!,2,0))</f>
        <v>#REF!</v>
      </c>
      <c r="L829" s="19" t="e">
        <f>IF(J829="","SEM #CH",VLOOKUP(J829,#REF!,3,0))</f>
        <v>#REF!</v>
      </c>
      <c r="M829" s="19" t="e">
        <f>IF(J829="","SEM #CH",VLOOKUP(J829,#REF!,4,0))</f>
        <v>#REF!</v>
      </c>
      <c r="N829" s="19" t="e">
        <f>IF(J829="","SEM #CH",VLOOKUP(J829,#REF!,5,0))</f>
        <v>#REF!</v>
      </c>
      <c r="O829" s="19" t="e">
        <f>IF(J829="","SEM #CH",VLOOKUP(J829,#REF!,6,0))</f>
        <v>#REF!</v>
      </c>
      <c r="P829" s="19" t="e">
        <f>IF(J829="","SEM #CH",VLOOKUP(J829,#REF!,7,0))</f>
        <v>#REF!</v>
      </c>
      <c r="Q829" s="77" t="str">
        <f>VLOOKUP(J829,'p1'!$B$2:$C$30,2,0)</f>
        <v>NÃO TEM CHAPA</v>
      </c>
      <c r="R829" s="91"/>
      <c r="S829" s="91" t="s">
        <v>222</v>
      </c>
      <c r="T829" s="91" t="str">
        <f t="shared" si="58"/>
        <v/>
      </c>
      <c r="U829" s="91"/>
      <c r="V829" s="91"/>
      <c r="W829" s="93"/>
      <c r="X829" s="94" t="str">
        <f t="shared" si="52"/>
        <v/>
      </c>
      <c r="Y829" s="13">
        <v>700</v>
      </c>
    </row>
    <row r="830" spans="1:25">
      <c r="A830" s="90">
        <v>829</v>
      </c>
      <c r="B830" s="68">
        <v>45839</v>
      </c>
      <c r="C830" s="40">
        <v>42</v>
      </c>
      <c r="D830" s="40">
        <f t="shared" si="56"/>
        <v>1</v>
      </c>
      <c r="E830" s="41" t="s">
        <v>1057</v>
      </c>
      <c r="F830" s="17" t="s">
        <v>58</v>
      </c>
      <c r="G830" s="17" t="s">
        <v>86</v>
      </c>
      <c r="H830" s="17">
        <v>85</v>
      </c>
      <c r="I830" s="17" t="str">
        <f t="shared" si="59"/>
        <v>PR_PN-85</v>
      </c>
      <c r="J830" s="18" t="s">
        <v>85</v>
      </c>
      <c r="K830" s="19" t="e">
        <f>IF(J830="","SEM #CH",VLOOKUP(J830,#REF!,2,0))</f>
        <v>#REF!</v>
      </c>
      <c r="L830" s="19" t="e">
        <f>IF(J830="","SEM #CH",VLOOKUP(J830,#REF!,3,0))</f>
        <v>#REF!</v>
      </c>
      <c r="M830" s="19" t="e">
        <f>IF(J830="","SEM #CH",VLOOKUP(J830,#REF!,4,0))</f>
        <v>#REF!</v>
      </c>
      <c r="N830" s="19" t="e">
        <f>IF(J830="","SEM #CH",VLOOKUP(J830,#REF!,5,0))</f>
        <v>#REF!</v>
      </c>
      <c r="O830" s="19" t="e">
        <f>IF(J830="","SEM #CH",VLOOKUP(J830,#REF!,6,0))</f>
        <v>#REF!</v>
      </c>
      <c r="P830" s="19" t="e">
        <f>IF(J830="","SEM #CH",VLOOKUP(J830,#REF!,7,0))</f>
        <v>#REF!</v>
      </c>
      <c r="Q830" s="77" t="str">
        <f>VLOOKUP(J830,'p1'!$B$2:$C$30,2,0)</f>
        <v>NÃO TEM CHAPA</v>
      </c>
      <c r="R830" s="91"/>
      <c r="S830" s="91" t="s">
        <v>222</v>
      </c>
      <c r="T830" s="91" t="str">
        <f t="shared" si="58"/>
        <v/>
      </c>
      <c r="U830" s="91"/>
      <c r="V830" s="91"/>
      <c r="W830" s="93"/>
      <c r="X830" s="94" t="str">
        <f t="shared" si="52"/>
        <v/>
      </c>
      <c r="Y830" s="13">
        <v>700</v>
      </c>
    </row>
    <row r="831" spans="1:25">
      <c r="A831" s="90">
        <v>830</v>
      </c>
      <c r="B831" s="68"/>
      <c r="C831" s="40"/>
      <c r="D831" s="40" t="str">
        <f t="shared" si="56"/>
        <v/>
      </c>
      <c r="E831" s="41" t="s">
        <v>1057</v>
      </c>
      <c r="F831" s="17" t="s">
        <v>60</v>
      </c>
      <c r="G831" s="17" t="s">
        <v>86</v>
      </c>
      <c r="H831" s="17">
        <v>86</v>
      </c>
      <c r="I831" s="17" t="str">
        <f t="shared" si="59"/>
        <v>PR_PE-86</v>
      </c>
      <c r="J831" s="18" t="s">
        <v>180</v>
      </c>
      <c r="K831" s="19" t="e">
        <f>IF(J831="","SEM #CH",VLOOKUP(J831,#REF!,2,0))</f>
        <v>#REF!</v>
      </c>
      <c r="L831" s="19" t="e">
        <f>IF(J831="","SEM #CH",VLOOKUP(J831,#REF!,3,0))</f>
        <v>#REF!</v>
      </c>
      <c r="M831" s="19" t="e">
        <f>IF(J831="","SEM #CH",VLOOKUP(J831,#REF!,4,0))</f>
        <v>#REF!</v>
      </c>
      <c r="N831" s="19" t="e">
        <f>IF(J831="","SEM #CH",VLOOKUP(J831,#REF!,5,0))</f>
        <v>#REF!</v>
      </c>
      <c r="O831" s="19" t="e">
        <f>IF(J831="","SEM #CH",VLOOKUP(J831,#REF!,6,0))</f>
        <v>#REF!</v>
      </c>
      <c r="P831" s="19" t="e">
        <f>IF(J831="","SEM #CH",VLOOKUP(J831,#REF!,7,0))</f>
        <v>#REF!</v>
      </c>
      <c r="Q831" s="77" t="str">
        <f>VLOOKUP(J831,'p1'!$B$2:$C$30,2,0)</f>
        <v>TUBO EMBAIXO CANALETA</v>
      </c>
      <c r="R831" s="91"/>
      <c r="S831" s="91"/>
      <c r="T831" s="91" t="str">
        <f t="shared" si="58"/>
        <v/>
      </c>
      <c r="U831" s="91"/>
      <c r="V831" s="91"/>
      <c r="W831" s="93"/>
      <c r="X831" s="94" t="str">
        <f t="shared" si="52"/>
        <v/>
      </c>
    </row>
    <row r="832" spans="1:25">
      <c r="A832" s="90">
        <v>831</v>
      </c>
      <c r="B832" s="68"/>
      <c r="C832" s="40"/>
      <c r="D832" s="40" t="str">
        <f t="shared" si="56"/>
        <v/>
      </c>
      <c r="E832" s="41" t="s">
        <v>1057</v>
      </c>
      <c r="F832" s="17" t="s">
        <v>124</v>
      </c>
      <c r="G832" s="17" t="s">
        <v>86</v>
      </c>
      <c r="H832" s="17">
        <v>87</v>
      </c>
      <c r="I832" s="17" t="str">
        <f t="shared" si="59"/>
        <v>PR_PNI-87</v>
      </c>
      <c r="J832" s="18" t="s">
        <v>124</v>
      </c>
      <c r="K832" s="19" t="e">
        <f>IF(J832="","SEM #CH",VLOOKUP(J832,#REF!,2,0))</f>
        <v>#REF!</v>
      </c>
      <c r="L832" s="19" t="e">
        <f>IF(J832="","SEM #CH",VLOOKUP(J832,#REF!,3,0))</f>
        <v>#REF!</v>
      </c>
      <c r="M832" s="19" t="e">
        <f>IF(J832="","SEM #CH",VLOOKUP(J832,#REF!,4,0))</f>
        <v>#REF!</v>
      </c>
      <c r="N832" s="19" t="e">
        <f>IF(J832="","SEM #CH",VLOOKUP(J832,#REF!,5,0))</f>
        <v>#REF!</v>
      </c>
      <c r="O832" s="19" t="e">
        <f>IF(J832="","SEM #CH",VLOOKUP(J832,#REF!,6,0))</f>
        <v>#REF!</v>
      </c>
      <c r="P832" s="19" t="e">
        <f>IF(J832="","SEM #CH",VLOOKUP(J832,#REF!,7,0))</f>
        <v>#REF!</v>
      </c>
      <c r="Q832" s="77" t="str">
        <f>VLOOKUP(J832,'p1'!$B$2:$C$30,2,0)</f>
        <v>02- 150X150 #3/8</v>
      </c>
      <c r="R832" s="91"/>
      <c r="S832" s="91"/>
      <c r="T832" s="91" t="str">
        <f t="shared" si="58"/>
        <v/>
      </c>
      <c r="U832" s="91"/>
      <c r="V832" s="91"/>
      <c r="W832" s="93"/>
      <c r="X832" s="94" t="str">
        <f t="shared" si="52"/>
        <v/>
      </c>
    </row>
    <row r="833" spans="1:25">
      <c r="A833" s="90">
        <v>832</v>
      </c>
      <c r="B833" s="68">
        <v>45842</v>
      </c>
      <c r="C833" s="40">
        <v>44</v>
      </c>
      <c r="D833" s="40">
        <f t="shared" si="56"/>
        <v>1</v>
      </c>
      <c r="E833" s="41" t="s">
        <v>1057</v>
      </c>
      <c r="F833" s="17" t="s">
        <v>58</v>
      </c>
      <c r="G833" s="17" t="s">
        <v>86</v>
      </c>
      <c r="H833" s="17">
        <v>88</v>
      </c>
      <c r="I833" s="17" t="str">
        <f t="shared" si="59"/>
        <v>PR_PN-88</v>
      </c>
      <c r="J833" s="18" t="s">
        <v>85</v>
      </c>
      <c r="K833" s="19" t="e">
        <f>IF(J833="","SEM #CH",VLOOKUP(J833,#REF!,2,0))</f>
        <v>#REF!</v>
      </c>
      <c r="L833" s="19" t="e">
        <f>IF(J833="","SEM #CH",VLOOKUP(J833,#REF!,3,0))</f>
        <v>#REF!</v>
      </c>
      <c r="M833" s="19" t="e">
        <f>IF(J833="","SEM #CH",VLOOKUP(J833,#REF!,4,0))</f>
        <v>#REF!</v>
      </c>
      <c r="N833" s="19" t="e">
        <f>IF(J833="","SEM #CH",VLOOKUP(J833,#REF!,5,0))</f>
        <v>#REF!</v>
      </c>
      <c r="O833" s="19" t="e">
        <f>IF(J833="","SEM #CH",VLOOKUP(J833,#REF!,6,0))</f>
        <v>#REF!</v>
      </c>
      <c r="P833" s="19" t="e">
        <f>IF(J833="","SEM #CH",VLOOKUP(J833,#REF!,7,0))</f>
        <v>#REF!</v>
      </c>
      <c r="Q833" s="77" t="str">
        <f>VLOOKUP(J833,'p1'!$B$2:$C$30,2,0)</f>
        <v>NÃO TEM CHAPA</v>
      </c>
      <c r="R833" s="91"/>
      <c r="S833" s="91" t="s">
        <v>221</v>
      </c>
      <c r="T833" s="91" t="str">
        <f t="shared" si="58"/>
        <v/>
      </c>
      <c r="U833" s="91"/>
      <c r="V833" s="91"/>
      <c r="W833" s="93"/>
      <c r="X833" s="94" t="str">
        <f t="shared" si="52"/>
        <v/>
      </c>
      <c r="Y833" s="13">
        <v>700</v>
      </c>
    </row>
    <row r="834" spans="1:25">
      <c r="A834" s="90">
        <v>833</v>
      </c>
      <c r="B834" s="68">
        <v>45842</v>
      </c>
      <c r="C834" s="40">
        <v>45</v>
      </c>
      <c r="D834" s="40">
        <f t="shared" ref="D834:D894" si="60">IF(B834&gt;0,1,"")</f>
        <v>1</v>
      </c>
      <c r="E834" s="41" t="s">
        <v>1057</v>
      </c>
      <c r="F834" s="17" t="s">
        <v>58</v>
      </c>
      <c r="G834" s="17" t="s">
        <v>86</v>
      </c>
      <c r="H834" s="17">
        <v>89</v>
      </c>
      <c r="I834" s="17" t="str">
        <f t="shared" si="59"/>
        <v>PR_PN-89</v>
      </c>
      <c r="J834" s="18" t="s">
        <v>85</v>
      </c>
      <c r="K834" s="19" t="e">
        <f>IF(J834="","SEM #CH",VLOOKUP(J834,#REF!,2,0))</f>
        <v>#REF!</v>
      </c>
      <c r="L834" s="19" t="e">
        <f>IF(J834="","SEM #CH",VLOOKUP(J834,#REF!,3,0))</f>
        <v>#REF!</v>
      </c>
      <c r="M834" s="19" t="e">
        <f>IF(J834="","SEM #CH",VLOOKUP(J834,#REF!,4,0))</f>
        <v>#REF!</v>
      </c>
      <c r="N834" s="19" t="e">
        <f>IF(J834="","SEM #CH",VLOOKUP(J834,#REF!,5,0))</f>
        <v>#REF!</v>
      </c>
      <c r="O834" s="19" t="e">
        <f>IF(J834="","SEM #CH",VLOOKUP(J834,#REF!,6,0))</f>
        <v>#REF!</v>
      </c>
      <c r="P834" s="19" t="e">
        <f>IF(J834="","SEM #CH",VLOOKUP(J834,#REF!,7,0))</f>
        <v>#REF!</v>
      </c>
      <c r="Q834" s="77" t="str">
        <f>VLOOKUP(J834,'p1'!$B$2:$C$30,2,0)</f>
        <v>NÃO TEM CHAPA</v>
      </c>
      <c r="R834" s="95">
        <v>45847</v>
      </c>
      <c r="S834" s="91" t="s">
        <v>222</v>
      </c>
      <c r="T834" s="91">
        <f t="shared" ref="T834:T893" si="61">IF(R834=0,"",1)</f>
        <v>1</v>
      </c>
      <c r="U834" s="91"/>
      <c r="V834" s="91"/>
      <c r="W834" s="93"/>
      <c r="X834" s="94" t="str">
        <f t="shared" ref="X834:X894" si="62">IF(U834&gt;0,1,"")</f>
        <v/>
      </c>
      <c r="Y834" s="13">
        <v>700</v>
      </c>
    </row>
    <row r="835" spans="1:25">
      <c r="A835" s="90">
        <v>834</v>
      </c>
      <c r="B835" s="68">
        <v>45842</v>
      </c>
      <c r="C835" s="40">
        <v>45</v>
      </c>
      <c r="D835" s="40">
        <f t="shared" si="60"/>
        <v>1</v>
      </c>
      <c r="E835" s="41" t="s">
        <v>1057</v>
      </c>
      <c r="F835" s="17" t="s">
        <v>58</v>
      </c>
      <c r="G835" s="17" t="s">
        <v>86</v>
      </c>
      <c r="H835" s="17">
        <v>90</v>
      </c>
      <c r="I835" s="17" t="str">
        <f t="shared" si="59"/>
        <v>PR_PN-90</v>
      </c>
      <c r="J835" s="18" t="s">
        <v>85</v>
      </c>
      <c r="K835" s="19" t="e">
        <f>IF(J835="","SEM #CH",VLOOKUP(J835,#REF!,2,0))</f>
        <v>#REF!</v>
      </c>
      <c r="L835" s="19" t="e">
        <f>IF(J835="","SEM #CH",VLOOKUP(J835,#REF!,3,0))</f>
        <v>#REF!</v>
      </c>
      <c r="M835" s="19" t="e">
        <f>IF(J835="","SEM #CH",VLOOKUP(J835,#REF!,4,0))</f>
        <v>#REF!</v>
      </c>
      <c r="N835" s="19" t="e">
        <f>IF(J835="","SEM #CH",VLOOKUP(J835,#REF!,5,0))</f>
        <v>#REF!</v>
      </c>
      <c r="O835" s="19" t="e">
        <f>IF(J835="","SEM #CH",VLOOKUP(J835,#REF!,6,0))</f>
        <v>#REF!</v>
      </c>
      <c r="P835" s="19" t="e">
        <f>IF(J835="","SEM #CH",VLOOKUP(J835,#REF!,7,0))</f>
        <v>#REF!</v>
      </c>
      <c r="Q835" s="77" t="str">
        <f>VLOOKUP(J835,'p1'!$B$2:$C$30,2,0)</f>
        <v>NÃO TEM CHAPA</v>
      </c>
      <c r="R835" s="95">
        <v>45847</v>
      </c>
      <c r="S835" s="91" t="s">
        <v>222</v>
      </c>
      <c r="T835" s="91">
        <f t="shared" si="61"/>
        <v>1</v>
      </c>
      <c r="U835" s="91"/>
      <c r="V835" s="91"/>
      <c r="W835" s="93"/>
      <c r="X835" s="94" t="str">
        <f t="shared" si="62"/>
        <v/>
      </c>
      <c r="Y835" s="13">
        <v>700</v>
      </c>
    </row>
    <row r="836" spans="1:25">
      <c r="A836" s="90">
        <v>835</v>
      </c>
      <c r="B836" s="68">
        <v>45842</v>
      </c>
      <c r="C836" s="40">
        <v>45</v>
      </c>
      <c r="D836" s="40">
        <f t="shared" si="60"/>
        <v>1</v>
      </c>
      <c r="E836" s="41" t="s">
        <v>1057</v>
      </c>
      <c r="F836" s="17" t="s">
        <v>58</v>
      </c>
      <c r="G836" s="17" t="s">
        <v>86</v>
      </c>
      <c r="H836" s="17">
        <v>91</v>
      </c>
      <c r="I836" s="17" t="str">
        <f t="shared" si="59"/>
        <v>PR_PN-91</v>
      </c>
      <c r="J836" s="18" t="s">
        <v>85</v>
      </c>
      <c r="K836" s="19" t="e">
        <f>IF(J836="","SEM #CH",VLOOKUP(J836,#REF!,2,0))</f>
        <v>#REF!</v>
      </c>
      <c r="L836" s="19" t="e">
        <f>IF(J836="","SEM #CH",VLOOKUP(J836,#REF!,3,0))</f>
        <v>#REF!</v>
      </c>
      <c r="M836" s="19" t="e">
        <f>IF(J836="","SEM #CH",VLOOKUP(J836,#REF!,4,0))</f>
        <v>#REF!</v>
      </c>
      <c r="N836" s="19" t="e">
        <f>IF(J836="","SEM #CH",VLOOKUP(J836,#REF!,5,0))</f>
        <v>#REF!</v>
      </c>
      <c r="O836" s="19" t="e">
        <f>IF(J836="","SEM #CH",VLOOKUP(J836,#REF!,6,0))</f>
        <v>#REF!</v>
      </c>
      <c r="P836" s="19" t="e">
        <f>IF(J836="","SEM #CH",VLOOKUP(J836,#REF!,7,0))</f>
        <v>#REF!</v>
      </c>
      <c r="Q836" s="77" t="str">
        <f>VLOOKUP(J836,'p1'!$B$2:$C$30,2,0)</f>
        <v>NÃO TEM CHAPA</v>
      </c>
      <c r="R836" s="91"/>
      <c r="S836" s="91" t="s">
        <v>222</v>
      </c>
      <c r="T836" s="91" t="str">
        <f t="shared" si="61"/>
        <v/>
      </c>
      <c r="U836" s="91"/>
      <c r="V836" s="91"/>
      <c r="W836" s="93"/>
      <c r="X836" s="94" t="str">
        <f t="shared" si="62"/>
        <v/>
      </c>
      <c r="Y836" s="13">
        <v>700</v>
      </c>
    </row>
    <row r="837" spans="1:25">
      <c r="A837" s="90">
        <v>836</v>
      </c>
      <c r="B837" s="68">
        <v>45842</v>
      </c>
      <c r="C837" s="40">
        <v>45</v>
      </c>
      <c r="D837" s="40">
        <f t="shared" si="60"/>
        <v>1</v>
      </c>
      <c r="E837" s="41" t="s">
        <v>1057</v>
      </c>
      <c r="F837" s="17" t="s">
        <v>58</v>
      </c>
      <c r="G837" s="17" t="s">
        <v>86</v>
      </c>
      <c r="H837" s="17">
        <v>92</v>
      </c>
      <c r="I837" s="17" t="str">
        <f t="shared" si="59"/>
        <v>PR_PN-92</v>
      </c>
      <c r="J837" s="18" t="s">
        <v>85</v>
      </c>
      <c r="K837" s="19" t="e">
        <f>IF(J837="","SEM #CH",VLOOKUP(J837,#REF!,2,0))</f>
        <v>#REF!</v>
      </c>
      <c r="L837" s="19" t="e">
        <f>IF(J837="","SEM #CH",VLOOKUP(J837,#REF!,3,0))</f>
        <v>#REF!</v>
      </c>
      <c r="M837" s="19" t="e">
        <f>IF(J837="","SEM #CH",VLOOKUP(J837,#REF!,4,0))</f>
        <v>#REF!</v>
      </c>
      <c r="N837" s="19" t="e">
        <f>IF(J837="","SEM #CH",VLOOKUP(J837,#REF!,5,0))</f>
        <v>#REF!</v>
      </c>
      <c r="O837" s="19" t="e">
        <f>IF(J837="","SEM #CH",VLOOKUP(J837,#REF!,6,0))</f>
        <v>#REF!</v>
      </c>
      <c r="P837" s="19" t="e">
        <f>IF(J837="","SEM #CH",VLOOKUP(J837,#REF!,7,0))</f>
        <v>#REF!</v>
      </c>
      <c r="Q837" s="77" t="str">
        <f>VLOOKUP(J837,'p1'!$B$2:$C$30,2,0)</f>
        <v>NÃO TEM CHAPA</v>
      </c>
      <c r="R837" s="91"/>
      <c r="S837" s="91" t="s">
        <v>222</v>
      </c>
      <c r="T837" s="91" t="str">
        <f t="shared" si="61"/>
        <v/>
      </c>
      <c r="U837" s="91"/>
      <c r="V837" s="91"/>
      <c r="W837" s="93"/>
      <c r="X837" s="94" t="str">
        <f t="shared" si="62"/>
        <v/>
      </c>
      <c r="Y837" s="13">
        <v>700</v>
      </c>
    </row>
    <row r="838" spans="1:25">
      <c r="A838" s="90">
        <v>837</v>
      </c>
      <c r="B838" s="68"/>
      <c r="C838" s="40"/>
      <c r="D838" s="40" t="str">
        <f t="shared" si="60"/>
        <v/>
      </c>
      <c r="E838" s="41" t="s">
        <v>1057</v>
      </c>
      <c r="F838" s="17" t="s">
        <v>124</v>
      </c>
      <c r="G838" s="17" t="s">
        <v>86</v>
      </c>
      <c r="H838" s="17">
        <v>93</v>
      </c>
      <c r="I838" s="17" t="str">
        <f t="shared" si="59"/>
        <v>PR_PNI-93</v>
      </c>
      <c r="J838" s="18" t="s">
        <v>124</v>
      </c>
      <c r="K838" s="19" t="e">
        <f>IF(J838="","SEM #CH",VLOOKUP(J838,#REF!,2,0))</f>
        <v>#REF!</v>
      </c>
      <c r="L838" s="19" t="e">
        <f>IF(J838="","SEM #CH",VLOOKUP(J838,#REF!,3,0))</f>
        <v>#REF!</v>
      </c>
      <c r="M838" s="19" t="e">
        <f>IF(J838="","SEM #CH",VLOOKUP(J838,#REF!,4,0))</f>
        <v>#REF!</v>
      </c>
      <c r="N838" s="19" t="e">
        <f>IF(J838="","SEM #CH",VLOOKUP(J838,#REF!,5,0))</f>
        <v>#REF!</v>
      </c>
      <c r="O838" s="19" t="e">
        <f>IF(J838="","SEM #CH",VLOOKUP(J838,#REF!,6,0))</f>
        <v>#REF!</v>
      </c>
      <c r="P838" s="19" t="e">
        <f>IF(J838="","SEM #CH",VLOOKUP(J838,#REF!,7,0))</f>
        <v>#REF!</v>
      </c>
      <c r="Q838" s="77" t="str">
        <f>VLOOKUP(J838,'p1'!$B$2:$C$30,2,0)</f>
        <v>02- 150X150 #3/8</v>
      </c>
      <c r="R838" s="91"/>
      <c r="S838" s="91"/>
      <c r="T838" s="91" t="str">
        <f t="shared" si="61"/>
        <v/>
      </c>
      <c r="U838" s="91"/>
      <c r="V838" s="91"/>
      <c r="W838" s="93"/>
      <c r="X838" s="94" t="str">
        <f t="shared" si="62"/>
        <v/>
      </c>
    </row>
    <row r="839" spans="1:25">
      <c r="A839" s="90">
        <v>838</v>
      </c>
      <c r="B839" s="68">
        <v>45842</v>
      </c>
      <c r="C839" s="40">
        <v>45</v>
      </c>
      <c r="D839" s="40">
        <f t="shared" si="60"/>
        <v>1</v>
      </c>
      <c r="E839" s="41" t="s">
        <v>1057</v>
      </c>
      <c r="F839" s="17" t="s">
        <v>58</v>
      </c>
      <c r="G839" s="17" t="s">
        <v>86</v>
      </c>
      <c r="H839" s="17">
        <v>94</v>
      </c>
      <c r="I839" s="17" t="str">
        <f t="shared" si="59"/>
        <v>PR_PN-94</v>
      </c>
      <c r="J839" s="18" t="s">
        <v>85</v>
      </c>
      <c r="K839" s="19" t="e">
        <f>IF(J839="","SEM #CH",VLOOKUP(J839,#REF!,2,0))</f>
        <v>#REF!</v>
      </c>
      <c r="L839" s="19" t="e">
        <f>IF(J839="","SEM #CH",VLOOKUP(J839,#REF!,3,0))</f>
        <v>#REF!</v>
      </c>
      <c r="M839" s="19" t="e">
        <f>IF(J839="","SEM #CH",VLOOKUP(J839,#REF!,4,0))</f>
        <v>#REF!</v>
      </c>
      <c r="N839" s="19" t="e">
        <f>IF(J839="","SEM #CH",VLOOKUP(J839,#REF!,5,0))</f>
        <v>#REF!</v>
      </c>
      <c r="O839" s="19" t="e">
        <f>IF(J839="","SEM #CH",VLOOKUP(J839,#REF!,6,0))</f>
        <v>#REF!</v>
      </c>
      <c r="P839" s="19" t="e">
        <f>IF(J839="","SEM #CH",VLOOKUP(J839,#REF!,7,0))</f>
        <v>#REF!</v>
      </c>
      <c r="Q839" s="77" t="str">
        <f>VLOOKUP(J839,'p1'!$B$2:$C$30,2,0)</f>
        <v>NÃO TEM CHAPA</v>
      </c>
      <c r="R839" s="91"/>
      <c r="S839" s="91" t="s">
        <v>222</v>
      </c>
      <c r="T839" s="91" t="str">
        <f t="shared" si="61"/>
        <v/>
      </c>
      <c r="U839" s="91"/>
      <c r="V839" s="91"/>
      <c r="W839" s="93"/>
      <c r="X839" s="94" t="str">
        <f t="shared" si="62"/>
        <v/>
      </c>
      <c r="Y839" s="13">
        <v>700</v>
      </c>
    </row>
    <row r="840" spans="1:25">
      <c r="A840" s="90">
        <v>839</v>
      </c>
      <c r="B840" s="68">
        <v>45825</v>
      </c>
      <c r="C840" s="40">
        <v>36</v>
      </c>
      <c r="D840" s="40">
        <f t="shared" si="60"/>
        <v>1</v>
      </c>
      <c r="E840" s="41" t="s">
        <v>1057</v>
      </c>
      <c r="F840" s="17" t="s">
        <v>61</v>
      </c>
      <c r="G840" s="17" t="s">
        <v>86</v>
      </c>
      <c r="H840" s="17">
        <v>95</v>
      </c>
      <c r="I840" s="17" t="str">
        <f t="shared" si="59"/>
        <v>PR_PF-95</v>
      </c>
      <c r="J840" s="18" t="s">
        <v>61</v>
      </c>
      <c r="K840" s="19" t="e">
        <f>IF(J840="","SEM #CH",VLOOKUP(J840,#REF!,2,0))</f>
        <v>#REF!</v>
      </c>
      <c r="L840" s="19" t="e">
        <f>IF(J840="","SEM #CH",VLOOKUP(J840,#REF!,3,0))</f>
        <v>#REF!</v>
      </c>
      <c r="M840" s="19" t="e">
        <f>IF(J840="","SEM #CH",VLOOKUP(J840,#REF!,4,0))</f>
        <v>#REF!</v>
      </c>
      <c r="N840" s="19" t="e">
        <f>IF(J840="","SEM #CH",VLOOKUP(J840,#REF!,5,0))</f>
        <v>#REF!</v>
      </c>
      <c r="O840" s="19" t="e">
        <f>IF(J840="","SEM #CH",VLOOKUP(J840,#REF!,6,0))</f>
        <v>#REF!</v>
      </c>
      <c r="P840" s="19" t="e">
        <f>IF(J840="","SEM #CH",VLOOKUP(J840,#REF!,7,0))</f>
        <v>#REF!</v>
      </c>
      <c r="Q840" s="77" t="str">
        <f>VLOOKUP(J840,'p1'!$B$2:$C$30,2,0)</f>
        <v>SEM CHAPA</v>
      </c>
      <c r="R840" s="91"/>
      <c r="S840" s="91" t="s">
        <v>221</v>
      </c>
      <c r="T840" s="91" t="str">
        <f t="shared" si="61"/>
        <v/>
      </c>
      <c r="U840" s="91"/>
      <c r="V840" s="91"/>
      <c r="W840" s="93"/>
      <c r="X840" s="94" t="str">
        <f t="shared" si="62"/>
        <v/>
      </c>
      <c r="Y840" s="13">
        <v>700</v>
      </c>
    </row>
    <row r="841" spans="1:25">
      <c r="A841" s="90">
        <v>840</v>
      </c>
      <c r="B841" s="68">
        <v>45842</v>
      </c>
      <c r="C841" s="40">
        <v>45</v>
      </c>
      <c r="D841" s="40">
        <f t="shared" si="60"/>
        <v>1</v>
      </c>
      <c r="E841" s="41" t="s">
        <v>1057</v>
      </c>
      <c r="F841" s="17" t="s">
        <v>58</v>
      </c>
      <c r="G841" s="17" t="s">
        <v>86</v>
      </c>
      <c r="H841" s="17">
        <v>96</v>
      </c>
      <c r="I841" s="17" t="str">
        <f t="shared" si="59"/>
        <v>PR_PN-96</v>
      </c>
      <c r="J841" s="18" t="s">
        <v>85</v>
      </c>
      <c r="K841" s="19" t="e">
        <f>IF(J841="","SEM #CH",VLOOKUP(J841,#REF!,2,0))</f>
        <v>#REF!</v>
      </c>
      <c r="L841" s="19" t="e">
        <f>IF(J841="","SEM #CH",VLOOKUP(J841,#REF!,3,0))</f>
        <v>#REF!</v>
      </c>
      <c r="M841" s="19" t="e">
        <f>IF(J841="","SEM #CH",VLOOKUP(J841,#REF!,4,0))</f>
        <v>#REF!</v>
      </c>
      <c r="N841" s="19" t="e">
        <f>IF(J841="","SEM #CH",VLOOKUP(J841,#REF!,5,0))</f>
        <v>#REF!</v>
      </c>
      <c r="O841" s="19" t="e">
        <f>IF(J841="","SEM #CH",VLOOKUP(J841,#REF!,6,0))</f>
        <v>#REF!</v>
      </c>
      <c r="P841" s="19" t="e">
        <f>IF(J841="","SEM #CH",VLOOKUP(J841,#REF!,7,0))</f>
        <v>#REF!</v>
      </c>
      <c r="Q841" s="77" t="str">
        <f>VLOOKUP(J841,'p1'!$B$2:$C$30,2,0)</f>
        <v>NÃO TEM CHAPA</v>
      </c>
      <c r="R841" s="95">
        <v>45849</v>
      </c>
      <c r="S841" s="91" t="s">
        <v>222</v>
      </c>
      <c r="T841" s="91">
        <f t="shared" si="61"/>
        <v>1</v>
      </c>
      <c r="U841" s="91"/>
      <c r="V841" s="91"/>
      <c r="W841" s="93"/>
      <c r="X841" s="94" t="str">
        <f t="shared" si="62"/>
        <v/>
      </c>
      <c r="Y841" s="13">
        <v>700</v>
      </c>
    </row>
    <row r="842" spans="1:25">
      <c r="A842" s="90">
        <v>841</v>
      </c>
      <c r="B842" s="68"/>
      <c r="C842" s="40"/>
      <c r="D842" s="40" t="str">
        <f t="shared" si="60"/>
        <v/>
      </c>
      <c r="E842" s="41" t="s">
        <v>1057</v>
      </c>
      <c r="F842" s="17" t="s">
        <v>60</v>
      </c>
      <c r="G842" s="17" t="s">
        <v>86</v>
      </c>
      <c r="H842" s="17">
        <v>97</v>
      </c>
      <c r="I842" s="17" t="str">
        <f t="shared" ref="I842:I873" si="63">_xlfn.CONCAT("PR_",F842,G842,H842)</f>
        <v>PR_PE-97</v>
      </c>
      <c r="J842" s="18" t="s">
        <v>173</v>
      </c>
      <c r="K842" s="19" t="e">
        <f>IF(J842="","SEM #CH",VLOOKUP(J842,#REF!,2,0))</f>
        <v>#REF!</v>
      </c>
      <c r="L842" s="19" t="e">
        <f>IF(J842="","SEM #CH",VLOOKUP(J842,#REF!,3,0))</f>
        <v>#REF!</v>
      </c>
      <c r="M842" s="19" t="e">
        <f>IF(J842="","SEM #CH",VLOOKUP(J842,#REF!,4,0))</f>
        <v>#REF!</v>
      </c>
      <c r="N842" s="19" t="e">
        <f>IF(J842="","SEM #CH",VLOOKUP(J842,#REF!,5,0))</f>
        <v>#REF!</v>
      </c>
      <c r="O842" s="19" t="e">
        <f>IF(J842="","SEM #CH",VLOOKUP(J842,#REF!,6,0))</f>
        <v>#REF!</v>
      </c>
      <c r="P842" s="19" t="e">
        <f>IF(J842="","SEM #CH",VLOOKUP(J842,#REF!,7,0))</f>
        <v>#REF!</v>
      </c>
      <c r="Q842" s="77" t="str">
        <f>VLOOKUP(J842,'p1'!$B$2:$C$30,2,0)</f>
        <v>ARM. CANAL SAIDA</v>
      </c>
      <c r="R842" s="91"/>
      <c r="S842" s="91"/>
      <c r="T842" s="91" t="str">
        <f t="shared" si="61"/>
        <v/>
      </c>
      <c r="U842" s="91"/>
      <c r="V842" s="91"/>
      <c r="W842" s="93"/>
      <c r="X842" s="94" t="str">
        <f t="shared" si="62"/>
        <v/>
      </c>
    </row>
    <row r="843" spans="1:25">
      <c r="A843" s="90">
        <v>842</v>
      </c>
      <c r="B843" s="68"/>
      <c r="C843" s="40"/>
      <c r="D843" s="40" t="str">
        <f t="shared" si="60"/>
        <v/>
      </c>
      <c r="E843" s="41" t="s">
        <v>1057</v>
      </c>
      <c r="F843" s="17" t="s">
        <v>60</v>
      </c>
      <c r="G843" s="17" t="s">
        <v>86</v>
      </c>
      <c r="H843" s="17">
        <v>98</v>
      </c>
      <c r="I843" s="17" t="str">
        <f t="shared" si="63"/>
        <v>PR_PE-98</v>
      </c>
      <c r="J843" s="18" t="s">
        <v>173</v>
      </c>
      <c r="K843" s="19" t="e">
        <f>IF(J843="","SEM #CH",VLOOKUP(J843,#REF!,2,0))</f>
        <v>#REF!</v>
      </c>
      <c r="L843" s="19" t="e">
        <f>IF(J843="","SEM #CH",VLOOKUP(J843,#REF!,3,0))</f>
        <v>#REF!</v>
      </c>
      <c r="M843" s="19" t="e">
        <f>IF(J843="","SEM #CH",VLOOKUP(J843,#REF!,4,0))</f>
        <v>#REF!</v>
      </c>
      <c r="N843" s="19" t="e">
        <f>IF(J843="","SEM #CH",VLOOKUP(J843,#REF!,5,0))</f>
        <v>#REF!</v>
      </c>
      <c r="O843" s="19" t="e">
        <f>IF(J843="","SEM #CH",VLOOKUP(J843,#REF!,6,0))</f>
        <v>#REF!</v>
      </c>
      <c r="P843" s="19" t="e">
        <f>IF(J843="","SEM #CH",VLOOKUP(J843,#REF!,7,0))</f>
        <v>#REF!</v>
      </c>
      <c r="Q843" s="77" t="str">
        <f>VLOOKUP(J843,'p1'!$B$2:$C$30,2,0)</f>
        <v>ARM. CANAL SAIDA</v>
      </c>
      <c r="R843" s="91"/>
      <c r="S843" s="91"/>
      <c r="T843" s="91" t="str">
        <f t="shared" si="61"/>
        <v/>
      </c>
      <c r="U843" s="91"/>
      <c r="V843" s="91"/>
      <c r="W843" s="93"/>
      <c r="X843" s="94" t="str">
        <f t="shared" si="62"/>
        <v/>
      </c>
    </row>
    <row r="844" spans="1:25">
      <c r="A844" s="90">
        <v>843</v>
      </c>
      <c r="B844" s="68"/>
      <c r="C844" s="40"/>
      <c r="D844" s="40" t="str">
        <f t="shared" si="60"/>
        <v/>
      </c>
      <c r="E844" s="41" t="s">
        <v>1057</v>
      </c>
      <c r="F844" s="17" t="s">
        <v>177</v>
      </c>
      <c r="G844" s="17" t="s">
        <v>86</v>
      </c>
      <c r="H844" s="17">
        <v>99</v>
      </c>
      <c r="I844" s="17" t="str">
        <f t="shared" si="63"/>
        <v>PR_PEI(V)-99</v>
      </c>
      <c r="J844" s="18" t="s">
        <v>177</v>
      </c>
      <c r="K844" s="19" t="e">
        <f>IF(J844="","SEM #CH",VLOOKUP(J844,#REF!,2,0))</f>
        <v>#REF!</v>
      </c>
      <c r="L844" s="19" t="e">
        <f>IF(J844="","SEM #CH",VLOOKUP(J844,#REF!,3,0))</f>
        <v>#REF!</v>
      </c>
      <c r="M844" s="19" t="e">
        <f>IF(J844="","SEM #CH",VLOOKUP(J844,#REF!,4,0))</f>
        <v>#REF!</v>
      </c>
      <c r="N844" s="19" t="e">
        <f>IF(J844="","SEM #CH",VLOOKUP(J844,#REF!,5,0))</f>
        <v>#REF!</v>
      </c>
      <c r="O844" s="19" t="e">
        <f>IF(J844="","SEM #CH",VLOOKUP(J844,#REF!,6,0))</f>
        <v>#REF!</v>
      </c>
      <c r="P844" s="19" t="e">
        <f>IF(J844="","SEM #CH",VLOOKUP(J844,#REF!,7,0))</f>
        <v>#REF!</v>
      </c>
      <c r="Q844" s="77" t="str">
        <f>VLOOKUP(J844,'p1'!$B$2:$C$30,2,0)</f>
        <v>ATERRAMENTO + ARM. CANAL</v>
      </c>
      <c r="R844" s="91"/>
      <c r="S844" s="91"/>
      <c r="T844" s="91" t="str">
        <f t="shared" si="61"/>
        <v/>
      </c>
      <c r="U844" s="91"/>
      <c r="V844" s="91"/>
      <c r="W844" s="93"/>
      <c r="X844" s="94" t="str">
        <f t="shared" si="62"/>
        <v/>
      </c>
    </row>
    <row r="845" spans="1:25">
      <c r="A845" s="90">
        <v>844</v>
      </c>
      <c r="B845" s="68">
        <v>45842</v>
      </c>
      <c r="C845" s="40">
        <v>45</v>
      </c>
      <c r="D845" s="40">
        <f t="shared" si="60"/>
        <v>1</v>
      </c>
      <c r="E845" s="41" t="s">
        <v>1057</v>
      </c>
      <c r="F845" s="17" t="s">
        <v>58</v>
      </c>
      <c r="G845" s="17" t="s">
        <v>86</v>
      </c>
      <c r="H845" s="17">
        <v>100</v>
      </c>
      <c r="I845" s="17" t="str">
        <f t="shared" si="63"/>
        <v>PR_PN-100</v>
      </c>
      <c r="J845" s="18" t="s">
        <v>85</v>
      </c>
      <c r="K845" s="19" t="e">
        <f>IF(J845="","SEM #CH",VLOOKUP(J845,#REF!,2,0))</f>
        <v>#REF!</v>
      </c>
      <c r="L845" s="19" t="e">
        <f>IF(J845="","SEM #CH",VLOOKUP(J845,#REF!,3,0))</f>
        <v>#REF!</v>
      </c>
      <c r="M845" s="19" t="e">
        <f>IF(J845="","SEM #CH",VLOOKUP(J845,#REF!,4,0))</f>
        <v>#REF!</v>
      </c>
      <c r="N845" s="19" t="e">
        <f>IF(J845="","SEM #CH",VLOOKUP(J845,#REF!,5,0))</f>
        <v>#REF!</v>
      </c>
      <c r="O845" s="19" t="e">
        <f>IF(J845="","SEM #CH",VLOOKUP(J845,#REF!,6,0))</f>
        <v>#REF!</v>
      </c>
      <c r="P845" s="19" t="e">
        <f>IF(J845="","SEM #CH",VLOOKUP(J845,#REF!,7,0))</f>
        <v>#REF!</v>
      </c>
      <c r="Q845" s="77" t="str">
        <f>VLOOKUP(J845,'p1'!$B$2:$C$30,2,0)</f>
        <v>NÃO TEM CHAPA</v>
      </c>
      <c r="R845" s="91"/>
      <c r="S845" s="91" t="s">
        <v>222</v>
      </c>
      <c r="T845" s="91" t="str">
        <f t="shared" si="61"/>
        <v/>
      </c>
      <c r="U845" s="91"/>
      <c r="V845" s="91"/>
      <c r="W845" s="93"/>
      <c r="X845" s="94" t="str">
        <f t="shared" si="62"/>
        <v/>
      </c>
      <c r="Y845" s="13">
        <v>700</v>
      </c>
    </row>
    <row r="846" spans="1:25">
      <c r="A846" s="90">
        <v>845</v>
      </c>
      <c r="B846" s="68">
        <v>45842</v>
      </c>
      <c r="C846" s="40">
        <v>45</v>
      </c>
      <c r="D846" s="40">
        <f t="shared" si="60"/>
        <v>1</v>
      </c>
      <c r="E846" s="41" t="s">
        <v>1057</v>
      </c>
      <c r="F846" s="17" t="s">
        <v>58</v>
      </c>
      <c r="G846" s="17" t="s">
        <v>86</v>
      </c>
      <c r="H846" s="17">
        <v>101</v>
      </c>
      <c r="I846" s="17" t="str">
        <f t="shared" si="63"/>
        <v>PR_PN-101</v>
      </c>
      <c r="J846" s="18" t="s">
        <v>85</v>
      </c>
      <c r="K846" s="19" t="e">
        <f>IF(J846="","SEM #CH",VLOOKUP(J846,#REF!,2,0))</f>
        <v>#REF!</v>
      </c>
      <c r="L846" s="19" t="e">
        <f>IF(J846="","SEM #CH",VLOOKUP(J846,#REF!,3,0))</f>
        <v>#REF!</v>
      </c>
      <c r="M846" s="19" t="e">
        <f>IF(J846="","SEM #CH",VLOOKUP(J846,#REF!,4,0))</f>
        <v>#REF!</v>
      </c>
      <c r="N846" s="19" t="e">
        <f>IF(J846="","SEM #CH",VLOOKUP(J846,#REF!,5,0))</f>
        <v>#REF!</v>
      </c>
      <c r="O846" s="19" t="e">
        <f>IF(J846="","SEM #CH",VLOOKUP(J846,#REF!,6,0))</f>
        <v>#REF!</v>
      </c>
      <c r="P846" s="19" t="e">
        <f>IF(J846="","SEM #CH",VLOOKUP(J846,#REF!,7,0))</f>
        <v>#REF!</v>
      </c>
      <c r="Q846" s="77" t="str">
        <f>VLOOKUP(J846,'p1'!$B$2:$C$30,2,0)</f>
        <v>NÃO TEM CHAPA</v>
      </c>
      <c r="R846" s="91"/>
      <c r="S846" s="91" t="s">
        <v>222</v>
      </c>
      <c r="T846" s="91" t="str">
        <f t="shared" si="61"/>
        <v/>
      </c>
      <c r="U846" s="91"/>
      <c r="V846" s="91"/>
      <c r="W846" s="93"/>
      <c r="X846" s="94" t="str">
        <f t="shared" si="62"/>
        <v/>
      </c>
      <c r="Y846" s="13">
        <v>700</v>
      </c>
    </row>
    <row r="847" spans="1:25">
      <c r="A847" s="90">
        <v>846</v>
      </c>
      <c r="B847" s="68">
        <v>45842</v>
      </c>
      <c r="C847" s="40">
        <v>45</v>
      </c>
      <c r="D847" s="40">
        <f t="shared" si="60"/>
        <v>1</v>
      </c>
      <c r="E847" s="41" t="s">
        <v>1057</v>
      </c>
      <c r="F847" s="17" t="s">
        <v>58</v>
      </c>
      <c r="G847" s="17" t="s">
        <v>86</v>
      </c>
      <c r="H847" s="17">
        <v>102</v>
      </c>
      <c r="I847" s="17" t="str">
        <f t="shared" si="63"/>
        <v>PR_PN-102</v>
      </c>
      <c r="J847" s="18" t="s">
        <v>85</v>
      </c>
      <c r="K847" s="19" t="e">
        <f>IF(J847="","SEM #CH",VLOOKUP(J847,#REF!,2,0))</f>
        <v>#REF!</v>
      </c>
      <c r="L847" s="19" t="e">
        <f>IF(J847="","SEM #CH",VLOOKUP(J847,#REF!,3,0))</f>
        <v>#REF!</v>
      </c>
      <c r="M847" s="19" t="e">
        <f>IF(J847="","SEM #CH",VLOOKUP(J847,#REF!,4,0))</f>
        <v>#REF!</v>
      </c>
      <c r="N847" s="19" t="e">
        <f>IF(J847="","SEM #CH",VLOOKUP(J847,#REF!,5,0))</f>
        <v>#REF!</v>
      </c>
      <c r="O847" s="19" t="e">
        <f>IF(J847="","SEM #CH",VLOOKUP(J847,#REF!,6,0))</f>
        <v>#REF!</v>
      </c>
      <c r="P847" s="19" t="e">
        <f>IF(J847="","SEM #CH",VLOOKUP(J847,#REF!,7,0))</f>
        <v>#REF!</v>
      </c>
      <c r="Q847" s="77" t="str">
        <f>VLOOKUP(J847,'p1'!$B$2:$C$30,2,0)</f>
        <v>NÃO TEM CHAPA</v>
      </c>
      <c r="R847" s="91"/>
      <c r="S847" s="91" t="s">
        <v>222</v>
      </c>
      <c r="T847" s="91" t="str">
        <f t="shared" si="61"/>
        <v/>
      </c>
      <c r="U847" s="91"/>
      <c r="V847" s="91"/>
      <c r="W847" s="93"/>
      <c r="X847" s="94" t="str">
        <f t="shared" si="62"/>
        <v/>
      </c>
      <c r="Y847" s="13">
        <v>700</v>
      </c>
    </row>
    <row r="848" spans="1:25">
      <c r="A848" s="90">
        <v>847</v>
      </c>
      <c r="B848" s="68">
        <v>45848</v>
      </c>
      <c r="C848" s="40">
        <v>46</v>
      </c>
      <c r="D848" s="40">
        <f t="shared" si="60"/>
        <v>1</v>
      </c>
      <c r="E848" s="41" t="s">
        <v>1057</v>
      </c>
      <c r="F848" s="17" t="s">
        <v>58</v>
      </c>
      <c r="G848" s="17" t="s">
        <v>86</v>
      </c>
      <c r="H848" s="17">
        <v>103</v>
      </c>
      <c r="I848" s="17" t="str">
        <f t="shared" si="63"/>
        <v>PR_PN-103</v>
      </c>
      <c r="J848" s="18" t="s">
        <v>85</v>
      </c>
      <c r="K848" s="19" t="e">
        <f>IF(J848="","SEM #CH",VLOOKUP(J848,#REF!,2,0))</f>
        <v>#REF!</v>
      </c>
      <c r="L848" s="19" t="e">
        <f>IF(J848="","SEM #CH",VLOOKUP(J848,#REF!,3,0))</f>
        <v>#REF!</v>
      </c>
      <c r="M848" s="19" t="e">
        <f>IF(J848="","SEM #CH",VLOOKUP(J848,#REF!,4,0))</f>
        <v>#REF!</v>
      </c>
      <c r="N848" s="19" t="e">
        <f>IF(J848="","SEM #CH",VLOOKUP(J848,#REF!,5,0))</f>
        <v>#REF!</v>
      </c>
      <c r="O848" s="19" t="e">
        <f>IF(J848="","SEM #CH",VLOOKUP(J848,#REF!,6,0))</f>
        <v>#REF!</v>
      </c>
      <c r="P848" s="19" t="e">
        <f>IF(J848="","SEM #CH",VLOOKUP(J848,#REF!,7,0))</f>
        <v>#REF!</v>
      </c>
      <c r="Q848" s="77" t="str">
        <f>VLOOKUP(J848,'p1'!$B$2:$C$30,2,0)</f>
        <v>NÃO TEM CHAPA</v>
      </c>
      <c r="R848" s="91"/>
      <c r="S848" s="91"/>
      <c r="T848" s="91" t="str">
        <f t="shared" si="61"/>
        <v/>
      </c>
      <c r="U848" s="91"/>
      <c r="V848" s="91"/>
      <c r="W848" s="93"/>
      <c r="X848" s="94" t="str">
        <f t="shared" si="62"/>
        <v/>
      </c>
      <c r="Y848" s="13">
        <v>700</v>
      </c>
    </row>
    <row r="849" spans="1:25">
      <c r="A849" s="90">
        <v>848</v>
      </c>
      <c r="B849" s="68">
        <v>45850</v>
      </c>
      <c r="C849" s="40">
        <v>47</v>
      </c>
      <c r="D849" s="40">
        <f t="shared" si="60"/>
        <v>1</v>
      </c>
      <c r="E849" s="41" t="s">
        <v>1057</v>
      </c>
      <c r="F849" s="17" t="s">
        <v>58</v>
      </c>
      <c r="G849" s="17" t="s">
        <v>86</v>
      </c>
      <c r="H849" s="17">
        <v>104</v>
      </c>
      <c r="I849" s="17" t="str">
        <f t="shared" si="63"/>
        <v>PR_PN-104</v>
      </c>
      <c r="J849" s="18" t="s">
        <v>85</v>
      </c>
      <c r="K849" s="19" t="e">
        <f>IF(J849="","SEM #CH",VLOOKUP(J849,#REF!,2,0))</f>
        <v>#REF!</v>
      </c>
      <c r="L849" s="19" t="e">
        <f>IF(J849="","SEM #CH",VLOOKUP(J849,#REF!,3,0))</f>
        <v>#REF!</v>
      </c>
      <c r="M849" s="19" t="e">
        <f>IF(J849="","SEM #CH",VLOOKUP(J849,#REF!,4,0))</f>
        <v>#REF!</v>
      </c>
      <c r="N849" s="19" t="e">
        <f>IF(J849="","SEM #CH",VLOOKUP(J849,#REF!,5,0))</f>
        <v>#REF!</v>
      </c>
      <c r="O849" s="19" t="e">
        <f>IF(J849="","SEM #CH",VLOOKUP(J849,#REF!,6,0))</f>
        <v>#REF!</v>
      </c>
      <c r="P849" s="19" t="e">
        <f>IF(J849="","SEM #CH",VLOOKUP(J849,#REF!,7,0))</f>
        <v>#REF!</v>
      </c>
      <c r="Q849" s="77" t="str">
        <f>VLOOKUP(J849,'p1'!$B$2:$C$30,2,0)</f>
        <v>NÃO TEM CHAPA</v>
      </c>
      <c r="R849" s="91"/>
      <c r="S849" s="91" t="s">
        <v>221</v>
      </c>
      <c r="T849" s="91" t="str">
        <f t="shared" si="61"/>
        <v/>
      </c>
      <c r="U849" s="91"/>
      <c r="V849" s="91"/>
      <c r="W849" s="93"/>
      <c r="X849" s="94" t="str">
        <f t="shared" si="62"/>
        <v/>
      </c>
      <c r="Y849" s="13">
        <v>700</v>
      </c>
    </row>
    <row r="850" spans="1:25">
      <c r="A850" s="90">
        <v>849</v>
      </c>
      <c r="B850" s="68"/>
      <c r="C850" s="40"/>
      <c r="D850" s="40" t="str">
        <f t="shared" si="60"/>
        <v/>
      </c>
      <c r="E850" s="41" t="s">
        <v>1057</v>
      </c>
      <c r="F850" s="17" t="s">
        <v>124</v>
      </c>
      <c r="G850" s="17" t="s">
        <v>86</v>
      </c>
      <c r="H850" s="17">
        <v>105</v>
      </c>
      <c r="I850" s="17" t="str">
        <f t="shared" si="63"/>
        <v>PR_PNI-105</v>
      </c>
      <c r="J850" s="18" t="s">
        <v>124</v>
      </c>
      <c r="K850" s="19" t="e">
        <f>IF(J850="","SEM #CH",VLOOKUP(J850,#REF!,2,0))</f>
        <v>#REF!</v>
      </c>
      <c r="L850" s="19" t="e">
        <f>IF(J850="","SEM #CH",VLOOKUP(J850,#REF!,3,0))</f>
        <v>#REF!</v>
      </c>
      <c r="M850" s="19" t="e">
        <f>IF(J850="","SEM #CH",VLOOKUP(J850,#REF!,4,0))</f>
        <v>#REF!</v>
      </c>
      <c r="N850" s="19" t="e">
        <f>IF(J850="","SEM #CH",VLOOKUP(J850,#REF!,5,0))</f>
        <v>#REF!</v>
      </c>
      <c r="O850" s="19" t="e">
        <f>IF(J850="","SEM #CH",VLOOKUP(J850,#REF!,6,0))</f>
        <v>#REF!</v>
      </c>
      <c r="P850" s="19" t="e">
        <f>IF(J850="","SEM #CH",VLOOKUP(J850,#REF!,7,0))</f>
        <v>#REF!</v>
      </c>
      <c r="Q850" s="77" t="str">
        <f>VLOOKUP(J850,'p1'!$B$2:$C$30,2,0)</f>
        <v>02- 150X150 #3/8</v>
      </c>
      <c r="R850" s="91"/>
      <c r="S850" s="91"/>
      <c r="T850" s="91" t="str">
        <f t="shared" si="61"/>
        <v/>
      </c>
      <c r="U850" s="91"/>
      <c r="V850" s="91"/>
      <c r="W850" s="93"/>
      <c r="X850" s="94" t="str">
        <f t="shared" si="62"/>
        <v/>
      </c>
    </row>
    <row r="851" spans="1:25">
      <c r="A851" s="90">
        <v>850</v>
      </c>
      <c r="B851" s="68">
        <v>45853</v>
      </c>
      <c r="C851" s="40">
        <v>48</v>
      </c>
      <c r="D851" s="40">
        <f t="shared" si="60"/>
        <v>1</v>
      </c>
      <c r="E851" s="41" t="s">
        <v>1057</v>
      </c>
      <c r="F851" s="17" t="s">
        <v>58</v>
      </c>
      <c r="G851" s="17" t="s">
        <v>86</v>
      </c>
      <c r="H851" s="17">
        <v>106</v>
      </c>
      <c r="I851" s="17" t="str">
        <f t="shared" si="63"/>
        <v>PR_PN-106</v>
      </c>
      <c r="J851" s="18" t="s">
        <v>85</v>
      </c>
      <c r="K851" s="19" t="e">
        <f>IF(J851="","SEM #CH",VLOOKUP(J851,#REF!,2,0))</f>
        <v>#REF!</v>
      </c>
      <c r="L851" s="19" t="e">
        <f>IF(J851="","SEM #CH",VLOOKUP(J851,#REF!,3,0))</f>
        <v>#REF!</v>
      </c>
      <c r="M851" s="19" t="e">
        <f>IF(J851="","SEM #CH",VLOOKUP(J851,#REF!,4,0))</f>
        <v>#REF!</v>
      </c>
      <c r="N851" s="19" t="e">
        <f>IF(J851="","SEM #CH",VLOOKUP(J851,#REF!,5,0))</f>
        <v>#REF!</v>
      </c>
      <c r="O851" s="19" t="e">
        <f>IF(J851="","SEM #CH",VLOOKUP(J851,#REF!,6,0))</f>
        <v>#REF!</v>
      </c>
      <c r="P851" s="19" t="e">
        <f>IF(J851="","SEM #CH",VLOOKUP(J851,#REF!,7,0))</f>
        <v>#REF!</v>
      </c>
      <c r="Q851" s="77" t="str">
        <f>VLOOKUP(J851,'p1'!$B$2:$C$30,2,0)</f>
        <v>NÃO TEM CHAPA</v>
      </c>
      <c r="R851" s="91"/>
      <c r="S851" s="91"/>
      <c r="T851" s="91" t="str">
        <f t="shared" si="61"/>
        <v/>
      </c>
      <c r="U851" s="91"/>
      <c r="V851" s="91"/>
      <c r="W851" s="93"/>
      <c r="X851" s="94" t="str">
        <f t="shared" si="62"/>
        <v/>
      </c>
    </row>
    <row r="852" spans="1:25">
      <c r="A852" s="90">
        <v>851</v>
      </c>
      <c r="B852" s="68"/>
      <c r="C852" s="40"/>
      <c r="D852" s="40" t="str">
        <f t="shared" si="60"/>
        <v/>
      </c>
      <c r="E852" s="41" t="s">
        <v>1057</v>
      </c>
      <c r="F852" s="17" t="s">
        <v>58</v>
      </c>
      <c r="G852" s="17" t="s">
        <v>86</v>
      </c>
      <c r="H852" s="17">
        <v>107</v>
      </c>
      <c r="I852" s="17" t="str">
        <f t="shared" si="63"/>
        <v>PR_PN-107</v>
      </c>
      <c r="J852" s="18" t="s">
        <v>85</v>
      </c>
      <c r="K852" s="19" t="e">
        <f>IF(J852="","SEM #CH",VLOOKUP(J852,#REF!,2,0))</f>
        <v>#REF!</v>
      </c>
      <c r="L852" s="19" t="e">
        <f>IF(J852="","SEM #CH",VLOOKUP(J852,#REF!,3,0))</f>
        <v>#REF!</v>
      </c>
      <c r="M852" s="19" t="e">
        <f>IF(J852="","SEM #CH",VLOOKUP(J852,#REF!,4,0))</f>
        <v>#REF!</v>
      </c>
      <c r="N852" s="19" t="e">
        <f>IF(J852="","SEM #CH",VLOOKUP(J852,#REF!,5,0))</f>
        <v>#REF!</v>
      </c>
      <c r="O852" s="19" t="e">
        <f>IF(J852="","SEM #CH",VLOOKUP(J852,#REF!,6,0))</f>
        <v>#REF!</v>
      </c>
      <c r="P852" s="19" t="e">
        <f>IF(J852="","SEM #CH",VLOOKUP(J852,#REF!,7,0))</f>
        <v>#REF!</v>
      </c>
      <c r="Q852" s="77" t="str">
        <f>VLOOKUP(J852,'p1'!$B$2:$C$30,2,0)</f>
        <v>NÃO TEM CHAPA</v>
      </c>
      <c r="R852" s="91"/>
      <c r="S852" s="91"/>
      <c r="T852" s="91" t="str">
        <f t="shared" si="61"/>
        <v/>
      </c>
      <c r="U852" s="91"/>
      <c r="V852" s="91"/>
      <c r="W852" s="93"/>
      <c r="X852" s="94" t="str">
        <f t="shared" si="62"/>
        <v/>
      </c>
    </row>
    <row r="853" spans="1:25">
      <c r="A853" s="90">
        <v>852</v>
      </c>
      <c r="B853" s="68"/>
      <c r="C853" s="40"/>
      <c r="D853" s="40" t="str">
        <f t="shared" si="60"/>
        <v/>
      </c>
      <c r="E853" s="41" t="s">
        <v>1057</v>
      </c>
      <c r="F853" s="17" t="s">
        <v>58</v>
      </c>
      <c r="G853" s="17" t="s">
        <v>86</v>
      </c>
      <c r="H853" s="17">
        <v>108</v>
      </c>
      <c r="I853" s="17" t="str">
        <f t="shared" si="63"/>
        <v>PR_PN-108</v>
      </c>
      <c r="J853" s="18" t="s">
        <v>85</v>
      </c>
      <c r="K853" s="19" t="e">
        <f>IF(J853="","SEM #CH",VLOOKUP(J853,#REF!,2,0))</f>
        <v>#REF!</v>
      </c>
      <c r="L853" s="19" t="e">
        <f>IF(J853="","SEM #CH",VLOOKUP(J853,#REF!,3,0))</f>
        <v>#REF!</v>
      </c>
      <c r="M853" s="19" t="e">
        <f>IF(J853="","SEM #CH",VLOOKUP(J853,#REF!,4,0))</f>
        <v>#REF!</v>
      </c>
      <c r="N853" s="19" t="e">
        <f>IF(J853="","SEM #CH",VLOOKUP(J853,#REF!,5,0))</f>
        <v>#REF!</v>
      </c>
      <c r="O853" s="19" t="e">
        <f>IF(J853="","SEM #CH",VLOOKUP(J853,#REF!,6,0))</f>
        <v>#REF!</v>
      </c>
      <c r="P853" s="19" t="e">
        <f>IF(J853="","SEM #CH",VLOOKUP(J853,#REF!,7,0))</f>
        <v>#REF!</v>
      </c>
      <c r="Q853" s="77" t="str">
        <f>VLOOKUP(J853,'p1'!$B$2:$C$30,2,0)</f>
        <v>NÃO TEM CHAPA</v>
      </c>
      <c r="R853" s="91"/>
      <c r="S853" s="91"/>
      <c r="T853" s="91" t="str">
        <f t="shared" si="61"/>
        <v/>
      </c>
      <c r="U853" s="91"/>
      <c r="V853" s="91"/>
      <c r="W853" s="93"/>
      <c r="X853" s="94" t="str">
        <f t="shared" si="62"/>
        <v/>
      </c>
    </row>
    <row r="854" spans="1:25">
      <c r="A854" s="90">
        <v>853</v>
      </c>
      <c r="B854" s="68"/>
      <c r="C854" s="40"/>
      <c r="D854" s="40" t="str">
        <f t="shared" si="60"/>
        <v/>
      </c>
      <c r="E854" s="41" t="s">
        <v>1057</v>
      </c>
      <c r="F854" s="17" t="s">
        <v>60</v>
      </c>
      <c r="G854" s="17" t="s">
        <v>86</v>
      </c>
      <c r="H854" s="17">
        <v>109</v>
      </c>
      <c r="I854" s="17" t="str">
        <f t="shared" si="63"/>
        <v>PR_PE-109</v>
      </c>
      <c r="J854" s="18" t="s">
        <v>182</v>
      </c>
      <c r="K854" s="19" t="e">
        <f>IF(J854="","SEM #CH",VLOOKUP(J854,#REF!,2,0))</f>
        <v>#REF!</v>
      </c>
      <c r="L854" s="19" t="e">
        <f>IF(J854="","SEM #CH",VLOOKUP(J854,#REF!,3,0))</f>
        <v>#REF!</v>
      </c>
      <c r="M854" s="19" t="e">
        <f>IF(J854="","SEM #CH",VLOOKUP(J854,#REF!,4,0))</f>
        <v>#REF!</v>
      </c>
      <c r="N854" s="19" t="e">
        <f>IF(J854="","SEM #CH",VLOOKUP(J854,#REF!,5,0))</f>
        <v>#REF!</v>
      </c>
      <c r="O854" s="19" t="e">
        <f>IF(J854="","SEM #CH",VLOOKUP(J854,#REF!,6,0))</f>
        <v>#REF!</v>
      </c>
      <c r="P854" s="19" t="e">
        <f>IF(J854="","SEM #CH",VLOOKUP(J854,#REF!,7,0))</f>
        <v>#REF!</v>
      </c>
      <c r="Q854" s="77" t="str">
        <f>VLOOKUP(J854,'p1'!$B$2:$C$30,2,0)</f>
        <v>TUBO DE 10 " - A DEFINIR</v>
      </c>
      <c r="R854" s="91"/>
      <c r="S854" s="91"/>
      <c r="T854" s="91" t="str">
        <f t="shared" si="61"/>
        <v/>
      </c>
      <c r="U854" s="91"/>
      <c r="V854" s="91"/>
      <c r="W854" s="93"/>
      <c r="X854" s="94" t="str">
        <f t="shared" si="62"/>
        <v/>
      </c>
    </row>
    <row r="855" spans="1:25">
      <c r="A855" s="90">
        <v>854</v>
      </c>
      <c r="B855" s="68"/>
      <c r="C855" s="40"/>
      <c r="D855" s="40" t="str">
        <f t="shared" si="60"/>
        <v/>
      </c>
      <c r="E855" s="41" t="s">
        <v>1057</v>
      </c>
      <c r="F855" s="17" t="s">
        <v>60</v>
      </c>
      <c r="G855" s="17" t="s">
        <v>86</v>
      </c>
      <c r="H855" s="17">
        <v>110</v>
      </c>
      <c r="I855" s="17" t="str">
        <f t="shared" si="63"/>
        <v>PR_PE-110</v>
      </c>
      <c r="J855" s="18" t="s">
        <v>182</v>
      </c>
      <c r="K855" s="19" t="e">
        <f>IF(J855="","SEM #CH",VLOOKUP(J855,#REF!,2,0))</f>
        <v>#REF!</v>
      </c>
      <c r="L855" s="19" t="e">
        <f>IF(J855="","SEM #CH",VLOOKUP(J855,#REF!,3,0))</f>
        <v>#REF!</v>
      </c>
      <c r="M855" s="19" t="e">
        <f>IF(J855="","SEM #CH",VLOOKUP(J855,#REF!,4,0))</f>
        <v>#REF!</v>
      </c>
      <c r="N855" s="19" t="e">
        <f>IF(J855="","SEM #CH",VLOOKUP(J855,#REF!,5,0))</f>
        <v>#REF!</v>
      </c>
      <c r="O855" s="19" t="e">
        <f>IF(J855="","SEM #CH",VLOOKUP(J855,#REF!,6,0))</f>
        <v>#REF!</v>
      </c>
      <c r="P855" s="19" t="e">
        <f>IF(J855="","SEM #CH",VLOOKUP(J855,#REF!,7,0))</f>
        <v>#REF!</v>
      </c>
      <c r="Q855" s="77" t="str">
        <f>VLOOKUP(J855,'p1'!$B$2:$C$30,2,0)</f>
        <v>TUBO DE 10 " - A DEFINIR</v>
      </c>
      <c r="R855" s="91"/>
      <c r="S855" s="91"/>
      <c r="T855" s="91" t="str">
        <f t="shared" si="61"/>
        <v/>
      </c>
      <c r="U855" s="91"/>
      <c r="V855" s="91"/>
      <c r="W855" s="93"/>
      <c r="X855" s="94" t="str">
        <f t="shared" si="62"/>
        <v/>
      </c>
    </row>
    <row r="856" spans="1:25">
      <c r="A856" s="90">
        <v>855</v>
      </c>
      <c r="B856" s="68"/>
      <c r="C856" s="40"/>
      <c r="D856" s="40" t="str">
        <f t="shared" si="60"/>
        <v/>
      </c>
      <c r="E856" s="41" t="s">
        <v>1057</v>
      </c>
      <c r="F856" s="17" t="s">
        <v>177</v>
      </c>
      <c r="G856" s="17" t="s">
        <v>86</v>
      </c>
      <c r="H856" s="17">
        <v>111</v>
      </c>
      <c r="I856" s="17" t="str">
        <f t="shared" si="63"/>
        <v>PR_PEI(V)-111</v>
      </c>
      <c r="J856" s="18" t="s">
        <v>176</v>
      </c>
      <c r="K856" s="19" t="e">
        <f>IF(J856="","SEM #CH",VLOOKUP(J856,#REF!,2,0))</f>
        <v>#REF!</v>
      </c>
      <c r="L856" s="19" t="e">
        <f>IF(J856="","SEM #CH",VLOOKUP(J856,#REF!,3,0))</f>
        <v>#REF!</v>
      </c>
      <c r="M856" s="19" t="e">
        <f>IF(J856="","SEM #CH",VLOOKUP(J856,#REF!,4,0))</f>
        <v>#REF!</v>
      </c>
      <c r="N856" s="19" t="e">
        <f>IF(J856="","SEM #CH",VLOOKUP(J856,#REF!,5,0))</f>
        <v>#REF!</v>
      </c>
      <c r="O856" s="19" t="e">
        <f>IF(J856="","SEM #CH",VLOOKUP(J856,#REF!,6,0))</f>
        <v>#REF!</v>
      </c>
      <c r="P856" s="19" t="e">
        <f>IF(J856="","SEM #CH",VLOOKUP(J856,#REF!,7,0))</f>
        <v>#REF!</v>
      </c>
      <c r="Q856" s="77" t="str">
        <f>VLOOKUP(J856,'p1'!$B$2:$C$30,2,0)</f>
        <v>ATERRAMENTO+ CHAPA P/ T10"</v>
      </c>
      <c r="R856" s="91"/>
      <c r="S856" s="91"/>
      <c r="T856" s="91" t="str">
        <f t="shared" si="61"/>
        <v/>
      </c>
      <c r="U856" s="91"/>
      <c r="V856" s="91"/>
      <c r="W856" s="93"/>
      <c r="X856" s="94" t="str">
        <f t="shared" si="62"/>
        <v/>
      </c>
    </row>
    <row r="857" spans="1:25">
      <c r="A857" s="90">
        <v>856</v>
      </c>
      <c r="B857" s="68"/>
      <c r="C857" s="40"/>
      <c r="D857" s="40" t="str">
        <f t="shared" si="60"/>
        <v/>
      </c>
      <c r="E857" s="41" t="s">
        <v>1057</v>
      </c>
      <c r="F857" s="17" t="s">
        <v>60</v>
      </c>
      <c r="G857" s="17" t="s">
        <v>86</v>
      </c>
      <c r="H857" s="17">
        <v>112</v>
      </c>
      <c r="I857" s="17" t="str">
        <f t="shared" si="63"/>
        <v>PR_PE-112</v>
      </c>
      <c r="J857" s="18" t="s">
        <v>60</v>
      </c>
      <c r="K857" s="19" t="e">
        <f>IF(J857="","SEM #CH",VLOOKUP(J857,#REF!,2,0))</f>
        <v>#REF!</v>
      </c>
      <c r="L857" s="19" t="e">
        <f>IF(J857="","SEM #CH",VLOOKUP(J857,#REF!,3,0))</f>
        <v>#REF!</v>
      </c>
      <c r="M857" s="19" t="e">
        <f>IF(J857="","SEM #CH",VLOOKUP(J857,#REF!,4,0))</f>
        <v>#REF!</v>
      </c>
      <c r="N857" s="19" t="e">
        <f>IF(J857="","SEM #CH",VLOOKUP(J857,#REF!,5,0))</f>
        <v>#REF!</v>
      </c>
      <c r="O857" s="19" t="e">
        <f>IF(J857="","SEM #CH",VLOOKUP(J857,#REF!,6,0))</f>
        <v>#REF!</v>
      </c>
      <c r="P857" s="19" t="e">
        <f>IF(J857="","SEM #CH",VLOOKUP(J857,#REF!,7,0))</f>
        <v>#REF!</v>
      </c>
      <c r="Q857" s="77" t="str">
        <f>VLOOKUP(J857,'p1'!$B$2:$C$30,2,0)</f>
        <v>A DEFINIR</v>
      </c>
      <c r="R857" s="91"/>
      <c r="S857" s="91"/>
      <c r="T857" s="91" t="str">
        <f t="shared" si="61"/>
        <v/>
      </c>
      <c r="U857" s="91"/>
      <c r="V857" s="91"/>
      <c r="W857" s="93"/>
      <c r="X857" s="94" t="str">
        <f t="shared" si="62"/>
        <v/>
      </c>
    </row>
    <row r="858" spans="1:25">
      <c r="A858" s="90">
        <v>857</v>
      </c>
      <c r="B858" s="68"/>
      <c r="C858" s="40"/>
      <c r="D858" s="40" t="str">
        <f t="shared" si="60"/>
        <v/>
      </c>
      <c r="E858" s="41" t="s">
        <v>1057</v>
      </c>
      <c r="F858" s="17" t="s">
        <v>124</v>
      </c>
      <c r="G858" s="17" t="s">
        <v>86</v>
      </c>
      <c r="H858" s="17">
        <v>113</v>
      </c>
      <c r="I858" s="17" t="str">
        <f t="shared" si="63"/>
        <v>PR_PNI-113</v>
      </c>
      <c r="J858" s="18" t="s">
        <v>124</v>
      </c>
      <c r="K858" s="19" t="e">
        <f>IF(J858="","SEM #CH",VLOOKUP(J858,#REF!,2,0))</f>
        <v>#REF!</v>
      </c>
      <c r="L858" s="19" t="e">
        <f>IF(J858="","SEM #CH",VLOOKUP(J858,#REF!,3,0))</f>
        <v>#REF!</v>
      </c>
      <c r="M858" s="19" t="e">
        <f>IF(J858="","SEM #CH",VLOOKUP(J858,#REF!,4,0))</f>
        <v>#REF!</v>
      </c>
      <c r="N858" s="19" t="e">
        <f>IF(J858="","SEM #CH",VLOOKUP(J858,#REF!,5,0))</f>
        <v>#REF!</v>
      </c>
      <c r="O858" s="19" t="e">
        <f>IF(J858="","SEM #CH",VLOOKUP(J858,#REF!,6,0))</f>
        <v>#REF!</v>
      </c>
      <c r="P858" s="19" t="e">
        <f>IF(J858="","SEM #CH",VLOOKUP(J858,#REF!,7,0))</f>
        <v>#REF!</v>
      </c>
      <c r="Q858" s="77" t="str">
        <f>VLOOKUP(J858,'p1'!$B$2:$C$30,2,0)</f>
        <v>02- 150X150 #3/8</v>
      </c>
      <c r="R858" s="91"/>
      <c r="S858" s="91"/>
      <c r="T858" s="91" t="str">
        <f t="shared" si="61"/>
        <v/>
      </c>
      <c r="U858" s="91"/>
      <c r="V858" s="91"/>
      <c r="W858" s="93"/>
      <c r="X858" s="94" t="str">
        <f t="shared" si="62"/>
        <v/>
      </c>
    </row>
    <row r="859" spans="1:25">
      <c r="A859" s="90">
        <v>858</v>
      </c>
      <c r="B859" s="68"/>
      <c r="C859" s="40"/>
      <c r="D859" s="40" t="str">
        <f t="shared" si="60"/>
        <v/>
      </c>
      <c r="E859" s="41" t="s">
        <v>1057</v>
      </c>
      <c r="F859" s="17" t="s">
        <v>58</v>
      </c>
      <c r="G859" s="17" t="s">
        <v>86</v>
      </c>
      <c r="H859" s="17">
        <v>114</v>
      </c>
      <c r="I859" s="17" t="str">
        <f t="shared" si="63"/>
        <v>PR_PN-114</v>
      </c>
      <c r="J859" s="18" t="s">
        <v>85</v>
      </c>
      <c r="K859" s="19" t="e">
        <f>IF(J859="","SEM #CH",VLOOKUP(J859,#REF!,2,0))</f>
        <v>#REF!</v>
      </c>
      <c r="L859" s="19" t="e">
        <f>IF(J859="","SEM #CH",VLOOKUP(J859,#REF!,3,0))</f>
        <v>#REF!</v>
      </c>
      <c r="M859" s="19" t="e">
        <f>IF(J859="","SEM #CH",VLOOKUP(J859,#REF!,4,0))</f>
        <v>#REF!</v>
      </c>
      <c r="N859" s="19" t="e">
        <f>IF(J859="","SEM #CH",VLOOKUP(J859,#REF!,5,0))</f>
        <v>#REF!</v>
      </c>
      <c r="O859" s="19" t="e">
        <f>IF(J859="","SEM #CH",VLOOKUP(J859,#REF!,6,0))</f>
        <v>#REF!</v>
      </c>
      <c r="P859" s="19" t="e">
        <f>IF(J859="","SEM #CH",VLOOKUP(J859,#REF!,7,0))</f>
        <v>#REF!</v>
      </c>
      <c r="Q859" s="77" t="str">
        <f>VLOOKUP(J859,'p1'!$B$2:$C$30,2,0)</f>
        <v>NÃO TEM CHAPA</v>
      </c>
      <c r="R859" s="91"/>
      <c r="S859" s="91"/>
      <c r="T859" s="91" t="str">
        <f t="shared" si="61"/>
        <v/>
      </c>
      <c r="U859" s="91"/>
      <c r="V859" s="91"/>
      <c r="W859" s="93"/>
      <c r="X859" s="94" t="str">
        <f t="shared" si="62"/>
        <v/>
      </c>
    </row>
    <row r="860" spans="1:25">
      <c r="A860" s="90">
        <v>859</v>
      </c>
      <c r="B860" s="68"/>
      <c r="C860" s="40"/>
      <c r="D860" s="40" t="str">
        <f t="shared" si="60"/>
        <v/>
      </c>
      <c r="E860" s="41" t="s">
        <v>1057</v>
      </c>
      <c r="F860" s="17" t="s">
        <v>58</v>
      </c>
      <c r="G860" s="17" t="s">
        <v>86</v>
      </c>
      <c r="H860" s="17">
        <v>115</v>
      </c>
      <c r="I860" s="17" t="str">
        <f t="shared" si="63"/>
        <v>PR_PN-115</v>
      </c>
      <c r="J860" s="18" t="s">
        <v>85</v>
      </c>
      <c r="K860" s="19" t="e">
        <f>IF(J860="","SEM #CH",VLOOKUP(J860,#REF!,2,0))</f>
        <v>#REF!</v>
      </c>
      <c r="L860" s="19" t="e">
        <f>IF(J860="","SEM #CH",VLOOKUP(J860,#REF!,3,0))</f>
        <v>#REF!</v>
      </c>
      <c r="M860" s="19" t="e">
        <f>IF(J860="","SEM #CH",VLOOKUP(J860,#REF!,4,0))</f>
        <v>#REF!</v>
      </c>
      <c r="N860" s="19" t="e">
        <f>IF(J860="","SEM #CH",VLOOKUP(J860,#REF!,5,0))</f>
        <v>#REF!</v>
      </c>
      <c r="O860" s="19" t="e">
        <f>IF(J860="","SEM #CH",VLOOKUP(J860,#REF!,6,0))</f>
        <v>#REF!</v>
      </c>
      <c r="P860" s="19" t="e">
        <f>IF(J860="","SEM #CH",VLOOKUP(J860,#REF!,7,0))</f>
        <v>#REF!</v>
      </c>
      <c r="Q860" s="77" t="str">
        <f>VLOOKUP(J860,'p1'!$B$2:$C$30,2,0)</f>
        <v>NÃO TEM CHAPA</v>
      </c>
      <c r="R860" s="91"/>
      <c r="S860" s="91"/>
      <c r="T860" s="91" t="str">
        <f t="shared" si="61"/>
        <v/>
      </c>
      <c r="U860" s="91"/>
      <c r="V860" s="91"/>
      <c r="W860" s="93"/>
      <c r="X860" s="94" t="str">
        <f t="shared" si="62"/>
        <v/>
      </c>
    </row>
    <row r="861" spans="1:25">
      <c r="A861" s="90">
        <v>860</v>
      </c>
      <c r="B861" s="68"/>
      <c r="C861" s="40"/>
      <c r="D861" s="40" t="str">
        <f t="shared" si="60"/>
        <v/>
      </c>
      <c r="E861" s="41" t="s">
        <v>1057</v>
      </c>
      <c r="F861" s="17" t="s">
        <v>58</v>
      </c>
      <c r="G861" s="17" t="s">
        <v>86</v>
      </c>
      <c r="H861" s="17">
        <v>116</v>
      </c>
      <c r="I861" s="17" t="str">
        <f t="shared" si="63"/>
        <v>PR_PN-116</v>
      </c>
      <c r="J861" s="18" t="s">
        <v>85</v>
      </c>
      <c r="K861" s="19" t="e">
        <f>IF(J861="","SEM #CH",VLOOKUP(J861,#REF!,2,0))</f>
        <v>#REF!</v>
      </c>
      <c r="L861" s="19" t="e">
        <f>IF(J861="","SEM #CH",VLOOKUP(J861,#REF!,3,0))</f>
        <v>#REF!</v>
      </c>
      <c r="M861" s="19" t="e">
        <f>IF(J861="","SEM #CH",VLOOKUP(J861,#REF!,4,0))</f>
        <v>#REF!</v>
      </c>
      <c r="N861" s="19" t="e">
        <f>IF(J861="","SEM #CH",VLOOKUP(J861,#REF!,5,0))</f>
        <v>#REF!</v>
      </c>
      <c r="O861" s="19" t="e">
        <f>IF(J861="","SEM #CH",VLOOKUP(J861,#REF!,6,0))</f>
        <v>#REF!</v>
      </c>
      <c r="P861" s="19" t="e">
        <f>IF(J861="","SEM #CH",VLOOKUP(J861,#REF!,7,0))</f>
        <v>#REF!</v>
      </c>
      <c r="Q861" s="77" t="str">
        <f>VLOOKUP(J861,'p1'!$B$2:$C$30,2,0)</f>
        <v>NÃO TEM CHAPA</v>
      </c>
      <c r="R861" s="91"/>
      <c r="S861" s="91"/>
      <c r="T861" s="91" t="str">
        <f t="shared" si="61"/>
        <v/>
      </c>
      <c r="U861" s="91"/>
      <c r="V861" s="91"/>
      <c r="W861" s="93"/>
      <c r="X861" s="94" t="str">
        <f t="shared" si="62"/>
        <v/>
      </c>
    </row>
    <row r="862" spans="1:25">
      <c r="A862" s="90">
        <v>861</v>
      </c>
      <c r="B862" s="68"/>
      <c r="C862" s="40"/>
      <c r="D862" s="40" t="str">
        <f t="shared" si="60"/>
        <v/>
      </c>
      <c r="E862" s="41" t="s">
        <v>1057</v>
      </c>
      <c r="F862" s="17" t="s">
        <v>58</v>
      </c>
      <c r="G862" s="17" t="s">
        <v>86</v>
      </c>
      <c r="H862" s="17">
        <v>117</v>
      </c>
      <c r="I862" s="17" t="str">
        <f t="shared" si="63"/>
        <v>PR_PN-117</v>
      </c>
      <c r="J862" s="18" t="s">
        <v>85</v>
      </c>
      <c r="K862" s="19" t="e">
        <f>IF(J862="","SEM #CH",VLOOKUP(J862,#REF!,2,0))</f>
        <v>#REF!</v>
      </c>
      <c r="L862" s="19" t="e">
        <f>IF(J862="","SEM #CH",VLOOKUP(J862,#REF!,3,0))</f>
        <v>#REF!</v>
      </c>
      <c r="M862" s="19" t="e">
        <f>IF(J862="","SEM #CH",VLOOKUP(J862,#REF!,4,0))</f>
        <v>#REF!</v>
      </c>
      <c r="N862" s="19" t="e">
        <f>IF(J862="","SEM #CH",VLOOKUP(J862,#REF!,5,0))</f>
        <v>#REF!</v>
      </c>
      <c r="O862" s="19" t="e">
        <f>IF(J862="","SEM #CH",VLOOKUP(J862,#REF!,6,0))</f>
        <v>#REF!</v>
      </c>
      <c r="P862" s="19" t="e">
        <f>IF(J862="","SEM #CH",VLOOKUP(J862,#REF!,7,0))</f>
        <v>#REF!</v>
      </c>
      <c r="Q862" s="77" t="str">
        <f>VLOOKUP(J862,'p1'!$B$2:$C$30,2,0)</f>
        <v>NÃO TEM CHAPA</v>
      </c>
      <c r="R862" s="91"/>
      <c r="S862" s="91"/>
      <c r="T862" s="91" t="str">
        <f t="shared" si="61"/>
        <v/>
      </c>
      <c r="U862" s="91"/>
      <c r="V862" s="91"/>
      <c r="W862" s="93"/>
      <c r="X862" s="94" t="str">
        <f t="shared" si="62"/>
        <v/>
      </c>
    </row>
    <row r="863" spans="1:25">
      <c r="A863" s="90">
        <v>862</v>
      </c>
      <c r="B863" s="68"/>
      <c r="C863" s="40"/>
      <c r="D863" s="40" t="str">
        <f t="shared" si="60"/>
        <v/>
      </c>
      <c r="E863" s="41" t="s">
        <v>1057</v>
      </c>
      <c r="F863" s="17" t="s">
        <v>58</v>
      </c>
      <c r="G863" s="17" t="s">
        <v>86</v>
      </c>
      <c r="H863" s="17">
        <v>118</v>
      </c>
      <c r="I863" s="17" t="str">
        <f t="shared" si="63"/>
        <v>PR_PN-118</v>
      </c>
      <c r="J863" s="18" t="s">
        <v>85</v>
      </c>
      <c r="K863" s="19" t="e">
        <f>IF(J863="","SEM #CH",VLOOKUP(J863,#REF!,2,0))</f>
        <v>#REF!</v>
      </c>
      <c r="L863" s="19" t="e">
        <f>IF(J863="","SEM #CH",VLOOKUP(J863,#REF!,3,0))</f>
        <v>#REF!</v>
      </c>
      <c r="M863" s="19" t="e">
        <f>IF(J863="","SEM #CH",VLOOKUP(J863,#REF!,4,0))</f>
        <v>#REF!</v>
      </c>
      <c r="N863" s="19" t="e">
        <f>IF(J863="","SEM #CH",VLOOKUP(J863,#REF!,5,0))</f>
        <v>#REF!</v>
      </c>
      <c r="O863" s="19" t="e">
        <f>IF(J863="","SEM #CH",VLOOKUP(J863,#REF!,6,0))</f>
        <v>#REF!</v>
      </c>
      <c r="P863" s="19" t="e">
        <f>IF(J863="","SEM #CH",VLOOKUP(J863,#REF!,7,0))</f>
        <v>#REF!</v>
      </c>
      <c r="Q863" s="77" t="str">
        <f>VLOOKUP(J863,'p1'!$B$2:$C$30,2,0)</f>
        <v>NÃO TEM CHAPA</v>
      </c>
      <c r="R863" s="91"/>
      <c r="S863" s="91"/>
      <c r="T863" s="91" t="str">
        <f t="shared" si="61"/>
        <v/>
      </c>
      <c r="U863" s="91"/>
      <c r="V863" s="91"/>
      <c r="W863" s="93"/>
      <c r="X863" s="94" t="str">
        <f t="shared" si="62"/>
        <v/>
      </c>
    </row>
    <row r="864" spans="1:25">
      <c r="A864" s="90">
        <v>863</v>
      </c>
      <c r="B864" s="68"/>
      <c r="C864" s="40"/>
      <c r="D864" s="40" t="str">
        <f t="shared" si="60"/>
        <v/>
      </c>
      <c r="E864" s="41" t="s">
        <v>1057</v>
      </c>
      <c r="F864" s="17" t="s">
        <v>124</v>
      </c>
      <c r="G864" s="17" t="s">
        <v>86</v>
      </c>
      <c r="H864" s="17">
        <v>119</v>
      </c>
      <c r="I864" s="17" t="str">
        <f t="shared" si="63"/>
        <v>PR_PNI-119</v>
      </c>
      <c r="J864" s="18" t="s">
        <v>124</v>
      </c>
      <c r="K864" s="19" t="e">
        <f>IF(J864="","SEM #CH",VLOOKUP(J864,#REF!,2,0))</f>
        <v>#REF!</v>
      </c>
      <c r="L864" s="19" t="e">
        <f>IF(J864="","SEM #CH",VLOOKUP(J864,#REF!,3,0))</f>
        <v>#REF!</v>
      </c>
      <c r="M864" s="19" t="e">
        <f>IF(J864="","SEM #CH",VLOOKUP(J864,#REF!,4,0))</f>
        <v>#REF!</v>
      </c>
      <c r="N864" s="19" t="e">
        <f>IF(J864="","SEM #CH",VLOOKUP(J864,#REF!,5,0))</f>
        <v>#REF!</v>
      </c>
      <c r="O864" s="19" t="e">
        <f>IF(J864="","SEM #CH",VLOOKUP(J864,#REF!,6,0))</f>
        <v>#REF!</v>
      </c>
      <c r="P864" s="19" t="e">
        <f>IF(J864="","SEM #CH",VLOOKUP(J864,#REF!,7,0))</f>
        <v>#REF!</v>
      </c>
      <c r="Q864" s="77" t="str">
        <f>VLOOKUP(J864,'p1'!$B$2:$C$30,2,0)</f>
        <v>02- 150X150 #3/8</v>
      </c>
      <c r="R864" s="91"/>
      <c r="S864" s="91"/>
      <c r="T864" s="91" t="str">
        <f t="shared" si="61"/>
        <v/>
      </c>
      <c r="U864" s="91"/>
      <c r="V864" s="91"/>
      <c r="W864" s="93"/>
      <c r="X864" s="94" t="str">
        <f t="shared" si="62"/>
        <v/>
      </c>
    </row>
    <row r="865" spans="1:25">
      <c r="A865" s="90">
        <v>864</v>
      </c>
      <c r="B865" s="68">
        <v>45835</v>
      </c>
      <c r="C865" s="40">
        <v>41</v>
      </c>
      <c r="D865" s="40">
        <f t="shared" si="60"/>
        <v>1</v>
      </c>
      <c r="E865" s="41" t="s">
        <v>1057</v>
      </c>
      <c r="F865" s="17" t="s">
        <v>61</v>
      </c>
      <c r="G865" s="17" t="s">
        <v>86</v>
      </c>
      <c r="H865" s="17">
        <v>120</v>
      </c>
      <c r="I865" s="17" t="str">
        <f t="shared" si="63"/>
        <v>PR_PF-120</v>
      </c>
      <c r="J865" s="18" t="s">
        <v>61</v>
      </c>
      <c r="K865" s="19" t="e">
        <f>IF(J865="","SEM #CH",VLOOKUP(J865,#REF!,2,0))</f>
        <v>#REF!</v>
      </c>
      <c r="L865" s="19" t="e">
        <f>IF(J865="","SEM #CH",VLOOKUP(J865,#REF!,3,0))</f>
        <v>#REF!</v>
      </c>
      <c r="M865" s="19" t="e">
        <f>IF(J865="","SEM #CH",VLOOKUP(J865,#REF!,4,0))</f>
        <v>#REF!</v>
      </c>
      <c r="N865" s="19" t="e">
        <f>IF(J865="","SEM #CH",VLOOKUP(J865,#REF!,5,0))</f>
        <v>#REF!</v>
      </c>
      <c r="O865" s="19" t="e">
        <f>IF(J865="","SEM #CH",VLOOKUP(J865,#REF!,6,0))</f>
        <v>#REF!</v>
      </c>
      <c r="P865" s="19" t="e">
        <f>IF(J865="","SEM #CH",VLOOKUP(J865,#REF!,7,0))</f>
        <v>#REF!</v>
      </c>
      <c r="Q865" s="77" t="str">
        <f>VLOOKUP(J865,'p1'!$B$2:$C$30,2,0)</f>
        <v>SEM CHAPA</v>
      </c>
      <c r="R865" s="91"/>
      <c r="S865" s="91" t="s">
        <v>221</v>
      </c>
      <c r="T865" s="91" t="str">
        <f t="shared" si="61"/>
        <v/>
      </c>
      <c r="U865" s="91"/>
      <c r="V865" s="91"/>
      <c r="W865" s="93"/>
      <c r="X865" s="94" t="str">
        <f t="shared" si="62"/>
        <v/>
      </c>
      <c r="Y865" s="13">
        <v>700</v>
      </c>
    </row>
    <row r="866" spans="1:25">
      <c r="A866" s="90">
        <v>865</v>
      </c>
      <c r="B866" s="68"/>
      <c r="C866" s="40"/>
      <c r="D866" s="40" t="str">
        <f t="shared" si="60"/>
        <v/>
      </c>
      <c r="E866" s="41" t="s">
        <v>1057</v>
      </c>
      <c r="F866" s="17" t="s">
        <v>58</v>
      </c>
      <c r="G866" s="17" t="s">
        <v>86</v>
      </c>
      <c r="H866" s="17">
        <v>121</v>
      </c>
      <c r="I866" s="17" t="str">
        <f t="shared" si="63"/>
        <v>PR_PN-121</v>
      </c>
      <c r="J866" s="18" t="s">
        <v>85</v>
      </c>
      <c r="K866" s="19" t="e">
        <f>IF(J866="","SEM #CH",VLOOKUP(J866,#REF!,2,0))</f>
        <v>#REF!</v>
      </c>
      <c r="L866" s="19" t="e">
        <f>IF(J866="","SEM #CH",VLOOKUP(J866,#REF!,3,0))</f>
        <v>#REF!</v>
      </c>
      <c r="M866" s="19" t="e">
        <f>IF(J866="","SEM #CH",VLOOKUP(J866,#REF!,4,0))</f>
        <v>#REF!</v>
      </c>
      <c r="N866" s="19" t="e">
        <f>IF(J866="","SEM #CH",VLOOKUP(J866,#REF!,5,0))</f>
        <v>#REF!</v>
      </c>
      <c r="O866" s="19" t="e">
        <f>IF(J866="","SEM #CH",VLOOKUP(J866,#REF!,6,0))</f>
        <v>#REF!</v>
      </c>
      <c r="P866" s="19" t="e">
        <f>IF(J866="","SEM #CH",VLOOKUP(J866,#REF!,7,0))</f>
        <v>#REF!</v>
      </c>
      <c r="Q866" s="77" t="str">
        <f>VLOOKUP(J866,'p1'!$B$2:$C$30,2,0)</f>
        <v>NÃO TEM CHAPA</v>
      </c>
      <c r="R866" s="91"/>
      <c r="S866" s="91"/>
      <c r="T866" s="91" t="str">
        <f t="shared" si="61"/>
        <v/>
      </c>
      <c r="U866" s="91"/>
      <c r="V866" s="91"/>
      <c r="W866" s="93"/>
      <c r="X866" s="94" t="str">
        <f t="shared" si="62"/>
        <v/>
      </c>
    </row>
    <row r="867" spans="1:25">
      <c r="A867" s="90">
        <v>866</v>
      </c>
      <c r="B867" s="68"/>
      <c r="C867" s="40"/>
      <c r="D867" s="40" t="str">
        <f t="shared" si="60"/>
        <v/>
      </c>
      <c r="E867" s="41" t="s">
        <v>1057</v>
      </c>
      <c r="F867" s="17" t="s">
        <v>58</v>
      </c>
      <c r="G867" s="17" t="s">
        <v>86</v>
      </c>
      <c r="H867" s="17">
        <v>122</v>
      </c>
      <c r="I867" s="17" t="str">
        <f t="shared" si="63"/>
        <v>PR_PN-122</v>
      </c>
      <c r="J867" s="18" t="s">
        <v>85</v>
      </c>
      <c r="K867" s="19" t="e">
        <f>IF(J867="","SEM #CH",VLOOKUP(J867,#REF!,2,0))</f>
        <v>#REF!</v>
      </c>
      <c r="L867" s="19" t="e">
        <f>IF(J867="","SEM #CH",VLOOKUP(J867,#REF!,3,0))</f>
        <v>#REF!</v>
      </c>
      <c r="M867" s="19" t="e">
        <f>IF(J867="","SEM #CH",VLOOKUP(J867,#REF!,4,0))</f>
        <v>#REF!</v>
      </c>
      <c r="N867" s="19" t="e">
        <f>IF(J867="","SEM #CH",VLOOKUP(J867,#REF!,5,0))</f>
        <v>#REF!</v>
      </c>
      <c r="O867" s="19" t="e">
        <f>IF(J867="","SEM #CH",VLOOKUP(J867,#REF!,6,0))</f>
        <v>#REF!</v>
      </c>
      <c r="P867" s="19" t="e">
        <f>IF(J867="","SEM #CH",VLOOKUP(J867,#REF!,7,0))</f>
        <v>#REF!</v>
      </c>
      <c r="Q867" s="77" t="str">
        <f>VLOOKUP(J867,'p1'!$B$2:$C$30,2,0)</f>
        <v>NÃO TEM CHAPA</v>
      </c>
      <c r="R867" s="91"/>
      <c r="S867" s="91"/>
      <c r="T867" s="91" t="str">
        <f t="shared" si="61"/>
        <v/>
      </c>
      <c r="U867" s="91"/>
      <c r="V867" s="91"/>
      <c r="W867" s="93"/>
      <c r="X867" s="94" t="str">
        <f t="shared" si="62"/>
        <v/>
      </c>
    </row>
    <row r="868" spans="1:25">
      <c r="A868" s="90">
        <v>867</v>
      </c>
      <c r="B868" s="68"/>
      <c r="C868" s="40"/>
      <c r="D868" s="40" t="str">
        <f t="shared" si="60"/>
        <v/>
      </c>
      <c r="E868" s="41" t="s">
        <v>1057</v>
      </c>
      <c r="F868" s="17" t="s">
        <v>58</v>
      </c>
      <c r="G868" s="17" t="s">
        <v>86</v>
      </c>
      <c r="H868" s="17">
        <v>123</v>
      </c>
      <c r="I868" s="17" t="str">
        <f t="shared" si="63"/>
        <v>PR_PN-123</v>
      </c>
      <c r="J868" s="18" t="s">
        <v>85</v>
      </c>
      <c r="K868" s="19" t="e">
        <f>IF(J868="","SEM #CH",VLOOKUP(J868,#REF!,2,0))</f>
        <v>#REF!</v>
      </c>
      <c r="L868" s="19" t="e">
        <f>IF(J868="","SEM #CH",VLOOKUP(J868,#REF!,3,0))</f>
        <v>#REF!</v>
      </c>
      <c r="M868" s="19" t="e">
        <f>IF(J868="","SEM #CH",VLOOKUP(J868,#REF!,4,0))</f>
        <v>#REF!</v>
      </c>
      <c r="N868" s="19" t="e">
        <f>IF(J868="","SEM #CH",VLOOKUP(J868,#REF!,5,0))</f>
        <v>#REF!</v>
      </c>
      <c r="O868" s="19" t="e">
        <f>IF(J868="","SEM #CH",VLOOKUP(J868,#REF!,6,0))</f>
        <v>#REF!</v>
      </c>
      <c r="P868" s="19" t="e">
        <f>IF(J868="","SEM #CH",VLOOKUP(J868,#REF!,7,0))</f>
        <v>#REF!</v>
      </c>
      <c r="Q868" s="77" t="str">
        <f>VLOOKUP(J868,'p1'!$B$2:$C$30,2,0)</f>
        <v>NÃO TEM CHAPA</v>
      </c>
      <c r="R868" s="91"/>
      <c r="S868" s="91"/>
      <c r="T868" s="91" t="str">
        <f t="shared" si="61"/>
        <v/>
      </c>
      <c r="U868" s="91"/>
      <c r="V868" s="91"/>
      <c r="W868" s="93"/>
      <c r="X868" s="94" t="str">
        <f t="shared" si="62"/>
        <v/>
      </c>
    </row>
    <row r="869" spans="1:25">
      <c r="A869" s="90">
        <v>868</v>
      </c>
      <c r="B869" s="68"/>
      <c r="C869" s="40"/>
      <c r="D869" s="40" t="str">
        <f t="shared" si="60"/>
        <v/>
      </c>
      <c r="E869" s="41" t="s">
        <v>1057</v>
      </c>
      <c r="F869" s="17" t="s">
        <v>58</v>
      </c>
      <c r="G869" s="17" t="s">
        <v>86</v>
      </c>
      <c r="H869" s="17">
        <v>124</v>
      </c>
      <c r="I869" s="17" t="str">
        <f t="shared" si="63"/>
        <v>PR_PN-124</v>
      </c>
      <c r="J869" s="18" t="s">
        <v>85</v>
      </c>
      <c r="K869" s="19" t="e">
        <f>IF(J869="","SEM #CH",VLOOKUP(J869,#REF!,2,0))</f>
        <v>#REF!</v>
      </c>
      <c r="L869" s="19" t="e">
        <f>IF(J869="","SEM #CH",VLOOKUP(J869,#REF!,3,0))</f>
        <v>#REF!</v>
      </c>
      <c r="M869" s="19" t="e">
        <f>IF(J869="","SEM #CH",VLOOKUP(J869,#REF!,4,0))</f>
        <v>#REF!</v>
      </c>
      <c r="N869" s="19" t="e">
        <f>IF(J869="","SEM #CH",VLOOKUP(J869,#REF!,5,0))</f>
        <v>#REF!</v>
      </c>
      <c r="O869" s="19" t="e">
        <f>IF(J869="","SEM #CH",VLOOKUP(J869,#REF!,6,0))</f>
        <v>#REF!</v>
      </c>
      <c r="P869" s="19" t="e">
        <f>IF(J869="","SEM #CH",VLOOKUP(J869,#REF!,7,0))</f>
        <v>#REF!</v>
      </c>
      <c r="Q869" s="77" t="str">
        <f>VLOOKUP(J869,'p1'!$B$2:$C$30,2,0)</f>
        <v>NÃO TEM CHAPA</v>
      </c>
      <c r="R869" s="91"/>
      <c r="S869" s="91"/>
      <c r="T869" s="91" t="str">
        <f t="shared" si="61"/>
        <v/>
      </c>
      <c r="U869" s="91"/>
      <c r="V869" s="91"/>
      <c r="W869" s="93"/>
      <c r="X869" s="94" t="str">
        <f t="shared" si="62"/>
        <v/>
      </c>
    </row>
    <row r="870" spans="1:25">
      <c r="A870" s="90">
        <v>869</v>
      </c>
      <c r="B870" s="68"/>
      <c r="C870" s="40"/>
      <c r="D870" s="40" t="str">
        <f t="shared" si="60"/>
        <v/>
      </c>
      <c r="E870" s="41" t="s">
        <v>1057</v>
      </c>
      <c r="F870" s="17" t="s">
        <v>124</v>
      </c>
      <c r="G870" s="17" t="s">
        <v>86</v>
      </c>
      <c r="H870" s="17">
        <v>125</v>
      </c>
      <c r="I870" s="17" t="str">
        <f t="shared" si="63"/>
        <v>PR_PNI-125</v>
      </c>
      <c r="J870" s="18" t="s">
        <v>124</v>
      </c>
      <c r="K870" s="19" t="e">
        <f>IF(J870="","SEM #CH",VLOOKUP(J870,#REF!,2,0))</f>
        <v>#REF!</v>
      </c>
      <c r="L870" s="19" t="e">
        <f>IF(J870="","SEM #CH",VLOOKUP(J870,#REF!,3,0))</f>
        <v>#REF!</v>
      </c>
      <c r="M870" s="19" t="e">
        <f>IF(J870="","SEM #CH",VLOOKUP(J870,#REF!,4,0))</f>
        <v>#REF!</v>
      </c>
      <c r="N870" s="19" t="e">
        <f>IF(J870="","SEM #CH",VLOOKUP(J870,#REF!,5,0))</f>
        <v>#REF!</v>
      </c>
      <c r="O870" s="19" t="e">
        <f>IF(J870="","SEM #CH",VLOOKUP(J870,#REF!,6,0))</f>
        <v>#REF!</v>
      </c>
      <c r="P870" s="19" t="e">
        <f>IF(J870="","SEM #CH",VLOOKUP(J870,#REF!,7,0))</f>
        <v>#REF!</v>
      </c>
      <c r="Q870" s="77" t="str">
        <f>VLOOKUP(J870,'p1'!$B$2:$C$30,2,0)</f>
        <v>02- 150X150 #3/8</v>
      </c>
      <c r="R870" s="91"/>
      <c r="S870" s="91"/>
      <c r="T870" s="91" t="str">
        <f t="shared" si="61"/>
        <v/>
      </c>
      <c r="U870" s="91"/>
      <c r="V870" s="91"/>
      <c r="W870" s="93"/>
      <c r="X870" s="94" t="str">
        <f t="shared" si="62"/>
        <v/>
      </c>
    </row>
    <row r="871" spans="1:25">
      <c r="A871" s="90">
        <v>870</v>
      </c>
      <c r="B871" s="68"/>
      <c r="C871" s="40"/>
      <c r="D871" s="40" t="str">
        <f t="shared" si="60"/>
        <v/>
      </c>
      <c r="E871" s="41" t="s">
        <v>1057</v>
      </c>
      <c r="F871" s="17" t="s">
        <v>58</v>
      </c>
      <c r="G871" s="17" t="s">
        <v>86</v>
      </c>
      <c r="H871" s="17">
        <v>126</v>
      </c>
      <c r="I871" s="17" t="str">
        <f t="shared" si="63"/>
        <v>PR_PN-126</v>
      </c>
      <c r="J871" s="18" t="s">
        <v>85</v>
      </c>
      <c r="K871" s="19" t="e">
        <f>IF(J871="","SEM #CH",VLOOKUP(J871,#REF!,2,0))</f>
        <v>#REF!</v>
      </c>
      <c r="L871" s="19" t="e">
        <f>IF(J871="","SEM #CH",VLOOKUP(J871,#REF!,3,0))</f>
        <v>#REF!</v>
      </c>
      <c r="M871" s="19" t="e">
        <f>IF(J871="","SEM #CH",VLOOKUP(J871,#REF!,4,0))</f>
        <v>#REF!</v>
      </c>
      <c r="N871" s="19" t="e">
        <f>IF(J871="","SEM #CH",VLOOKUP(J871,#REF!,5,0))</f>
        <v>#REF!</v>
      </c>
      <c r="O871" s="19" t="e">
        <f>IF(J871="","SEM #CH",VLOOKUP(J871,#REF!,6,0))</f>
        <v>#REF!</v>
      </c>
      <c r="P871" s="19" t="e">
        <f>IF(J871="","SEM #CH",VLOOKUP(J871,#REF!,7,0))</f>
        <v>#REF!</v>
      </c>
      <c r="Q871" s="77" t="str">
        <f>VLOOKUP(J871,'p1'!$B$2:$C$30,2,0)</f>
        <v>NÃO TEM CHAPA</v>
      </c>
      <c r="R871" s="91"/>
      <c r="S871" s="91"/>
      <c r="T871" s="91" t="str">
        <f t="shared" si="61"/>
        <v/>
      </c>
      <c r="U871" s="91"/>
      <c r="V871" s="91"/>
      <c r="W871" s="93"/>
      <c r="X871" s="94" t="str">
        <f t="shared" si="62"/>
        <v/>
      </c>
    </row>
    <row r="872" spans="1:25">
      <c r="A872" s="90">
        <v>871</v>
      </c>
      <c r="B872" s="68"/>
      <c r="C872" s="40"/>
      <c r="D872" s="40" t="str">
        <f t="shared" si="60"/>
        <v/>
      </c>
      <c r="E872" s="41" t="s">
        <v>1057</v>
      </c>
      <c r="F872" s="17" t="s">
        <v>58</v>
      </c>
      <c r="G872" s="17" t="s">
        <v>86</v>
      </c>
      <c r="H872" s="17">
        <v>127</v>
      </c>
      <c r="I872" s="17" t="str">
        <f t="shared" si="63"/>
        <v>PR_PN-127</v>
      </c>
      <c r="J872" s="18" t="s">
        <v>85</v>
      </c>
      <c r="K872" s="19" t="e">
        <f>IF(J872="","SEM #CH",VLOOKUP(J872,#REF!,2,0))</f>
        <v>#REF!</v>
      </c>
      <c r="L872" s="19" t="e">
        <f>IF(J872="","SEM #CH",VLOOKUP(J872,#REF!,3,0))</f>
        <v>#REF!</v>
      </c>
      <c r="M872" s="19" t="e">
        <f>IF(J872="","SEM #CH",VLOOKUP(J872,#REF!,4,0))</f>
        <v>#REF!</v>
      </c>
      <c r="N872" s="19" t="e">
        <f>IF(J872="","SEM #CH",VLOOKUP(J872,#REF!,5,0))</f>
        <v>#REF!</v>
      </c>
      <c r="O872" s="19" t="e">
        <f>IF(J872="","SEM #CH",VLOOKUP(J872,#REF!,6,0))</f>
        <v>#REF!</v>
      </c>
      <c r="P872" s="19" t="e">
        <f>IF(J872="","SEM #CH",VLOOKUP(J872,#REF!,7,0))</f>
        <v>#REF!</v>
      </c>
      <c r="Q872" s="77" t="str">
        <f>VLOOKUP(J872,'p1'!$B$2:$C$30,2,0)</f>
        <v>NÃO TEM CHAPA</v>
      </c>
      <c r="R872" s="91"/>
      <c r="S872" s="91"/>
      <c r="T872" s="91" t="str">
        <f t="shared" si="61"/>
        <v/>
      </c>
      <c r="U872" s="91"/>
      <c r="V872" s="91"/>
      <c r="W872" s="93"/>
      <c r="X872" s="94" t="str">
        <f t="shared" si="62"/>
        <v/>
      </c>
    </row>
    <row r="873" spans="1:25">
      <c r="A873" s="90">
        <v>872</v>
      </c>
      <c r="B873" s="68"/>
      <c r="C873" s="40"/>
      <c r="D873" s="40" t="str">
        <f t="shared" si="60"/>
        <v/>
      </c>
      <c r="E873" s="41" t="s">
        <v>1057</v>
      </c>
      <c r="F873" s="17" t="s">
        <v>58</v>
      </c>
      <c r="G873" s="17" t="s">
        <v>86</v>
      </c>
      <c r="H873" s="17">
        <v>128</v>
      </c>
      <c r="I873" s="17" t="str">
        <f t="shared" si="63"/>
        <v>PR_PN-128</v>
      </c>
      <c r="J873" s="18" t="s">
        <v>85</v>
      </c>
      <c r="K873" s="19" t="e">
        <f>IF(J873="","SEM #CH",VLOOKUP(J873,#REF!,2,0))</f>
        <v>#REF!</v>
      </c>
      <c r="L873" s="19" t="e">
        <f>IF(J873="","SEM #CH",VLOOKUP(J873,#REF!,3,0))</f>
        <v>#REF!</v>
      </c>
      <c r="M873" s="19" t="e">
        <f>IF(J873="","SEM #CH",VLOOKUP(J873,#REF!,4,0))</f>
        <v>#REF!</v>
      </c>
      <c r="N873" s="19" t="e">
        <f>IF(J873="","SEM #CH",VLOOKUP(J873,#REF!,5,0))</f>
        <v>#REF!</v>
      </c>
      <c r="O873" s="19" t="e">
        <f>IF(J873="","SEM #CH",VLOOKUP(J873,#REF!,6,0))</f>
        <v>#REF!</v>
      </c>
      <c r="P873" s="19" t="e">
        <f>IF(J873="","SEM #CH",VLOOKUP(J873,#REF!,7,0))</f>
        <v>#REF!</v>
      </c>
      <c r="Q873" s="77" t="str">
        <f>VLOOKUP(J873,'p1'!$B$2:$C$30,2,0)</f>
        <v>NÃO TEM CHAPA</v>
      </c>
      <c r="R873" s="91"/>
      <c r="S873" s="91"/>
      <c r="T873" s="91" t="str">
        <f t="shared" si="61"/>
        <v/>
      </c>
      <c r="U873" s="91"/>
      <c r="V873" s="91"/>
      <c r="W873" s="93"/>
      <c r="X873" s="94" t="str">
        <f t="shared" si="62"/>
        <v/>
      </c>
    </row>
    <row r="874" spans="1:25">
      <c r="A874" s="90">
        <v>873</v>
      </c>
      <c r="B874" s="68"/>
      <c r="C874" s="40"/>
      <c r="D874" s="40" t="str">
        <f t="shared" si="60"/>
        <v/>
      </c>
      <c r="E874" s="41" t="s">
        <v>1057</v>
      </c>
      <c r="F874" s="17" t="s">
        <v>58</v>
      </c>
      <c r="G874" s="17" t="s">
        <v>86</v>
      </c>
      <c r="H874" s="17">
        <v>129</v>
      </c>
      <c r="I874" s="17" t="str">
        <f t="shared" ref="I874:I893" si="64">_xlfn.CONCAT("PR_",F874,G874,H874)</f>
        <v>PR_PN-129</v>
      </c>
      <c r="J874" s="18" t="s">
        <v>85</v>
      </c>
      <c r="K874" s="19" t="e">
        <f>IF(J874="","SEM #CH",VLOOKUP(J874,#REF!,2,0))</f>
        <v>#REF!</v>
      </c>
      <c r="L874" s="19" t="e">
        <f>IF(J874="","SEM #CH",VLOOKUP(J874,#REF!,3,0))</f>
        <v>#REF!</v>
      </c>
      <c r="M874" s="19" t="e">
        <f>IF(J874="","SEM #CH",VLOOKUP(J874,#REF!,4,0))</f>
        <v>#REF!</v>
      </c>
      <c r="N874" s="19" t="e">
        <f>IF(J874="","SEM #CH",VLOOKUP(J874,#REF!,5,0))</f>
        <v>#REF!</v>
      </c>
      <c r="O874" s="19" t="e">
        <f>IF(J874="","SEM #CH",VLOOKUP(J874,#REF!,6,0))</f>
        <v>#REF!</v>
      </c>
      <c r="P874" s="19" t="e">
        <f>IF(J874="","SEM #CH",VLOOKUP(J874,#REF!,7,0))</f>
        <v>#REF!</v>
      </c>
      <c r="Q874" s="77" t="str">
        <f>VLOOKUP(J874,'p1'!$B$2:$C$30,2,0)</f>
        <v>NÃO TEM CHAPA</v>
      </c>
      <c r="R874" s="91"/>
      <c r="S874" s="91"/>
      <c r="T874" s="91" t="str">
        <f t="shared" si="61"/>
        <v/>
      </c>
      <c r="U874" s="91"/>
      <c r="V874" s="91"/>
      <c r="W874" s="93"/>
      <c r="X874" s="94" t="str">
        <f t="shared" si="62"/>
        <v/>
      </c>
    </row>
    <row r="875" spans="1:25">
      <c r="A875" s="90">
        <v>874</v>
      </c>
      <c r="B875" s="68"/>
      <c r="C875" s="40"/>
      <c r="D875" s="40" t="str">
        <f t="shared" si="60"/>
        <v/>
      </c>
      <c r="E875" s="41" t="s">
        <v>1057</v>
      </c>
      <c r="F875" s="17" t="s">
        <v>58</v>
      </c>
      <c r="G875" s="17" t="s">
        <v>86</v>
      </c>
      <c r="H875" s="17">
        <v>130</v>
      </c>
      <c r="I875" s="17" t="str">
        <f t="shared" si="64"/>
        <v>PR_PN-130</v>
      </c>
      <c r="J875" s="18" t="s">
        <v>85</v>
      </c>
      <c r="K875" s="19" t="e">
        <f>IF(J875="","SEM #CH",VLOOKUP(J875,#REF!,2,0))</f>
        <v>#REF!</v>
      </c>
      <c r="L875" s="19" t="e">
        <f>IF(J875="","SEM #CH",VLOOKUP(J875,#REF!,3,0))</f>
        <v>#REF!</v>
      </c>
      <c r="M875" s="19" t="e">
        <f>IF(J875="","SEM #CH",VLOOKUP(J875,#REF!,4,0))</f>
        <v>#REF!</v>
      </c>
      <c r="N875" s="19" t="e">
        <f>IF(J875="","SEM #CH",VLOOKUP(J875,#REF!,5,0))</f>
        <v>#REF!</v>
      </c>
      <c r="O875" s="19" t="e">
        <f>IF(J875="","SEM #CH",VLOOKUP(J875,#REF!,6,0))</f>
        <v>#REF!</v>
      </c>
      <c r="P875" s="19" t="e">
        <f>IF(J875="","SEM #CH",VLOOKUP(J875,#REF!,7,0))</f>
        <v>#REF!</v>
      </c>
      <c r="Q875" s="77" t="str">
        <f>VLOOKUP(J875,'p1'!$B$2:$C$30,2,0)</f>
        <v>NÃO TEM CHAPA</v>
      </c>
      <c r="R875" s="91"/>
      <c r="S875" s="91"/>
      <c r="T875" s="91" t="str">
        <f t="shared" si="61"/>
        <v/>
      </c>
      <c r="U875" s="91"/>
      <c r="V875" s="91"/>
      <c r="W875" s="93"/>
      <c r="X875" s="94" t="str">
        <f t="shared" si="62"/>
        <v/>
      </c>
    </row>
    <row r="876" spans="1:25">
      <c r="A876" s="90">
        <v>875</v>
      </c>
      <c r="B876" s="68"/>
      <c r="C876" s="40"/>
      <c r="D876" s="40" t="str">
        <f t="shared" si="60"/>
        <v/>
      </c>
      <c r="E876" s="41" t="s">
        <v>1057</v>
      </c>
      <c r="F876" s="17" t="s">
        <v>124</v>
      </c>
      <c r="G876" s="17" t="s">
        <v>86</v>
      </c>
      <c r="H876" s="17">
        <v>131</v>
      </c>
      <c r="I876" s="17" t="str">
        <f t="shared" si="64"/>
        <v>PR_PNI-131</v>
      </c>
      <c r="J876" s="18" t="s">
        <v>124</v>
      </c>
      <c r="K876" s="19" t="e">
        <f>IF(J876="","SEM #CH",VLOOKUP(J876,#REF!,2,0))</f>
        <v>#REF!</v>
      </c>
      <c r="L876" s="19" t="e">
        <f>IF(J876="","SEM #CH",VLOOKUP(J876,#REF!,3,0))</f>
        <v>#REF!</v>
      </c>
      <c r="M876" s="19" t="e">
        <f>IF(J876="","SEM #CH",VLOOKUP(J876,#REF!,4,0))</f>
        <v>#REF!</v>
      </c>
      <c r="N876" s="19" t="e">
        <f>IF(J876="","SEM #CH",VLOOKUP(J876,#REF!,5,0))</f>
        <v>#REF!</v>
      </c>
      <c r="O876" s="19" t="e">
        <f>IF(J876="","SEM #CH",VLOOKUP(J876,#REF!,6,0))</f>
        <v>#REF!</v>
      </c>
      <c r="P876" s="19" t="e">
        <f>IF(J876="","SEM #CH",VLOOKUP(J876,#REF!,7,0))</f>
        <v>#REF!</v>
      </c>
      <c r="Q876" s="77" t="str">
        <f>VLOOKUP(J876,'p1'!$B$2:$C$30,2,0)</f>
        <v>02- 150X150 #3/8</v>
      </c>
      <c r="R876" s="91"/>
      <c r="S876" s="91"/>
      <c r="T876" s="91" t="str">
        <f t="shared" si="61"/>
        <v/>
      </c>
      <c r="U876" s="91"/>
      <c r="V876" s="91"/>
      <c r="W876" s="93"/>
      <c r="X876" s="94" t="str">
        <f t="shared" si="62"/>
        <v/>
      </c>
    </row>
    <row r="877" spans="1:25">
      <c r="A877" s="90">
        <v>876</v>
      </c>
      <c r="B877" s="68"/>
      <c r="C877" s="40"/>
      <c r="D877" s="40" t="str">
        <f t="shared" si="60"/>
        <v/>
      </c>
      <c r="E877" s="41" t="s">
        <v>1057</v>
      </c>
      <c r="F877" s="17" t="s">
        <v>58</v>
      </c>
      <c r="G877" s="17" t="s">
        <v>86</v>
      </c>
      <c r="H877" s="17">
        <v>132</v>
      </c>
      <c r="I877" s="17" t="str">
        <f t="shared" si="64"/>
        <v>PR_PN-132</v>
      </c>
      <c r="J877" s="18" t="s">
        <v>85</v>
      </c>
      <c r="K877" s="19" t="e">
        <f>IF(J877="","SEM #CH",VLOOKUP(J877,#REF!,2,0))</f>
        <v>#REF!</v>
      </c>
      <c r="L877" s="19" t="e">
        <f>IF(J877="","SEM #CH",VLOOKUP(J877,#REF!,3,0))</f>
        <v>#REF!</v>
      </c>
      <c r="M877" s="19" t="e">
        <f>IF(J877="","SEM #CH",VLOOKUP(J877,#REF!,4,0))</f>
        <v>#REF!</v>
      </c>
      <c r="N877" s="19" t="e">
        <f>IF(J877="","SEM #CH",VLOOKUP(J877,#REF!,5,0))</f>
        <v>#REF!</v>
      </c>
      <c r="O877" s="19" t="e">
        <f>IF(J877="","SEM #CH",VLOOKUP(J877,#REF!,6,0))</f>
        <v>#REF!</v>
      </c>
      <c r="P877" s="19" t="e">
        <f>IF(J877="","SEM #CH",VLOOKUP(J877,#REF!,7,0))</f>
        <v>#REF!</v>
      </c>
      <c r="Q877" s="77" t="str">
        <f>VLOOKUP(J877,'p1'!$B$2:$C$30,2,0)</f>
        <v>NÃO TEM CHAPA</v>
      </c>
      <c r="R877" s="91"/>
      <c r="S877" s="91"/>
      <c r="T877" s="91" t="str">
        <f t="shared" si="61"/>
        <v/>
      </c>
      <c r="U877" s="91"/>
      <c r="V877" s="91"/>
      <c r="W877" s="93"/>
      <c r="X877" s="94" t="str">
        <f t="shared" si="62"/>
        <v/>
      </c>
    </row>
    <row r="878" spans="1:25">
      <c r="A878" s="90">
        <v>877</v>
      </c>
      <c r="B878" s="68"/>
      <c r="C878" s="40"/>
      <c r="D878" s="40" t="str">
        <f t="shared" si="60"/>
        <v/>
      </c>
      <c r="E878" s="41" t="s">
        <v>1057</v>
      </c>
      <c r="F878" s="17" t="s">
        <v>58</v>
      </c>
      <c r="G878" s="17" t="s">
        <v>86</v>
      </c>
      <c r="H878" s="17">
        <v>133</v>
      </c>
      <c r="I878" s="17" t="str">
        <f t="shared" si="64"/>
        <v>PR_PN-133</v>
      </c>
      <c r="J878" s="18" t="s">
        <v>85</v>
      </c>
      <c r="K878" s="19" t="e">
        <f>IF(J878="","SEM #CH",VLOOKUP(J878,#REF!,2,0))</f>
        <v>#REF!</v>
      </c>
      <c r="L878" s="19" t="e">
        <f>IF(J878="","SEM #CH",VLOOKUP(J878,#REF!,3,0))</f>
        <v>#REF!</v>
      </c>
      <c r="M878" s="19" t="e">
        <f>IF(J878="","SEM #CH",VLOOKUP(J878,#REF!,4,0))</f>
        <v>#REF!</v>
      </c>
      <c r="N878" s="19" t="e">
        <f>IF(J878="","SEM #CH",VLOOKUP(J878,#REF!,5,0))</f>
        <v>#REF!</v>
      </c>
      <c r="O878" s="19" t="e">
        <f>IF(J878="","SEM #CH",VLOOKUP(J878,#REF!,6,0))</f>
        <v>#REF!</v>
      </c>
      <c r="P878" s="19" t="e">
        <f>IF(J878="","SEM #CH",VLOOKUP(J878,#REF!,7,0))</f>
        <v>#REF!</v>
      </c>
      <c r="Q878" s="77" t="str">
        <f>VLOOKUP(J878,'p1'!$B$2:$C$30,2,0)</f>
        <v>NÃO TEM CHAPA</v>
      </c>
      <c r="R878" s="91"/>
      <c r="S878" s="91"/>
      <c r="T878" s="91" t="str">
        <f t="shared" si="61"/>
        <v/>
      </c>
      <c r="U878" s="91"/>
      <c r="V878" s="91"/>
      <c r="W878" s="93"/>
      <c r="X878" s="94" t="str">
        <f t="shared" si="62"/>
        <v/>
      </c>
    </row>
    <row r="879" spans="1:25">
      <c r="A879" s="90">
        <v>878</v>
      </c>
      <c r="B879" s="68"/>
      <c r="C879" s="40"/>
      <c r="D879" s="40" t="str">
        <f t="shared" si="60"/>
        <v/>
      </c>
      <c r="E879" s="41" t="s">
        <v>1057</v>
      </c>
      <c r="F879" s="17" t="s">
        <v>58</v>
      </c>
      <c r="G879" s="17" t="s">
        <v>86</v>
      </c>
      <c r="H879" s="17">
        <v>134</v>
      </c>
      <c r="I879" s="17" t="str">
        <f t="shared" si="64"/>
        <v>PR_PN-134</v>
      </c>
      <c r="J879" s="18" t="s">
        <v>85</v>
      </c>
      <c r="K879" s="19" t="e">
        <f>IF(J879="","SEM #CH",VLOOKUP(J879,#REF!,2,0))</f>
        <v>#REF!</v>
      </c>
      <c r="L879" s="19" t="e">
        <f>IF(J879="","SEM #CH",VLOOKUP(J879,#REF!,3,0))</f>
        <v>#REF!</v>
      </c>
      <c r="M879" s="19" t="e">
        <f>IF(J879="","SEM #CH",VLOOKUP(J879,#REF!,4,0))</f>
        <v>#REF!</v>
      </c>
      <c r="N879" s="19" t="e">
        <f>IF(J879="","SEM #CH",VLOOKUP(J879,#REF!,5,0))</f>
        <v>#REF!</v>
      </c>
      <c r="O879" s="19" t="e">
        <f>IF(J879="","SEM #CH",VLOOKUP(J879,#REF!,6,0))</f>
        <v>#REF!</v>
      </c>
      <c r="P879" s="19" t="e">
        <f>IF(J879="","SEM #CH",VLOOKUP(J879,#REF!,7,0))</f>
        <v>#REF!</v>
      </c>
      <c r="Q879" s="77" t="str">
        <f>VLOOKUP(J879,'p1'!$B$2:$C$30,2,0)</f>
        <v>NÃO TEM CHAPA</v>
      </c>
      <c r="R879" s="91"/>
      <c r="S879" s="91"/>
      <c r="T879" s="91" t="str">
        <f t="shared" si="61"/>
        <v/>
      </c>
      <c r="U879" s="91"/>
      <c r="V879" s="91"/>
      <c r="W879" s="93"/>
      <c r="X879" s="94" t="str">
        <f t="shared" si="62"/>
        <v/>
      </c>
    </row>
    <row r="880" spans="1:25">
      <c r="A880" s="90">
        <v>879</v>
      </c>
      <c r="B880" s="68"/>
      <c r="C880" s="40"/>
      <c r="D880" s="40" t="str">
        <f t="shared" si="60"/>
        <v/>
      </c>
      <c r="E880" s="41" t="s">
        <v>1057</v>
      </c>
      <c r="F880" s="17" t="s">
        <v>58</v>
      </c>
      <c r="G880" s="17" t="s">
        <v>86</v>
      </c>
      <c r="H880" s="17">
        <v>135</v>
      </c>
      <c r="I880" s="17" t="str">
        <f t="shared" si="64"/>
        <v>PR_PN-135</v>
      </c>
      <c r="J880" s="18" t="s">
        <v>85</v>
      </c>
      <c r="K880" s="19" t="e">
        <f>IF(J880="","SEM #CH",VLOOKUP(J880,#REF!,2,0))</f>
        <v>#REF!</v>
      </c>
      <c r="L880" s="19" t="e">
        <f>IF(J880="","SEM #CH",VLOOKUP(J880,#REF!,3,0))</f>
        <v>#REF!</v>
      </c>
      <c r="M880" s="19" t="e">
        <f>IF(J880="","SEM #CH",VLOOKUP(J880,#REF!,4,0))</f>
        <v>#REF!</v>
      </c>
      <c r="N880" s="19" t="e">
        <f>IF(J880="","SEM #CH",VLOOKUP(J880,#REF!,5,0))</f>
        <v>#REF!</v>
      </c>
      <c r="O880" s="19" t="e">
        <f>IF(J880="","SEM #CH",VLOOKUP(J880,#REF!,6,0))</f>
        <v>#REF!</v>
      </c>
      <c r="P880" s="19" t="e">
        <f>IF(J880="","SEM #CH",VLOOKUP(J880,#REF!,7,0))</f>
        <v>#REF!</v>
      </c>
      <c r="Q880" s="77" t="str">
        <f>VLOOKUP(J880,'p1'!$B$2:$C$30,2,0)</f>
        <v>NÃO TEM CHAPA</v>
      </c>
      <c r="R880" s="91"/>
      <c r="S880" s="91"/>
      <c r="T880" s="91" t="str">
        <f t="shared" si="61"/>
        <v/>
      </c>
      <c r="U880" s="91"/>
      <c r="V880" s="91"/>
      <c r="W880" s="93"/>
      <c r="X880" s="94" t="str">
        <f t="shared" si="62"/>
        <v/>
      </c>
    </row>
    <row r="881" spans="1:25">
      <c r="A881" s="90">
        <v>880</v>
      </c>
      <c r="B881" s="68"/>
      <c r="C881" s="40"/>
      <c r="D881" s="40" t="str">
        <f t="shared" si="60"/>
        <v/>
      </c>
      <c r="E881" s="41" t="s">
        <v>1057</v>
      </c>
      <c r="F881" s="17" t="s">
        <v>58</v>
      </c>
      <c r="G881" s="17" t="s">
        <v>86</v>
      </c>
      <c r="H881" s="17">
        <v>136</v>
      </c>
      <c r="I881" s="17" t="str">
        <f t="shared" si="64"/>
        <v>PR_PN-136</v>
      </c>
      <c r="J881" s="18" t="s">
        <v>85</v>
      </c>
      <c r="K881" s="19" t="e">
        <f>IF(J881="","SEM #CH",VLOOKUP(J881,#REF!,2,0))</f>
        <v>#REF!</v>
      </c>
      <c r="L881" s="19" t="e">
        <f>IF(J881="","SEM #CH",VLOOKUP(J881,#REF!,3,0))</f>
        <v>#REF!</v>
      </c>
      <c r="M881" s="19" t="e">
        <f>IF(J881="","SEM #CH",VLOOKUP(J881,#REF!,4,0))</f>
        <v>#REF!</v>
      </c>
      <c r="N881" s="19" t="e">
        <f>IF(J881="","SEM #CH",VLOOKUP(J881,#REF!,5,0))</f>
        <v>#REF!</v>
      </c>
      <c r="O881" s="19" t="e">
        <f>IF(J881="","SEM #CH",VLOOKUP(J881,#REF!,6,0))</f>
        <v>#REF!</v>
      </c>
      <c r="P881" s="19" t="e">
        <f>IF(J881="","SEM #CH",VLOOKUP(J881,#REF!,7,0))</f>
        <v>#REF!</v>
      </c>
      <c r="Q881" s="77" t="str">
        <f>VLOOKUP(J881,'p1'!$B$2:$C$30,2,0)</f>
        <v>NÃO TEM CHAPA</v>
      </c>
      <c r="R881" s="91"/>
      <c r="S881" s="91"/>
      <c r="T881" s="91" t="str">
        <f t="shared" si="61"/>
        <v/>
      </c>
      <c r="U881" s="91"/>
      <c r="V881" s="91"/>
      <c r="W881" s="93"/>
      <c r="X881" s="94" t="str">
        <f t="shared" si="62"/>
        <v/>
      </c>
    </row>
    <row r="882" spans="1:25">
      <c r="A882" s="90">
        <v>881</v>
      </c>
      <c r="B882" s="68"/>
      <c r="C882" s="40"/>
      <c r="D882" s="40" t="str">
        <f t="shared" si="60"/>
        <v/>
      </c>
      <c r="E882" s="41" t="s">
        <v>1057</v>
      </c>
      <c r="F882" s="17" t="s">
        <v>124</v>
      </c>
      <c r="G882" s="17" t="s">
        <v>86</v>
      </c>
      <c r="H882" s="17">
        <v>137</v>
      </c>
      <c r="I882" s="17" t="str">
        <f t="shared" si="64"/>
        <v>PR_PNI-137</v>
      </c>
      <c r="J882" s="18" t="s">
        <v>124</v>
      </c>
      <c r="K882" s="19" t="e">
        <f>IF(J882="","SEM #CH",VLOOKUP(J882,#REF!,2,0))</f>
        <v>#REF!</v>
      </c>
      <c r="L882" s="19" t="e">
        <f>IF(J882="","SEM #CH",VLOOKUP(J882,#REF!,3,0))</f>
        <v>#REF!</v>
      </c>
      <c r="M882" s="19" t="e">
        <f>IF(J882="","SEM #CH",VLOOKUP(J882,#REF!,4,0))</f>
        <v>#REF!</v>
      </c>
      <c r="N882" s="19" t="e">
        <f>IF(J882="","SEM #CH",VLOOKUP(J882,#REF!,5,0))</f>
        <v>#REF!</v>
      </c>
      <c r="O882" s="19" t="e">
        <f>IF(J882="","SEM #CH",VLOOKUP(J882,#REF!,6,0))</f>
        <v>#REF!</v>
      </c>
      <c r="P882" s="19" t="e">
        <f>IF(J882="","SEM #CH",VLOOKUP(J882,#REF!,7,0))</f>
        <v>#REF!</v>
      </c>
      <c r="Q882" s="77" t="str">
        <f>VLOOKUP(J882,'p1'!$B$2:$C$30,2,0)</f>
        <v>02- 150X150 #3/8</v>
      </c>
      <c r="R882" s="91"/>
      <c r="S882" s="91"/>
      <c r="T882" s="91" t="str">
        <f t="shared" si="61"/>
        <v/>
      </c>
      <c r="U882" s="91"/>
      <c r="V882" s="91"/>
      <c r="W882" s="93"/>
      <c r="X882" s="94" t="str">
        <f t="shared" si="62"/>
        <v/>
      </c>
    </row>
    <row r="883" spans="1:25">
      <c r="A883" s="90">
        <v>882</v>
      </c>
      <c r="B883" s="68"/>
      <c r="C883" s="40"/>
      <c r="D883" s="40" t="str">
        <f t="shared" si="60"/>
        <v/>
      </c>
      <c r="E883" s="41" t="s">
        <v>1057</v>
      </c>
      <c r="F883" s="17" t="s">
        <v>58</v>
      </c>
      <c r="G883" s="17" t="s">
        <v>86</v>
      </c>
      <c r="H883" s="17">
        <v>138</v>
      </c>
      <c r="I883" s="17" t="str">
        <f t="shared" si="64"/>
        <v>PR_PN-138</v>
      </c>
      <c r="J883" s="18" t="s">
        <v>85</v>
      </c>
      <c r="K883" s="19" t="e">
        <f>IF(J883="","SEM #CH",VLOOKUP(J883,#REF!,2,0))</f>
        <v>#REF!</v>
      </c>
      <c r="L883" s="19" t="e">
        <f>IF(J883="","SEM #CH",VLOOKUP(J883,#REF!,3,0))</f>
        <v>#REF!</v>
      </c>
      <c r="M883" s="19" t="e">
        <f>IF(J883="","SEM #CH",VLOOKUP(J883,#REF!,4,0))</f>
        <v>#REF!</v>
      </c>
      <c r="N883" s="19" t="e">
        <f>IF(J883="","SEM #CH",VLOOKUP(J883,#REF!,5,0))</f>
        <v>#REF!</v>
      </c>
      <c r="O883" s="19" t="e">
        <f>IF(J883="","SEM #CH",VLOOKUP(J883,#REF!,6,0))</f>
        <v>#REF!</v>
      </c>
      <c r="P883" s="19" t="e">
        <f>IF(J883="","SEM #CH",VLOOKUP(J883,#REF!,7,0))</f>
        <v>#REF!</v>
      </c>
      <c r="Q883" s="77" t="str">
        <f>VLOOKUP(J883,'p1'!$B$2:$C$30,2,0)</f>
        <v>NÃO TEM CHAPA</v>
      </c>
      <c r="R883" s="91"/>
      <c r="S883" s="91"/>
      <c r="T883" s="91" t="str">
        <f t="shared" si="61"/>
        <v/>
      </c>
      <c r="U883" s="91"/>
      <c r="V883" s="91"/>
      <c r="W883" s="93"/>
      <c r="X883" s="94" t="str">
        <f t="shared" si="62"/>
        <v/>
      </c>
    </row>
    <row r="884" spans="1:25">
      <c r="A884" s="90">
        <v>883</v>
      </c>
      <c r="B884" s="68"/>
      <c r="C884" s="40"/>
      <c r="D884" s="40" t="str">
        <f t="shared" si="60"/>
        <v/>
      </c>
      <c r="E884" s="41" t="s">
        <v>1057</v>
      </c>
      <c r="F884" s="17" t="s">
        <v>58</v>
      </c>
      <c r="G884" s="17" t="s">
        <v>86</v>
      </c>
      <c r="H884" s="17">
        <v>139</v>
      </c>
      <c r="I884" s="17" t="str">
        <f t="shared" si="64"/>
        <v>PR_PN-139</v>
      </c>
      <c r="J884" s="18" t="s">
        <v>85</v>
      </c>
      <c r="K884" s="19" t="e">
        <f>IF(J884="","SEM #CH",VLOOKUP(J884,#REF!,2,0))</f>
        <v>#REF!</v>
      </c>
      <c r="L884" s="19" t="e">
        <f>IF(J884="","SEM #CH",VLOOKUP(J884,#REF!,3,0))</f>
        <v>#REF!</v>
      </c>
      <c r="M884" s="19" t="e">
        <f>IF(J884="","SEM #CH",VLOOKUP(J884,#REF!,4,0))</f>
        <v>#REF!</v>
      </c>
      <c r="N884" s="19" t="e">
        <f>IF(J884="","SEM #CH",VLOOKUP(J884,#REF!,5,0))</f>
        <v>#REF!</v>
      </c>
      <c r="O884" s="19" t="e">
        <f>IF(J884="","SEM #CH",VLOOKUP(J884,#REF!,6,0))</f>
        <v>#REF!</v>
      </c>
      <c r="P884" s="19" t="e">
        <f>IF(J884="","SEM #CH",VLOOKUP(J884,#REF!,7,0))</f>
        <v>#REF!</v>
      </c>
      <c r="Q884" s="77" t="str">
        <f>VLOOKUP(J884,'p1'!$B$2:$C$30,2,0)</f>
        <v>NÃO TEM CHAPA</v>
      </c>
      <c r="R884" s="91"/>
      <c r="S884" s="91"/>
      <c r="T884" s="91" t="str">
        <f t="shared" si="61"/>
        <v/>
      </c>
      <c r="U884" s="91"/>
      <c r="V884" s="91"/>
      <c r="W884" s="93"/>
      <c r="X884" s="94" t="str">
        <f t="shared" si="62"/>
        <v/>
      </c>
    </row>
    <row r="885" spans="1:25">
      <c r="A885" s="90">
        <v>884</v>
      </c>
      <c r="B885" s="68"/>
      <c r="C885" s="40"/>
      <c r="D885" s="40" t="str">
        <f t="shared" si="60"/>
        <v/>
      </c>
      <c r="E885" s="41" t="s">
        <v>1057</v>
      </c>
      <c r="F885" s="17" t="s">
        <v>58</v>
      </c>
      <c r="G885" s="17" t="s">
        <v>86</v>
      </c>
      <c r="H885" s="17">
        <v>140</v>
      </c>
      <c r="I885" s="17" t="str">
        <f t="shared" si="64"/>
        <v>PR_PN-140</v>
      </c>
      <c r="J885" s="18" t="s">
        <v>85</v>
      </c>
      <c r="K885" s="19" t="e">
        <f>IF(J885="","SEM #CH",VLOOKUP(J885,#REF!,2,0))</f>
        <v>#REF!</v>
      </c>
      <c r="L885" s="19" t="e">
        <f>IF(J885="","SEM #CH",VLOOKUP(J885,#REF!,3,0))</f>
        <v>#REF!</v>
      </c>
      <c r="M885" s="19" t="e">
        <f>IF(J885="","SEM #CH",VLOOKUP(J885,#REF!,4,0))</f>
        <v>#REF!</v>
      </c>
      <c r="N885" s="19" t="e">
        <f>IF(J885="","SEM #CH",VLOOKUP(J885,#REF!,5,0))</f>
        <v>#REF!</v>
      </c>
      <c r="O885" s="19" t="e">
        <f>IF(J885="","SEM #CH",VLOOKUP(J885,#REF!,6,0))</f>
        <v>#REF!</v>
      </c>
      <c r="P885" s="19" t="e">
        <f>IF(J885="","SEM #CH",VLOOKUP(J885,#REF!,7,0))</f>
        <v>#REF!</v>
      </c>
      <c r="Q885" s="77" t="str">
        <f>VLOOKUP(J885,'p1'!$B$2:$C$30,2,0)</f>
        <v>NÃO TEM CHAPA</v>
      </c>
      <c r="R885" s="91"/>
      <c r="S885" s="91"/>
      <c r="T885" s="91" t="str">
        <f t="shared" si="61"/>
        <v/>
      </c>
      <c r="U885" s="91"/>
      <c r="V885" s="91"/>
      <c r="W885" s="93"/>
      <c r="X885" s="94" t="str">
        <f t="shared" si="62"/>
        <v/>
      </c>
    </row>
    <row r="886" spans="1:25">
      <c r="A886" s="90">
        <v>885</v>
      </c>
      <c r="B886" s="68"/>
      <c r="C886" s="40"/>
      <c r="D886" s="40" t="str">
        <f t="shared" si="60"/>
        <v/>
      </c>
      <c r="E886" s="41" t="s">
        <v>1057</v>
      </c>
      <c r="F886" s="17" t="s">
        <v>58</v>
      </c>
      <c r="G886" s="17" t="s">
        <v>86</v>
      </c>
      <c r="H886" s="17">
        <v>141</v>
      </c>
      <c r="I886" s="17" t="str">
        <f t="shared" si="64"/>
        <v>PR_PN-141</v>
      </c>
      <c r="J886" s="18" t="s">
        <v>85</v>
      </c>
      <c r="K886" s="19" t="e">
        <f>IF(J886="","SEM #CH",VLOOKUP(J886,#REF!,2,0))</f>
        <v>#REF!</v>
      </c>
      <c r="L886" s="19" t="e">
        <f>IF(J886="","SEM #CH",VLOOKUP(J886,#REF!,3,0))</f>
        <v>#REF!</v>
      </c>
      <c r="M886" s="19" t="e">
        <f>IF(J886="","SEM #CH",VLOOKUP(J886,#REF!,4,0))</f>
        <v>#REF!</v>
      </c>
      <c r="N886" s="19" t="e">
        <f>IF(J886="","SEM #CH",VLOOKUP(J886,#REF!,5,0))</f>
        <v>#REF!</v>
      </c>
      <c r="O886" s="19" t="e">
        <f>IF(J886="","SEM #CH",VLOOKUP(J886,#REF!,6,0))</f>
        <v>#REF!</v>
      </c>
      <c r="P886" s="19" t="e">
        <f>IF(J886="","SEM #CH",VLOOKUP(J886,#REF!,7,0))</f>
        <v>#REF!</v>
      </c>
      <c r="Q886" s="77" t="str">
        <f>VLOOKUP(J886,'p1'!$B$2:$C$30,2,0)</f>
        <v>NÃO TEM CHAPA</v>
      </c>
      <c r="R886" s="91"/>
      <c r="S886" s="91"/>
      <c r="T886" s="91" t="str">
        <f t="shared" si="61"/>
        <v/>
      </c>
      <c r="U886" s="91"/>
      <c r="V886" s="91"/>
      <c r="W886" s="93"/>
      <c r="X886" s="94" t="str">
        <f t="shared" si="62"/>
        <v/>
      </c>
    </row>
    <row r="887" spans="1:25">
      <c r="A887" s="90">
        <v>886</v>
      </c>
      <c r="B887" s="68"/>
      <c r="C887" s="40"/>
      <c r="D887" s="40" t="str">
        <f t="shared" si="60"/>
        <v/>
      </c>
      <c r="E887" s="41" t="s">
        <v>1057</v>
      </c>
      <c r="F887" s="17" t="s">
        <v>58</v>
      </c>
      <c r="G887" s="17" t="s">
        <v>86</v>
      </c>
      <c r="H887" s="17">
        <v>142</v>
      </c>
      <c r="I887" s="17" t="str">
        <f t="shared" si="64"/>
        <v>PR_PN-142</v>
      </c>
      <c r="J887" s="18" t="s">
        <v>85</v>
      </c>
      <c r="K887" s="19" t="e">
        <f>IF(J887="","SEM #CH",VLOOKUP(J887,#REF!,2,0))</f>
        <v>#REF!</v>
      </c>
      <c r="L887" s="19" t="e">
        <f>IF(J887="","SEM #CH",VLOOKUP(J887,#REF!,3,0))</f>
        <v>#REF!</v>
      </c>
      <c r="M887" s="19" t="e">
        <f>IF(J887="","SEM #CH",VLOOKUP(J887,#REF!,4,0))</f>
        <v>#REF!</v>
      </c>
      <c r="N887" s="19" t="e">
        <f>IF(J887="","SEM #CH",VLOOKUP(J887,#REF!,5,0))</f>
        <v>#REF!</v>
      </c>
      <c r="O887" s="19" t="e">
        <f>IF(J887="","SEM #CH",VLOOKUP(J887,#REF!,6,0))</f>
        <v>#REF!</v>
      </c>
      <c r="P887" s="19" t="e">
        <f>IF(J887="","SEM #CH",VLOOKUP(J887,#REF!,7,0))</f>
        <v>#REF!</v>
      </c>
      <c r="Q887" s="77" t="str">
        <f>VLOOKUP(J887,'p1'!$B$2:$C$30,2,0)</f>
        <v>NÃO TEM CHAPA</v>
      </c>
      <c r="R887" s="91"/>
      <c r="S887" s="91"/>
      <c r="T887" s="91" t="str">
        <f t="shared" si="61"/>
        <v/>
      </c>
      <c r="U887" s="91"/>
      <c r="V887" s="91"/>
      <c r="W887" s="93"/>
      <c r="X887" s="94" t="str">
        <f t="shared" si="62"/>
        <v/>
      </c>
    </row>
    <row r="888" spans="1:25">
      <c r="A888" s="90">
        <v>887</v>
      </c>
      <c r="B888" s="68"/>
      <c r="C888" s="40"/>
      <c r="D888" s="40" t="str">
        <f t="shared" si="60"/>
        <v/>
      </c>
      <c r="E888" s="41" t="s">
        <v>1057</v>
      </c>
      <c r="F888" s="17" t="s">
        <v>124</v>
      </c>
      <c r="G888" s="17" t="s">
        <v>86</v>
      </c>
      <c r="H888" s="17">
        <v>143</v>
      </c>
      <c r="I888" s="17" t="str">
        <f t="shared" si="64"/>
        <v>PR_PNI-143</v>
      </c>
      <c r="J888" s="18" t="s">
        <v>124</v>
      </c>
      <c r="K888" s="19" t="e">
        <f>IF(J888="","SEM #CH",VLOOKUP(J888,#REF!,2,0))</f>
        <v>#REF!</v>
      </c>
      <c r="L888" s="19" t="e">
        <f>IF(J888="","SEM #CH",VLOOKUP(J888,#REF!,3,0))</f>
        <v>#REF!</v>
      </c>
      <c r="M888" s="19" t="e">
        <f>IF(J888="","SEM #CH",VLOOKUP(J888,#REF!,4,0))</f>
        <v>#REF!</v>
      </c>
      <c r="N888" s="19" t="e">
        <f>IF(J888="","SEM #CH",VLOOKUP(J888,#REF!,5,0))</f>
        <v>#REF!</v>
      </c>
      <c r="O888" s="19" t="e">
        <f>IF(J888="","SEM #CH",VLOOKUP(J888,#REF!,6,0))</f>
        <v>#REF!</v>
      </c>
      <c r="P888" s="19" t="e">
        <f>IF(J888="","SEM #CH",VLOOKUP(J888,#REF!,7,0))</f>
        <v>#REF!</v>
      </c>
      <c r="Q888" s="77" t="str">
        <f>VLOOKUP(J888,'p1'!$B$2:$C$30,2,0)</f>
        <v>02- 150X150 #3/8</v>
      </c>
      <c r="R888" s="91"/>
      <c r="S888" s="91"/>
      <c r="T888" s="91" t="str">
        <f t="shared" si="61"/>
        <v/>
      </c>
      <c r="U888" s="91"/>
      <c r="V888" s="91"/>
      <c r="W888" s="93"/>
      <c r="X888" s="94" t="str">
        <f t="shared" si="62"/>
        <v/>
      </c>
    </row>
    <row r="889" spans="1:25">
      <c r="A889" s="90">
        <v>888</v>
      </c>
      <c r="B889" s="68">
        <v>45839</v>
      </c>
      <c r="C889" s="40">
        <v>43</v>
      </c>
      <c r="D889" s="40">
        <f t="shared" si="60"/>
        <v>1</v>
      </c>
      <c r="E889" s="41" t="s">
        <v>1057</v>
      </c>
      <c r="F889" s="17" t="s">
        <v>61</v>
      </c>
      <c r="G889" s="17" t="s">
        <v>86</v>
      </c>
      <c r="H889" s="17">
        <v>144</v>
      </c>
      <c r="I889" s="17" t="str">
        <f t="shared" si="64"/>
        <v>PR_PF-144</v>
      </c>
      <c r="J889" s="18" t="s">
        <v>61</v>
      </c>
      <c r="K889" s="19" t="e">
        <f>IF(J889="","SEM #CH",VLOOKUP(J889,#REF!,2,0))</f>
        <v>#REF!</v>
      </c>
      <c r="L889" s="19" t="e">
        <f>IF(J889="","SEM #CH",VLOOKUP(J889,#REF!,3,0))</f>
        <v>#REF!</v>
      </c>
      <c r="M889" s="19" t="e">
        <f>IF(J889="","SEM #CH",VLOOKUP(J889,#REF!,4,0))</f>
        <v>#REF!</v>
      </c>
      <c r="N889" s="19" t="e">
        <f>IF(J889="","SEM #CH",VLOOKUP(J889,#REF!,5,0))</f>
        <v>#REF!</v>
      </c>
      <c r="O889" s="19" t="e">
        <f>IF(J889="","SEM #CH",VLOOKUP(J889,#REF!,6,0))</f>
        <v>#REF!</v>
      </c>
      <c r="P889" s="19" t="e">
        <f>IF(J889="","SEM #CH",VLOOKUP(J889,#REF!,7,0))</f>
        <v>#REF!</v>
      </c>
      <c r="Q889" s="77" t="str">
        <f>VLOOKUP(J889,'p1'!$B$2:$C$30,2,0)</f>
        <v>SEM CHAPA</v>
      </c>
      <c r="R889" s="91"/>
      <c r="S889" s="91" t="s">
        <v>222</v>
      </c>
      <c r="T889" s="91" t="str">
        <f t="shared" si="61"/>
        <v/>
      </c>
      <c r="U889" s="91"/>
      <c r="V889" s="91"/>
      <c r="W889" s="93"/>
      <c r="X889" s="94" t="str">
        <f t="shared" si="62"/>
        <v/>
      </c>
      <c r="Y889" s="13">
        <v>700</v>
      </c>
    </row>
    <row r="890" spans="1:25">
      <c r="A890" s="90">
        <v>889</v>
      </c>
      <c r="B890" s="68"/>
      <c r="C890" s="40"/>
      <c r="D890" s="40" t="str">
        <f t="shared" si="60"/>
        <v/>
      </c>
      <c r="E890" s="41" t="s">
        <v>1057</v>
      </c>
      <c r="F890" s="17" t="s">
        <v>58</v>
      </c>
      <c r="G890" s="17" t="s">
        <v>86</v>
      </c>
      <c r="H890" s="17">
        <v>145</v>
      </c>
      <c r="I890" s="17" t="str">
        <f t="shared" si="64"/>
        <v>PR_PN-145</v>
      </c>
      <c r="J890" s="18" t="s">
        <v>85</v>
      </c>
      <c r="K890" s="19" t="e">
        <f>IF(J890="","SEM #CH",VLOOKUP(J890,#REF!,2,0))</f>
        <v>#REF!</v>
      </c>
      <c r="L890" s="19" t="e">
        <f>IF(J890="","SEM #CH",VLOOKUP(J890,#REF!,3,0))</f>
        <v>#REF!</v>
      </c>
      <c r="M890" s="19" t="e">
        <f>IF(J890="","SEM #CH",VLOOKUP(J890,#REF!,4,0))</f>
        <v>#REF!</v>
      </c>
      <c r="N890" s="19" t="e">
        <f>IF(J890="","SEM #CH",VLOOKUP(J890,#REF!,5,0))</f>
        <v>#REF!</v>
      </c>
      <c r="O890" s="19" t="e">
        <f>IF(J890="","SEM #CH",VLOOKUP(J890,#REF!,6,0))</f>
        <v>#REF!</v>
      </c>
      <c r="P890" s="19" t="e">
        <f>IF(J890="","SEM #CH",VLOOKUP(J890,#REF!,7,0))</f>
        <v>#REF!</v>
      </c>
      <c r="Q890" s="77" t="str">
        <f>VLOOKUP(J890,'p1'!$B$2:$C$30,2,0)</f>
        <v>NÃO TEM CHAPA</v>
      </c>
      <c r="R890" s="91"/>
      <c r="S890" s="91"/>
      <c r="T890" s="91" t="str">
        <f t="shared" si="61"/>
        <v/>
      </c>
      <c r="U890" s="91"/>
      <c r="V890" s="91"/>
      <c r="W890" s="93"/>
      <c r="X890" s="94" t="str">
        <f t="shared" si="62"/>
        <v/>
      </c>
    </row>
    <row r="891" spans="1:25">
      <c r="A891" s="90">
        <v>890</v>
      </c>
      <c r="B891" s="68"/>
      <c r="C891" s="40"/>
      <c r="D891" s="40" t="str">
        <f t="shared" si="60"/>
        <v/>
      </c>
      <c r="E891" s="41" t="s">
        <v>1057</v>
      </c>
      <c r="F891" s="17" t="s">
        <v>58</v>
      </c>
      <c r="G891" s="17" t="s">
        <v>86</v>
      </c>
      <c r="H891" s="17">
        <v>146</v>
      </c>
      <c r="I891" s="17" t="str">
        <f t="shared" si="64"/>
        <v>PR_PN-146</v>
      </c>
      <c r="J891" s="18" t="s">
        <v>85</v>
      </c>
      <c r="K891" s="19" t="e">
        <f>IF(J891="","SEM #CH",VLOOKUP(J891,#REF!,2,0))</f>
        <v>#REF!</v>
      </c>
      <c r="L891" s="19" t="e">
        <f>IF(J891="","SEM #CH",VLOOKUP(J891,#REF!,3,0))</f>
        <v>#REF!</v>
      </c>
      <c r="M891" s="19" t="e">
        <f>IF(J891="","SEM #CH",VLOOKUP(J891,#REF!,4,0))</f>
        <v>#REF!</v>
      </c>
      <c r="N891" s="19" t="e">
        <f>IF(J891="","SEM #CH",VLOOKUP(J891,#REF!,5,0))</f>
        <v>#REF!</v>
      </c>
      <c r="O891" s="19" t="e">
        <f>IF(J891="","SEM #CH",VLOOKUP(J891,#REF!,6,0))</f>
        <v>#REF!</v>
      </c>
      <c r="P891" s="19" t="e">
        <f>IF(J891="","SEM #CH",VLOOKUP(J891,#REF!,7,0))</f>
        <v>#REF!</v>
      </c>
      <c r="Q891" s="77" t="str">
        <f>VLOOKUP(J891,'p1'!$B$2:$C$30,2,0)</f>
        <v>NÃO TEM CHAPA</v>
      </c>
      <c r="R891" s="91"/>
      <c r="S891" s="91"/>
      <c r="T891" s="91" t="str">
        <f t="shared" si="61"/>
        <v/>
      </c>
      <c r="U891" s="91"/>
      <c r="V891" s="91"/>
      <c r="W891" s="93"/>
      <c r="X891" s="94" t="str">
        <f t="shared" si="62"/>
        <v/>
      </c>
    </row>
    <row r="892" spans="1:25">
      <c r="A892" s="90">
        <v>891</v>
      </c>
      <c r="B892" s="68"/>
      <c r="C892" s="40"/>
      <c r="D892" s="40" t="str">
        <f t="shared" si="60"/>
        <v/>
      </c>
      <c r="E892" s="41" t="s">
        <v>1057</v>
      </c>
      <c r="F892" s="17" t="s">
        <v>58</v>
      </c>
      <c r="G892" s="17" t="s">
        <v>86</v>
      </c>
      <c r="H892" s="17">
        <v>147</v>
      </c>
      <c r="I892" s="17" t="str">
        <f t="shared" si="64"/>
        <v>PR_PN-147</v>
      </c>
      <c r="J892" s="18" t="s">
        <v>85</v>
      </c>
      <c r="K892" s="19" t="e">
        <f>IF(J892="","SEM #CH",VLOOKUP(J892,#REF!,2,0))</f>
        <v>#REF!</v>
      </c>
      <c r="L892" s="19" t="e">
        <f>IF(J892="","SEM #CH",VLOOKUP(J892,#REF!,3,0))</f>
        <v>#REF!</v>
      </c>
      <c r="M892" s="19" t="e">
        <f>IF(J892="","SEM #CH",VLOOKUP(J892,#REF!,4,0))</f>
        <v>#REF!</v>
      </c>
      <c r="N892" s="19" t="e">
        <f>IF(J892="","SEM #CH",VLOOKUP(J892,#REF!,5,0))</f>
        <v>#REF!</v>
      </c>
      <c r="O892" s="19" t="e">
        <f>IF(J892="","SEM #CH",VLOOKUP(J892,#REF!,6,0))</f>
        <v>#REF!</v>
      </c>
      <c r="P892" s="19" t="e">
        <f>IF(J892="","SEM #CH",VLOOKUP(J892,#REF!,7,0))</f>
        <v>#REF!</v>
      </c>
      <c r="Q892" s="77" t="str">
        <f>VLOOKUP(J892,'p1'!$B$2:$C$30,2,0)</f>
        <v>NÃO TEM CHAPA</v>
      </c>
      <c r="R892" s="91"/>
      <c r="S892" s="91"/>
      <c r="T892" s="91" t="str">
        <f t="shared" si="61"/>
        <v/>
      </c>
      <c r="U892" s="91"/>
      <c r="V892" s="91"/>
      <c r="W892" s="93"/>
      <c r="X892" s="94" t="str">
        <f t="shared" si="62"/>
        <v/>
      </c>
    </row>
    <row r="893" spans="1:25">
      <c r="A893" s="90">
        <v>892</v>
      </c>
      <c r="B893" s="68"/>
      <c r="C893" s="40"/>
      <c r="D893" s="40" t="str">
        <f t="shared" si="60"/>
        <v/>
      </c>
      <c r="E893" s="41" t="s">
        <v>1057</v>
      </c>
      <c r="F893" s="17" t="s">
        <v>58</v>
      </c>
      <c r="G893" s="17" t="s">
        <v>86</v>
      </c>
      <c r="H893" s="17">
        <v>148</v>
      </c>
      <c r="I893" s="17" t="str">
        <f t="shared" si="64"/>
        <v>PR_PN-148</v>
      </c>
      <c r="J893" s="18" t="s">
        <v>85</v>
      </c>
      <c r="K893" s="19" t="e">
        <f>IF(J893="","SEM #CH",VLOOKUP(J893,#REF!,2,0))</f>
        <v>#REF!</v>
      </c>
      <c r="L893" s="19" t="e">
        <f>IF(J893="","SEM #CH",VLOOKUP(J893,#REF!,3,0))</f>
        <v>#REF!</v>
      </c>
      <c r="M893" s="19" t="e">
        <f>IF(J893="","SEM #CH",VLOOKUP(J893,#REF!,4,0))</f>
        <v>#REF!</v>
      </c>
      <c r="N893" s="19" t="e">
        <f>IF(J893="","SEM #CH",VLOOKUP(J893,#REF!,5,0))</f>
        <v>#REF!</v>
      </c>
      <c r="O893" s="19" t="e">
        <f>IF(J893="","SEM #CH",VLOOKUP(J893,#REF!,6,0))</f>
        <v>#REF!</v>
      </c>
      <c r="P893" s="19" t="e">
        <f>IF(J893="","SEM #CH",VLOOKUP(J893,#REF!,7,0))</f>
        <v>#REF!</v>
      </c>
      <c r="Q893" s="77" t="str">
        <f>VLOOKUP(J893,'p1'!$B$2:$C$30,2,0)</f>
        <v>NÃO TEM CHAPA</v>
      </c>
      <c r="R893" s="91"/>
      <c r="S893" s="91"/>
      <c r="T893" s="91" t="str">
        <f t="shared" si="61"/>
        <v/>
      </c>
      <c r="U893" s="91"/>
      <c r="V893" s="91"/>
      <c r="W893" s="93"/>
      <c r="X893" s="94" t="str">
        <f t="shared" si="62"/>
        <v/>
      </c>
    </row>
    <row r="894" spans="1:25">
      <c r="D894" s="40" t="str">
        <f t="shared" si="60"/>
        <v/>
      </c>
      <c r="W894" s="94"/>
      <c r="X894" s="94" t="str">
        <f t="shared" si="62"/>
        <v/>
      </c>
      <c r="Y894"/>
    </row>
  </sheetData>
  <autoFilter ref="A1:Y894" xr:uid="{52C19134-FFD1-4693-B9A4-7A2CD156AE45}"/>
  <phoneticPr fontId="1" type="noConversion"/>
  <conditionalFormatting sqref="K2:Q893">
    <cfRule type="cellIs" dxfId="6" priority="7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70" orientation="portrait" r:id="rId1"/>
  <rowBreaks count="1" manualBreakCount="1">
    <brk id="816" max="2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B3E84B-A98A-4B89-A2EB-6895ED9B08CC}">
          <x14:formula1>
            <xm:f>'p1'!$B$2:$B$30</xm:f>
          </x14:formula1>
          <xm:sqref>J2:J894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A88-B26E-480D-8761-1E695B517EA6}">
  <dimension ref="A2:B8"/>
  <sheetViews>
    <sheetView workbookViewId="0">
      <selection activeCell="M15" sqref="M15"/>
    </sheetView>
  </sheetViews>
  <sheetFormatPr defaultRowHeight="14.25"/>
  <sheetData>
    <row r="2" spans="1:2" ht="18">
      <c r="A2" s="86">
        <f>COUNTIF(' CADASTRO'!$F$746:$F$895,B2)</f>
        <v>12</v>
      </c>
      <c r="B2" s="63" t="s">
        <v>60</v>
      </c>
    </row>
    <row r="3" spans="1:2" ht="18">
      <c r="A3" s="86">
        <f>COUNTIF(' CADASTRO'!$F$746:$F$895,B3)</f>
        <v>1</v>
      </c>
      <c r="B3" s="79" t="s">
        <v>176</v>
      </c>
    </row>
    <row r="4" spans="1:2" ht="18">
      <c r="A4" s="86">
        <f>COUNTIF(' CADASTRO'!$F$746:$F$895,B4)</f>
        <v>3</v>
      </c>
      <c r="B4" s="80" t="s">
        <v>177</v>
      </c>
    </row>
    <row r="5" spans="1:2" ht="18">
      <c r="A5" s="86">
        <f>COUNTIF(' CADASTRO'!$F$746:$F$895,B5)</f>
        <v>0</v>
      </c>
      <c r="B5" s="81" t="s">
        <v>173</v>
      </c>
    </row>
    <row r="6" spans="1:2" ht="18">
      <c r="A6" s="86">
        <f>COUNTIF(' CADASTRO'!$F$746:$F$895,B6)</f>
        <v>0</v>
      </c>
      <c r="B6" s="81" t="s">
        <v>180</v>
      </c>
    </row>
    <row r="7" spans="1:2" ht="18">
      <c r="A7" s="86">
        <f>COUNTIF(' CADASTRO'!$F$746:$F$895,B7)</f>
        <v>21</v>
      </c>
      <c r="B7" s="81" t="s">
        <v>124</v>
      </c>
    </row>
    <row r="8" spans="1:2" ht="18">
      <c r="A8" s="86">
        <f>SUM(A2:A7)</f>
        <v>37</v>
      </c>
      <c r="B8" s="6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F41-41D1-4091-9A87-A89837360BB3}">
  <dimension ref="A1:AQ78"/>
  <sheetViews>
    <sheetView view="pageBreakPreview" topLeftCell="A19" zoomScale="55" zoomScaleNormal="100" zoomScaleSheetLayoutView="55" workbookViewId="0">
      <selection activeCell="A41" sqref="A41"/>
    </sheetView>
  </sheetViews>
  <sheetFormatPr defaultRowHeight="15.75"/>
  <cols>
    <col min="1" max="1" width="4.46484375" customWidth="1"/>
    <col min="2" max="2" width="7" style="1" customWidth="1"/>
    <col min="3" max="3" width="18.1328125" style="2" customWidth="1"/>
    <col min="4" max="4" width="12.86328125" style="2" customWidth="1"/>
    <col min="5" max="5" width="77.46484375" style="2" customWidth="1"/>
    <col min="6" max="12" width="11.6640625" style="2" customWidth="1"/>
    <col min="13" max="15" width="11.6640625" customWidth="1"/>
    <col min="16" max="17" width="11.6640625" style="2" customWidth="1"/>
    <col min="18" max="20" width="11.6640625" customWidth="1"/>
    <col min="21" max="21" width="17.6640625" customWidth="1"/>
    <col min="22" max="22" width="3.19921875" customWidth="1"/>
    <col min="23" max="23" width="8.86328125" style="24"/>
    <col min="25" max="25" width="12" customWidth="1"/>
    <col min="26" max="26" width="33.1328125" customWidth="1"/>
    <col min="27" max="27" width="14.33203125" customWidth="1"/>
    <col min="28" max="28" width="24" customWidth="1"/>
    <col min="29" max="29" width="43.46484375" customWidth="1"/>
    <col min="30" max="30" width="47.1328125" customWidth="1"/>
    <col min="32" max="32" width="9.1328125" customWidth="1"/>
    <col min="34" max="34" width="18.6640625" style="144" bestFit="1" customWidth="1"/>
    <col min="35" max="35" width="20" style="144" bestFit="1" customWidth="1"/>
    <col min="36" max="36" width="13.33203125" style="144" customWidth="1"/>
    <col min="37" max="37" width="14" style="144" customWidth="1"/>
    <col min="38" max="38" width="21.33203125" style="144" customWidth="1"/>
    <col min="39" max="40" width="8.86328125" style="144"/>
    <col min="41" max="41" width="8.86328125" style="152"/>
    <col min="42" max="42" width="25.6640625" style="152" customWidth="1"/>
    <col min="43" max="43" width="8.86328125" style="152"/>
  </cols>
  <sheetData>
    <row r="1" spans="1:43" ht="26.45" customHeight="1">
      <c r="E1" s="261" t="s">
        <v>1000</v>
      </c>
      <c r="F1" s="263"/>
      <c r="G1" s="264"/>
      <c r="H1" s="263"/>
      <c r="I1" s="264"/>
      <c r="J1" s="263"/>
      <c r="K1" s="264"/>
      <c r="L1" s="263"/>
      <c r="M1" s="264"/>
      <c r="N1" s="263"/>
      <c r="O1" s="264"/>
      <c r="P1" s="263"/>
      <c r="Q1" s="264"/>
      <c r="R1" s="263"/>
      <c r="S1" s="264"/>
      <c r="T1" s="263"/>
      <c r="U1" s="264"/>
      <c r="W1" s="249" t="s">
        <v>73</v>
      </c>
      <c r="X1" s="249"/>
      <c r="AI1" s="145" t="s">
        <v>164</v>
      </c>
      <c r="AJ1" s="146" t="s">
        <v>48</v>
      </c>
      <c r="AK1" s="146" t="s">
        <v>240</v>
      </c>
      <c r="AL1" s="146" t="s">
        <v>49</v>
      </c>
      <c r="AM1" s="147" t="s">
        <v>50</v>
      </c>
      <c r="AN1" s="148"/>
      <c r="AO1" s="150"/>
      <c r="AP1" s="150"/>
      <c r="AQ1" s="151" t="s">
        <v>51</v>
      </c>
    </row>
    <row r="2" spans="1:43" ht="55.25" customHeight="1">
      <c r="E2" s="262"/>
      <c r="F2" s="265"/>
      <c r="G2" s="266"/>
      <c r="H2" s="265"/>
      <c r="I2" s="266"/>
      <c r="J2" s="265"/>
      <c r="K2" s="266"/>
      <c r="L2" s="265"/>
      <c r="M2" s="266"/>
      <c r="N2" s="265"/>
      <c r="O2" s="266"/>
      <c r="P2" s="265"/>
      <c r="Q2" s="266"/>
      <c r="R2" s="265"/>
      <c r="S2" s="266"/>
      <c r="T2" s="265"/>
      <c r="U2" s="266"/>
      <c r="W2" s="253" t="s">
        <v>1032</v>
      </c>
      <c r="X2" s="253"/>
      <c r="Y2" s="215">
        <f>Y3-378</f>
        <v>809</v>
      </c>
      <c r="Z2" s="216"/>
      <c r="AA2" s="243" t="s">
        <v>1026</v>
      </c>
      <c r="AB2" s="244"/>
      <c r="AC2" s="133"/>
      <c r="AD2" s="133" t="s">
        <v>1035</v>
      </c>
      <c r="AF2" s="40">
        <v>1</v>
      </c>
      <c r="AG2" s="52" t="s">
        <v>1034</v>
      </c>
      <c r="AH2" s="144">
        <v>48</v>
      </c>
      <c r="AI2" s="149" cm="1">
        <f t="array" ref="AI2:AQ9">_xlfn._xlws.FILTER(' CADASTRO'!B:J,' CADASTRO'!C:C='SC-10 PN1'!AH2,)</f>
        <v>45853</v>
      </c>
      <c r="AJ2" s="144">
        <v>48</v>
      </c>
      <c r="AK2" s="144">
        <v>1</v>
      </c>
      <c r="AL2" s="144" t="str">
        <v>REATOR 5</v>
      </c>
      <c r="AM2" s="144" t="str">
        <v>PN</v>
      </c>
      <c r="AN2" s="144" t="str">
        <v>-</v>
      </c>
      <c r="AO2" s="152" t="str">
        <v>264</v>
      </c>
      <c r="AP2" s="152" t="str">
        <v>PN-264</v>
      </c>
      <c r="AQ2" s="152" t="str">
        <v>P</v>
      </c>
    </row>
    <row r="3" spans="1:43" ht="55.8" customHeight="1">
      <c r="B3" s="173" t="s">
        <v>162</v>
      </c>
      <c r="C3" s="173"/>
      <c r="D3" s="111">
        <f>MAX(' CADASTRO'!C2:C1000)</f>
        <v>48</v>
      </c>
      <c r="E3" s="120" t="s">
        <v>122</v>
      </c>
      <c r="F3" s="165" t="s">
        <v>106</v>
      </c>
      <c r="G3" s="166"/>
      <c r="H3" s="165" t="s">
        <v>106</v>
      </c>
      <c r="I3" s="166"/>
      <c r="J3" s="165" t="s">
        <v>106</v>
      </c>
      <c r="K3" s="166"/>
      <c r="L3" s="165" t="s">
        <v>106</v>
      </c>
      <c r="M3" s="166"/>
      <c r="N3" s="165" t="s">
        <v>106</v>
      </c>
      <c r="O3" s="166"/>
      <c r="P3" s="165" t="s">
        <v>106</v>
      </c>
      <c r="Q3" s="166"/>
      <c r="R3" s="165" t="s">
        <v>106</v>
      </c>
      <c r="S3" s="166"/>
      <c r="T3" s="165" t="s">
        <v>105</v>
      </c>
      <c r="U3" s="166"/>
      <c r="W3" s="218" t="s">
        <v>1031</v>
      </c>
      <c r="X3" s="219"/>
      <c r="Y3" s="251">
        <v>1187</v>
      </c>
      <c r="Z3" s="252"/>
      <c r="AA3" s="137" t="s">
        <v>1027</v>
      </c>
      <c r="AB3" s="138"/>
      <c r="AC3" s="75"/>
      <c r="AD3" s="75"/>
      <c r="AF3" s="40">
        <v>2</v>
      </c>
      <c r="AG3" s="52" t="s">
        <v>1034</v>
      </c>
      <c r="AI3" s="149">
        <v>45853</v>
      </c>
      <c r="AJ3" s="144">
        <v>48</v>
      </c>
      <c r="AK3" s="144">
        <v>1</v>
      </c>
      <c r="AL3" s="144" t="str">
        <v>REATOR 5</v>
      </c>
      <c r="AM3" s="144" t="str">
        <v>PN</v>
      </c>
      <c r="AN3" s="144" t="str">
        <v>-</v>
      </c>
      <c r="AO3" s="152" t="str">
        <v>265</v>
      </c>
      <c r="AP3" s="152" t="str">
        <v>PN-265</v>
      </c>
      <c r="AQ3" s="152" t="str">
        <v>P</v>
      </c>
    </row>
    <row r="4" spans="1:43" ht="38" customHeight="1">
      <c r="A4" s="167" t="s">
        <v>1</v>
      </c>
      <c r="B4" s="167"/>
      <c r="C4" s="168">
        <f ca="1">TODAY()</f>
        <v>45853</v>
      </c>
      <c r="D4" s="169"/>
      <c r="E4" s="120" t="s">
        <v>6</v>
      </c>
      <c r="F4" s="170" t="s">
        <v>1058</v>
      </c>
      <c r="G4" s="170"/>
      <c r="H4" s="171" t="s">
        <v>1059</v>
      </c>
      <c r="I4" s="172"/>
      <c r="J4" s="171" t="s">
        <v>1063</v>
      </c>
      <c r="K4" s="172"/>
      <c r="L4" s="171" t="s">
        <v>1060</v>
      </c>
      <c r="M4" s="172"/>
      <c r="N4" s="171" t="s">
        <v>1061</v>
      </c>
      <c r="O4" s="172"/>
      <c r="P4" s="171" t="s">
        <v>1062</v>
      </c>
      <c r="Q4" s="172"/>
      <c r="R4" s="170" t="s">
        <v>1064</v>
      </c>
      <c r="S4" s="170"/>
      <c r="T4" s="170" t="s">
        <v>1065</v>
      </c>
      <c r="U4" s="170"/>
      <c r="W4" s="257" t="s">
        <v>1028</v>
      </c>
      <c r="X4" s="258"/>
      <c r="Y4" s="259" t="s">
        <v>1021</v>
      </c>
      <c r="Z4" s="260"/>
      <c r="AA4" s="259" t="s">
        <v>1022</v>
      </c>
      <c r="AB4" s="260"/>
      <c r="AC4" s="132" t="s">
        <v>1023</v>
      </c>
      <c r="AD4" s="132" t="s">
        <v>1024</v>
      </c>
      <c r="AF4" s="40">
        <v>3</v>
      </c>
      <c r="AG4" s="52" t="s">
        <v>1034</v>
      </c>
      <c r="AI4" s="149">
        <v>45853</v>
      </c>
      <c r="AJ4" s="144">
        <v>48</v>
      </c>
      <c r="AK4" s="144">
        <v>1</v>
      </c>
      <c r="AL4" s="144" t="str">
        <v>REATOR 5</v>
      </c>
      <c r="AM4" s="144" t="str">
        <v>PN</v>
      </c>
      <c r="AN4" s="144" t="str">
        <v>-</v>
      </c>
      <c r="AO4" s="152" t="str">
        <v>266</v>
      </c>
      <c r="AP4" s="152" t="str">
        <v>PN-266</v>
      </c>
      <c r="AQ4" s="152" t="str">
        <v>P</v>
      </c>
    </row>
    <row r="5" spans="1:43" ht="79.8" customHeight="1">
      <c r="A5" s="167"/>
      <c r="B5" s="167"/>
      <c r="C5" s="168"/>
      <c r="D5" s="169"/>
      <c r="E5" s="120" t="s">
        <v>51</v>
      </c>
      <c r="F5" s="174" t="str">
        <f>VLOOKUP(F4,' CADASTRO'!$I$2:$J$1000,2,0)</f>
        <v>P</v>
      </c>
      <c r="G5" s="174"/>
      <c r="H5" s="174" t="str">
        <f>VLOOKUP(H4,' CADASTRO'!$I$2:$J$1000,2,0)</f>
        <v>P</v>
      </c>
      <c r="I5" s="174"/>
      <c r="J5" s="174" t="str">
        <f>VLOOKUP(J4,' CADASTRO'!$I$2:$J$1000,2,0)</f>
        <v>T4</v>
      </c>
      <c r="K5" s="174"/>
      <c r="L5" s="174" t="str">
        <f>VLOOKUP(L4,' CADASTRO'!$I$2:$J$1000,2,0)</f>
        <v>P</v>
      </c>
      <c r="M5" s="174"/>
      <c r="N5" s="174" t="str">
        <f>VLOOKUP(N4,' CADASTRO'!$I$2:$J$1000,2,0)</f>
        <v>P</v>
      </c>
      <c r="O5" s="174"/>
      <c r="P5" s="174" t="str">
        <f>VLOOKUP(P4,' CADASTRO'!$I$2:$J$1000,2,0)</f>
        <v>P</v>
      </c>
      <c r="Q5" s="174"/>
      <c r="R5" s="174" t="str">
        <f>VLOOKUP(R4,' CADASTRO'!$I$2:$J$1000,2,0)</f>
        <v>P</v>
      </c>
      <c r="S5" s="174"/>
      <c r="T5" s="174" t="str">
        <f>VLOOKUP(T4,' CADASTRO'!$I$2:$J$1000,2,0)</f>
        <v>P</v>
      </c>
      <c r="U5" s="174"/>
      <c r="W5" s="250" t="s">
        <v>1025</v>
      </c>
      <c r="X5" s="250"/>
      <c r="Y5" s="211"/>
      <c r="Z5" s="212"/>
      <c r="AA5" s="211"/>
      <c r="AB5" s="212"/>
      <c r="AC5" s="75"/>
      <c r="AD5" s="75"/>
      <c r="AF5" s="40">
        <v>4</v>
      </c>
      <c r="AG5" s="52" t="s">
        <v>1034</v>
      </c>
      <c r="AI5" s="149">
        <v>45853</v>
      </c>
      <c r="AJ5" s="144">
        <v>48</v>
      </c>
      <c r="AK5" s="144">
        <v>1</v>
      </c>
      <c r="AL5" s="144" t="str">
        <v>REATOR 5</v>
      </c>
      <c r="AM5" s="144" t="str">
        <v>PN</v>
      </c>
      <c r="AN5" s="144" t="str">
        <v>-</v>
      </c>
      <c r="AO5" s="152" t="str">
        <v>267</v>
      </c>
      <c r="AP5" s="152" t="str">
        <v>PN-267</v>
      </c>
      <c r="AQ5" s="152" t="str">
        <v>P</v>
      </c>
    </row>
    <row r="6" spans="1:43" ht="15.6" customHeight="1">
      <c r="A6" s="175" t="s">
        <v>82</v>
      </c>
      <c r="B6" s="175"/>
      <c r="C6" s="176"/>
      <c r="D6" s="177"/>
      <c r="E6" s="178" t="s">
        <v>62</v>
      </c>
      <c r="F6" s="180" t="str">
        <f>VLOOKUP(F4,' CADASTRO'!$I$2:$Q$994,9,0)</f>
        <v>NÃO TEM CHAPA</v>
      </c>
      <c r="G6" s="181"/>
      <c r="H6" s="180" t="str">
        <f>VLOOKUP(H4,' CADASTRO'!$I$2:$Q$994,9,0)</f>
        <v>NÃO TEM CHAPA</v>
      </c>
      <c r="I6" s="181"/>
      <c r="J6" s="180" t="str">
        <f>VLOOKUP(J4,' CADASTRO'!$I$2:$Q$994,9,0)</f>
        <v>#3/8-530X530</v>
      </c>
      <c r="K6" s="181"/>
      <c r="L6" s="180" t="str">
        <f>VLOOKUP(L4,' CADASTRO'!$I$2:$Q$994,9,0)</f>
        <v>NÃO TEM CHAPA</v>
      </c>
      <c r="M6" s="181"/>
      <c r="N6" s="180" t="str">
        <f>VLOOKUP(N4,' CADASTRO'!$I$2:$Q$994,9,0)</f>
        <v>NÃO TEM CHAPA</v>
      </c>
      <c r="O6" s="181"/>
      <c r="P6" s="180" t="str">
        <f>VLOOKUP(P4,' CADASTRO'!$I$2:$Q$994,9,0)</f>
        <v>NÃO TEM CHAPA</v>
      </c>
      <c r="Q6" s="181"/>
      <c r="R6" s="180" t="str">
        <f>VLOOKUP(R4,' CADASTRO'!$I$2:$Q$994,9,0)</f>
        <v>NÃO TEM CHAPA</v>
      </c>
      <c r="S6" s="184"/>
      <c r="T6" s="186" t="str">
        <f>VLOOKUP(T4,' CADASTRO'!$I$2:$Q$994,9,0)</f>
        <v>NÃO TEM CHAPA</v>
      </c>
      <c r="U6" s="186"/>
      <c r="W6" s="249" t="s">
        <v>75</v>
      </c>
      <c r="X6" s="249"/>
      <c r="AF6" s="40">
        <v>5</v>
      </c>
      <c r="AG6" s="52" t="s">
        <v>1034</v>
      </c>
      <c r="AI6" s="149">
        <v>45853</v>
      </c>
      <c r="AJ6" s="144">
        <v>48</v>
      </c>
      <c r="AK6" s="144">
        <v>1</v>
      </c>
      <c r="AL6" s="144" t="str">
        <v>REATOR 5</v>
      </c>
      <c r="AM6" s="144" t="str">
        <v>PN</v>
      </c>
      <c r="AN6" s="144" t="str">
        <v>-</v>
      </c>
      <c r="AO6" s="152" t="str">
        <v>268</v>
      </c>
      <c r="AP6" s="152" t="str">
        <v>PN-268</v>
      </c>
      <c r="AQ6" s="152" t="str">
        <v>P</v>
      </c>
    </row>
    <row r="7" spans="1:43" ht="36.6" customHeight="1">
      <c r="C7" s="187" t="s">
        <v>111</v>
      </c>
      <c r="D7" s="187"/>
      <c r="E7" s="179"/>
      <c r="F7" s="182"/>
      <c r="G7" s="183"/>
      <c r="H7" s="182"/>
      <c r="I7" s="183"/>
      <c r="J7" s="182"/>
      <c r="K7" s="183"/>
      <c r="L7" s="182"/>
      <c r="M7" s="183"/>
      <c r="N7" s="182"/>
      <c r="O7" s="183"/>
      <c r="P7" s="182"/>
      <c r="Q7" s="183"/>
      <c r="R7" s="182"/>
      <c r="S7" s="185"/>
      <c r="T7" s="186"/>
      <c r="U7" s="186"/>
      <c r="W7" s="249"/>
      <c r="X7" s="249"/>
      <c r="AF7" s="40">
        <v>6</v>
      </c>
      <c r="AG7" s="52"/>
      <c r="AI7" s="149">
        <v>45853</v>
      </c>
      <c r="AJ7" s="144">
        <v>48</v>
      </c>
      <c r="AK7" s="144">
        <v>1</v>
      </c>
      <c r="AL7" s="144" t="str">
        <v>REATOR 5</v>
      </c>
      <c r="AM7" s="144" t="str">
        <v>PN</v>
      </c>
      <c r="AN7" s="144" t="str">
        <v>-</v>
      </c>
      <c r="AO7" s="152" t="str">
        <v>269</v>
      </c>
      <c r="AP7" s="152" t="str">
        <v>PN-269</v>
      </c>
      <c r="AQ7" s="152" t="str">
        <v>P</v>
      </c>
    </row>
    <row r="8" spans="1:43" ht="48" customHeight="1">
      <c r="C8" s="187"/>
      <c r="D8" s="187"/>
      <c r="E8" s="43" t="s">
        <v>65</v>
      </c>
      <c r="F8" s="188" t="s">
        <v>59</v>
      </c>
      <c r="G8" s="189"/>
      <c r="H8" s="188" t="s">
        <v>66</v>
      </c>
      <c r="I8" s="189"/>
      <c r="J8" s="188" t="s">
        <v>67</v>
      </c>
      <c r="K8" s="189"/>
      <c r="L8" s="188" t="s">
        <v>68</v>
      </c>
      <c r="M8" s="189"/>
      <c r="N8" s="188" t="s">
        <v>69</v>
      </c>
      <c r="O8" s="189"/>
      <c r="P8" s="188" t="s">
        <v>70</v>
      </c>
      <c r="Q8" s="189"/>
      <c r="R8" s="188" t="s">
        <v>71</v>
      </c>
      <c r="S8" s="190"/>
      <c r="T8" s="191" t="s">
        <v>72</v>
      </c>
      <c r="U8" s="191"/>
      <c r="W8" s="253" t="s">
        <v>1032</v>
      </c>
      <c r="X8" s="253"/>
      <c r="Y8" s="215">
        <f>IF(Y9="","",Y9-378)</f>
        <v>810</v>
      </c>
      <c r="Z8" s="216"/>
      <c r="AA8" s="218" t="s">
        <v>1026</v>
      </c>
      <c r="AB8" s="219"/>
      <c r="AC8" s="133"/>
      <c r="AD8" s="133" t="s">
        <v>1035</v>
      </c>
      <c r="AF8" s="14"/>
      <c r="AI8" s="149">
        <v>45853</v>
      </c>
      <c r="AJ8" s="144">
        <v>48</v>
      </c>
      <c r="AK8" s="144">
        <v>1</v>
      </c>
      <c r="AL8" s="144" t="str">
        <v>REATOR 6</v>
      </c>
      <c r="AM8" s="144" t="str">
        <v>PE</v>
      </c>
      <c r="AN8" s="144" t="str">
        <v>-</v>
      </c>
      <c r="AO8" s="152" t="str">
        <v>351</v>
      </c>
      <c r="AP8" s="152" t="str">
        <v>PE-351</v>
      </c>
      <c r="AQ8" s="152" t="str">
        <v>T4</v>
      </c>
    </row>
    <row r="9" spans="1:43" ht="38.450000000000003" customHeight="1">
      <c r="B9" s="192" t="s">
        <v>3</v>
      </c>
      <c r="C9" s="193" t="s">
        <v>4</v>
      </c>
      <c r="D9" s="193"/>
      <c r="E9" s="194"/>
      <c r="F9" s="194" t="s">
        <v>0</v>
      </c>
      <c r="G9" s="196" t="s">
        <v>2</v>
      </c>
      <c r="H9" s="194" t="s">
        <v>0</v>
      </c>
      <c r="I9" s="196" t="s">
        <v>2</v>
      </c>
      <c r="J9" s="194" t="s">
        <v>0</v>
      </c>
      <c r="K9" s="196" t="s">
        <v>2</v>
      </c>
      <c r="L9" s="194" t="s">
        <v>0</v>
      </c>
      <c r="M9" s="196" t="s">
        <v>2</v>
      </c>
      <c r="N9" s="194" t="s">
        <v>0</v>
      </c>
      <c r="O9" s="196" t="s">
        <v>2</v>
      </c>
      <c r="P9" s="194" t="s">
        <v>0</v>
      </c>
      <c r="Q9" s="196" t="s">
        <v>2</v>
      </c>
      <c r="R9" s="194" t="s">
        <v>0</v>
      </c>
      <c r="S9" s="268" t="s">
        <v>2</v>
      </c>
      <c r="T9" s="194" t="s">
        <v>0</v>
      </c>
      <c r="U9" s="196" t="s">
        <v>2</v>
      </c>
      <c r="W9" s="218" t="s">
        <v>1031</v>
      </c>
      <c r="X9" s="219"/>
      <c r="Y9" s="215">
        <f>IF(AG3="X",Y3+1,"")</f>
        <v>1188</v>
      </c>
      <c r="Z9" s="216"/>
      <c r="AA9" s="137" t="s">
        <v>1027</v>
      </c>
      <c r="AB9" s="138"/>
      <c r="AC9" s="75"/>
      <c r="AD9" s="75"/>
      <c r="AF9" s="14"/>
      <c r="AI9" s="149">
        <v>45853</v>
      </c>
      <c r="AJ9" s="144">
        <v>48</v>
      </c>
      <c r="AK9" s="144">
        <v>1</v>
      </c>
      <c r="AL9" s="144" t="str">
        <v>PRIMARIO 2</v>
      </c>
      <c r="AM9" s="144" t="str">
        <v>PN</v>
      </c>
      <c r="AN9" s="144" t="str">
        <v>-</v>
      </c>
      <c r="AO9" s="152">
        <v>106</v>
      </c>
      <c r="AP9" s="152" t="str">
        <v>PR_PN-106</v>
      </c>
      <c r="AQ9" s="152" t="str">
        <v>P</v>
      </c>
    </row>
    <row r="10" spans="1:43" ht="30" customHeight="1" thickBot="1">
      <c r="A10" s="198"/>
      <c r="B10" s="192"/>
      <c r="C10" s="194"/>
      <c r="D10" s="194"/>
      <c r="E10" s="194"/>
      <c r="F10" s="195"/>
      <c r="G10" s="197"/>
      <c r="H10" s="194"/>
      <c r="I10" s="196"/>
      <c r="J10" s="195"/>
      <c r="K10" s="197"/>
      <c r="L10" s="194"/>
      <c r="M10" s="196"/>
      <c r="N10" s="194"/>
      <c r="O10" s="196"/>
      <c r="P10" s="194"/>
      <c r="Q10" s="196"/>
      <c r="R10" s="194"/>
      <c r="S10" s="268"/>
      <c r="T10" s="194"/>
      <c r="U10" s="196"/>
      <c r="W10" s="257" t="s">
        <v>1028</v>
      </c>
      <c r="X10" s="258"/>
      <c r="Y10" s="142" t="s">
        <v>1021</v>
      </c>
      <c r="Z10" s="143"/>
      <c r="AA10" s="142" t="s">
        <v>1022</v>
      </c>
      <c r="AB10" s="143"/>
      <c r="AC10" s="136" t="s">
        <v>1023</v>
      </c>
      <c r="AD10" s="136" t="s">
        <v>1024</v>
      </c>
      <c r="AI10" s="149"/>
    </row>
    <row r="11" spans="1:43" ht="70.8" customHeight="1">
      <c r="A11" s="198"/>
      <c r="B11" s="5">
        <v>1</v>
      </c>
      <c r="C11" s="199" t="s">
        <v>112</v>
      </c>
      <c r="D11" s="200"/>
      <c r="E11" s="200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9"/>
      <c r="T11" s="22"/>
      <c r="U11" s="22"/>
      <c r="W11" s="254" t="s">
        <v>1025</v>
      </c>
      <c r="X11" s="255"/>
      <c r="Y11" s="211"/>
      <c r="Z11" s="212"/>
      <c r="AA11" s="211"/>
      <c r="AB11" s="212"/>
      <c r="AC11" s="75"/>
      <c r="AD11" s="75"/>
      <c r="AI11" s="149"/>
    </row>
    <row r="12" spans="1:43" ht="50" customHeight="1">
      <c r="A12" s="198"/>
      <c r="B12" s="5">
        <v>2</v>
      </c>
      <c r="C12" s="201" t="s">
        <v>107</v>
      </c>
      <c r="D12" s="202"/>
      <c r="E12" s="202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256" t="s">
        <v>76</v>
      </c>
      <c r="X12" s="256"/>
      <c r="Y12" s="141"/>
      <c r="Z12" s="141"/>
      <c r="AA12" s="141"/>
      <c r="AB12" s="141"/>
      <c r="AI12" s="149"/>
    </row>
    <row r="13" spans="1:43" ht="50" customHeight="1">
      <c r="A13" s="198"/>
      <c r="B13" s="5">
        <v>3</v>
      </c>
      <c r="C13" s="203" t="s">
        <v>102</v>
      </c>
      <c r="D13" s="204"/>
      <c r="E13" s="204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18" t="s">
        <v>1032</v>
      </c>
      <c r="X13" s="219"/>
      <c r="Y13" s="215">
        <f>IF(Y14="","",Y14-378)</f>
        <v>811</v>
      </c>
      <c r="Z13" s="216"/>
      <c r="AA13" s="213" t="s">
        <v>1026</v>
      </c>
      <c r="AB13" s="214"/>
      <c r="AC13" s="133"/>
      <c r="AD13" s="133" t="s">
        <v>1035</v>
      </c>
      <c r="AI13" s="149"/>
    </row>
    <row r="14" spans="1:43" ht="50" customHeight="1">
      <c r="A14" s="198"/>
      <c r="B14" s="5">
        <v>4</v>
      </c>
      <c r="C14" s="205" t="s">
        <v>113</v>
      </c>
      <c r="D14" s="206"/>
      <c r="E14" s="206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18" t="s">
        <v>1031</v>
      </c>
      <c r="X14" s="219"/>
      <c r="Y14" s="215">
        <f>IF(AG4="X",$Y$3+2,"")</f>
        <v>1189</v>
      </c>
      <c r="Z14" s="216"/>
      <c r="AA14" s="213" t="s">
        <v>1027</v>
      </c>
      <c r="AB14" s="214"/>
      <c r="AC14" s="75"/>
      <c r="AD14" s="75"/>
    </row>
    <row r="15" spans="1:43" ht="50" customHeight="1">
      <c r="A15" s="198"/>
      <c r="B15" s="5">
        <v>5</v>
      </c>
      <c r="C15" s="199" t="s">
        <v>134</v>
      </c>
      <c r="D15" s="200"/>
      <c r="E15" s="200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257" t="s">
        <v>1028</v>
      </c>
      <c r="X15" s="258"/>
      <c r="Y15" s="142" t="s">
        <v>1021</v>
      </c>
      <c r="Z15" s="143"/>
      <c r="AA15" s="142" t="s">
        <v>1022</v>
      </c>
      <c r="AB15" s="143"/>
      <c r="AC15" s="136" t="s">
        <v>1023</v>
      </c>
      <c r="AD15" s="136" t="s">
        <v>1024</v>
      </c>
    </row>
    <row r="16" spans="1:43" ht="69.599999999999994" customHeight="1">
      <c r="A16" s="198"/>
      <c r="B16" s="5">
        <v>6</v>
      </c>
      <c r="C16" s="201" t="s">
        <v>114</v>
      </c>
      <c r="D16" s="202"/>
      <c r="E16" s="202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250" t="s">
        <v>1025</v>
      </c>
      <c r="X16" s="250"/>
      <c r="Y16" s="271"/>
      <c r="Z16" s="271"/>
      <c r="AA16" s="271"/>
      <c r="AB16" s="271"/>
      <c r="AC16" s="75"/>
      <c r="AD16" s="75"/>
    </row>
    <row r="17" spans="1:30" ht="50" customHeight="1">
      <c r="A17" s="198"/>
      <c r="B17" s="5">
        <v>7</v>
      </c>
      <c r="C17" s="199" t="s">
        <v>27</v>
      </c>
      <c r="D17" s="200"/>
      <c r="E17" s="200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267"/>
      <c r="X17" s="267"/>
    </row>
    <row r="18" spans="1:30" ht="50" customHeight="1">
      <c r="A18" s="198"/>
      <c r="B18" s="5">
        <v>8</v>
      </c>
      <c r="C18" s="201" t="s">
        <v>26</v>
      </c>
      <c r="D18" s="202"/>
      <c r="E18" s="202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217" t="s">
        <v>77</v>
      </c>
      <c r="X18" s="217"/>
    </row>
    <row r="19" spans="1:30" ht="50" customHeight="1">
      <c r="A19" s="198"/>
      <c r="B19" s="5">
        <v>9</v>
      </c>
      <c r="C19" s="199" t="s">
        <v>81</v>
      </c>
      <c r="D19" s="200"/>
      <c r="E19" s="200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18" t="s">
        <v>1032</v>
      </c>
      <c r="X19" s="219"/>
      <c r="Y19" s="215">
        <f>IF(Y20="","",Y20-378)</f>
        <v>812</v>
      </c>
      <c r="Z19" s="216"/>
      <c r="AA19" s="213" t="s">
        <v>1026</v>
      </c>
      <c r="AB19" s="214"/>
      <c r="AC19" s="133"/>
      <c r="AD19" s="133" t="s">
        <v>1035</v>
      </c>
    </row>
    <row r="20" spans="1:30" ht="50" customHeight="1">
      <c r="A20" s="198"/>
      <c r="B20" s="5">
        <v>10</v>
      </c>
      <c r="C20" s="201" t="s">
        <v>45</v>
      </c>
      <c r="D20" s="202"/>
      <c r="E20" s="202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18" t="s">
        <v>1033</v>
      </c>
      <c r="X20" s="219"/>
      <c r="Y20" s="215">
        <f>IF(AG5="X",$Y$3+3,"")</f>
        <v>1190</v>
      </c>
      <c r="Z20" s="216"/>
      <c r="AA20" s="213" t="s">
        <v>1027</v>
      </c>
      <c r="AB20" s="214"/>
      <c r="AC20" s="75"/>
      <c r="AD20" s="75"/>
    </row>
    <row r="21" spans="1:30" ht="50" customHeight="1">
      <c r="A21" s="198"/>
      <c r="B21" s="5">
        <v>11</v>
      </c>
      <c r="C21" s="199" t="s">
        <v>135</v>
      </c>
      <c r="D21" s="200"/>
      <c r="E21" s="200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9" t="s">
        <v>1028</v>
      </c>
      <c r="X21" s="140"/>
      <c r="Y21" s="247" t="s">
        <v>1021</v>
      </c>
      <c r="Z21" s="248"/>
      <c r="AA21" s="247" t="s">
        <v>1022</v>
      </c>
      <c r="AB21" s="248"/>
      <c r="AC21" s="23" t="s">
        <v>1023</v>
      </c>
      <c r="AD21" s="23" t="s">
        <v>1024</v>
      </c>
    </row>
    <row r="22" spans="1:30" ht="71.45" customHeight="1">
      <c r="A22" s="198"/>
      <c r="B22" s="5">
        <v>12</v>
      </c>
      <c r="C22" s="201" t="s">
        <v>78</v>
      </c>
      <c r="D22" s="202"/>
      <c r="E22" s="202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4" t="s">
        <v>1025</v>
      </c>
      <c r="X22" s="135"/>
      <c r="Y22" s="211"/>
      <c r="Z22" s="212"/>
      <c r="AA22" s="211"/>
      <c r="AB22" s="212"/>
      <c r="AC22" s="75"/>
      <c r="AD22" s="75"/>
    </row>
    <row r="23" spans="1:30" ht="50" customHeight="1">
      <c r="A23" s="198"/>
      <c r="B23" s="5">
        <v>13</v>
      </c>
      <c r="C23" s="203" t="s">
        <v>29</v>
      </c>
      <c r="D23" s="204"/>
      <c r="E23" s="204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270"/>
      <c r="X23" s="270"/>
      <c r="Y23" s="270"/>
      <c r="Z23" s="270"/>
      <c r="AA23" s="270"/>
      <c r="AB23" s="270"/>
      <c r="AC23" s="207"/>
      <c r="AD23" s="207"/>
    </row>
    <row r="24" spans="1:30" ht="50" customHeight="1">
      <c r="A24" s="198"/>
      <c r="B24" s="5">
        <v>14</v>
      </c>
      <c r="C24" s="201" t="s">
        <v>28</v>
      </c>
      <c r="D24" s="202"/>
      <c r="E24" s="202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217" t="s">
        <v>108</v>
      </c>
      <c r="X24" s="217"/>
    </row>
    <row r="25" spans="1:30" ht="50" customHeight="1">
      <c r="A25" s="198"/>
      <c r="B25" s="5">
        <v>15</v>
      </c>
      <c r="C25" s="203" t="s">
        <v>103</v>
      </c>
      <c r="D25" s="204"/>
      <c r="E25" s="204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18" t="s">
        <v>1032</v>
      </c>
      <c r="X25" s="219"/>
      <c r="Y25" s="215">
        <f>IF(Y26="","",Y26-378)</f>
        <v>813</v>
      </c>
      <c r="Z25" s="216"/>
      <c r="AA25" s="213" t="s">
        <v>1026</v>
      </c>
      <c r="AB25" s="214"/>
      <c r="AC25" s="133"/>
      <c r="AD25" s="133" t="s">
        <v>1035</v>
      </c>
    </row>
    <row r="26" spans="1:30" ht="50" customHeight="1">
      <c r="A26" s="198"/>
      <c r="B26" s="5">
        <v>16</v>
      </c>
      <c r="C26" s="205" t="s">
        <v>104</v>
      </c>
      <c r="D26" s="206"/>
      <c r="E26" s="206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18" t="s">
        <v>1031</v>
      </c>
      <c r="X26" s="219"/>
      <c r="Y26" s="215">
        <f>IF(AG6="X",$Y$3+4,"")</f>
        <v>1191</v>
      </c>
      <c r="Z26" s="216"/>
      <c r="AA26" s="213" t="s">
        <v>1027</v>
      </c>
      <c r="AB26" s="214"/>
      <c r="AC26" s="75"/>
      <c r="AD26" s="75"/>
    </row>
    <row r="27" spans="1:30" ht="50" customHeight="1">
      <c r="A27" s="198"/>
      <c r="B27" s="5">
        <v>17</v>
      </c>
      <c r="C27" s="199" t="s">
        <v>46</v>
      </c>
      <c r="D27" s="200"/>
      <c r="E27" s="200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9" t="s">
        <v>1028</v>
      </c>
      <c r="X27" s="140"/>
      <c r="Y27" s="247" t="s">
        <v>1021</v>
      </c>
      <c r="Z27" s="248"/>
      <c r="AA27" s="247" t="s">
        <v>1022</v>
      </c>
      <c r="AB27" s="248"/>
      <c r="AC27" s="136" t="s">
        <v>1023</v>
      </c>
      <c r="AD27" s="136" t="s">
        <v>1024</v>
      </c>
    </row>
    <row r="28" spans="1:30" ht="72" customHeight="1">
      <c r="A28" s="198"/>
      <c r="B28" s="5">
        <v>18</v>
      </c>
      <c r="C28" s="201" t="s">
        <v>79</v>
      </c>
      <c r="D28" s="202"/>
      <c r="E28" s="202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4" t="s">
        <v>1025</v>
      </c>
      <c r="X28" s="135"/>
      <c r="Y28" s="211"/>
      <c r="Z28" s="212"/>
      <c r="AA28" s="211"/>
      <c r="AB28" s="212"/>
      <c r="AC28" s="75"/>
      <c r="AD28" s="75"/>
    </row>
    <row r="29" spans="1:30" ht="50" customHeight="1">
      <c r="A29" s="198"/>
      <c r="B29" s="5">
        <v>19</v>
      </c>
      <c r="C29" s="199" t="s">
        <v>83</v>
      </c>
      <c r="D29" s="200"/>
      <c r="E29" s="200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30" ht="50" customHeight="1" thickBot="1">
      <c r="A30" s="198"/>
      <c r="B30" s="12">
        <v>20</v>
      </c>
      <c r="C30" s="201" t="s">
        <v>115</v>
      </c>
      <c r="D30" s="202"/>
      <c r="E30" s="202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30"/>
      <c r="T30" s="3"/>
      <c r="U30" s="3"/>
      <c r="W30" s="217" t="s">
        <v>1029</v>
      </c>
      <c r="X30" s="217"/>
    </row>
    <row r="31" spans="1:30" ht="50" customHeight="1" thickBot="1">
      <c r="A31" s="198"/>
      <c r="B31" s="12">
        <v>21</v>
      </c>
      <c r="C31" s="201" t="s">
        <v>116</v>
      </c>
      <c r="D31" s="202"/>
      <c r="E31" s="202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30"/>
      <c r="T31" s="3"/>
      <c r="U31" s="3"/>
      <c r="W31" s="218" t="s">
        <v>1030</v>
      </c>
      <c r="X31" s="219"/>
      <c r="Y31" s="215" t="str">
        <f>IF(Y32="","",Y32-378)</f>
        <v/>
      </c>
      <c r="Z31" s="216"/>
      <c r="AA31" s="269" t="s">
        <v>1026</v>
      </c>
      <c r="AB31" s="269"/>
      <c r="AC31" s="133"/>
      <c r="AD31" s="133" t="s">
        <v>1035</v>
      </c>
    </row>
    <row r="32" spans="1:30" ht="50" customHeight="1" thickBot="1">
      <c r="A32" s="198"/>
      <c r="B32" s="12">
        <v>22</v>
      </c>
      <c r="C32" s="201" t="s">
        <v>84</v>
      </c>
      <c r="D32" s="202"/>
      <c r="E32" s="202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30"/>
      <c r="T32" s="3"/>
      <c r="U32" s="3"/>
      <c r="W32" s="218" t="s">
        <v>1031</v>
      </c>
      <c r="X32" s="219"/>
      <c r="Y32" s="215" t="str">
        <f>IF(AG7="X",$Y$3+5,"")</f>
        <v/>
      </c>
      <c r="Z32" s="216"/>
      <c r="AA32" s="213" t="s">
        <v>1027</v>
      </c>
      <c r="AB32" s="214"/>
      <c r="AC32" s="75"/>
      <c r="AD32" s="75"/>
    </row>
    <row r="33" spans="1:32" ht="37.799999999999997" customHeight="1">
      <c r="A33" s="198"/>
      <c r="C33" s="210"/>
      <c r="D33" s="210"/>
      <c r="E33" s="210"/>
      <c r="F33" s="228" t="s">
        <v>30</v>
      </c>
      <c r="G33" s="229"/>
      <c r="H33" s="220" t="s">
        <v>31</v>
      </c>
      <c r="I33" s="221"/>
      <c r="J33" s="228" t="s">
        <v>32</v>
      </c>
      <c r="K33" s="229"/>
      <c r="L33" s="220" t="s">
        <v>33</v>
      </c>
      <c r="M33" s="221"/>
      <c r="N33" s="220" t="s">
        <v>34</v>
      </c>
      <c r="O33" s="221"/>
      <c r="P33" s="220" t="s">
        <v>35</v>
      </c>
      <c r="Q33" s="221"/>
      <c r="R33" s="220" t="s">
        <v>36</v>
      </c>
      <c r="S33" s="222"/>
      <c r="T33" s="223" t="s">
        <v>37</v>
      </c>
      <c r="U33" s="223"/>
      <c r="W33" s="139" t="s">
        <v>1028</v>
      </c>
      <c r="X33" s="140"/>
      <c r="Y33" s="247" t="s">
        <v>1021</v>
      </c>
      <c r="Z33" s="248"/>
      <c r="AA33" s="247" t="s">
        <v>1022</v>
      </c>
      <c r="AB33" s="248"/>
      <c r="AC33" s="23" t="s">
        <v>1023</v>
      </c>
      <c r="AD33" s="23" t="s">
        <v>1024</v>
      </c>
    </row>
    <row r="34" spans="1:32" ht="44.45" customHeight="1">
      <c r="A34" s="198"/>
      <c r="F34" s="224"/>
      <c r="G34" s="225"/>
      <c r="H34" s="226"/>
      <c r="I34" s="225"/>
      <c r="J34" s="226"/>
      <c r="K34" s="225"/>
      <c r="L34" s="226"/>
      <c r="M34" s="225"/>
      <c r="N34" s="226"/>
      <c r="O34" s="225"/>
      <c r="P34" s="226"/>
      <c r="Q34" s="225"/>
      <c r="R34" s="226"/>
      <c r="S34" s="227"/>
      <c r="T34" s="208"/>
      <c r="U34" s="208"/>
      <c r="W34" s="134" t="s">
        <v>1025</v>
      </c>
      <c r="X34" s="135"/>
      <c r="Y34" s="211"/>
      <c r="Z34" s="212"/>
      <c r="AA34" s="211"/>
      <c r="AB34" s="212"/>
      <c r="AC34" s="75"/>
      <c r="AD34" s="75"/>
    </row>
    <row r="35" spans="1:32" ht="8.4499999999999993" customHeight="1">
      <c r="A35" s="198"/>
      <c r="C35" s="209"/>
      <c r="D35" s="209"/>
      <c r="E35" s="209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31"/>
      <c r="U35" s="131"/>
      <c r="W35"/>
    </row>
    <row r="36" spans="1:32" ht="34.799999999999997" customHeight="1">
      <c r="A36" s="198"/>
      <c r="F36" s="220" t="s">
        <v>110</v>
      </c>
      <c r="G36" s="221"/>
      <c r="H36" s="220" t="s">
        <v>38</v>
      </c>
      <c r="I36" s="221"/>
      <c r="J36" s="220" t="s">
        <v>39</v>
      </c>
      <c r="K36" s="221"/>
      <c r="L36" s="220" t="s">
        <v>40</v>
      </c>
      <c r="M36" s="221"/>
      <c r="N36" s="220" t="s">
        <v>41</v>
      </c>
      <c r="O36" s="221"/>
      <c r="P36" s="220" t="s">
        <v>42</v>
      </c>
      <c r="Q36" s="221"/>
      <c r="R36" s="220" t="s">
        <v>43</v>
      </c>
      <c r="S36" s="222"/>
      <c r="T36" s="223" t="s">
        <v>44</v>
      </c>
      <c r="U36" s="223"/>
      <c r="W36"/>
    </row>
    <row r="37" spans="1:32" ht="45.6" customHeight="1">
      <c r="A37" s="198"/>
      <c r="F37" s="226"/>
      <c r="G37" s="225"/>
      <c r="H37" s="226"/>
      <c r="I37" s="225"/>
      <c r="J37" s="226"/>
      <c r="K37" s="225"/>
      <c r="L37" s="226"/>
      <c r="M37" s="225"/>
      <c r="N37" s="226"/>
      <c r="O37" s="225"/>
      <c r="P37" s="226"/>
      <c r="Q37" s="225"/>
      <c r="R37" s="226"/>
      <c r="S37" s="227"/>
      <c r="T37" s="208"/>
      <c r="U37" s="208"/>
      <c r="W37"/>
    </row>
    <row r="38" spans="1:32" ht="32.25">
      <c r="F38" s="230" t="s">
        <v>63</v>
      </c>
      <c r="G38" s="230"/>
      <c r="H38" s="230"/>
      <c r="I38" s="230"/>
      <c r="J38" s="231">
        <v>1062072197</v>
      </c>
      <c r="K38" s="232"/>
      <c r="L38" s="232"/>
      <c r="M38" s="232"/>
      <c r="N38" s="232"/>
      <c r="O38" s="233"/>
      <c r="P38" s="231"/>
      <c r="Q38" s="232"/>
      <c r="R38" s="232"/>
      <c r="S38" s="232"/>
      <c r="T38" s="232"/>
      <c r="U38" s="232"/>
      <c r="W38"/>
    </row>
    <row r="39" spans="1:32" ht="28.5">
      <c r="F39" s="230" t="s">
        <v>64</v>
      </c>
      <c r="G39" s="230"/>
      <c r="H39" s="230"/>
      <c r="I39" s="230"/>
      <c r="J39" s="234">
        <v>46014</v>
      </c>
      <c r="K39" s="235"/>
      <c r="L39" s="235"/>
      <c r="M39" s="235"/>
      <c r="N39" s="235"/>
      <c r="O39" s="236"/>
      <c r="P39" s="234"/>
      <c r="Q39" s="235"/>
      <c r="R39" s="235"/>
      <c r="S39" s="235"/>
      <c r="T39" s="235"/>
      <c r="U39" s="236"/>
      <c r="W39"/>
    </row>
    <row r="40" spans="1:32">
      <c r="M40" s="2"/>
      <c r="N40" s="2"/>
      <c r="O40" s="2"/>
      <c r="R40" s="2"/>
      <c r="S40" s="2"/>
      <c r="T40" s="2"/>
      <c r="U40" s="2"/>
    </row>
    <row r="41" spans="1:32" ht="42.6" customHeight="1">
      <c r="B41" s="173" t="s">
        <v>162</v>
      </c>
      <c r="C41" s="173"/>
      <c r="D41" s="111">
        <f>D3</f>
        <v>48</v>
      </c>
      <c r="E41" s="6" t="s">
        <v>122</v>
      </c>
      <c r="F41" s="165" t="s">
        <v>106</v>
      </c>
      <c r="G41" s="166"/>
      <c r="H41" s="165" t="s">
        <v>106</v>
      </c>
      <c r="I41" s="166"/>
      <c r="J41" s="165" t="s">
        <v>106</v>
      </c>
      <c r="K41" s="166"/>
      <c r="L41" s="165" t="s">
        <v>106</v>
      </c>
      <c r="M41" s="166"/>
      <c r="N41" s="165" t="s">
        <v>106</v>
      </c>
      <c r="O41" s="166"/>
      <c r="P41" s="165" t="s">
        <v>106</v>
      </c>
      <c r="Q41" s="166"/>
      <c r="R41" s="165" t="s">
        <v>106</v>
      </c>
      <c r="S41" s="166"/>
      <c r="T41" s="165" t="s">
        <v>105</v>
      </c>
      <c r="U41" s="166"/>
    </row>
    <row r="42" spans="1:32" ht="55.25" customHeight="1">
      <c r="A42" s="167" t="s">
        <v>1</v>
      </c>
      <c r="B42" s="167"/>
      <c r="C42" s="168"/>
      <c r="D42" s="169"/>
      <c r="E42" s="6" t="s">
        <v>6</v>
      </c>
      <c r="F42" s="170" t="str">
        <f>F4</f>
        <v>PN-264</v>
      </c>
      <c r="G42" s="170"/>
      <c r="H42" s="170" t="str">
        <f t="shared" ref="H42:H43" si="0">H4</f>
        <v>PN-265</v>
      </c>
      <c r="I42" s="170"/>
      <c r="J42" s="170" t="str">
        <f t="shared" ref="J42:J43" si="1">J4</f>
        <v>PE-351</v>
      </c>
      <c r="K42" s="170"/>
      <c r="L42" s="170" t="str">
        <f t="shared" ref="L42:L43" si="2">L4</f>
        <v>PN-266</v>
      </c>
      <c r="M42" s="170"/>
      <c r="N42" s="170" t="str">
        <f t="shared" ref="N42:N43" si="3">N4</f>
        <v>PN-267</v>
      </c>
      <c r="O42" s="170"/>
      <c r="P42" s="170" t="str">
        <f t="shared" ref="P42:P43" si="4">P4</f>
        <v>PN-268</v>
      </c>
      <c r="Q42" s="170"/>
      <c r="R42" s="170" t="str">
        <f t="shared" ref="R42:R43" si="5">R4</f>
        <v>PN-269</v>
      </c>
      <c r="S42" s="170"/>
      <c r="T42" s="170" t="str">
        <f t="shared" ref="T42:T43" si="6">T4</f>
        <v>PR_PN-106</v>
      </c>
      <c r="U42" s="170"/>
      <c r="W42" s="245"/>
      <c r="X42" s="245"/>
      <c r="Y42" s="245"/>
      <c r="Z42" s="245"/>
      <c r="AA42" s="245"/>
      <c r="AF42" s="14"/>
    </row>
    <row r="43" spans="1:32" ht="37.25" customHeight="1">
      <c r="A43" s="167"/>
      <c r="B43" s="167"/>
      <c r="C43" s="168"/>
      <c r="D43" s="169"/>
      <c r="E43" s="6" t="s">
        <v>51</v>
      </c>
      <c r="F43" s="237" t="str">
        <f>F5</f>
        <v>P</v>
      </c>
      <c r="G43" s="237"/>
      <c r="H43" s="237" t="str">
        <f t="shared" si="0"/>
        <v>P</v>
      </c>
      <c r="I43" s="237"/>
      <c r="J43" s="237" t="str">
        <f t="shared" si="1"/>
        <v>T4</v>
      </c>
      <c r="K43" s="237"/>
      <c r="L43" s="237" t="str">
        <f t="shared" si="2"/>
        <v>P</v>
      </c>
      <c r="M43" s="237"/>
      <c r="N43" s="237" t="str">
        <f t="shared" si="3"/>
        <v>P</v>
      </c>
      <c r="O43" s="237"/>
      <c r="P43" s="237" t="str">
        <f t="shared" si="4"/>
        <v>P</v>
      </c>
      <c r="Q43" s="237"/>
      <c r="R43" s="237" t="str">
        <f t="shared" si="5"/>
        <v>P</v>
      </c>
      <c r="S43" s="237"/>
      <c r="T43" s="237" t="str">
        <f t="shared" si="6"/>
        <v>P</v>
      </c>
      <c r="U43" s="237"/>
      <c r="AF43" s="14"/>
    </row>
    <row r="44" spans="1:32" ht="47" customHeight="1">
      <c r="B44" s="246" t="s">
        <v>990</v>
      </c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</row>
    <row r="45" spans="1:32" ht="53" customHeight="1">
      <c r="B45" s="238">
        <v>1</v>
      </c>
      <c r="C45" s="238"/>
      <c r="D45" s="239" t="s">
        <v>991</v>
      </c>
      <c r="E45" s="24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</row>
    <row r="46" spans="1:32" ht="38.25">
      <c r="B46" s="238">
        <v>2</v>
      </c>
      <c r="C46" s="238"/>
      <c r="D46" s="239" t="s">
        <v>992</v>
      </c>
      <c r="E46" s="24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</row>
    <row r="47" spans="1:32" ht="38.25">
      <c r="B47" s="238">
        <v>3</v>
      </c>
      <c r="C47" s="238"/>
      <c r="D47" s="239" t="s">
        <v>993</v>
      </c>
      <c r="E47" s="24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</row>
    <row r="48" spans="1:32" ht="38.25">
      <c r="B48" s="238">
        <v>4</v>
      </c>
      <c r="C48" s="238"/>
      <c r="D48" s="239" t="s">
        <v>994</v>
      </c>
      <c r="E48" s="24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</row>
    <row r="49" spans="2:23" ht="38.25">
      <c r="B49" s="238">
        <v>5</v>
      </c>
      <c r="C49" s="238"/>
      <c r="D49" s="239" t="s">
        <v>998</v>
      </c>
      <c r="E49" s="24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</row>
    <row r="50" spans="2:23" ht="38.25">
      <c r="B50" s="238">
        <v>6</v>
      </c>
      <c r="C50" s="238"/>
      <c r="D50" s="239" t="s">
        <v>999</v>
      </c>
      <c r="E50" s="24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</row>
    <row r="51" spans="2:23" ht="38.25">
      <c r="B51" s="238">
        <v>7</v>
      </c>
      <c r="C51" s="238"/>
      <c r="D51" s="241"/>
      <c r="E51" s="242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</row>
    <row r="52" spans="2:23" ht="38.25">
      <c r="B52" s="238">
        <v>8</v>
      </c>
      <c r="C52" s="238"/>
      <c r="D52" s="241"/>
      <c r="E52" s="242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</row>
    <row r="53" spans="2:23" ht="38.25">
      <c r="B53" s="238">
        <v>9</v>
      </c>
      <c r="C53" s="238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</row>
    <row r="54" spans="2:23" ht="38.25">
      <c r="B54" s="238">
        <v>10</v>
      </c>
      <c r="C54" s="238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</row>
    <row r="55" spans="2:23" ht="38.25">
      <c r="B55" s="238">
        <v>11</v>
      </c>
      <c r="C55" s="238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</row>
    <row r="56" spans="2:23" ht="38.25">
      <c r="B56" s="238">
        <v>12</v>
      </c>
      <c r="C56" s="238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</row>
    <row r="57" spans="2:23" ht="38.25">
      <c r="B57" s="238">
        <v>13</v>
      </c>
      <c r="C57" s="238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</row>
    <row r="58" spans="2:23" ht="38.25">
      <c r="B58" s="238">
        <v>14</v>
      </c>
      <c r="C58" s="238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</row>
    <row r="59" spans="2:23" ht="37.799999999999997" customHeight="1">
      <c r="B59"/>
      <c r="C59"/>
      <c r="D59"/>
      <c r="E59"/>
      <c r="F59"/>
      <c r="G59"/>
      <c r="H59"/>
      <c r="I59"/>
      <c r="J59"/>
      <c r="K59"/>
      <c r="L59"/>
      <c r="P59"/>
      <c r="Q59"/>
      <c r="W59"/>
    </row>
    <row r="60" spans="2:23" ht="37.799999999999997" customHeight="1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799999999999997" customHeight="1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799999999999997" customHeight="1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799999999999997" customHeight="1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799999999999997" customHeight="1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spans="2:23" ht="37.799999999999997" customHeight="1">
      <c r="B65"/>
      <c r="C65"/>
      <c r="D65"/>
      <c r="E65"/>
      <c r="F65"/>
      <c r="G65"/>
      <c r="H65"/>
      <c r="I65"/>
      <c r="J65"/>
      <c r="K65"/>
      <c r="L65"/>
      <c r="P65"/>
      <c r="Q65"/>
      <c r="W65"/>
    </row>
    <row r="66" spans="2:23" ht="37.799999999999997" customHeight="1">
      <c r="B66"/>
      <c r="C66"/>
      <c r="D66"/>
      <c r="E66"/>
      <c r="F66"/>
      <c r="G66"/>
      <c r="H66"/>
      <c r="I66"/>
      <c r="J66"/>
      <c r="K66"/>
      <c r="L66"/>
      <c r="P66"/>
      <c r="Q66"/>
      <c r="W66"/>
    </row>
    <row r="67" spans="2:23" ht="37.799999999999997" customHeight="1">
      <c r="B67"/>
      <c r="C67"/>
      <c r="D67"/>
      <c r="E67"/>
      <c r="F67"/>
      <c r="G67"/>
      <c r="H67"/>
      <c r="I67"/>
      <c r="J67"/>
      <c r="K67"/>
      <c r="L67"/>
      <c r="P67"/>
      <c r="Q67"/>
      <c r="W67"/>
    </row>
    <row r="68" spans="2:23" ht="37.799999999999997" customHeight="1">
      <c r="B68"/>
      <c r="C68"/>
      <c r="D68"/>
      <c r="E68"/>
      <c r="F68"/>
      <c r="G68"/>
      <c r="H68"/>
      <c r="I68"/>
      <c r="J68"/>
      <c r="K68"/>
      <c r="L68"/>
      <c r="P68"/>
      <c r="Q68"/>
      <c r="W68"/>
    </row>
    <row r="69" spans="2:23" ht="37.799999999999997" customHeight="1">
      <c r="B69"/>
      <c r="C69"/>
      <c r="D69"/>
      <c r="E69"/>
      <c r="F69"/>
      <c r="G69"/>
      <c r="H69"/>
      <c r="I69"/>
      <c r="J69"/>
      <c r="K69"/>
      <c r="L69"/>
      <c r="P69"/>
      <c r="Q69"/>
      <c r="W69"/>
    </row>
    <row r="70" spans="2:23" ht="37.799999999999997" customHeight="1">
      <c r="B70"/>
      <c r="C70"/>
      <c r="D70"/>
      <c r="E70"/>
      <c r="F70"/>
      <c r="G70"/>
      <c r="H70"/>
      <c r="I70"/>
      <c r="J70"/>
      <c r="K70"/>
      <c r="L70"/>
      <c r="P70"/>
      <c r="Q70"/>
      <c r="W70"/>
    </row>
    <row r="71" spans="2:23" ht="37.799999999999997" customHeight="1">
      <c r="B71"/>
      <c r="C71"/>
      <c r="D71"/>
      <c r="E71"/>
      <c r="F71"/>
      <c r="G71"/>
      <c r="H71"/>
      <c r="I71"/>
      <c r="J71"/>
      <c r="K71"/>
      <c r="L71"/>
      <c r="P71"/>
      <c r="Q71"/>
      <c r="W71"/>
    </row>
    <row r="72" spans="2:23" ht="37.799999999999997" customHeight="1">
      <c r="B72"/>
      <c r="C72"/>
      <c r="D72"/>
      <c r="E72"/>
      <c r="F72"/>
      <c r="G72"/>
      <c r="H72"/>
      <c r="I72"/>
      <c r="J72"/>
      <c r="K72"/>
      <c r="L72"/>
      <c r="P72"/>
      <c r="Q72"/>
      <c r="W72"/>
    </row>
    <row r="73" spans="2:23" ht="37.799999999999997" customHeight="1">
      <c r="B73"/>
      <c r="C73"/>
      <c r="D73"/>
      <c r="E73"/>
      <c r="F73"/>
      <c r="G73"/>
      <c r="H73"/>
      <c r="I73"/>
      <c r="J73"/>
      <c r="K73"/>
      <c r="L73"/>
      <c r="P73"/>
      <c r="Q73"/>
      <c r="W73"/>
    </row>
    <row r="74" spans="2:23" ht="37.799999999999997" customHeight="1">
      <c r="B74"/>
      <c r="C74"/>
      <c r="D74"/>
      <c r="E74"/>
      <c r="F74"/>
      <c r="G74"/>
      <c r="H74"/>
      <c r="I74"/>
      <c r="J74"/>
      <c r="K74"/>
      <c r="L74"/>
      <c r="P74"/>
      <c r="Q74"/>
      <c r="W74"/>
    </row>
    <row r="75" spans="2:23" ht="37.799999999999997" customHeight="1">
      <c r="B75"/>
      <c r="C75"/>
      <c r="D75"/>
      <c r="E75"/>
      <c r="F75"/>
      <c r="G75"/>
      <c r="H75"/>
      <c r="I75"/>
      <c r="J75"/>
      <c r="K75"/>
      <c r="L75"/>
      <c r="P75"/>
      <c r="Q75"/>
      <c r="W75"/>
    </row>
    <row r="76" spans="2:23" ht="37.799999999999997" customHeight="1">
      <c r="B76"/>
      <c r="C76"/>
      <c r="D76"/>
      <c r="E76"/>
      <c r="F76"/>
      <c r="G76"/>
      <c r="H76"/>
      <c r="I76"/>
      <c r="J76"/>
      <c r="K76"/>
      <c r="L76"/>
      <c r="P76"/>
      <c r="Q76"/>
      <c r="W76"/>
    </row>
    <row r="77" spans="2:23" ht="37.799999999999997" customHeight="1">
      <c r="B77"/>
      <c r="C77"/>
      <c r="D77"/>
      <c r="E77"/>
      <c r="F77"/>
      <c r="G77"/>
      <c r="H77"/>
      <c r="I77"/>
      <c r="J77"/>
      <c r="K77"/>
      <c r="L77"/>
      <c r="P77"/>
      <c r="Q77"/>
      <c r="W77"/>
    </row>
    <row r="78" spans="2:23" ht="37.799999999999997" customHeight="1">
      <c r="B78"/>
      <c r="C78"/>
      <c r="D78"/>
      <c r="E78"/>
      <c r="F78"/>
      <c r="G78"/>
      <c r="H78"/>
      <c r="I78"/>
      <c r="J78"/>
      <c r="K78"/>
      <c r="L78"/>
      <c r="P78"/>
      <c r="Q78"/>
      <c r="W78"/>
    </row>
  </sheetData>
  <mergeCells count="377">
    <mergeCell ref="AA32:AB32"/>
    <mergeCell ref="AA31:AB31"/>
    <mergeCell ref="T1:U2"/>
    <mergeCell ref="AA14:AB14"/>
    <mergeCell ref="Y33:Z33"/>
    <mergeCell ref="AA33:AB33"/>
    <mergeCell ref="W32:X32"/>
    <mergeCell ref="Y27:Z27"/>
    <mergeCell ref="AA27:AB27"/>
    <mergeCell ref="Y19:Z19"/>
    <mergeCell ref="W19:X19"/>
    <mergeCell ref="Y22:Z22"/>
    <mergeCell ref="AA22:AB22"/>
    <mergeCell ref="Y20:Z20"/>
    <mergeCell ref="AA19:AB19"/>
    <mergeCell ref="W20:X20"/>
    <mergeCell ref="AA21:AB21"/>
    <mergeCell ref="W23:X23"/>
    <mergeCell ref="Y23:Z23"/>
    <mergeCell ref="AA23:AB23"/>
    <mergeCell ref="AA16:AB16"/>
    <mergeCell ref="Y13:Z13"/>
    <mergeCell ref="AA13:AB13"/>
    <mergeCell ref="Y16:Z16"/>
    <mergeCell ref="E1:E2"/>
    <mergeCell ref="F1:G2"/>
    <mergeCell ref="H1:I2"/>
    <mergeCell ref="J1:K2"/>
    <mergeCell ref="L1:M2"/>
    <mergeCell ref="N1:O2"/>
    <mergeCell ref="P1:Q2"/>
    <mergeCell ref="R1:S2"/>
    <mergeCell ref="W18:X18"/>
    <mergeCell ref="W16:X16"/>
    <mergeCell ref="W17:X17"/>
    <mergeCell ref="W13:X13"/>
    <mergeCell ref="W15:X15"/>
    <mergeCell ref="Q9:Q10"/>
    <mergeCell ref="R9:R10"/>
    <mergeCell ref="S9:S10"/>
    <mergeCell ref="T9:T10"/>
    <mergeCell ref="U9:U10"/>
    <mergeCell ref="K9:K10"/>
    <mergeCell ref="L9:L10"/>
    <mergeCell ref="M9:M10"/>
    <mergeCell ref="N9:N10"/>
    <mergeCell ref="O9:O10"/>
    <mergeCell ref="P9:P10"/>
    <mergeCell ref="Y21:Z21"/>
    <mergeCell ref="AA20:AB20"/>
    <mergeCell ref="W1:X1"/>
    <mergeCell ref="W6:X7"/>
    <mergeCell ref="W14:X14"/>
    <mergeCell ref="Y14:Z14"/>
    <mergeCell ref="W5:X5"/>
    <mergeCell ref="Y5:Z5"/>
    <mergeCell ref="Y3:Z3"/>
    <mergeCell ref="AA5:AB5"/>
    <mergeCell ref="Y9:Z9"/>
    <mergeCell ref="Y8:Z8"/>
    <mergeCell ref="AA8:AB8"/>
    <mergeCell ref="W8:X8"/>
    <mergeCell ref="W11:X11"/>
    <mergeCell ref="Y11:Z11"/>
    <mergeCell ref="AA11:AB11"/>
    <mergeCell ref="W12:X12"/>
    <mergeCell ref="W9:X9"/>
    <mergeCell ref="W10:X10"/>
    <mergeCell ref="Y4:Z4"/>
    <mergeCell ref="AA4:AB4"/>
    <mergeCell ref="W2:X2"/>
    <mergeCell ref="W4:X4"/>
    <mergeCell ref="Y2:Z2"/>
    <mergeCell ref="AA2:AB2"/>
    <mergeCell ref="W3:X3"/>
    <mergeCell ref="W25:X25"/>
    <mergeCell ref="R58:S58"/>
    <mergeCell ref="T58:U58"/>
    <mergeCell ref="W42:AA42"/>
    <mergeCell ref="R57:S57"/>
    <mergeCell ref="T57:U57"/>
    <mergeCell ref="T56:U56"/>
    <mergeCell ref="R55:S55"/>
    <mergeCell ref="T55:U55"/>
    <mergeCell ref="T52:U52"/>
    <mergeCell ref="T53:U53"/>
    <mergeCell ref="T50:U50"/>
    <mergeCell ref="T51:U51"/>
    <mergeCell ref="T48:U48"/>
    <mergeCell ref="T49:U49"/>
    <mergeCell ref="T46:U46"/>
    <mergeCell ref="T47:U47"/>
    <mergeCell ref="B44:AD44"/>
    <mergeCell ref="B45:C45"/>
    <mergeCell ref="D45:E45"/>
    <mergeCell ref="F45:G45"/>
    <mergeCell ref="B58:C58"/>
    <mergeCell ref="D58:E58"/>
    <mergeCell ref="F58:G58"/>
    <mergeCell ref="H58:I58"/>
    <mergeCell ref="J58:K58"/>
    <mergeCell ref="L58:M58"/>
    <mergeCell ref="N58:O58"/>
    <mergeCell ref="P58:Q58"/>
    <mergeCell ref="R56:S56"/>
    <mergeCell ref="B57:C57"/>
    <mergeCell ref="D57:E57"/>
    <mergeCell ref="F57:G57"/>
    <mergeCell ref="H57:I57"/>
    <mergeCell ref="J57:K57"/>
    <mergeCell ref="L57:M57"/>
    <mergeCell ref="N57:O57"/>
    <mergeCell ref="P57:Q57"/>
    <mergeCell ref="B56:C56"/>
    <mergeCell ref="D56:E56"/>
    <mergeCell ref="F56:G56"/>
    <mergeCell ref="H56:I56"/>
    <mergeCell ref="J56:K56"/>
    <mergeCell ref="L56:M56"/>
    <mergeCell ref="N56:O56"/>
    <mergeCell ref="P56:Q56"/>
    <mergeCell ref="T54:U54"/>
    <mergeCell ref="B55:C55"/>
    <mergeCell ref="D55:E55"/>
    <mergeCell ref="F55:G55"/>
    <mergeCell ref="H55:I55"/>
    <mergeCell ref="J55:K55"/>
    <mergeCell ref="L55:M55"/>
    <mergeCell ref="N55:O55"/>
    <mergeCell ref="P55:Q5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H45:I45"/>
    <mergeCell ref="J45:K45"/>
    <mergeCell ref="L45:M45"/>
    <mergeCell ref="N45:O45"/>
    <mergeCell ref="P45:Q45"/>
    <mergeCell ref="R45:S45"/>
    <mergeCell ref="T45:U45"/>
    <mergeCell ref="T42:U42"/>
    <mergeCell ref="F43:G43"/>
    <mergeCell ref="H43:I43"/>
    <mergeCell ref="J43:K43"/>
    <mergeCell ref="L43:M43"/>
    <mergeCell ref="N43:O43"/>
    <mergeCell ref="P43:Q43"/>
    <mergeCell ref="R43:S43"/>
    <mergeCell ref="T43:U43"/>
    <mergeCell ref="A42:B43"/>
    <mergeCell ref="C42:D43"/>
    <mergeCell ref="F42:G42"/>
    <mergeCell ref="H42:I42"/>
    <mergeCell ref="J42:K42"/>
    <mergeCell ref="L42:M42"/>
    <mergeCell ref="N42:O42"/>
    <mergeCell ref="P42:Q42"/>
    <mergeCell ref="R42:S42"/>
    <mergeCell ref="F39:I39"/>
    <mergeCell ref="J39:O39"/>
    <mergeCell ref="P39:U39"/>
    <mergeCell ref="B41:C41"/>
    <mergeCell ref="F41:G41"/>
    <mergeCell ref="H41:I41"/>
    <mergeCell ref="J41:K41"/>
    <mergeCell ref="L41:M41"/>
    <mergeCell ref="N41:O41"/>
    <mergeCell ref="P41:Q41"/>
    <mergeCell ref="R41:S41"/>
    <mergeCell ref="T41:U41"/>
    <mergeCell ref="F38:I38"/>
    <mergeCell ref="J38:O38"/>
    <mergeCell ref="P38:U38"/>
    <mergeCell ref="P37:Q37"/>
    <mergeCell ref="R37:S37"/>
    <mergeCell ref="T37:U37"/>
    <mergeCell ref="N36:O36"/>
    <mergeCell ref="P36:Q36"/>
    <mergeCell ref="R36:S36"/>
    <mergeCell ref="T36:U36"/>
    <mergeCell ref="F37:G37"/>
    <mergeCell ref="H37:I37"/>
    <mergeCell ref="J37:K37"/>
    <mergeCell ref="L37:M37"/>
    <mergeCell ref="N37:O37"/>
    <mergeCell ref="F36:G36"/>
    <mergeCell ref="H36:I36"/>
    <mergeCell ref="J36:K36"/>
    <mergeCell ref="L36:M36"/>
    <mergeCell ref="P33:Q33"/>
    <mergeCell ref="R33:S33"/>
    <mergeCell ref="T33:U33"/>
    <mergeCell ref="F34:G34"/>
    <mergeCell ref="H34:I34"/>
    <mergeCell ref="J34:K34"/>
    <mergeCell ref="L34:M34"/>
    <mergeCell ref="N34:O34"/>
    <mergeCell ref="P34:Q34"/>
    <mergeCell ref="R34:S34"/>
    <mergeCell ref="F33:G33"/>
    <mergeCell ref="H33:I33"/>
    <mergeCell ref="J33:K33"/>
    <mergeCell ref="L33:M33"/>
    <mergeCell ref="N33:O33"/>
    <mergeCell ref="C27:E27"/>
    <mergeCell ref="C28:E28"/>
    <mergeCell ref="C29:E29"/>
    <mergeCell ref="AC23:AD23"/>
    <mergeCell ref="C24:E24"/>
    <mergeCell ref="C25:E25"/>
    <mergeCell ref="C26:E26"/>
    <mergeCell ref="T34:U34"/>
    <mergeCell ref="C35:E35"/>
    <mergeCell ref="C33:E33"/>
    <mergeCell ref="Y34:Z34"/>
    <mergeCell ref="AA34:AB34"/>
    <mergeCell ref="AA25:AB25"/>
    <mergeCell ref="Y25:Z25"/>
    <mergeCell ref="W24:X24"/>
    <mergeCell ref="Y28:Z28"/>
    <mergeCell ref="AA28:AB28"/>
    <mergeCell ref="Y32:Z32"/>
    <mergeCell ref="Y31:Z31"/>
    <mergeCell ref="W26:X26"/>
    <mergeCell ref="Y26:Z26"/>
    <mergeCell ref="AA26:AB26"/>
    <mergeCell ref="W30:X30"/>
    <mergeCell ref="W31:X31"/>
    <mergeCell ref="B9:B10"/>
    <mergeCell ref="C9:E10"/>
    <mergeCell ref="F9:F10"/>
    <mergeCell ref="G9:G10"/>
    <mergeCell ref="H9:H10"/>
    <mergeCell ref="I9:I10"/>
    <mergeCell ref="J9:J10"/>
    <mergeCell ref="A10:A37"/>
    <mergeCell ref="C11:E11"/>
    <mergeCell ref="C15:E15"/>
    <mergeCell ref="C16:E16"/>
    <mergeCell ref="C21:E21"/>
    <mergeCell ref="C22:E22"/>
    <mergeCell ref="C23:E23"/>
    <mergeCell ref="C19:E19"/>
    <mergeCell ref="C20:E20"/>
    <mergeCell ref="C17:E17"/>
    <mergeCell ref="C18:E18"/>
    <mergeCell ref="C12:E12"/>
    <mergeCell ref="C13:E13"/>
    <mergeCell ref="C14:E14"/>
    <mergeCell ref="C30:E30"/>
    <mergeCell ref="C31:E31"/>
    <mergeCell ref="C32:E32"/>
    <mergeCell ref="P5:Q5"/>
    <mergeCell ref="R5:S5"/>
    <mergeCell ref="T5:U5"/>
    <mergeCell ref="A6:B6"/>
    <mergeCell ref="C6:D6"/>
    <mergeCell ref="E6:E7"/>
    <mergeCell ref="F6:G7"/>
    <mergeCell ref="H6:I7"/>
    <mergeCell ref="J6:K7"/>
    <mergeCell ref="L6:M7"/>
    <mergeCell ref="N6:O7"/>
    <mergeCell ref="P6:Q7"/>
    <mergeCell ref="R6:S7"/>
    <mergeCell ref="T6:U7"/>
    <mergeCell ref="C7:D8"/>
    <mergeCell ref="F8:G8"/>
    <mergeCell ref="H8:I8"/>
    <mergeCell ref="J8:K8"/>
    <mergeCell ref="L8:M8"/>
    <mergeCell ref="N8:O8"/>
    <mergeCell ref="P8:Q8"/>
    <mergeCell ref="R8:S8"/>
    <mergeCell ref="T8:U8"/>
    <mergeCell ref="R3:S3"/>
    <mergeCell ref="T3:U3"/>
    <mergeCell ref="A4:B5"/>
    <mergeCell ref="C4:D5"/>
    <mergeCell ref="F4:G4"/>
    <mergeCell ref="H4:I4"/>
    <mergeCell ref="J4:K4"/>
    <mergeCell ref="L4:M4"/>
    <mergeCell ref="B3:C3"/>
    <mergeCell ref="F3:G3"/>
    <mergeCell ref="H3:I3"/>
    <mergeCell ref="J3:K3"/>
    <mergeCell ref="L3:M3"/>
    <mergeCell ref="N3:O3"/>
    <mergeCell ref="P3:Q3"/>
    <mergeCell ref="N4:O4"/>
    <mergeCell ref="P4:Q4"/>
    <mergeCell ref="R4:S4"/>
    <mergeCell ref="T4:U4"/>
    <mergeCell ref="F5:G5"/>
    <mergeCell ref="H5:I5"/>
    <mergeCell ref="J5:K5"/>
    <mergeCell ref="L5:M5"/>
    <mergeCell ref="N5:O5"/>
  </mergeCells>
  <pageMargins left="0.51181102362204722" right="0.51181102362204722" top="0.78740157480314965" bottom="0.78740157480314965" header="0.31496062992125984" footer="0.31496062992125984"/>
  <pageSetup paperSize="9" scale="25" orientation="landscape" r:id="rId1"/>
  <rowBreaks count="1" manualBreakCount="1">
    <brk id="39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91746-886B-48C7-9368-12C5E819738C}">
          <x14:formula1>
            <xm:f>' CADASTRO'!$J$2:$J$993</xm:f>
          </x14:formula1>
          <xm:sqref>F5:U5 F43:U43</xm:sqref>
        </x14:dataValidation>
        <x14:dataValidation type="list" allowBlank="1" showInputMessage="1" showErrorMessage="1" xr:uid="{D72870CD-D1DE-45AC-9919-AA251D061B7B}">
          <x14:formula1>
            <xm:f>' CADASTRO'!$I$2:$I$993</xm:f>
          </x14:formula1>
          <xm:sqref>F4:U4 F42:U42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9836-FF9F-4C82-8CC7-69A1F6935902}">
  <dimension ref="A1:AQ79"/>
  <sheetViews>
    <sheetView view="pageBreakPreview" topLeftCell="M1" zoomScale="55" zoomScaleNormal="100" zoomScaleSheetLayoutView="55" workbookViewId="0">
      <selection activeCell="AD4" sqref="AD4"/>
    </sheetView>
  </sheetViews>
  <sheetFormatPr defaultRowHeight="15.75"/>
  <cols>
    <col min="1" max="1" width="4.46484375" customWidth="1"/>
    <col min="2" max="2" width="12" style="1" customWidth="1"/>
    <col min="3" max="3" width="18.1328125" style="2" customWidth="1"/>
    <col min="4" max="4" width="12.86328125" style="2" customWidth="1"/>
    <col min="5" max="5" width="81.86328125" style="2" customWidth="1"/>
    <col min="6" max="12" width="11.6640625" style="2" customWidth="1"/>
    <col min="13" max="13" width="16.86328125" customWidth="1"/>
    <col min="14" max="15" width="11.6640625" customWidth="1"/>
    <col min="16" max="17" width="11.6640625" style="2" customWidth="1"/>
    <col min="18" max="20" width="11.6640625" customWidth="1"/>
    <col min="21" max="21" width="17.6640625" customWidth="1"/>
    <col min="22" max="22" width="3.19921875" customWidth="1"/>
    <col min="23" max="23" width="8.86328125" style="24"/>
    <col min="24" max="24" width="25.6640625" customWidth="1"/>
    <col min="25" max="25" width="12" customWidth="1"/>
    <col min="26" max="26" width="32.19921875" customWidth="1"/>
    <col min="27" max="27" width="14.33203125" customWidth="1"/>
    <col min="28" max="28" width="26.33203125" customWidth="1"/>
    <col min="29" max="29" width="39.46484375" customWidth="1"/>
    <col min="30" max="30" width="49.33203125" customWidth="1"/>
    <col min="32" max="32" width="9.1328125" customWidth="1"/>
    <col min="34" max="34" width="18.6640625" style="144" bestFit="1" customWidth="1"/>
    <col min="35" max="35" width="20" style="144" bestFit="1" customWidth="1"/>
    <col min="36" max="36" width="13.33203125" style="144" customWidth="1"/>
    <col min="37" max="37" width="14" style="144" customWidth="1"/>
    <col min="38" max="38" width="21.33203125" style="144" customWidth="1"/>
    <col min="39" max="40" width="8.86328125" style="144"/>
    <col min="41" max="41" width="8.86328125" style="152"/>
    <col min="42" max="42" width="25.6640625" style="152" customWidth="1"/>
    <col min="43" max="43" width="8.86328125" style="152"/>
  </cols>
  <sheetData>
    <row r="1" spans="1:43" ht="35" customHeight="1">
      <c r="E1" s="261" t="s">
        <v>1000</v>
      </c>
      <c r="F1" s="263"/>
      <c r="G1" s="264"/>
      <c r="H1" s="263"/>
      <c r="I1" s="264"/>
      <c r="J1" s="263"/>
      <c r="K1" s="264"/>
      <c r="L1" s="263"/>
      <c r="M1" s="264"/>
      <c r="N1" s="263"/>
      <c r="O1" s="264"/>
      <c r="P1" s="263"/>
      <c r="Q1" s="264"/>
      <c r="R1" s="263"/>
      <c r="S1" s="264"/>
      <c r="T1" s="263"/>
      <c r="U1" s="264"/>
      <c r="W1" s="272" t="s">
        <v>73</v>
      </c>
      <c r="X1" s="272"/>
      <c r="AI1" s="145" t="s">
        <v>164</v>
      </c>
      <c r="AJ1" s="146" t="s">
        <v>48</v>
      </c>
      <c r="AK1" s="146" t="s">
        <v>240</v>
      </c>
      <c r="AL1" s="146" t="s">
        <v>49</v>
      </c>
      <c r="AM1" s="147" t="s">
        <v>50</v>
      </c>
      <c r="AN1" s="148"/>
      <c r="AO1" s="150"/>
      <c r="AP1" s="150"/>
      <c r="AQ1" s="151" t="s">
        <v>51</v>
      </c>
    </row>
    <row r="2" spans="1:43" ht="36.6" customHeight="1">
      <c r="E2" s="262"/>
      <c r="F2" s="265"/>
      <c r="G2" s="266"/>
      <c r="H2" s="265"/>
      <c r="I2" s="266"/>
      <c r="J2" s="265"/>
      <c r="K2" s="266"/>
      <c r="L2" s="265"/>
      <c r="M2" s="266"/>
      <c r="N2" s="265"/>
      <c r="O2" s="266"/>
      <c r="P2" s="265"/>
      <c r="Q2" s="266"/>
      <c r="R2" s="265"/>
      <c r="S2" s="266"/>
      <c r="T2" s="265"/>
      <c r="U2" s="266"/>
      <c r="W2" s="253" t="s">
        <v>1032</v>
      </c>
      <c r="X2" s="253"/>
      <c r="Y2" s="215">
        <f>Y3-378</f>
        <v>777</v>
      </c>
      <c r="Z2" s="216"/>
      <c r="AA2" s="243" t="s">
        <v>1026</v>
      </c>
      <c r="AB2" s="244"/>
      <c r="AC2" s="133"/>
      <c r="AD2" s="133" t="s">
        <v>1035</v>
      </c>
      <c r="AF2" s="40">
        <v>1</v>
      </c>
      <c r="AG2" s="52" t="s">
        <v>1034</v>
      </c>
      <c r="AH2" s="144">
        <v>43</v>
      </c>
      <c r="AI2" s="149" cm="1">
        <f t="array" ref="AI2:AQ3">_xlfn._xlws.FILTER(' CADASTRO'!B:J,' CADASTRO'!C:C='SC-10 PN2'!AH2,)</f>
        <v>45839</v>
      </c>
      <c r="AJ2" s="144">
        <v>43</v>
      </c>
      <c r="AK2" s="144">
        <v>1</v>
      </c>
      <c r="AL2" s="144" t="str">
        <v>REATOR 3</v>
      </c>
      <c r="AM2" s="144" t="str">
        <v>PF</v>
      </c>
      <c r="AN2" s="144" t="str">
        <v>-</v>
      </c>
      <c r="AO2" s="152" t="str">
        <v>156</v>
      </c>
      <c r="AP2" s="152" t="str">
        <v>PF-156</v>
      </c>
      <c r="AQ2" s="152" t="str">
        <v>PF</v>
      </c>
    </row>
    <row r="3" spans="1:43" ht="42.6" customHeight="1">
      <c r="B3" s="173" t="s">
        <v>162</v>
      </c>
      <c r="C3" s="173"/>
      <c r="D3" s="111">
        <f>MAX(' CADASTRO'!C2:C1000)</f>
        <v>48</v>
      </c>
      <c r="E3" s="120" t="s">
        <v>122</v>
      </c>
      <c r="F3" s="165" t="s">
        <v>106</v>
      </c>
      <c r="G3" s="166"/>
      <c r="H3" s="165" t="s">
        <v>106</v>
      </c>
      <c r="I3" s="166"/>
      <c r="J3" s="165" t="s">
        <v>106</v>
      </c>
      <c r="K3" s="166"/>
      <c r="L3" s="165" t="s">
        <v>106</v>
      </c>
      <c r="M3" s="166"/>
      <c r="N3" s="165" t="s">
        <v>106</v>
      </c>
      <c r="O3" s="166"/>
      <c r="P3" s="165" t="s">
        <v>106</v>
      </c>
      <c r="Q3" s="166"/>
      <c r="R3" s="165" t="s">
        <v>106</v>
      </c>
      <c r="S3" s="166"/>
      <c r="T3" s="165" t="s">
        <v>105</v>
      </c>
      <c r="U3" s="166"/>
      <c r="W3" s="218" t="s">
        <v>1031</v>
      </c>
      <c r="X3" s="219"/>
      <c r="Y3" s="251">
        <v>1155</v>
      </c>
      <c r="Z3" s="252"/>
      <c r="AA3" s="137" t="s">
        <v>1027</v>
      </c>
      <c r="AB3" s="138"/>
      <c r="AC3" s="75"/>
      <c r="AD3" s="75"/>
      <c r="AF3" s="40">
        <v>2</v>
      </c>
      <c r="AG3" s="52" t="s">
        <v>1034</v>
      </c>
      <c r="AI3" s="149">
        <v>45839</v>
      </c>
      <c r="AJ3" s="144">
        <v>43</v>
      </c>
      <c r="AK3" s="144">
        <v>1</v>
      </c>
      <c r="AL3" s="144" t="str">
        <v>PRIMARIO 2</v>
      </c>
      <c r="AM3" s="144" t="str">
        <v>PF</v>
      </c>
      <c r="AN3" s="144" t="str">
        <v>-</v>
      </c>
      <c r="AO3" s="152">
        <v>144</v>
      </c>
      <c r="AP3" s="152" t="str">
        <v>PR_PF-144</v>
      </c>
      <c r="AQ3" s="152" t="str">
        <v>PF</v>
      </c>
    </row>
    <row r="4" spans="1:43" ht="38" customHeight="1">
      <c r="A4" s="167" t="s">
        <v>1</v>
      </c>
      <c r="B4" s="167"/>
      <c r="C4" s="168">
        <f ca="1">TODAY()</f>
        <v>45853</v>
      </c>
      <c r="D4" s="169"/>
      <c r="E4" s="120" t="s">
        <v>6</v>
      </c>
      <c r="F4" s="170" t="s">
        <v>1007</v>
      </c>
      <c r="G4" s="170"/>
      <c r="H4" s="171" t="s">
        <v>1008</v>
      </c>
      <c r="I4" s="172"/>
      <c r="J4" s="171" t="s">
        <v>1009</v>
      </c>
      <c r="K4" s="172"/>
      <c r="L4" s="171" t="s">
        <v>1010</v>
      </c>
      <c r="M4" s="172"/>
      <c r="N4" s="171" t="s">
        <v>1011</v>
      </c>
      <c r="O4" s="172"/>
      <c r="P4" s="171" t="s">
        <v>1012</v>
      </c>
      <c r="Q4" s="172"/>
      <c r="R4" s="170" t="s">
        <v>1013</v>
      </c>
      <c r="S4" s="170"/>
      <c r="T4" s="170" t="s">
        <v>1014</v>
      </c>
      <c r="U4" s="170"/>
      <c r="W4" s="257" t="s">
        <v>1028</v>
      </c>
      <c r="X4" s="258"/>
      <c r="Y4" s="259" t="s">
        <v>1021</v>
      </c>
      <c r="Z4" s="260"/>
      <c r="AA4" s="259" t="s">
        <v>1022</v>
      </c>
      <c r="AB4" s="260"/>
      <c r="AC4" s="132" t="s">
        <v>1023</v>
      </c>
      <c r="AD4" s="132" t="s">
        <v>1024</v>
      </c>
      <c r="AF4" s="40">
        <v>3</v>
      </c>
      <c r="AG4" s="52" t="s">
        <v>1034</v>
      </c>
      <c r="AI4" s="149"/>
    </row>
    <row r="5" spans="1:43" ht="50.45" customHeight="1">
      <c r="A5" s="167"/>
      <c r="B5" s="167"/>
      <c r="C5" s="168"/>
      <c r="D5" s="169"/>
      <c r="E5" s="120" t="s">
        <v>51</v>
      </c>
      <c r="F5" s="237" t="str">
        <f>VLOOKUP(F4,' CADASTRO'!$I$2:$J$1000,2,0)</f>
        <v>P</v>
      </c>
      <c r="G5" s="237"/>
      <c r="H5" s="237" t="str">
        <f>VLOOKUP(H4,' CADASTRO'!$I$2:$J$1000,2,0)</f>
        <v>P</v>
      </c>
      <c r="I5" s="237"/>
      <c r="J5" s="237" t="str">
        <f>VLOOKUP(J4,' CADASTRO'!$I$2:$J$1000,2,0)</f>
        <v>P</v>
      </c>
      <c r="K5" s="237"/>
      <c r="L5" s="237" t="str">
        <f>VLOOKUP(L4,' CADASTRO'!$I$2:$J$1000,2,0)</f>
        <v>T4</v>
      </c>
      <c r="M5" s="237"/>
      <c r="N5" s="237" t="str">
        <f>VLOOKUP(N4,' CADASTRO'!$I$2:$J$1000,2,0)</f>
        <v>P</v>
      </c>
      <c r="O5" s="237"/>
      <c r="P5" s="237" t="str">
        <f>VLOOKUP(P4,' CADASTRO'!$I$2:$J$1000,2,0)</f>
        <v>P</v>
      </c>
      <c r="Q5" s="237"/>
      <c r="R5" s="237" t="str">
        <f>VLOOKUP(R4,' CADASTRO'!$I$2:$J$1000,2,0)</f>
        <v>P</v>
      </c>
      <c r="S5" s="237"/>
      <c r="T5" s="237" t="str">
        <f>VLOOKUP(T4,' CADASTRO'!$I$2:$J$1000,2,0)</f>
        <v>P</v>
      </c>
      <c r="U5" s="237"/>
      <c r="W5" s="250" t="s">
        <v>1025</v>
      </c>
      <c r="X5" s="250"/>
      <c r="Y5" s="211"/>
      <c r="Z5" s="212"/>
      <c r="AA5" s="211"/>
      <c r="AB5" s="212"/>
      <c r="AC5" s="75"/>
      <c r="AD5" s="75"/>
      <c r="AF5" s="40">
        <v>4</v>
      </c>
      <c r="AG5" s="52" t="s">
        <v>1034</v>
      </c>
      <c r="AI5" s="149"/>
    </row>
    <row r="6" spans="1:43" ht="15.6" customHeight="1">
      <c r="A6" s="175" t="s">
        <v>82</v>
      </c>
      <c r="B6" s="175"/>
      <c r="C6" s="176"/>
      <c r="D6" s="177"/>
      <c r="E6" s="178" t="s">
        <v>62</v>
      </c>
      <c r="F6" s="180" t="str">
        <f>VLOOKUP(F4,' CADASTRO'!$I$2:$Q$994,9,0)</f>
        <v>NÃO TEM CHAPA</v>
      </c>
      <c r="G6" s="181"/>
      <c r="H6" s="180" t="str">
        <f>VLOOKUP(H4,' CADASTRO'!$I$2:$Q$994,9,0)</f>
        <v>NÃO TEM CHAPA</v>
      </c>
      <c r="I6" s="181"/>
      <c r="J6" s="180" t="str">
        <f>VLOOKUP(J4,' CADASTRO'!$I$2:$Q$994,9,0)</f>
        <v>NÃO TEM CHAPA</v>
      </c>
      <c r="K6" s="181"/>
      <c r="L6" s="180" t="str">
        <f>VLOOKUP(L4,' CADASTRO'!$I$2:$Q$994,9,0)</f>
        <v>#3/8-530X530</v>
      </c>
      <c r="M6" s="181"/>
      <c r="N6" s="180" t="str">
        <f>VLOOKUP(N4,' CADASTRO'!$I$2:$Q$994,9,0)</f>
        <v>NÃO TEM CHAPA</v>
      </c>
      <c r="O6" s="181"/>
      <c r="P6" s="180" t="str">
        <f>VLOOKUP(P4,' CADASTRO'!$I$2:$Q$994,9,0)</f>
        <v>NÃO TEM CHAPA</v>
      </c>
      <c r="Q6" s="181"/>
      <c r="R6" s="180" t="str">
        <f>VLOOKUP(R4,' CADASTRO'!$I$2:$Q$994,9,0)</f>
        <v>NÃO TEM CHAPA</v>
      </c>
      <c r="S6" s="184"/>
      <c r="T6" s="186" t="str">
        <f>VLOOKUP(T4,' CADASTRO'!$I$2:$Q$994,9,0)</f>
        <v>NÃO TEM CHAPA</v>
      </c>
      <c r="U6" s="186"/>
      <c r="W6" s="272" t="s">
        <v>75</v>
      </c>
      <c r="X6" s="272"/>
      <c r="AF6" s="40">
        <v>5</v>
      </c>
      <c r="AG6" s="52" t="s">
        <v>1034</v>
      </c>
      <c r="AI6" s="149"/>
    </row>
    <row r="7" spans="1:43">
      <c r="C7" s="187" t="s">
        <v>111</v>
      </c>
      <c r="D7" s="187"/>
      <c r="E7" s="179"/>
      <c r="F7" s="182"/>
      <c r="G7" s="183"/>
      <c r="H7" s="182"/>
      <c r="I7" s="183"/>
      <c r="J7" s="182"/>
      <c r="K7" s="183"/>
      <c r="L7" s="182"/>
      <c r="M7" s="183"/>
      <c r="N7" s="182"/>
      <c r="O7" s="183"/>
      <c r="P7" s="182"/>
      <c r="Q7" s="183"/>
      <c r="R7" s="182"/>
      <c r="S7" s="185"/>
      <c r="T7" s="186"/>
      <c r="U7" s="186"/>
      <c r="W7" s="272"/>
      <c r="X7" s="272"/>
      <c r="AF7" s="40">
        <v>6</v>
      </c>
      <c r="AG7" s="52" t="s">
        <v>1034</v>
      </c>
      <c r="AI7" s="149"/>
    </row>
    <row r="8" spans="1:43" ht="48" customHeight="1">
      <c r="C8" s="187"/>
      <c r="D8" s="187"/>
      <c r="E8" s="43" t="s">
        <v>65</v>
      </c>
      <c r="F8" s="188" t="s">
        <v>59</v>
      </c>
      <c r="G8" s="189"/>
      <c r="H8" s="188" t="s">
        <v>66</v>
      </c>
      <c r="I8" s="189"/>
      <c r="J8" s="188" t="s">
        <v>67</v>
      </c>
      <c r="K8" s="189"/>
      <c r="L8" s="188" t="s">
        <v>68</v>
      </c>
      <c r="M8" s="189"/>
      <c r="N8" s="188" t="s">
        <v>69</v>
      </c>
      <c r="O8" s="189"/>
      <c r="P8" s="188" t="s">
        <v>70</v>
      </c>
      <c r="Q8" s="189"/>
      <c r="R8" s="188" t="s">
        <v>71</v>
      </c>
      <c r="S8" s="190"/>
      <c r="T8" s="191" t="s">
        <v>72</v>
      </c>
      <c r="U8" s="191"/>
      <c r="W8" s="253" t="s">
        <v>1032</v>
      </c>
      <c r="X8" s="253"/>
      <c r="Y8" s="215">
        <f>IF(Y9="","",Y9-378)</f>
        <v>778</v>
      </c>
      <c r="Z8" s="216"/>
      <c r="AA8" s="218" t="s">
        <v>1026</v>
      </c>
      <c r="AB8" s="219"/>
      <c r="AC8" s="133"/>
      <c r="AD8" s="133" t="s">
        <v>1035</v>
      </c>
      <c r="AF8" s="14"/>
      <c r="AI8" s="149"/>
    </row>
    <row r="9" spans="1:43" ht="38.450000000000003" customHeight="1">
      <c r="B9" s="192" t="s">
        <v>3</v>
      </c>
      <c r="C9" s="193" t="s">
        <v>4</v>
      </c>
      <c r="D9" s="193"/>
      <c r="E9" s="194"/>
      <c r="F9" s="194" t="s">
        <v>0</v>
      </c>
      <c r="G9" s="196" t="s">
        <v>2</v>
      </c>
      <c r="H9" s="194" t="s">
        <v>0</v>
      </c>
      <c r="I9" s="196" t="s">
        <v>2</v>
      </c>
      <c r="J9" s="194" t="s">
        <v>0</v>
      </c>
      <c r="K9" s="196" t="s">
        <v>2</v>
      </c>
      <c r="L9" s="194" t="s">
        <v>0</v>
      </c>
      <c r="M9" s="196" t="s">
        <v>2</v>
      </c>
      <c r="N9" s="194" t="s">
        <v>0</v>
      </c>
      <c r="O9" s="196" t="s">
        <v>2</v>
      </c>
      <c r="P9" s="194" t="s">
        <v>0</v>
      </c>
      <c r="Q9" s="196" t="s">
        <v>2</v>
      </c>
      <c r="R9" s="194" t="s">
        <v>0</v>
      </c>
      <c r="S9" s="268" t="s">
        <v>2</v>
      </c>
      <c r="T9" s="194" t="s">
        <v>0</v>
      </c>
      <c r="U9" s="196" t="s">
        <v>2</v>
      </c>
      <c r="W9" s="218" t="s">
        <v>1031</v>
      </c>
      <c r="X9" s="219"/>
      <c r="Y9" s="215">
        <f>IF(AG3="X",Y3+1,"")</f>
        <v>1156</v>
      </c>
      <c r="Z9" s="216"/>
      <c r="AA9" s="137" t="s">
        <v>1027</v>
      </c>
      <c r="AB9" s="138"/>
      <c r="AC9" s="75"/>
      <c r="AD9" s="75"/>
      <c r="AF9" s="14"/>
      <c r="AI9" s="149"/>
    </row>
    <row r="10" spans="1:43" ht="30" customHeight="1" thickBot="1">
      <c r="A10" s="198"/>
      <c r="B10" s="192"/>
      <c r="C10" s="194"/>
      <c r="D10" s="194"/>
      <c r="E10" s="194"/>
      <c r="F10" s="195"/>
      <c r="G10" s="197"/>
      <c r="H10" s="194"/>
      <c r="I10" s="196"/>
      <c r="J10" s="195"/>
      <c r="K10" s="197"/>
      <c r="L10" s="194"/>
      <c r="M10" s="196"/>
      <c r="N10" s="194"/>
      <c r="O10" s="196"/>
      <c r="P10" s="194"/>
      <c r="Q10" s="196"/>
      <c r="R10" s="194"/>
      <c r="S10" s="268"/>
      <c r="T10" s="194"/>
      <c r="U10" s="196"/>
      <c r="W10" s="257" t="s">
        <v>1028</v>
      </c>
      <c r="X10" s="258"/>
      <c r="Y10" s="142" t="s">
        <v>1021</v>
      </c>
      <c r="Z10" s="143"/>
      <c r="AA10" s="142" t="s">
        <v>1022</v>
      </c>
      <c r="AB10" s="143"/>
      <c r="AC10" s="136" t="s">
        <v>1023</v>
      </c>
      <c r="AD10" s="136" t="s">
        <v>1024</v>
      </c>
      <c r="AI10" s="149"/>
    </row>
    <row r="11" spans="1:43" ht="70.8" customHeight="1">
      <c r="A11" s="198"/>
      <c r="B11" s="5">
        <v>1</v>
      </c>
      <c r="C11" s="199" t="s">
        <v>112</v>
      </c>
      <c r="D11" s="200"/>
      <c r="E11" s="200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9"/>
      <c r="T11" s="22"/>
      <c r="U11" s="22"/>
      <c r="W11" s="254" t="s">
        <v>1025</v>
      </c>
      <c r="X11" s="255"/>
      <c r="Y11" s="211"/>
      <c r="Z11" s="212"/>
      <c r="AA11" s="211"/>
      <c r="AB11" s="212"/>
      <c r="AC11" s="75"/>
      <c r="AD11" s="75"/>
      <c r="AI11" s="149"/>
    </row>
    <row r="12" spans="1:43" ht="50" customHeight="1">
      <c r="A12" s="198"/>
      <c r="B12" s="5">
        <v>2</v>
      </c>
      <c r="C12" s="201" t="s">
        <v>107</v>
      </c>
      <c r="D12" s="202"/>
      <c r="E12" s="202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256" t="s">
        <v>76</v>
      </c>
      <c r="X12" s="256"/>
      <c r="Y12" s="141"/>
      <c r="Z12" s="141"/>
      <c r="AA12" s="141"/>
      <c r="AB12" s="141"/>
      <c r="AI12" s="149"/>
    </row>
    <row r="13" spans="1:43" ht="50" customHeight="1">
      <c r="A13" s="198"/>
      <c r="B13" s="5">
        <v>3</v>
      </c>
      <c r="C13" s="203" t="s">
        <v>102</v>
      </c>
      <c r="D13" s="204"/>
      <c r="E13" s="204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18" t="s">
        <v>1032</v>
      </c>
      <c r="X13" s="219"/>
      <c r="Y13" s="215">
        <f>IF(Y14="","",Y14-378)</f>
        <v>779</v>
      </c>
      <c r="Z13" s="216"/>
      <c r="AA13" s="243" t="s">
        <v>1026</v>
      </c>
      <c r="AB13" s="244"/>
      <c r="AC13" s="133"/>
      <c r="AD13" s="133" t="s">
        <v>1035</v>
      </c>
      <c r="AI13" s="149"/>
    </row>
    <row r="14" spans="1:43" ht="50" customHeight="1">
      <c r="A14" s="198"/>
      <c r="B14" s="5">
        <v>4</v>
      </c>
      <c r="C14" s="205" t="s">
        <v>113</v>
      </c>
      <c r="D14" s="206"/>
      <c r="E14" s="206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18" t="s">
        <v>1031</v>
      </c>
      <c r="X14" s="219"/>
      <c r="Y14" s="215">
        <f>IF(AG4="X",$Y$3+2,"")</f>
        <v>1157</v>
      </c>
      <c r="Z14" s="216"/>
      <c r="AA14" s="218" t="s">
        <v>1027</v>
      </c>
      <c r="AB14" s="219"/>
      <c r="AC14" s="75"/>
      <c r="AD14" s="75"/>
    </row>
    <row r="15" spans="1:43" ht="50" customHeight="1">
      <c r="A15" s="198"/>
      <c r="B15" s="5">
        <v>5</v>
      </c>
      <c r="C15" s="199" t="s">
        <v>134</v>
      </c>
      <c r="D15" s="200"/>
      <c r="E15" s="200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257" t="s">
        <v>1028</v>
      </c>
      <c r="X15" s="258"/>
      <c r="Y15" s="142" t="s">
        <v>1021</v>
      </c>
      <c r="Z15" s="143"/>
      <c r="AA15" s="142" t="s">
        <v>1022</v>
      </c>
      <c r="AB15" s="143"/>
      <c r="AC15" s="136" t="s">
        <v>1023</v>
      </c>
      <c r="AD15" s="136" t="s">
        <v>1024</v>
      </c>
    </row>
    <row r="16" spans="1:43" ht="50" customHeight="1">
      <c r="A16" s="198"/>
      <c r="B16" s="5">
        <v>6</v>
      </c>
      <c r="C16" s="201" t="s">
        <v>114</v>
      </c>
      <c r="D16" s="202"/>
      <c r="E16" s="202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250" t="s">
        <v>1025</v>
      </c>
      <c r="X16" s="250"/>
      <c r="Y16" s="271"/>
      <c r="Z16" s="271"/>
      <c r="AA16" s="271"/>
      <c r="AB16" s="271"/>
      <c r="AC16" s="75"/>
      <c r="AD16" s="75"/>
    </row>
    <row r="17" spans="1:30" ht="50" customHeight="1">
      <c r="A17" s="198"/>
      <c r="B17" s="5">
        <v>7</v>
      </c>
      <c r="C17" s="199" t="s">
        <v>27</v>
      </c>
      <c r="D17" s="200"/>
      <c r="E17" s="200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267"/>
      <c r="X17" s="267"/>
    </row>
    <row r="18" spans="1:30" ht="50" customHeight="1">
      <c r="A18" s="198"/>
      <c r="B18" s="5">
        <v>8</v>
      </c>
      <c r="C18" s="201" t="s">
        <v>26</v>
      </c>
      <c r="D18" s="202"/>
      <c r="E18" s="202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217" t="s">
        <v>77</v>
      </c>
      <c r="X18" s="217"/>
    </row>
    <row r="19" spans="1:30" ht="50" customHeight="1">
      <c r="A19" s="198"/>
      <c r="B19" s="5">
        <v>9</v>
      </c>
      <c r="C19" s="199" t="s">
        <v>81</v>
      </c>
      <c r="D19" s="200"/>
      <c r="E19" s="200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18" t="s">
        <v>1032</v>
      </c>
      <c r="X19" s="219"/>
      <c r="Y19" s="215">
        <f>IF(Y20="","",Y20-378)</f>
        <v>780</v>
      </c>
      <c r="Z19" s="216"/>
      <c r="AA19" s="218" t="s">
        <v>1026</v>
      </c>
      <c r="AB19" s="219"/>
      <c r="AC19" s="133"/>
      <c r="AD19" s="133" t="s">
        <v>1035</v>
      </c>
    </row>
    <row r="20" spans="1:30" ht="50" customHeight="1">
      <c r="A20" s="198"/>
      <c r="B20" s="5">
        <v>10</v>
      </c>
      <c r="C20" s="201" t="s">
        <v>45</v>
      </c>
      <c r="D20" s="202"/>
      <c r="E20" s="202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18" t="s">
        <v>1033</v>
      </c>
      <c r="X20" s="219"/>
      <c r="Y20" s="215">
        <f>IF(AG5="X",$Y$3+3,"")</f>
        <v>1158</v>
      </c>
      <c r="Z20" s="216"/>
      <c r="AA20" s="137" t="s">
        <v>1027</v>
      </c>
      <c r="AB20" s="138"/>
      <c r="AC20" s="75"/>
      <c r="AD20" s="75"/>
    </row>
    <row r="21" spans="1:30" ht="50" customHeight="1">
      <c r="A21" s="198"/>
      <c r="B21" s="5">
        <v>11</v>
      </c>
      <c r="C21" s="199" t="s">
        <v>135</v>
      </c>
      <c r="D21" s="200"/>
      <c r="E21" s="200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9" t="s">
        <v>1028</v>
      </c>
      <c r="X21" s="140"/>
      <c r="Y21" s="247" t="s">
        <v>1021</v>
      </c>
      <c r="Z21" s="248"/>
      <c r="AA21" s="247" t="s">
        <v>1022</v>
      </c>
      <c r="AB21" s="248"/>
      <c r="AC21" s="23" t="s">
        <v>1023</v>
      </c>
      <c r="AD21" s="23" t="s">
        <v>1024</v>
      </c>
    </row>
    <row r="22" spans="1:30" ht="50" customHeight="1">
      <c r="A22" s="198"/>
      <c r="B22" s="5">
        <v>12</v>
      </c>
      <c r="C22" s="201" t="s">
        <v>78</v>
      </c>
      <c r="D22" s="202"/>
      <c r="E22" s="202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4" t="s">
        <v>1025</v>
      </c>
      <c r="X22" s="135"/>
      <c r="Y22" s="211"/>
      <c r="Z22" s="212"/>
      <c r="AA22" s="211"/>
      <c r="AB22" s="212"/>
      <c r="AC22" s="75"/>
      <c r="AD22" s="75"/>
    </row>
    <row r="23" spans="1:30" ht="50" customHeight="1">
      <c r="A23" s="198"/>
      <c r="B23" s="5">
        <v>13</v>
      </c>
      <c r="C23" s="203" t="s">
        <v>29</v>
      </c>
      <c r="D23" s="204"/>
      <c r="E23" s="204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270"/>
      <c r="X23" s="270"/>
      <c r="Y23" s="270"/>
      <c r="Z23" s="270"/>
      <c r="AA23" s="270"/>
      <c r="AB23" s="270"/>
      <c r="AC23" s="207"/>
      <c r="AD23" s="207"/>
    </row>
    <row r="24" spans="1:30" ht="50" customHeight="1">
      <c r="A24" s="198"/>
      <c r="B24" s="5">
        <v>14</v>
      </c>
      <c r="C24" s="201" t="s">
        <v>28</v>
      </c>
      <c r="D24" s="202"/>
      <c r="E24" s="202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217" t="s">
        <v>108</v>
      </c>
      <c r="X24" s="217"/>
    </row>
    <row r="25" spans="1:30" ht="50" customHeight="1">
      <c r="A25" s="198"/>
      <c r="B25" s="5">
        <v>15</v>
      </c>
      <c r="C25" s="203" t="s">
        <v>103</v>
      </c>
      <c r="D25" s="204"/>
      <c r="E25" s="204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18" t="s">
        <v>1032</v>
      </c>
      <c r="X25" s="219"/>
      <c r="Y25" s="215">
        <f>IF(Y26="","",Y26-378)</f>
        <v>781</v>
      </c>
      <c r="Z25" s="216"/>
      <c r="AA25" s="243" t="s">
        <v>1026</v>
      </c>
      <c r="AB25" s="244"/>
      <c r="AC25" s="133"/>
      <c r="AD25" s="133" t="s">
        <v>1035</v>
      </c>
    </row>
    <row r="26" spans="1:30" ht="50" customHeight="1">
      <c r="A26" s="198"/>
      <c r="B26" s="5">
        <v>16</v>
      </c>
      <c r="C26" s="205" t="s">
        <v>104</v>
      </c>
      <c r="D26" s="206"/>
      <c r="E26" s="206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18" t="s">
        <v>1031</v>
      </c>
      <c r="X26" s="219"/>
      <c r="Y26" s="215">
        <f>IF(AG6="X",$Y$3+4,"")</f>
        <v>1159</v>
      </c>
      <c r="Z26" s="216"/>
      <c r="AA26" s="218" t="s">
        <v>1027</v>
      </c>
      <c r="AB26" s="219"/>
      <c r="AC26" s="75"/>
      <c r="AD26" s="75"/>
    </row>
    <row r="27" spans="1:30" ht="50" customHeight="1">
      <c r="A27" s="198"/>
      <c r="B27" s="5">
        <v>17</v>
      </c>
      <c r="C27" s="199" t="s">
        <v>46</v>
      </c>
      <c r="D27" s="200"/>
      <c r="E27" s="200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9" t="s">
        <v>1028</v>
      </c>
      <c r="X27" s="140"/>
      <c r="Y27" s="247" t="s">
        <v>1021</v>
      </c>
      <c r="Z27" s="248"/>
      <c r="AA27" s="247" t="s">
        <v>1022</v>
      </c>
      <c r="AB27" s="248"/>
      <c r="AC27" s="136" t="s">
        <v>1023</v>
      </c>
      <c r="AD27" s="136" t="s">
        <v>1024</v>
      </c>
    </row>
    <row r="28" spans="1:30" ht="50" customHeight="1">
      <c r="A28" s="198"/>
      <c r="B28" s="5">
        <v>18</v>
      </c>
      <c r="C28" s="201" t="s">
        <v>79</v>
      </c>
      <c r="D28" s="202"/>
      <c r="E28" s="202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4" t="s">
        <v>1025</v>
      </c>
      <c r="X28" s="135"/>
      <c r="Y28" s="211"/>
      <c r="Z28" s="212"/>
      <c r="AA28" s="211"/>
      <c r="AB28" s="212"/>
      <c r="AC28" s="75"/>
      <c r="AD28" s="75"/>
    </row>
    <row r="29" spans="1:30" ht="50" customHeight="1">
      <c r="A29" s="198"/>
      <c r="B29" s="5">
        <v>19</v>
      </c>
      <c r="C29" s="199" t="s">
        <v>83</v>
      </c>
      <c r="D29" s="200"/>
      <c r="E29" s="200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30" ht="50" customHeight="1" thickBot="1">
      <c r="A30" s="198"/>
      <c r="B30" s="12">
        <v>20</v>
      </c>
      <c r="C30" s="201" t="s">
        <v>115</v>
      </c>
      <c r="D30" s="202"/>
      <c r="E30" s="202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30"/>
      <c r="T30" s="3"/>
      <c r="U30" s="3"/>
      <c r="W30" s="217" t="s">
        <v>1029</v>
      </c>
      <c r="X30" s="217"/>
    </row>
    <row r="31" spans="1:30" ht="50" customHeight="1" thickBot="1">
      <c r="A31" s="198"/>
      <c r="B31" s="12">
        <v>21</v>
      </c>
      <c r="C31" s="201" t="s">
        <v>116</v>
      </c>
      <c r="D31" s="202"/>
      <c r="E31" s="202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30"/>
      <c r="T31" s="3"/>
      <c r="U31" s="3"/>
      <c r="W31" s="218" t="s">
        <v>1030</v>
      </c>
      <c r="X31" s="219"/>
      <c r="Y31" s="215">
        <f>IF(Y32="","",Y32-378)</f>
        <v>782</v>
      </c>
      <c r="Z31" s="216"/>
      <c r="AA31" s="273" t="s">
        <v>1026</v>
      </c>
      <c r="AB31" s="273"/>
      <c r="AC31" s="133"/>
      <c r="AD31" s="133" t="s">
        <v>1035</v>
      </c>
    </row>
    <row r="32" spans="1:30" ht="50" customHeight="1" thickBot="1">
      <c r="A32" s="198"/>
      <c r="B32" s="12">
        <v>22</v>
      </c>
      <c r="C32" s="201" t="s">
        <v>84</v>
      </c>
      <c r="D32" s="202"/>
      <c r="E32" s="202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30"/>
      <c r="T32" s="3"/>
      <c r="U32" s="3"/>
      <c r="W32" s="218" t="s">
        <v>1031</v>
      </c>
      <c r="X32" s="219"/>
      <c r="Y32" s="215">
        <f>IF(AG7="X",$Y$3+5,"")</f>
        <v>1160</v>
      </c>
      <c r="Z32" s="216"/>
      <c r="AA32" s="137" t="s">
        <v>1027</v>
      </c>
      <c r="AB32" s="138"/>
      <c r="AC32" s="75"/>
      <c r="AD32" s="75"/>
    </row>
    <row r="33" spans="1:32" ht="37.799999999999997" customHeight="1">
      <c r="A33" s="198"/>
      <c r="C33" s="210"/>
      <c r="D33" s="210"/>
      <c r="E33" s="210"/>
      <c r="F33" s="228" t="s">
        <v>30</v>
      </c>
      <c r="G33" s="229"/>
      <c r="H33" s="220" t="s">
        <v>31</v>
      </c>
      <c r="I33" s="221"/>
      <c r="J33" s="228" t="s">
        <v>32</v>
      </c>
      <c r="K33" s="229"/>
      <c r="L33" s="220" t="s">
        <v>33</v>
      </c>
      <c r="M33" s="221"/>
      <c r="N33" s="220" t="s">
        <v>34</v>
      </c>
      <c r="O33" s="221"/>
      <c r="P33" s="220" t="s">
        <v>35</v>
      </c>
      <c r="Q33" s="221"/>
      <c r="R33" s="220" t="s">
        <v>36</v>
      </c>
      <c r="S33" s="222"/>
      <c r="T33" s="223" t="s">
        <v>37</v>
      </c>
      <c r="U33" s="223"/>
      <c r="W33" s="139" t="s">
        <v>1028</v>
      </c>
      <c r="X33" s="140"/>
      <c r="Y33" s="247" t="s">
        <v>1021</v>
      </c>
      <c r="Z33" s="248"/>
      <c r="AA33" s="247" t="s">
        <v>1022</v>
      </c>
      <c r="AB33" s="248"/>
      <c r="AC33" s="23" t="s">
        <v>1023</v>
      </c>
      <c r="AD33" s="23" t="s">
        <v>1024</v>
      </c>
    </row>
    <row r="34" spans="1:32" ht="44.45" customHeight="1">
      <c r="A34" s="198"/>
      <c r="F34" s="278"/>
      <c r="G34" s="279"/>
      <c r="H34" s="274"/>
      <c r="I34" s="275"/>
      <c r="J34" s="274"/>
      <c r="K34" s="275"/>
      <c r="L34" s="274"/>
      <c r="M34" s="275"/>
      <c r="N34" s="274"/>
      <c r="O34" s="275"/>
      <c r="P34" s="274"/>
      <c r="Q34" s="275"/>
      <c r="R34" s="274"/>
      <c r="S34" s="276"/>
      <c r="T34" s="277"/>
      <c r="U34" s="277"/>
      <c r="W34" s="134" t="s">
        <v>1025</v>
      </c>
      <c r="X34" s="135"/>
      <c r="Y34" s="211"/>
      <c r="Z34" s="212"/>
      <c r="AA34" s="211"/>
      <c r="AB34" s="212"/>
      <c r="AC34" s="75"/>
      <c r="AD34" s="75"/>
    </row>
    <row r="35" spans="1:32" ht="8.4499999999999993" customHeight="1">
      <c r="A35" s="198"/>
      <c r="C35" s="209"/>
      <c r="D35" s="209"/>
      <c r="E35" s="209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31"/>
      <c r="U35" s="131"/>
      <c r="W35"/>
    </row>
    <row r="36" spans="1:32" ht="34.799999999999997" customHeight="1">
      <c r="A36" s="198"/>
      <c r="F36" s="220" t="s">
        <v>110</v>
      </c>
      <c r="G36" s="221"/>
      <c r="H36" s="220" t="s">
        <v>38</v>
      </c>
      <c r="I36" s="221"/>
      <c r="J36" s="220" t="s">
        <v>39</v>
      </c>
      <c r="K36" s="221"/>
      <c r="L36" s="220" t="s">
        <v>40</v>
      </c>
      <c r="M36" s="221"/>
      <c r="N36" s="220" t="s">
        <v>41</v>
      </c>
      <c r="O36" s="221"/>
      <c r="P36" s="220" t="s">
        <v>42</v>
      </c>
      <c r="Q36" s="221"/>
      <c r="R36" s="220" t="s">
        <v>43</v>
      </c>
      <c r="S36" s="222"/>
      <c r="T36" s="223" t="s">
        <v>44</v>
      </c>
      <c r="U36" s="223"/>
      <c r="W36"/>
    </row>
    <row r="37" spans="1:32" ht="46.8" customHeight="1">
      <c r="A37" s="198"/>
      <c r="F37" s="280"/>
      <c r="G37" s="281"/>
      <c r="H37" s="280"/>
      <c r="I37" s="281"/>
      <c r="J37" s="280"/>
      <c r="K37" s="281"/>
      <c r="L37" s="280"/>
      <c r="M37" s="281"/>
      <c r="N37" s="280"/>
      <c r="O37" s="281"/>
      <c r="P37" s="280"/>
      <c r="Q37" s="281"/>
      <c r="R37" s="280"/>
      <c r="S37" s="282"/>
      <c r="T37" s="230"/>
      <c r="U37" s="230"/>
      <c r="W37"/>
    </row>
    <row r="38" spans="1:32" ht="7.25" customHeight="1">
      <c r="A38" s="198"/>
      <c r="M38" s="2"/>
      <c r="N38" s="2"/>
      <c r="O38" s="2"/>
      <c r="R38" s="2"/>
      <c r="S38" s="2"/>
      <c r="T38" s="2"/>
      <c r="U38" s="2"/>
      <c r="W38"/>
    </row>
    <row r="39" spans="1:32" ht="32.25">
      <c r="F39" s="230" t="s">
        <v>63</v>
      </c>
      <c r="G39" s="230"/>
      <c r="H39" s="230"/>
      <c r="I39" s="230"/>
      <c r="J39" s="231">
        <v>1062266407</v>
      </c>
      <c r="K39" s="232"/>
      <c r="L39" s="232"/>
      <c r="M39" s="232"/>
      <c r="N39" s="232"/>
      <c r="O39" s="233"/>
      <c r="P39" s="231"/>
      <c r="Q39" s="232"/>
      <c r="R39" s="232"/>
      <c r="S39" s="232"/>
      <c r="T39" s="232"/>
      <c r="U39" s="232"/>
      <c r="W39"/>
    </row>
    <row r="40" spans="1:32" ht="28.5">
      <c r="F40" s="230" t="s">
        <v>64</v>
      </c>
      <c r="G40" s="230"/>
      <c r="H40" s="230"/>
      <c r="I40" s="230"/>
      <c r="J40" s="234">
        <v>45690</v>
      </c>
      <c r="K40" s="235"/>
      <c r="L40" s="235"/>
      <c r="M40" s="235"/>
      <c r="N40" s="235"/>
      <c r="O40" s="236"/>
      <c r="P40" s="234"/>
      <c r="Q40" s="235"/>
      <c r="R40" s="235"/>
      <c r="S40" s="235"/>
      <c r="T40" s="235"/>
      <c r="U40" s="236"/>
      <c r="W40"/>
    </row>
    <row r="41" spans="1:32">
      <c r="M41" s="2"/>
      <c r="N41" s="2"/>
      <c r="O41" s="2"/>
      <c r="R41" s="2"/>
      <c r="S41" s="2"/>
      <c r="T41" s="2"/>
      <c r="U41" s="2"/>
    </row>
    <row r="42" spans="1:32" ht="42.6" customHeight="1">
      <c r="B42" s="173" t="s">
        <v>162</v>
      </c>
      <c r="C42" s="173"/>
      <c r="D42" s="111">
        <f>D3</f>
        <v>48</v>
      </c>
      <c r="E42" s="6" t="s">
        <v>122</v>
      </c>
      <c r="F42" s="165" t="s">
        <v>106</v>
      </c>
      <c r="G42" s="166"/>
      <c r="H42" s="165" t="s">
        <v>106</v>
      </c>
      <c r="I42" s="166"/>
      <c r="J42" s="165" t="s">
        <v>106</v>
      </c>
      <c r="K42" s="166"/>
      <c r="L42" s="165" t="s">
        <v>106</v>
      </c>
      <c r="M42" s="166"/>
      <c r="N42" s="165" t="s">
        <v>106</v>
      </c>
      <c r="O42" s="166"/>
      <c r="P42" s="165" t="s">
        <v>106</v>
      </c>
      <c r="Q42" s="166"/>
      <c r="R42" s="165" t="s">
        <v>106</v>
      </c>
      <c r="S42" s="166"/>
      <c r="T42" s="165" t="s">
        <v>105</v>
      </c>
      <c r="U42" s="166"/>
    </row>
    <row r="43" spans="1:32" ht="55.25" customHeight="1">
      <c r="A43" s="167" t="s">
        <v>1</v>
      </c>
      <c r="B43" s="167"/>
      <c r="C43" s="168"/>
      <c r="D43" s="169"/>
      <c r="E43" s="6" t="s">
        <v>6</v>
      </c>
      <c r="F43" s="170" t="str">
        <f>F4</f>
        <v>PN-235</v>
      </c>
      <c r="G43" s="170"/>
      <c r="H43" s="170" t="str">
        <f t="shared" ref="H43:H44" si="0">H4</f>
        <v>PN-236</v>
      </c>
      <c r="I43" s="170"/>
      <c r="J43" s="170" t="str">
        <f t="shared" ref="J43:J44" si="1">J4</f>
        <v>PN-237</v>
      </c>
      <c r="K43" s="170"/>
      <c r="L43" s="170" t="str">
        <f t="shared" ref="L43:L44" si="2">L4</f>
        <v>PE-288</v>
      </c>
      <c r="M43" s="170"/>
      <c r="N43" s="170" t="str">
        <f t="shared" ref="N43:N44" si="3">N4</f>
        <v>PN-238</v>
      </c>
      <c r="O43" s="170"/>
      <c r="P43" s="170" t="str">
        <f t="shared" ref="P43:P44" si="4">P4</f>
        <v>PN-239</v>
      </c>
      <c r="Q43" s="170"/>
      <c r="R43" s="170" t="str">
        <f t="shared" ref="R43:R44" si="5">R4</f>
        <v>PN-240</v>
      </c>
      <c r="S43" s="170"/>
      <c r="T43" s="170" t="str">
        <f t="shared" ref="T43:T44" si="6">T4</f>
        <v>PN-62</v>
      </c>
      <c r="U43" s="170"/>
      <c r="W43" s="245"/>
      <c r="X43" s="245"/>
      <c r="Y43" s="245"/>
      <c r="Z43" s="245"/>
      <c r="AA43" s="245"/>
      <c r="AF43" s="14"/>
    </row>
    <row r="44" spans="1:32" ht="37.25" customHeight="1">
      <c r="A44" s="167"/>
      <c r="B44" s="167"/>
      <c r="C44" s="168"/>
      <c r="D44" s="169"/>
      <c r="E44" s="6" t="s">
        <v>51</v>
      </c>
      <c r="F44" s="237" t="str">
        <f>F5</f>
        <v>P</v>
      </c>
      <c r="G44" s="237"/>
      <c r="H44" s="237" t="str">
        <f t="shared" si="0"/>
        <v>P</v>
      </c>
      <c r="I44" s="237"/>
      <c r="J44" s="237" t="str">
        <f t="shared" si="1"/>
        <v>P</v>
      </c>
      <c r="K44" s="237"/>
      <c r="L44" s="237" t="str">
        <f t="shared" si="2"/>
        <v>T4</v>
      </c>
      <c r="M44" s="237"/>
      <c r="N44" s="237" t="str">
        <f t="shared" si="3"/>
        <v>P</v>
      </c>
      <c r="O44" s="237"/>
      <c r="P44" s="237" t="str">
        <f t="shared" si="4"/>
        <v>P</v>
      </c>
      <c r="Q44" s="237"/>
      <c r="R44" s="237" t="str">
        <f t="shared" si="5"/>
        <v>P</v>
      </c>
      <c r="S44" s="237"/>
      <c r="T44" s="237" t="str">
        <f t="shared" si="6"/>
        <v>P</v>
      </c>
      <c r="U44" s="237"/>
      <c r="AF44" s="14"/>
    </row>
    <row r="45" spans="1:32" ht="47" customHeight="1">
      <c r="B45" s="246" t="s">
        <v>990</v>
      </c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</row>
    <row r="46" spans="1:32" ht="53" customHeight="1">
      <c r="B46" s="238">
        <v>1</v>
      </c>
      <c r="C46" s="238"/>
      <c r="D46" s="239" t="s">
        <v>991</v>
      </c>
      <c r="E46" s="24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</row>
    <row r="47" spans="1:32" ht="38.25">
      <c r="B47" s="238">
        <v>2</v>
      </c>
      <c r="C47" s="238"/>
      <c r="D47" s="239" t="s">
        <v>992</v>
      </c>
      <c r="E47" s="24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</row>
    <row r="48" spans="1:32" ht="38.25">
      <c r="B48" s="238">
        <v>3</v>
      </c>
      <c r="C48" s="238"/>
      <c r="D48" s="239" t="s">
        <v>993</v>
      </c>
      <c r="E48" s="24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</row>
    <row r="49" spans="2:23" ht="38.25">
      <c r="B49" s="238">
        <v>4</v>
      </c>
      <c r="C49" s="238"/>
      <c r="D49" s="239" t="s">
        <v>994</v>
      </c>
      <c r="E49" s="24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</row>
    <row r="50" spans="2:23" ht="38.25">
      <c r="B50" s="238">
        <v>5</v>
      </c>
      <c r="C50" s="238"/>
      <c r="D50" s="239" t="s">
        <v>998</v>
      </c>
      <c r="E50" s="24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</row>
    <row r="51" spans="2:23" ht="38.25">
      <c r="B51" s="238">
        <v>6</v>
      </c>
      <c r="C51" s="238"/>
      <c r="D51" s="239" t="s">
        <v>999</v>
      </c>
      <c r="E51" s="24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</row>
    <row r="52" spans="2:23" ht="38.25">
      <c r="B52" s="238">
        <v>7</v>
      </c>
      <c r="C52" s="238"/>
      <c r="D52" s="241"/>
      <c r="E52" s="242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</row>
    <row r="53" spans="2:23" ht="38.25">
      <c r="B53" s="238">
        <v>8</v>
      </c>
      <c r="C53" s="238"/>
      <c r="D53" s="241"/>
      <c r="E53" s="242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</row>
    <row r="54" spans="2:23" ht="38.25">
      <c r="B54" s="238">
        <v>9</v>
      </c>
      <c r="C54" s="238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</row>
    <row r="55" spans="2:23" ht="38.25">
      <c r="B55" s="238">
        <v>10</v>
      </c>
      <c r="C55" s="238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</row>
    <row r="56" spans="2:23" ht="38.25">
      <c r="B56" s="238">
        <v>11</v>
      </c>
      <c r="C56" s="238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</row>
    <row r="57" spans="2:23" ht="38.25">
      <c r="B57" s="238">
        <v>12</v>
      </c>
      <c r="C57" s="238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</row>
    <row r="58" spans="2:23" ht="38.25">
      <c r="B58" s="238">
        <v>13</v>
      </c>
      <c r="C58" s="238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</row>
    <row r="59" spans="2:23" ht="38.25">
      <c r="B59" s="238">
        <v>14</v>
      </c>
      <c r="C59" s="238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</row>
    <row r="60" spans="2:23" ht="37.799999999999997" customHeight="1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799999999999997" customHeight="1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799999999999997" customHeight="1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799999999999997" customHeight="1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799999999999997" customHeight="1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spans="2:23" ht="37.799999999999997" customHeight="1">
      <c r="B65"/>
      <c r="C65"/>
      <c r="D65"/>
      <c r="E65"/>
      <c r="F65"/>
      <c r="G65"/>
      <c r="H65"/>
      <c r="I65"/>
      <c r="J65"/>
      <c r="K65"/>
      <c r="L65"/>
      <c r="P65"/>
      <c r="Q65"/>
      <c r="W65"/>
    </row>
    <row r="66" spans="2:23" ht="37.799999999999997" customHeight="1">
      <c r="B66"/>
      <c r="C66"/>
      <c r="D66"/>
      <c r="E66"/>
      <c r="F66"/>
      <c r="G66"/>
      <c r="H66"/>
      <c r="I66"/>
      <c r="J66"/>
      <c r="K66"/>
      <c r="L66"/>
      <c r="P66"/>
      <c r="Q66"/>
      <c r="W66"/>
    </row>
    <row r="67" spans="2:23" ht="37.799999999999997" customHeight="1">
      <c r="B67"/>
      <c r="C67"/>
      <c r="D67"/>
      <c r="E67"/>
      <c r="F67"/>
      <c r="G67"/>
      <c r="H67"/>
      <c r="I67"/>
      <c r="J67"/>
      <c r="K67"/>
      <c r="L67"/>
      <c r="P67"/>
      <c r="Q67"/>
      <c r="W67"/>
    </row>
    <row r="68" spans="2:23" ht="37.799999999999997" customHeight="1">
      <c r="B68"/>
      <c r="C68"/>
      <c r="D68"/>
      <c r="E68"/>
      <c r="F68"/>
      <c r="G68"/>
      <c r="H68"/>
      <c r="I68"/>
      <c r="J68"/>
      <c r="K68"/>
      <c r="L68"/>
      <c r="P68"/>
      <c r="Q68"/>
      <c r="W68"/>
    </row>
    <row r="69" spans="2:23" ht="37.799999999999997" customHeight="1">
      <c r="B69"/>
      <c r="C69"/>
      <c r="D69"/>
      <c r="E69"/>
      <c r="F69"/>
      <c r="G69"/>
      <c r="H69"/>
      <c r="I69"/>
      <c r="J69"/>
      <c r="K69"/>
      <c r="L69"/>
      <c r="P69"/>
      <c r="Q69"/>
      <c r="W69"/>
    </row>
    <row r="70" spans="2:23" ht="37.799999999999997" customHeight="1">
      <c r="B70"/>
      <c r="C70"/>
      <c r="D70"/>
      <c r="E70"/>
      <c r="F70"/>
      <c r="G70"/>
      <c r="H70"/>
      <c r="I70"/>
      <c r="J70"/>
      <c r="K70"/>
      <c r="L70"/>
      <c r="P70"/>
      <c r="Q70"/>
      <c r="W70"/>
    </row>
    <row r="71" spans="2:23" ht="37.799999999999997" customHeight="1">
      <c r="B71"/>
      <c r="C71"/>
      <c r="D71"/>
      <c r="E71"/>
      <c r="F71"/>
      <c r="G71"/>
      <c r="H71"/>
      <c r="I71"/>
      <c r="J71"/>
      <c r="K71"/>
      <c r="L71"/>
      <c r="P71"/>
      <c r="Q71"/>
      <c r="W71"/>
    </row>
    <row r="72" spans="2:23" ht="37.799999999999997" customHeight="1">
      <c r="B72"/>
      <c r="C72"/>
      <c r="D72"/>
      <c r="E72"/>
      <c r="F72"/>
      <c r="G72"/>
      <c r="H72"/>
      <c r="I72"/>
      <c r="J72"/>
      <c r="K72"/>
      <c r="L72"/>
      <c r="P72"/>
      <c r="Q72"/>
      <c r="W72"/>
    </row>
    <row r="73" spans="2:23" ht="37.799999999999997" customHeight="1">
      <c r="B73"/>
      <c r="C73"/>
      <c r="D73"/>
      <c r="E73"/>
      <c r="F73"/>
      <c r="G73"/>
      <c r="H73"/>
      <c r="I73"/>
      <c r="J73"/>
      <c r="K73"/>
      <c r="L73"/>
      <c r="P73"/>
      <c r="Q73"/>
      <c r="W73"/>
    </row>
    <row r="74" spans="2:23" ht="37.799999999999997" customHeight="1">
      <c r="B74"/>
      <c r="C74"/>
      <c r="D74"/>
      <c r="E74"/>
      <c r="F74"/>
      <c r="G74"/>
      <c r="H74"/>
      <c r="I74"/>
      <c r="J74"/>
      <c r="K74"/>
      <c r="L74"/>
      <c r="P74"/>
      <c r="Q74"/>
      <c r="W74"/>
    </row>
    <row r="75" spans="2:23" ht="37.799999999999997" customHeight="1">
      <c r="B75"/>
      <c r="C75"/>
      <c r="D75"/>
      <c r="E75"/>
      <c r="F75"/>
      <c r="G75"/>
      <c r="H75"/>
      <c r="I75"/>
      <c r="J75"/>
      <c r="K75"/>
      <c r="L75"/>
      <c r="P75"/>
      <c r="Q75"/>
      <c r="W75"/>
    </row>
    <row r="76" spans="2:23" ht="37.799999999999997" customHeight="1">
      <c r="B76"/>
      <c r="C76"/>
      <c r="D76"/>
      <c r="E76"/>
      <c r="F76"/>
      <c r="G76"/>
      <c r="H76"/>
      <c r="I76"/>
      <c r="J76"/>
      <c r="K76"/>
      <c r="L76"/>
      <c r="P76"/>
      <c r="Q76"/>
      <c r="W76"/>
    </row>
    <row r="77" spans="2:23" ht="37.799999999999997" customHeight="1">
      <c r="B77"/>
      <c r="C77"/>
      <c r="D77"/>
      <c r="E77"/>
      <c r="F77"/>
      <c r="G77"/>
      <c r="H77"/>
      <c r="I77"/>
      <c r="J77"/>
      <c r="K77"/>
      <c r="L77"/>
      <c r="P77"/>
      <c r="Q77"/>
      <c r="W77"/>
    </row>
    <row r="78" spans="2:23" ht="37.799999999999997" customHeight="1">
      <c r="B78"/>
      <c r="C78"/>
      <c r="D78"/>
      <c r="E78"/>
      <c r="F78"/>
      <c r="G78"/>
      <c r="H78"/>
      <c r="I78"/>
      <c r="J78"/>
      <c r="K78"/>
      <c r="L78"/>
      <c r="P78"/>
      <c r="Q78"/>
      <c r="W78"/>
    </row>
    <row r="79" spans="2:23" ht="37.799999999999997" customHeight="1">
      <c r="B79"/>
      <c r="C79"/>
      <c r="D79"/>
      <c r="E79"/>
      <c r="F79"/>
      <c r="G79"/>
      <c r="H79"/>
      <c r="I79"/>
      <c r="J79"/>
      <c r="K79"/>
      <c r="L79"/>
      <c r="P79"/>
      <c r="Q79"/>
      <c r="W79"/>
    </row>
  </sheetData>
  <mergeCells count="375">
    <mergeCell ref="T57:U57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P58:Q58"/>
    <mergeCell ref="R58:S58"/>
    <mergeCell ref="T58:U58"/>
    <mergeCell ref="B59:C59"/>
    <mergeCell ref="D59:E59"/>
    <mergeCell ref="F59:G59"/>
    <mergeCell ref="H59:I59"/>
    <mergeCell ref="J59:K59"/>
    <mergeCell ref="L59:M59"/>
    <mergeCell ref="N59:O59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5: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49: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7: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B45:AD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W43:AA43"/>
    <mergeCell ref="F44:G44"/>
    <mergeCell ref="H44:I44"/>
    <mergeCell ref="J44:K44"/>
    <mergeCell ref="L44:M44"/>
    <mergeCell ref="N44:O44"/>
    <mergeCell ref="P44:Q44"/>
    <mergeCell ref="R44:S44"/>
    <mergeCell ref="T44:U44"/>
    <mergeCell ref="P42:Q42"/>
    <mergeCell ref="R42:S42"/>
    <mergeCell ref="T42:U42"/>
    <mergeCell ref="A43:B44"/>
    <mergeCell ref="C43:D44"/>
    <mergeCell ref="F43:G43"/>
    <mergeCell ref="H43:I43"/>
    <mergeCell ref="J43:K43"/>
    <mergeCell ref="L43:M43"/>
    <mergeCell ref="N43:O43"/>
    <mergeCell ref="B42:C42"/>
    <mergeCell ref="F42:G42"/>
    <mergeCell ref="H42:I42"/>
    <mergeCell ref="J42:K42"/>
    <mergeCell ref="L42:M42"/>
    <mergeCell ref="N42:O42"/>
    <mergeCell ref="P43:Q43"/>
    <mergeCell ref="R43:S43"/>
    <mergeCell ref="T43:U43"/>
    <mergeCell ref="F39:I39"/>
    <mergeCell ref="J39:O39"/>
    <mergeCell ref="P39:U39"/>
    <mergeCell ref="F40:I40"/>
    <mergeCell ref="J40:O40"/>
    <mergeCell ref="P40:U40"/>
    <mergeCell ref="R36:S36"/>
    <mergeCell ref="T36:U36"/>
    <mergeCell ref="F37:G37"/>
    <mergeCell ref="H37:I37"/>
    <mergeCell ref="J37:K37"/>
    <mergeCell ref="L37:M37"/>
    <mergeCell ref="N37:O37"/>
    <mergeCell ref="P37:Q37"/>
    <mergeCell ref="R37:S37"/>
    <mergeCell ref="T37:U37"/>
    <mergeCell ref="F36:G36"/>
    <mergeCell ref="H36:I36"/>
    <mergeCell ref="J36:K36"/>
    <mergeCell ref="L36:M36"/>
    <mergeCell ref="N36:O36"/>
    <mergeCell ref="P36:Q36"/>
    <mergeCell ref="P34:Q34"/>
    <mergeCell ref="R34:S34"/>
    <mergeCell ref="T34:U34"/>
    <mergeCell ref="Y34:Z34"/>
    <mergeCell ref="AA34:AB34"/>
    <mergeCell ref="C35:E35"/>
    <mergeCell ref="P33:Q33"/>
    <mergeCell ref="R33:S33"/>
    <mergeCell ref="T33:U33"/>
    <mergeCell ref="Y33:Z33"/>
    <mergeCell ref="AA33:AB33"/>
    <mergeCell ref="F34:G34"/>
    <mergeCell ref="H34:I34"/>
    <mergeCell ref="J34:K34"/>
    <mergeCell ref="L34:M34"/>
    <mergeCell ref="N34:O34"/>
    <mergeCell ref="C33:E33"/>
    <mergeCell ref="F33:G33"/>
    <mergeCell ref="H33:I33"/>
    <mergeCell ref="J33:K33"/>
    <mergeCell ref="L33:M33"/>
    <mergeCell ref="N33:O33"/>
    <mergeCell ref="C31:E31"/>
    <mergeCell ref="W31:X31"/>
    <mergeCell ref="Y31:Z31"/>
    <mergeCell ref="AA31:AB31"/>
    <mergeCell ref="C32:E32"/>
    <mergeCell ref="W32:X32"/>
    <mergeCell ref="Y32:Z32"/>
    <mergeCell ref="C28:E28"/>
    <mergeCell ref="Y28:Z28"/>
    <mergeCell ref="AA28:AB28"/>
    <mergeCell ref="C29:E29"/>
    <mergeCell ref="C30:E30"/>
    <mergeCell ref="W30:X30"/>
    <mergeCell ref="C26:E26"/>
    <mergeCell ref="W26:X26"/>
    <mergeCell ref="Y26:Z26"/>
    <mergeCell ref="AA26:AB26"/>
    <mergeCell ref="C27:E27"/>
    <mergeCell ref="Y27:Z27"/>
    <mergeCell ref="AA27:AB27"/>
    <mergeCell ref="AC23:AD23"/>
    <mergeCell ref="C24:E24"/>
    <mergeCell ref="W24:X24"/>
    <mergeCell ref="C25:E25"/>
    <mergeCell ref="W25:X25"/>
    <mergeCell ref="Y25:Z25"/>
    <mergeCell ref="AA25:AB25"/>
    <mergeCell ref="C22:E22"/>
    <mergeCell ref="Y22:Z22"/>
    <mergeCell ref="AA22:AB22"/>
    <mergeCell ref="C23:E23"/>
    <mergeCell ref="W23:X23"/>
    <mergeCell ref="Y23:Z23"/>
    <mergeCell ref="AA23:AB23"/>
    <mergeCell ref="C20:E20"/>
    <mergeCell ref="W20:X20"/>
    <mergeCell ref="Y20:Z20"/>
    <mergeCell ref="C21:E21"/>
    <mergeCell ref="Y21:Z21"/>
    <mergeCell ref="AA21:AB21"/>
    <mergeCell ref="C19:E19"/>
    <mergeCell ref="W19:X19"/>
    <mergeCell ref="Y19:Z19"/>
    <mergeCell ref="AA19:AB19"/>
    <mergeCell ref="C16:E16"/>
    <mergeCell ref="W16:X16"/>
    <mergeCell ref="Y16:Z16"/>
    <mergeCell ref="AA16:AB16"/>
    <mergeCell ref="C17:E17"/>
    <mergeCell ref="W17:X17"/>
    <mergeCell ref="AA14:AB14"/>
    <mergeCell ref="C15:E15"/>
    <mergeCell ref="W15:X15"/>
    <mergeCell ref="AA11:AB11"/>
    <mergeCell ref="C12:E12"/>
    <mergeCell ref="W12:X12"/>
    <mergeCell ref="C13:E13"/>
    <mergeCell ref="W13:X13"/>
    <mergeCell ref="Y13:Z13"/>
    <mergeCell ref="AA13:AB13"/>
    <mergeCell ref="A10:A38"/>
    <mergeCell ref="W10:X10"/>
    <mergeCell ref="C11:E11"/>
    <mergeCell ref="W11:X11"/>
    <mergeCell ref="Y11:Z11"/>
    <mergeCell ref="M9:M10"/>
    <mergeCell ref="N9:N10"/>
    <mergeCell ref="O9:O10"/>
    <mergeCell ref="P9:P10"/>
    <mergeCell ref="Q9:Q10"/>
    <mergeCell ref="R9:R10"/>
    <mergeCell ref="B9:B10"/>
    <mergeCell ref="C9:E10"/>
    <mergeCell ref="F9:F10"/>
    <mergeCell ref="G9:G10"/>
    <mergeCell ref="H9:H10"/>
    <mergeCell ref="I9:I10"/>
    <mergeCell ref="J9:J10"/>
    <mergeCell ref="K9:K10"/>
    <mergeCell ref="C14:E14"/>
    <mergeCell ref="W14:X14"/>
    <mergeCell ref="Y14:Z14"/>
    <mergeCell ref="C18:E18"/>
    <mergeCell ref="W18:X18"/>
    <mergeCell ref="L9:L10"/>
    <mergeCell ref="P8:Q8"/>
    <mergeCell ref="R8:S8"/>
    <mergeCell ref="T8:U8"/>
    <mergeCell ref="W8:X8"/>
    <mergeCell ref="Y8:Z8"/>
    <mergeCell ref="AA8:AB8"/>
    <mergeCell ref="P6:Q7"/>
    <mergeCell ref="R6:S7"/>
    <mergeCell ref="T6:U7"/>
    <mergeCell ref="W6:X7"/>
    <mergeCell ref="S9:S10"/>
    <mergeCell ref="T9:T10"/>
    <mergeCell ref="U9:U10"/>
    <mergeCell ref="W9:X9"/>
    <mergeCell ref="Y9:Z9"/>
    <mergeCell ref="C7:D8"/>
    <mergeCell ref="F8:G8"/>
    <mergeCell ref="H8:I8"/>
    <mergeCell ref="J8:K8"/>
    <mergeCell ref="L8:M8"/>
    <mergeCell ref="N8:O8"/>
    <mergeCell ref="Y5:Z5"/>
    <mergeCell ref="AA5:AB5"/>
    <mergeCell ref="A6:B6"/>
    <mergeCell ref="C6:D6"/>
    <mergeCell ref="E6:E7"/>
    <mergeCell ref="F6:G7"/>
    <mergeCell ref="H6:I7"/>
    <mergeCell ref="J6:K7"/>
    <mergeCell ref="L6:M7"/>
    <mergeCell ref="N6:O7"/>
    <mergeCell ref="A4:B5"/>
    <mergeCell ref="C4:D5"/>
    <mergeCell ref="F4:G4"/>
    <mergeCell ref="H4:I4"/>
    <mergeCell ref="J4:K4"/>
    <mergeCell ref="L4:M4"/>
    <mergeCell ref="AA4:AB4"/>
    <mergeCell ref="F5:G5"/>
    <mergeCell ref="W3:X3"/>
    <mergeCell ref="H5:I5"/>
    <mergeCell ref="J5:K5"/>
    <mergeCell ref="L5:M5"/>
    <mergeCell ref="N5:O5"/>
    <mergeCell ref="P5:Q5"/>
    <mergeCell ref="R5:S5"/>
    <mergeCell ref="T5:U5"/>
    <mergeCell ref="W5:X5"/>
    <mergeCell ref="N4:O4"/>
    <mergeCell ref="P4:Q4"/>
    <mergeCell ref="R4:S4"/>
    <mergeCell ref="T4:U4"/>
    <mergeCell ref="W4:X4"/>
    <mergeCell ref="Y3:Z3"/>
    <mergeCell ref="Y4:Z4"/>
    <mergeCell ref="AA2:AB2"/>
    <mergeCell ref="B3:C3"/>
    <mergeCell ref="F3:G3"/>
    <mergeCell ref="H3:I3"/>
    <mergeCell ref="J3:K3"/>
    <mergeCell ref="L3:M3"/>
    <mergeCell ref="N3:O3"/>
    <mergeCell ref="P3:Q3"/>
    <mergeCell ref="R3:S3"/>
    <mergeCell ref="P1:Q2"/>
    <mergeCell ref="R1:S2"/>
    <mergeCell ref="T1:U2"/>
    <mergeCell ref="W1:X1"/>
    <mergeCell ref="W2:X2"/>
    <mergeCell ref="Y2:Z2"/>
    <mergeCell ref="E1:E2"/>
    <mergeCell ref="F1:G2"/>
    <mergeCell ref="H1:I2"/>
    <mergeCell ref="J1:K2"/>
    <mergeCell ref="L1:M2"/>
    <mergeCell ref="N1:O2"/>
    <mergeCell ref="T3:U3"/>
  </mergeCells>
  <pageMargins left="0.19685039370078741" right="0.19685039370078741" top="0.39370078740157483" bottom="0.39370078740157483" header="0" footer="0"/>
  <pageSetup paperSize="9" scale="26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6340BF-4661-41E1-861F-5699A007915B}">
          <x14:formula1>
            <xm:f>' CADASTRO'!$I$2:$I$993</xm:f>
          </x14:formula1>
          <xm:sqref>F4:U4 F43:U43</xm:sqref>
        </x14:dataValidation>
        <x14:dataValidation type="list" allowBlank="1" showInputMessage="1" showErrorMessage="1" xr:uid="{E5BAF912-9758-4A09-B1C9-2948D3AA3F00}">
          <x14:formula1>
            <xm:f>' CADASTRO'!$J$2:$J$993</xm:f>
          </x14:formula1>
          <xm:sqref>F5:U5 F44:U44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7D55-CCD1-49B6-AAB9-1676765E4C92}">
  <dimension ref="A1:AY79"/>
  <sheetViews>
    <sheetView view="pageBreakPreview" zoomScale="70" zoomScaleNormal="100" zoomScaleSheetLayoutView="70" workbookViewId="0">
      <selection activeCell="C11" sqref="C11:E11"/>
    </sheetView>
  </sheetViews>
  <sheetFormatPr defaultRowHeight="15.75"/>
  <cols>
    <col min="1" max="1" width="4.46484375" customWidth="1"/>
    <col min="2" max="2" width="7" style="1" customWidth="1"/>
    <col min="3" max="3" width="18.1328125" style="2" customWidth="1"/>
    <col min="4" max="4" width="12.86328125" style="2" customWidth="1"/>
    <col min="5" max="5" width="50.6640625" style="2" customWidth="1"/>
    <col min="6" max="6" width="11.6640625" style="2" customWidth="1"/>
    <col min="7" max="7" width="10.19921875" style="2" customWidth="1"/>
    <col min="8" max="8" width="11.6640625" style="2" customWidth="1"/>
    <col min="9" max="9" width="9.33203125" style="2" customWidth="1"/>
    <col min="10" max="10" width="11.6640625" style="2" customWidth="1"/>
    <col min="11" max="11" width="9.1328125" style="2" customWidth="1"/>
    <col min="12" max="12" width="11.6640625" style="2" customWidth="1"/>
    <col min="13" max="13" width="9.796875" customWidth="1"/>
    <col min="14" max="14" width="11.6640625" customWidth="1"/>
    <col min="15" max="15" width="9.33203125" customWidth="1"/>
    <col min="16" max="16" width="11.6640625" style="2" customWidth="1"/>
    <col min="17" max="17" width="8.6640625" style="2" customWidth="1"/>
    <col min="18" max="22" width="11.6640625" customWidth="1"/>
    <col min="23" max="23" width="9.46484375" customWidth="1"/>
    <col min="24" max="24" width="11.6640625" customWidth="1"/>
    <col min="25" max="25" width="10.1328125" customWidth="1"/>
    <col min="26" max="26" width="8.796875" customWidth="1"/>
    <col min="27" max="27" width="12.1328125" customWidth="1"/>
    <col min="28" max="28" width="11.6640625" customWidth="1"/>
    <col min="29" max="29" width="9.46484375" customWidth="1"/>
    <col min="30" max="30" width="3.33203125" customWidth="1"/>
    <col min="31" max="31" width="8.86328125" style="24"/>
    <col min="33" max="33" width="12" customWidth="1"/>
    <col min="34" max="34" width="16.86328125" customWidth="1"/>
    <col min="35" max="35" width="14.33203125" customWidth="1"/>
    <col min="36" max="36" width="21.33203125" customWidth="1"/>
    <col min="37" max="37" width="27.6640625" customWidth="1"/>
    <col min="38" max="38" width="28.796875" customWidth="1"/>
    <col min="40" max="40" width="9.1328125" customWidth="1"/>
    <col min="42" max="42" width="18.6640625" style="144" bestFit="1" customWidth="1"/>
    <col min="43" max="43" width="20" style="144" bestFit="1" customWidth="1"/>
    <col min="44" max="44" width="13.33203125" style="144" customWidth="1"/>
    <col min="45" max="45" width="14" style="144" customWidth="1"/>
    <col min="46" max="46" width="21.33203125" style="144" customWidth="1"/>
    <col min="47" max="48" width="8.86328125" style="144"/>
    <col min="49" max="49" width="8.86328125" style="152"/>
    <col min="50" max="50" width="25.6640625" style="152" customWidth="1"/>
    <col min="51" max="51" width="8.86328125" style="152"/>
  </cols>
  <sheetData>
    <row r="1" spans="1:51" ht="35" customHeight="1">
      <c r="E1" s="261" t="s">
        <v>1000</v>
      </c>
      <c r="F1" s="263"/>
      <c r="G1" s="264"/>
      <c r="H1" s="263"/>
      <c r="I1" s="264"/>
      <c r="J1" s="263"/>
      <c r="K1" s="264"/>
      <c r="L1" s="263"/>
      <c r="M1" s="264"/>
      <c r="N1" s="263"/>
      <c r="O1" s="264"/>
      <c r="P1" s="263"/>
      <c r="Q1" s="264"/>
      <c r="R1" s="263"/>
      <c r="S1" s="264"/>
      <c r="T1" s="263"/>
      <c r="U1" s="264"/>
      <c r="V1" s="263"/>
      <c r="W1" s="264"/>
      <c r="X1" s="263"/>
      <c r="Y1" s="264"/>
      <c r="Z1" s="263"/>
      <c r="AA1" s="264"/>
      <c r="AB1" s="263"/>
      <c r="AC1" s="264"/>
      <c r="AE1" s="272" t="s">
        <v>73</v>
      </c>
      <c r="AF1" s="272"/>
      <c r="AQ1" s="145" t="s">
        <v>164</v>
      </c>
      <c r="AR1" s="146" t="s">
        <v>48</v>
      </c>
      <c r="AS1" s="146" t="s">
        <v>240</v>
      </c>
      <c r="AT1" s="146" t="s">
        <v>49</v>
      </c>
      <c r="AU1" s="147" t="s">
        <v>50</v>
      </c>
      <c r="AV1" s="148"/>
      <c r="AW1" s="150"/>
      <c r="AX1" s="150"/>
      <c r="AY1" s="151" t="s">
        <v>51</v>
      </c>
    </row>
    <row r="2" spans="1:51" ht="36.6" customHeight="1">
      <c r="E2" s="262"/>
      <c r="F2" s="265"/>
      <c r="G2" s="266"/>
      <c r="H2" s="265"/>
      <c r="I2" s="266"/>
      <c r="J2" s="265"/>
      <c r="K2" s="266"/>
      <c r="L2" s="265"/>
      <c r="M2" s="266"/>
      <c r="N2" s="265"/>
      <c r="O2" s="266"/>
      <c r="P2" s="265"/>
      <c r="Q2" s="266"/>
      <c r="R2" s="265"/>
      <c r="S2" s="266"/>
      <c r="T2" s="265"/>
      <c r="U2" s="266"/>
      <c r="V2" s="265"/>
      <c r="W2" s="266"/>
      <c r="X2" s="265"/>
      <c r="Y2" s="266"/>
      <c r="Z2" s="265"/>
      <c r="AA2" s="266"/>
      <c r="AB2" s="265"/>
      <c r="AC2" s="266"/>
      <c r="AE2" s="253" t="s">
        <v>1032</v>
      </c>
      <c r="AF2" s="253"/>
      <c r="AG2" s="215">
        <f>AG3-378</f>
        <v>791</v>
      </c>
      <c r="AH2" s="216"/>
      <c r="AI2" s="243" t="s">
        <v>1026</v>
      </c>
      <c r="AJ2" s="244"/>
      <c r="AK2" s="133"/>
      <c r="AL2" s="133" t="s">
        <v>1035</v>
      </c>
      <c r="AN2" s="40">
        <v>1</v>
      </c>
      <c r="AO2" s="52" t="s">
        <v>1034</v>
      </c>
      <c r="AQ2" s="149"/>
    </row>
    <row r="3" spans="1:51" ht="42.6" customHeight="1">
      <c r="B3" s="173" t="s">
        <v>162</v>
      </c>
      <c r="C3" s="173"/>
      <c r="D3" s="111">
        <f>MAX(' CADASTRO'!C2:C1000)</f>
        <v>48</v>
      </c>
      <c r="E3" s="120" t="s">
        <v>122</v>
      </c>
      <c r="F3" s="165" t="s">
        <v>105</v>
      </c>
      <c r="G3" s="166"/>
      <c r="H3" s="165" t="s">
        <v>105</v>
      </c>
      <c r="I3" s="166"/>
      <c r="J3" s="165" t="s">
        <v>105</v>
      </c>
      <c r="K3" s="166"/>
      <c r="L3" s="165" t="s">
        <v>105</v>
      </c>
      <c r="M3" s="166"/>
      <c r="N3" s="165" t="s">
        <v>105</v>
      </c>
      <c r="O3" s="166"/>
      <c r="P3" s="165" t="s">
        <v>105</v>
      </c>
      <c r="Q3" s="166"/>
      <c r="R3" s="165" t="s">
        <v>105</v>
      </c>
      <c r="S3" s="166"/>
      <c r="T3" s="165" t="s">
        <v>105</v>
      </c>
      <c r="U3" s="166"/>
      <c r="V3" s="165" t="s">
        <v>105</v>
      </c>
      <c r="W3" s="166"/>
      <c r="X3" s="165" t="s">
        <v>105</v>
      </c>
      <c r="Y3" s="166"/>
      <c r="Z3" s="165" t="s">
        <v>105</v>
      </c>
      <c r="AA3" s="166"/>
      <c r="AB3" s="165" t="s">
        <v>105</v>
      </c>
      <c r="AC3" s="166"/>
      <c r="AE3" s="218" t="s">
        <v>1031</v>
      </c>
      <c r="AF3" s="219"/>
      <c r="AG3" s="251">
        <v>1169</v>
      </c>
      <c r="AH3" s="252"/>
      <c r="AI3" s="137" t="s">
        <v>1027</v>
      </c>
      <c r="AJ3" s="138"/>
      <c r="AK3" s="75"/>
      <c r="AL3" s="75"/>
      <c r="AN3" s="40">
        <v>2</v>
      </c>
      <c r="AO3" s="52" t="s">
        <v>1034</v>
      </c>
      <c r="AQ3" s="149"/>
    </row>
    <row r="4" spans="1:51" ht="38" customHeight="1">
      <c r="A4" s="167" t="s">
        <v>1</v>
      </c>
      <c r="B4" s="167"/>
      <c r="C4" s="168">
        <f ca="1">TODAY()+1</f>
        <v>45854</v>
      </c>
      <c r="D4" s="169"/>
      <c r="E4" s="120" t="s">
        <v>6</v>
      </c>
      <c r="F4" s="170" t="s">
        <v>1042</v>
      </c>
      <c r="G4" s="170"/>
      <c r="H4" s="171" t="s">
        <v>1043</v>
      </c>
      <c r="I4" s="172"/>
      <c r="J4" s="171" t="s">
        <v>1044</v>
      </c>
      <c r="K4" s="172"/>
      <c r="L4" s="171" t="s">
        <v>1045</v>
      </c>
      <c r="M4" s="172"/>
      <c r="N4" s="171" t="s">
        <v>1046</v>
      </c>
      <c r="O4" s="172"/>
      <c r="P4" s="171" t="s">
        <v>1047</v>
      </c>
      <c r="Q4" s="172"/>
      <c r="R4" s="170" t="s">
        <v>1048</v>
      </c>
      <c r="S4" s="170"/>
      <c r="T4" s="170" t="s">
        <v>1049</v>
      </c>
      <c r="U4" s="170"/>
      <c r="V4" s="170" t="s">
        <v>1039</v>
      </c>
      <c r="W4" s="170"/>
      <c r="X4" s="170" t="s">
        <v>1050</v>
      </c>
      <c r="Y4" s="170"/>
      <c r="Z4" s="170" t="s">
        <v>1040</v>
      </c>
      <c r="AA4" s="170"/>
      <c r="AB4" s="170" t="s">
        <v>1041</v>
      </c>
      <c r="AC4" s="170"/>
      <c r="AE4" s="257" t="s">
        <v>1028</v>
      </c>
      <c r="AF4" s="258"/>
      <c r="AG4" s="259" t="s">
        <v>1021</v>
      </c>
      <c r="AH4" s="260"/>
      <c r="AI4" s="259" t="s">
        <v>1022</v>
      </c>
      <c r="AJ4" s="260"/>
      <c r="AK4" s="132" t="s">
        <v>1023</v>
      </c>
      <c r="AL4" s="132" t="s">
        <v>1024</v>
      </c>
      <c r="AN4" s="40">
        <v>3</v>
      </c>
      <c r="AO4" s="52" t="s">
        <v>1034</v>
      </c>
      <c r="AQ4" s="149"/>
    </row>
    <row r="5" spans="1:51" ht="37.25" customHeight="1">
      <c r="A5" s="167"/>
      <c r="B5" s="167"/>
      <c r="C5" s="168"/>
      <c r="D5" s="169"/>
      <c r="E5" s="120" t="s">
        <v>51</v>
      </c>
      <c r="F5" s="237" t="str">
        <f>VLOOKUP(F4,' CADASTRO'!$I$2:$J$1000,2,0)</f>
        <v>P</v>
      </c>
      <c r="G5" s="237"/>
      <c r="H5" s="237" t="str">
        <f>VLOOKUP(H4,' CADASTRO'!$I$2:$J$1000,2,0)</f>
        <v>P</v>
      </c>
      <c r="I5" s="237"/>
      <c r="J5" s="237" t="str">
        <f>VLOOKUP(J4,' CADASTRO'!$I$2:$J$1000,2,0)</f>
        <v>P</v>
      </c>
      <c r="K5" s="237"/>
      <c r="L5" s="237" t="str">
        <f>VLOOKUP(L4,' CADASTRO'!$I$2:$J$1000,2,0)</f>
        <v>P</v>
      </c>
      <c r="M5" s="237"/>
      <c r="N5" s="237" t="str">
        <f>VLOOKUP(N4,' CADASTRO'!$I$2:$J$1000,2,0)</f>
        <v>P</v>
      </c>
      <c r="O5" s="237"/>
      <c r="P5" s="237" t="str">
        <f>VLOOKUP(P4,' CADASTRO'!$I$2:$J$1000,2,0)</f>
        <v>P</v>
      </c>
      <c r="Q5" s="237"/>
      <c r="R5" s="237" t="str">
        <f>VLOOKUP(R4,' CADASTRO'!$I$2:$J$1000,2,0)</f>
        <v>P</v>
      </c>
      <c r="S5" s="237"/>
      <c r="T5" s="237" t="str">
        <f>VLOOKUP(T4,' CADASTRO'!$I$2:$J$1000,2,0)</f>
        <v>P</v>
      </c>
      <c r="U5" s="237"/>
      <c r="V5" s="237" t="str">
        <f>VLOOKUP(V4,' CADASTRO'!$I$2:$J$1000,2,0)</f>
        <v>PNI</v>
      </c>
      <c r="W5" s="237"/>
      <c r="X5" s="237" t="str">
        <f>VLOOKUP(X4,' CADASTRO'!$I$2:$J$1000,2,0)</f>
        <v>P</v>
      </c>
      <c r="Y5" s="237"/>
      <c r="Z5" s="237" t="str">
        <f>VLOOKUP(Z4,' CADASTRO'!$I$2:$J$1000,2,0)</f>
        <v>PNI</v>
      </c>
      <c r="AA5" s="237"/>
      <c r="AB5" s="237" t="str">
        <f>VLOOKUP(AB4,' CADASTRO'!$I$2:$J$1000,2,0)</f>
        <v>PNI</v>
      </c>
      <c r="AC5" s="237"/>
      <c r="AE5" s="250" t="s">
        <v>1025</v>
      </c>
      <c r="AF5" s="250"/>
      <c r="AG5" s="211"/>
      <c r="AH5" s="212"/>
      <c r="AI5" s="211"/>
      <c r="AJ5" s="212"/>
      <c r="AK5" s="75"/>
      <c r="AL5" s="75"/>
      <c r="AN5" s="40">
        <v>4</v>
      </c>
      <c r="AO5" s="52" t="s">
        <v>1034</v>
      </c>
      <c r="AQ5" s="149"/>
    </row>
    <row r="6" spans="1:51">
      <c r="A6" s="175" t="s">
        <v>82</v>
      </c>
      <c r="B6" s="175"/>
      <c r="C6" s="176"/>
      <c r="D6" s="177"/>
      <c r="E6" s="178" t="s">
        <v>62</v>
      </c>
      <c r="F6" s="180" t="str">
        <f>VLOOKUP(F4,' CADASTRO'!$I$2:$Q$994,9,0)</f>
        <v>NÃO TEM CHAPA</v>
      </c>
      <c r="G6" s="181"/>
      <c r="H6" s="180" t="str">
        <f>VLOOKUP(H4,' CADASTRO'!$I$2:$Q$994,9,0)</f>
        <v>NÃO TEM CHAPA</v>
      </c>
      <c r="I6" s="181"/>
      <c r="J6" s="180" t="str">
        <f>VLOOKUP(J4,' CADASTRO'!$I$2:$Q$994,9,0)</f>
        <v>NÃO TEM CHAPA</v>
      </c>
      <c r="K6" s="181"/>
      <c r="L6" s="180" t="str">
        <f>VLOOKUP(L4,' CADASTRO'!$I$2:$Q$994,9,0)</f>
        <v>NÃO TEM CHAPA</v>
      </c>
      <c r="M6" s="181"/>
      <c r="N6" s="180" t="str">
        <f>VLOOKUP(N4,' CADASTRO'!$I$2:$Q$994,9,0)</f>
        <v>NÃO TEM CHAPA</v>
      </c>
      <c r="O6" s="181"/>
      <c r="P6" s="180" t="str">
        <f>VLOOKUP(P4,' CADASTRO'!$I$2:$Q$994,9,0)</f>
        <v>NÃO TEM CHAPA</v>
      </c>
      <c r="Q6" s="181"/>
      <c r="R6" s="180" t="str">
        <f>VLOOKUP(R4,' CADASTRO'!$I$2:$Q$994,9,0)</f>
        <v>NÃO TEM CHAPA</v>
      </c>
      <c r="S6" s="181"/>
      <c r="T6" s="180" t="str">
        <f>VLOOKUP(T4,' CADASTRO'!$I$2:$Q$994,9,0)</f>
        <v>NÃO TEM CHAPA</v>
      </c>
      <c r="U6" s="181"/>
      <c r="V6" s="180" t="str">
        <f>VLOOKUP(V4,' CADASTRO'!$I$2:$Q$994,9,0)</f>
        <v>02- 150X150 #3/8</v>
      </c>
      <c r="W6" s="181"/>
      <c r="X6" s="180" t="str">
        <f>VLOOKUP(X4,' CADASTRO'!$I$2:$Q$994,9,0)</f>
        <v>NÃO TEM CHAPA</v>
      </c>
      <c r="Y6" s="181"/>
      <c r="Z6" s="180" t="str">
        <f>VLOOKUP(Z4,' CADASTRO'!$I$2:$Q$994,9,0)</f>
        <v>02- 150X150 #3/8</v>
      </c>
      <c r="AA6" s="181"/>
      <c r="AB6" s="180" t="str">
        <f>VLOOKUP(AB4,' CADASTRO'!$I$2:$Q$994,9,0)</f>
        <v>02- 150X150 #3/8</v>
      </c>
      <c r="AC6" s="181"/>
      <c r="AE6" s="272" t="s">
        <v>75</v>
      </c>
      <c r="AF6" s="272"/>
      <c r="AN6" s="40">
        <v>5</v>
      </c>
      <c r="AO6" s="52" t="s">
        <v>1034</v>
      </c>
      <c r="AQ6" s="149"/>
    </row>
    <row r="7" spans="1:51" ht="34.25" customHeight="1">
      <c r="C7" s="187" t="s">
        <v>109</v>
      </c>
      <c r="D7" s="187"/>
      <c r="E7" s="179"/>
      <c r="F7" s="182"/>
      <c r="G7" s="183"/>
      <c r="H7" s="182"/>
      <c r="I7" s="183"/>
      <c r="J7" s="182"/>
      <c r="K7" s="183"/>
      <c r="L7" s="182"/>
      <c r="M7" s="183"/>
      <c r="N7" s="182"/>
      <c r="O7" s="183"/>
      <c r="P7" s="182"/>
      <c r="Q7" s="183"/>
      <c r="R7" s="182"/>
      <c r="S7" s="183"/>
      <c r="T7" s="182"/>
      <c r="U7" s="183"/>
      <c r="V7" s="182"/>
      <c r="W7" s="183"/>
      <c r="X7" s="182"/>
      <c r="Y7" s="183"/>
      <c r="Z7" s="182"/>
      <c r="AA7" s="183"/>
      <c r="AB7" s="182"/>
      <c r="AC7" s="183"/>
      <c r="AE7" s="272"/>
      <c r="AF7" s="272"/>
      <c r="AN7" s="40">
        <v>6</v>
      </c>
      <c r="AO7" s="52" t="s">
        <v>1034</v>
      </c>
      <c r="AQ7" s="149"/>
    </row>
    <row r="8" spans="1:51" ht="32.25">
      <c r="C8" s="187"/>
      <c r="D8" s="187"/>
      <c r="E8" s="43" t="s">
        <v>65</v>
      </c>
      <c r="F8" s="188" t="s">
        <v>59</v>
      </c>
      <c r="G8" s="189"/>
      <c r="H8" s="188" t="s">
        <v>66</v>
      </c>
      <c r="I8" s="189"/>
      <c r="J8" s="188" t="s">
        <v>67</v>
      </c>
      <c r="K8" s="189"/>
      <c r="L8" s="188" t="s">
        <v>68</v>
      </c>
      <c r="M8" s="189"/>
      <c r="N8" s="188" t="s">
        <v>69</v>
      </c>
      <c r="O8" s="189"/>
      <c r="P8" s="188" t="s">
        <v>70</v>
      </c>
      <c r="Q8" s="189"/>
      <c r="R8" s="188" t="s">
        <v>71</v>
      </c>
      <c r="S8" s="189"/>
      <c r="T8" s="188" t="s">
        <v>72</v>
      </c>
      <c r="U8" s="189"/>
      <c r="V8" s="188" t="s">
        <v>1001</v>
      </c>
      <c r="W8" s="189"/>
      <c r="X8" s="188" t="s">
        <v>1002</v>
      </c>
      <c r="Y8" s="189"/>
      <c r="Z8" s="188" t="s">
        <v>1003</v>
      </c>
      <c r="AA8" s="189"/>
      <c r="AB8" s="188" t="s">
        <v>1004</v>
      </c>
      <c r="AC8" s="189"/>
      <c r="AE8" s="253" t="s">
        <v>1032</v>
      </c>
      <c r="AF8" s="253"/>
      <c r="AG8" s="215">
        <f>IF(AG9="","",AG9-378)</f>
        <v>792</v>
      </c>
      <c r="AH8" s="216"/>
      <c r="AI8" s="218" t="s">
        <v>1026</v>
      </c>
      <c r="AJ8" s="219"/>
      <c r="AK8" s="133"/>
      <c r="AL8" s="133" t="s">
        <v>1035</v>
      </c>
      <c r="AN8" s="14"/>
      <c r="AQ8" s="149"/>
    </row>
    <row r="9" spans="1:51" ht="24" customHeight="1">
      <c r="B9" s="192" t="s">
        <v>3</v>
      </c>
      <c r="C9" s="193" t="s">
        <v>4</v>
      </c>
      <c r="D9" s="193"/>
      <c r="E9" s="194"/>
      <c r="F9" s="194" t="s">
        <v>0</v>
      </c>
      <c r="G9" s="196" t="s">
        <v>2</v>
      </c>
      <c r="H9" s="194" t="s">
        <v>0</v>
      </c>
      <c r="I9" s="196" t="s">
        <v>2</v>
      </c>
      <c r="J9" s="194" t="s">
        <v>0</v>
      </c>
      <c r="K9" s="196" t="s">
        <v>2</v>
      </c>
      <c r="L9" s="194" t="s">
        <v>0</v>
      </c>
      <c r="M9" s="196" t="s">
        <v>2</v>
      </c>
      <c r="N9" s="194" t="s">
        <v>0</v>
      </c>
      <c r="O9" s="196" t="s">
        <v>2</v>
      </c>
      <c r="P9" s="194" t="s">
        <v>0</v>
      </c>
      <c r="Q9" s="196" t="s">
        <v>2</v>
      </c>
      <c r="R9" s="194" t="s">
        <v>0</v>
      </c>
      <c r="S9" s="196" t="s">
        <v>2</v>
      </c>
      <c r="T9" s="194" t="s">
        <v>0</v>
      </c>
      <c r="U9" s="196" t="s">
        <v>2</v>
      </c>
      <c r="V9" s="194" t="s">
        <v>0</v>
      </c>
      <c r="W9" s="196" t="s">
        <v>2</v>
      </c>
      <c r="X9" s="194" t="s">
        <v>0</v>
      </c>
      <c r="Y9" s="196" t="s">
        <v>2</v>
      </c>
      <c r="Z9" s="194" t="s">
        <v>0</v>
      </c>
      <c r="AA9" s="196" t="s">
        <v>2</v>
      </c>
      <c r="AB9" s="194" t="s">
        <v>0</v>
      </c>
      <c r="AC9" s="196" t="s">
        <v>2</v>
      </c>
      <c r="AE9" s="218" t="s">
        <v>1031</v>
      </c>
      <c r="AF9" s="219"/>
      <c r="AG9" s="215">
        <f>IF(AO3="X",AG3+1,"")</f>
        <v>1170</v>
      </c>
      <c r="AH9" s="216"/>
      <c r="AI9" s="137" t="s">
        <v>1027</v>
      </c>
      <c r="AJ9" s="138"/>
      <c r="AK9" s="75"/>
      <c r="AL9" s="75"/>
      <c r="AN9" s="14"/>
      <c r="AQ9" s="149"/>
    </row>
    <row r="10" spans="1:51" ht="24.6" customHeight="1" thickBot="1">
      <c r="A10" s="198"/>
      <c r="B10" s="192"/>
      <c r="C10" s="194"/>
      <c r="D10" s="194"/>
      <c r="E10" s="194"/>
      <c r="F10" s="195"/>
      <c r="G10" s="197"/>
      <c r="H10" s="194"/>
      <c r="I10" s="196"/>
      <c r="J10" s="195"/>
      <c r="K10" s="197"/>
      <c r="L10" s="194"/>
      <c r="M10" s="196"/>
      <c r="N10" s="194"/>
      <c r="O10" s="196"/>
      <c r="P10" s="194"/>
      <c r="Q10" s="196"/>
      <c r="R10" s="194"/>
      <c r="S10" s="196"/>
      <c r="T10" s="194"/>
      <c r="U10" s="196"/>
      <c r="V10" s="194"/>
      <c r="W10" s="196"/>
      <c r="X10" s="194"/>
      <c r="Y10" s="196"/>
      <c r="Z10" s="194"/>
      <c r="AA10" s="196"/>
      <c r="AB10" s="194"/>
      <c r="AC10" s="196"/>
      <c r="AE10" s="257" t="s">
        <v>1028</v>
      </c>
      <c r="AF10" s="258"/>
      <c r="AG10" s="142" t="s">
        <v>1021</v>
      </c>
      <c r="AH10" s="143"/>
      <c r="AI10" s="142" t="s">
        <v>1022</v>
      </c>
      <c r="AJ10" s="143"/>
      <c r="AK10" s="136" t="s">
        <v>1023</v>
      </c>
      <c r="AL10" s="136" t="s">
        <v>1024</v>
      </c>
      <c r="AQ10" s="149"/>
    </row>
    <row r="11" spans="1:51" ht="50" customHeight="1">
      <c r="A11" s="198"/>
      <c r="B11" s="5">
        <v>1</v>
      </c>
      <c r="C11" s="203" t="s">
        <v>112</v>
      </c>
      <c r="D11" s="204"/>
      <c r="E11" s="204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28"/>
      <c r="T11" s="27"/>
      <c r="U11" s="28"/>
      <c r="V11" s="27"/>
      <c r="W11" s="28"/>
      <c r="X11" s="27"/>
      <c r="Y11" s="28"/>
      <c r="Z11" s="27"/>
      <c r="AA11" s="28"/>
      <c r="AB11" s="22"/>
      <c r="AC11" s="22"/>
      <c r="AE11" s="254" t="s">
        <v>1025</v>
      </c>
      <c r="AF11" s="255"/>
      <c r="AG11" s="211"/>
      <c r="AH11" s="212"/>
      <c r="AI11" s="211"/>
      <c r="AJ11" s="212"/>
      <c r="AK11" s="75"/>
      <c r="AL11" s="75"/>
      <c r="AQ11" s="149"/>
    </row>
    <row r="12" spans="1:51" ht="50" customHeight="1">
      <c r="A12" s="198"/>
      <c r="B12" s="5">
        <v>2</v>
      </c>
      <c r="C12" s="205" t="s">
        <v>107</v>
      </c>
      <c r="D12" s="206"/>
      <c r="E12" s="206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29"/>
      <c r="U12" s="30"/>
      <c r="V12" s="29"/>
      <c r="W12" s="30"/>
      <c r="X12" s="29"/>
      <c r="Y12" s="30"/>
      <c r="Z12" s="29"/>
      <c r="AA12" s="30"/>
      <c r="AB12" s="3"/>
      <c r="AC12" s="3"/>
      <c r="AE12" s="256" t="s">
        <v>76</v>
      </c>
      <c r="AF12" s="256"/>
      <c r="AG12" s="141"/>
      <c r="AH12" s="141"/>
      <c r="AI12" s="141"/>
      <c r="AJ12" s="141"/>
      <c r="AQ12" s="149"/>
    </row>
    <row r="13" spans="1:51" ht="50" customHeight="1">
      <c r="A13" s="198"/>
      <c r="B13" s="5">
        <v>3</v>
      </c>
      <c r="C13" s="203" t="s">
        <v>102</v>
      </c>
      <c r="D13" s="204"/>
      <c r="E13" s="204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22"/>
      <c r="AC13" s="22"/>
      <c r="AE13" s="218" t="s">
        <v>1032</v>
      </c>
      <c r="AF13" s="219"/>
      <c r="AG13" s="215">
        <f>IF(AG14="","",AG14-378)</f>
        <v>793</v>
      </c>
      <c r="AH13" s="216"/>
      <c r="AI13" s="243" t="s">
        <v>1026</v>
      </c>
      <c r="AJ13" s="244"/>
      <c r="AK13" s="133"/>
      <c r="AL13" s="133" t="s">
        <v>1035</v>
      </c>
      <c r="AQ13" s="149"/>
    </row>
    <row r="14" spans="1:51" ht="58.25" customHeight="1">
      <c r="A14" s="198"/>
      <c r="B14" s="5">
        <v>4</v>
      </c>
      <c r="C14" s="205" t="s">
        <v>1006</v>
      </c>
      <c r="D14" s="206"/>
      <c r="E14" s="206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29"/>
      <c r="U14" s="30"/>
      <c r="V14" s="29"/>
      <c r="W14" s="30"/>
      <c r="X14" s="29"/>
      <c r="Y14" s="30"/>
      <c r="Z14" s="29"/>
      <c r="AA14" s="30"/>
      <c r="AB14" s="3"/>
      <c r="AC14" s="3"/>
      <c r="AE14" s="218" t="s">
        <v>1031</v>
      </c>
      <c r="AF14" s="219"/>
      <c r="AG14" s="215">
        <f>IF(AO4="X",$AG$3+2,"")</f>
        <v>1171</v>
      </c>
      <c r="AH14" s="216"/>
      <c r="AI14" s="218" t="s">
        <v>1027</v>
      </c>
      <c r="AJ14" s="219"/>
      <c r="AK14" s="75"/>
      <c r="AL14" s="75"/>
    </row>
    <row r="15" spans="1:51" ht="50" customHeight="1">
      <c r="A15" s="198"/>
      <c r="B15" s="5">
        <v>5</v>
      </c>
      <c r="C15" s="203" t="s">
        <v>134</v>
      </c>
      <c r="D15" s="204"/>
      <c r="E15" s="204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22"/>
      <c r="AC15" s="22"/>
      <c r="AE15" s="257" t="s">
        <v>1028</v>
      </c>
      <c r="AF15" s="258"/>
      <c r="AG15" s="142" t="s">
        <v>1021</v>
      </c>
      <c r="AH15" s="143"/>
      <c r="AI15" s="142" t="s">
        <v>1022</v>
      </c>
      <c r="AJ15" s="143"/>
      <c r="AK15" s="136" t="s">
        <v>1023</v>
      </c>
      <c r="AL15" s="136" t="s">
        <v>1024</v>
      </c>
    </row>
    <row r="16" spans="1:51" ht="50" customHeight="1">
      <c r="A16" s="198"/>
      <c r="B16" s="5">
        <v>6</v>
      </c>
      <c r="C16" s="205" t="s">
        <v>114</v>
      </c>
      <c r="D16" s="206"/>
      <c r="E16" s="206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29"/>
      <c r="U16" s="30"/>
      <c r="V16" s="29"/>
      <c r="W16" s="30"/>
      <c r="X16" s="29"/>
      <c r="Y16" s="30"/>
      <c r="Z16" s="29"/>
      <c r="AA16" s="30"/>
      <c r="AB16" s="3"/>
      <c r="AC16" s="3"/>
      <c r="AE16" s="250" t="s">
        <v>1025</v>
      </c>
      <c r="AF16" s="250"/>
      <c r="AG16" s="271"/>
      <c r="AH16" s="271"/>
      <c r="AI16" s="271"/>
      <c r="AJ16" s="271"/>
      <c r="AK16" s="75"/>
      <c r="AL16" s="75"/>
    </row>
    <row r="17" spans="1:38" ht="50" customHeight="1">
      <c r="A17" s="198"/>
      <c r="B17" s="5">
        <v>7</v>
      </c>
      <c r="C17" s="203" t="s">
        <v>27</v>
      </c>
      <c r="D17" s="204"/>
      <c r="E17" s="204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31"/>
      <c r="U17" s="32"/>
      <c r="V17" s="31"/>
      <c r="W17" s="32"/>
      <c r="X17" s="31"/>
      <c r="Y17" s="32"/>
      <c r="Z17" s="31"/>
      <c r="AA17" s="32"/>
      <c r="AB17" s="22"/>
      <c r="AC17" s="22"/>
      <c r="AE17" s="267"/>
      <c r="AF17" s="267"/>
    </row>
    <row r="18" spans="1:38" ht="50" customHeight="1">
      <c r="A18" s="198"/>
      <c r="B18" s="5">
        <v>8</v>
      </c>
      <c r="C18" s="205" t="s">
        <v>26</v>
      </c>
      <c r="D18" s="206"/>
      <c r="E18" s="206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29"/>
      <c r="U18" s="30"/>
      <c r="V18" s="29"/>
      <c r="W18" s="30"/>
      <c r="X18" s="29"/>
      <c r="Y18" s="30"/>
      <c r="Z18" s="29"/>
      <c r="AA18" s="30"/>
      <c r="AB18" s="3"/>
      <c r="AC18" s="3"/>
      <c r="AE18" s="217" t="s">
        <v>77</v>
      </c>
      <c r="AF18" s="217"/>
    </row>
    <row r="19" spans="1:38" ht="50" customHeight="1">
      <c r="A19" s="198"/>
      <c r="B19" s="5">
        <v>9</v>
      </c>
      <c r="C19" s="203" t="s">
        <v>81</v>
      </c>
      <c r="D19" s="204"/>
      <c r="E19" s="204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31"/>
      <c r="U19" s="32"/>
      <c r="V19" s="31"/>
      <c r="W19" s="32"/>
      <c r="X19" s="31"/>
      <c r="Y19" s="32"/>
      <c r="Z19" s="31"/>
      <c r="AA19" s="32"/>
      <c r="AB19" s="22"/>
      <c r="AC19" s="22"/>
      <c r="AE19" s="218" t="s">
        <v>1032</v>
      </c>
      <c r="AF19" s="219"/>
      <c r="AG19" s="215">
        <f>IF(AG20="","",AG20-378)</f>
        <v>794</v>
      </c>
      <c r="AH19" s="216"/>
      <c r="AI19" s="218" t="s">
        <v>1026</v>
      </c>
      <c r="AJ19" s="219"/>
      <c r="AK19" s="133"/>
      <c r="AL19" s="133" t="s">
        <v>1035</v>
      </c>
    </row>
    <row r="20" spans="1:38" ht="50" customHeight="1">
      <c r="A20" s="198"/>
      <c r="B20" s="5">
        <v>10</v>
      </c>
      <c r="C20" s="205" t="s">
        <v>45</v>
      </c>
      <c r="D20" s="206"/>
      <c r="E20" s="206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29"/>
      <c r="U20" s="30"/>
      <c r="V20" s="29"/>
      <c r="W20" s="30"/>
      <c r="X20" s="29"/>
      <c r="Y20" s="30"/>
      <c r="Z20" s="29"/>
      <c r="AA20" s="30"/>
      <c r="AB20" s="3"/>
      <c r="AC20" s="3"/>
      <c r="AE20" s="218" t="s">
        <v>1033</v>
      </c>
      <c r="AF20" s="219"/>
      <c r="AG20" s="215">
        <f>IF(AO5="X",$AG$3+3,"")</f>
        <v>1172</v>
      </c>
      <c r="AH20" s="216"/>
      <c r="AI20" s="137" t="s">
        <v>1027</v>
      </c>
      <c r="AJ20" s="138"/>
      <c r="AK20" s="75"/>
      <c r="AL20" s="75"/>
    </row>
    <row r="21" spans="1:38" ht="50" customHeight="1">
      <c r="A21" s="198"/>
      <c r="B21" s="5">
        <v>11</v>
      </c>
      <c r="C21" s="203" t="s">
        <v>1005</v>
      </c>
      <c r="D21" s="204"/>
      <c r="E21" s="204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22"/>
      <c r="AC21" s="22"/>
      <c r="AE21" s="139" t="s">
        <v>1028</v>
      </c>
      <c r="AF21" s="140"/>
      <c r="AG21" s="247" t="s">
        <v>1021</v>
      </c>
      <c r="AH21" s="248"/>
      <c r="AI21" s="247" t="s">
        <v>1022</v>
      </c>
      <c r="AJ21" s="248"/>
      <c r="AK21" s="23" t="s">
        <v>1023</v>
      </c>
      <c r="AL21" s="23" t="s">
        <v>1024</v>
      </c>
    </row>
    <row r="22" spans="1:38" ht="50" customHeight="1">
      <c r="A22" s="198"/>
      <c r="B22" s="5">
        <v>12</v>
      </c>
      <c r="C22" s="205" t="s">
        <v>78</v>
      </c>
      <c r="D22" s="206"/>
      <c r="E22" s="206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29"/>
      <c r="U22" s="30"/>
      <c r="V22" s="29"/>
      <c r="W22" s="30"/>
      <c r="X22" s="29"/>
      <c r="Y22" s="30"/>
      <c r="Z22" s="29"/>
      <c r="AA22" s="30"/>
      <c r="AB22" s="3"/>
      <c r="AC22" s="3"/>
      <c r="AE22" s="134" t="s">
        <v>1025</v>
      </c>
      <c r="AF22" s="135"/>
      <c r="AG22" s="211"/>
      <c r="AH22" s="212"/>
      <c r="AI22" s="211"/>
      <c r="AJ22" s="212"/>
      <c r="AK22" s="75"/>
      <c r="AL22" s="75"/>
    </row>
    <row r="23" spans="1:38" ht="50" customHeight="1">
      <c r="A23" s="198"/>
      <c r="B23" s="5">
        <v>13</v>
      </c>
      <c r="C23" s="203" t="s">
        <v>29</v>
      </c>
      <c r="D23" s="204"/>
      <c r="E23" s="204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31"/>
      <c r="U23" s="32"/>
      <c r="V23" s="31"/>
      <c r="W23" s="32"/>
      <c r="X23" s="31"/>
      <c r="Y23" s="32"/>
      <c r="Z23" s="31"/>
      <c r="AA23" s="32"/>
      <c r="AB23" s="22"/>
      <c r="AC23" s="22"/>
      <c r="AE23" s="270"/>
      <c r="AF23" s="270"/>
      <c r="AG23" s="270"/>
      <c r="AH23" s="270"/>
      <c r="AI23" s="270"/>
      <c r="AJ23" s="270"/>
      <c r="AK23" s="207"/>
      <c r="AL23" s="207"/>
    </row>
    <row r="24" spans="1:38" ht="50" customHeight="1">
      <c r="A24" s="198"/>
      <c r="B24" s="5">
        <v>14</v>
      </c>
      <c r="C24" s="205" t="s">
        <v>28</v>
      </c>
      <c r="D24" s="206"/>
      <c r="E24" s="206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29"/>
      <c r="U24" s="30"/>
      <c r="V24" s="29"/>
      <c r="W24" s="30"/>
      <c r="X24" s="29"/>
      <c r="Y24" s="30"/>
      <c r="Z24" s="29"/>
      <c r="AA24" s="30"/>
      <c r="AB24" s="3"/>
      <c r="AC24" s="3"/>
      <c r="AE24" s="217" t="s">
        <v>108</v>
      </c>
      <c r="AF24" s="217"/>
    </row>
    <row r="25" spans="1:38" ht="50" customHeight="1">
      <c r="A25" s="198"/>
      <c r="B25" s="5">
        <v>15</v>
      </c>
      <c r="C25" s="203" t="s">
        <v>103</v>
      </c>
      <c r="D25" s="204"/>
      <c r="E25" s="204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31"/>
      <c r="U25" s="32"/>
      <c r="V25" s="31"/>
      <c r="W25" s="32"/>
      <c r="X25" s="31"/>
      <c r="Y25" s="32"/>
      <c r="Z25" s="31"/>
      <c r="AA25" s="32"/>
      <c r="AB25" s="22"/>
      <c r="AC25" s="22"/>
      <c r="AE25" s="218" t="s">
        <v>1032</v>
      </c>
      <c r="AF25" s="219"/>
      <c r="AG25" s="215"/>
      <c r="AH25" s="216"/>
      <c r="AI25" s="243" t="s">
        <v>1026</v>
      </c>
      <c r="AJ25" s="244"/>
      <c r="AK25" s="133"/>
      <c r="AL25" s="133" t="s">
        <v>1035</v>
      </c>
    </row>
    <row r="26" spans="1:38" ht="50" customHeight="1">
      <c r="A26" s="198"/>
      <c r="B26" s="5">
        <v>16</v>
      </c>
      <c r="C26" s="205" t="s">
        <v>104</v>
      </c>
      <c r="D26" s="206"/>
      <c r="E26" s="206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29"/>
      <c r="U26" s="30"/>
      <c r="V26" s="29"/>
      <c r="W26" s="30"/>
      <c r="X26" s="29"/>
      <c r="Y26" s="30"/>
      <c r="Z26" s="29"/>
      <c r="AA26" s="30"/>
      <c r="AB26" s="3"/>
      <c r="AC26" s="3"/>
      <c r="AE26" s="218" t="s">
        <v>1031</v>
      </c>
      <c r="AF26" s="219"/>
      <c r="AG26" s="215"/>
      <c r="AH26" s="216"/>
      <c r="AI26" s="218" t="s">
        <v>1027</v>
      </c>
      <c r="AJ26" s="219"/>
      <c r="AK26" s="75"/>
      <c r="AL26" s="75"/>
    </row>
    <row r="27" spans="1:38" ht="50" customHeight="1">
      <c r="A27" s="198"/>
      <c r="B27" s="5">
        <v>17</v>
      </c>
      <c r="C27" s="203" t="s">
        <v>46</v>
      </c>
      <c r="D27" s="204"/>
      <c r="E27" s="204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22"/>
      <c r="AC27" s="22"/>
      <c r="AE27" s="139" t="s">
        <v>1028</v>
      </c>
      <c r="AF27" s="140"/>
      <c r="AG27" s="247" t="s">
        <v>1021</v>
      </c>
      <c r="AH27" s="248"/>
      <c r="AI27" s="247" t="s">
        <v>1022</v>
      </c>
      <c r="AJ27" s="248"/>
      <c r="AK27" s="136" t="s">
        <v>1023</v>
      </c>
      <c r="AL27" s="136" t="s">
        <v>1024</v>
      </c>
    </row>
    <row r="28" spans="1:38" ht="50" customHeight="1">
      <c r="A28" s="198"/>
      <c r="B28" s="5">
        <v>18</v>
      </c>
      <c r="C28" s="205" t="s">
        <v>79</v>
      </c>
      <c r="D28" s="206"/>
      <c r="E28" s="206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0"/>
      <c r="T28" s="29"/>
      <c r="U28" s="30"/>
      <c r="V28" s="29"/>
      <c r="W28" s="30"/>
      <c r="X28" s="29"/>
      <c r="Y28" s="30"/>
      <c r="Z28" s="29"/>
      <c r="AA28" s="30"/>
      <c r="AB28" s="3"/>
      <c r="AC28" s="3"/>
      <c r="AE28" s="134" t="s">
        <v>1025</v>
      </c>
      <c r="AF28" s="135"/>
      <c r="AG28" s="211"/>
      <c r="AH28" s="212"/>
      <c r="AI28" s="211"/>
      <c r="AJ28" s="212"/>
      <c r="AK28" s="75"/>
      <c r="AL28" s="75"/>
    </row>
    <row r="29" spans="1:38" ht="50" customHeight="1">
      <c r="A29" s="198"/>
      <c r="B29" s="5">
        <v>19</v>
      </c>
      <c r="C29" s="203" t="s">
        <v>83</v>
      </c>
      <c r="D29" s="204"/>
      <c r="E29" s="204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2"/>
      <c r="T29" s="31"/>
      <c r="U29" s="32"/>
      <c r="V29" s="31"/>
      <c r="W29" s="32"/>
      <c r="X29" s="31"/>
      <c r="Y29" s="32"/>
      <c r="Z29" s="31"/>
      <c r="AA29" s="32"/>
      <c r="AB29" s="22"/>
      <c r="AC29" s="22"/>
    </row>
    <row r="30" spans="1:38" ht="50" customHeight="1" thickBot="1">
      <c r="A30" s="198"/>
      <c r="B30" s="12">
        <v>20</v>
      </c>
      <c r="C30" s="205"/>
      <c r="D30" s="206"/>
      <c r="E30" s="206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3"/>
      <c r="U30" s="34"/>
      <c r="V30" s="33"/>
      <c r="W30" s="34"/>
      <c r="X30" s="33"/>
      <c r="Y30" s="34"/>
      <c r="Z30" s="33"/>
      <c r="AA30" s="34"/>
      <c r="AB30" s="3"/>
      <c r="AC30" s="3"/>
      <c r="AE30" s="217" t="s">
        <v>1029</v>
      </c>
      <c r="AF30" s="217"/>
    </row>
    <row r="31" spans="1:38" ht="50" customHeight="1" thickBot="1">
      <c r="A31" s="198"/>
      <c r="B31" s="12">
        <v>21</v>
      </c>
      <c r="C31" s="205" t="s">
        <v>116</v>
      </c>
      <c r="D31" s="206"/>
      <c r="E31" s="206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34"/>
      <c r="T31" s="33"/>
      <c r="U31" s="34"/>
      <c r="V31" s="33"/>
      <c r="W31" s="34"/>
      <c r="X31" s="33"/>
      <c r="Y31" s="34"/>
      <c r="Z31" s="33"/>
      <c r="AA31" s="34"/>
      <c r="AB31" s="3"/>
      <c r="AC31" s="3"/>
      <c r="AE31" s="218" t="s">
        <v>1030</v>
      </c>
      <c r="AF31" s="219"/>
      <c r="AG31" s="215"/>
      <c r="AH31" s="216"/>
      <c r="AI31" s="273" t="s">
        <v>1026</v>
      </c>
      <c r="AJ31" s="273"/>
      <c r="AK31" s="133"/>
      <c r="AL31" s="133" t="s">
        <v>1035</v>
      </c>
    </row>
    <row r="32" spans="1:38" ht="50" customHeight="1" thickBot="1">
      <c r="A32" s="198"/>
      <c r="B32" s="12">
        <v>22</v>
      </c>
      <c r="C32" s="205" t="s">
        <v>84</v>
      </c>
      <c r="D32" s="206"/>
      <c r="E32" s="206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34"/>
      <c r="T32" s="33"/>
      <c r="U32" s="34"/>
      <c r="V32" s="33"/>
      <c r="W32" s="34"/>
      <c r="X32" s="33"/>
      <c r="Y32" s="34"/>
      <c r="Z32" s="33"/>
      <c r="AA32" s="34"/>
      <c r="AB32" s="3"/>
      <c r="AC32" s="3"/>
      <c r="AE32" s="218" t="s">
        <v>1031</v>
      </c>
      <c r="AF32" s="219"/>
      <c r="AG32" s="215"/>
      <c r="AH32" s="216"/>
      <c r="AI32" s="137" t="s">
        <v>1027</v>
      </c>
      <c r="AJ32" s="138"/>
      <c r="AK32" s="75"/>
      <c r="AL32" s="75"/>
    </row>
    <row r="33" spans="1:40" ht="25.5">
      <c r="A33" s="198"/>
      <c r="C33" s="210"/>
      <c r="D33" s="210"/>
      <c r="E33" s="210"/>
      <c r="F33" s="283" t="s">
        <v>30</v>
      </c>
      <c r="G33" s="284"/>
      <c r="H33" s="274" t="s">
        <v>31</v>
      </c>
      <c r="I33" s="275"/>
      <c r="J33" s="283" t="s">
        <v>32</v>
      </c>
      <c r="K33" s="284"/>
      <c r="L33" s="274" t="s">
        <v>33</v>
      </c>
      <c r="M33" s="275"/>
      <c r="N33" s="274" t="s">
        <v>34</v>
      </c>
      <c r="O33" s="275"/>
      <c r="P33" s="274" t="s">
        <v>35</v>
      </c>
      <c r="Q33" s="275"/>
      <c r="R33" s="274" t="s">
        <v>36</v>
      </c>
      <c r="S33" s="275"/>
      <c r="T33" s="274" t="s">
        <v>37</v>
      </c>
      <c r="U33" s="275"/>
      <c r="V33" s="274"/>
      <c r="W33" s="275"/>
      <c r="X33" s="274"/>
      <c r="Y33" s="275"/>
      <c r="Z33" s="274"/>
      <c r="AA33" s="275"/>
      <c r="AB33" s="274"/>
      <c r="AC33" s="275"/>
      <c r="AE33" s="139" t="s">
        <v>1028</v>
      </c>
      <c r="AF33" s="140"/>
      <c r="AG33" s="247" t="s">
        <v>1021</v>
      </c>
      <c r="AH33" s="248"/>
      <c r="AI33" s="247" t="s">
        <v>1022</v>
      </c>
      <c r="AJ33" s="248"/>
      <c r="AK33" s="23" t="s">
        <v>1023</v>
      </c>
      <c r="AL33" s="23" t="s">
        <v>1024</v>
      </c>
    </row>
    <row r="34" spans="1:40" ht="49.8" customHeight="1">
      <c r="A34" s="198"/>
      <c r="F34" s="278"/>
      <c r="G34" s="279"/>
      <c r="H34" s="274"/>
      <c r="I34" s="275"/>
      <c r="J34" s="274"/>
      <c r="K34" s="275"/>
      <c r="L34" s="274"/>
      <c r="M34" s="275"/>
      <c r="N34" s="274"/>
      <c r="O34" s="275"/>
      <c r="P34" s="274"/>
      <c r="Q34" s="275"/>
      <c r="R34" s="274"/>
      <c r="S34" s="275"/>
      <c r="T34" s="274"/>
      <c r="U34" s="275"/>
      <c r="V34" s="274"/>
      <c r="W34" s="275"/>
      <c r="X34" s="274"/>
      <c r="Y34" s="275"/>
      <c r="Z34" s="274"/>
      <c r="AA34" s="275"/>
      <c r="AB34" s="274"/>
      <c r="AC34" s="275"/>
      <c r="AE34" s="134" t="s">
        <v>1025</v>
      </c>
      <c r="AF34" s="135"/>
      <c r="AG34" s="211"/>
      <c r="AH34" s="212"/>
      <c r="AI34" s="211"/>
      <c r="AJ34" s="212"/>
      <c r="AK34" s="75"/>
      <c r="AL34" s="75"/>
    </row>
    <row r="35" spans="1:40" ht="8.4499999999999993" customHeight="1">
      <c r="A35" s="198"/>
      <c r="C35" s="209"/>
      <c r="D35" s="209"/>
      <c r="E35" s="209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E35"/>
    </row>
    <row r="36" spans="1:40" ht="25.25" customHeight="1">
      <c r="A36" s="198"/>
      <c r="F36" s="274" t="s">
        <v>110</v>
      </c>
      <c r="G36" s="275"/>
      <c r="H36" s="274" t="s">
        <v>38</v>
      </c>
      <c r="I36" s="275"/>
      <c r="J36" s="274" t="s">
        <v>39</v>
      </c>
      <c r="K36" s="275"/>
      <c r="L36" s="274" t="s">
        <v>40</v>
      </c>
      <c r="M36" s="275"/>
      <c r="N36" s="274" t="s">
        <v>41</v>
      </c>
      <c r="O36" s="275"/>
      <c r="P36" s="274" t="s">
        <v>42</v>
      </c>
      <c r="Q36" s="275"/>
      <c r="R36" s="274" t="s">
        <v>43</v>
      </c>
      <c r="S36" s="275"/>
      <c r="T36" s="274" t="s">
        <v>44</v>
      </c>
      <c r="U36" s="275"/>
      <c r="V36" s="274"/>
      <c r="W36" s="275"/>
      <c r="X36" s="274"/>
      <c r="Y36" s="275"/>
      <c r="Z36" s="274"/>
      <c r="AA36" s="275"/>
      <c r="AB36" s="274"/>
      <c r="AC36" s="275"/>
      <c r="AE36"/>
    </row>
    <row r="37" spans="1:40" ht="51" customHeight="1">
      <c r="A37" s="198"/>
      <c r="F37" s="280"/>
      <c r="G37" s="281"/>
      <c r="H37" s="280"/>
      <c r="I37" s="281"/>
      <c r="J37" s="280"/>
      <c r="K37" s="281"/>
      <c r="L37" s="280"/>
      <c r="M37" s="281"/>
      <c r="N37" s="280"/>
      <c r="O37" s="281"/>
      <c r="P37" s="280"/>
      <c r="Q37" s="281"/>
      <c r="R37" s="280"/>
      <c r="S37" s="281"/>
      <c r="T37" s="280"/>
      <c r="U37" s="281"/>
      <c r="V37" s="280"/>
      <c r="W37" s="281"/>
      <c r="X37" s="280"/>
      <c r="Y37" s="281"/>
      <c r="Z37" s="280"/>
      <c r="AA37" s="281"/>
      <c r="AB37" s="285"/>
      <c r="AC37" s="286"/>
      <c r="AE37"/>
    </row>
    <row r="38" spans="1:40">
      <c r="A38" s="198"/>
      <c r="M38" s="2"/>
      <c r="N38" s="2"/>
      <c r="O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/>
    </row>
    <row r="39" spans="1:40" ht="32.25">
      <c r="F39" s="230" t="s">
        <v>63</v>
      </c>
      <c r="G39" s="230"/>
      <c r="H39" s="230"/>
      <c r="I39" s="230"/>
      <c r="J39" s="231">
        <v>1062631306</v>
      </c>
      <c r="K39" s="232"/>
      <c r="L39" s="232"/>
      <c r="M39" s="232"/>
      <c r="N39" s="232"/>
      <c r="O39" s="233"/>
      <c r="P39" s="125"/>
      <c r="Q39" s="126"/>
      <c r="R39" s="230" t="s">
        <v>63</v>
      </c>
      <c r="S39" s="230"/>
      <c r="T39" s="230"/>
      <c r="U39" s="230"/>
      <c r="V39" s="231">
        <v>1062631306</v>
      </c>
      <c r="W39" s="232"/>
      <c r="X39" s="232"/>
      <c r="Y39" s="232"/>
      <c r="Z39" s="232"/>
      <c r="AA39" s="233"/>
      <c r="AB39" s="126"/>
      <c r="AC39" s="127"/>
      <c r="AE39"/>
    </row>
    <row r="40" spans="1:40" ht="28.5">
      <c r="F40" s="230" t="s">
        <v>64</v>
      </c>
      <c r="G40" s="230"/>
      <c r="H40" s="230"/>
      <c r="I40" s="230"/>
      <c r="J40" s="234">
        <v>45760</v>
      </c>
      <c r="K40" s="235"/>
      <c r="L40" s="235"/>
      <c r="M40" s="235"/>
      <c r="N40" s="235"/>
      <c r="O40" s="236"/>
      <c r="P40" s="122"/>
      <c r="Q40" s="123"/>
      <c r="R40" s="230" t="s">
        <v>64</v>
      </c>
      <c r="S40" s="230"/>
      <c r="T40" s="230"/>
      <c r="U40" s="230"/>
      <c r="V40" s="234">
        <v>45760</v>
      </c>
      <c r="W40" s="235"/>
      <c r="X40" s="235"/>
      <c r="Y40" s="235"/>
      <c r="Z40" s="235"/>
      <c r="AA40" s="236"/>
      <c r="AB40" s="123"/>
      <c r="AC40" s="124"/>
      <c r="AE40"/>
    </row>
    <row r="41" spans="1:40">
      <c r="M41" s="2"/>
      <c r="N41" s="2"/>
      <c r="O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40" ht="42.6" customHeight="1">
      <c r="B42" s="173" t="s">
        <v>162</v>
      </c>
      <c r="C42" s="173"/>
      <c r="D42" s="111">
        <f>D3</f>
        <v>48</v>
      </c>
      <c r="E42" s="6" t="s">
        <v>122</v>
      </c>
      <c r="F42" s="165" t="s">
        <v>106</v>
      </c>
      <c r="G42" s="166"/>
      <c r="H42" s="165" t="s">
        <v>106</v>
      </c>
      <c r="I42" s="166"/>
      <c r="J42" s="165" t="s">
        <v>106</v>
      </c>
      <c r="K42" s="166"/>
      <c r="L42" s="165" t="s">
        <v>106</v>
      </c>
      <c r="M42" s="166"/>
      <c r="N42" s="165" t="s">
        <v>106</v>
      </c>
      <c r="O42" s="166"/>
      <c r="P42" s="165" t="s">
        <v>106</v>
      </c>
      <c r="Q42" s="166"/>
      <c r="R42" s="165" t="s">
        <v>106</v>
      </c>
      <c r="S42" s="166"/>
      <c r="T42" s="165" t="s">
        <v>106</v>
      </c>
      <c r="U42" s="166"/>
      <c r="V42" s="165" t="s">
        <v>106</v>
      </c>
      <c r="W42" s="166"/>
      <c r="X42" s="165" t="s">
        <v>106</v>
      </c>
      <c r="Y42" s="166"/>
      <c r="Z42" s="165" t="s">
        <v>106</v>
      </c>
      <c r="AA42" s="166"/>
      <c r="AB42" s="165" t="s">
        <v>105</v>
      </c>
      <c r="AC42" s="166"/>
    </row>
    <row r="43" spans="1:40" ht="55.25" customHeight="1">
      <c r="A43" s="167" t="s">
        <v>1</v>
      </c>
      <c r="B43" s="167"/>
      <c r="C43" s="168"/>
      <c r="D43" s="169"/>
      <c r="E43" s="6" t="s">
        <v>6</v>
      </c>
      <c r="F43" s="170" t="str">
        <f>F4</f>
        <v>PR_PN-89</v>
      </c>
      <c r="G43" s="170"/>
      <c r="H43" s="170" t="str">
        <f t="shared" ref="H43:H44" si="0">H4</f>
        <v>PR_PN-90</v>
      </c>
      <c r="I43" s="170"/>
      <c r="J43" s="170" t="str">
        <f t="shared" ref="J43:J44" si="1">J4</f>
        <v>PR_PN-91</v>
      </c>
      <c r="K43" s="170"/>
      <c r="L43" s="170" t="str">
        <f t="shared" ref="L43:L44" si="2">L4</f>
        <v>PR_PN-92</v>
      </c>
      <c r="M43" s="170"/>
      <c r="N43" s="170" t="str">
        <f t="shared" ref="N43:N44" si="3">N4</f>
        <v>PR_PN-94</v>
      </c>
      <c r="O43" s="170"/>
      <c r="P43" s="170" t="str">
        <f t="shared" ref="P43:P44" si="4">P4</f>
        <v>PR_PN-96</v>
      </c>
      <c r="Q43" s="170"/>
      <c r="R43" s="170" t="str">
        <f t="shared" ref="R43" si="5">R4</f>
        <v>PR_PN-100</v>
      </c>
      <c r="S43" s="170"/>
      <c r="T43" s="170" t="str">
        <f t="shared" ref="T43" si="6">T4</f>
        <v>PR_PN-101</v>
      </c>
      <c r="U43" s="170"/>
      <c r="V43" s="170" t="str">
        <f t="shared" ref="V43" si="7">V4</f>
        <v>PR_PNI-63</v>
      </c>
      <c r="W43" s="170"/>
      <c r="X43" s="170" t="str">
        <f t="shared" ref="X43:Z44" si="8">X4</f>
        <v>PR_PN-102</v>
      </c>
      <c r="Y43" s="170"/>
      <c r="Z43" s="170" t="str">
        <f t="shared" si="8"/>
        <v>PR_PNI-69</v>
      </c>
      <c r="AA43" s="170"/>
      <c r="AB43" s="170" t="str">
        <f t="shared" ref="AB43:AB44" si="9">AB4</f>
        <v>PR_PNI-75</v>
      </c>
      <c r="AC43" s="170"/>
      <c r="AE43" s="245"/>
      <c r="AF43" s="245"/>
      <c r="AG43" s="245"/>
      <c r="AH43" s="245"/>
      <c r="AI43" s="245"/>
      <c r="AN43" s="14"/>
    </row>
    <row r="44" spans="1:40" ht="37.25" customHeight="1">
      <c r="A44" s="167"/>
      <c r="B44" s="167"/>
      <c r="C44" s="168"/>
      <c r="D44" s="169"/>
      <c r="E44" s="6" t="s">
        <v>51</v>
      </c>
      <c r="F44" s="237" t="str">
        <f>F5</f>
        <v>P</v>
      </c>
      <c r="G44" s="237"/>
      <c r="H44" s="237" t="str">
        <f t="shared" si="0"/>
        <v>P</v>
      </c>
      <c r="I44" s="237"/>
      <c r="J44" s="237" t="str">
        <f t="shared" si="1"/>
        <v>P</v>
      </c>
      <c r="K44" s="237"/>
      <c r="L44" s="237" t="str">
        <f t="shared" si="2"/>
        <v>P</v>
      </c>
      <c r="M44" s="237"/>
      <c r="N44" s="237" t="str">
        <f t="shared" si="3"/>
        <v>P</v>
      </c>
      <c r="O44" s="237"/>
      <c r="P44" s="237" t="str">
        <f t="shared" si="4"/>
        <v>P</v>
      </c>
      <c r="Q44" s="237"/>
      <c r="R44" s="237" t="str">
        <f t="shared" ref="R44" si="10">R5</f>
        <v>P</v>
      </c>
      <c r="S44" s="237"/>
      <c r="T44" s="237" t="str">
        <f t="shared" ref="T44" si="11">T5</f>
        <v>P</v>
      </c>
      <c r="U44" s="237"/>
      <c r="V44" s="237" t="str">
        <f t="shared" ref="V44" si="12">V5</f>
        <v>PNI</v>
      </c>
      <c r="W44" s="237"/>
      <c r="X44" s="237" t="str">
        <f t="shared" si="8"/>
        <v>P</v>
      </c>
      <c r="Y44" s="237"/>
      <c r="Z44" s="237" t="str">
        <f t="shared" si="8"/>
        <v>PNI</v>
      </c>
      <c r="AA44" s="237"/>
      <c r="AB44" s="237" t="str">
        <f t="shared" si="9"/>
        <v>PNI</v>
      </c>
      <c r="AC44" s="237"/>
      <c r="AN44" s="14"/>
    </row>
    <row r="45" spans="1:40" ht="47" customHeight="1">
      <c r="B45" s="246" t="s">
        <v>990</v>
      </c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</row>
    <row r="46" spans="1:40" ht="53" customHeight="1">
      <c r="B46" s="238">
        <v>1</v>
      </c>
      <c r="C46" s="238"/>
      <c r="D46" s="239" t="s">
        <v>991</v>
      </c>
      <c r="E46" s="24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</row>
    <row r="47" spans="1:40" ht="38.25">
      <c r="B47" s="238">
        <v>2</v>
      </c>
      <c r="C47" s="238"/>
      <c r="D47" s="287" t="s">
        <v>992</v>
      </c>
      <c r="E47" s="288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</row>
    <row r="48" spans="1:40" ht="38.25">
      <c r="B48" s="238">
        <v>3</v>
      </c>
      <c r="C48" s="238"/>
      <c r="D48" s="287" t="s">
        <v>993</v>
      </c>
      <c r="E48" s="288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</row>
    <row r="49" spans="2:31" ht="38.25">
      <c r="B49" s="238">
        <v>4</v>
      </c>
      <c r="C49" s="238"/>
      <c r="D49" s="287" t="s">
        <v>994</v>
      </c>
      <c r="E49" s="288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</row>
    <row r="50" spans="2:31" ht="38.25">
      <c r="B50" s="238">
        <v>5</v>
      </c>
      <c r="C50" s="238"/>
      <c r="D50" s="287" t="s">
        <v>998</v>
      </c>
      <c r="E50" s="288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</row>
    <row r="51" spans="2:31" ht="38.25">
      <c r="B51" s="238">
        <v>6</v>
      </c>
      <c r="C51" s="238"/>
      <c r="D51" s="287" t="s">
        <v>999</v>
      </c>
      <c r="E51" s="288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</row>
    <row r="52" spans="2:31" ht="38.25">
      <c r="B52" s="238">
        <v>7</v>
      </c>
      <c r="C52" s="238"/>
      <c r="D52" s="241"/>
      <c r="E52" s="242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</row>
    <row r="53" spans="2:31" ht="38.25">
      <c r="B53" s="238">
        <v>8</v>
      </c>
      <c r="C53" s="238"/>
      <c r="D53" s="241"/>
      <c r="E53" s="242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</row>
    <row r="54" spans="2:31" ht="38.25">
      <c r="B54" s="238">
        <v>9</v>
      </c>
      <c r="C54" s="238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</row>
    <row r="55" spans="2:31" ht="38.25">
      <c r="B55" s="238">
        <v>10</v>
      </c>
      <c r="C55" s="238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</row>
    <row r="56" spans="2:31" ht="38.25">
      <c r="B56" s="238">
        <v>11</v>
      </c>
      <c r="C56" s="238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</row>
    <row r="57" spans="2:31" ht="38.25">
      <c r="B57" s="238">
        <v>12</v>
      </c>
      <c r="C57" s="238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</row>
    <row r="58" spans="2:31" ht="38.25">
      <c r="B58" s="238">
        <v>13</v>
      </c>
      <c r="C58" s="238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</row>
    <row r="59" spans="2:31" ht="38.25">
      <c r="B59" s="238">
        <v>14</v>
      </c>
      <c r="C59" s="238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</row>
    <row r="60" spans="2:31" ht="38" customHeight="1">
      <c r="B60" s="289">
        <v>15</v>
      </c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90"/>
      <c r="AB60" s="290"/>
      <c r="AC60" s="291"/>
      <c r="AE60"/>
    </row>
    <row r="61" spans="2:31" ht="38" customHeight="1">
      <c r="B61" s="292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4"/>
      <c r="AE61"/>
    </row>
    <row r="62" spans="2:31" ht="38" customHeight="1">
      <c r="B62" s="292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4"/>
      <c r="AE62"/>
    </row>
    <row r="63" spans="2:31" ht="38" customHeight="1">
      <c r="B63" s="292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4"/>
      <c r="AE63"/>
    </row>
    <row r="64" spans="2:31" ht="38" customHeight="1">
      <c r="B64" s="292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4"/>
      <c r="AE64"/>
    </row>
    <row r="65" spans="2:31" ht="38" customHeight="1">
      <c r="B65" s="292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  <c r="AC65" s="294"/>
      <c r="AE65"/>
    </row>
    <row r="66" spans="2:31" ht="38" customHeight="1">
      <c r="B66" s="292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4"/>
      <c r="AE66"/>
    </row>
    <row r="67" spans="2:31" ht="38" customHeight="1">
      <c r="B67" s="292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4"/>
      <c r="AE67"/>
    </row>
    <row r="68" spans="2:31" ht="38" customHeight="1">
      <c r="B68" s="292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4"/>
      <c r="AE68"/>
    </row>
    <row r="69" spans="2:31" ht="38" customHeight="1">
      <c r="B69" s="292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4"/>
      <c r="AE69"/>
    </row>
    <row r="70" spans="2:31" ht="38" customHeight="1">
      <c r="B70" s="292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4"/>
      <c r="AE70"/>
    </row>
    <row r="71" spans="2:31" ht="38" customHeight="1">
      <c r="B71" s="292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4"/>
      <c r="AE71"/>
    </row>
    <row r="72" spans="2:31" ht="38" customHeight="1">
      <c r="B72" s="292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4"/>
      <c r="AE72"/>
    </row>
    <row r="73" spans="2:31" ht="38" customHeight="1">
      <c r="B73" s="292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4"/>
      <c r="AE73"/>
    </row>
    <row r="74" spans="2:31" ht="38" customHeight="1">
      <c r="B74" s="292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4"/>
      <c r="AE74"/>
    </row>
    <row r="75" spans="2:31" ht="38" customHeight="1">
      <c r="B75" s="292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4"/>
      <c r="AE75"/>
    </row>
    <row r="76" spans="2:31" ht="38" customHeight="1">
      <c r="B76" s="292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4"/>
      <c r="AE76"/>
    </row>
    <row r="77" spans="2:31" ht="38" customHeight="1">
      <c r="B77" s="292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4"/>
      <c r="AE77"/>
    </row>
    <row r="78" spans="2:31" ht="38" customHeight="1">
      <c r="B78" s="292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4"/>
      <c r="AE78"/>
    </row>
    <row r="79" spans="2:31" ht="38" customHeight="1">
      <c r="B79" s="295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7"/>
      <c r="AE79"/>
    </row>
  </sheetData>
  <mergeCells count="494">
    <mergeCell ref="AG5:AH5"/>
    <mergeCell ref="AI5:AJ5"/>
    <mergeCell ref="AE6:AF7"/>
    <mergeCell ref="AE8:AF8"/>
    <mergeCell ref="AG8:AH8"/>
    <mergeCell ref="AI8:AJ8"/>
    <mergeCell ref="AE9:AF9"/>
    <mergeCell ref="AG9:AH9"/>
    <mergeCell ref="L1:M2"/>
    <mergeCell ref="N1:O2"/>
    <mergeCell ref="P1:Q2"/>
    <mergeCell ref="R1:S2"/>
    <mergeCell ref="T1:U2"/>
    <mergeCell ref="AG2:AH2"/>
    <mergeCell ref="AE3:AF3"/>
    <mergeCell ref="AG3:AH3"/>
    <mergeCell ref="AE4:AF4"/>
    <mergeCell ref="AG4:AH4"/>
    <mergeCell ref="AI4:AJ4"/>
    <mergeCell ref="R3:S3"/>
    <mergeCell ref="R4:S4"/>
    <mergeCell ref="V3:W3"/>
    <mergeCell ref="V4:W4"/>
    <mergeCell ref="AI2:AJ2"/>
    <mergeCell ref="B60:AC79"/>
    <mergeCell ref="R59:S59"/>
    <mergeCell ref="R53:S53"/>
    <mergeCell ref="R54:S54"/>
    <mergeCell ref="R55:S55"/>
    <mergeCell ref="R56:S56"/>
    <mergeCell ref="R57:S57"/>
    <mergeCell ref="R58:S58"/>
    <mergeCell ref="R47:S47"/>
    <mergeCell ref="R48:S48"/>
    <mergeCell ref="R49:S49"/>
    <mergeCell ref="R50:S50"/>
    <mergeCell ref="R51:S51"/>
    <mergeCell ref="R52:S52"/>
    <mergeCell ref="T59:U59"/>
    <mergeCell ref="T51:U51"/>
    <mergeCell ref="T52:U52"/>
    <mergeCell ref="L58:M58"/>
    <mergeCell ref="N58:O58"/>
    <mergeCell ref="P58:Q58"/>
    <mergeCell ref="B57:C57"/>
    <mergeCell ref="D57:E57"/>
    <mergeCell ref="F57:G57"/>
    <mergeCell ref="H57:I57"/>
    <mergeCell ref="AI33:AJ33"/>
    <mergeCell ref="AG34:AH34"/>
    <mergeCell ref="AI34:AJ34"/>
    <mergeCell ref="AE26:AF26"/>
    <mergeCell ref="AG26:AH26"/>
    <mergeCell ref="Z46:AA46"/>
    <mergeCell ref="N46:O46"/>
    <mergeCell ref="P46:Q46"/>
    <mergeCell ref="AB46:AC46"/>
    <mergeCell ref="V46:W46"/>
    <mergeCell ref="T46:U46"/>
    <mergeCell ref="B45:AL45"/>
    <mergeCell ref="B46:C46"/>
    <mergeCell ref="D46:E46"/>
    <mergeCell ref="F46:G46"/>
    <mergeCell ref="H46:I46"/>
    <mergeCell ref="J46:K46"/>
    <mergeCell ref="AE31:AF31"/>
    <mergeCell ref="AG31:AH31"/>
    <mergeCell ref="AI31:AJ31"/>
    <mergeCell ref="AI27:AJ27"/>
    <mergeCell ref="AG28:AH28"/>
    <mergeCell ref="AI28:AJ28"/>
    <mergeCell ref="AE30:AF30"/>
    <mergeCell ref="Z8:AA8"/>
    <mergeCell ref="Z9:Z10"/>
    <mergeCell ref="AE15:AF15"/>
    <mergeCell ref="AE16:AF16"/>
    <mergeCell ref="AG16:AH16"/>
    <mergeCell ref="AI16:AJ16"/>
    <mergeCell ref="AE17:AF17"/>
    <mergeCell ref="AE18:AF18"/>
    <mergeCell ref="AE19:AF19"/>
    <mergeCell ref="AG19:AH19"/>
    <mergeCell ref="AI19:AJ19"/>
    <mergeCell ref="N57:O57"/>
    <mergeCell ref="P57:Q57"/>
    <mergeCell ref="B55:C55"/>
    <mergeCell ref="D55:E55"/>
    <mergeCell ref="AB59:AC59"/>
    <mergeCell ref="X58:Y58"/>
    <mergeCell ref="AB58:AC58"/>
    <mergeCell ref="B59:C59"/>
    <mergeCell ref="D59:E59"/>
    <mergeCell ref="F59:G59"/>
    <mergeCell ref="H59:I59"/>
    <mergeCell ref="J59:K59"/>
    <mergeCell ref="L59:M59"/>
    <mergeCell ref="N59:O59"/>
    <mergeCell ref="P59:Q59"/>
    <mergeCell ref="Z58:AA58"/>
    <mergeCell ref="Z59:AA59"/>
    <mergeCell ref="V59:W59"/>
    <mergeCell ref="V58:W58"/>
    <mergeCell ref="T58:U58"/>
    <mergeCell ref="X59:Y59"/>
    <mergeCell ref="B58:C58"/>
    <mergeCell ref="D58:E58"/>
    <mergeCell ref="F58:G58"/>
    <mergeCell ref="H58:I58"/>
    <mergeCell ref="J58:K58"/>
    <mergeCell ref="AB57:AC57"/>
    <mergeCell ref="Z57:AA57"/>
    <mergeCell ref="V57:W57"/>
    <mergeCell ref="T57:U57"/>
    <mergeCell ref="B56:C56"/>
    <mergeCell ref="D56:E56"/>
    <mergeCell ref="F56:G56"/>
    <mergeCell ref="H56:I56"/>
    <mergeCell ref="J56:K56"/>
    <mergeCell ref="L56:M56"/>
    <mergeCell ref="N56:O56"/>
    <mergeCell ref="P56:Q56"/>
    <mergeCell ref="AB56:AC56"/>
    <mergeCell ref="Z56:AA56"/>
    <mergeCell ref="V56:W56"/>
    <mergeCell ref="T56:U56"/>
    <mergeCell ref="X57:Y57"/>
    <mergeCell ref="X56:Y56"/>
    <mergeCell ref="J57:K57"/>
    <mergeCell ref="L57:M57"/>
    <mergeCell ref="F55:G55"/>
    <mergeCell ref="H55:I55"/>
    <mergeCell ref="J55:K55"/>
    <mergeCell ref="L55:M55"/>
    <mergeCell ref="N55:O55"/>
    <mergeCell ref="P55:Q55"/>
    <mergeCell ref="AB55:AC55"/>
    <mergeCell ref="Z55:AA55"/>
    <mergeCell ref="V55:W55"/>
    <mergeCell ref="T55:U55"/>
    <mergeCell ref="X55:Y55"/>
    <mergeCell ref="B54:C54"/>
    <mergeCell ref="D54:E54"/>
    <mergeCell ref="F54:G54"/>
    <mergeCell ref="H54:I54"/>
    <mergeCell ref="J54:K54"/>
    <mergeCell ref="L54:M54"/>
    <mergeCell ref="N54:O54"/>
    <mergeCell ref="P54:Q54"/>
    <mergeCell ref="AB54:AC54"/>
    <mergeCell ref="Z54:AA54"/>
    <mergeCell ref="V54:W54"/>
    <mergeCell ref="T54:U54"/>
    <mergeCell ref="X54:Y54"/>
    <mergeCell ref="B53:C53"/>
    <mergeCell ref="D53:E53"/>
    <mergeCell ref="F53:G53"/>
    <mergeCell ref="H53:I53"/>
    <mergeCell ref="J53:K53"/>
    <mergeCell ref="L53:M53"/>
    <mergeCell ref="N53:O53"/>
    <mergeCell ref="P53:Q53"/>
    <mergeCell ref="AB53:AC53"/>
    <mergeCell ref="Z53:AA53"/>
    <mergeCell ref="V53:W53"/>
    <mergeCell ref="T53:U53"/>
    <mergeCell ref="X53:Y53"/>
    <mergeCell ref="B52:C52"/>
    <mergeCell ref="D52:E52"/>
    <mergeCell ref="F52:G52"/>
    <mergeCell ref="H52:I52"/>
    <mergeCell ref="J52:K52"/>
    <mergeCell ref="L52:M52"/>
    <mergeCell ref="N52:O52"/>
    <mergeCell ref="P52:Q52"/>
    <mergeCell ref="AB52:AC52"/>
    <mergeCell ref="Z52:AA52"/>
    <mergeCell ref="V52:W52"/>
    <mergeCell ref="X52:Y52"/>
    <mergeCell ref="B51:C51"/>
    <mergeCell ref="D51:E51"/>
    <mergeCell ref="F51:G51"/>
    <mergeCell ref="H51:I51"/>
    <mergeCell ref="J51:K51"/>
    <mergeCell ref="L51:M51"/>
    <mergeCell ref="N51:O51"/>
    <mergeCell ref="P51:Q51"/>
    <mergeCell ref="AB51:AC51"/>
    <mergeCell ref="Z51:AA51"/>
    <mergeCell ref="V51:W51"/>
    <mergeCell ref="X51:Y51"/>
    <mergeCell ref="B50:C50"/>
    <mergeCell ref="D50:E50"/>
    <mergeCell ref="F50:G50"/>
    <mergeCell ref="H50:I50"/>
    <mergeCell ref="J50:K50"/>
    <mergeCell ref="L50:M50"/>
    <mergeCell ref="N50:O50"/>
    <mergeCell ref="P50:Q50"/>
    <mergeCell ref="AB50:AC50"/>
    <mergeCell ref="Z50:AA50"/>
    <mergeCell ref="V50:W50"/>
    <mergeCell ref="T50:U50"/>
    <mergeCell ref="X50:Y50"/>
    <mergeCell ref="B49:C49"/>
    <mergeCell ref="D49:E49"/>
    <mergeCell ref="F49:G49"/>
    <mergeCell ref="H49:I49"/>
    <mergeCell ref="J49:K49"/>
    <mergeCell ref="L49:M49"/>
    <mergeCell ref="N49:O49"/>
    <mergeCell ref="P49:Q49"/>
    <mergeCell ref="AB49:AC49"/>
    <mergeCell ref="Z49:AA49"/>
    <mergeCell ref="V49:W49"/>
    <mergeCell ref="T49:U49"/>
    <mergeCell ref="X49:Y49"/>
    <mergeCell ref="B48:C48"/>
    <mergeCell ref="D48:E48"/>
    <mergeCell ref="F48:G48"/>
    <mergeCell ref="H48:I48"/>
    <mergeCell ref="J48:K48"/>
    <mergeCell ref="L48:M48"/>
    <mergeCell ref="N48:O48"/>
    <mergeCell ref="P48:Q48"/>
    <mergeCell ref="AB48:AC48"/>
    <mergeCell ref="Z48:AA48"/>
    <mergeCell ref="V48:W48"/>
    <mergeCell ref="T48:U48"/>
    <mergeCell ref="X48:Y48"/>
    <mergeCell ref="B47:C47"/>
    <mergeCell ref="D47:E47"/>
    <mergeCell ref="F47:G47"/>
    <mergeCell ref="H47:I47"/>
    <mergeCell ref="J47:K47"/>
    <mergeCell ref="L47:M47"/>
    <mergeCell ref="N47:O47"/>
    <mergeCell ref="P47:Q47"/>
    <mergeCell ref="AB47:AC47"/>
    <mergeCell ref="Z47:AA47"/>
    <mergeCell ref="V47:W47"/>
    <mergeCell ref="T47:U47"/>
    <mergeCell ref="X47:Y47"/>
    <mergeCell ref="AE43:AI43"/>
    <mergeCell ref="F44:G44"/>
    <mergeCell ref="H44:I44"/>
    <mergeCell ref="J44:K44"/>
    <mergeCell ref="L44:M44"/>
    <mergeCell ref="N44:O44"/>
    <mergeCell ref="P44:Q44"/>
    <mergeCell ref="X44:Y44"/>
    <mergeCell ref="AB44:AC44"/>
    <mergeCell ref="Z43:AA43"/>
    <mergeCell ref="V44:W44"/>
    <mergeCell ref="V43:W43"/>
    <mergeCell ref="T44:U44"/>
    <mergeCell ref="T43:U43"/>
    <mergeCell ref="X46:Y46"/>
    <mergeCell ref="X43:Y43"/>
    <mergeCell ref="R46:S46"/>
    <mergeCell ref="R43:S43"/>
    <mergeCell ref="R44:S44"/>
    <mergeCell ref="AB42:AC42"/>
    <mergeCell ref="A43:B44"/>
    <mergeCell ref="C43:D44"/>
    <mergeCell ref="F43:G43"/>
    <mergeCell ref="H43:I43"/>
    <mergeCell ref="J43:K43"/>
    <mergeCell ref="L43:M43"/>
    <mergeCell ref="N43:O43"/>
    <mergeCell ref="P43:Q43"/>
    <mergeCell ref="AB43:AC43"/>
    <mergeCell ref="Z42:AA42"/>
    <mergeCell ref="V42:W42"/>
    <mergeCell ref="T42:U42"/>
    <mergeCell ref="X42:Y42"/>
    <mergeCell ref="R42:S42"/>
    <mergeCell ref="Z44:AA44"/>
    <mergeCell ref="L46:M46"/>
    <mergeCell ref="F39:I39"/>
    <mergeCell ref="J39:O39"/>
    <mergeCell ref="P37:Q37"/>
    <mergeCell ref="X37:Y37"/>
    <mergeCell ref="F40:I40"/>
    <mergeCell ref="J40:O40"/>
    <mergeCell ref="B42:C42"/>
    <mergeCell ref="F42:G42"/>
    <mergeCell ref="H42:I42"/>
    <mergeCell ref="J42:K42"/>
    <mergeCell ref="L42:M42"/>
    <mergeCell ref="N42:O42"/>
    <mergeCell ref="P42:Q42"/>
    <mergeCell ref="R39:U39"/>
    <mergeCell ref="V39:AA39"/>
    <mergeCell ref="R40:U40"/>
    <mergeCell ref="V40:AA40"/>
    <mergeCell ref="R37:S37"/>
    <mergeCell ref="AB37:AC37"/>
    <mergeCell ref="Z36:AA36"/>
    <mergeCell ref="Z37:AA37"/>
    <mergeCell ref="V36:W36"/>
    <mergeCell ref="V37:W37"/>
    <mergeCell ref="T36:U36"/>
    <mergeCell ref="T37:U37"/>
    <mergeCell ref="C35:E35"/>
    <mergeCell ref="F36:G36"/>
    <mergeCell ref="H36:I36"/>
    <mergeCell ref="J36:K36"/>
    <mergeCell ref="L36:M36"/>
    <mergeCell ref="N36:O36"/>
    <mergeCell ref="P36:Q36"/>
    <mergeCell ref="X36:Y36"/>
    <mergeCell ref="AB36:AC36"/>
    <mergeCell ref="F37:G37"/>
    <mergeCell ref="H37:I37"/>
    <mergeCell ref="J37:K37"/>
    <mergeCell ref="L37:M37"/>
    <mergeCell ref="N37:O37"/>
    <mergeCell ref="R36:S36"/>
    <mergeCell ref="F34:G34"/>
    <mergeCell ref="H34:I34"/>
    <mergeCell ref="J34:K34"/>
    <mergeCell ref="L34:M34"/>
    <mergeCell ref="N34:O34"/>
    <mergeCell ref="P34:Q34"/>
    <mergeCell ref="X34:Y34"/>
    <mergeCell ref="AB34:AC34"/>
    <mergeCell ref="Z34:AA34"/>
    <mergeCell ref="V34:W34"/>
    <mergeCell ref="T34:U34"/>
    <mergeCell ref="R34:S34"/>
    <mergeCell ref="P33:Q33"/>
    <mergeCell ref="X33:Y33"/>
    <mergeCell ref="AB33:AC33"/>
    <mergeCell ref="Z33:AA33"/>
    <mergeCell ref="V33:W33"/>
    <mergeCell ref="T33:U33"/>
    <mergeCell ref="AE32:AF32"/>
    <mergeCell ref="AG32:AH32"/>
    <mergeCell ref="C27:E27"/>
    <mergeCell ref="C28:E28"/>
    <mergeCell ref="C29:E29"/>
    <mergeCell ref="C33:E33"/>
    <mergeCell ref="F33:G33"/>
    <mergeCell ref="H33:I33"/>
    <mergeCell ref="J33:K33"/>
    <mergeCell ref="L33:M33"/>
    <mergeCell ref="N33:O33"/>
    <mergeCell ref="C30:E30"/>
    <mergeCell ref="C31:E31"/>
    <mergeCell ref="C32:E32"/>
    <mergeCell ref="R33:S33"/>
    <mergeCell ref="AG27:AH27"/>
    <mergeCell ref="AG33:AH33"/>
    <mergeCell ref="AK23:AL23"/>
    <mergeCell ref="C24:E24"/>
    <mergeCell ref="C25:E25"/>
    <mergeCell ref="C26:E26"/>
    <mergeCell ref="AE23:AF23"/>
    <mergeCell ref="AG23:AH23"/>
    <mergeCell ref="AI23:AJ23"/>
    <mergeCell ref="AE24:AF24"/>
    <mergeCell ref="AE25:AF25"/>
    <mergeCell ref="AG25:AH25"/>
    <mergeCell ref="AI25:AJ25"/>
    <mergeCell ref="C23:E23"/>
    <mergeCell ref="AI26:AJ26"/>
    <mergeCell ref="C19:E19"/>
    <mergeCell ref="AE20:AF20"/>
    <mergeCell ref="AG20:AH20"/>
    <mergeCell ref="AG21:AH21"/>
    <mergeCell ref="AI21:AJ21"/>
    <mergeCell ref="AG22:AH22"/>
    <mergeCell ref="AI22:AJ22"/>
    <mergeCell ref="C20:E20"/>
    <mergeCell ref="C17:E17"/>
    <mergeCell ref="C18:E18"/>
    <mergeCell ref="C12:E12"/>
    <mergeCell ref="C13:E13"/>
    <mergeCell ref="C14:E14"/>
    <mergeCell ref="AE11:AF11"/>
    <mergeCell ref="AG11:AH11"/>
    <mergeCell ref="AI11:AJ11"/>
    <mergeCell ref="AE12:AF12"/>
    <mergeCell ref="AE13:AF13"/>
    <mergeCell ref="AG13:AH13"/>
    <mergeCell ref="AI13:AJ13"/>
    <mergeCell ref="AE14:AF14"/>
    <mergeCell ref="AG14:AH14"/>
    <mergeCell ref="AI14:AJ14"/>
    <mergeCell ref="A10:A38"/>
    <mergeCell ref="C11:E11"/>
    <mergeCell ref="C15:E15"/>
    <mergeCell ref="C16:E16"/>
    <mergeCell ref="Q9:Q10"/>
    <mergeCell ref="X9:X10"/>
    <mergeCell ref="Y9:Y10"/>
    <mergeCell ref="AB9:AB10"/>
    <mergeCell ref="AC9:AC10"/>
    <mergeCell ref="AA9:AA10"/>
    <mergeCell ref="T9:T10"/>
    <mergeCell ref="U9:U10"/>
    <mergeCell ref="K9:K10"/>
    <mergeCell ref="L9:L10"/>
    <mergeCell ref="M9:M10"/>
    <mergeCell ref="N9:N10"/>
    <mergeCell ref="O9:O10"/>
    <mergeCell ref="C21:E21"/>
    <mergeCell ref="C22:E22"/>
    <mergeCell ref="B9:B10"/>
    <mergeCell ref="C9:E10"/>
    <mergeCell ref="F9:F10"/>
    <mergeCell ref="G9:G10"/>
    <mergeCell ref="H9:H10"/>
    <mergeCell ref="I9:I10"/>
    <mergeCell ref="J9:J10"/>
    <mergeCell ref="V9:V10"/>
    <mergeCell ref="W9:W10"/>
    <mergeCell ref="AE10:AF10"/>
    <mergeCell ref="C7:D8"/>
    <mergeCell ref="F8:G8"/>
    <mergeCell ref="H8:I8"/>
    <mergeCell ref="J8:K8"/>
    <mergeCell ref="L8:M8"/>
    <mergeCell ref="N8:O8"/>
    <mergeCell ref="P9:P10"/>
    <mergeCell ref="P8:Q8"/>
    <mergeCell ref="X8:Y8"/>
    <mergeCell ref="AB8:AC8"/>
    <mergeCell ref="V6:W7"/>
    <mergeCell ref="V8:W8"/>
    <mergeCell ref="T8:U8"/>
    <mergeCell ref="R6:S7"/>
    <mergeCell ref="R8:S8"/>
    <mergeCell ref="R9:R10"/>
    <mergeCell ref="S9:S10"/>
    <mergeCell ref="T6:U7"/>
    <mergeCell ref="Z6:AA7"/>
    <mergeCell ref="E1:E2"/>
    <mergeCell ref="X6:Y7"/>
    <mergeCell ref="AB6:AC7"/>
    <mergeCell ref="A4:B5"/>
    <mergeCell ref="C4:D5"/>
    <mergeCell ref="F4:G4"/>
    <mergeCell ref="H4:I4"/>
    <mergeCell ref="J4:K4"/>
    <mergeCell ref="L4:M4"/>
    <mergeCell ref="N4:O4"/>
    <mergeCell ref="P4:Q4"/>
    <mergeCell ref="V5:W5"/>
    <mergeCell ref="T4:U4"/>
    <mergeCell ref="T5:U5"/>
    <mergeCell ref="Z4:AA4"/>
    <mergeCell ref="Z5:AA5"/>
    <mergeCell ref="X4:Y4"/>
    <mergeCell ref="X5:Y5"/>
    <mergeCell ref="R5:S5"/>
    <mergeCell ref="A6:B6"/>
    <mergeCell ref="C6:D6"/>
    <mergeCell ref="E6:E7"/>
    <mergeCell ref="F6:G7"/>
    <mergeCell ref="H6:I7"/>
    <mergeCell ref="B3:C3"/>
    <mergeCell ref="F3:G3"/>
    <mergeCell ref="H3:I3"/>
    <mergeCell ref="J3:K3"/>
    <mergeCell ref="L3:M3"/>
    <mergeCell ref="N3:O3"/>
    <mergeCell ref="P3:Q3"/>
    <mergeCell ref="X3:Y3"/>
    <mergeCell ref="AB3:AC3"/>
    <mergeCell ref="T3:U3"/>
    <mergeCell ref="Z3:AA3"/>
    <mergeCell ref="F1:G2"/>
    <mergeCell ref="H1:I2"/>
    <mergeCell ref="J1:K2"/>
    <mergeCell ref="L6:M7"/>
    <mergeCell ref="N6:O7"/>
    <mergeCell ref="P6:Q7"/>
    <mergeCell ref="F5:G5"/>
    <mergeCell ref="H5:I5"/>
    <mergeCell ref="AE1:AF1"/>
    <mergeCell ref="J5:K5"/>
    <mergeCell ref="L5:M5"/>
    <mergeCell ref="N5:O5"/>
    <mergeCell ref="P5:Q5"/>
    <mergeCell ref="AB5:AC5"/>
    <mergeCell ref="AE2:AF2"/>
    <mergeCell ref="J6:K7"/>
    <mergeCell ref="AB1:AC2"/>
    <mergeCell ref="AE5:AF5"/>
    <mergeCell ref="AB4:AC4"/>
    <mergeCell ref="V1:W2"/>
    <mergeCell ref="X1:Y2"/>
    <mergeCell ref="Z1:AA2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7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52A96F-51B3-4BE3-8498-982EE061D760}">
          <x14:formula1>
            <xm:f>' CADASTRO'!$I$2:$I$993</xm:f>
          </x14:formula1>
          <xm:sqref>F4:AC4 F43:AC43</xm:sqref>
        </x14:dataValidation>
        <x14:dataValidation type="list" allowBlank="1" showInputMessage="1" showErrorMessage="1" xr:uid="{DFBB9C03-08B8-43F3-91DB-D007C12C35E5}">
          <x14:formula1>
            <xm:f>' CADASTRO'!$J$2:$J$993</xm:f>
          </x14:formula1>
          <xm:sqref>F5:AC5 F44:AC44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3154-7A16-461E-A1C3-B2F0B377E013}">
  <dimension ref="A1:AG77"/>
  <sheetViews>
    <sheetView view="pageBreakPreview" zoomScale="55" zoomScaleNormal="100" zoomScaleSheetLayoutView="55" workbookViewId="0">
      <selection activeCell="T71" sqref="T71:U71"/>
    </sheetView>
  </sheetViews>
  <sheetFormatPr defaultRowHeight="25.5"/>
  <cols>
    <col min="2" max="2" width="7" style="1" customWidth="1"/>
    <col min="3" max="3" width="18.1328125" style="2" customWidth="1"/>
    <col min="4" max="4" width="12.86328125" style="2" customWidth="1"/>
    <col min="5" max="5" width="105.33203125" style="2" customWidth="1"/>
    <col min="6" max="11" width="11.6640625" style="2" customWidth="1"/>
    <col min="12" max="12" width="2.46484375" customWidth="1"/>
    <col min="13" max="14" width="17.33203125" customWidth="1"/>
    <col min="15" max="15" width="8.46484375" customWidth="1"/>
    <col min="16" max="17" width="17.33203125" customWidth="1"/>
    <col min="18" max="18" width="20.796875" customWidth="1"/>
    <col min="19" max="19" width="22.6640625" customWidth="1"/>
    <col min="20" max="20" width="26" customWidth="1"/>
    <col min="21" max="21" width="24.6640625" customWidth="1"/>
    <col min="22" max="22" width="8.86328125" style="24"/>
    <col min="28" max="28" width="20.46484375" customWidth="1"/>
    <col min="30" max="30" width="18.6640625" style="58" bestFit="1" customWidth="1"/>
    <col min="31" max="31" width="20" bestFit="1" customWidth="1"/>
    <col min="32" max="32" width="13.33203125" hidden="1" customWidth="1"/>
    <col min="33" max="33" width="14" hidden="1" customWidth="1"/>
    <col min="34" max="34" width="10.46484375" bestFit="1" customWidth="1"/>
  </cols>
  <sheetData>
    <row r="1" spans="1:30" ht="42.6" customHeight="1">
      <c r="B1" s="173" t="s">
        <v>162</v>
      </c>
      <c r="C1" s="173"/>
      <c r="D1" s="57">
        <f>MAX(' CADASTRO'!C:C)</f>
        <v>48</v>
      </c>
      <c r="E1" s="6" t="s">
        <v>122</v>
      </c>
      <c r="F1" s="165" t="s">
        <v>105</v>
      </c>
      <c r="G1" s="166"/>
      <c r="H1" s="165" t="s">
        <v>106</v>
      </c>
      <c r="I1" s="166"/>
      <c r="J1" s="165"/>
      <c r="K1" s="166"/>
      <c r="M1" s="306" t="s">
        <v>207</v>
      </c>
      <c r="N1" s="306"/>
      <c r="O1" s="72"/>
      <c r="P1" s="72"/>
      <c r="Q1" s="72"/>
      <c r="R1" s="72" t="s">
        <v>1018</v>
      </c>
      <c r="S1" s="72" t="s">
        <v>1019</v>
      </c>
      <c r="T1" s="72" t="s">
        <v>1020</v>
      </c>
    </row>
    <row r="2" spans="1:30" ht="55.25" customHeight="1">
      <c r="A2" s="167" t="s">
        <v>1</v>
      </c>
      <c r="B2" s="167"/>
      <c r="C2" s="168">
        <f ca="1">TODAY()</f>
        <v>45853</v>
      </c>
      <c r="D2" s="169"/>
      <c r="E2" s="6" t="s">
        <v>6</v>
      </c>
      <c r="F2" s="170" t="s">
        <v>1036</v>
      </c>
      <c r="G2" s="170"/>
      <c r="H2" s="171" t="s">
        <v>1037</v>
      </c>
      <c r="I2" s="172"/>
      <c r="J2" s="171"/>
      <c r="K2" s="172"/>
      <c r="M2" s="307">
        <v>1062266407</v>
      </c>
      <c r="N2" s="308"/>
      <c r="O2" s="72"/>
      <c r="P2" s="72"/>
      <c r="Q2" s="72" t="s">
        <v>1016</v>
      </c>
      <c r="R2" s="128"/>
      <c r="S2" s="128"/>
      <c r="T2" s="128"/>
      <c r="V2" s="245"/>
      <c r="W2" s="245"/>
      <c r="X2" s="245"/>
      <c r="Y2" s="245"/>
      <c r="AB2" s="109"/>
      <c r="AD2"/>
    </row>
    <row r="3" spans="1:30" ht="37.25" customHeight="1">
      <c r="A3" s="167"/>
      <c r="B3" s="167"/>
      <c r="C3" s="168"/>
      <c r="D3" s="169"/>
      <c r="E3" s="6" t="s">
        <v>51</v>
      </c>
      <c r="F3" s="305" t="s">
        <v>85</v>
      </c>
      <c r="G3" s="305"/>
      <c r="H3" s="305" t="s">
        <v>85</v>
      </c>
      <c r="I3" s="305"/>
      <c r="J3" s="305"/>
      <c r="K3" s="305"/>
      <c r="M3" s="306" t="s">
        <v>208</v>
      </c>
      <c r="N3" s="306"/>
      <c r="O3" s="72"/>
      <c r="P3" s="72"/>
      <c r="Q3" s="72" t="s">
        <v>1017</v>
      </c>
      <c r="R3" s="128"/>
      <c r="S3" s="128"/>
      <c r="T3" s="128"/>
      <c r="AB3" s="109"/>
      <c r="AD3"/>
    </row>
    <row r="4" spans="1:30" ht="21">
      <c r="A4" s="175" t="s">
        <v>82</v>
      </c>
      <c r="B4" s="175"/>
      <c r="C4" s="176"/>
      <c r="D4" s="177"/>
      <c r="E4" s="178" t="s">
        <v>62</v>
      </c>
      <c r="F4" s="180" t="str">
        <f>VLOOKUP(F2,' CADASTRO'!$I$2:$Q$994,9,0)</f>
        <v>SEM CHAPA</v>
      </c>
      <c r="G4" s="181"/>
      <c r="H4" s="180" t="str">
        <f>VLOOKUP(H2,' CADASTRO'!$I$2:$Q$994,9,0)</f>
        <v>SEM CHAPA</v>
      </c>
      <c r="I4" s="181"/>
      <c r="J4" s="180"/>
      <c r="K4" s="181"/>
      <c r="M4" s="311">
        <v>45690</v>
      </c>
      <c r="N4" s="312"/>
      <c r="O4" s="13"/>
      <c r="P4" s="13"/>
      <c r="Q4" s="13"/>
      <c r="R4" s="13"/>
      <c r="S4" s="13"/>
      <c r="T4" s="13"/>
      <c r="V4" s="309"/>
      <c r="W4" s="309"/>
      <c r="X4" s="198"/>
      <c r="Y4" s="198"/>
      <c r="Z4" s="198"/>
      <c r="AD4"/>
    </row>
    <row r="5" spans="1:30" ht="15.4">
      <c r="C5" s="187" t="s">
        <v>188</v>
      </c>
      <c r="D5" s="187"/>
      <c r="E5" s="179"/>
      <c r="F5" s="182"/>
      <c r="G5" s="183"/>
      <c r="H5" s="182"/>
      <c r="I5" s="183"/>
      <c r="J5" s="182"/>
      <c r="K5" s="183"/>
      <c r="M5" s="313"/>
      <c r="N5" s="314"/>
      <c r="O5" s="13"/>
      <c r="P5" s="13"/>
      <c r="Q5" s="13"/>
      <c r="R5" s="13"/>
      <c r="S5" s="13"/>
      <c r="T5" s="13"/>
      <c r="AD5"/>
    </row>
    <row r="6" spans="1:30" ht="28.15">
      <c r="C6" s="187"/>
      <c r="D6" s="187"/>
      <c r="E6" s="43" t="s">
        <v>65</v>
      </c>
      <c r="F6" s="188" t="s">
        <v>59</v>
      </c>
      <c r="G6" s="189"/>
      <c r="H6" s="188" t="s">
        <v>66</v>
      </c>
      <c r="I6" s="189"/>
      <c r="J6" s="188"/>
      <c r="K6" s="189"/>
      <c r="M6" s="315"/>
      <c r="N6" s="316"/>
      <c r="O6" s="13"/>
      <c r="P6" s="13"/>
      <c r="Q6" s="13"/>
      <c r="R6" s="13"/>
      <c r="S6" s="13"/>
      <c r="T6" s="13"/>
      <c r="AD6"/>
    </row>
    <row r="7" spans="1:30" ht="14.45" customHeight="1">
      <c r="B7" s="192" t="s">
        <v>3</v>
      </c>
      <c r="C7" s="193" t="s">
        <v>4</v>
      </c>
      <c r="D7" s="193"/>
      <c r="E7" s="194"/>
      <c r="F7" s="194" t="s">
        <v>0</v>
      </c>
      <c r="G7" s="196" t="s">
        <v>2</v>
      </c>
      <c r="H7" s="194" t="s">
        <v>0</v>
      </c>
      <c r="I7" s="196" t="s">
        <v>2</v>
      </c>
      <c r="J7" s="194" t="s">
        <v>0</v>
      </c>
      <c r="K7" s="196" t="s">
        <v>2</v>
      </c>
      <c r="Q7" s="73"/>
      <c r="R7" s="73"/>
      <c r="S7" s="73"/>
      <c r="T7" s="73"/>
      <c r="U7" s="73"/>
      <c r="V7" s="310" t="s">
        <v>73</v>
      </c>
      <c r="W7" s="318" t="s">
        <v>209</v>
      </c>
      <c r="X7" s="320">
        <v>1169</v>
      </c>
      <c r="Y7" s="320"/>
      <c r="Z7" s="320"/>
      <c r="AD7"/>
    </row>
    <row r="8" spans="1:30" ht="23.65" thickBot="1">
      <c r="A8" s="198"/>
      <c r="B8" s="192"/>
      <c r="C8" s="194"/>
      <c r="D8" s="194"/>
      <c r="E8" s="194"/>
      <c r="F8" s="195"/>
      <c r="G8" s="197"/>
      <c r="H8" s="194"/>
      <c r="I8" s="196"/>
      <c r="J8" s="195"/>
      <c r="K8" s="197"/>
      <c r="Q8" s="73"/>
      <c r="R8" s="73"/>
      <c r="S8" s="73"/>
      <c r="T8" s="73"/>
      <c r="U8" s="73"/>
      <c r="V8" s="310"/>
      <c r="W8" s="319"/>
      <c r="X8" s="321"/>
      <c r="Y8" s="321"/>
      <c r="Z8" s="321"/>
      <c r="AD8"/>
    </row>
    <row r="9" spans="1:30" ht="50" customHeight="1">
      <c r="A9" s="198"/>
      <c r="B9" s="5">
        <v>1</v>
      </c>
      <c r="C9" s="199" t="s">
        <v>210</v>
      </c>
      <c r="D9" s="200"/>
      <c r="E9" s="200"/>
      <c r="F9" s="27"/>
      <c r="G9" s="28"/>
      <c r="H9" s="25"/>
      <c r="I9" s="35"/>
      <c r="J9" s="27"/>
      <c r="K9" s="28"/>
      <c r="M9" s="70" t="s">
        <v>189</v>
      </c>
      <c r="N9" s="70" t="s">
        <v>187</v>
      </c>
      <c r="O9" s="13"/>
      <c r="P9" s="119" t="s">
        <v>216</v>
      </c>
      <c r="Q9" s="323" t="s">
        <v>214</v>
      </c>
      <c r="R9" s="323"/>
      <c r="S9" s="323"/>
      <c r="T9" s="323"/>
      <c r="U9" s="323"/>
      <c r="V9" s="310" t="s">
        <v>74</v>
      </c>
      <c r="W9" s="271"/>
      <c r="X9" s="271"/>
      <c r="Y9" s="271"/>
      <c r="Z9" s="271"/>
      <c r="AD9"/>
    </row>
    <row r="10" spans="1:30" ht="50" customHeight="1">
      <c r="A10" s="198"/>
      <c r="B10" s="5">
        <v>2</v>
      </c>
      <c r="C10" s="201" t="s">
        <v>107</v>
      </c>
      <c r="D10" s="202"/>
      <c r="E10" s="202"/>
      <c r="F10" s="29"/>
      <c r="G10" s="30"/>
      <c r="H10" s="26"/>
      <c r="I10" s="36"/>
      <c r="J10" s="29"/>
      <c r="K10" s="30"/>
      <c r="M10" s="69" t="s">
        <v>186</v>
      </c>
      <c r="N10" s="69"/>
      <c r="O10" s="13"/>
      <c r="P10" s="16"/>
      <c r="Q10" s="325" t="s">
        <v>215</v>
      </c>
      <c r="R10" s="325"/>
      <c r="S10" s="325"/>
      <c r="T10" s="325"/>
      <c r="U10" s="325"/>
      <c r="V10" s="310"/>
      <c r="W10" s="271"/>
      <c r="X10" s="271"/>
      <c r="Y10" s="271"/>
      <c r="Z10" s="271"/>
      <c r="AD10"/>
    </row>
    <row r="11" spans="1:30" ht="50" customHeight="1">
      <c r="A11" s="198"/>
      <c r="B11" s="5">
        <v>3</v>
      </c>
      <c r="C11" s="203" t="s">
        <v>102</v>
      </c>
      <c r="D11" s="204"/>
      <c r="E11" s="204"/>
      <c r="F11" s="31"/>
      <c r="G11" s="32"/>
      <c r="H11" s="25"/>
      <c r="I11" s="35"/>
      <c r="J11" s="31"/>
      <c r="K11" s="32"/>
      <c r="M11" s="69" t="s">
        <v>190</v>
      </c>
      <c r="N11" s="69"/>
      <c r="O11" s="73"/>
      <c r="P11" s="69"/>
      <c r="Q11" s="325" t="s">
        <v>217</v>
      </c>
      <c r="R11" s="325"/>
      <c r="S11" s="325"/>
      <c r="T11" s="325"/>
      <c r="U11" s="325"/>
      <c r="V11" s="310" t="s">
        <v>74</v>
      </c>
      <c r="W11" s="271"/>
      <c r="X11" s="271"/>
      <c r="Y11" s="271"/>
      <c r="Z11" s="271"/>
      <c r="AD11"/>
    </row>
    <row r="12" spans="1:30" ht="50" customHeight="1">
      <c r="A12" s="198"/>
      <c r="B12" s="5">
        <v>4</v>
      </c>
      <c r="C12" s="205" t="s">
        <v>211</v>
      </c>
      <c r="D12" s="206"/>
      <c r="E12" s="206"/>
      <c r="F12" s="29"/>
      <c r="G12" s="30"/>
      <c r="H12" s="26"/>
      <c r="I12" s="36"/>
      <c r="J12" s="29"/>
      <c r="K12" s="30"/>
      <c r="M12" s="69" t="s">
        <v>191</v>
      </c>
      <c r="N12" s="69"/>
      <c r="O12" s="73"/>
      <c r="P12" s="69"/>
      <c r="Q12" s="325" t="s">
        <v>218</v>
      </c>
      <c r="R12" s="325"/>
      <c r="S12" s="325"/>
      <c r="T12" s="325"/>
      <c r="U12" s="325"/>
      <c r="V12" s="310"/>
      <c r="W12" s="271"/>
      <c r="X12" s="271"/>
      <c r="Y12" s="271"/>
      <c r="Z12" s="271"/>
      <c r="AD12"/>
    </row>
    <row r="13" spans="1:30" ht="50" customHeight="1">
      <c r="A13" s="198"/>
      <c r="B13" s="5">
        <v>5</v>
      </c>
      <c r="C13" s="199" t="s">
        <v>134</v>
      </c>
      <c r="D13" s="200"/>
      <c r="E13" s="200"/>
      <c r="F13" s="31"/>
      <c r="G13" s="32"/>
      <c r="H13" s="25"/>
      <c r="I13" s="35"/>
      <c r="J13" s="31"/>
      <c r="K13" s="32"/>
      <c r="M13" s="69" t="s">
        <v>192</v>
      </c>
      <c r="N13" s="69"/>
      <c r="O13" s="73"/>
      <c r="P13" s="69"/>
      <c r="Q13" s="325" t="s">
        <v>219</v>
      </c>
      <c r="R13" s="325"/>
      <c r="S13" s="325"/>
      <c r="T13" s="325"/>
      <c r="U13" s="325"/>
      <c r="AD13"/>
    </row>
    <row r="14" spans="1:30" ht="50" customHeight="1">
      <c r="A14" s="198"/>
      <c r="B14" s="5">
        <v>6</v>
      </c>
      <c r="C14" s="201" t="s">
        <v>114</v>
      </c>
      <c r="D14" s="202"/>
      <c r="E14" s="202"/>
      <c r="F14" s="29"/>
      <c r="G14" s="30"/>
      <c r="H14" s="26"/>
      <c r="I14" s="36"/>
      <c r="J14" s="29"/>
      <c r="K14" s="30"/>
      <c r="M14" s="69" t="s">
        <v>193</v>
      </c>
      <c r="N14" s="69"/>
      <c r="O14" s="73"/>
      <c r="P14" s="69"/>
      <c r="Q14" s="325" t="s">
        <v>220</v>
      </c>
      <c r="R14" s="325"/>
      <c r="S14" s="325"/>
      <c r="T14" s="325"/>
      <c r="U14" s="325"/>
      <c r="V14" s="23" t="s">
        <v>75</v>
      </c>
      <c r="W14" s="71" t="s">
        <v>80</v>
      </c>
      <c r="X14" s="322">
        <f>X7+1</f>
        <v>1170</v>
      </c>
      <c r="Y14" s="322"/>
      <c r="Z14" s="322"/>
      <c r="AD14"/>
    </row>
    <row r="15" spans="1:30" ht="50" customHeight="1">
      <c r="A15" s="198"/>
      <c r="B15" s="5">
        <v>7</v>
      </c>
      <c r="C15" s="199" t="s">
        <v>27</v>
      </c>
      <c r="D15" s="200"/>
      <c r="E15" s="200"/>
      <c r="F15" s="31"/>
      <c r="G15" s="32"/>
      <c r="H15" s="25"/>
      <c r="I15" s="35"/>
      <c r="J15" s="31"/>
      <c r="K15" s="32"/>
      <c r="M15" s="69" t="s">
        <v>194</v>
      </c>
      <c r="N15" s="69"/>
      <c r="O15" s="73"/>
      <c r="P15" s="69"/>
      <c r="Q15" s="317"/>
      <c r="R15" s="317"/>
      <c r="S15" s="317"/>
      <c r="T15" s="317"/>
      <c r="U15" s="317"/>
      <c r="V15" s="310" t="s">
        <v>74</v>
      </c>
      <c r="W15" s="271"/>
      <c r="X15" s="271"/>
      <c r="Y15" s="271"/>
      <c r="Z15" s="271"/>
      <c r="AD15"/>
    </row>
    <row r="16" spans="1:30" ht="50" customHeight="1">
      <c r="A16" s="198"/>
      <c r="B16" s="5">
        <v>8</v>
      </c>
      <c r="C16" s="201" t="s">
        <v>26</v>
      </c>
      <c r="D16" s="202"/>
      <c r="E16" s="202"/>
      <c r="F16" s="29"/>
      <c r="G16" s="30"/>
      <c r="H16" s="26"/>
      <c r="I16" s="36"/>
      <c r="J16" s="29"/>
      <c r="K16" s="30"/>
      <c r="M16" s="69" t="s">
        <v>195</v>
      </c>
      <c r="N16" s="69"/>
      <c r="O16" s="73"/>
      <c r="P16" s="69"/>
      <c r="Q16" s="317"/>
      <c r="R16" s="317"/>
      <c r="S16" s="317"/>
      <c r="T16" s="317"/>
      <c r="U16" s="317"/>
      <c r="V16" s="310"/>
      <c r="W16" s="271"/>
      <c r="X16" s="271"/>
      <c r="Y16" s="271"/>
      <c r="Z16" s="271"/>
      <c r="AD16"/>
    </row>
    <row r="17" spans="1:30" ht="50" customHeight="1">
      <c r="A17" s="198"/>
      <c r="B17" s="5">
        <v>9</v>
      </c>
      <c r="C17" s="199" t="s">
        <v>185</v>
      </c>
      <c r="D17" s="200"/>
      <c r="E17" s="200"/>
      <c r="F17" s="31"/>
      <c r="G17" s="32"/>
      <c r="H17" s="25"/>
      <c r="I17" s="35"/>
      <c r="J17" s="31"/>
      <c r="K17" s="32"/>
      <c r="M17" s="69" t="s">
        <v>196</v>
      </c>
      <c r="N17" s="69"/>
      <c r="O17" s="73"/>
      <c r="P17" s="69"/>
      <c r="Q17" s="317"/>
      <c r="R17" s="317"/>
      <c r="S17" s="317"/>
      <c r="T17" s="317"/>
      <c r="U17" s="317"/>
      <c r="V17" s="310" t="s">
        <v>74</v>
      </c>
      <c r="W17" s="271"/>
      <c r="X17" s="271"/>
      <c r="Y17" s="271"/>
      <c r="Z17" s="271"/>
      <c r="AD17"/>
    </row>
    <row r="18" spans="1:30" ht="50" customHeight="1">
      <c r="A18" s="198"/>
      <c r="B18" s="5">
        <v>10</v>
      </c>
      <c r="C18" s="201" t="s">
        <v>45</v>
      </c>
      <c r="D18" s="202"/>
      <c r="E18" s="202"/>
      <c r="F18" s="29"/>
      <c r="G18" s="30"/>
      <c r="H18" s="26"/>
      <c r="I18" s="36"/>
      <c r="J18" s="29"/>
      <c r="K18" s="30"/>
      <c r="M18" s="69" t="s">
        <v>197</v>
      </c>
      <c r="N18" s="69"/>
      <c r="O18" s="73"/>
      <c r="P18" s="69"/>
      <c r="Q18" s="317"/>
      <c r="R18" s="317"/>
      <c r="S18" s="317"/>
      <c r="T18" s="317"/>
      <c r="U18" s="317"/>
      <c r="V18" s="310"/>
      <c r="W18" s="271"/>
      <c r="X18" s="271"/>
      <c r="Y18" s="271"/>
      <c r="Z18" s="271"/>
      <c r="AD18"/>
    </row>
    <row r="19" spans="1:30" ht="50" customHeight="1">
      <c r="A19" s="198"/>
      <c r="B19" s="5">
        <v>11</v>
      </c>
      <c r="C19" s="199" t="s">
        <v>135</v>
      </c>
      <c r="D19" s="200"/>
      <c r="E19" s="200"/>
      <c r="F19" s="31"/>
      <c r="G19" s="32"/>
      <c r="H19" s="25"/>
      <c r="I19" s="35"/>
      <c r="J19" s="31"/>
      <c r="K19" s="32"/>
      <c r="M19" s="69" t="s">
        <v>198</v>
      </c>
      <c r="N19" s="69"/>
      <c r="O19" s="73"/>
      <c r="P19" s="69"/>
      <c r="Q19" s="317"/>
      <c r="R19" s="317"/>
      <c r="S19" s="317"/>
      <c r="T19" s="317"/>
      <c r="U19" s="317"/>
      <c r="AD19"/>
    </row>
    <row r="20" spans="1:30" ht="50" customHeight="1">
      <c r="A20" s="198"/>
      <c r="B20" s="5">
        <v>12</v>
      </c>
      <c r="C20" s="201" t="s">
        <v>78</v>
      </c>
      <c r="D20" s="202"/>
      <c r="E20" s="202"/>
      <c r="F20" s="29"/>
      <c r="G20" s="30"/>
      <c r="H20" s="26"/>
      <c r="I20" s="36"/>
      <c r="J20" s="29"/>
      <c r="K20" s="30"/>
      <c r="M20" s="69" t="s">
        <v>199</v>
      </c>
      <c r="N20" s="69"/>
      <c r="O20" s="73"/>
      <c r="P20" s="69"/>
      <c r="Q20" s="317"/>
      <c r="R20" s="317"/>
      <c r="S20" s="317"/>
      <c r="T20" s="317"/>
      <c r="U20" s="317"/>
      <c r="V20" s="23" t="s">
        <v>76</v>
      </c>
      <c r="W20" s="71" t="s">
        <v>80</v>
      </c>
      <c r="X20" s="324"/>
      <c r="Y20" s="324"/>
      <c r="Z20" s="324"/>
      <c r="AD20"/>
    </row>
    <row r="21" spans="1:30" ht="50" customHeight="1">
      <c r="A21" s="198"/>
      <c r="B21" s="5">
        <v>13</v>
      </c>
      <c r="C21" s="203" t="s">
        <v>29</v>
      </c>
      <c r="D21" s="204"/>
      <c r="E21" s="204"/>
      <c r="F21" s="31"/>
      <c r="G21" s="32"/>
      <c r="H21" s="25"/>
      <c r="I21" s="35"/>
      <c r="J21" s="31"/>
      <c r="K21" s="32"/>
      <c r="M21" s="69" t="s">
        <v>200</v>
      </c>
      <c r="N21" s="69"/>
      <c r="O21" s="73"/>
      <c r="P21" s="69"/>
      <c r="Q21" s="317"/>
      <c r="R21" s="317"/>
      <c r="S21" s="317"/>
      <c r="T21" s="317"/>
      <c r="U21" s="317"/>
      <c r="V21" s="310" t="s">
        <v>74</v>
      </c>
      <c r="W21" s="271"/>
      <c r="X21" s="271"/>
      <c r="Y21" s="271"/>
      <c r="Z21" s="271"/>
      <c r="AD21"/>
    </row>
    <row r="22" spans="1:30" ht="50" customHeight="1">
      <c r="A22" s="198"/>
      <c r="B22" s="5">
        <v>14</v>
      </c>
      <c r="C22" s="201" t="s">
        <v>28</v>
      </c>
      <c r="D22" s="202"/>
      <c r="E22" s="202"/>
      <c r="F22" s="29"/>
      <c r="G22" s="30"/>
      <c r="H22" s="26"/>
      <c r="I22" s="36"/>
      <c r="J22" s="29"/>
      <c r="K22" s="30"/>
      <c r="M22" s="69" t="s">
        <v>201</v>
      </c>
      <c r="N22" s="69"/>
      <c r="O22" s="73"/>
      <c r="P22" s="69"/>
      <c r="Q22" s="317"/>
      <c r="R22" s="317"/>
      <c r="S22" s="317"/>
      <c r="T22" s="317"/>
      <c r="U22" s="317"/>
      <c r="V22" s="310"/>
      <c r="W22" s="271"/>
      <c r="X22" s="271"/>
      <c r="Y22" s="271"/>
      <c r="Z22" s="271"/>
      <c r="AD22"/>
    </row>
    <row r="23" spans="1:30" ht="50" customHeight="1">
      <c r="A23" s="198"/>
      <c r="B23" s="5">
        <v>15</v>
      </c>
      <c r="C23" s="203" t="s">
        <v>103</v>
      </c>
      <c r="D23" s="204"/>
      <c r="E23" s="204"/>
      <c r="F23" s="31"/>
      <c r="G23" s="32"/>
      <c r="H23" s="25"/>
      <c r="I23" s="35"/>
      <c r="J23" s="31"/>
      <c r="K23" s="32"/>
      <c r="M23" s="69" t="s">
        <v>202</v>
      </c>
      <c r="N23" s="69"/>
      <c r="O23" s="73"/>
      <c r="P23" s="69"/>
      <c r="Q23" s="317"/>
      <c r="R23" s="317"/>
      <c r="S23" s="317"/>
      <c r="T23" s="317"/>
      <c r="U23" s="317"/>
      <c r="V23" s="310" t="s">
        <v>74</v>
      </c>
      <c r="W23" s="271"/>
      <c r="X23" s="271"/>
      <c r="Y23" s="271"/>
      <c r="Z23" s="271"/>
    </row>
    <row r="24" spans="1:30" ht="50" customHeight="1">
      <c r="A24" s="198"/>
      <c r="B24" s="5">
        <v>16</v>
      </c>
      <c r="C24" s="205" t="s">
        <v>104</v>
      </c>
      <c r="D24" s="206"/>
      <c r="E24" s="206"/>
      <c r="F24" s="29"/>
      <c r="G24" s="30"/>
      <c r="H24" s="26"/>
      <c r="I24" s="36"/>
      <c r="J24" s="29"/>
      <c r="K24" s="30"/>
      <c r="M24" s="69" t="s">
        <v>203</v>
      </c>
      <c r="N24" s="69"/>
      <c r="O24" s="73"/>
      <c r="P24" s="69"/>
      <c r="Q24" s="317"/>
      <c r="R24" s="317"/>
      <c r="S24" s="317"/>
      <c r="T24" s="317"/>
      <c r="U24" s="317"/>
      <c r="V24" s="310"/>
      <c r="W24" s="271"/>
      <c r="X24" s="271"/>
      <c r="Y24" s="271"/>
      <c r="Z24" s="271"/>
    </row>
    <row r="25" spans="1:30" ht="50" customHeight="1">
      <c r="A25" s="198"/>
      <c r="B25" s="5">
        <v>17</v>
      </c>
      <c r="C25" s="199" t="s">
        <v>46</v>
      </c>
      <c r="D25" s="200"/>
      <c r="E25" s="200"/>
      <c r="F25" s="31"/>
      <c r="G25" s="32"/>
      <c r="H25" s="25"/>
      <c r="I25" s="35"/>
      <c r="J25" s="31"/>
      <c r="K25" s="32"/>
      <c r="M25" s="69" t="s">
        <v>204</v>
      </c>
      <c r="N25" s="69"/>
      <c r="O25" s="73"/>
      <c r="P25" s="69"/>
      <c r="Q25" s="317"/>
      <c r="R25" s="317"/>
      <c r="S25" s="317"/>
      <c r="T25" s="317"/>
      <c r="U25" s="317"/>
      <c r="V25"/>
    </row>
    <row r="26" spans="1:30" ht="50" customHeight="1">
      <c r="A26" s="198"/>
      <c r="B26" s="5">
        <v>18</v>
      </c>
      <c r="C26" s="201" t="s">
        <v>79</v>
      </c>
      <c r="D26" s="202"/>
      <c r="E26" s="202"/>
      <c r="F26" s="29"/>
      <c r="G26" s="30"/>
      <c r="H26" s="26"/>
      <c r="I26" s="36"/>
      <c r="J26" s="29"/>
      <c r="K26" s="30"/>
      <c r="M26" s="69" t="s">
        <v>205</v>
      </c>
      <c r="N26" s="69"/>
      <c r="O26" s="73"/>
      <c r="P26" s="69"/>
      <c r="Q26" s="317"/>
      <c r="R26" s="317"/>
      <c r="S26" s="317"/>
      <c r="T26" s="317"/>
      <c r="U26" s="317"/>
      <c r="V26"/>
      <c r="X26" s="58"/>
      <c r="AD26"/>
    </row>
    <row r="27" spans="1:30" ht="50" customHeight="1">
      <c r="A27" s="198"/>
      <c r="B27" s="5">
        <v>19</v>
      </c>
      <c r="C27" s="199" t="s">
        <v>83</v>
      </c>
      <c r="D27" s="200"/>
      <c r="E27" s="200"/>
      <c r="F27" s="31"/>
      <c r="G27" s="32"/>
      <c r="H27" s="25"/>
      <c r="I27" s="35"/>
      <c r="J27" s="31"/>
      <c r="K27" s="32"/>
      <c r="M27" s="69" t="s">
        <v>206</v>
      </c>
      <c r="N27" s="69"/>
      <c r="O27" s="73"/>
      <c r="P27" s="69"/>
      <c r="Q27" s="317"/>
      <c r="R27" s="317"/>
      <c r="S27" s="317"/>
      <c r="T27" s="317"/>
      <c r="U27" s="317"/>
      <c r="V27"/>
      <c r="X27" s="58"/>
      <c r="AD27"/>
    </row>
    <row r="28" spans="1:30" ht="50" customHeight="1" thickBot="1">
      <c r="A28" s="198"/>
      <c r="B28" s="12">
        <v>20</v>
      </c>
      <c r="C28" s="201" t="s">
        <v>213</v>
      </c>
      <c r="D28" s="202"/>
      <c r="E28" s="202"/>
      <c r="F28" s="33"/>
      <c r="G28" s="34"/>
      <c r="H28" s="26"/>
      <c r="I28" s="36"/>
      <c r="J28" s="33"/>
      <c r="K28" s="34"/>
      <c r="M28" s="69"/>
      <c r="N28" s="69"/>
      <c r="O28" s="73"/>
      <c r="P28" s="69"/>
      <c r="Q28" s="317"/>
      <c r="R28" s="317"/>
      <c r="S28" s="317"/>
      <c r="T28" s="317"/>
      <c r="U28" s="317"/>
      <c r="V28"/>
      <c r="X28" s="58"/>
      <c r="AD28"/>
    </row>
    <row r="29" spans="1:30" ht="50" customHeight="1" thickBot="1">
      <c r="A29" s="198"/>
      <c r="B29" s="12">
        <v>21</v>
      </c>
      <c r="C29" s="201" t="s">
        <v>212</v>
      </c>
      <c r="D29" s="202"/>
      <c r="E29" s="202"/>
      <c r="F29" s="33"/>
      <c r="G29" s="34"/>
      <c r="H29" s="26"/>
      <c r="I29" s="36"/>
      <c r="J29" s="33"/>
      <c r="K29" s="34"/>
      <c r="M29" s="69"/>
      <c r="N29" s="69"/>
      <c r="O29" s="73"/>
      <c r="P29" s="69"/>
      <c r="Q29" s="317"/>
      <c r="R29" s="317"/>
      <c r="S29" s="317"/>
      <c r="T29" s="317"/>
      <c r="U29" s="317"/>
      <c r="V29"/>
      <c r="X29" s="58"/>
      <c r="AD29"/>
    </row>
    <row r="30" spans="1:30" ht="50" customHeight="1" thickBot="1">
      <c r="A30" s="198"/>
      <c r="B30" s="12">
        <v>22</v>
      </c>
      <c r="C30" s="201" t="s">
        <v>84</v>
      </c>
      <c r="D30" s="202"/>
      <c r="E30" s="202"/>
      <c r="F30" s="33"/>
      <c r="G30" s="34"/>
      <c r="H30" s="26"/>
      <c r="I30" s="36"/>
      <c r="J30" s="33"/>
      <c r="K30" s="34"/>
      <c r="M30" s="69"/>
      <c r="N30" s="69"/>
      <c r="O30" s="73"/>
      <c r="P30" s="69"/>
      <c r="Q30" s="317"/>
      <c r="R30" s="317"/>
      <c r="S30" s="317"/>
      <c r="T30" s="317"/>
      <c r="U30" s="317"/>
      <c r="V30"/>
      <c r="X30" s="58"/>
      <c r="AD30"/>
    </row>
    <row r="32" spans="1:30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8" ht="30" customHeight="1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8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8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8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8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8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8">
      <c r="L39" s="2"/>
      <c r="M39" s="2"/>
      <c r="N39" s="2"/>
      <c r="O39" s="2"/>
      <c r="P39" s="2"/>
      <c r="Q39" s="2"/>
      <c r="R39" s="2"/>
      <c r="S39" s="2"/>
      <c r="T39" s="2"/>
      <c r="U39" s="2"/>
      <c r="V39"/>
      <c r="W39" s="24"/>
    </row>
    <row r="40" spans="1:28" ht="30.4">
      <c r="B40" s="173" t="s">
        <v>162</v>
      </c>
      <c r="C40" s="173"/>
      <c r="D40" s="111">
        <f>D1</f>
        <v>48</v>
      </c>
      <c r="E40" s="6" t="s">
        <v>122</v>
      </c>
      <c r="F40" s="165" t="s">
        <v>106</v>
      </c>
      <c r="G40" s="166"/>
      <c r="H40" s="165" t="s">
        <v>106</v>
      </c>
      <c r="I40" s="166"/>
      <c r="J40" s="165" t="s">
        <v>106</v>
      </c>
      <c r="K40" s="166"/>
      <c r="L40" s="165" t="s">
        <v>106</v>
      </c>
      <c r="M40" s="166"/>
      <c r="N40" s="165" t="s">
        <v>106</v>
      </c>
      <c r="O40" s="166"/>
      <c r="P40" s="165" t="s">
        <v>106</v>
      </c>
      <c r="Q40" s="166"/>
      <c r="R40" s="165" t="s">
        <v>106</v>
      </c>
      <c r="S40" s="166"/>
      <c r="T40" s="165" t="s">
        <v>105</v>
      </c>
      <c r="U40" s="166"/>
      <c r="V40"/>
      <c r="W40" s="24"/>
    </row>
    <row r="41" spans="1:28" ht="30.75">
      <c r="A41" s="167" t="s">
        <v>1</v>
      </c>
      <c r="B41" s="167"/>
      <c r="C41" s="168"/>
      <c r="D41" s="169"/>
      <c r="E41" s="6" t="s">
        <v>6</v>
      </c>
      <c r="F41" s="170" t="str">
        <f>F2</f>
        <v>PR_PF-144</v>
      </c>
      <c r="G41" s="170"/>
      <c r="H41" s="170" t="str">
        <f t="shared" ref="H41:H42" si="0">H2</f>
        <v>PF-156</v>
      </c>
      <c r="I41" s="170"/>
      <c r="J41" s="170">
        <f t="shared" ref="J41:J42" si="1">J2</f>
        <v>0</v>
      </c>
      <c r="K41" s="170"/>
      <c r="L41" s="170">
        <f t="shared" ref="L41:L42" si="2">L2</f>
        <v>0</v>
      </c>
      <c r="M41" s="170"/>
      <c r="N41" s="170">
        <f t="shared" ref="N41:N42" si="3">N2</f>
        <v>0</v>
      </c>
      <c r="O41" s="170"/>
      <c r="P41" s="170">
        <f t="shared" ref="P41:P42" si="4">P2</f>
        <v>0</v>
      </c>
      <c r="Q41" s="170"/>
      <c r="R41" s="170">
        <f t="shared" ref="R41:R42" si="5">R2</f>
        <v>0</v>
      </c>
      <c r="S41" s="170"/>
      <c r="T41" s="170">
        <f t="shared" ref="T41:T42" si="6">T2</f>
        <v>0</v>
      </c>
      <c r="U41" s="170"/>
      <c r="V41"/>
      <c r="W41" s="245"/>
      <c r="X41" s="245"/>
      <c r="Y41" s="245"/>
      <c r="Z41" s="245"/>
    </row>
    <row r="42" spans="1:28" ht="30.4">
      <c r="A42" s="167"/>
      <c r="B42" s="167"/>
      <c r="C42" s="168"/>
      <c r="D42" s="169"/>
      <c r="E42" s="6" t="s">
        <v>51</v>
      </c>
      <c r="F42" s="237" t="str">
        <f>F3</f>
        <v>P</v>
      </c>
      <c r="G42" s="237"/>
      <c r="H42" s="237" t="str">
        <f t="shared" si="0"/>
        <v>P</v>
      </c>
      <c r="I42" s="237"/>
      <c r="J42" s="237">
        <f t="shared" si="1"/>
        <v>0</v>
      </c>
      <c r="K42" s="237"/>
      <c r="L42" s="237">
        <f t="shared" si="2"/>
        <v>0</v>
      </c>
      <c r="M42" s="237"/>
      <c r="N42" s="237">
        <f t="shared" si="3"/>
        <v>0</v>
      </c>
      <c r="O42" s="237"/>
      <c r="P42" s="237">
        <f t="shared" si="4"/>
        <v>0</v>
      </c>
      <c r="Q42" s="237"/>
      <c r="R42" s="237">
        <f t="shared" si="5"/>
        <v>0</v>
      </c>
      <c r="S42" s="237"/>
      <c r="T42" s="237">
        <f t="shared" si="6"/>
        <v>0</v>
      </c>
      <c r="U42" s="237"/>
      <c r="V42"/>
      <c r="W42" s="24"/>
    </row>
    <row r="43" spans="1:28" ht="36.75">
      <c r="B43" s="246" t="s">
        <v>990</v>
      </c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</row>
    <row r="44" spans="1:28" ht="38.25">
      <c r="B44" s="238">
        <v>1</v>
      </c>
      <c r="C44" s="238"/>
      <c r="D44" s="239" t="s">
        <v>991</v>
      </c>
      <c r="E44" s="24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/>
      <c r="W44" s="24"/>
    </row>
    <row r="45" spans="1:28" ht="38.25">
      <c r="B45" s="238">
        <v>2</v>
      </c>
      <c r="C45" s="238"/>
      <c r="D45" s="239" t="s">
        <v>992</v>
      </c>
      <c r="E45" s="24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/>
      <c r="W45" s="24"/>
    </row>
    <row r="46" spans="1:28" ht="38.25">
      <c r="B46" s="238">
        <v>3</v>
      </c>
      <c r="C46" s="238"/>
      <c r="D46" s="239" t="s">
        <v>993</v>
      </c>
      <c r="E46" s="24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/>
      <c r="W46" s="24"/>
    </row>
    <row r="47" spans="1:28" ht="38.25">
      <c r="B47" s="238">
        <v>4</v>
      </c>
      <c r="C47" s="238"/>
      <c r="D47" s="239" t="s">
        <v>994</v>
      </c>
      <c r="E47" s="24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/>
      <c r="W47" s="24"/>
    </row>
    <row r="48" spans="1:28" ht="38.25">
      <c r="B48" s="238">
        <v>5</v>
      </c>
      <c r="C48" s="238"/>
      <c r="D48" s="239" t="s">
        <v>998</v>
      </c>
      <c r="E48" s="24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/>
      <c r="W48" s="24"/>
    </row>
    <row r="49" spans="2:23" ht="38.25">
      <c r="B49" s="238">
        <v>6</v>
      </c>
      <c r="C49" s="238"/>
      <c r="D49" s="239" t="s">
        <v>999</v>
      </c>
      <c r="E49" s="24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/>
      <c r="W49" s="24"/>
    </row>
    <row r="50" spans="2:23" ht="38.25">
      <c r="B50" s="238">
        <v>7</v>
      </c>
      <c r="C50" s="238"/>
      <c r="D50" s="241"/>
      <c r="E50" s="242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/>
      <c r="W50" s="24"/>
    </row>
    <row r="51" spans="2:23" ht="38.25">
      <c r="B51" s="238">
        <v>8</v>
      </c>
      <c r="C51" s="238"/>
      <c r="D51" s="241"/>
      <c r="E51" s="242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/>
      <c r="W51" s="24"/>
    </row>
    <row r="52" spans="2:23" ht="38.25">
      <c r="B52" s="238">
        <v>9</v>
      </c>
      <c r="C52" s="238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/>
      <c r="W52" s="24"/>
    </row>
    <row r="53" spans="2:23" ht="38.25">
      <c r="B53" s="238">
        <v>10</v>
      </c>
      <c r="C53" s="238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/>
      <c r="W53" s="24"/>
    </row>
    <row r="54" spans="2:23" ht="38.25">
      <c r="B54" s="238">
        <v>11</v>
      </c>
      <c r="C54" s="238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/>
      <c r="W54" s="24"/>
    </row>
    <row r="55" spans="2:23" ht="38.25">
      <c r="B55" s="238">
        <v>12</v>
      </c>
      <c r="C55" s="238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/>
      <c r="W55" s="24"/>
    </row>
    <row r="56" spans="2:23" ht="38.25">
      <c r="B56" s="238">
        <v>13</v>
      </c>
      <c r="C56" s="238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/>
      <c r="W56" s="24"/>
    </row>
    <row r="57" spans="2:23" ht="38.25">
      <c r="B57" s="238">
        <v>14</v>
      </c>
      <c r="C57" s="238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/>
      <c r="W57" s="24"/>
    </row>
    <row r="58" spans="2:23" ht="38.25">
      <c r="B58" s="238">
        <v>15</v>
      </c>
      <c r="C58" s="238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/>
      <c r="W58" s="24"/>
    </row>
    <row r="59" spans="2:23" ht="38.25">
      <c r="B59" s="238">
        <v>16</v>
      </c>
      <c r="C59" s="238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/>
      <c r="W59" s="24"/>
    </row>
    <row r="60" spans="2:23" ht="38.25">
      <c r="B60" s="238">
        <v>17</v>
      </c>
      <c r="C60" s="238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/>
      <c r="W60" s="24"/>
    </row>
    <row r="61" spans="2:23" ht="38.25">
      <c r="B61" s="238">
        <v>18</v>
      </c>
      <c r="C61" s="238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/>
      <c r="W61" s="24"/>
    </row>
    <row r="62" spans="2:23" ht="38.25">
      <c r="B62" s="238">
        <v>19</v>
      </c>
      <c r="C62" s="238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/>
      <c r="W62" s="24"/>
    </row>
    <row r="63" spans="2:23" ht="38.25">
      <c r="B63" s="238">
        <v>20</v>
      </c>
      <c r="C63" s="238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/>
      <c r="W63" s="24"/>
    </row>
    <row r="64" spans="2:23" ht="38.25">
      <c r="B64" s="238">
        <v>21</v>
      </c>
      <c r="C64" s="238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/>
      <c r="W64" s="24"/>
    </row>
    <row r="65" spans="2:23" ht="38.25">
      <c r="B65" s="304">
        <v>22</v>
      </c>
      <c r="C65" s="304"/>
      <c r="D65" s="303"/>
      <c r="E65" s="303"/>
      <c r="F65" s="303"/>
      <c r="G65" s="303"/>
      <c r="H65" s="303"/>
      <c r="I65" s="303"/>
      <c r="J65" s="303"/>
      <c r="K65" s="303"/>
      <c r="L65" s="230"/>
      <c r="M65" s="230"/>
      <c r="N65" s="230"/>
      <c r="O65" s="230"/>
      <c r="P65" s="230"/>
      <c r="Q65" s="230"/>
      <c r="R65" s="230"/>
      <c r="S65" s="230"/>
      <c r="T65" s="303"/>
      <c r="U65" s="303"/>
      <c r="V65"/>
      <c r="W65" s="24"/>
    </row>
    <row r="66" spans="2:23" ht="38.25">
      <c r="B66" s="293"/>
      <c r="C66" s="293"/>
      <c r="D66" s="176"/>
      <c r="E66" s="176"/>
      <c r="F66" s="176"/>
      <c r="G66" s="176"/>
      <c r="H66" s="176"/>
      <c r="I66" s="176"/>
      <c r="J66" s="176"/>
      <c r="K66" s="176"/>
      <c r="L66" s="300" t="s">
        <v>73</v>
      </c>
      <c r="M66" s="300"/>
      <c r="T66" s="176"/>
      <c r="U66" s="176"/>
      <c r="V66"/>
      <c r="W66" s="24"/>
    </row>
    <row r="67" spans="2:23" ht="38.25">
      <c r="B67" s="293"/>
      <c r="C67" s="293"/>
      <c r="D67" s="176"/>
      <c r="E67" s="176"/>
      <c r="F67" s="176"/>
      <c r="G67" s="176"/>
      <c r="H67" s="176"/>
      <c r="I67" s="176"/>
      <c r="J67" s="176"/>
      <c r="K67" s="176"/>
      <c r="L67" s="253" t="s">
        <v>1032</v>
      </c>
      <c r="M67" s="253"/>
      <c r="N67" s="299">
        <f>N68-378</f>
        <v>791</v>
      </c>
      <c r="O67" s="299"/>
      <c r="P67" s="273" t="s">
        <v>1026</v>
      </c>
      <c r="Q67" s="273"/>
      <c r="R67" s="133"/>
      <c r="S67" s="133" t="s">
        <v>1035</v>
      </c>
      <c r="T67" s="176"/>
      <c r="U67" s="176"/>
      <c r="V67"/>
      <c r="W67" s="24"/>
    </row>
    <row r="68" spans="2:23" ht="38.25">
      <c r="B68" s="293"/>
      <c r="C68" s="293"/>
      <c r="D68" s="176"/>
      <c r="E68" s="176"/>
      <c r="F68" s="176"/>
      <c r="G68" s="176"/>
      <c r="H68" s="176"/>
      <c r="I68" s="176"/>
      <c r="J68" s="176"/>
      <c r="K68" s="176"/>
      <c r="L68" s="253" t="s">
        <v>1031</v>
      </c>
      <c r="M68" s="253"/>
      <c r="N68" s="302">
        <f>X7</f>
        <v>1169</v>
      </c>
      <c r="O68" s="302"/>
      <c r="P68" s="153" t="s">
        <v>1027</v>
      </c>
      <c r="Q68" s="153"/>
      <c r="R68" s="75"/>
      <c r="S68" s="75"/>
      <c r="T68" s="176"/>
      <c r="U68" s="176"/>
      <c r="V68"/>
      <c r="W68" s="24"/>
    </row>
    <row r="69" spans="2:23" ht="38.25">
      <c r="B69" s="293"/>
      <c r="C69" s="293"/>
      <c r="D69" s="176"/>
      <c r="E69" s="176"/>
      <c r="F69" s="176"/>
      <c r="G69" s="176"/>
      <c r="H69" s="176"/>
      <c r="I69" s="176"/>
      <c r="J69" s="176"/>
      <c r="K69" s="176"/>
      <c r="L69" s="298" t="s">
        <v>1028</v>
      </c>
      <c r="M69" s="298"/>
      <c r="N69" s="301" t="s">
        <v>1021</v>
      </c>
      <c r="O69" s="301"/>
      <c r="P69" s="301" t="s">
        <v>1022</v>
      </c>
      <c r="Q69" s="301"/>
      <c r="R69" s="132" t="s">
        <v>1023</v>
      </c>
      <c r="S69" s="132" t="s">
        <v>1024</v>
      </c>
      <c r="T69" s="176"/>
      <c r="U69" s="176"/>
      <c r="V69"/>
      <c r="W69" s="24"/>
    </row>
    <row r="70" spans="2:23" ht="38.25">
      <c r="B70" s="293"/>
      <c r="C70" s="293"/>
      <c r="D70" s="176"/>
      <c r="E70" s="176"/>
      <c r="F70" s="176"/>
      <c r="G70" s="176"/>
      <c r="H70" s="176"/>
      <c r="I70" s="176"/>
      <c r="J70" s="176"/>
      <c r="K70" s="176"/>
      <c r="L70" s="250" t="s">
        <v>1025</v>
      </c>
      <c r="M70" s="250"/>
      <c r="N70" s="271"/>
      <c r="O70" s="271"/>
      <c r="P70" s="271"/>
      <c r="Q70" s="271"/>
      <c r="R70" s="75"/>
      <c r="S70" s="75"/>
      <c r="T70" s="176"/>
      <c r="U70" s="176"/>
      <c r="V70"/>
      <c r="W70" s="24"/>
    </row>
    <row r="71" spans="2:23" ht="38.25">
      <c r="B71" s="293"/>
      <c r="C71" s="293"/>
      <c r="D71" s="176"/>
      <c r="E71" s="176"/>
      <c r="F71" s="176"/>
      <c r="G71" s="176"/>
      <c r="H71" s="176"/>
      <c r="I71" s="176"/>
      <c r="J71" s="176"/>
      <c r="K71" s="176"/>
      <c r="M71" s="154"/>
      <c r="T71" s="176"/>
      <c r="U71" s="176"/>
      <c r="V71"/>
      <c r="W71" s="24"/>
    </row>
    <row r="72" spans="2:23" ht="38.25">
      <c r="B72" s="293"/>
      <c r="C72" s="293"/>
      <c r="D72" s="176"/>
      <c r="E72" s="176"/>
      <c r="F72" s="176"/>
      <c r="G72" s="176"/>
      <c r="H72" s="176"/>
      <c r="I72" s="176"/>
      <c r="J72" s="176"/>
      <c r="K72" s="176"/>
      <c r="L72" s="300" t="s">
        <v>75</v>
      </c>
      <c r="M72" s="300"/>
      <c r="T72" s="176"/>
      <c r="U72" s="176"/>
      <c r="V72"/>
      <c r="W72" s="24"/>
    </row>
    <row r="73" spans="2:23" ht="38.25">
      <c r="B73" s="293"/>
      <c r="C73" s="293"/>
      <c r="D73" s="176"/>
      <c r="E73" s="176"/>
      <c r="F73" s="176"/>
      <c r="G73" s="176"/>
      <c r="H73" s="176"/>
      <c r="I73" s="176"/>
      <c r="J73" s="176"/>
      <c r="K73" s="176"/>
      <c r="L73" s="253" t="s">
        <v>1032</v>
      </c>
      <c r="M73" s="253"/>
      <c r="N73" s="299">
        <f>IF(N74="","",N74-378)</f>
        <v>792</v>
      </c>
      <c r="O73" s="299"/>
      <c r="P73" s="253" t="s">
        <v>1026</v>
      </c>
      <c r="Q73" s="253"/>
      <c r="R73" s="133"/>
      <c r="S73" s="133" t="s">
        <v>1035</v>
      </c>
      <c r="T73" s="176"/>
      <c r="U73" s="176"/>
      <c r="V73"/>
      <c r="W73" s="24"/>
    </row>
    <row r="74" spans="2:23" ht="38.25">
      <c r="B74" s="293"/>
      <c r="C74" s="293"/>
      <c r="D74" s="176"/>
      <c r="E74" s="176"/>
      <c r="F74" s="176"/>
      <c r="G74" s="176"/>
      <c r="H74" s="176"/>
      <c r="I74" s="176"/>
      <c r="J74" s="176"/>
      <c r="K74" s="176"/>
      <c r="L74" s="253" t="s">
        <v>1031</v>
      </c>
      <c r="M74" s="253"/>
      <c r="N74" s="299">
        <f>N68+1</f>
        <v>1170</v>
      </c>
      <c r="O74" s="299"/>
      <c r="P74" s="153" t="s">
        <v>1027</v>
      </c>
      <c r="Q74" s="153"/>
      <c r="R74" s="75"/>
      <c r="S74" s="75"/>
      <c r="T74" s="176"/>
      <c r="U74" s="176"/>
      <c r="V74"/>
      <c r="W74" s="24"/>
    </row>
    <row r="75" spans="2:23" ht="38.25">
      <c r="B75" s="293"/>
      <c r="C75" s="293"/>
      <c r="D75" s="176"/>
      <c r="E75" s="176"/>
      <c r="F75" s="176"/>
      <c r="G75" s="176"/>
      <c r="H75" s="176"/>
      <c r="I75" s="176"/>
      <c r="J75" s="176"/>
      <c r="K75" s="176"/>
      <c r="L75" s="298" t="s">
        <v>1028</v>
      </c>
      <c r="M75" s="298"/>
      <c r="N75" s="136" t="s">
        <v>1021</v>
      </c>
      <c r="O75" s="136"/>
      <c r="P75" s="136" t="s">
        <v>1022</v>
      </c>
      <c r="Q75" s="136"/>
      <c r="R75" s="136" t="s">
        <v>1023</v>
      </c>
      <c r="S75" s="136" t="s">
        <v>1024</v>
      </c>
      <c r="T75" s="176"/>
      <c r="U75" s="176"/>
      <c r="V75"/>
      <c r="W75" s="24"/>
    </row>
    <row r="76" spans="2:23" ht="38.25">
      <c r="B76" s="293"/>
      <c r="C76" s="293"/>
      <c r="D76" s="176"/>
      <c r="E76" s="176"/>
      <c r="F76" s="176"/>
      <c r="G76" s="176"/>
      <c r="H76" s="176"/>
      <c r="I76" s="176"/>
      <c r="J76" s="176"/>
      <c r="K76" s="176"/>
      <c r="L76" s="250" t="s">
        <v>1025</v>
      </c>
      <c r="M76" s="250"/>
      <c r="N76" s="271"/>
      <c r="O76" s="271"/>
      <c r="P76" s="271"/>
      <c r="Q76" s="271"/>
      <c r="R76" s="75"/>
      <c r="S76" s="75"/>
      <c r="T76" s="176"/>
      <c r="U76" s="176"/>
      <c r="V76"/>
      <c r="W76" s="24"/>
    </row>
    <row r="77" spans="2:23" ht="38.25">
      <c r="B77" s="293"/>
      <c r="C77" s="293"/>
      <c r="D77" s="176"/>
      <c r="E77" s="176"/>
      <c r="F77" s="176"/>
      <c r="G77" s="176"/>
      <c r="H77" s="176"/>
      <c r="I77" s="176"/>
      <c r="J77" s="176"/>
      <c r="K77" s="176"/>
      <c r="L77" s="230"/>
      <c r="M77" s="230"/>
      <c r="N77" s="230"/>
      <c r="O77" s="230"/>
      <c r="P77" s="230"/>
      <c r="Q77" s="230"/>
      <c r="R77" s="230"/>
      <c r="S77" s="230"/>
      <c r="T77" s="176"/>
      <c r="U77" s="176"/>
      <c r="V77"/>
      <c r="W77" s="24"/>
    </row>
  </sheetData>
  <mergeCells count="447">
    <mergeCell ref="Q21:U21"/>
    <mergeCell ref="Q22:U22"/>
    <mergeCell ref="Q23:U23"/>
    <mergeCell ref="Q24:U24"/>
    <mergeCell ref="Q25:U25"/>
    <mergeCell ref="Q26:U26"/>
    <mergeCell ref="Q27:U27"/>
    <mergeCell ref="Q28:U28"/>
    <mergeCell ref="Q29:U29"/>
    <mergeCell ref="A32:Z38"/>
    <mergeCell ref="Q9:U9"/>
    <mergeCell ref="C29:E29"/>
    <mergeCell ref="C30:E30"/>
    <mergeCell ref="C25:E25"/>
    <mergeCell ref="C26:E26"/>
    <mergeCell ref="C27:E27"/>
    <mergeCell ref="C28:E28"/>
    <mergeCell ref="C21:E21"/>
    <mergeCell ref="V21:V22"/>
    <mergeCell ref="W21:Z22"/>
    <mergeCell ref="C22:E22"/>
    <mergeCell ref="C23:E23"/>
    <mergeCell ref="V23:V24"/>
    <mergeCell ref="W23:Z24"/>
    <mergeCell ref="X20:Z20"/>
    <mergeCell ref="C24:E24"/>
    <mergeCell ref="Q15:U15"/>
    <mergeCell ref="Q10:U10"/>
    <mergeCell ref="Q11:U11"/>
    <mergeCell ref="Q12:U12"/>
    <mergeCell ref="Q13:U13"/>
    <mergeCell ref="Q14:U14"/>
    <mergeCell ref="C19:E19"/>
    <mergeCell ref="A8:A30"/>
    <mergeCell ref="C9:E9"/>
    <mergeCell ref="V9:V10"/>
    <mergeCell ref="W9:Z10"/>
    <mergeCell ref="C10:E10"/>
    <mergeCell ref="C11:E11"/>
    <mergeCell ref="V11:V12"/>
    <mergeCell ref="W11:Z12"/>
    <mergeCell ref="W7:W8"/>
    <mergeCell ref="X7:Z8"/>
    <mergeCell ref="J7:J8"/>
    <mergeCell ref="K7:K8"/>
    <mergeCell ref="C14:E14"/>
    <mergeCell ref="V15:V16"/>
    <mergeCell ref="W15:Z16"/>
    <mergeCell ref="C16:E16"/>
    <mergeCell ref="X14:Z14"/>
    <mergeCell ref="Q16:U16"/>
    <mergeCell ref="Q17:U17"/>
    <mergeCell ref="Q18:U18"/>
    <mergeCell ref="C12:E12"/>
    <mergeCell ref="C13:E13"/>
    <mergeCell ref="Q30:U30"/>
    <mergeCell ref="Q19:U19"/>
    <mergeCell ref="H7:H8"/>
    <mergeCell ref="I7:I8"/>
    <mergeCell ref="V4:W4"/>
    <mergeCell ref="X4:Z4"/>
    <mergeCell ref="V7:V8"/>
    <mergeCell ref="B7:B8"/>
    <mergeCell ref="C7:E8"/>
    <mergeCell ref="F7:F8"/>
    <mergeCell ref="C20:E20"/>
    <mergeCell ref="G7:G8"/>
    <mergeCell ref="C17:E17"/>
    <mergeCell ref="C15:E15"/>
    <mergeCell ref="V17:V18"/>
    <mergeCell ref="W17:Z18"/>
    <mergeCell ref="C18:E18"/>
    <mergeCell ref="M4:N6"/>
    <mergeCell ref="Q20:U20"/>
    <mergeCell ref="C5:D6"/>
    <mergeCell ref="F6:G6"/>
    <mergeCell ref="H6:I6"/>
    <mergeCell ref="J6:K6"/>
    <mergeCell ref="A4:B4"/>
    <mergeCell ref="C4:D4"/>
    <mergeCell ref="E4:E5"/>
    <mergeCell ref="F4:G5"/>
    <mergeCell ref="H4:I5"/>
    <mergeCell ref="J4:K5"/>
    <mergeCell ref="B1:C1"/>
    <mergeCell ref="F1:G1"/>
    <mergeCell ref="H1:I1"/>
    <mergeCell ref="J1:K1"/>
    <mergeCell ref="V2:Y2"/>
    <mergeCell ref="F3:G3"/>
    <mergeCell ref="H3:I3"/>
    <mergeCell ref="J3:K3"/>
    <mergeCell ref="A2:B3"/>
    <mergeCell ref="C2:D3"/>
    <mergeCell ref="F2:G2"/>
    <mergeCell ref="H2:I2"/>
    <mergeCell ref="J2:K2"/>
    <mergeCell ref="M1:N1"/>
    <mergeCell ref="M2:N2"/>
    <mergeCell ref="M3:N3"/>
    <mergeCell ref="L40:M40"/>
    <mergeCell ref="N40:O40"/>
    <mergeCell ref="P40:Q40"/>
    <mergeCell ref="R40:S40"/>
    <mergeCell ref="T40:U40"/>
    <mergeCell ref="B40:C40"/>
    <mergeCell ref="F40:G40"/>
    <mergeCell ref="H40:I40"/>
    <mergeCell ref="J40:K40"/>
    <mergeCell ref="L42:M42"/>
    <mergeCell ref="N42:O42"/>
    <mergeCell ref="P42:Q42"/>
    <mergeCell ref="R42:S42"/>
    <mergeCell ref="T42:U42"/>
    <mergeCell ref="F42:G42"/>
    <mergeCell ref="H42:I42"/>
    <mergeCell ref="J42:K42"/>
    <mergeCell ref="A41:B42"/>
    <mergeCell ref="C41:D42"/>
    <mergeCell ref="L41:M41"/>
    <mergeCell ref="N41:O41"/>
    <mergeCell ref="P41:Q41"/>
    <mergeCell ref="R41:S41"/>
    <mergeCell ref="T41:U41"/>
    <mergeCell ref="F41:G41"/>
    <mergeCell ref="H41:I41"/>
    <mergeCell ref="J41:K41"/>
    <mergeCell ref="L44:M44"/>
    <mergeCell ref="N44:O44"/>
    <mergeCell ref="P44:Q44"/>
    <mergeCell ref="R44:S44"/>
    <mergeCell ref="T44:U44"/>
    <mergeCell ref="B44:C44"/>
    <mergeCell ref="D44:E44"/>
    <mergeCell ref="F44:G44"/>
    <mergeCell ref="H44:I44"/>
    <mergeCell ref="J44:K44"/>
    <mergeCell ref="L45:M45"/>
    <mergeCell ref="N45:O45"/>
    <mergeCell ref="P45:Q45"/>
    <mergeCell ref="R45:S45"/>
    <mergeCell ref="T45:U45"/>
    <mergeCell ref="B45:C45"/>
    <mergeCell ref="D45:E45"/>
    <mergeCell ref="F45:G45"/>
    <mergeCell ref="H45:I45"/>
    <mergeCell ref="J45:K45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L47:M47"/>
    <mergeCell ref="N47:O47"/>
    <mergeCell ref="P47:Q47"/>
    <mergeCell ref="R47:S47"/>
    <mergeCell ref="T47:U47"/>
    <mergeCell ref="B47:C47"/>
    <mergeCell ref="D47:E47"/>
    <mergeCell ref="F47:G47"/>
    <mergeCell ref="H47:I47"/>
    <mergeCell ref="J47:K47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L50:M50"/>
    <mergeCell ref="N50:O50"/>
    <mergeCell ref="P50:Q50"/>
    <mergeCell ref="R50:S50"/>
    <mergeCell ref="T50:U50"/>
    <mergeCell ref="B50:C50"/>
    <mergeCell ref="D50:E50"/>
    <mergeCell ref="F50:G50"/>
    <mergeCell ref="H50:I50"/>
    <mergeCell ref="J50:K50"/>
    <mergeCell ref="L51:M51"/>
    <mergeCell ref="N51:O51"/>
    <mergeCell ref="P51:Q51"/>
    <mergeCell ref="R51:S51"/>
    <mergeCell ref="T51:U51"/>
    <mergeCell ref="B51:C51"/>
    <mergeCell ref="D51:E51"/>
    <mergeCell ref="F51:G51"/>
    <mergeCell ref="H51:I51"/>
    <mergeCell ref="J51:K51"/>
    <mergeCell ref="L52:M52"/>
    <mergeCell ref="N52:O52"/>
    <mergeCell ref="P52:Q52"/>
    <mergeCell ref="R52:S52"/>
    <mergeCell ref="T52:U52"/>
    <mergeCell ref="B52:C52"/>
    <mergeCell ref="D52:E52"/>
    <mergeCell ref="F52:G52"/>
    <mergeCell ref="H52:I52"/>
    <mergeCell ref="J52:K52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L57:M57"/>
    <mergeCell ref="N57:O57"/>
    <mergeCell ref="P57:Q57"/>
    <mergeCell ref="R57:S57"/>
    <mergeCell ref="T57:U57"/>
    <mergeCell ref="B57:C57"/>
    <mergeCell ref="D57:E57"/>
    <mergeCell ref="F57:G57"/>
    <mergeCell ref="H57:I57"/>
    <mergeCell ref="J57:K57"/>
    <mergeCell ref="L58:M58"/>
    <mergeCell ref="N58:O58"/>
    <mergeCell ref="P58:Q58"/>
    <mergeCell ref="R58:S58"/>
    <mergeCell ref="T58:U58"/>
    <mergeCell ref="B58:C58"/>
    <mergeCell ref="D58:E58"/>
    <mergeCell ref="F58:G58"/>
    <mergeCell ref="H58:I58"/>
    <mergeCell ref="J58:K58"/>
    <mergeCell ref="L59:M59"/>
    <mergeCell ref="N59:O59"/>
    <mergeCell ref="P59:Q59"/>
    <mergeCell ref="R59:S59"/>
    <mergeCell ref="T59:U59"/>
    <mergeCell ref="B59:C59"/>
    <mergeCell ref="D59:E59"/>
    <mergeCell ref="F59:G59"/>
    <mergeCell ref="H59:I59"/>
    <mergeCell ref="J59:K59"/>
    <mergeCell ref="L60:M60"/>
    <mergeCell ref="N60:O60"/>
    <mergeCell ref="P60:Q60"/>
    <mergeCell ref="R60:S60"/>
    <mergeCell ref="T60:U60"/>
    <mergeCell ref="B60:C60"/>
    <mergeCell ref="D60:E60"/>
    <mergeCell ref="F60:G60"/>
    <mergeCell ref="H60:I60"/>
    <mergeCell ref="J60:K60"/>
    <mergeCell ref="L61:M61"/>
    <mergeCell ref="N61:O61"/>
    <mergeCell ref="P61:Q61"/>
    <mergeCell ref="R61:S61"/>
    <mergeCell ref="T61:U61"/>
    <mergeCell ref="B61:C61"/>
    <mergeCell ref="D61:E61"/>
    <mergeCell ref="F61:G61"/>
    <mergeCell ref="H61:I61"/>
    <mergeCell ref="J61:K61"/>
    <mergeCell ref="L62:M62"/>
    <mergeCell ref="N62:O62"/>
    <mergeCell ref="P62:Q62"/>
    <mergeCell ref="R62:S62"/>
    <mergeCell ref="T62:U62"/>
    <mergeCell ref="B62:C62"/>
    <mergeCell ref="D62:E62"/>
    <mergeCell ref="F62:G62"/>
    <mergeCell ref="H62:I62"/>
    <mergeCell ref="J62:K62"/>
    <mergeCell ref="L63:M63"/>
    <mergeCell ref="N63:O63"/>
    <mergeCell ref="P63:Q63"/>
    <mergeCell ref="R63:S63"/>
    <mergeCell ref="T63:U63"/>
    <mergeCell ref="B63:C63"/>
    <mergeCell ref="D63:E63"/>
    <mergeCell ref="F63:G63"/>
    <mergeCell ref="H63:I63"/>
    <mergeCell ref="J63:K63"/>
    <mergeCell ref="L64:M64"/>
    <mergeCell ref="N64:O64"/>
    <mergeCell ref="P64:Q64"/>
    <mergeCell ref="R64:S64"/>
    <mergeCell ref="T64:U64"/>
    <mergeCell ref="B64:C64"/>
    <mergeCell ref="D64:E64"/>
    <mergeCell ref="F64:G64"/>
    <mergeCell ref="H64:I64"/>
    <mergeCell ref="J64:K64"/>
    <mergeCell ref="L66:M66"/>
    <mergeCell ref="T66:U66"/>
    <mergeCell ref="B66:C66"/>
    <mergeCell ref="D66:E66"/>
    <mergeCell ref="F66:G66"/>
    <mergeCell ref="H66:I66"/>
    <mergeCell ref="J66:K66"/>
    <mergeCell ref="L65:M65"/>
    <mergeCell ref="N65:O65"/>
    <mergeCell ref="P65:Q65"/>
    <mergeCell ref="R65:S65"/>
    <mergeCell ref="T65:U65"/>
    <mergeCell ref="B65:C65"/>
    <mergeCell ref="D65:E65"/>
    <mergeCell ref="F65:G65"/>
    <mergeCell ref="H65:I65"/>
    <mergeCell ref="J65:K65"/>
    <mergeCell ref="L68:M68"/>
    <mergeCell ref="N68:O68"/>
    <mergeCell ref="T68:U68"/>
    <mergeCell ref="B68:C68"/>
    <mergeCell ref="D68:E68"/>
    <mergeCell ref="F68:G68"/>
    <mergeCell ref="H68:I68"/>
    <mergeCell ref="J68:K68"/>
    <mergeCell ref="L67:M67"/>
    <mergeCell ref="N67:O67"/>
    <mergeCell ref="P67:Q67"/>
    <mergeCell ref="T67:U67"/>
    <mergeCell ref="B67:C67"/>
    <mergeCell ref="D67:E67"/>
    <mergeCell ref="F67:G67"/>
    <mergeCell ref="H67:I67"/>
    <mergeCell ref="J67:K67"/>
    <mergeCell ref="L69:M69"/>
    <mergeCell ref="N69:O69"/>
    <mergeCell ref="P69:Q69"/>
    <mergeCell ref="T69:U69"/>
    <mergeCell ref="B69:C69"/>
    <mergeCell ref="D69:E69"/>
    <mergeCell ref="F69:G69"/>
    <mergeCell ref="H69:I69"/>
    <mergeCell ref="J69:K69"/>
    <mergeCell ref="L72:M72"/>
    <mergeCell ref="T72:U72"/>
    <mergeCell ref="B72:C72"/>
    <mergeCell ref="D72:E72"/>
    <mergeCell ref="F72:G72"/>
    <mergeCell ref="H72:I72"/>
    <mergeCell ref="J72:K72"/>
    <mergeCell ref="W41:Z41"/>
    <mergeCell ref="B43:AB43"/>
    <mergeCell ref="B71:C71"/>
    <mergeCell ref="D71:E71"/>
    <mergeCell ref="F71:G71"/>
    <mergeCell ref="H71:I71"/>
    <mergeCell ref="J71:K71"/>
    <mergeCell ref="T71:U71"/>
    <mergeCell ref="L70:M70"/>
    <mergeCell ref="N70:O70"/>
    <mergeCell ref="P70:Q70"/>
    <mergeCell ref="T70:U70"/>
    <mergeCell ref="B70:C70"/>
    <mergeCell ref="D70:E70"/>
    <mergeCell ref="F70:G70"/>
    <mergeCell ref="H70:I70"/>
    <mergeCell ref="J70:K70"/>
    <mergeCell ref="L73:M73"/>
    <mergeCell ref="N73:O73"/>
    <mergeCell ref="P73:Q73"/>
    <mergeCell ref="T73:U73"/>
    <mergeCell ref="B73:C73"/>
    <mergeCell ref="D73:E73"/>
    <mergeCell ref="F73:G73"/>
    <mergeCell ref="H73:I73"/>
    <mergeCell ref="J73:K73"/>
    <mergeCell ref="L75:M75"/>
    <mergeCell ref="T75:U75"/>
    <mergeCell ref="B75:C75"/>
    <mergeCell ref="D75:E75"/>
    <mergeCell ref="F75:G75"/>
    <mergeCell ref="H75:I75"/>
    <mergeCell ref="J75:K75"/>
    <mergeCell ref="L74:M74"/>
    <mergeCell ref="N74:O74"/>
    <mergeCell ref="T74:U74"/>
    <mergeCell ref="B74:C74"/>
    <mergeCell ref="D74:E74"/>
    <mergeCell ref="F74:G74"/>
    <mergeCell ref="H74:I74"/>
    <mergeCell ref="J74:K74"/>
    <mergeCell ref="L76:M76"/>
    <mergeCell ref="N76:O76"/>
    <mergeCell ref="P76:Q76"/>
    <mergeCell ref="T76:U76"/>
    <mergeCell ref="B76:C76"/>
    <mergeCell ref="D76:E76"/>
    <mergeCell ref="F76:G76"/>
    <mergeCell ref="H76:I76"/>
    <mergeCell ref="J76:K76"/>
    <mergeCell ref="L77:M77"/>
    <mergeCell ref="N77:O77"/>
    <mergeCell ref="P77:Q77"/>
    <mergeCell ref="R77:S77"/>
    <mergeCell ref="T77:U77"/>
    <mergeCell ref="B77:C77"/>
    <mergeCell ref="D77:E77"/>
    <mergeCell ref="F77:G77"/>
    <mergeCell ref="H77:I77"/>
    <mergeCell ref="J77:K77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434D02-BAAD-4947-BBAC-5C5A1FA1E060}">
          <x14:formula1>
            <xm:f>' CADASTRO'!$J$2:$J$993</xm:f>
          </x14:formula1>
          <xm:sqref>F3:K3 F42:U42</xm:sqref>
        </x14:dataValidation>
        <x14:dataValidation type="list" allowBlank="1" showInputMessage="1" showErrorMessage="1" xr:uid="{3616EC47-3321-445B-883D-D8FB54785E7F}">
          <x14:formula1>
            <xm:f>' CADASTRO'!$I$2:$I$993</xm:f>
          </x14:formula1>
          <xm:sqref>F2:K2 F41:U41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A2B-C538-4B91-934F-75BE6F24DA27}">
  <dimension ref="A1:T28"/>
  <sheetViews>
    <sheetView topLeftCell="A12" zoomScale="130" zoomScaleNormal="130" workbookViewId="0">
      <selection activeCell="P20" sqref="P20"/>
    </sheetView>
  </sheetViews>
  <sheetFormatPr defaultRowHeight="14.25"/>
  <cols>
    <col min="1" max="2" width="12.53125" customWidth="1"/>
    <col min="3" max="3" width="7.86328125" style="13" customWidth="1"/>
    <col min="4" max="4" width="11.33203125" style="13" hidden="1" customWidth="1"/>
    <col min="5" max="5" width="11.46484375" style="13" hidden="1" customWidth="1"/>
    <col min="6" max="6" width="11.6640625" style="13" hidden="1" customWidth="1"/>
    <col min="7" max="7" width="11.46484375" style="13" hidden="1" customWidth="1"/>
    <col min="8" max="8" width="12.1328125" style="13" hidden="1" customWidth="1"/>
    <col min="9" max="9" width="17" style="14" customWidth="1"/>
    <col min="10" max="10" width="11.6640625" customWidth="1"/>
    <col min="11" max="11" width="2.86328125" customWidth="1"/>
    <col min="19" max="19" width="10.33203125" style="14" bestFit="1" customWidth="1"/>
  </cols>
  <sheetData>
    <row r="1" spans="1:20">
      <c r="I1" s="60" t="s">
        <v>106</v>
      </c>
      <c r="J1" s="61">
        <f>J4-J2</f>
        <v>315</v>
      </c>
      <c r="S1" s="271" t="s">
        <v>243</v>
      </c>
      <c r="T1" s="271"/>
    </row>
    <row r="2" spans="1:20">
      <c r="I2" s="60" t="s">
        <v>105</v>
      </c>
      <c r="J2" s="60">
        <f>MAX(' CADASTRO'!C745:C894)</f>
        <v>48</v>
      </c>
      <c r="S2" s="40" t="s">
        <v>241</v>
      </c>
      <c r="T2" s="52" t="s">
        <v>242</v>
      </c>
    </row>
    <row r="3" spans="1:20">
      <c r="S3" s="40">
        <v>5</v>
      </c>
      <c r="T3" s="52">
        <v>35</v>
      </c>
    </row>
    <row r="4" spans="1:20">
      <c r="A4" s="52"/>
      <c r="B4" s="52" t="s">
        <v>136</v>
      </c>
      <c r="C4" s="16"/>
      <c r="D4" s="16"/>
      <c r="E4" s="16"/>
      <c r="F4" s="16"/>
      <c r="G4" s="16"/>
      <c r="H4" s="16"/>
      <c r="I4" s="40" t="s">
        <v>137</v>
      </c>
      <c r="J4" s="59">
        <f>SUM(J5:J28)</f>
        <v>363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</row>
    <row r="5" spans="1:20">
      <c r="A5" s="52" t="s">
        <v>138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0" si="1">G5+1</f>
        <v>45738</v>
      </c>
      <c r="I5" s="55">
        <f t="shared" ref="I5:I28" si="2">B5+C5</f>
        <v>45739</v>
      </c>
      <c r="J5" s="56">
        <f>COUNTIFS(' CADASTRO'!$B$2:$B$994,'PRODUÇÃO SEMANA'!B5)+COUNTIFS(' CADASTRO'!$B$2:$B$994,D5)+COUNTIFS(' CADASTRO'!$B$2:$B$994,E5)+COUNTIFS(' CADASTRO'!$B$2:$B$994,F5)+COUNTIFS(' CADASTRO'!$B$2:$B$994,G5)+COUNTIFS(' CADASTRO'!$B$2:$B$994,H5)+COUNTIFS(' CADASTRO'!$B$2:$B$994,I5)</f>
        <v>8</v>
      </c>
      <c r="L5" s="40">
        <f>IF(B5="","",COUNTIFS(' CADASTRO'!$B$2:$B$994,'PRODUÇÃO SEMANA'!B5))</f>
        <v>8</v>
      </c>
      <c r="M5" s="40">
        <f>IF(D5=0,"",COUNTIFS(' CADASTRO'!$B$2:B$994,'PRODUÇÃO SEMANA'!D5))</f>
        <v>0</v>
      </c>
      <c r="N5" s="40">
        <f>COUNTIFS(' CADASTRO'!$B$2:B$994,'PRODUÇÃO SEMANA'!E5)</f>
        <v>0</v>
      </c>
      <c r="O5" s="40">
        <f>COUNTIFS(' CADASTRO'!$B$2:B$994,'PRODUÇÃO SEMANA'!F5)</f>
        <v>0</v>
      </c>
      <c r="P5" s="40">
        <f>COUNTIFS(' CADASTRO'!$B$2:B$994,'PRODUÇÃO SEMANA'!G5)</f>
        <v>0</v>
      </c>
      <c r="Q5" s="40">
        <f>COUNTIFS(' CADASTRO'!$B$2:B$994,'PRODUÇÃO SEMANA'!H5)</f>
        <v>0</v>
      </c>
      <c r="R5" s="40">
        <f>COUNTIFS(' CADASTRO'!$B$2:B$994,'PRODUÇÃO SEMANA'!I5)</f>
        <v>0</v>
      </c>
      <c r="S5" s="103">
        <f>SUM(L5:Q5)/($S$3+$T$3)</f>
        <v>0.2</v>
      </c>
    </row>
    <row r="6" spans="1:20">
      <c r="A6" s="52" t="s">
        <v>139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6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CADASTRO'!$B$2:$B$994,'PRODUÇÃO SEMANA'!B6)+COUNTIFS(' CADASTRO'!$B$2:$B$994,D6)+COUNTIFS(' CADASTRO'!$B$2:$B$994,E6)+COUNTIFS(' CADASTRO'!$B$2:$B$994,F6)+COUNTIFS(' CADASTRO'!$B$2:$B$994,G6)+COUNTIFS(' CADASTRO'!$B$2:$B$994,H6)+COUNTIFS(' CADASTRO'!$B$2:$B$994,I6)</f>
        <v>32</v>
      </c>
      <c r="L6" s="40">
        <f>IF(B6="","",COUNTIFS(' CADASTRO'!$B$2:$B$994,'PRODUÇÃO SEMANA'!B6))</f>
        <v>0</v>
      </c>
      <c r="M6" s="40">
        <f>IF(D6=0,"",COUNTIFS(' CADASTRO'!$B$2:B$994,'PRODUÇÃO SEMANA'!D6))</f>
        <v>8</v>
      </c>
      <c r="N6" s="40">
        <f>COUNTIFS(' CADASTRO'!$B$2:B$994,'PRODUÇÃO SEMANA'!E6)</f>
        <v>8</v>
      </c>
      <c r="O6" s="40">
        <f>COUNTIFS(' CADASTRO'!$B$2:B$994,'PRODUÇÃO SEMANA'!F6)</f>
        <v>8</v>
      </c>
      <c r="P6" s="40">
        <f>COUNTIFS(' CADASTRO'!$B$2:B$994,'PRODUÇÃO SEMANA'!G6)</f>
        <v>8</v>
      </c>
      <c r="Q6" s="40">
        <f>COUNTIFS(' CADASTRO'!$B$2:B$994,'PRODUÇÃO SEMANA'!H6)</f>
        <v>0</v>
      </c>
      <c r="R6" s="40">
        <f>COUNTIFS(' CADASTRO'!$B$2:B$994,'PRODUÇÃO SEMANA'!I6)</f>
        <v>0</v>
      </c>
      <c r="S6" s="103">
        <f t="shared" ref="S6:S28" si="5">SUM(L6:Q6)/($S$3+$T$3)</f>
        <v>0.8</v>
      </c>
    </row>
    <row r="7" spans="1:20">
      <c r="A7" s="52" t="s">
        <v>140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ref="E7:G7" si="7">D7+1</f>
        <v>45749</v>
      </c>
      <c r="F7" s="53">
        <f t="shared" si="7"/>
        <v>45750</v>
      </c>
      <c r="G7" s="53">
        <f t="shared" si="7"/>
        <v>45751</v>
      </c>
      <c r="H7" s="53">
        <f t="shared" si="1"/>
        <v>45752</v>
      </c>
      <c r="I7" s="55">
        <f t="shared" si="2"/>
        <v>45753</v>
      </c>
      <c r="J7" s="56">
        <f>COUNTIFS(' CADASTRO'!$B$2:$B$994,'PRODUÇÃO SEMANA'!B7)+COUNTIFS(' CADASTRO'!$B$2:$B$994,D7)+COUNTIFS(' CADASTRO'!$B$2:$B$994,E7)+COUNTIFS(' CADASTRO'!$B$2:$B$994,F7)+COUNTIFS(' CADASTRO'!$B$2:$B$994,G7)+COUNTIFS(' CADASTRO'!$B$2:$B$994,H7)+COUNTIFS(' CADASTRO'!$B$2:$B$994,I7)</f>
        <v>32</v>
      </c>
      <c r="L7" s="40">
        <f>IF(B7="","",COUNTIFS(' CADASTRO'!$B$2:$B$994,'PRODUÇÃO SEMANA'!B7))</f>
        <v>8</v>
      </c>
      <c r="M7" s="40">
        <f>IF(D7=0,"",COUNTIFS(' CADASTRO'!$B$2:B$994,'PRODUÇÃO SEMANA'!D7))</f>
        <v>0</v>
      </c>
      <c r="N7" s="40">
        <f>COUNTIFS(' CADASTRO'!$B$2:B$994,'PRODUÇÃO SEMANA'!E7)</f>
        <v>8</v>
      </c>
      <c r="O7" s="40">
        <f>COUNTIFS(' CADASTRO'!$B$2:B$994,'PRODUÇÃO SEMANA'!F7)</f>
        <v>8</v>
      </c>
      <c r="P7" s="40">
        <f>COUNTIFS(' CADASTRO'!$B$2:B$994,'PRODUÇÃO SEMANA'!G7)</f>
        <v>0</v>
      </c>
      <c r="Q7" s="40">
        <f>COUNTIFS(' CADASTRO'!$B$2:B$994,'PRODUÇÃO SEMANA'!H7)</f>
        <v>8</v>
      </c>
      <c r="R7" s="40">
        <f>COUNTIFS(' CADASTRO'!$B$2:B$994,'PRODUÇÃO SEMANA'!I7)</f>
        <v>0</v>
      </c>
      <c r="S7" s="103">
        <f t="shared" si="5"/>
        <v>0.8</v>
      </c>
    </row>
    <row r="8" spans="1:20">
      <c r="A8" s="52" t="s">
        <v>141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ref="E8:G8" si="8">D8+1</f>
        <v>45756</v>
      </c>
      <c r="F8" s="53">
        <f t="shared" si="8"/>
        <v>45757</v>
      </c>
      <c r="G8" s="53">
        <f t="shared" si="8"/>
        <v>45758</v>
      </c>
      <c r="H8" s="53">
        <f t="shared" si="1"/>
        <v>45759</v>
      </c>
      <c r="I8" s="55">
        <f t="shared" si="2"/>
        <v>45760</v>
      </c>
      <c r="J8" s="56">
        <f>COUNTIFS(' CADASTRO'!$B$2:$B$994,'PRODUÇÃO SEMANA'!B8)+COUNTIFS(' CADASTRO'!$B$2:$B$994,D8)+COUNTIFS(' CADASTRO'!$B$2:$B$994,E8)+COUNTIFS(' CADASTRO'!$B$2:$B$994,F8)+COUNTIFS(' CADASTRO'!$B$2:$B$994,G8)+COUNTIFS(' CADASTRO'!$B$2:$B$994,H8)+COUNTIFS(' CADASTRO'!$B$2:$B$994,I8)</f>
        <v>32</v>
      </c>
      <c r="L8" s="40">
        <f>IF(B8="","",COUNTIFS(' CADASTRO'!$B$2:$B$994,'PRODUÇÃO SEMANA'!B8))</f>
        <v>8</v>
      </c>
      <c r="M8" s="40">
        <f>IF(D8=0,"",COUNTIFS(' CADASTRO'!$B$2:B$994,'PRODUÇÃO SEMANA'!D8))</f>
        <v>8</v>
      </c>
      <c r="N8" s="40">
        <f>COUNTIFS(' CADASTRO'!$B$2:B$994,'PRODUÇÃO SEMANA'!E8)</f>
        <v>0</v>
      </c>
      <c r="O8" s="40">
        <f>COUNTIFS(' CADASTRO'!$B$2:B$994,'PRODUÇÃO SEMANA'!F8)</f>
        <v>8</v>
      </c>
      <c r="P8" s="40">
        <f>COUNTIFS(' CADASTRO'!$B$2:B$994,'PRODUÇÃO SEMANA'!G8)</f>
        <v>8</v>
      </c>
      <c r="Q8" s="40">
        <f>COUNTIFS(' CADASTRO'!$B$2:B$994,'PRODUÇÃO SEMANA'!H8)</f>
        <v>0</v>
      </c>
      <c r="R8" s="40">
        <f>COUNTIFS(' CADASTRO'!$B$2:B$994,'PRODUÇÃO SEMANA'!I8)</f>
        <v>0</v>
      </c>
      <c r="S8" s="103">
        <f t="shared" si="5"/>
        <v>0.8</v>
      </c>
    </row>
    <row r="9" spans="1:20">
      <c r="A9" s="52" t="s">
        <v>142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ref="E9:G9" si="9">D9+1</f>
        <v>45763</v>
      </c>
      <c r="F9" s="53">
        <f t="shared" si="9"/>
        <v>45764</v>
      </c>
      <c r="G9" s="53">
        <f t="shared" si="9"/>
        <v>45765</v>
      </c>
      <c r="H9" s="53">
        <f t="shared" si="1"/>
        <v>45766</v>
      </c>
      <c r="I9" s="55">
        <f t="shared" si="2"/>
        <v>45767</v>
      </c>
      <c r="J9" s="56">
        <f>COUNTIFS(' CADASTRO'!$B$2:$B$994,'PRODUÇÃO SEMANA'!B9)+COUNTIFS(' CADASTRO'!$B$2:$B$994,D9)+COUNTIFS(' CADASTRO'!$B$2:$B$994,E9)+COUNTIFS(' CADASTRO'!$B$2:$B$994,F9)+COUNTIFS(' CADASTRO'!$B$2:$B$994,G9)+COUNTIFS(' CADASTRO'!$B$2:$B$994,H9)+COUNTIFS(' CADASTRO'!$B$2:$B$994,I9)</f>
        <v>31</v>
      </c>
      <c r="L9" s="40">
        <f>IF(B9="","",COUNTIFS(' CADASTRO'!$B$2:$B$994,'PRODUÇÃO SEMANA'!B9))</f>
        <v>7</v>
      </c>
      <c r="M9" s="40">
        <f>IF(D9=0,"",COUNTIFS(' CADASTRO'!$B$2:B$994,'PRODUÇÃO SEMANA'!D9))</f>
        <v>8</v>
      </c>
      <c r="N9" s="40">
        <f>COUNTIFS(' CADASTRO'!$B$2:B$994,'PRODUÇÃO SEMANA'!E9)</f>
        <v>0</v>
      </c>
      <c r="O9" s="40">
        <f>COUNTIFS(' CADASTRO'!$B$2:B$994,'PRODUÇÃO SEMANA'!F9)</f>
        <v>16</v>
      </c>
      <c r="P9" s="40">
        <f>COUNTIFS(' CADASTRO'!$B$2:B$994,'PRODUÇÃO SEMANA'!G9)</f>
        <v>0</v>
      </c>
      <c r="Q9" s="40">
        <f>COUNTIFS(' CADASTRO'!$B$2:B$994,'PRODUÇÃO SEMANA'!H9)</f>
        <v>0</v>
      </c>
      <c r="R9" s="40">
        <f>COUNTIFS(' CADASTRO'!$B$2:B$994,'PRODUÇÃO SEMANA'!I9)</f>
        <v>0</v>
      </c>
      <c r="S9" s="103">
        <f t="shared" si="5"/>
        <v>0.77500000000000002</v>
      </c>
    </row>
    <row r="10" spans="1:20">
      <c r="A10" s="52" t="s">
        <v>143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ref="E10:G10" si="10">D10+1</f>
        <v>45770</v>
      </c>
      <c r="F10" s="53">
        <f t="shared" si="10"/>
        <v>45771</v>
      </c>
      <c r="G10" s="53">
        <f t="shared" si="10"/>
        <v>45772</v>
      </c>
      <c r="H10" s="53">
        <f t="shared" si="1"/>
        <v>45773</v>
      </c>
      <c r="I10" s="55">
        <f t="shared" si="2"/>
        <v>45774</v>
      </c>
      <c r="J10" s="56">
        <f>COUNTIFS(' CADASTRO'!$B$2:$B$994,'PRODUÇÃO SEMANA'!B10)+COUNTIFS(' CADASTRO'!$B$2:$B$994,D10)+COUNTIFS(' CADASTRO'!$B$2:$B$994,E10)+COUNTIFS(' CADASTRO'!$B$2:$B$994,F10)+COUNTIFS(' CADASTRO'!$B$2:$B$994,G10)+COUNTIFS(' CADASTRO'!$B$2:$B$994,H10)+COUNTIFS(' CADASTRO'!$B$2:$B$994,I10)</f>
        <v>24</v>
      </c>
      <c r="L10" s="40">
        <f>IF(B10="","",COUNTIFS(' CADASTRO'!$B$2:$B$994,'PRODUÇÃO SEMANA'!B10))</f>
        <v>0</v>
      </c>
      <c r="M10" s="40">
        <f>IF(D10=0,"",COUNTIFS(' CADASTRO'!$B$2:B$994,'PRODUÇÃO SEMANA'!D10))</f>
        <v>0</v>
      </c>
      <c r="N10" s="40">
        <f>COUNTIFS(' CADASTRO'!$B$2:B$994,'PRODUÇÃO SEMANA'!E10)</f>
        <v>8</v>
      </c>
      <c r="O10" s="40">
        <f>COUNTIFS(' CADASTRO'!$B$2:B$994,'PRODUÇÃO SEMANA'!F10)</f>
        <v>8</v>
      </c>
      <c r="P10" s="40">
        <f>COUNTIFS(' CADASTRO'!$B$2:B$994,'PRODUÇÃO SEMANA'!G10)</f>
        <v>0</v>
      </c>
      <c r="Q10" s="40">
        <f>COUNTIFS(' CADASTRO'!$B$2:B$994,'PRODUÇÃO SEMANA'!H10)</f>
        <v>8</v>
      </c>
      <c r="R10" s="40">
        <f>COUNTIFS(' CADASTRO'!$B$2:B$994,'PRODUÇÃO SEMANA'!I10)</f>
        <v>0</v>
      </c>
      <c r="S10" s="103">
        <f t="shared" si="5"/>
        <v>0.6</v>
      </c>
    </row>
    <row r="11" spans="1:20">
      <c r="A11" s="52" t="s">
        <v>144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ref="E11:G11" si="11">D11+1</f>
        <v>45777</v>
      </c>
      <c r="F11" s="53">
        <f t="shared" si="11"/>
        <v>45778</v>
      </c>
      <c r="G11" s="53">
        <f t="shared" si="11"/>
        <v>45779</v>
      </c>
      <c r="H11" s="53">
        <f t="shared" si="1"/>
        <v>45780</v>
      </c>
      <c r="I11" s="55">
        <f t="shared" si="2"/>
        <v>45781</v>
      </c>
      <c r="J11" s="56">
        <f>COUNTIFS(' CADASTRO'!$B$2:$B$994,'PRODUÇÃO SEMANA'!B11)+COUNTIFS(' CADASTRO'!$B$2:$B$994,D11)+COUNTIFS(' CADASTRO'!$B$2:$B$994,E11)+COUNTIFS(' CADASTRO'!$B$2:$B$994,F11)+COUNTIFS(' CADASTRO'!$B$2:$B$994,G11)+COUNTIFS(' CADASTRO'!$B$2:$B$994,H11)+COUNTIFS(' CADASTRO'!$B$2:$B$994,I11)</f>
        <v>24</v>
      </c>
      <c r="L11" s="40">
        <f>IF(B11="","",COUNTIFS(' CADASTRO'!$B$2:$B$994,'PRODUÇÃO SEMANA'!B11))</f>
        <v>0</v>
      </c>
      <c r="M11" s="40">
        <f>IF(D11=0,"",COUNTIFS(' CADASTRO'!$B$2:B$994,'PRODUÇÃO SEMANA'!D11))</f>
        <v>8</v>
      </c>
      <c r="N11" s="40">
        <f>COUNTIFS(' CADASTRO'!$B$2:B$994,'PRODUÇÃO SEMANA'!E11)</f>
        <v>8</v>
      </c>
      <c r="O11" s="40">
        <f>COUNTIFS(' CADASTRO'!$B$2:B$994,'PRODUÇÃO SEMANA'!F11)</f>
        <v>0</v>
      </c>
      <c r="P11" s="40">
        <f>COUNTIFS(' CADASTRO'!$B$2:B$994,'PRODUÇÃO SEMANA'!G11)</f>
        <v>0</v>
      </c>
      <c r="Q11" s="40">
        <f>COUNTIFS(' CADASTRO'!$B$2:B$994,'PRODUÇÃO SEMANA'!H11)</f>
        <v>8</v>
      </c>
      <c r="R11" s="40">
        <f>COUNTIFS(' CADASTRO'!$B$2:B$994,'PRODUÇÃO SEMANA'!I11)</f>
        <v>0</v>
      </c>
      <c r="S11" s="103">
        <f t="shared" si="5"/>
        <v>0.6</v>
      </c>
    </row>
    <row r="12" spans="1:20">
      <c r="A12" s="52" t="s">
        <v>145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ref="E12:G12" si="12">D12+1</f>
        <v>45784</v>
      </c>
      <c r="F12" s="53">
        <f t="shared" si="12"/>
        <v>45785</v>
      </c>
      <c r="G12" s="53">
        <f t="shared" si="12"/>
        <v>45786</v>
      </c>
      <c r="H12" s="53">
        <f t="shared" si="1"/>
        <v>45787</v>
      </c>
      <c r="I12" s="55">
        <f t="shared" si="2"/>
        <v>45788</v>
      </c>
      <c r="J12" s="56">
        <f>COUNTIFS(' CADASTRO'!$B$2:$B$994,'PRODUÇÃO SEMANA'!B12)+COUNTIFS(' CADASTRO'!$B$2:$B$994,D12)+COUNTIFS(' CADASTRO'!$B$2:$B$994,E12)+COUNTIFS(' CADASTRO'!$B$2:$B$994,F12)+COUNTIFS(' CADASTRO'!$B$2:$B$994,G12)+COUNTIFS(' CADASTRO'!$B$2:$B$994,H12)+COUNTIFS(' CADASTRO'!$B$2:$B$994,I12)</f>
        <v>32</v>
      </c>
      <c r="L12" s="40">
        <f>IF(B12="","",COUNTIFS(' CADASTRO'!$B$2:$B$994,'PRODUÇÃO SEMANA'!B12))</f>
        <v>8</v>
      </c>
      <c r="M12" s="40">
        <f>IF(D12=0,"",COUNTIFS(' CADASTRO'!$B$2:B$994,'PRODUÇÃO SEMANA'!D12))</f>
        <v>8</v>
      </c>
      <c r="N12" s="40">
        <f>COUNTIFS(' CADASTRO'!$B$2:B$994,'PRODUÇÃO SEMANA'!E12)</f>
        <v>0</v>
      </c>
      <c r="O12" s="40">
        <f>COUNTIFS(' CADASTRO'!$B$2:B$994,'PRODUÇÃO SEMANA'!F12)</f>
        <v>8</v>
      </c>
      <c r="P12" s="40">
        <f>COUNTIFS(' CADASTRO'!$B$2:B$994,'PRODUÇÃO SEMANA'!G12)</f>
        <v>8</v>
      </c>
      <c r="Q12" s="40">
        <f>COUNTIFS(' CADASTRO'!$B$2:B$994,'PRODUÇÃO SEMANA'!H12)</f>
        <v>0</v>
      </c>
      <c r="R12" s="40">
        <f>COUNTIFS(' CADASTRO'!$B$2:B$994,'PRODUÇÃO SEMANA'!I12)</f>
        <v>0</v>
      </c>
      <c r="S12" s="103">
        <f>SUM(L12:Q12)/($S$3+$T$3)</f>
        <v>0.8</v>
      </c>
    </row>
    <row r="13" spans="1:20">
      <c r="A13" s="52" t="s">
        <v>146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ref="E13:G13" si="13">D13+1</f>
        <v>45791</v>
      </c>
      <c r="F13" s="53">
        <f t="shared" si="13"/>
        <v>45792</v>
      </c>
      <c r="G13" s="53">
        <f t="shared" si="13"/>
        <v>45793</v>
      </c>
      <c r="H13" s="53">
        <f t="shared" si="1"/>
        <v>45794</v>
      </c>
      <c r="I13" s="55">
        <f t="shared" si="2"/>
        <v>45795</v>
      </c>
      <c r="J13" s="56">
        <f>COUNTIFS(' CADASTRO'!$B$2:$B$994,'PRODUÇÃO SEMANA'!B13)+COUNTIFS(' CADASTRO'!$B$2:$B$994,D13)+COUNTIFS(' CADASTRO'!$B$2:$B$994,E13)+COUNTIFS(' CADASTRO'!$B$2:$B$994,F13)+COUNTIFS(' CADASTRO'!$B$2:$B$994,G13)+COUNTIFS(' CADASTRO'!$B$2:$B$994,H13)+COUNTIFS(' CADASTRO'!$B$2:$B$994,I13)</f>
        <v>8</v>
      </c>
      <c r="L13" s="40">
        <f>IF(B13="","",COUNTIFS(' CADASTRO'!$B$2:$B$994,'PRODUÇÃO SEMANA'!B13))</f>
        <v>8</v>
      </c>
      <c r="M13" s="40">
        <f>IF(D13=0,"",COUNTIFS(' CADASTRO'!$B$2:B$994,'PRODUÇÃO SEMANA'!D13))</f>
        <v>0</v>
      </c>
      <c r="N13" s="40">
        <f>COUNTIFS(' CADASTRO'!$B$2:B$994,'PRODUÇÃO SEMANA'!E13)</f>
        <v>0</v>
      </c>
      <c r="O13" s="40">
        <f>COUNTIFS(' CADASTRO'!$B$2:B$994,'PRODUÇÃO SEMANA'!F13)</f>
        <v>0</v>
      </c>
      <c r="P13" s="40">
        <f>COUNTIFS(' CADASTRO'!$B$2:B$994,'PRODUÇÃO SEMANA'!G13)</f>
        <v>0</v>
      </c>
      <c r="Q13" s="40">
        <f>COUNTIFS(' CADASTRO'!$B$2:B$994,'PRODUÇÃO SEMANA'!H13)</f>
        <v>0</v>
      </c>
      <c r="R13" s="40">
        <f>COUNTIFS(' CADASTRO'!$B$2:B$994,'PRODUÇÃO SEMANA'!I13)</f>
        <v>0</v>
      </c>
      <c r="S13" s="103">
        <f t="shared" si="5"/>
        <v>0.2</v>
      </c>
    </row>
    <row r="14" spans="1:20">
      <c r="A14" s="52" t="s">
        <v>147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ref="E14:G14" si="14">D14+1</f>
        <v>45798</v>
      </c>
      <c r="F14" s="53">
        <f t="shared" si="14"/>
        <v>45799</v>
      </c>
      <c r="G14" s="53">
        <f t="shared" si="14"/>
        <v>45800</v>
      </c>
      <c r="H14" s="53">
        <f t="shared" si="1"/>
        <v>45801</v>
      </c>
      <c r="I14" s="55">
        <f t="shared" si="2"/>
        <v>45802</v>
      </c>
      <c r="J14" s="56">
        <f>COUNTIFS(' CADASTRO'!$B$2:$B$994,'PRODUÇÃO SEMANA'!B14)+COUNTIFS(' CADASTRO'!$B$2:$B$994,D14)+COUNTIFS(' CADASTRO'!$B$2:$B$994,E14)+COUNTIFS(' CADASTRO'!$B$2:$B$994,F14)+COUNTIFS(' CADASTRO'!$B$2:$B$994,G14)+COUNTIFS(' CADASTRO'!$B$2:$B$994,H14)+COUNTIFS(' CADASTRO'!$B$2:$B$994,I14)</f>
        <v>4</v>
      </c>
      <c r="L14" s="40">
        <f>IF(B14="","",COUNTIFS(' CADASTRO'!$B$2:$B$994,'PRODUÇÃO SEMANA'!B14))</f>
        <v>0</v>
      </c>
      <c r="M14" s="40">
        <f>IF(D14=0,"",COUNTIFS(' CADASTRO'!$B$2:B$994,'PRODUÇÃO SEMANA'!D14))</f>
        <v>2</v>
      </c>
      <c r="N14" s="40">
        <f>COUNTIFS(' CADASTRO'!$B$2:B$994,'PRODUÇÃO SEMANA'!E14)</f>
        <v>0</v>
      </c>
      <c r="O14" s="40">
        <f>COUNTIFS(' CADASTRO'!$B$2:B$994,'PRODUÇÃO SEMANA'!F14)</f>
        <v>0</v>
      </c>
      <c r="P14" s="40">
        <f>COUNTIFS(' CADASTRO'!$B$2:B$994,'PRODUÇÃO SEMANA'!G14)</f>
        <v>2</v>
      </c>
      <c r="Q14" s="40">
        <f>COUNTIFS(' CADASTRO'!$B$2:B$994,'PRODUÇÃO SEMANA'!H14)</f>
        <v>0</v>
      </c>
      <c r="R14" s="40">
        <f>COUNTIFS(' CADASTRO'!$B$2:B$994,'PRODUÇÃO SEMANA'!I14)</f>
        <v>0</v>
      </c>
      <c r="S14" s="103">
        <f t="shared" si="5"/>
        <v>0.1</v>
      </c>
    </row>
    <row r="15" spans="1:20">
      <c r="A15" s="52" t="s">
        <v>148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ref="E15:G15" si="15">D15+1</f>
        <v>45805</v>
      </c>
      <c r="F15" s="53">
        <f t="shared" si="15"/>
        <v>45806</v>
      </c>
      <c r="G15" s="53">
        <f t="shared" si="15"/>
        <v>45807</v>
      </c>
      <c r="H15" s="53">
        <f t="shared" si="1"/>
        <v>45808</v>
      </c>
      <c r="I15" s="55">
        <f t="shared" si="2"/>
        <v>45809</v>
      </c>
      <c r="J15" s="56">
        <f>COUNTIFS(' CADASTRO'!$B$2:$B$994,'PRODUÇÃO SEMANA'!B15)+COUNTIFS(' CADASTRO'!$B$2:$B$994,D15)+COUNTIFS(' CADASTRO'!$B$2:$B$994,E15)+COUNTIFS(' CADASTRO'!$B$2:$B$994,F15)+COUNTIFS(' CADASTRO'!$B$2:$B$994,G15)+COUNTIFS(' CADASTRO'!$B$2:$B$994,H15)+COUNTIFS(' CADASTRO'!$B$2:$B$994,I15)</f>
        <v>8</v>
      </c>
      <c r="L15" s="40">
        <f>IF(B15="","",COUNTIFS(' CADASTRO'!$B$2:$B$994,'PRODUÇÃO SEMANA'!B15))</f>
        <v>0</v>
      </c>
      <c r="M15" s="40">
        <f>IF(D15=0,"",COUNTIFS(' CADASTRO'!$B$2:B$994,'PRODUÇÃO SEMANA'!D15))</f>
        <v>0</v>
      </c>
      <c r="N15" s="40">
        <f>COUNTIFS(' CADASTRO'!$B$2:B$994,'PRODUÇÃO SEMANA'!E15)</f>
        <v>0</v>
      </c>
      <c r="O15" s="40">
        <f>COUNTIFS(' CADASTRO'!$B$2:B$994,'PRODUÇÃO SEMANA'!F15)</f>
        <v>8</v>
      </c>
      <c r="P15" s="40">
        <f>COUNTIFS(' CADASTRO'!$B$2:B$994,'PRODUÇÃO SEMANA'!G15)</f>
        <v>0</v>
      </c>
      <c r="Q15" s="40">
        <f>COUNTIFS(' CADASTRO'!$B$2:B$994,'PRODUÇÃO SEMANA'!H15)</f>
        <v>0</v>
      </c>
      <c r="R15" s="40">
        <f>COUNTIFS(' CADASTRO'!$B$2:B$994,'PRODUÇÃO SEMANA'!I15)</f>
        <v>0</v>
      </c>
      <c r="S15" s="103">
        <f t="shared" si="5"/>
        <v>0.2</v>
      </c>
    </row>
    <row r="16" spans="1:20">
      <c r="A16" s="52" t="s">
        <v>149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ref="E16:G16" si="16">D16+1</f>
        <v>45812</v>
      </c>
      <c r="F16" s="53">
        <f t="shared" si="16"/>
        <v>45813</v>
      </c>
      <c r="G16" s="53">
        <f t="shared" si="16"/>
        <v>45814</v>
      </c>
      <c r="H16" s="53">
        <f t="shared" si="1"/>
        <v>45815</v>
      </c>
      <c r="I16" s="55">
        <f t="shared" si="2"/>
        <v>45816</v>
      </c>
      <c r="J16" s="56">
        <f>COUNTIFS(' CADASTRO'!$B$2:$B$994,'PRODUÇÃO SEMANA'!B16)+COUNTIFS(' CADASTRO'!$B$2:$B$994,D16)+COUNTIFS(' CADASTRO'!$B$2:$B$994,E16)+COUNTIFS(' CADASTRO'!$B$2:$B$994,F16)+COUNTIFS(' CADASTRO'!$B$2:$B$994,G16)+COUNTIFS(' CADASTRO'!$B$2:$B$994,H16)+COUNTIFS(' CADASTRO'!$B$2:$B$994,I16)</f>
        <v>10</v>
      </c>
      <c r="L16" s="40">
        <f>IF(B16="","",COUNTIFS(' CADASTRO'!$B$2:$B$994,'PRODUÇÃO SEMANA'!B16))</f>
        <v>0</v>
      </c>
      <c r="M16" s="40">
        <f>IF(D16=0,"",COUNTIFS(' CADASTRO'!$B$2:B$994,'PRODUÇÃO SEMANA'!D16))</f>
        <v>0</v>
      </c>
      <c r="N16" s="40">
        <f>COUNTIFS(' CADASTRO'!$B$2:B$994,'PRODUÇÃO SEMANA'!E16)</f>
        <v>8</v>
      </c>
      <c r="O16" s="40">
        <f>COUNTIFS(' CADASTRO'!$B$2:B$994,'PRODUÇÃO SEMANA'!F16)</f>
        <v>0</v>
      </c>
      <c r="P16" s="40">
        <f>COUNTIFS(' CADASTRO'!$B$2:B$994,'PRODUÇÃO SEMANA'!G16)</f>
        <v>2</v>
      </c>
      <c r="Q16" s="40">
        <f>COUNTIFS(' CADASTRO'!$B$2:B$994,'PRODUÇÃO SEMANA'!H16)</f>
        <v>0</v>
      </c>
      <c r="R16" s="40">
        <f>COUNTIFS(' CADASTRO'!$B$2:B$994,'PRODUÇÃO SEMANA'!I16)</f>
        <v>0</v>
      </c>
      <c r="S16" s="103">
        <f t="shared" si="5"/>
        <v>0.25</v>
      </c>
    </row>
    <row r="17" spans="1:19">
      <c r="A17" s="52" t="s">
        <v>150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ref="E17:G17" si="17">D17+1</f>
        <v>45819</v>
      </c>
      <c r="F17" s="53">
        <f t="shared" si="17"/>
        <v>45820</v>
      </c>
      <c r="G17" s="53">
        <f t="shared" si="17"/>
        <v>45821</v>
      </c>
      <c r="H17" s="53">
        <f t="shared" si="1"/>
        <v>45822</v>
      </c>
      <c r="I17" s="55">
        <f t="shared" si="2"/>
        <v>45823</v>
      </c>
      <c r="J17" s="56">
        <f>COUNTIFS(' CADASTRO'!$B$2:$B$994,'PRODUÇÃO SEMANA'!B17)+COUNTIFS(' CADASTRO'!$B$2:$B$994,D17)+COUNTIFS(' CADASTRO'!$B$2:$B$994,E17)+COUNTIFS(' CADASTRO'!$B$2:$B$994,F17)+COUNTIFS(' CADASTRO'!$B$2:$B$994,G17)+COUNTIFS(' CADASTRO'!$B$2:$B$994,H17)+COUNTIFS(' CADASTRO'!$B$2:$B$994,I17)</f>
        <v>16</v>
      </c>
      <c r="L17" s="40">
        <f>IF(B17="","",COUNTIFS(' CADASTRO'!$B$2:$B$994,'PRODUÇÃO SEMANA'!B17))</f>
        <v>0</v>
      </c>
      <c r="M17" s="40">
        <f>IF(D17=0,"",COUNTIFS(' CADASTRO'!$B$2:B$994,'PRODUÇÃO SEMANA'!D17))</f>
        <v>8</v>
      </c>
      <c r="N17" s="40">
        <f>COUNTIFS(' CADASTRO'!$B$2:B$994,'PRODUÇÃO SEMANA'!E17)</f>
        <v>0</v>
      </c>
      <c r="O17" s="40">
        <f>COUNTIFS(' CADASTRO'!$B$2:B$994,'PRODUÇÃO SEMANA'!F17)</f>
        <v>0</v>
      </c>
      <c r="P17" s="40">
        <f>COUNTIFS(' CADASTRO'!$B$2:B$994,'PRODUÇÃO SEMANA'!G17)</f>
        <v>8</v>
      </c>
      <c r="Q17" s="40">
        <f>COUNTIFS(' CADASTRO'!$B$2:B$994,'PRODUÇÃO SEMANA'!H17)</f>
        <v>0</v>
      </c>
      <c r="R17" s="40">
        <f>COUNTIFS(' CADASTRO'!$B$2:B$994,'PRODUÇÃO SEMANA'!I17)</f>
        <v>0</v>
      </c>
      <c r="S17" s="103">
        <f t="shared" si="5"/>
        <v>0.4</v>
      </c>
    </row>
    <row r="18" spans="1:19">
      <c r="A18" s="52" t="s">
        <v>151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ref="E18:G18" si="18">D18+1</f>
        <v>45826</v>
      </c>
      <c r="F18" s="53">
        <f t="shared" si="18"/>
        <v>45827</v>
      </c>
      <c r="G18" s="53">
        <f t="shared" si="18"/>
        <v>45828</v>
      </c>
      <c r="H18" s="53">
        <f t="shared" si="1"/>
        <v>45829</v>
      </c>
      <c r="I18" s="55">
        <f t="shared" si="2"/>
        <v>45830</v>
      </c>
      <c r="J18" s="56">
        <f>COUNTIFS(' CADASTRO'!$B$2:$B$994,'PRODUÇÃO SEMANA'!B18)+COUNTIFS(' CADASTRO'!$B$2:$B$994,D18)+COUNTIFS(' CADASTRO'!$B$2:$B$994,E18)+COUNTIFS(' CADASTRO'!$B$2:$B$994,F18)+COUNTIFS(' CADASTRO'!$B$2:$B$994,G18)+COUNTIFS(' CADASTRO'!$B$2:$B$994,H18)+COUNTIFS(' CADASTRO'!$B$2:$B$994,I18)</f>
        <v>22</v>
      </c>
      <c r="L18" s="40">
        <f>IF(B18="","",COUNTIFS(' CADASTRO'!$B$2:$B$994,'PRODUÇÃO SEMANA'!B18))</f>
        <v>0</v>
      </c>
      <c r="M18" s="40">
        <f>IF(D18=0,"",COUNTIFS(' CADASTRO'!$B$2:B$994,'PRODUÇÃO SEMANA'!D18))</f>
        <v>2</v>
      </c>
      <c r="N18" s="40">
        <f>COUNTIFS(' CADASTRO'!$B$2:B$994,'PRODUÇÃO SEMANA'!E18)</f>
        <v>0</v>
      </c>
      <c r="O18" s="40">
        <f>COUNTIFS(' CADASTRO'!$B$2:B$994,'PRODUÇÃO SEMANA'!F18)</f>
        <v>8</v>
      </c>
      <c r="P18" s="40">
        <f>COUNTIFS(' CADASTRO'!$B$2:B$994,'PRODUÇÃO SEMANA'!G18)</f>
        <v>12</v>
      </c>
      <c r="Q18" s="40">
        <f>COUNTIFS(' CADASTRO'!$B$2:B$994,'PRODUÇÃO SEMANA'!H18)</f>
        <v>0</v>
      </c>
      <c r="R18" s="40">
        <f>COUNTIFS(' CADASTRO'!$B$2:B$994,'PRODUÇÃO SEMANA'!I18)</f>
        <v>0</v>
      </c>
      <c r="S18" s="103">
        <f t="shared" si="5"/>
        <v>0.55000000000000004</v>
      </c>
    </row>
    <row r="19" spans="1:19">
      <c r="A19" s="52" t="s">
        <v>152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ref="E19:G19" si="19">D19+1</f>
        <v>45833</v>
      </c>
      <c r="F19" s="53">
        <f t="shared" si="19"/>
        <v>45834</v>
      </c>
      <c r="G19" s="53">
        <f t="shared" si="19"/>
        <v>45835</v>
      </c>
      <c r="H19" s="53">
        <f t="shared" si="1"/>
        <v>45836</v>
      </c>
      <c r="I19" s="55">
        <f t="shared" si="2"/>
        <v>45837</v>
      </c>
      <c r="J19" s="56">
        <f>COUNTIFS(' CADASTRO'!$B$2:$B$994,'PRODUÇÃO SEMANA'!B19)+COUNTIFS(' CADASTRO'!$B$2:$B$994,D19)+COUNTIFS(' CADASTRO'!$B$2:$B$994,E19)+COUNTIFS(' CADASTRO'!$B$2:$B$994,F19)+COUNTIFS(' CADASTRO'!$B$2:$B$994,G19)+COUNTIFS(' CADASTRO'!$B$2:$B$994,H19)+COUNTIFS(' CADASTRO'!$B$2:$B$994,I19)</f>
        <v>22</v>
      </c>
      <c r="L19" s="40">
        <f>IF(B19="","",COUNTIFS(' CADASTRO'!$B$2:$B$994,'PRODUÇÃO SEMANA'!B19))</f>
        <v>0</v>
      </c>
      <c r="M19" s="40">
        <f>IF(D19=0,"",COUNTIFS(' CADASTRO'!$B$2:B$994,'PRODUÇÃO SEMANA'!D19))</f>
        <v>0</v>
      </c>
      <c r="N19" s="40">
        <f>COUNTIFS(' CADASTRO'!$B$2:B$994,'PRODUÇÃO SEMANA'!E19)</f>
        <v>8</v>
      </c>
      <c r="O19" s="40">
        <f>COUNTIFS(' CADASTRO'!$B$2:B$994,'PRODUÇÃO SEMANA'!F19)</f>
        <v>12</v>
      </c>
      <c r="P19" s="40">
        <f>COUNTIFS(' CADASTRO'!$B$2:B$994,'PRODUÇÃO SEMANA'!G19)</f>
        <v>2</v>
      </c>
      <c r="Q19" s="40">
        <f>COUNTIFS(' CADASTRO'!$B$2:B$994,'PRODUÇÃO SEMANA'!H19)</f>
        <v>0</v>
      </c>
      <c r="R19" s="40">
        <f>COUNTIFS(' CADASTRO'!$B$2:B$994,'PRODUÇÃO SEMANA'!I19)</f>
        <v>0</v>
      </c>
      <c r="S19" s="103">
        <f t="shared" si="5"/>
        <v>0.55000000000000004</v>
      </c>
    </row>
    <row r="20" spans="1:19">
      <c r="A20" s="52" t="s">
        <v>153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ref="E20:G20" si="20">D20+1</f>
        <v>45840</v>
      </c>
      <c r="F20" s="53">
        <f t="shared" si="20"/>
        <v>45841</v>
      </c>
      <c r="G20" s="53">
        <f t="shared" si="20"/>
        <v>45842</v>
      </c>
      <c r="H20" s="53">
        <f t="shared" si="1"/>
        <v>45843</v>
      </c>
      <c r="I20" s="55">
        <f t="shared" si="2"/>
        <v>45844</v>
      </c>
      <c r="J20" s="56">
        <f>COUNTIFS(' CADASTRO'!$B$2:$B$994,'PRODUÇÃO SEMANA'!B20)+COUNTIFS(' CADASTRO'!$B$2:$B$994,D20)+COUNTIFS(' CADASTRO'!$B$2:$B$994,E20)+COUNTIFS(' CADASTRO'!$B$2:$B$994,F20)+COUNTIFS(' CADASTRO'!$B$2:$B$994,G20)+COUNTIFS(' CADASTRO'!$B$2:$B$994,H20)+COUNTIFS(' CADASTRO'!$B$2:$B$994,I20)</f>
        <v>34</v>
      </c>
      <c r="L20" s="40">
        <f>IF(B20="","",COUNTIFS(' CADASTRO'!$B$2:$B$994,'PRODUÇÃO SEMANA'!B20))</f>
        <v>0</v>
      </c>
      <c r="M20" s="40">
        <f>IF(D20=0,"",COUNTIFS(' CADASTRO'!$B$2:B$994,'PRODUÇÃO SEMANA'!D20))</f>
        <v>14</v>
      </c>
      <c r="N20" s="40">
        <f>COUNTIFS(' CADASTRO'!$B$2:B$994,'PRODUÇÃO SEMANA'!E20)</f>
        <v>0</v>
      </c>
      <c r="O20" s="40">
        <f>COUNTIFS(' CADASTRO'!$B$2:B$994,'PRODUÇÃO SEMANA'!F20)</f>
        <v>0</v>
      </c>
      <c r="P20" s="40">
        <f>COUNTIFS(' CADASTRO'!$B$2:B$994,'PRODUÇÃO SEMANA'!G20)</f>
        <v>20</v>
      </c>
      <c r="Q20" s="40">
        <f>COUNTIFS(' CADASTRO'!$B$2:B$994,'PRODUÇÃO SEMANA'!H20)</f>
        <v>0</v>
      </c>
      <c r="R20" s="40">
        <f>COUNTIFS(' CADASTRO'!$B$2:B$994,'PRODUÇÃO SEMANA'!I20)</f>
        <v>0</v>
      </c>
      <c r="S20" s="103">
        <f t="shared" si="5"/>
        <v>0.85</v>
      </c>
    </row>
    <row r="21" spans="1:19">
      <c r="A21" s="52" t="s">
        <v>154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ref="E21:E28" si="21">D21+1</f>
        <v>45847</v>
      </c>
      <c r="F21" s="53">
        <f t="shared" ref="F21:F28" si="22">E21+1</f>
        <v>45848</v>
      </c>
      <c r="G21" s="53">
        <f t="shared" ref="G21:G28" si="23">F21+1</f>
        <v>45849</v>
      </c>
      <c r="H21" s="53">
        <f t="shared" ref="H21:H28" si="24">G21+1</f>
        <v>45850</v>
      </c>
      <c r="I21" s="55">
        <f t="shared" si="2"/>
        <v>45851</v>
      </c>
      <c r="J21" s="56">
        <f>COUNTIFS(' CADASTRO'!$B$2:$B$994,'PRODUÇÃO SEMANA'!B21)+COUNTIFS(' CADASTRO'!$B$2:$B$994,D21)+COUNTIFS(' CADASTRO'!$B$2:$B$994,E21)+COUNTIFS(' CADASTRO'!$B$2:$B$994,F21)+COUNTIFS(' CADASTRO'!$B$2:$B$994,G21)+COUNTIFS(' CADASTRO'!$B$2:$B$994,H21)+COUNTIFS(' CADASTRO'!$B$2:$B$994,I21)</f>
        <v>16</v>
      </c>
      <c r="L21" s="40">
        <f>IF(B21="","",COUNTIFS(' CADASTRO'!$B$2:$B$994,'PRODUÇÃO SEMANA'!B21))</f>
        <v>0</v>
      </c>
      <c r="M21" s="40">
        <f>IF(D21=0,"",COUNTIFS(' CADASTRO'!$B$2:B$994,'PRODUÇÃO SEMANA'!D21))</f>
        <v>0</v>
      </c>
      <c r="N21" s="40">
        <f>COUNTIFS(' CADASTRO'!$B$2:B$994,'PRODUÇÃO SEMANA'!E21)</f>
        <v>0</v>
      </c>
      <c r="O21" s="40">
        <f>COUNTIFS(' CADASTRO'!$B$2:B$994,'PRODUÇÃO SEMANA'!F21)</f>
        <v>8</v>
      </c>
      <c r="P21" s="40">
        <f>COUNTIFS(' CADASTRO'!$B$2:B$994,'PRODUÇÃO SEMANA'!G21)</f>
        <v>0</v>
      </c>
      <c r="Q21" s="40">
        <f>COUNTIFS(' CADASTRO'!$B$2:B$994,'PRODUÇÃO SEMANA'!H21)</f>
        <v>8</v>
      </c>
      <c r="R21" s="40">
        <f>COUNTIFS(' CADASTRO'!$B$2:B$994,'PRODUÇÃO SEMANA'!I21)</f>
        <v>0</v>
      </c>
      <c r="S21" s="103">
        <f t="shared" si="5"/>
        <v>0.4</v>
      </c>
    </row>
    <row r="22" spans="1:19">
      <c r="A22" s="52" t="s">
        <v>155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si="21"/>
        <v>45854</v>
      </c>
      <c r="F22" s="53">
        <f t="shared" si="22"/>
        <v>45855</v>
      </c>
      <c r="G22" s="53">
        <f t="shared" si="23"/>
        <v>45856</v>
      </c>
      <c r="H22" s="53">
        <f t="shared" si="24"/>
        <v>45857</v>
      </c>
      <c r="I22" s="55">
        <f t="shared" si="2"/>
        <v>45858</v>
      </c>
      <c r="J22" s="56">
        <f>COUNTIFS(' CADASTRO'!$B$2:$B$994,'PRODUÇÃO SEMANA'!B22)+COUNTIFS(' CADASTRO'!$B$2:$B$994,D22)+COUNTIFS(' CADASTRO'!$B$2:$B$994,E22)+COUNTIFS(' CADASTRO'!$B$2:$B$994,F22)+COUNTIFS(' CADASTRO'!$B$2:$B$994,G22)+COUNTIFS(' CADASTRO'!$B$2:$B$994,H22)+COUNTIFS(' CADASTRO'!$B$2:$B$994,I22)</f>
        <v>8</v>
      </c>
      <c r="L22" s="40">
        <f>IF(B22="","",COUNTIFS(' CADASTRO'!$B$2:$B$994,'PRODUÇÃO SEMANA'!B22))</f>
        <v>0</v>
      </c>
      <c r="M22" s="40">
        <f>IF(D22=0,"",COUNTIFS(' CADASTRO'!$B$2:B$994,'PRODUÇÃO SEMANA'!D22))</f>
        <v>8</v>
      </c>
      <c r="N22" s="40">
        <f>COUNTIFS(' CADASTRO'!$B$2:B$994,'PRODUÇÃO SEMANA'!E22)</f>
        <v>0</v>
      </c>
      <c r="O22" s="40">
        <f>COUNTIFS(' CADASTRO'!$B$2:B$994,'PRODUÇÃO SEMANA'!F22)</f>
        <v>0</v>
      </c>
      <c r="P22" s="40">
        <f>COUNTIFS(' CADASTRO'!$B$2:B$994,'PRODUÇÃO SEMANA'!G22)</f>
        <v>0</v>
      </c>
      <c r="Q22" s="40">
        <f>COUNTIFS(' CADASTRO'!$B$2:B$994,'PRODUÇÃO SEMANA'!H22)</f>
        <v>0</v>
      </c>
      <c r="R22" s="40">
        <f>COUNTIFS(' CADASTRO'!$B$2:B$994,'PRODUÇÃO SEMANA'!I22)</f>
        <v>0</v>
      </c>
      <c r="S22" s="103">
        <f t="shared" si="5"/>
        <v>0.2</v>
      </c>
    </row>
    <row r="23" spans="1:19">
      <c r="A23" s="52" t="s">
        <v>156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21"/>
        <v>45861</v>
      </c>
      <c r="F23" s="53">
        <f t="shared" si="22"/>
        <v>45862</v>
      </c>
      <c r="G23" s="53">
        <f t="shared" si="23"/>
        <v>45863</v>
      </c>
      <c r="H23" s="53">
        <f t="shared" si="24"/>
        <v>45864</v>
      </c>
      <c r="I23" s="55">
        <f t="shared" si="2"/>
        <v>45865</v>
      </c>
      <c r="J23" s="56">
        <f>COUNTIFS(' CADASTRO'!$B$2:$B$994,'PRODUÇÃO SEMANA'!B23)+COUNTIFS(' CADASTRO'!$B$2:$B$994,D23)+COUNTIFS(' CADASTRO'!$B$2:$B$994,E23)+COUNTIFS(' CADASTRO'!$B$2:$B$994,F23)+COUNTIFS(' CADASTRO'!$B$2:$B$994,G23)+COUNTIFS(' CADASTRO'!$B$2:$B$994,H23)+COUNTIFS(' CADASTRO'!$B$2:$B$994,I23)</f>
        <v>0</v>
      </c>
      <c r="L23" s="40">
        <f>IF(B23="","",COUNTIFS(' CADASTRO'!$B$2:$B$994,'PRODUÇÃO SEMANA'!B23))</f>
        <v>0</v>
      </c>
      <c r="M23" s="40">
        <f>IF(D23=0,"",COUNTIFS(' CADASTRO'!$B$2:B$994,'PRODUÇÃO SEMANA'!D23))</f>
        <v>0</v>
      </c>
      <c r="N23" s="40">
        <f>COUNTIFS(' CADASTRO'!$B$2:B$994,'PRODUÇÃO SEMANA'!E23)</f>
        <v>0</v>
      </c>
      <c r="O23" s="40">
        <f>COUNTIFS(' CADASTRO'!$B$2:B$994,'PRODUÇÃO SEMANA'!F23)</f>
        <v>0</v>
      </c>
      <c r="P23" s="40">
        <f>COUNTIFS(' CADASTRO'!$B$2:B$994,'PRODUÇÃO SEMANA'!G23)</f>
        <v>0</v>
      </c>
      <c r="Q23" s="40">
        <f>COUNTIFS(' CADASTRO'!$B$2:B$994,'PRODUÇÃO SEMANA'!H23)</f>
        <v>0</v>
      </c>
      <c r="R23" s="40">
        <f>COUNTIFS(' CADASTRO'!$B$2:B$994,'PRODUÇÃO SEMANA'!I23)</f>
        <v>0</v>
      </c>
      <c r="S23" s="103">
        <f t="shared" si="5"/>
        <v>0</v>
      </c>
    </row>
    <row r="24" spans="1:19">
      <c r="A24" s="52" t="s">
        <v>157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21"/>
        <v>45868</v>
      </c>
      <c r="F24" s="53">
        <f t="shared" si="22"/>
        <v>45869</v>
      </c>
      <c r="G24" s="53">
        <f t="shared" si="23"/>
        <v>45870</v>
      </c>
      <c r="H24" s="53">
        <f t="shared" si="24"/>
        <v>45871</v>
      </c>
      <c r="I24" s="55">
        <f t="shared" si="2"/>
        <v>45872</v>
      </c>
      <c r="J24" s="56">
        <f>COUNTIFS(' CADASTRO'!$B$2:$B$994,'PRODUÇÃO SEMANA'!B24)+COUNTIFS(' CADASTRO'!$B$2:$B$994,D24)+COUNTIFS(' CADASTRO'!$B$2:$B$994,E24)+COUNTIFS(' CADASTRO'!$B$2:$B$994,F24)+COUNTIFS(' CADASTRO'!$B$2:$B$994,G24)+COUNTIFS(' CADASTRO'!$B$2:$B$994,H24)+COUNTIFS(' CADASTRO'!$B$2:$B$994,I24)</f>
        <v>0</v>
      </c>
      <c r="L24" s="40">
        <f>IF(B24="","",COUNTIFS(' CADASTRO'!$B$2:$B$994,'PRODUÇÃO SEMANA'!B24))</f>
        <v>0</v>
      </c>
      <c r="M24" s="40">
        <f>IF(D24=0,"",COUNTIFS(' CADASTRO'!$B$2:B$994,'PRODUÇÃO SEMANA'!D24))</f>
        <v>0</v>
      </c>
      <c r="N24" s="40">
        <f>COUNTIFS(' CADASTRO'!$B$2:B$994,'PRODUÇÃO SEMANA'!E24)</f>
        <v>0</v>
      </c>
      <c r="O24" s="40">
        <f>COUNTIFS(' CADASTRO'!$B$2:B$994,'PRODUÇÃO SEMANA'!F24)</f>
        <v>0</v>
      </c>
      <c r="P24" s="40">
        <f>COUNTIFS(' CADASTRO'!$B$2:B$994,'PRODUÇÃO SEMANA'!G24)</f>
        <v>0</v>
      </c>
      <c r="Q24" s="40">
        <f>COUNTIFS(' CADASTRO'!$B$2:B$994,'PRODUÇÃO SEMANA'!H24)</f>
        <v>0</v>
      </c>
      <c r="R24" s="40">
        <f>COUNTIFS(' CADASTRO'!$B$2:B$994,'PRODUÇÃO SEMANA'!I24)</f>
        <v>0</v>
      </c>
      <c r="S24" s="103">
        <f t="shared" si="5"/>
        <v>0</v>
      </c>
    </row>
    <row r="25" spans="1:19">
      <c r="A25" s="52" t="s">
        <v>158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21"/>
        <v>45875</v>
      </c>
      <c r="F25" s="53">
        <f t="shared" si="22"/>
        <v>45876</v>
      </c>
      <c r="G25" s="53">
        <f t="shared" si="23"/>
        <v>45877</v>
      </c>
      <c r="H25" s="53">
        <f t="shared" si="24"/>
        <v>45878</v>
      </c>
      <c r="I25" s="55">
        <f t="shared" si="2"/>
        <v>45879</v>
      </c>
      <c r="J25" s="56">
        <f>COUNTIFS(' CADASTRO'!$B$2:$B$994,'PRODUÇÃO SEMANA'!B25)+COUNTIFS(' CADASTRO'!$B$2:$B$994,D25)+COUNTIFS(' CADASTRO'!$B$2:$B$994,E25)+COUNTIFS(' CADASTRO'!$B$2:$B$994,F25)+COUNTIFS(' CADASTRO'!$B$2:$B$994,G25)+COUNTIFS(' CADASTRO'!$B$2:$B$994,H25)+COUNTIFS(' CADASTRO'!$B$2:$B$994,I25)</f>
        <v>0</v>
      </c>
      <c r="L25" s="40">
        <f>IF(B25="","",COUNTIFS(' CADASTRO'!$B$2:$B$994,'PRODUÇÃO SEMANA'!B25))</f>
        <v>0</v>
      </c>
      <c r="M25" s="40">
        <f>IF(D25=0,"",COUNTIFS(' CADASTRO'!$B$2:B$994,'PRODUÇÃO SEMANA'!D25))</f>
        <v>0</v>
      </c>
      <c r="N25" s="40">
        <f>COUNTIFS(' CADASTRO'!$B$2:B$994,'PRODUÇÃO SEMANA'!E25)</f>
        <v>0</v>
      </c>
      <c r="O25" s="40">
        <f>COUNTIFS(' CADASTRO'!$B$2:B$994,'PRODUÇÃO SEMANA'!F25)</f>
        <v>0</v>
      </c>
      <c r="P25" s="40">
        <f>COUNTIFS(' CADASTRO'!$B$2:B$994,'PRODUÇÃO SEMANA'!G25)</f>
        <v>0</v>
      </c>
      <c r="Q25" s="40">
        <f>COUNTIFS(' CADASTRO'!$B$2:B$994,'PRODUÇÃO SEMANA'!H25)</f>
        <v>0</v>
      </c>
      <c r="R25" s="40">
        <f>COUNTIFS(' CADASTRO'!$B$2:B$994,'PRODUÇÃO SEMANA'!I25)</f>
        <v>0</v>
      </c>
      <c r="S25" s="103">
        <f t="shared" si="5"/>
        <v>0</v>
      </c>
    </row>
    <row r="26" spans="1:19">
      <c r="A26" s="52" t="s">
        <v>159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21"/>
        <v>45882</v>
      </c>
      <c r="F26" s="53">
        <f t="shared" si="22"/>
        <v>45883</v>
      </c>
      <c r="G26" s="53">
        <f t="shared" si="23"/>
        <v>45884</v>
      </c>
      <c r="H26" s="53">
        <f t="shared" si="24"/>
        <v>45885</v>
      </c>
      <c r="I26" s="55">
        <f t="shared" si="2"/>
        <v>45886</v>
      </c>
      <c r="J26" s="56">
        <f>COUNTIFS(' CADASTRO'!$B$2:$B$994,'PRODUÇÃO SEMANA'!B26)+COUNTIFS(' CADASTRO'!$B$2:$B$994,D26)+COUNTIFS(' CADASTRO'!$B$2:$B$994,E26)+COUNTIFS(' CADASTRO'!$B$2:$B$994,F26)+COUNTIFS(' CADASTRO'!$B$2:$B$994,G26)+COUNTIFS(' CADASTRO'!$B$2:$B$994,H26)+COUNTIFS(' CADASTRO'!$B$2:$B$994,I26)</f>
        <v>0</v>
      </c>
      <c r="L26" s="40">
        <f>IF(B26="","",COUNTIFS(' CADASTRO'!$B$2:$B$994,'PRODUÇÃO SEMANA'!B26))</f>
        <v>0</v>
      </c>
      <c r="M26" s="40">
        <f>IF(D26=0,"",COUNTIFS(' CADASTRO'!$B$2:B$994,'PRODUÇÃO SEMANA'!D26))</f>
        <v>0</v>
      </c>
      <c r="N26" s="40">
        <f>COUNTIFS(' CADASTRO'!$B$2:B$994,'PRODUÇÃO SEMANA'!E26)</f>
        <v>0</v>
      </c>
      <c r="O26" s="40">
        <f>COUNTIFS(' CADASTRO'!$B$2:B$994,'PRODUÇÃO SEMANA'!F26)</f>
        <v>0</v>
      </c>
      <c r="P26" s="40">
        <f>COUNTIFS(' CADASTRO'!$B$2:B$994,'PRODUÇÃO SEMANA'!G26)</f>
        <v>0</v>
      </c>
      <c r="Q26" s="40">
        <f>COUNTIFS(' CADASTRO'!$B$2:B$994,'PRODUÇÃO SEMANA'!H26)</f>
        <v>0</v>
      </c>
      <c r="R26" s="40">
        <f>COUNTIFS(' CADASTRO'!$B$2:B$994,'PRODUÇÃO SEMANA'!I26)</f>
        <v>0</v>
      </c>
      <c r="S26" s="103">
        <f t="shared" si="5"/>
        <v>0</v>
      </c>
    </row>
    <row r="27" spans="1:19">
      <c r="A27" s="52" t="s">
        <v>160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21"/>
        <v>45889</v>
      </c>
      <c r="F27" s="53">
        <f t="shared" si="22"/>
        <v>45890</v>
      </c>
      <c r="G27" s="53">
        <f t="shared" si="23"/>
        <v>45891</v>
      </c>
      <c r="H27" s="53">
        <f t="shared" si="24"/>
        <v>45892</v>
      </c>
      <c r="I27" s="55">
        <f t="shared" si="2"/>
        <v>45893</v>
      </c>
      <c r="J27" s="56">
        <f>COUNTIFS(' CADASTRO'!$B$2:$B$994,'PRODUÇÃO SEMANA'!B27)+COUNTIFS(' CADASTRO'!$B$2:$B$994,D27)+COUNTIFS(' CADASTRO'!$B$2:$B$994,E27)+COUNTIFS(' CADASTRO'!$B$2:$B$994,F27)+COUNTIFS(' CADASTRO'!$B$2:$B$994,G27)+COUNTIFS(' CADASTRO'!$B$2:$B$994,H27)+COUNTIFS(' CADASTRO'!$B$2:$B$994,I27)</f>
        <v>0</v>
      </c>
      <c r="L27" s="40">
        <f>IF(B27="","",COUNTIFS(' CADASTRO'!$B$2:$B$994,'PRODUÇÃO SEMANA'!B27))</f>
        <v>0</v>
      </c>
      <c r="M27" s="40">
        <f>IF(D27=0,"",COUNTIFS(' CADASTRO'!$B$2:B$994,'PRODUÇÃO SEMANA'!D27))</f>
        <v>0</v>
      </c>
      <c r="N27" s="40">
        <f>COUNTIFS(' CADASTRO'!$B$2:B$994,'PRODUÇÃO SEMANA'!E27)</f>
        <v>0</v>
      </c>
      <c r="O27" s="40">
        <f>COUNTIFS(' CADASTRO'!$B$2:B$994,'PRODUÇÃO SEMANA'!F27)</f>
        <v>0</v>
      </c>
      <c r="P27" s="40">
        <f>COUNTIFS(' CADASTRO'!$B$2:B$994,'PRODUÇÃO SEMANA'!G27)</f>
        <v>0</v>
      </c>
      <c r="Q27" s="40">
        <f>COUNTIFS(' CADASTRO'!$B$2:B$994,'PRODUÇÃO SEMANA'!H27)</f>
        <v>0</v>
      </c>
      <c r="R27" s="40">
        <f>COUNTIFS(' CADASTRO'!$B$2:B$994,'PRODUÇÃO SEMANA'!I27)</f>
        <v>0</v>
      </c>
      <c r="S27" s="103">
        <f t="shared" si="5"/>
        <v>0</v>
      </c>
    </row>
    <row r="28" spans="1:19">
      <c r="A28" s="52" t="s">
        <v>161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21"/>
        <v>45896</v>
      </c>
      <c r="F28" s="53">
        <f t="shared" si="22"/>
        <v>45897</v>
      </c>
      <c r="G28" s="53">
        <f t="shared" si="23"/>
        <v>45898</v>
      </c>
      <c r="H28" s="53">
        <f t="shared" si="24"/>
        <v>45899</v>
      </c>
      <c r="I28" s="55">
        <f t="shared" si="2"/>
        <v>45900</v>
      </c>
      <c r="J28" s="56">
        <f>COUNTIFS(' CADASTRO'!$B$2:$B$994,'PRODUÇÃO SEMANA'!B28)+COUNTIFS(' CADASTRO'!$B$2:$B$994,D28)+COUNTIFS(' CADASTRO'!$B$2:$B$994,E28)+COUNTIFS(' CADASTRO'!$B$2:$B$994,F28)+COUNTIFS(' CADASTRO'!$B$2:$B$994,G28)+COUNTIFS(' CADASTRO'!$B$2:$B$994,H28)+COUNTIFS(' CADASTRO'!$B$2:$B$994,I28)</f>
        <v>0</v>
      </c>
      <c r="L28" s="40">
        <f>IF(B28="","",COUNTIFS(' CADASTRO'!$B$2:$B$994,'PRODUÇÃO SEMANA'!B28))</f>
        <v>0</v>
      </c>
      <c r="M28" s="40">
        <f>IF(D28=0,"",COUNTIFS(' CADASTRO'!$B$2:B$994,'PRODUÇÃO SEMANA'!D28))</f>
        <v>0</v>
      </c>
      <c r="N28" s="40">
        <f>COUNTIFS(' CADASTRO'!$B$2:B$994,'PRODUÇÃO SEMANA'!E28)</f>
        <v>0</v>
      </c>
      <c r="O28" s="40">
        <f>COUNTIFS(' CADASTRO'!$B$2:B$994,'PRODUÇÃO SEMANA'!F28)</f>
        <v>0</v>
      </c>
      <c r="P28" s="40">
        <f>COUNTIFS(' CADASTRO'!$B$2:B$994,'PRODUÇÃO SEMANA'!G28)</f>
        <v>0</v>
      </c>
      <c r="Q28" s="40">
        <f>COUNTIFS(' CADASTRO'!$B$2:B$994,'PRODUÇÃO SEMANA'!H28)</f>
        <v>0</v>
      </c>
      <c r="R28" s="40">
        <f>COUNTIFS(' CADASTRO'!$B$2:B$994,'PRODUÇÃO SEMANA'!I28)</f>
        <v>0</v>
      </c>
      <c r="S28" s="103">
        <f t="shared" si="5"/>
        <v>0</v>
      </c>
    </row>
  </sheetData>
  <mergeCells count="1">
    <mergeCell ref="S1:T1"/>
  </mergeCells>
  <phoneticPr fontId="1" type="noConversion"/>
  <conditionalFormatting sqref="L5:R28">
    <cfRule type="cellIs" dxfId="5" priority="1" operator="greaterThan">
      <formula>0</formula>
    </cfRule>
  </conditionalFormatting>
  <conditionalFormatting sqref="L5:R253">
    <cfRule type="cellIs" dxfId="4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AFE-7B2E-40AD-B4F6-86DEB019F2E6}">
  <dimension ref="A1:T28"/>
  <sheetViews>
    <sheetView topLeftCell="J12" zoomScale="160" zoomScaleNormal="160" workbookViewId="0">
      <selection activeCell="L21" sqref="L21:P21"/>
    </sheetView>
  </sheetViews>
  <sheetFormatPr defaultRowHeight="14.25"/>
  <cols>
    <col min="1" max="2" width="12.53125" customWidth="1"/>
    <col min="3" max="3" width="7.86328125" style="13" hidden="1" customWidth="1"/>
    <col min="4" max="4" width="11.33203125" style="13" hidden="1" customWidth="1"/>
    <col min="5" max="5" width="11.46484375" style="13" hidden="1" customWidth="1"/>
    <col min="6" max="6" width="11.6640625" style="13" hidden="1" customWidth="1"/>
    <col min="7" max="7" width="11.46484375" style="13" hidden="1" customWidth="1"/>
    <col min="8" max="8" width="12.1328125" style="13" hidden="1" customWidth="1"/>
    <col min="9" max="9" width="17.33203125" style="14" customWidth="1"/>
    <col min="10" max="10" width="11.6640625" customWidth="1"/>
    <col min="11" max="11" width="2.86328125" customWidth="1"/>
    <col min="15" max="15" width="8.86328125" style="14"/>
    <col min="19" max="19" width="13.6640625" style="14" customWidth="1"/>
    <col min="20" max="20" width="8.86328125" style="14"/>
  </cols>
  <sheetData>
    <row r="1" spans="1:20">
      <c r="A1" s="327" t="s">
        <v>236</v>
      </c>
      <c r="B1" s="329">
        <f>SUM(J1,J2)</f>
        <v>217</v>
      </c>
      <c r="I1" s="60" t="s">
        <v>106</v>
      </c>
      <c r="J1" s="61">
        <f>J4-J2</f>
        <v>217</v>
      </c>
      <c r="L1" s="326" t="s">
        <v>982</v>
      </c>
      <c r="M1" s="326"/>
      <c r="N1" s="326"/>
      <c r="O1" s="40">
        <f>SUMIFS(' CADASTRO'!$T$2:$T$893,' CADASTRO'!$S$2:$S$893,"PN-001")</f>
        <v>116</v>
      </c>
      <c r="P1" s="52" t="s">
        <v>223</v>
      </c>
      <c r="Q1" s="74" t="s">
        <v>237</v>
      </c>
      <c r="R1" s="74"/>
      <c r="S1" s="75"/>
    </row>
    <row r="2" spans="1:20">
      <c r="A2" s="328"/>
      <c r="B2" s="330"/>
      <c r="I2" s="60" t="s">
        <v>105</v>
      </c>
      <c r="J2" s="60">
        <f>SUMIFS(' CADASTRO'!$T$2:$T$994,' CADASTRO'!$E$2:$E$994,ACABAMENTO!I2,' CADASTRO'!$T$2:$T$994,"1")</f>
        <v>0</v>
      </c>
      <c r="L2" s="326" t="s">
        <v>983</v>
      </c>
      <c r="M2" s="326"/>
      <c r="N2" s="326"/>
      <c r="O2" s="40">
        <f>SUMIFS(' CADASTRO'!$T$2:$T$893,' CADASTRO'!$S$2:$S$893,"PN-002")</f>
        <v>107</v>
      </c>
      <c r="P2" s="52" t="s">
        <v>224</v>
      </c>
      <c r="Q2" s="74" t="s">
        <v>238</v>
      </c>
      <c r="R2" s="74"/>
      <c r="S2" s="75"/>
    </row>
    <row r="3" spans="1:20">
      <c r="S3" s="14" t="s">
        <v>169</v>
      </c>
    </row>
    <row r="4" spans="1:20">
      <c r="A4" s="52"/>
      <c r="B4" s="52" t="s">
        <v>136</v>
      </c>
      <c r="C4" s="16"/>
      <c r="D4" s="16" t="s">
        <v>225</v>
      </c>
      <c r="E4" s="16"/>
      <c r="F4" s="16"/>
      <c r="G4" s="16"/>
      <c r="H4" s="16"/>
      <c r="I4" s="40" t="s">
        <v>137</v>
      </c>
      <c r="J4" s="59">
        <f>SUM(J5:J28)</f>
        <v>217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  <c r="S4" s="41" t="s">
        <v>168</v>
      </c>
      <c r="T4" s="113" t="s">
        <v>230</v>
      </c>
    </row>
    <row r="5" spans="1:20">
      <c r="A5" s="52" t="s">
        <v>138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8" si="1">G5+1</f>
        <v>45738</v>
      </c>
      <c r="I5" s="55">
        <f t="shared" ref="I5:I28" si="2">B5+C5</f>
        <v>45739</v>
      </c>
      <c r="J5" s="56">
        <f>COUNTIFS(' CADASTRO'!R2:$R$994,ACABAMENTO!B5)+COUNTIFS(' CADASTRO'!R2:$R$994,D5)+COUNTIFS(' CADASTRO'!$R2:R$994,E5)+COUNTIFS(' CADASTRO'!R2:$R$994,F5)+COUNTIFS(' CADASTRO'!R2:$R$994,G5)+COUNTIFS(' CADASTRO'!R2:$R$994,H5)+COUNTIFS(' CADASTRO'!R2:$R$994,I5)</f>
        <v>2</v>
      </c>
      <c r="L5" s="40">
        <f>IF(B5="","",COUNTIFS(' CADASTRO'!$R$2:$R$994,ACABAMENTO!B5))</f>
        <v>0</v>
      </c>
      <c r="M5" s="40">
        <f>IF(D5=0,"",COUNTIFS(' CADASTRO'!$R$2:R$994,ACABAMENTO!D5))</f>
        <v>0</v>
      </c>
      <c r="N5" s="40">
        <f>COUNTIFS(' CADASTRO'!$R$2:R$994,ACABAMENTO!E5)</f>
        <v>0</v>
      </c>
      <c r="O5" s="40">
        <f>COUNTIFS(' CADASTRO'!$R$2:R$994,ACABAMENTO!F5)</f>
        <v>0</v>
      </c>
      <c r="P5" s="40">
        <f>COUNTIFS(' CADASTRO'!$R$2:R$994,ACABAMENTO!G5)</f>
        <v>0</v>
      </c>
      <c r="Q5" s="40">
        <f>COUNTIFS(' CADASTRO'!$R$2:R$994,ACABAMENTO!H5)</f>
        <v>2</v>
      </c>
      <c r="R5" s="40">
        <f>COUNTIFS(' CADASTRO'!$R$2:R$994,ACABAMENTO!I5)</f>
        <v>0</v>
      </c>
      <c r="S5" s="62">
        <f>SUM(L5:Q5)/6</f>
        <v>0.33333333333333331</v>
      </c>
      <c r="T5" s="112">
        <f>SUM(L5:R5)/24</f>
        <v>8.3333333333333329E-2</v>
      </c>
    </row>
    <row r="6" spans="1:20">
      <c r="A6" s="52" t="s">
        <v>139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21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CADASTRO'!R3:$R$994,ACABAMENTO!B6)+COUNTIFS(' CADASTRO'!R3:$R$994,D6)+COUNTIFS(' CADASTRO'!$R3:R$994,E6)+COUNTIFS(' CADASTRO'!R3:$R$994,F6)+COUNTIFS(' CADASTRO'!R3:$R$994,G6)+COUNTIFS(' CADASTRO'!R3:$R$994,H6)+COUNTIFS(' CADASTRO'!R3:$R$994,I6)</f>
        <v>11</v>
      </c>
      <c r="L6" s="40">
        <f>IF(B6="","",COUNTIFS(' CADASTRO'!$R$2:$R$994,ACABAMENTO!B6))</f>
        <v>2</v>
      </c>
      <c r="M6" s="40">
        <f>IF(D6=0,"",COUNTIFS(' CADASTRO'!$R$2:R$994,ACABAMENTO!D6))</f>
        <v>3</v>
      </c>
      <c r="N6" s="40">
        <f>COUNTIFS(' CADASTRO'!$R$2:R$994,ACABAMENTO!E6)</f>
        <v>0</v>
      </c>
      <c r="O6" s="40">
        <f>COUNTIFS(' CADASTRO'!$R$2:R$994,ACABAMENTO!F6)</f>
        <v>2</v>
      </c>
      <c r="P6" s="40">
        <f>COUNTIFS(' CADASTRO'!$R$2:R$994,ACABAMENTO!G6)</f>
        <v>1</v>
      </c>
      <c r="Q6" s="40">
        <f>COUNTIFS(' CADASTRO'!$R$2:R$994,ACABAMENTO!H6)</f>
        <v>3</v>
      </c>
      <c r="R6" s="40">
        <f>COUNTIFS(' CADASTRO'!$R$2:R$994,ACABAMENTO!I6)</f>
        <v>0</v>
      </c>
      <c r="S6" s="62">
        <f>SUM(L6:Q6)/6</f>
        <v>1.8333333333333333</v>
      </c>
      <c r="T6" s="112">
        <f t="shared" ref="T6:T28" si="5">SUM(L6:R6)/24</f>
        <v>0.45833333333333331</v>
      </c>
    </row>
    <row r="7" spans="1:20">
      <c r="A7" s="52" t="s">
        <v>140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si="4"/>
        <v>45749</v>
      </c>
      <c r="F7" s="53">
        <f t="shared" si="4"/>
        <v>45750</v>
      </c>
      <c r="G7" s="53">
        <f t="shared" si="4"/>
        <v>45751</v>
      </c>
      <c r="H7" s="53">
        <f t="shared" si="1"/>
        <v>45752</v>
      </c>
      <c r="I7" s="55">
        <f>B7+C7</f>
        <v>45753</v>
      </c>
      <c r="J7" s="56">
        <f>COUNTIFS(' CADASTRO'!R4:$R$994,ACABAMENTO!B7)+COUNTIFS(' CADASTRO'!R4:$R$994,D7)+COUNTIFS(' CADASTRO'!$R4:R$994,E7)+COUNTIFS(' CADASTRO'!R4:$R$994,F7)+COUNTIFS(' CADASTRO'!R4:$R$994,G7)+COUNTIFS(' CADASTRO'!R4:$R$994,H7)+COUNTIFS(' CADASTRO'!R4:$R$994,I7)</f>
        <v>19</v>
      </c>
      <c r="L7" s="40">
        <f>IF(B7="","",COUNTIFS(' CADASTRO'!$R$2:$R$994,ACABAMENTO!B7))</f>
        <v>2</v>
      </c>
      <c r="M7" s="40">
        <f>IF(D7=0,"",COUNTIFS(' CADASTRO'!$R$2:R$994,ACABAMENTO!D7))</f>
        <v>4</v>
      </c>
      <c r="N7" s="40">
        <f>COUNTIFS(' CADASTRO'!$R$2:R$994,ACABAMENTO!E7)</f>
        <v>3</v>
      </c>
      <c r="O7" s="40">
        <f>COUNTIFS(' CADASTRO'!$R$2:R$994,ACABAMENTO!F7)</f>
        <v>2</v>
      </c>
      <c r="P7" s="40">
        <f>COUNTIFS(' CADASTRO'!$R$2:R$994,ACABAMENTO!G7)</f>
        <v>2</v>
      </c>
      <c r="Q7" s="40">
        <f>COUNTIFS(' CADASTRO'!$R$2:R$994,ACABAMENTO!H7)</f>
        <v>6</v>
      </c>
      <c r="R7" s="40">
        <f>COUNTIFS(' CADASTRO'!$R$2:R$994,ACABAMENTO!I7)</f>
        <v>0</v>
      </c>
      <c r="S7" s="62">
        <f t="shared" ref="S7:S28" si="7">SUM(L7:Q7)/6</f>
        <v>3.1666666666666665</v>
      </c>
      <c r="T7" s="112">
        <f t="shared" si="5"/>
        <v>0.79166666666666663</v>
      </c>
    </row>
    <row r="8" spans="1:20">
      <c r="A8" s="52" t="s">
        <v>141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si="4"/>
        <v>45756</v>
      </c>
      <c r="F8" s="53">
        <f t="shared" si="4"/>
        <v>45757</v>
      </c>
      <c r="G8" s="53">
        <f t="shared" si="4"/>
        <v>45758</v>
      </c>
      <c r="H8" s="53">
        <f t="shared" si="1"/>
        <v>45759</v>
      </c>
      <c r="I8" s="55">
        <f t="shared" si="2"/>
        <v>45760</v>
      </c>
      <c r="J8" s="56">
        <f>COUNTIFS(' CADASTRO'!R5:$R$994,ACABAMENTO!B8)+COUNTIFS(' CADASTRO'!R5:$R$994,D8)+COUNTIFS(' CADASTRO'!$R5:R$994,E8)+COUNTIFS(' CADASTRO'!R5:$R$994,F8)+COUNTIFS(' CADASTRO'!R5:$R$994,G8)+COUNTIFS(' CADASTRO'!R5:$R$994,H8)+COUNTIFS(' CADASTRO'!R5:$R$994,I8)</f>
        <v>12</v>
      </c>
      <c r="L8" s="40">
        <f>IF(B8="","",COUNTIFS(' CADASTRO'!$R$2:$R$994,ACABAMENTO!B8))</f>
        <v>2</v>
      </c>
      <c r="M8" s="40">
        <f>IF(D8=0,"",COUNTIFS(' CADASTRO'!$R$2:R$994,ACABAMENTO!D8))</f>
        <v>0</v>
      </c>
      <c r="N8" s="40">
        <f>COUNTIFS(' CADASTRO'!$R$2:R$994,ACABAMENTO!E8)</f>
        <v>4</v>
      </c>
      <c r="O8" s="40">
        <f>COUNTIFS(' CADASTRO'!$R$2:R$994,ACABAMENTO!F8)</f>
        <v>0</v>
      </c>
      <c r="P8" s="40">
        <f>COUNTIFS(' CADASTRO'!$R$2:R$994,ACABAMENTO!G8)</f>
        <v>6</v>
      </c>
      <c r="Q8" s="40">
        <f>COUNTIFS(' CADASTRO'!$R$2:R$994,ACABAMENTO!H8)</f>
        <v>0</v>
      </c>
      <c r="R8" s="40">
        <f>COUNTIFS(' CADASTRO'!$R$2:R$994,ACABAMENTO!I8)</f>
        <v>0</v>
      </c>
      <c r="S8" s="62">
        <f t="shared" si="7"/>
        <v>2</v>
      </c>
      <c r="T8" s="112">
        <f t="shared" si="5"/>
        <v>0.5</v>
      </c>
    </row>
    <row r="9" spans="1:20">
      <c r="A9" s="52" t="s">
        <v>142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si="4"/>
        <v>45763</v>
      </c>
      <c r="F9" s="53">
        <f t="shared" si="4"/>
        <v>45764</v>
      </c>
      <c r="G9" s="53">
        <f t="shared" si="4"/>
        <v>45765</v>
      </c>
      <c r="H9" s="53">
        <f t="shared" si="1"/>
        <v>45766</v>
      </c>
      <c r="I9" s="55">
        <f t="shared" si="2"/>
        <v>45767</v>
      </c>
      <c r="J9" s="56">
        <f>COUNTIFS(' CADASTRO'!R6:$R$994,ACABAMENTO!B9)+COUNTIFS(' CADASTRO'!R6:$R$994,D9)+COUNTIFS(' CADASTRO'!$R6:R$994,E9)+COUNTIFS(' CADASTRO'!R6:$R$994,F9)+COUNTIFS(' CADASTRO'!R6:$R$994,G9)+COUNTIFS(' CADASTRO'!R6:$R$994,H9)+COUNTIFS(' CADASTRO'!R6:$R$994,I9)</f>
        <v>7</v>
      </c>
      <c r="L9" s="40">
        <f>IF(B9="","",COUNTIFS(' CADASTRO'!$R$2:$R$994,ACABAMENTO!B9))</f>
        <v>0</v>
      </c>
      <c r="M9" s="40">
        <f>IF(D9=0,"",COUNTIFS(' CADASTRO'!$R$2:R$994,ACABAMENTO!D9))</f>
        <v>3</v>
      </c>
      <c r="N9" s="40">
        <f>COUNTIFS(' CADASTRO'!$R$2:R$994,ACABAMENTO!E9)</f>
        <v>0</v>
      </c>
      <c r="O9" s="40">
        <f>COUNTIFS(' CADASTRO'!$R$2:R$994,ACABAMENTO!F9)</f>
        <v>4</v>
      </c>
      <c r="P9" s="40">
        <f>COUNTIFS(' CADASTRO'!$R$2:R$994,ACABAMENTO!G9)</f>
        <v>0</v>
      </c>
      <c r="Q9" s="40">
        <f>COUNTIFS(' CADASTRO'!$R$2:R$994,ACABAMENTO!H9)</f>
        <v>0</v>
      </c>
      <c r="R9" s="40">
        <f>COUNTIFS(' CADASTRO'!$R$2:R$994,ACABAMENTO!I9)</f>
        <v>0</v>
      </c>
      <c r="S9" s="62">
        <f t="shared" si="7"/>
        <v>1.1666666666666667</v>
      </c>
      <c r="T9" s="112">
        <f t="shared" si="5"/>
        <v>0.29166666666666669</v>
      </c>
    </row>
    <row r="10" spans="1:20">
      <c r="A10" s="52" t="s">
        <v>143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si="4"/>
        <v>45770</v>
      </c>
      <c r="F10" s="53">
        <f t="shared" si="4"/>
        <v>45771</v>
      </c>
      <c r="G10" s="53">
        <f t="shared" si="4"/>
        <v>45772</v>
      </c>
      <c r="H10" s="53">
        <f t="shared" si="1"/>
        <v>45773</v>
      </c>
      <c r="I10" s="55">
        <f t="shared" si="2"/>
        <v>45774</v>
      </c>
      <c r="J10" s="56">
        <f>COUNTIFS(' CADASTRO'!R7:$R$994,ACABAMENTO!B10)+COUNTIFS(' CADASTRO'!R7:$R$994,D10)+COUNTIFS(' CADASTRO'!$R7:R$994,E10)+COUNTIFS(' CADASTRO'!R7:$R$994,F10)+COUNTIFS(' CADASTRO'!R7:$R$994,G10)+COUNTIFS(' CADASTRO'!R7:$R$994,H10)+COUNTIFS(' CADASTRO'!R7:$R$994,I10)</f>
        <v>13</v>
      </c>
      <c r="L10" s="40">
        <f>IF(B10="","",COUNTIFS(' CADASTRO'!$R$2:$R$994,ACABAMENTO!B10))</f>
        <v>0</v>
      </c>
      <c r="M10" s="40">
        <f>IF(D10=0,"",COUNTIFS(' CADASTRO'!$R$2:R$994,ACABAMENTO!D10))</f>
        <v>4</v>
      </c>
      <c r="N10" s="40">
        <f>COUNTIFS(' CADASTRO'!$R$2:R$994,ACABAMENTO!E10)</f>
        <v>0</v>
      </c>
      <c r="O10" s="40">
        <f>COUNTIFS(' CADASTRO'!$R$2:R$994,ACABAMENTO!F10)</f>
        <v>3</v>
      </c>
      <c r="P10" s="40">
        <f>COUNTIFS(' CADASTRO'!$R$2:R$994,ACABAMENTO!G10)</f>
        <v>0</v>
      </c>
      <c r="Q10" s="40">
        <f>COUNTIFS(' CADASTRO'!$R$2:R$994,ACABAMENTO!H10)</f>
        <v>6</v>
      </c>
      <c r="R10" s="40">
        <f>COUNTIFS(' CADASTRO'!$R$2:R$994,ACABAMENTO!I10)</f>
        <v>0</v>
      </c>
      <c r="S10" s="62">
        <f t="shared" si="7"/>
        <v>2.1666666666666665</v>
      </c>
      <c r="T10" s="112">
        <f t="shared" si="5"/>
        <v>0.54166666666666663</v>
      </c>
    </row>
    <row r="11" spans="1:20">
      <c r="A11" s="52" t="s">
        <v>144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si="4"/>
        <v>45777</v>
      </c>
      <c r="F11" s="53">
        <f t="shared" si="4"/>
        <v>45778</v>
      </c>
      <c r="G11" s="53">
        <f t="shared" si="4"/>
        <v>45779</v>
      </c>
      <c r="H11" s="53">
        <f t="shared" si="1"/>
        <v>45780</v>
      </c>
      <c r="I11" s="55">
        <f t="shared" si="2"/>
        <v>45781</v>
      </c>
      <c r="J11" s="56">
        <f>COUNTIFS(' CADASTRO'!R8:$R$994,ACABAMENTO!B11)+COUNTIFS(' CADASTRO'!R8:$R$994,D11)+COUNTIFS(' CADASTRO'!$R8:R$994,E11)+COUNTIFS(' CADASTRO'!R8:$R$994,F11)+COUNTIFS(' CADASTRO'!R8:$R$994,G11)+COUNTIFS(' CADASTRO'!R8:$R$994,H11)+COUNTIFS(' CADASTRO'!R8:$R$994,I11)</f>
        <v>11</v>
      </c>
      <c r="L11" s="40">
        <f>IF(B11="","",COUNTIFS(' CADASTRO'!$R$2:$R$994,ACABAMENTO!B11))</f>
        <v>1</v>
      </c>
      <c r="M11" s="40">
        <f>IF(D11=0,"",COUNTIFS(' CADASTRO'!$R$2:R$994,ACABAMENTO!D11))</f>
        <v>2</v>
      </c>
      <c r="N11" s="40">
        <f>COUNTIFS(' CADASTRO'!$R$2:R$994,ACABAMENTO!E11)</f>
        <v>4</v>
      </c>
      <c r="O11" s="40">
        <f>COUNTIFS(' CADASTRO'!$R$2:R$994,ACABAMENTO!F11)</f>
        <v>0</v>
      </c>
      <c r="P11" s="40">
        <f>COUNTIFS(' CADASTRO'!$R$2:R$994,ACABAMENTO!G11)</f>
        <v>4</v>
      </c>
      <c r="Q11" s="40">
        <f>COUNTIFS(' CADASTRO'!$R$2:R$994,ACABAMENTO!H11)</f>
        <v>0</v>
      </c>
      <c r="R11" s="40">
        <f>COUNTIFS(' CADASTRO'!$R$2:R$994,ACABAMENTO!I11)</f>
        <v>0</v>
      </c>
      <c r="S11" s="62">
        <f t="shared" si="7"/>
        <v>1.8333333333333333</v>
      </c>
      <c r="T11" s="112">
        <f t="shared" si="5"/>
        <v>0.45833333333333331</v>
      </c>
    </row>
    <row r="12" spans="1:20">
      <c r="A12" s="52" t="s">
        <v>145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si="4"/>
        <v>45784</v>
      </c>
      <c r="F12" s="53">
        <f t="shared" si="4"/>
        <v>45785</v>
      </c>
      <c r="G12" s="53">
        <f t="shared" si="4"/>
        <v>45786</v>
      </c>
      <c r="H12" s="53">
        <f t="shared" si="1"/>
        <v>45787</v>
      </c>
      <c r="I12" s="55">
        <f t="shared" si="2"/>
        <v>45788</v>
      </c>
      <c r="J12" s="56">
        <f>COUNTIFS(' CADASTRO'!R9:$R$994,ACABAMENTO!B12)+COUNTIFS(' CADASTRO'!R9:$R$994,D12)+COUNTIFS(' CADASTRO'!$R9:R$994,E12)+COUNTIFS(' CADASTRO'!R9:$R$994,F12)+COUNTIFS(' CADASTRO'!R9:$R$994,G12)+COUNTIFS(' CADASTRO'!R9:$R$994,H12)+COUNTIFS(' CADASTRO'!R9:$R$994,I12)</f>
        <v>12</v>
      </c>
      <c r="L12" s="40">
        <f>IF(B12="","",COUNTIFS(' CADASTRO'!$R$2:$R$994,ACABAMENTO!B12))</f>
        <v>3</v>
      </c>
      <c r="M12" s="40">
        <f>IF(D12=0,"",COUNTIFS(' CADASTRO'!$R$2:R$994,ACABAMENTO!D12))</f>
        <v>2</v>
      </c>
      <c r="N12" s="40">
        <f>COUNTIFS(' CADASTRO'!$R$2:R$994,ACABAMENTO!E12)</f>
        <v>4</v>
      </c>
      <c r="O12" s="40">
        <f>COUNTIFS(' CADASTRO'!$R$2:R$994,ACABAMENTO!F12)</f>
        <v>0</v>
      </c>
      <c r="P12" s="40">
        <f>COUNTIFS(' CADASTRO'!$R$2:R$994,ACABAMENTO!G12)</f>
        <v>3</v>
      </c>
      <c r="Q12" s="40">
        <f>COUNTIFS(' CADASTRO'!$R$2:R$994,ACABAMENTO!H12)</f>
        <v>0</v>
      </c>
      <c r="R12" s="40">
        <f>COUNTIFS(' CADASTRO'!$R$2:R$994,ACABAMENTO!I12)</f>
        <v>0</v>
      </c>
      <c r="S12" s="62">
        <f t="shared" si="7"/>
        <v>2</v>
      </c>
      <c r="T12" s="112">
        <f t="shared" si="5"/>
        <v>0.5</v>
      </c>
    </row>
    <row r="13" spans="1:20">
      <c r="A13" s="52" t="s">
        <v>146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si="4"/>
        <v>45791</v>
      </c>
      <c r="F13" s="53">
        <f t="shared" si="4"/>
        <v>45792</v>
      </c>
      <c r="G13" s="53">
        <f t="shared" si="4"/>
        <v>45793</v>
      </c>
      <c r="H13" s="53">
        <f t="shared" si="1"/>
        <v>45794</v>
      </c>
      <c r="I13" s="55">
        <f t="shared" si="2"/>
        <v>45795</v>
      </c>
      <c r="J13" s="56">
        <f>COUNTIFS(' CADASTRO'!R10:$R$994,ACABAMENTO!B13)+COUNTIFS(' CADASTRO'!R10:$R$994,D13)+COUNTIFS(' CADASTRO'!$R10:R$994,E13)+COUNTIFS(' CADASTRO'!R10:$R$994,F13)+COUNTIFS(' CADASTRO'!R10:$R$994,G13)+COUNTIFS(' CADASTRO'!R10:$R$994,H13)+COUNTIFS(' CADASTRO'!R10:$R$994,I13)</f>
        <v>10</v>
      </c>
      <c r="L13" s="40">
        <f>IF(B13="","",COUNTIFS(' CADASTRO'!$R$2:$R$994,ACABAMENTO!B13))</f>
        <v>2</v>
      </c>
      <c r="M13" s="40">
        <f>IF(D13=0,"",COUNTIFS(' CADASTRO'!$R$2:R$994,ACABAMENTO!D13))</f>
        <v>0</v>
      </c>
      <c r="N13" s="40">
        <f>COUNTIFS(' CADASTRO'!$R$2:R$994,ACABAMENTO!E13)</f>
        <v>5</v>
      </c>
      <c r="O13" s="40">
        <f>COUNTIFS(' CADASTRO'!$R$2:R$994,ACABAMENTO!F13)</f>
        <v>0</v>
      </c>
      <c r="P13" s="40">
        <f>COUNTIFS(' CADASTRO'!$R$2:R$994,ACABAMENTO!G13)</f>
        <v>3</v>
      </c>
      <c r="Q13" s="40">
        <f>COUNTIFS(' CADASTRO'!$R$2:R$994,ACABAMENTO!H13)</f>
        <v>0</v>
      </c>
      <c r="R13" s="40">
        <f>COUNTIFS(' CADASTRO'!$R$2:R$994,ACABAMENTO!I13)</f>
        <v>0</v>
      </c>
      <c r="S13" s="62">
        <f t="shared" si="7"/>
        <v>1.6666666666666667</v>
      </c>
      <c r="T13" s="112">
        <f t="shared" si="5"/>
        <v>0.41666666666666669</v>
      </c>
    </row>
    <row r="14" spans="1:20">
      <c r="A14" s="52" t="s">
        <v>147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si="4"/>
        <v>45798</v>
      </c>
      <c r="F14" s="53">
        <f t="shared" si="4"/>
        <v>45799</v>
      </c>
      <c r="G14" s="53">
        <f t="shared" si="4"/>
        <v>45800</v>
      </c>
      <c r="H14" s="53">
        <f t="shared" si="1"/>
        <v>45801</v>
      </c>
      <c r="I14" s="55">
        <f t="shared" si="2"/>
        <v>45802</v>
      </c>
      <c r="J14" s="56">
        <f>COUNTIFS(' CADASTRO'!R11:$R$994,ACABAMENTO!B14)+COUNTIFS(' CADASTRO'!R11:$R$994,D14)+COUNTIFS(' CADASTRO'!$R11:R$994,E14)+COUNTIFS(' CADASTRO'!R11:$R$994,F14)+COUNTIFS(' CADASTRO'!R11:$R$994,G14)+COUNTIFS(' CADASTRO'!R11:$R$994,H14)+COUNTIFS(' CADASTRO'!R11:$R$994,I14)</f>
        <v>18</v>
      </c>
      <c r="L14" s="40">
        <f>IF(B14="","",COUNTIFS(' CADASTRO'!$R$2:$R$994,ACABAMENTO!B14))</f>
        <v>2</v>
      </c>
      <c r="M14" s="40">
        <f>IF(D14=0,"",COUNTIFS(' CADASTRO'!$R$2:R$994,ACABAMENTO!D14))</f>
        <v>7</v>
      </c>
      <c r="N14" s="40">
        <f>COUNTIFS(' CADASTRO'!$R$2:R$994,ACABAMENTO!E14)</f>
        <v>5</v>
      </c>
      <c r="O14" s="40">
        <f>COUNTIFS(' CADASTRO'!$R$2:R$994,ACABAMENTO!F14)</f>
        <v>1</v>
      </c>
      <c r="P14" s="40">
        <f>COUNTIFS(' CADASTRO'!$R$2:R$994,ACABAMENTO!G14)</f>
        <v>2</v>
      </c>
      <c r="Q14" s="40">
        <f>COUNTIFS(' CADASTRO'!$R$2:R$994,ACABAMENTO!H14)</f>
        <v>2</v>
      </c>
      <c r="R14" s="40">
        <f>COUNTIFS(' CADASTRO'!$R$2:R$994,ACABAMENTO!I14)</f>
        <v>0</v>
      </c>
      <c r="S14" s="62">
        <f t="shared" si="7"/>
        <v>3.1666666666666665</v>
      </c>
      <c r="T14" s="112">
        <f t="shared" si="5"/>
        <v>0.79166666666666663</v>
      </c>
    </row>
    <row r="15" spans="1:20">
      <c r="A15" s="52" t="s">
        <v>148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si="4"/>
        <v>45805</v>
      </c>
      <c r="F15" s="53">
        <f t="shared" si="4"/>
        <v>45806</v>
      </c>
      <c r="G15" s="53">
        <f t="shared" si="4"/>
        <v>45807</v>
      </c>
      <c r="H15" s="53">
        <f t="shared" si="1"/>
        <v>45808</v>
      </c>
      <c r="I15" s="55">
        <f t="shared" si="2"/>
        <v>45809</v>
      </c>
      <c r="J15" s="56">
        <f>COUNTIFS(' CADASTRO'!R12:$R$994,ACABAMENTO!B15)+COUNTIFS(' CADASTRO'!R12:$R$994,D15)+COUNTIFS(' CADASTRO'!$R12:R$994,E15)+COUNTIFS(' CADASTRO'!R12:$R$994,F15)+COUNTIFS(' CADASTRO'!R12:$R$994,G15)+COUNTIFS(' CADASTRO'!R12:$R$994,H15)+COUNTIFS(' CADASTRO'!R12:$R$994,I15)</f>
        <v>16</v>
      </c>
      <c r="L15" s="40">
        <f>IF(B15="","",COUNTIFS(' CADASTRO'!$R$2:$R$994,ACABAMENTO!B15))</f>
        <v>4</v>
      </c>
      <c r="M15" s="40">
        <f>IF(D15=0,"",COUNTIFS(' CADASTRO'!$R$2:R$994,ACABAMENTO!D15))</f>
        <v>5</v>
      </c>
      <c r="N15" s="40">
        <f>COUNTIFS(' CADASTRO'!$R$2:R$994,ACABAMENTO!E15)</f>
        <v>2</v>
      </c>
      <c r="O15" s="40">
        <f>COUNTIFS(' CADASTRO'!$R$2:R$994,ACABAMENTO!F15)</f>
        <v>1</v>
      </c>
      <c r="P15" s="40">
        <f>COUNTIFS(' CADASTRO'!$R$2:R$994,ACABAMENTO!G15)</f>
        <v>4</v>
      </c>
      <c r="Q15" s="40">
        <f>COUNTIFS(' CADASTRO'!$R$2:R$994,ACABAMENTO!H15)</f>
        <v>0</v>
      </c>
      <c r="R15" s="40">
        <f>COUNTIFS(' CADASTRO'!$R$2:R$994,ACABAMENTO!I15)</f>
        <v>0</v>
      </c>
      <c r="S15" s="62">
        <f t="shared" si="7"/>
        <v>2.6666666666666665</v>
      </c>
      <c r="T15" s="112">
        <f t="shared" si="5"/>
        <v>0.66666666666666663</v>
      </c>
    </row>
    <row r="16" spans="1:20">
      <c r="A16" s="52" t="s">
        <v>149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si="4"/>
        <v>45812</v>
      </c>
      <c r="F16" s="53">
        <f t="shared" si="4"/>
        <v>45813</v>
      </c>
      <c r="G16" s="53">
        <f t="shared" si="4"/>
        <v>45814</v>
      </c>
      <c r="H16" s="53">
        <f t="shared" si="1"/>
        <v>45815</v>
      </c>
      <c r="I16" s="55">
        <f t="shared" si="2"/>
        <v>45816</v>
      </c>
      <c r="J16" s="56">
        <f>COUNTIFS(' CADASTRO'!R13:$R$994,ACABAMENTO!B16)+COUNTIFS(' CADASTRO'!R13:$R$994,D16)+COUNTIFS(' CADASTRO'!$R13:R$994,E16)+COUNTIFS(' CADASTRO'!R13:$R$994,F16)+COUNTIFS(' CADASTRO'!R13:$R$994,G16)+COUNTIFS(' CADASTRO'!R13:$R$994,H16)+COUNTIFS(' CADASTRO'!R13:$R$994,I16)</f>
        <v>12</v>
      </c>
      <c r="L16" s="40">
        <f>IF(B16="","",COUNTIFS(' CADASTRO'!$R$2:$R$994,ACABAMENTO!B16))</f>
        <v>2</v>
      </c>
      <c r="M16" s="40">
        <f>IF(D16=0,"",COUNTIFS(' CADASTRO'!$R$2:R$994,ACABAMENTO!D16))</f>
        <v>3</v>
      </c>
      <c r="N16" s="40">
        <f>COUNTIFS(' CADASTRO'!$R$2:R$994,ACABAMENTO!E16)</f>
        <v>5</v>
      </c>
      <c r="O16" s="40">
        <f>COUNTIFS(' CADASTRO'!$R$2:R$994,ACABAMENTO!F16)</f>
        <v>1</v>
      </c>
      <c r="P16" s="40">
        <f>COUNTIFS(' CADASTRO'!$R$2:R$994,ACABAMENTO!G16)</f>
        <v>0</v>
      </c>
      <c r="Q16" s="40">
        <f>COUNTIFS(' CADASTRO'!$R$2:R$994,ACABAMENTO!H16)</f>
        <v>4</v>
      </c>
      <c r="R16" s="40">
        <f>COUNTIFS(' CADASTRO'!$R$2:R$994,ACABAMENTO!I16)</f>
        <v>0</v>
      </c>
      <c r="S16" s="62">
        <f t="shared" si="7"/>
        <v>2.5</v>
      </c>
      <c r="T16" s="112">
        <f t="shared" si="5"/>
        <v>0.625</v>
      </c>
    </row>
    <row r="17" spans="1:20">
      <c r="A17" s="52" t="s">
        <v>150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si="4"/>
        <v>45819</v>
      </c>
      <c r="F17" s="53">
        <f t="shared" si="4"/>
        <v>45820</v>
      </c>
      <c r="G17" s="53">
        <f t="shared" si="4"/>
        <v>45821</v>
      </c>
      <c r="H17" s="53">
        <f t="shared" si="1"/>
        <v>45822</v>
      </c>
      <c r="I17" s="55">
        <f t="shared" si="2"/>
        <v>45823</v>
      </c>
      <c r="J17" s="56">
        <f>COUNTIFS(' CADASTRO'!R14:$R$994,ACABAMENTO!B17)+COUNTIFS(' CADASTRO'!R14:$R$994,D17)+COUNTIFS(' CADASTRO'!$R14:R$994,E17)+COUNTIFS(' CADASTRO'!R14:$R$994,F17)+COUNTIFS(' CADASTRO'!R14:$R$994,G17)+COUNTIFS(' CADASTRO'!R14:$R$994,H17)+COUNTIFS(' CADASTRO'!R14:$R$994,I17)</f>
        <v>15</v>
      </c>
      <c r="L17" s="40">
        <f>IF(B17="","",COUNTIFS(' CADASTRO'!$R$2:$R$994,ACABAMENTO!B17))</f>
        <v>2</v>
      </c>
      <c r="M17" s="40">
        <f>IF(D17=0,"",COUNTIFS(' CADASTRO'!$R$2:R$994,ACABAMENTO!D17))</f>
        <v>2</v>
      </c>
      <c r="N17" s="40">
        <f>COUNTIFS(' CADASTRO'!$R$2:R$994,ACABAMENTO!E17)</f>
        <v>2</v>
      </c>
      <c r="O17" s="40">
        <f>COUNTIFS(' CADASTRO'!$R$2:R$994,ACABAMENTO!F17)</f>
        <v>4</v>
      </c>
      <c r="P17" s="40">
        <f>COUNTIFS(' CADASTRO'!$R$2:R$994,ACABAMENTO!G17)</f>
        <v>1</v>
      </c>
      <c r="Q17" s="40">
        <f>COUNTIFS(' CADASTRO'!$R$2:R$994,ACABAMENTO!H17)</f>
        <v>4</v>
      </c>
      <c r="R17" s="40">
        <f>COUNTIFS(' CADASTRO'!$R$2:R$994,ACABAMENTO!I17)</f>
        <v>0</v>
      </c>
      <c r="S17" s="62">
        <f t="shared" si="7"/>
        <v>2.5</v>
      </c>
      <c r="T17" s="112">
        <f t="shared" si="5"/>
        <v>0.625</v>
      </c>
    </row>
    <row r="18" spans="1:20">
      <c r="A18" s="52" t="s">
        <v>151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si="4"/>
        <v>45826</v>
      </c>
      <c r="F18" s="53">
        <f t="shared" si="4"/>
        <v>45827</v>
      </c>
      <c r="G18" s="53">
        <f t="shared" si="4"/>
        <v>45828</v>
      </c>
      <c r="H18" s="53">
        <f t="shared" si="1"/>
        <v>45829</v>
      </c>
      <c r="I18" s="55">
        <f t="shared" si="2"/>
        <v>45830</v>
      </c>
      <c r="J18" s="56">
        <f>COUNTIFS(' CADASTRO'!R15:$R$994,ACABAMENTO!B18)+COUNTIFS(' CADASTRO'!R15:$R$994,D18)+COUNTIFS(' CADASTRO'!$R15:R$994,E18)+COUNTIFS(' CADASTRO'!R15:$R$994,F18)+COUNTIFS(' CADASTRO'!R15:$R$994,G18)+COUNTIFS(' CADASTRO'!R15:$R$994,H18)+COUNTIFS(' CADASTRO'!R15:$R$994,I18)</f>
        <v>16</v>
      </c>
      <c r="L18" s="40">
        <f>IF(B18="","",COUNTIFS(' CADASTRO'!$R$2:$R$994,ACABAMENTO!B18))</f>
        <v>3</v>
      </c>
      <c r="M18" s="40">
        <f>IF(D18=0,"",COUNTIFS(' CADASTRO'!$R$2:R$994,ACABAMENTO!D18))</f>
        <v>3</v>
      </c>
      <c r="N18" s="40">
        <f>COUNTIFS(' CADASTRO'!$R$2:R$994,ACABAMENTO!E18)</f>
        <v>2</v>
      </c>
      <c r="O18" s="40">
        <f>COUNTIFS(' CADASTRO'!$R$2:R$994,ACABAMENTO!F18)</f>
        <v>5</v>
      </c>
      <c r="P18" s="40">
        <f>COUNTIFS(' CADASTRO'!$R$2:R$994,ACABAMENTO!G18)</f>
        <v>3</v>
      </c>
      <c r="Q18" s="40">
        <f>COUNTIFS(' CADASTRO'!$R$2:R$994,ACABAMENTO!H18)</f>
        <v>0</v>
      </c>
      <c r="R18" s="40">
        <f>COUNTIFS(' CADASTRO'!$R$2:R$994,ACABAMENTO!I18)</f>
        <v>0</v>
      </c>
      <c r="S18" s="62">
        <f t="shared" si="7"/>
        <v>2.6666666666666665</v>
      </c>
      <c r="T18" s="112">
        <f t="shared" si="5"/>
        <v>0.66666666666666663</v>
      </c>
    </row>
    <row r="19" spans="1:20">
      <c r="A19" s="52" t="s">
        <v>152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si="4"/>
        <v>45833</v>
      </c>
      <c r="F19" s="53">
        <f t="shared" si="4"/>
        <v>45834</v>
      </c>
      <c r="G19" s="53">
        <f t="shared" si="4"/>
        <v>45835</v>
      </c>
      <c r="H19" s="53">
        <f t="shared" si="1"/>
        <v>45836</v>
      </c>
      <c r="I19" s="55">
        <f t="shared" si="2"/>
        <v>45837</v>
      </c>
      <c r="J19" s="56">
        <f>COUNTIFS(' CADASTRO'!R16:$R$994,ACABAMENTO!B19)+COUNTIFS(' CADASTRO'!R16:$R$994,D19)+COUNTIFS(' CADASTRO'!$R16:R$994,E19)+COUNTIFS(' CADASTRO'!R16:$R$994,F19)+COUNTIFS(' CADASTRO'!R16:$R$994,G19)+COUNTIFS(' CADASTRO'!R16:$R$994,H19)+COUNTIFS(' CADASTRO'!R16:$R$994,I19)</f>
        <v>15</v>
      </c>
      <c r="L19" s="40">
        <f>IF(B19="","",COUNTIFS(' CADASTRO'!$R$2:$R$994,ACABAMENTO!B19))</f>
        <v>2</v>
      </c>
      <c r="M19" s="40">
        <f>IF(D19=0,"",COUNTIFS(' CADASTRO'!$R$2:R$994,ACABAMENTO!D19))</f>
        <v>2</v>
      </c>
      <c r="N19" s="40">
        <f>COUNTIFS(' CADASTRO'!$R$2:R$994,ACABAMENTO!E19)</f>
        <v>3</v>
      </c>
      <c r="O19" s="40">
        <f>COUNTIFS(' CADASTRO'!$R$2:R$994,ACABAMENTO!F19)</f>
        <v>3</v>
      </c>
      <c r="P19" s="40">
        <f>COUNTIFS(' CADASTRO'!$R$2:R$994,ACABAMENTO!G19)</f>
        <v>4</v>
      </c>
      <c r="Q19" s="40">
        <f>COUNTIFS(' CADASTRO'!$R$2:R$994,ACABAMENTO!H19)</f>
        <v>1</v>
      </c>
      <c r="R19" s="40">
        <f>COUNTIFS(' CADASTRO'!$R$2:R$994,ACABAMENTO!I19)</f>
        <v>0</v>
      </c>
      <c r="S19" s="62">
        <f t="shared" si="7"/>
        <v>2.5</v>
      </c>
      <c r="T19" s="112">
        <f t="shared" si="5"/>
        <v>0.625</v>
      </c>
    </row>
    <row r="20" spans="1:20">
      <c r="A20" s="52" t="s">
        <v>153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si="4"/>
        <v>45840</v>
      </c>
      <c r="F20" s="53">
        <f t="shared" si="4"/>
        <v>45841</v>
      </c>
      <c r="G20" s="53">
        <f t="shared" si="4"/>
        <v>45842</v>
      </c>
      <c r="H20" s="53">
        <f t="shared" si="1"/>
        <v>45843</v>
      </c>
      <c r="I20" s="55">
        <f t="shared" si="2"/>
        <v>45844</v>
      </c>
      <c r="J20" s="56">
        <f>COUNTIFS(' CADASTRO'!R17:$R$994,ACABAMENTO!B20)+COUNTIFS(' CADASTRO'!R17:$R$994,D20)+COUNTIFS(' CADASTRO'!$R17:R$994,E20)+COUNTIFS(' CADASTRO'!R17:$R$994,F20)+COUNTIFS(' CADASTRO'!R17:$R$994,G20)+COUNTIFS(' CADASTRO'!R17:$R$994,H20)+COUNTIFS(' CADASTRO'!R17:$R$994,I20)</f>
        <v>9</v>
      </c>
      <c r="L20" s="40">
        <f>IF(B20="","",COUNTIFS(' CADASTRO'!$R$2:$R$994,ACABAMENTO!B20))</f>
        <v>2</v>
      </c>
      <c r="M20" s="40">
        <f>IF(D20=0,"",COUNTIFS(' CADASTRO'!$R$2:R$994,ACABAMENTO!D20))</f>
        <v>3</v>
      </c>
      <c r="N20" s="40">
        <f>COUNTIFS(' CADASTRO'!$R$2:R$994,ACABAMENTO!E20)</f>
        <v>1</v>
      </c>
      <c r="O20" s="40">
        <f>COUNTIFS(' CADASTRO'!$R$2:R$994,ACABAMENTO!F20)</f>
        <v>0</v>
      </c>
      <c r="P20" s="40">
        <f>COUNTIFS(' CADASTRO'!$R$2:R$994,ACABAMENTO!G20)</f>
        <v>0</v>
      </c>
      <c r="Q20" s="40">
        <f>COUNTIFS(' CADASTRO'!$R$2:R$994,ACABAMENTO!H20)</f>
        <v>3</v>
      </c>
      <c r="R20" s="40">
        <f>COUNTIFS(' CADASTRO'!$R$2:R$994,ACABAMENTO!I20)</f>
        <v>0</v>
      </c>
      <c r="S20" s="62">
        <f t="shared" si="7"/>
        <v>1.5</v>
      </c>
      <c r="T20" s="112">
        <f t="shared" si="5"/>
        <v>0.375</v>
      </c>
    </row>
    <row r="21" spans="1:20">
      <c r="A21" s="52" t="s">
        <v>154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si="4"/>
        <v>45847</v>
      </c>
      <c r="F21" s="53">
        <f t="shared" si="4"/>
        <v>45848</v>
      </c>
      <c r="G21" s="53">
        <f t="shared" si="4"/>
        <v>45849</v>
      </c>
      <c r="H21" s="53">
        <f t="shared" si="1"/>
        <v>45850</v>
      </c>
      <c r="I21" s="55">
        <f t="shared" si="2"/>
        <v>45851</v>
      </c>
      <c r="J21" s="56">
        <f>COUNTIFS(' CADASTRO'!R18:$R$994,ACABAMENTO!B21)+COUNTIFS(' CADASTRO'!R18:$R$994,D21)+COUNTIFS(' CADASTRO'!$R18:R$994,E21)+COUNTIFS(' CADASTRO'!R18:$R$994,F21)+COUNTIFS(' CADASTRO'!R18:$R$994,G21)+COUNTIFS(' CADASTRO'!R18:$R$994,H21)+COUNTIFS(' CADASTRO'!R18:$R$994,I21)</f>
        <v>19</v>
      </c>
      <c r="L21" s="40">
        <f>IF(B21="","",COUNTIFS(' CADASTRO'!$R$2:$R$994,ACABAMENTO!B21))</f>
        <v>5</v>
      </c>
      <c r="M21" s="40">
        <f>IF(D21=0,"",COUNTIFS(' CADASTRO'!$R$2:R$994,ACABAMENTO!D21))</f>
        <v>2</v>
      </c>
      <c r="N21" s="40">
        <f>COUNTIFS(' CADASTRO'!$R$2:R$994,ACABAMENTO!E21)</f>
        <v>5</v>
      </c>
      <c r="O21" s="40">
        <f>COUNTIFS(' CADASTRO'!$R$2:R$994,ACABAMENTO!F21)</f>
        <v>2</v>
      </c>
      <c r="P21" s="40">
        <f>COUNTIFS(' CADASTRO'!$R$2:R$994,ACABAMENTO!G21)</f>
        <v>5</v>
      </c>
      <c r="Q21" s="40">
        <f>COUNTIFS(' CADASTRO'!$R$2:R$994,ACABAMENTO!H21)</f>
        <v>0</v>
      </c>
      <c r="R21" s="40">
        <f>COUNTIFS(' CADASTRO'!$R$2:R$994,ACABAMENTO!I21)</f>
        <v>0</v>
      </c>
      <c r="S21" s="62">
        <f t="shared" si="7"/>
        <v>3.1666666666666665</v>
      </c>
      <c r="T21" s="112">
        <f t="shared" si="5"/>
        <v>0.79166666666666663</v>
      </c>
    </row>
    <row r="22" spans="1:20">
      <c r="A22" s="52" t="s">
        <v>155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ref="E22:G28" si="8">D22+1</f>
        <v>45854</v>
      </c>
      <c r="F22" s="53">
        <f t="shared" si="8"/>
        <v>45855</v>
      </c>
      <c r="G22" s="53">
        <f t="shared" si="8"/>
        <v>45856</v>
      </c>
      <c r="H22" s="53">
        <f t="shared" si="1"/>
        <v>45857</v>
      </c>
      <c r="I22" s="55">
        <f t="shared" si="2"/>
        <v>45858</v>
      </c>
      <c r="J22" s="56">
        <f>COUNTIFS(' CADASTRO'!R19:$R$994,ACABAMENTO!B22)+COUNTIFS(' CADASTRO'!R19:$R$994,D22)+COUNTIFS(' CADASTRO'!$R19:R$994,E22)+COUNTIFS(' CADASTRO'!R19:$R$994,F22)+COUNTIFS(' CADASTRO'!R19:$R$994,G22)+COUNTIFS(' CADASTRO'!R19:$R$994,H22)+COUNTIFS(' CADASTRO'!R19:$R$994,I22)</f>
        <v>0</v>
      </c>
      <c r="L22" s="40">
        <f>IF(B22="","",COUNTIFS(' CADASTRO'!$R$2:$R$994,ACABAMENTO!B22))</f>
        <v>0</v>
      </c>
      <c r="M22" s="40">
        <f>IF(D22=0,"",COUNTIFS(' CADASTRO'!$R$2:R$994,ACABAMENTO!D22))</f>
        <v>0</v>
      </c>
      <c r="N22" s="40">
        <f>COUNTIFS(' CADASTRO'!$R$2:R$994,ACABAMENTO!E22)</f>
        <v>0</v>
      </c>
      <c r="O22" s="40">
        <f>COUNTIFS(' CADASTRO'!$R$2:R$994,ACABAMENTO!F22)</f>
        <v>0</v>
      </c>
      <c r="P22" s="40">
        <f>COUNTIFS(' CADASTRO'!$R$2:R$994,ACABAMENTO!G22)</f>
        <v>0</v>
      </c>
      <c r="Q22" s="40">
        <f>COUNTIFS(' CADASTRO'!$R$2:R$994,ACABAMENTO!H22)</f>
        <v>0</v>
      </c>
      <c r="R22" s="40">
        <f>COUNTIFS(' CADASTRO'!$R$2:R$994,ACABAMENTO!I22)</f>
        <v>0</v>
      </c>
      <c r="S22" s="62">
        <f t="shared" si="7"/>
        <v>0</v>
      </c>
      <c r="T22" s="112">
        <f t="shared" si="5"/>
        <v>0</v>
      </c>
    </row>
    <row r="23" spans="1:20">
      <c r="A23" s="52" t="s">
        <v>156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8"/>
        <v>45861</v>
      </c>
      <c r="F23" s="53">
        <f t="shared" si="8"/>
        <v>45862</v>
      </c>
      <c r="G23" s="53">
        <f t="shared" si="8"/>
        <v>45863</v>
      </c>
      <c r="H23" s="53">
        <f t="shared" si="1"/>
        <v>45864</v>
      </c>
      <c r="I23" s="55">
        <f t="shared" si="2"/>
        <v>45865</v>
      </c>
      <c r="J23" s="56">
        <f>COUNTIFS(' CADASTRO'!R20:$R$994,ACABAMENTO!B23)+COUNTIFS(' CADASTRO'!R20:$R$994,D23)+COUNTIFS(' CADASTRO'!$R20:R$994,E23)+COUNTIFS(' CADASTRO'!R20:$R$994,F23)+COUNTIFS(' CADASTRO'!R20:$R$994,G23)+COUNTIFS(' CADASTRO'!R20:$R$994,H23)+COUNTIFS(' CADASTRO'!R20:$R$994,I23)</f>
        <v>0</v>
      </c>
      <c r="L23" s="40">
        <f>IF(B23="","",COUNTIFS(' CADASTRO'!$R$2:$R$994,ACABAMENTO!B23))</f>
        <v>0</v>
      </c>
      <c r="M23" s="40">
        <f>IF(D23=0,"",COUNTIFS(' CADASTRO'!$R$2:R$994,ACABAMENTO!D23))</f>
        <v>0</v>
      </c>
      <c r="N23" s="40">
        <f>COUNTIFS(' CADASTRO'!$R$2:R$994,ACABAMENTO!E23)</f>
        <v>0</v>
      </c>
      <c r="O23" s="40">
        <f>COUNTIFS(' CADASTRO'!$R$2:R$994,ACABAMENTO!F23)</f>
        <v>0</v>
      </c>
      <c r="P23" s="40">
        <f>COUNTIFS(' CADASTRO'!$R$2:R$994,ACABAMENTO!G23)</f>
        <v>0</v>
      </c>
      <c r="Q23" s="40">
        <f>COUNTIFS(' CADASTRO'!$R$2:R$994,ACABAMENTO!H23)</f>
        <v>0</v>
      </c>
      <c r="R23" s="40">
        <f>COUNTIFS(' CADASTRO'!$R$2:R$994,ACABAMENTO!I23)</f>
        <v>0</v>
      </c>
      <c r="S23" s="62">
        <f t="shared" si="7"/>
        <v>0</v>
      </c>
      <c r="T23" s="112">
        <f t="shared" si="5"/>
        <v>0</v>
      </c>
    </row>
    <row r="24" spans="1:20">
      <c r="A24" s="52" t="s">
        <v>157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8"/>
        <v>45868</v>
      </c>
      <c r="F24" s="53">
        <f t="shared" si="8"/>
        <v>45869</v>
      </c>
      <c r="G24" s="53">
        <f t="shared" si="8"/>
        <v>45870</v>
      </c>
      <c r="H24" s="53">
        <f t="shared" si="1"/>
        <v>45871</v>
      </c>
      <c r="I24" s="55">
        <f t="shared" si="2"/>
        <v>45872</v>
      </c>
      <c r="J24" s="56">
        <f>COUNTIFS(' CADASTRO'!R21:$R$994,ACABAMENTO!B24)+COUNTIFS(' CADASTRO'!R21:$R$994,D24)+COUNTIFS(' CADASTRO'!$R21:R$994,E24)+COUNTIFS(' CADASTRO'!R21:$R$994,F24)+COUNTIFS(' CADASTRO'!R21:$R$994,G24)+COUNTIFS(' CADASTRO'!R21:$R$994,H24)+COUNTIFS(' CADASTRO'!R21:$R$994,I24)</f>
        <v>0</v>
      </c>
      <c r="L24" s="40">
        <f>IF(B24="","",COUNTIFS(' CADASTRO'!$R$2:$R$994,ACABAMENTO!B24))</f>
        <v>0</v>
      </c>
      <c r="M24" s="40">
        <f>IF(D24=0,"",COUNTIFS(' CADASTRO'!$R$2:R$994,ACABAMENTO!D24))</f>
        <v>0</v>
      </c>
      <c r="N24" s="40">
        <f>COUNTIFS(' CADASTRO'!$R$2:R$994,ACABAMENTO!E24)</f>
        <v>0</v>
      </c>
      <c r="O24" s="40">
        <f>COUNTIFS(' CADASTRO'!$R$2:R$994,ACABAMENTO!F24)</f>
        <v>0</v>
      </c>
      <c r="P24" s="40">
        <f>COUNTIFS(' CADASTRO'!$R$2:R$994,ACABAMENTO!G24)</f>
        <v>0</v>
      </c>
      <c r="Q24" s="40">
        <f>COUNTIFS(' CADASTRO'!$R$2:R$994,ACABAMENTO!H24)</f>
        <v>0</v>
      </c>
      <c r="R24" s="40">
        <f>COUNTIFS(' CADASTRO'!$R$2:R$994,ACABAMENTO!I24)</f>
        <v>0</v>
      </c>
      <c r="S24" s="62">
        <f t="shared" si="7"/>
        <v>0</v>
      </c>
      <c r="T24" s="112">
        <f t="shared" si="5"/>
        <v>0</v>
      </c>
    </row>
    <row r="25" spans="1:20">
      <c r="A25" s="52" t="s">
        <v>158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8"/>
        <v>45875</v>
      </c>
      <c r="F25" s="53">
        <f t="shared" si="8"/>
        <v>45876</v>
      </c>
      <c r="G25" s="53">
        <f t="shared" si="8"/>
        <v>45877</v>
      </c>
      <c r="H25" s="53">
        <f t="shared" si="1"/>
        <v>45878</v>
      </c>
      <c r="I25" s="55">
        <f t="shared" si="2"/>
        <v>45879</v>
      </c>
      <c r="J25" s="56">
        <f>COUNTIFS(' CADASTRO'!R22:$R$994,ACABAMENTO!B25)+COUNTIFS(' CADASTRO'!R22:$R$994,D25)+COUNTIFS(' CADASTRO'!$R22:R$994,E25)+COUNTIFS(' CADASTRO'!R22:$R$994,F25)+COUNTIFS(' CADASTRO'!R22:$R$994,G25)+COUNTIFS(' CADASTRO'!R22:$R$994,H25)+COUNTIFS(' CADASTRO'!R22:$R$994,I25)</f>
        <v>0</v>
      </c>
      <c r="L25" s="40">
        <f>IF(B25="","",COUNTIFS(' CADASTRO'!$R$2:$R$994,ACABAMENTO!B25))</f>
        <v>0</v>
      </c>
      <c r="M25" s="40">
        <f>IF(D25=0,"",COUNTIFS(' CADASTRO'!$R$2:R$994,ACABAMENTO!D25))</f>
        <v>0</v>
      </c>
      <c r="N25" s="40">
        <f>COUNTIFS(' CADASTRO'!$R$2:R$994,ACABAMENTO!E25)</f>
        <v>0</v>
      </c>
      <c r="O25" s="40">
        <f>COUNTIFS(' CADASTRO'!$R$2:R$994,ACABAMENTO!F25)</f>
        <v>0</v>
      </c>
      <c r="P25" s="40">
        <f>COUNTIFS(' CADASTRO'!$R$2:R$994,ACABAMENTO!G25)</f>
        <v>0</v>
      </c>
      <c r="Q25" s="40">
        <f>COUNTIFS(' CADASTRO'!$R$2:R$994,ACABAMENTO!H25)</f>
        <v>0</v>
      </c>
      <c r="R25" s="40">
        <f>COUNTIFS(' CADASTRO'!$R$2:R$994,ACABAMENTO!I25)</f>
        <v>0</v>
      </c>
      <c r="S25" s="62">
        <f t="shared" si="7"/>
        <v>0</v>
      </c>
      <c r="T25" s="112">
        <f t="shared" si="5"/>
        <v>0</v>
      </c>
    </row>
    <row r="26" spans="1:20">
      <c r="A26" s="52" t="s">
        <v>159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8"/>
        <v>45882</v>
      </c>
      <c r="F26" s="53">
        <f t="shared" si="8"/>
        <v>45883</v>
      </c>
      <c r="G26" s="53">
        <f t="shared" si="8"/>
        <v>45884</v>
      </c>
      <c r="H26" s="53">
        <f t="shared" si="1"/>
        <v>45885</v>
      </c>
      <c r="I26" s="55">
        <f t="shared" si="2"/>
        <v>45886</v>
      </c>
      <c r="J26" s="56">
        <f>COUNTIFS(' CADASTRO'!R23:$R$994,ACABAMENTO!B26)+COUNTIFS(' CADASTRO'!R23:$R$994,D26)+COUNTIFS(' CADASTRO'!$R23:R$994,E26)+COUNTIFS(' CADASTRO'!R23:$R$994,F26)+COUNTIFS(' CADASTRO'!R23:$R$994,G26)+COUNTIFS(' CADASTRO'!R23:$R$994,H26)+COUNTIFS(' CADASTRO'!R23:$R$994,I26)</f>
        <v>0</v>
      </c>
      <c r="L26" s="40">
        <f>IF(B26="","",COUNTIFS(' CADASTRO'!$R$2:$R$994,ACABAMENTO!B26))</f>
        <v>0</v>
      </c>
      <c r="M26" s="40">
        <f>IF(D26=0,"",COUNTIFS(' CADASTRO'!$R$2:R$994,ACABAMENTO!D26))</f>
        <v>0</v>
      </c>
      <c r="N26" s="40">
        <f>COUNTIFS(' CADASTRO'!$R$2:R$994,ACABAMENTO!E26)</f>
        <v>0</v>
      </c>
      <c r="O26" s="40">
        <f>COUNTIFS(' CADASTRO'!$R$2:R$994,ACABAMENTO!F26)</f>
        <v>0</v>
      </c>
      <c r="P26" s="40">
        <f>COUNTIFS(' CADASTRO'!$R$2:R$994,ACABAMENTO!G26)</f>
        <v>0</v>
      </c>
      <c r="Q26" s="40">
        <f>COUNTIFS(' CADASTRO'!$R$2:R$994,ACABAMENTO!H26)</f>
        <v>0</v>
      </c>
      <c r="R26" s="40">
        <f>COUNTIFS(' CADASTRO'!$R$2:R$994,ACABAMENTO!I26)</f>
        <v>0</v>
      </c>
      <c r="S26" s="62">
        <f t="shared" si="7"/>
        <v>0</v>
      </c>
      <c r="T26" s="112">
        <f t="shared" si="5"/>
        <v>0</v>
      </c>
    </row>
    <row r="27" spans="1:20">
      <c r="A27" s="52" t="s">
        <v>160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8"/>
        <v>45889</v>
      </c>
      <c r="F27" s="53">
        <f t="shared" si="8"/>
        <v>45890</v>
      </c>
      <c r="G27" s="53">
        <f t="shared" si="8"/>
        <v>45891</v>
      </c>
      <c r="H27" s="53">
        <f t="shared" si="1"/>
        <v>45892</v>
      </c>
      <c r="I27" s="55">
        <f t="shared" si="2"/>
        <v>45893</v>
      </c>
      <c r="J27" s="56">
        <f>COUNTIFS(' CADASTRO'!R24:$R$994,ACABAMENTO!B27)+COUNTIFS(' CADASTRO'!R24:$R$994,D27)+COUNTIFS(' CADASTRO'!$R24:R$994,E27)+COUNTIFS(' CADASTRO'!R24:$R$994,F27)+COUNTIFS(' CADASTRO'!R24:$R$994,G27)+COUNTIFS(' CADASTRO'!R24:$R$994,H27)+COUNTIFS(' CADASTRO'!R24:$R$994,I27)</f>
        <v>0</v>
      </c>
      <c r="L27" s="40">
        <f>IF(B27="","",COUNTIFS(' CADASTRO'!$R$2:$R$994,ACABAMENTO!B27))</f>
        <v>0</v>
      </c>
      <c r="M27" s="40">
        <f>IF(D27=0,"",COUNTIFS(' CADASTRO'!$R$2:R$994,ACABAMENTO!D27))</f>
        <v>0</v>
      </c>
      <c r="N27" s="40">
        <f>COUNTIFS(' CADASTRO'!$R$2:R$994,ACABAMENTO!E27)</f>
        <v>0</v>
      </c>
      <c r="O27" s="40">
        <f>COUNTIFS(' CADASTRO'!$R$2:R$994,ACABAMENTO!F27)</f>
        <v>0</v>
      </c>
      <c r="P27" s="40">
        <f>COUNTIFS(' CADASTRO'!$R$2:R$994,ACABAMENTO!G27)</f>
        <v>0</v>
      </c>
      <c r="Q27" s="40">
        <f>COUNTIFS(' CADASTRO'!$R$2:R$994,ACABAMENTO!H27)</f>
        <v>0</v>
      </c>
      <c r="R27" s="40">
        <f>COUNTIFS(' CADASTRO'!$R$2:R$994,ACABAMENTO!I27)</f>
        <v>0</v>
      </c>
      <c r="S27" s="62">
        <f t="shared" si="7"/>
        <v>0</v>
      </c>
      <c r="T27" s="112">
        <f t="shared" si="5"/>
        <v>0</v>
      </c>
    </row>
    <row r="28" spans="1:20">
      <c r="A28" s="52" t="s">
        <v>161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8"/>
        <v>45896</v>
      </c>
      <c r="F28" s="53">
        <f t="shared" si="8"/>
        <v>45897</v>
      </c>
      <c r="G28" s="53">
        <f t="shared" si="8"/>
        <v>45898</v>
      </c>
      <c r="H28" s="53">
        <f t="shared" si="1"/>
        <v>45899</v>
      </c>
      <c r="I28" s="55">
        <f t="shared" si="2"/>
        <v>45900</v>
      </c>
      <c r="J28" s="56">
        <f>COUNTIFS(' CADASTRO'!R25:$R$994,ACABAMENTO!B28)+COUNTIFS(' CADASTRO'!R25:$R$994,D28)+COUNTIFS(' CADASTRO'!$R25:R$994,E28)+COUNTIFS(' CADASTRO'!R25:$R$994,F28)+COUNTIFS(' CADASTRO'!R25:$R$994,G28)+COUNTIFS(' CADASTRO'!R25:$R$994,H28)+COUNTIFS(' CADASTRO'!R25:$R$994,I28)</f>
        <v>0</v>
      </c>
      <c r="L28" s="40">
        <f>IF(B28="","",COUNTIFS(' CADASTRO'!$R$2:$R$994,ACABAMENTO!B28))</f>
        <v>0</v>
      </c>
      <c r="M28" s="40">
        <f>IF(D28=0,"",COUNTIFS(' CADASTRO'!$R$2:R$994,ACABAMENTO!D28))</f>
        <v>0</v>
      </c>
      <c r="N28" s="40">
        <f>COUNTIFS(' CADASTRO'!$R$2:R$994,ACABAMENTO!E28)</f>
        <v>0</v>
      </c>
      <c r="O28" s="40">
        <f>COUNTIFS(' CADASTRO'!$R$2:R$994,ACABAMENTO!F28)</f>
        <v>0</v>
      </c>
      <c r="P28" s="40">
        <f>COUNTIFS(' CADASTRO'!$R$2:R$994,ACABAMENTO!G28)</f>
        <v>0</v>
      </c>
      <c r="Q28" s="40">
        <f>COUNTIFS(' CADASTRO'!$R$2:R$994,ACABAMENTO!H28)</f>
        <v>0</v>
      </c>
      <c r="R28" s="40">
        <f>COUNTIFS(' CADASTRO'!$R$2:R$994,ACABAMENTO!I28)</f>
        <v>0</v>
      </c>
      <c r="S28" s="62">
        <f t="shared" si="7"/>
        <v>0</v>
      </c>
      <c r="T28" s="112">
        <f t="shared" si="5"/>
        <v>0</v>
      </c>
    </row>
  </sheetData>
  <mergeCells count="4">
    <mergeCell ref="L1:N1"/>
    <mergeCell ref="L2:N2"/>
    <mergeCell ref="A1:A2"/>
    <mergeCell ref="B1:B2"/>
  </mergeCells>
  <phoneticPr fontId="1" type="noConversion"/>
  <conditionalFormatting sqref="L5:R28">
    <cfRule type="cellIs" dxfId="3" priority="3" operator="greaterThan">
      <formula>0</formula>
    </cfRule>
  </conditionalFormatting>
  <conditionalFormatting sqref="L5:R253">
    <cfRule type="cellIs" dxfId="2" priority="4" operator="equal">
      <formula>0</formula>
    </cfRule>
  </conditionalFormatting>
  <conditionalFormatting sqref="S5:S28">
    <cfRule type="cellIs" dxfId="1" priority="1" operator="greaterThanOrEqual">
      <formula>4</formula>
    </cfRule>
    <cfRule type="cellIs" dxfId="0" priority="2" operator="lessThan"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AB9-855D-45F2-AFA8-58298EC37248}">
  <dimension ref="B2:L30"/>
  <sheetViews>
    <sheetView workbookViewId="0">
      <selection activeCell="H23" sqref="H23"/>
    </sheetView>
  </sheetViews>
  <sheetFormatPr defaultRowHeight="14.25"/>
  <cols>
    <col min="2" max="2" width="11.53125" style="14" customWidth="1"/>
    <col min="3" max="3" width="43.6640625" style="14" customWidth="1"/>
    <col min="4" max="12" width="8.86328125" style="14"/>
  </cols>
  <sheetData>
    <row r="2" spans="2:12" ht="39.4">
      <c r="B2" s="78" t="s">
        <v>87</v>
      </c>
      <c r="C2" s="20" t="s">
        <v>118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39" t="s">
        <v>57</v>
      </c>
    </row>
    <row r="3" spans="2:12">
      <c r="B3" s="78" t="s">
        <v>88</v>
      </c>
      <c r="C3" s="20" t="s">
        <v>985</v>
      </c>
      <c r="E3" s="37"/>
      <c r="F3" s="38"/>
      <c r="G3" s="38"/>
      <c r="H3" s="38"/>
      <c r="I3" s="38"/>
      <c r="J3" s="38"/>
      <c r="K3" s="38"/>
    </row>
    <row r="4" spans="2:12">
      <c r="B4" s="78" t="s">
        <v>89</v>
      </c>
      <c r="C4" s="20" t="s">
        <v>120</v>
      </c>
      <c r="E4" s="38"/>
      <c r="F4" s="38"/>
      <c r="G4" s="38"/>
      <c r="H4" s="38"/>
      <c r="I4" s="38"/>
      <c r="J4" s="38"/>
      <c r="K4" s="38"/>
      <c r="L4" s="96"/>
    </row>
    <row r="5" spans="2:12">
      <c r="B5" s="78" t="s">
        <v>90</v>
      </c>
      <c r="C5" s="20" t="s">
        <v>121</v>
      </c>
      <c r="E5" s="38"/>
      <c r="F5" s="38"/>
      <c r="G5" s="38"/>
      <c r="H5" s="38"/>
      <c r="I5" s="38"/>
      <c r="J5" s="38"/>
      <c r="K5" s="38"/>
      <c r="L5" s="96"/>
    </row>
    <row r="6" spans="2:12" ht="15.75">
      <c r="B6" s="79" t="s">
        <v>124</v>
      </c>
      <c r="C6" s="20" t="s">
        <v>127</v>
      </c>
      <c r="E6" s="38"/>
      <c r="F6" s="38"/>
      <c r="G6" s="38"/>
      <c r="H6" s="38"/>
      <c r="I6" s="38"/>
      <c r="J6" s="38"/>
      <c r="K6" s="38"/>
      <c r="L6" s="96"/>
    </row>
    <row r="7" spans="2:12" ht="15.75">
      <c r="B7" s="79" t="s">
        <v>125</v>
      </c>
      <c r="C7" s="20" t="s">
        <v>127</v>
      </c>
      <c r="E7" s="38"/>
      <c r="F7" s="38"/>
      <c r="G7" s="38"/>
      <c r="H7" s="38"/>
      <c r="I7" s="38"/>
      <c r="J7" s="38"/>
      <c r="K7" s="38"/>
      <c r="L7" s="96"/>
    </row>
    <row r="8" spans="2:12">
      <c r="B8" s="79" t="s">
        <v>60</v>
      </c>
      <c r="C8" s="20" t="s">
        <v>126</v>
      </c>
      <c r="E8" s="38"/>
      <c r="F8" s="38"/>
      <c r="G8" s="38"/>
      <c r="H8" s="38"/>
      <c r="I8" s="38"/>
      <c r="J8" s="38"/>
      <c r="K8" s="38"/>
      <c r="L8" s="96"/>
    </row>
    <row r="9" spans="2:12">
      <c r="B9" s="79" t="s">
        <v>61</v>
      </c>
      <c r="C9" s="20" t="s">
        <v>174</v>
      </c>
      <c r="E9" s="38"/>
      <c r="F9" s="38"/>
      <c r="G9" s="38"/>
      <c r="H9" s="38"/>
      <c r="I9" s="38"/>
      <c r="J9" s="38"/>
      <c r="K9" s="38"/>
      <c r="L9" s="96"/>
    </row>
    <row r="10" spans="2:12">
      <c r="B10" s="79" t="s">
        <v>85</v>
      </c>
      <c r="C10" s="20" t="s">
        <v>175</v>
      </c>
      <c r="E10" s="38"/>
      <c r="F10" s="38"/>
      <c r="G10" s="38"/>
      <c r="H10" s="38"/>
      <c r="I10" s="38"/>
      <c r="J10" s="38"/>
      <c r="K10" s="38"/>
      <c r="L10" s="96"/>
    </row>
    <row r="11" spans="2:12">
      <c r="B11" s="79" t="s">
        <v>176</v>
      </c>
      <c r="C11" s="20" t="s">
        <v>184</v>
      </c>
      <c r="E11" s="38"/>
      <c r="F11" s="38"/>
      <c r="G11" s="38"/>
      <c r="H11" s="38"/>
      <c r="I11" s="38"/>
      <c r="J11" s="38"/>
      <c r="K11" s="38"/>
      <c r="L11" s="96"/>
    </row>
    <row r="12" spans="2:12">
      <c r="B12" s="80" t="s">
        <v>177</v>
      </c>
      <c r="C12" s="20" t="s">
        <v>178</v>
      </c>
      <c r="E12" s="38"/>
      <c r="F12" s="38"/>
      <c r="G12" s="38"/>
      <c r="H12" s="38"/>
      <c r="I12" s="38"/>
      <c r="J12" s="38"/>
      <c r="K12" s="38"/>
      <c r="L12" s="96"/>
    </row>
    <row r="13" spans="2:12">
      <c r="B13" s="79" t="s">
        <v>173</v>
      </c>
      <c r="C13" s="20" t="s">
        <v>179</v>
      </c>
      <c r="E13" s="38"/>
      <c r="F13" s="38"/>
      <c r="G13" s="38"/>
      <c r="H13" s="38"/>
      <c r="I13" s="38"/>
      <c r="J13" s="38"/>
      <c r="K13" s="38"/>
      <c r="L13" s="96"/>
    </row>
    <row r="14" spans="2:12">
      <c r="B14" s="79" t="s">
        <v>180</v>
      </c>
      <c r="C14" s="20" t="s">
        <v>181</v>
      </c>
      <c r="E14" s="38"/>
      <c r="F14" s="38"/>
      <c r="G14" s="38"/>
      <c r="H14" s="38"/>
      <c r="I14" s="38"/>
      <c r="J14" s="38"/>
      <c r="K14" s="38"/>
      <c r="L14" s="96"/>
    </row>
    <row r="15" spans="2:12">
      <c r="B15" s="79" t="s">
        <v>182</v>
      </c>
      <c r="C15" s="20" t="s">
        <v>183</v>
      </c>
      <c r="E15" s="38"/>
      <c r="F15" s="38"/>
      <c r="G15" s="38"/>
      <c r="H15" s="38"/>
      <c r="I15" s="38"/>
      <c r="J15" s="38"/>
      <c r="K15" s="38"/>
    </row>
    <row r="16" spans="2:12">
      <c r="B16" s="79"/>
      <c r="C16" s="20"/>
    </row>
    <row r="17" spans="2:3">
      <c r="B17" s="79"/>
      <c r="C17" s="20"/>
    </row>
    <row r="18" spans="2:3">
      <c r="B18" s="79"/>
      <c r="C18" s="20"/>
    </row>
    <row r="19" spans="2:3">
      <c r="B19" s="79"/>
      <c r="C19" s="20"/>
    </row>
    <row r="20" spans="2:3">
      <c r="B20" s="79"/>
      <c r="C20" s="20"/>
    </row>
    <row r="21" spans="2:3">
      <c r="B21" s="79"/>
      <c r="C21" s="20"/>
    </row>
    <row r="22" spans="2:3">
      <c r="B22" s="79"/>
      <c r="C22" s="20"/>
    </row>
    <row r="23" spans="2:3">
      <c r="B23" s="79"/>
      <c r="C23" s="20"/>
    </row>
    <row r="24" spans="2:3">
      <c r="B24" s="79"/>
      <c r="C24" s="20"/>
    </row>
    <row r="25" spans="2:3">
      <c r="B25" s="79"/>
      <c r="C25" s="20"/>
    </row>
    <row r="26" spans="2:3">
      <c r="B26" s="79"/>
      <c r="C26" s="20"/>
    </row>
    <row r="27" spans="2:3">
      <c r="B27" s="79"/>
      <c r="C27" s="20"/>
    </row>
    <row r="28" spans="2:3">
      <c r="B28" s="79"/>
      <c r="C28" s="20"/>
    </row>
    <row r="29" spans="2:3">
      <c r="B29" s="79"/>
      <c r="C29" s="20"/>
    </row>
    <row r="30" spans="2:3">
      <c r="B30" s="79"/>
      <c r="C30" s="20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614-B06F-4BA3-ABA3-28EAFD550A6D}">
  <dimension ref="F1:AN42"/>
  <sheetViews>
    <sheetView view="pageBreakPreview" topLeftCell="G1" zoomScale="70" zoomScaleNormal="100" zoomScaleSheetLayoutView="70" workbookViewId="0">
      <selection activeCell="I1" sqref="I1"/>
    </sheetView>
  </sheetViews>
  <sheetFormatPr defaultRowHeight="15.4"/>
  <cols>
    <col min="1" max="1" width="8.53125" customWidth="1"/>
    <col min="4" max="4" width="8" customWidth="1"/>
    <col min="6" max="6" width="18.1328125" customWidth="1"/>
    <col min="7" max="7" width="3.6640625" style="1" customWidth="1"/>
    <col min="8" max="8" width="12" style="2" customWidth="1"/>
    <col min="9" max="9" width="12.33203125" style="2" customWidth="1"/>
    <col min="10" max="10" width="32" style="2" customWidth="1"/>
    <col min="11" max="40" width="6.6640625" style="2" customWidth="1"/>
  </cols>
  <sheetData>
    <row r="1" spans="6:40" ht="29" customHeight="1">
      <c r="F1" s="342" t="s">
        <v>8</v>
      </c>
      <c r="J1" s="6" t="s">
        <v>6</v>
      </c>
      <c r="K1" s="331">
        <v>323</v>
      </c>
      <c r="L1" s="331"/>
      <c r="M1" s="331">
        <v>324</v>
      </c>
      <c r="N1" s="331"/>
      <c r="O1" s="331">
        <v>325</v>
      </c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</row>
    <row r="2" spans="6:40" ht="25.25" customHeight="1">
      <c r="F2" s="342"/>
      <c r="H2" s="7" t="s">
        <v>1</v>
      </c>
      <c r="I2" s="8">
        <f ca="1">TODAY()</f>
        <v>45853</v>
      </c>
      <c r="J2" s="6" t="s">
        <v>7</v>
      </c>
      <c r="K2" s="338" t="s">
        <v>24</v>
      </c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40"/>
    </row>
    <row r="3" spans="6:40" ht="28.25" customHeight="1">
      <c r="F3" s="342"/>
      <c r="I3" s="4"/>
      <c r="J3" s="6" t="s">
        <v>5</v>
      </c>
      <c r="K3" s="305">
        <v>1</v>
      </c>
      <c r="L3" s="305"/>
      <c r="M3" s="305">
        <v>2</v>
      </c>
      <c r="N3" s="305"/>
      <c r="O3" s="305">
        <v>3</v>
      </c>
      <c r="P3" s="305"/>
      <c r="Q3" s="305">
        <v>4</v>
      </c>
      <c r="R3" s="305"/>
      <c r="S3" s="305">
        <v>5</v>
      </c>
      <c r="T3" s="305"/>
      <c r="U3" s="305">
        <v>6</v>
      </c>
      <c r="V3" s="305"/>
      <c r="W3" s="305">
        <v>7</v>
      </c>
      <c r="X3" s="305"/>
      <c r="Y3" s="305">
        <v>8</v>
      </c>
      <c r="Z3" s="305"/>
      <c r="AA3" s="305">
        <v>9</v>
      </c>
      <c r="AB3" s="305"/>
      <c r="AC3" s="305">
        <v>10</v>
      </c>
      <c r="AD3" s="305"/>
      <c r="AE3" s="305">
        <v>11</v>
      </c>
      <c r="AF3" s="305"/>
      <c r="AG3" s="305">
        <v>12</v>
      </c>
      <c r="AH3" s="305"/>
      <c r="AI3" s="305">
        <v>13</v>
      </c>
      <c r="AJ3" s="305"/>
      <c r="AK3" s="305">
        <v>14</v>
      </c>
      <c r="AL3" s="305"/>
      <c r="AM3" s="305">
        <v>15</v>
      </c>
      <c r="AN3" s="305"/>
    </row>
    <row r="4" spans="6:40" ht="23" customHeight="1">
      <c r="F4" s="342"/>
      <c r="G4" s="334" t="s">
        <v>3</v>
      </c>
      <c r="H4" s="332" t="s">
        <v>4</v>
      </c>
      <c r="I4" s="332"/>
      <c r="J4" s="332"/>
      <c r="K4" s="332" t="s">
        <v>0</v>
      </c>
      <c r="L4" s="333" t="s">
        <v>2</v>
      </c>
      <c r="M4" s="332" t="s">
        <v>0</v>
      </c>
      <c r="N4" s="333" t="s">
        <v>2</v>
      </c>
      <c r="O4" s="332" t="s">
        <v>0</v>
      </c>
      <c r="P4" s="333" t="s">
        <v>2</v>
      </c>
      <c r="Q4" s="332" t="s">
        <v>0</v>
      </c>
      <c r="R4" s="333" t="s">
        <v>2</v>
      </c>
      <c r="S4" s="332" t="s">
        <v>0</v>
      </c>
      <c r="T4" s="333" t="s">
        <v>2</v>
      </c>
      <c r="U4" s="332" t="s">
        <v>0</v>
      </c>
      <c r="V4" s="333" t="s">
        <v>2</v>
      </c>
      <c r="W4" s="332" t="s">
        <v>0</v>
      </c>
      <c r="X4" s="333" t="s">
        <v>2</v>
      </c>
      <c r="Y4" s="332" t="s">
        <v>0</v>
      </c>
      <c r="Z4" s="333" t="s">
        <v>2</v>
      </c>
      <c r="AA4" s="332" t="s">
        <v>0</v>
      </c>
      <c r="AB4" s="333" t="s">
        <v>2</v>
      </c>
      <c r="AC4" s="332" t="s">
        <v>0</v>
      </c>
      <c r="AD4" s="333" t="s">
        <v>2</v>
      </c>
      <c r="AE4" s="332" t="s">
        <v>0</v>
      </c>
      <c r="AF4" s="333" t="s">
        <v>2</v>
      </c>
      <c r="AG4" s="332" t="s">
        <v>0</v>
      </c>
      <c r="AH4" s="333" t="s">
        <v>2</v>
      </c>
      <c r="AI4" s="332" t="s">
        <v>0</v>
      </c>
      <c r="AJ4" s="333" t="s">
        <v>2</v>
      </c>
      <c r="AK4" s="332" t="s">
        <v>0</v>
      </c>
      <c r="AL4" s="333" t="s">
        <v>2</v>
      </c>
      <c r="AM4" s="335" t="s">
        <v>0</v>
      </c>
      <c r="AN4" s="341" t="s">
        <v>2</v>
      </c>
    </row>
    <row r="5" spans="6:40" ht="20.45" customHeight="1">
      <c r="F5" s="342"/>
      <c r="G5" s="334"/>
      <c r="H5" s="332"/>
      <c r="I5" s="332"/>
      <c r="J5" s="332"/>
      <c r="K5" s="332"/>
      <c r="L5" s="333"/>
      <c r="M5" s="332"/>
      <c r="N5" s="333"/>
      <c r="O5" s="332"/>
      <c r="P5" s="333"/>
      <c r="Q5" s="332"/>
      <c r="R5" s="333"/>
      <c r="S5" s="332"/>
      <c r="T5" s="333"/>
      <c r="U5" s="332"/>
      <c r="V5" s="333"/>
      <c r="W5" s="332"/>
      <c r="X5" s="333"/>
      <c r="Y5" s="332"/>
      <c r="Z5" s="333"/>
      <c r="AA5" s="332"/>
      <c r="AB5" s="333"/>
      <c r="AC5" s="332"/>
      <c r="AD5" s="333"/>
      <c r="AE5" s="332"/>
      <c r="AF5" s="333"/>
      <c r="AG5" s="332"/>
      <c r="AH5" s="333"/>
      <c r="AI5" s="332"/>
      <c r="AJ5" s="333"/>
      <c r="AK5" s="332"/>
      <c r="AL5" s="333"/>
      <c r="AM5" s="335"/>
      <c r="AN5" s="341"/>
    </row>
    <row r="6" spans="6:40" ht="30" customHeight="1">
      <c r="F6" s="342"/>
      <c r="G6" s="5">
        <v>1</v>
      </c>
      <c r="H6" s="336" t="s">
        <v>10</v>
      </c>
      <c r="I6" s="336"/>
      <c r="J6" s="33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6:40" ht="30" customHeight="1">
      <c r="F7" s="342"/>
      <c r="G7" s="5">
        <v>2</v>
      </c>
      <c r="H7" s="336" t="s">
        <v>11</v>
      </c>
      <c r="I7" s="336"/>
      <c r="J7" s="33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6:40" ht="30" customHeight="1">
      <c r="F8" s="342"/>
      <c r="G8" s="5">
        <v>3</v>
      </c>
      <c r="H8" s="336" t="s">
        <v>12</v>
      </c>
      <c r="I8" s="336"/>
      <c r="J8" s="33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6:40" ht="30" customHeight="1">
      <c r="F9" s="342"/>
      <c r="G9" s="5">
        <v>4</v>
      </c>
      <c r="H9" s="336" t="s">
        <v>13</v>
      </c>
      <c r="I9" s="336"/>
      <c r="J9" s="33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6:40" ht="30" customHeight="1">
      <c r="F10" s="342"/>
      <c r="G10" s="5">
        <v>5</v>
      </c>
      <c r="H10" s="336" t="s">
        <v>14</v>
      </c>
      <c r="I10" s="336"/>
      <c r="J10" s="33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6:40" ht="30" customHeight="1">
      <c r="F11" s="342"/>
      <c r="G11" s="5">
        <v>6</v>
      </c>
      <c r="H11" s="336" t="s">
        <v>25</v>
      </c>
      <c r="I11" s="336"/>
      <c r="J11" s="33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6:40" ht="30" customHeight="1">
      <c r="F12" s="342"/>
      <c r="G12" s="5">
        <v>7</v>
      </c>
      <c r="H12" s="336" t="s">
        <v>15</v>
      </c>
      <c r="I12" s="336"/>
      <c r="J12" s="3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6:40" ht="30" customHeight="1">
      <c r="F13" s="342"/>
      <c r="G13" s="5">
        <v>8</v>
      </c>
      <c r="H13" s="336" t="s">
        <v>16</v>
      </c>
      <c r="I13" s="336"/>
      <c r="J13" s="33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6:40" ht="30" customHeight="1">
      <c r="F14" s="342"/>
      <c r="G14" s="5">
        <v>9</v>
      </c>
      <c r="H14" s="336" t="s">
        <v>17</v>
      </c>
      <c r="I14" s="336"/>
      <c r="J14" s="33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6:40" ht="30" customHeight="1">
      <c r="F15" s="342"/>
      <c r="G15" s="5">
        <v>10</v>
      </c>
      <c r="H15" s="336" t="s">
        <v>18</v>
      </c>
      <c r="I15" s="336"/>
      <c r="J15" s="33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6:40" ht="30" customHeight="1">
      <c r="F16" s="342"/>
      <c r="G16" s="5">
        <v>11</v>
      </c>
      <c r="H16" s="336" t="s">
        <v>19</v>
      </c>
      <c r="I16" s="336"/>
      <c r="J16" s="33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6:40" ht="30" customHeight="1">
      <c r="F17" s="343" t="s">
        <v>9</v>
      </c>
      <c r="G17" s="5">
        <v>12</v>
      </c>
      <c r="H17" s="336" t="s">
        <v>20</v>
      </c>
      <c r="I17" s="336"/>
      <c r="J17" s="33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6:40" ht="30" customHeight="1">
      <c r="F18" s="343"/>
      <c r="G18" s="5">
        <v>13</v>
      </c>
      <c r="H18" s="336" t="s">
        <v>21</v>
      </c>
      <c r="I18" s="336"/>
      <c r="J18" s="33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6:40" ht="30" customHeight="1">
      <c r="F19" s="343"/>
      <c r="G19" s="5">
        <v>14</v>
      </c>
      <c r="H19" s="336" t="s">
        <v>22</v>
      </c>
      <c r="I19" s="336"/>
      <c r="J19" s="33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6:40" ht="25.25" customHeight="1">
      <c r="F20" s="343"/>
      <c r="G20" s="5">
        <v>15</v>
      </c>
      <c r="H20" s="337" t="s">
        <v>23</v>
      </c>
      <c r="I20" s="337"/>
      <c r="J20" s="33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6:40" ht="25.25" customHeight="1">
      <c r="F21" s="343"/>
      <c r="G21" s="5">
        <v>16</v>
      </c>
      <c r="H21" s="337"/>
      <c r="I21" s="337"/>
      <c r="J21" s="33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6:40" ht="25.25" customHeight="1">
      <c r="F22" s="343"/>
      <c r="G22" s="5">
        <v>17</v>
      </c>
      <c r="H22" s="337"/>
      <c r="I22" s="337"/>
      <c r="J22" s="33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6:40" ht="25.25" customHeight="1">
      <c r="F23" s="343"/>
      <c r="G23" s="335">
        <v>18</v>
      </c>
      <c r="H23" s="337"/>
      <c r="I23" s="337"/>
      <c r="J23" s="337"/>
      <c r="K23" s="3"/>
      <c r="L23" s="3"/>
      <c r="M23" s="3"/>
      <c r="N23" s="3"/>
      <c r="O23" s="3"/>
      <c r="P23" s="3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  <c r="AN23" s="3"/>
    </row>
    <row r="24" spans="6:40" ht="25.25" customHeight="1">
      <c r="F24" s="343"/>
      <c r="G24" s="335"/>
      <c r="H24" s="337"/>
      <c r="I24" s="337"/>
      <c r="J24" s="337"/>
      <c r="K24" s="3"/>
      <c r="L24" s="3"/>
      <c r="M24" s="3"/>
      <c r="N24" s="3"/>
      <c r="O24" s="3"/>
      <c r="P24" s="3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  <c r="AN24" s="3"/>
    </row>
    <row r="25" spans="6:40" ht="25.25" customHeight="1">
      <c r="F25" s="343"/>
      <c r="G25" s="5">
        <v>19</v>
      </c>
      <c r="H25" s="337"/>
      <c r="I25" s="337"/>
      <c r="J25" s="33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6:40" ht="25.25" customHeight="1">
      <c r="F26" s="343"/>
      <c r="G26" s="5">
        <v>20</v>
      </c>
      <c r="H26" s="337"/>
      <c r="I26" s="337"/>
      <c r="J26" s="33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6:40" ht="25.25" customHeight="1">
      <c r="F27" s="343"/>
      <c r="G27" s="5">
        <v>21</v>
      </c>
      <c r="H27" s="337"/>
      <c r="I27" s="337"/>
      <c r="J27" s="33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6:40" ht="25.25" customHeight="1">
      <c r="F28" s="343"/>
      <c r="G28" s="5">
        <v>22</v>
      </c>
      <c r="H28" s="337"/>
      <c r="I28" s="337"/>
      <c r="J28" s="33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6:40" ht="25.25" customHeight="1">
      <c r="F29" s="343"/>
      <c r="G29" s="5">
        <v>23</v>
      </c>
      <c r="H29" s="337"/>
      <c r="I29" s="337"/>
      <c r="J29" s="337"/>
      <c r="K29" s="3"/>
      <c r="L29" s="3"/>
      <c r="M29" s="3"/>
      <c r="N29" s="3"/>
      <c r="O29" s="3"/>
      <c r="P29" s="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3"/>
      <c r="AN29" s="3"/>
    </row>
    <row r="30" spans="6:40" ht="25.25" customHeight="1">
      <c r="F30" s="343"/>
      <c r="G30" s="5">
        <v>24</v>
      </c>
      <c r="H30" s="337"/>
      <c r="I30" s="337"/>
      <c r="J30" s="337"/>
      <c r="K30" s="3"/>
      <c r="L30" s="3"/>
      <c r="M30" s="3"/>
      <c r="N30" s="3"/>
      <c r="O30" s="3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"/>
      <c r="AN30" s="3"/>
    </row>
    <row r="31" spans="6:40" ht="25.25" customHeight="1">
      <c r="F31" s="343"/>
      <c r="G31" s="5">
        <v>25</v>
      </c>
      <c r="H31" s="337"/>
      <c r="I31" s="337"/>
      <c r="J31" s="33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6:40" ht="25.25" customHeight="1">
      <c r="F32" s="343"/>
      <c r="G32" s="5">
        <v>26</v>
      </c>
      <c r="H32" s="337"/>
      <c r="I32" s="337"/>
      <c r="J32" s="33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6:40" ht="25.25" customHeight="1">
      <c r="F33" s="343"/>
      <c r="G33" s="5">
        <v>27</v>
      </c>
      <c r="H33" s="337"/>
      <c r="I33" s="337"/>
      <c r="J33" s="33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6:40" ht="25.25" customHeight="1">
      <c r="F34" s="343"/>
      <c r="G34" s="5">
        <v>28</v>
      </c>
      <c r="H34" s="337"/>
      <c r="I34" s="337"/>
      <c r="J34" s="33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6:40" ht="23.45" customHeight="1">
      <c r="F35" s="343"/>
      <c r="G35" s="5">
        <v>29</v>
      </c>
      <c r="H35" s="337"/>
      <c r="I35" s="337"/>
      <c r="J35" s="33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6:40">
      <c r="F36" s="343"/>
      <c r="G36" s="5">
        <v>30</v>
      </c>
      <c r="H36" s="337"/>
      <c r="I36" s="337"/>
      <c r="J36" s="33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6:40" ht="27" customHeight="1">
      <c r="F37" s="343"/>
      <c r="G37" s="5">
        <v>31</v>
      </c>
      <c r="H37" s="337"/>
      <c r="I37" s="337"/>
      <c r="J37" s="33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6:40">
      <c r="F38" s="343"/>
      <c r="G38" s="5">
        <v>32</v>
      </c>
      <c r="H38" s="337"/>
      <c r="I38" s="337"/>
      <c r="J38" s="33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6:40">
      <c r="F39" s="343"/>
      <c r="G39" s="5">
        <v>33</v>
      </c>
      <c r="H39" s="337"/>
      <c r="I39" s="337"/>
      <c r="J39" s="33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6:40">
      <c r="F40" s="343"/>
      <c r="G40" s="5">
        <v>34</v>
      </c>
      <c r="H40" s="337"/>
      <c r="I40" s="337"/>
      <c r="J40" s="33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6:40">
      <c r="F41" s="343"/>
      <c r="G41" s="5">
        <v>35</v>
      </c>
      <c r="H41" s="337"/>
      <c r="I41" s="337"/>
      <c r="J41" s="33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6:40">
      <c r="F42" s="10"/>
      <c r="G42" s="5">
        <v>36</v>
      </c>
      <c r="H42" s="337"/>
      <c r="I42" s="337"/>
      <c r="J42" s="33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</sheetData>
  <mergeCells count="103">
    <mergeCell ref="F1:F16"/>
    <mergeCell ref="F17:F41"/>
    <mergeCell ref="H23:J23"/>
    <mergeCell ref="H24:J24"/>
    <mergeCell ref="H29:J29"/>
    <mergeCell ref="H30:J30"/>
    <mergeCell ref="AJ4:AJ5"/>
    <mergeCell ref="AC1:AD1"/>
    <mergeCell ref="AE1:AF1"/>
    <mergeCell ref="AC3:AD3"/>
    <mergeCell ref="AE3:AF3"/>
    <mergeCell ref="AC4:AC5"/>
    <mergeCell ref="AD4:AD5"/>
    <mergeCell ref="AE4:AE5"/>
    <mergeCell ref="W3:X3"/>
    <mergeCell ref="Y3:Z3"/>
    <mergeCell ref="AA3:AB3"/>
    <mergeCell ref="AG3:AH3"/>
    <mergeCell ref="AI3:AJ3"/>
    <mergeCell ref="W4:W5"/>
    <mergeCell ref="X4:X5"/>
    <mergeCell ref="Y1:Z1"/>
    <mergeCell ref="AA1:AB1"/>
    <mergeCell ref="AG1:AH1"/>
    <mergeCell ref="H8:J8"/>
    <mergeCell ref="H9:J9"/>
    <mergeCell ref="H10:J10"/>
    <mergeCell ref="K3:L3"/>
    <mergeCell ref="M3:N3"/>
    <mergeCell ref="O3:P3"/>
    <mergeCell ref="K2:AN2"/>
    <mergeCell ref="V4:V5"/>
    <mergeCell ref="AK4:AK5"/>
    <mergeCell ref="AL4:AL5"/>
    <mergeCell ref="AB4:AB5"/>
    <mergeCell ref="AG4:AG5"/>
    <mergeCell ref="AH4:AH5"/>
    <mergeCell ref="AI4:AI5"/>
    <mergeCell ref="Y4:Y5"/>
    <mergeCell ref="Z4:Z5"/>
    <mergeCell ref="AF4:AF5"/>
    <mergeCell ref="AM4:AM5"/>
    <mergeCell ref="AN4:AN5"/>
    <mergeCell ref="H39:J39"/>
    <mergeCell ref="H40:J40"/>
    <mergeCell ref="H41:J41"/>
    <mergeCell ref="H42:J42"/>
    <mergeCell ref="Q1:R1"/>
    <mergeCell ref="Q4:Q5"/>
    <mergeCell ref="R4:R5"/>
    <mergeCell ref="H32:J32"/>
    <mergeCell ref="H33:J33"/>
    <mergeCell ref="H34:J34"/>
    <mergeCell ref="H35:J35"/>
    <mergeCell ref="H36:J36"/>
    <mergeCell ref="H37:J37"/>
    <mergeCell ref="H31:J31"/>
    <mergeCell ref="H27:J27"/>
    <mergeCell ref="H28:J28"/>
    <mergeCell ref="H25:J25"/>
    <mergeCell ref="H26:J26"/>
    <mergeCell ref="O4:O5"/>
    <mergeCell ref="P4:P5"/>
    <mergeCell ref="Q3:R3"/>
    <mergeCell ref="H6:J6"/>
    <mergeCell ref="H7:J7"/>
    <mergeCell ref="H38:J38"/>
    <mergeCell ref="G23:G24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G4:G5"/>
    <mergeCell ref="H4:J5"/>
    <mergeCell ref="K4:K5"/>
    <mergeCell ref="L4:L5"/>
    <mergeCell ref="M4:M5"/>
    <mergeCell ref="N4:N5"/>
    <mergeCell ref="K1:L1"/>
    <mergeCell ref="M1:N1"/>
    <mergeCell ref="O1:P1"/>
    <mergeCell ref="AK1:AL1"/>
    <mergeCell ref="W1:X1"/>
    <mergeCell ref="AA4:AA5"/>
    <mergeCell ref="AM3:AN3"/>
    <mergeCell ref="S3:T3"/>
    <mergeCell ref="U3:V3"/>
    <mergeCell ref="AK3:AL3"/>
    <mergeCell ref="S4:S5"/>
    <mergeCell ref="T4:T5"/>
    <mergeCell ref="U4:U5"/>
    <mergeCell ref="AI1:AJ1"/>
    <mergeCell ref="AM1:AN1"/>
    <mergeCell ref="S1:T1"/>
    <mergeCell ref="U1:V1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 xmlns="4f78bd75-e5af-473e-a771-af58d935aeec" xsi:nil="true"/>
    <SharedWithUsers xmlns="2e1cb776-6995-4ef2-a2af-ac4d4b6f4925">
      <UserInfo>
        <DisplayName/>
        <AccountId xsi:nil="true"/>
        <AccountType/>
      </UserInfo>
    </SharedWithUsers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8c2e10d7b649811152195ee9610a88b8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0046e9d28b07df2b6219cf8e5fe46efc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A18D2-9818-48FA-BD3F-4525F91881C2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AA3F56C1-529E-4E14-AC79-CFC4E691E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8FE2E-26DD-4498-B68F-117CD7F5BA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6</vt:i4>
      </vt:variant>
    </vt:vector>
  </HeadingPairs>
  <TitlesOfParts>
    <vt:vector size="17" baseType="lpstr">
      <vt:lpstr>CAPA DAS OBRAS</vt:lpstr>
      <vt:lpstr> CADASTRO</vt:lpstr>
      <vt:lpstr>CALCULOS </vt:lpstr>
      <vt:lpstr>SC-10 PN1</vt:lpstr>
      <vt:lpstr>SC-10 PN2</vt:lpstr>
      <vt:lpstr>SC-10 PN2 PRIMARIO</vt:lpstr>
      <vt:lpstr>SC10(pf)</vt:lpstr>
      <vt:lpstr>PRODUÇÃO SEMANA</vt:lpstr>
      <vt:lpstr>ACABAMENTO</vt:lpstr>
      <vt:lpstr>p1</vt:lpstr>
      <vt:lpstr>Vale - muro</vt:lpstr>
      <vt:lpstr>' CADASTRO'!Area_de_impressao</vt:lpstr>
      <vt:lpstr>'SC-10 PN1'!Area_de_impressao</vt:lpstr>
      <vt:lpstr>'SC-10 PN2'!Area_de_impressao</vt:lpstr>
      <vt:lpstr>'SC-10 PN2 PRIMARIO'!Area_de_impressao</vt:lpstr>
      <vt:lpstr>'SC10(pf)'!Area_de_impressao</vt:lpstr>
      <vt:lpstr>'Vale - muro'!Area_de_impressao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Fortanks</dc:creator>
  <cp:lastModifiedBy>Leandro Netto</cp:lastModifiedBy>
  <cp:lastPrinted>2025-07-15T10:23:25Z</cp:lastPrinted>
  <dcterms:created xsi:type="dcterms:W3CDTF">2022-12-03T11:40:49Z</dcterms:created>
  <dcterms:modified xsi:type="dcterms:W3CDTF">2025-07-15T12:24:16Z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0x01010064F60118CF4DD941A5203D2B469A8CE2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{"FileActivityType":"9","FileActivityTimeStamp":"2025-05-20T19:12:13.473Z","FileActivityUsersOnPage":[{"DisplayName":"Gean Junior Reinholz","Id":"gean.junior@fortanks.ind.br"},{"DisplayName":"Bruno Macedo Lacerda","Id":"bruno.lacerda@fortanks.ind.br"}],"FileActivityNavigationId":null}</vt:lpwstr>
  </property>
  <property fmtid="{D5CDD505-2E9C-101B-9397-08002B2CF9AE}" pid="7" name="TriggerFlowInfo">
    <vt:lpwstr/>
  </property>
</Properties>
</file>